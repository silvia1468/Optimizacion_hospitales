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codeName="{51196F13-6AD0-C1B8-E2B4-A1F9AE17003E}"/>
  <workbookPr codeName="ThisWorkbook" hidePivotFieldList="1" defaultThemeVersion="124226"/>
  <mc:AlternateContent xmlns:mc="http://schemas.openxmlformats.org/markup-compatibility/2006">
    <mc:Choice Requires="x15">
      <x15ac:absPath xmlns:x15ac="http://schemas.microsoft.com/office/spreadsheetml/2010/11/ac" url="T:\HIRC\HIRC Products\PivotTables\ED\"/>
    </mc:Choice>
  </mc:AlternateContent>
  <bookViews>
    <workbookView xWindow="-432" yWindow="-60" windowWidth="20100" windowHeight="7608" tabRatio="772"/>
  </bookViews>
  <sheets>
    <sheet name="Profile" sheetId="2" r:id="rId1"/>
    <sheet name="Pivot" sheetId="4" r:id="rId2"/>
    <sheet name="Data" sheetId="1" r:id="rId3"/>
    <sheet name="Instructions &amp; Footnotes" sheetId="6" r:id="rId4"/>
  </sheets>
  <definedNames>
    <definedName name="_AMO_UniqueIdentifier" hidden="1">"'2d8022f5-dc70-4b0e-9385-c89a91221256'"</definedName>
    <definedName name="_xlnm._FilterDatabase" localSheetId="2" hidden="1">Data!$A$1:$DN$329</definedName>
    <definedName name="_xlnm.Print_Area" localSheetId="3">'Instructions &amp; Footnotes'!$A$1:$C$100</definedName>
    <definedName name="_xlnm.Print_Area" localSheetId="1">Pivot!$A$10:$B$106</definedName>
    <definedName name="_xlnm.Print_Area" localSheetId="0">Profile!$A$2:$H$173</definedName>
    <definedName name="_xlnm.Print_Titles" localSheetId="3">'Instructions &amp; Footnotes'!$1:$3</definedName>
    <definedName name="_xlnm.Print_Titles" localSheetId="0">Profile!$2:$2</definedName>
  </definedNames>
  <calcPr calcId="162913"/>
  <pivotCaches>
    <pivotCache cacheId="0" r:id="rId5"/>
  </pivotCaches>
</workbook>
</file>

<file path=xl/calcChain.xml><?xml version="1.0" encoding="utf-8"?>
<calcChain xmlns="http://schemas.openxmlformats.org/spreadsheetml/2006/main">
  <c r="C222" i="2" l="1"/>
  <c r="B222" i="2"/>
  <c r="A224" i="2"/>
  <c r="A225" i="2"/>
  <c r="A226" i="2"/>
  <c r="A227" i="2"/>
  <c r="A228" i="2"/>
  <c r="A229" i="2"/>
  <c r="A223" i="2"/>
  <c r="A215" i="2"/>
  <c r="A216" i="2"/>
  <c r="A217" i="2"/>
  <c r="A218" i="2"/>
  <c r="A219" i="2"/>
  <c r="A214" i="2"/>
  <c r="B108" i="2"/>
  <c r="B69" i="2"/>
  <c r="B80" i="2"/>
  <c r="B64" i="2"/>
  <c r="B81" i="2"/>
  <c r="D110" i="2"/>
  <c r="B105" i="2"/>
  <c r="B90" i="2"/>
  <c r="D76" i="2"/>
  <c r="B110" i="2"/>
  <c r="B61" i="2"/>
  <c r="D109" i="2"/>
  <c r="D29" i="2"/>
  <c r="B89" i="2"/>
  <c r="B59" i="2"/>
  <c r="D81" i="2"/>
  <c r="B57" i="2"/>
  <c r="B109" i="2"/>
  <c r="H19" i="2"/>
  <c r="B98" i="2"/>
  <c r="D89" i="2"/>
  <c r="D91" i="2"/>
  <c r="B77" i="2"/>
  <c r="B25" i="2"/>
  <c r="B107" i="2"/>
  <c r="D97" i="2"/>
  <c r="B66" i="2"/>
  <c r="B84" i="2"/>
  <c r="D78" i="2"/>
  <c r="B63" i="2"/>
  <c r="D53" i="2"/>
  <c r="D63" i="2"/>
  <c r="D30" i="2"/>
  <c r="D77" i="2"/>
  <c r="D67" i="2"/>
  <c r="B83" i="2"/>
  <c r="B67" i="2"/>
  <c r="D98" i="2"/>
  <c r="D75" i="2"/>
  <c r="B54" i="2"/>
  <c r="D61" i="2"/>
  <c r="D25" i="2"/>
  <c r="D82" i="2"/>
  <c r="D83" i="2"/>
  <c r="B60" i="2"/>
  <c r="D106" i="2"/>
  <c r="B82" i="2"/>
  <c r="D58" i="2"/>
  <c r="B62" i="2"/>
  <c r="B56" i="2"/>
  <c r="B106" i="2"/>
  <c r="B91" i="2"/>
  <c r="B78" i="2"/>
  <c r="D104" i="2"/>
  <c r="D26" i="2"/>
  <c r="D64" i="2"/>
  <c r="D60" i="2"/>
  <c r="D105" i="2"/>
  <c r="B53" i="2"/>
  <c r="B79" i="2"/>
  <c r="B104" i="2"/>
  <c r="B75" i="2"/>
  <c r="D28" i="2"/>
  <c r="D96" i="2"/>
  <c r="D27" i="2"/>
  <c r="D69" i="2"/>
  <c r="D68" i="2"/>
  <c r="B68" i="2"/>
  <c r="D54" i="2"/>
  <c r="B29" i="2"/>
  <c r="B76" i="2"/>
  <c r="B58" i="2"/>
  <c r="D57" i="2"/>
  <c r="D55" i="2"/>
  <c r="D84" i="2"/>
  <c r="B65" i="2"/>
  <c r="B96" i="2"/>
  <c r="D90" i="2"/>
  <c r="B28" i="2"/>
  <c r="B30" i="2"/>
  <c r="B55" i="2"/>
  <c r="D56" i="2"/>
  <c r="D107" i="2"/>
  <c r="D59" i="2"/>
  <c r="D80" i="2"/>
  <c r="D62" i="2"/>
  <c r="B97" i="2"/>
  <c r="B74" i="2"/>
  <c r="D74" i="2"/>
  <c r="D66" i="2"/>
  <c r="D65" i="2"/>
  <c r="D108" i="2"/>
  <c r="D79" i="2"/>
  <c r="B26" i="2"/>
  <c r="B27" i="2"/>
  <c r="F69" i="2" l="1"/>
  <c r="F66" i="2"/>
  <c r="F91" i="2"/>
  <c r="D92" i="2"/>
  <c r="B92" i="2"/>
  <c r="C225" i="2"/>
  <c r="B227" i="2"/>
  <c r="B225" i="2"/>
  <c r="B223" i="2"/>
  <c r="C226" i="2"/>
  <c r="B224" i="2"/>
  <c r="C224" i="2"/>
  <c r="B226" i="2"/>
  <c r="C223" i="2"/>
  <c r="C227" i="2"/>
  <c r="B228" i="2"/>
  <c r="B229" i="2"/>
  <c r="C228" i="2"/>
  <c r="C229" i="2"/>
  <c r="D31" i="2"/>
  <c r="B31" i="2"/>
  <c r="F109" i="2"/>
  <c r="D111" i="2"/>
  <c r="B111" i="2"/>
  <c r="F29" i="2"/>
  <c r="B218" i="2" s="1"/>
  <c r="D70" i="2"/>
  <c r="F75" i="2"/>
  <c r="F77" i="2"/>
  <c r="F84" i="2"/>
  <c r="F108" i="2"/>
  <c r="F82" i="2"/>
  <c r="F59" i="2"/>
  <c r="F80" i="2"/>
  <c r="D99" i="2"/>
  <c r="F62" i="2"/>
  <c r="F106" i="2"/>
  <c r="F54" i="2"/>
  <c r="F81" i="2"/>
  <c r="F27" i="2"/>
  <c r="B216" i="2" s="1"/>
  <c r="F26" i="2"/>
  <c r="B215" i="2" s="1"/>
  <c r="F58" i="2"/>
  <c r="F104" i="2"/>
  <c r="F78" i="2"/>
  <c r="F63" i="2"/>
  <c r="F57" i="2"/>
  <c r="F83" i="2"/>
  <c r="F67" i="2"/>
  <c r="F25" i="2"/>
  <c r="B214" i="2" s="1"/>
  <c r="F55" i="2"/>
  <c r="F89" i="2"/>
  <c r="F76" i="2"/>
  <c r="F98" i="2"/>
  <c r="F97" i="2"/>
  <c r="B70" i="2"/>
  <c r="F53" i="2"/>
  <c r="F60" i="2"/>
  <c r="B6" i="2"/>
  <c r="F110" i="2"/>
  <c r="F68" i="2"/>
  <c r="F56" i="2"/>
  <c r="F96" i="2"/>
  <c r="B99" i="2"/>
  <c r="F65" i="2"/>
  <c r="D85" i="2"/>
  <c r="F28" i="2"/>
  <c r="B217" i="2" s="1"/>
  <c r="F64" i="2"/>
  <c r="F61" i="2"/>
  <c r="F90" i="2"/>
  <c r="F105" i="2"/>
  <c r="F107" i="2"/>
  <c r="F74" i="2"/>
  <c r="B85" i="2"/>
  <c r="F79" i="2"/>
  <c r="F30" i="2"/>
  <c r="B219" i="2" s="1"/>
  <c r="B21" i="2" l="1"/>
  <c r="B20" i="2"/>
  <c r="B19" i="2"/>
  <c r="B18" i="2"/>
  <c r="B17" i="2"/>
  <c r="B15" i="2"/>
  <c r="B14" i="2"/>
  <c r="B12" i="2"/>
  <c r="B8" i="2"/>
  <c r="B9" i="2"/>
  <c r="B16" i="2"/>
  <c r="B10" i="2"/>
  <c r="B13" i="2"/>
  <c r="B11" i="2"/>
  <c r="B7" i="2"/>
  <c r="F92" i="2"/>
  <c r="G90" i="2" s="1"/>
  <c r="B220" i="2"/>
  <c r="C230" i="2"/>
  <c r="B230" i="2"/>
  <c r="F111" i="2"/>
  <c r="F70" i="2"/>
  <c r="F99" i="2"/>
  <c r="G96" i="2" s="1"/>
  <c r="F31" i="2"/>
  <c r="F85" i="2"/>
  <c r="G76" i="2" s="1"/>
  <c r="G61" i="2" l="1"/>
  <c r="G69" i="2"/>
  <c r="C66" i="2"/>
  <c r="E66" i="2"/>
  <c r="G66" i="2"/>
  <c r="E69" i="2"/>
  <c r="C69" i="2"/>
  <c r="C91" i="2"/>
  <c r="E91" i="2"/>
  <c r="G91" i="2"/>
  <c r="D230" i="2"/>
  <c r="G53" i="2"/>
  <c r="E109" i="2"/>
  <c r="C109" i="2"/>
  <c r="G109" i="2"/>
  <c r="E111" i="2"/>
  <c r="G28" i="2"/>
  <c r="E29" i="2"/>
  <c r="C29" i="2"/>
  <c r="G29" i="2"/>
  <c r="G80" i="2"/>
  <c r="G59" i="2"/>
  <c r="G64" i="2"/>
  <c r="G107" i="2"/>
  <c r="G56" i="2"/>
  <c r="G65" i="2"/>
  <c r="G60" i="2"/>
  <c r="G57" i="2"/>
  <c r="G62" i="2"/>
  <c r="G67" i="2"/>
  <c r="G79" i="2"/>
  <c r="G54" i="2"/>
  <c r="G77" i="2"/>
  <c r="G74" i="2"/>
  <c r="G68" i="2"/>
  <c r="G82" i="2"/>
  <c r="G97" i="2"/>
  <c r="G75" i="2"/>
  <c r="G81" i="2"/>
  <c r="G84" i="2"/>
  <c r="G106" i="2"/>
  <c r="G58" i="2"/>
  <c r="G63" i="2"/>
  <c r="G83" i="2"/>
  <c r="G98" i="2"/>
  <c r="G78" i="2"/>
  <c r="G27" i="2"/>
  <c r="E90" i="2"/>
  <c r="E89" i="2"/>
  <c r="C90" i="2"/>
  <c r="C89" i="2"/>
  <c r="G105" i="2"/>
  <c r="G111" i="2"/>
  <c r="C104" i="2"/>
  <c r="E105" i="2"/>
  <c r="C108" i="2"/>
  <c r="C110" i="2"/>
  <c r="C106" i="2"/>
  <c r="E106" i="2"/>
  <c r="E108" i="2"/>
  <c r="E107" i="2"/>
  <c r="C107" i="2"/>
  <c r="C105" i="2"/>
  <c r="E104" i="2"/>
  <c r="E110" i="2"/>
  <c r="G25" i="2"/>
  <c r="E30" i="2"/>
  <c r="E25" i="2"/>
  <c r="C26" i="2"/>
  <c r="C30" i="2"/>
  <c r="E27" i="2"/>
  <c r="C25" i="2"/>
  <c r="E28" i="2"/>
  <c r="C27" i="2"/>
  <c r="C28" i="2"/>
  <c r="E26" i="2"/>
  <c r="C97" i="2"/>
  <c r="E97" i="2"/>
  <c r="E98" i="2"/>
  <c r="E96" i="2"/>
  <c r="C98" i="2"/>
  <c r="C96" i="2"/>
  <c r="C57" i="2"/>
  <c r="C53" i="2"/>
  <c r="E62" i="2"/>
  <c r="E64" i="2"/>
  <c r="E53" i="2"/>
  <c r="C62" i="2"/>
  <c r="C68" i="2"/>
  <c r="C65" i="2"/>
  <c r="E61" i="2"/>
  <c r="E63" i="2"/>
  <c r="E59" i="2"/>
  <c r="E60" i="2"/>
  <c r="E65" i="2"/>
  <c r="C64" i="2"/>
  <c r="C61" i="2"/>
  <c r="E68" i="2"/>
  <c r="C59" i="2"/>
  <c r="C54" i="2"/>
  <c r="C58" i="2"/>
  <c r="E55" i="2"/>
  <c r="E67" i="2"/>
  <c r="C56" i="2"/>
  <c r="E57" i="2"/>
  <c r="C60" i="2"/>
  <c r="C63" i="2"/>
  <c r="E56" i="2"/>
  <c r="C67" i="2"/>
  <c r="C55" i="2"/>
  <c r="E58" i="2"/>
  <c r="E54" i="2"/>
  <c r="G26" i="2"/>
  <c r="G104" i="2"/>
  <c r="G108" i="2"/>
  <c r="C75" i="2"/>
  <c r="E83" i="2"/>
  <c r="C79" i="2"/>
  <c r="E81" i="2"/>
  <c r="C74" i="2"/>
  <c r="E74" i="2"/>
  <c r="C77" i="2"/>
  <c r="C76" i="2"/>
  <c r="E84" i="2"/>
  <c r="C82" i="2"/>
  <c r="E80" i="2"/>
  <c r="E82" i="2"/>
  <c r="E78" i="2"/>
  <c r="C84" i="2"/>
  <c r="E77" i="2"/>
  <c r="C78" i="2"/>
  <c r="C80" i="2"/>
  <c r="E76" i="2"/>
  <c r="E79" i="2"/>
  <c r="C81" i="2"/>
  <c r="C83" i="2"/>
  <c r="E75" i="2"/>
  <c r="G30" i="2"/>
  <c r="G89" i="2"/>
  <c r="G55" i="2"/>
  <c r="G110" i="2"/>
  <c r="C111" i="2"/>
  <c r="C31" i="2" l="1"/>
  <c r="E31" i="2"/>
  <c r="G85" i="2"/>
  <c r="G31" i="2"/>
  <c r="G70" i="2"/>
  <c r="G99" i="2"/>
  <c r="G92" i="2"/>
  <c r="E70" i="2"/>
  <c r="C92" i="2"/>
  <c r="E85" i="2"/>
  <c r="C99" i="2"/>
  <c r="E92" i="2"/>
  <c r="C70" i="2"/>
  <c r="C85" i="2"/>
  <c r="E99" i="2"/>
</calcChain>
</file>

<file path=xl/sharedStrings.xml><?xml version="1.0" encoding="utf-8"?>
<sst xmlns="http://schemas.openxmlformats.org/spreadsheetml/2006/main" count="5497" uniqueCount="2256">
  <si>
    <t>oshpd_id</t>
  </si>
  <si>
    <t>Sex_Female</t>
  </si>
  <si>
    <t>Sex_Male</t>
  </si>
  <si>
    <t>Age_01_09</t>
  </si>
  <si>
    <t>Age_10_19</t>
  </si>
  <si>
    <t>Age_20_29</t>
  </si>
  <si>
    <t>Age_30_39</t>
  </si>
  <si>
    <t>Age_40_49</t>
  </si>
  <si>
    <t>Age_50_59</t>
  </si>
  <si>
    <t>Age_60_69</t>
  </si>
  <si>
    <t>Age_70_79</t>
  </si>
  <si>
    <t>Age_80_</t>
  </si>
  <si>
    <t>Age_Under_1</t>
  </si>
  <si>
    <t>Age_Unknown</t>
  </si>
  <si>
    <t>Black</t>
  </si>
  <si>
    <t>Hispanic</t>
  </si>
  <si>
    <t>Other</t>
  </si>
  <si>
    <t>White</t>
  </si>
  <si>
    <t>Acute Care</t>
  </si>
  <si>
    <t>Against Medical Advice</t>
  </si>
  <si>
    <t>Died</t>
  </si>
  <si>
    <t>Home Health Service</t>
  </si>
  <si>
    <t>Hospice Care</t>
  </si>
  <si>
    <t>Prison/Jail</t>
  </si>
  <si>
    <t>Psychiatric Care</t>
  </si>
  <si>
    <t>Residential Care Facility</t>
  </si>
  <si>
    <t>Routine (home)</t>
  </si>
  <si>
    <t>Children's or Cancer Center</t>
  </si>
  <si>
    <t>Critical Access Hospital</t>
  </si>
  <si>
    <t>Not Defined Elsewhere</t>
  </si>
  <si>
    <t>Medi-Cal</t>
  </si>
  <si>
    <t>Medicare</t>
  </si>
  <si>
    <t>Private Coverage</t>
  </si>
  <si>
    <t>ED Visit</t>
  </si>
  <si>
    <t>a_Sex_Female</t>
  </si>
  <si>
    <t>a_Sex_Male</t>
  </si>
  <si>
    <t>a_Age_10_19</t>
  </si>
  <si>
    <t>a_Age_20_29</t>
  </si>
  <si>
    <t>a_Age_30_39</t>
  </si>
  <si>
    <t>a_Age_40_49</t>
  </si>
  <si>
    <t>a_Age_50_59</t>
  </si>
  <si>
    <t>a_Age_60_69</t>
  </si>
  <si>
    <t>a_Age_70_79</t>
  </si>
  <si>
    <t>a_Age_80_</t>
  </si>
  <si>
    <t>a_Age_Under_1</t>
  </si>
  <si>
    <t>a_Age_01_09</t>
  </si>
  <si>
    <t>a_Age_Unknown</t>
  </si>
  <si>
    <t>a_Black</t>
  </si>
  <si>
    <t>a_Hispanic</t>
  </si>
  <si>
    <t>a_White</t>
  </si>
  <si>
    <t>a_Died</t>
  </si>
  <si>
    <t>a_Medicare</t>
  </si>
  <si>
    <t>FACILITY_NAME</t>
  </si>
  <si>
    <t>COUNTY_NAME</t>
  </si>
  <si>
    <t>DBA_ADDRESS1</t>
  </si>
  <si>
    <t>DBA_CITY</t>
  </si>
  <si>
    <t>DBA_ZIP_CODE</t>
  </si>
  <si>
    <t>LICENSED_BED_SIZE</t>
  </si>
  <si>
    <t>TRAUMA_CENTER_DESC</t>
  </si>
  <si>
    <t>MSSA_NAME</t>
  </si>
  <si>
    <t>MSSA_DESIGNATION</t>
  </si>
  <si>
    <t>RURAL_HOSPITAL_DESC</t>
  </si>
  <si>
    <t>TEACHING_HOSPITAL_DESC</t>
  </si>
  <si>
    <t>ER_SERVICE_LEVEL_DESC</t>
  </si>
  <si>
    <t>010735</t>
  </si>
  <si>
    <t>ALAMEDA HOSPITAL</t>
  </si>
  <si>
    <t>ALAMEDA</t>
  </si>
  <si>
    <t>94501</t>
  </si>
  <si>
    <t>Urban</t>
  </si>
  <si>
    <t>Emergency - Basic</t>
  </si>
  <si>
    <t>010739</t>
  </si>
  <si>
    <t>Nonprofit - Corporation</t>
  </si>
  <si>
    <t>BERKELEY</t>
  </si>
  <si>
    <t>94705</t>
  </si>
  <si>
    <t>010776</t>
  </si>
  <si>
    <t>747 52ND STREET</t>
  </si>
  <si>
    <t>OAKLAND</t>
  </si>
  <si>
    <t>94609</t>
  </si>
  <si>
    <t>Level I - Pediatric</t>
  </si>
  <si>
    <t>010846</t>
  </si>
  <si>
    <t>1411 EAST 31ST STREET</t>
  </si>
  <si>
    <t>94602</t>
  </si>
  <si>
    <t>Level II</t>
  </si>
  <si>
    <t>Teaching</t>
  </si>
  <si>
    <t>94611</t>
  </si>
  <si>
    <t>HAYWARD</t>
  </si>
  <si>
    <t>94545</t>
  </si>
  <si>
    <t>010937</t>
  </si>
  <si>
    <t>350 HAWTHORNE AVENUE</t>
  </si>
  <si>
    <t>010967</t>
  </si>
  <si>
    <t>ST. ROSE HOSPITAL</t>
  </si>
  <si>
    <t>27200 CALAROGA AVENUE</t>
  </si>
  <si>
    <t>010987</t>
  </si>
  <si>
    <t>WASHINGTON HOSPITAL - FREMONT</t>
  </si>
  <si>
    <t>Public - District</t>
  </si>
  <si>
    <t>2000 MOWRY AVENUE</t>
  </si>
  <si>
    <t>FREMONT</t>
  </si>
  <si>
    <t>94538</t>
  </si>
  <si>
    <t>013619</t>
  </si>
  <si>
    <t>SAN LEANDRO HOSPITAL</t>
  </si>
  <si>
    <t>Public - City or County</t>
  </si>
  <si>
    <t>13855 EAST 14TH STREET</t>
  </si>
  <si>
    <t>SAN LEANDRO</t>
  </si>
  <si>
    <t>94578</t>
  </si>
  <si>
    <t>014050</t>
  </si>
  <si>
    <t>VALLEYCARE MEDICAL CENTER</t>
  </si>
  <si>
    <t>5555 WEST LAS POSITAS BLVD.</t>
  </si>
  <si>
    <t>PLEASANTON</t>
  </si>
  <si>
    <t>94588</t>
  </si>
  <si>
    <t>014233</t>
  </si>
  <si>
    <t>EDEN MEDICAL CENTER</t>
  </si>
  <si>
    <t>20103 LAKE CHABOT RD</t>
  </si>
  <si>
    <t>CASTRO VALLEY</t>
  </si>
  <si>
    <t>94546</t>
  </si>
  <si>
    <t>034002</t>
  </si>
  <si>
    <t>SUTTER AMADOR HOSPITAL</t>
  </si>
  <si>
    <t>AMADOR</t>
  </si>
  <si>
    <t>200 MISSION BLVD</t>
  </si>
  <si>
    <t>JACKSON</t>
  </si>
  <si>
    <t>95642</t>
  </si>
  <si>
    <t>Rural</t>
  </si>
  <si>
    <t>040802</t>
  </si>
  <si>
    <t>BUTTE</t>
  </si>
  <si>
    <t>240 SPRUCE STREET</t>
  </si>
  <si>
    <t>GRIDLEY</t>
  </si>
  <si>
    <t>95948</t>
  </si>
  <si>
    <t>Level IV</t>
  </si>
  <si>
    <t>Emergency - Standby</t>
  </si>
  <si>
    <t>040875</t>
  </si>
  <si>
    <t>FEATHER RIVER HOSPITAL</t>
  </si>
  <si>
    <t>5974 PENTZ ROAD</t>
  </si>
  <si>
    <t>PARADISE</t>
  </si>
  <si>
    <t>95969</t>
  </si>
  <si>
    <t>040937</t>
  </si>
  <si>
    <t>OROVILLE HOSPITAL</t>
  </si>
  <si>
    <t>2767 OLIVE HIGHWAY</t>
  </si>
  <si>
    <t>OROVILLE</t>
  </si>
  <si>
    <t>95966</t>
  </si>
  <si>
    <t>Level III</t>
  </si>
  <si>
    <t>040962</t>
  </si>
  <si>
    <t>1531 ESPLANADE</t>
  </si>
  <si>
    <t>CHICO</t>
  </si>
  <si>
    <t>95926</t>
  </si>
  <si>
    <t>050932</t>
  </si>
  <si>
    <t>MARK TWAIN MEDICAL CENTER</t>
  </si>
  <si>
    <t>CALAVERAS</t>
  </si>
  <si>
    <t>768 MOUNTAIN RANCH ROAD</t>
  </si>
  <si>
    <t>SAN ANDREAS</t>
  </si>
  <si>
    <t>95249</t>
  </si>
  <si>
    <t>060870</t>
  </si>
  <si>
    <t>COLUSA REGIONAL MEDICAL CENTER</t>
  </si>
  <si>
    <t>COLUSA</t>
  </si>
  <si>
    <t>199 EAST WEBSTER STREET</t>
  </si>
  <si>
    <t>95932</t>
  </si>
  <si>
    <t>070904</t>
  </si>
  <si>
    <t>DOCTORS MEDICAL CENTER - SAN PABLO</t>
  </si>
  <si>
    <t>CONTRA COSTA</t>
  </si>
  <si>
    <t>2000 VALE ROAD</t>
  </si>
  <si>
    <t>SAN PABLO</t>
  </si>
  <si>
    <t>94806</t>
  </si>
  <si>
    <t>070924</t>
  </si>
  <si>
    <t>CONTRA COSTA REGIONAL MEDICAL CENTER</t>
  </si>
  <si>
    <t>2500 ALHAMBRA AVENUE</t>
  </si>
  <si>
    <t>MARTINEZ</t>
  </si>
  <si>
    <t>94553</t>
  </si>
  <si>
    <t>070934</t>
  </si>
  <si>
    <t>SUTTER DELTA MEDICAL CENTER</t>
  </si>
  <si>
    <t>3901 LONE TREE WAY</t>
  </si>
  <si>
    <t>ANTIOCH</t>
  </si>
  <si>
    <t>94509</t>
  </si>
  <si>
    <t>070988</t>
  </si>
  <si>
    <t>JOHN MUIR MEDICAL CENTER-WALNUT CREEK CAMPUS</t>
  </si>
  <si>
    <t>1601 YGNACIO VALLEY ROAD</t>
  </si>
  <si>
    <t>WALNUT CREEK</t>
  </si>
  <si>
    <t>94598</t>
  </si>
  <si>
    <t>070990</t>
  </si>
  <si>
    <t>1425 SOUTH MAIN STREET</t>
  </si>
  <si>
    <t>071018</t>
  </si>
  <si>
    <t>JOHN MUIR MEDICAL CENTER-CONCORD CAMPUS</t>
  </si>
  <si>
    <t>2540 EAST STREET</t>
  </si>
  <si>
    <t>CONCORD</t>
  </si>
  <si>
    <t>94520</t>
  </si>
  <si>
    <t>074017</t>
  </si>
  <si>
    <t>SAN RAMON REGIONAL MEDICAL CENTER</t>
  </si>
  <si>
    <t>Investor - Corporation</t>
  </si>
  <si>
    <t>6001 NORRIS CANYON ROAD</t>
  </si>
  <si>
    <t>SAN RAMON</t>
  </si>
  <si>
    <t>94583</t>
  </si>
  <si>
    <t>074097</t>
  </si>
  <si>
    <t>4501 SAND CREEK ROAD</t>
  </si>
  <si>
    <t>94531</t>
  </si>
  <si>
    <t>084001</t>
  </si>
  <si>
    <t>SUTTER COAST HOSPITAL</t>
  </si>
  <si>
    <t>DEL NORTE</t>
  </si>
  <si>
    <t>800 EAST WASHINGTON BOULEVARD</t>
  </si>
  <si>
    <t>CRESCENT CITY</t>
  </si>
  <si>
    <t>95531</t>
  </si>
  <si>
    <t>090793</t>
  </si>
  <si>
    <t>BARTON MEMORIAL HOSPITAL</t>
  </si>
  <si>
    <t>EL DORADO</t>
  </si>
  <si>
    <t>2170 SOUTH AVENUE</t>
  </si>
  <si>
    <t>SOUTH LAKE TAHOE</t>
  </si>
  <si>
    <t>96150</t>
  </si>
  <si>
    <t>090933</t>
  </si>
  <si>
    <t>1100 MARSHALL WAY</t>
  </si>
  <si>
    <t>PLACERVILLE</t>
  </si>
  <si>
    <t>95667</t>
  </si>
  <si>
    <t>100005</t>
  </si>
  <si>
    <t>CLOVIS COMMUNITY MEDICAL CENTER</t>
  </si>
  <si>
    <t>FRESNO</t>
  </si>
  <si>
    <t>2755 HERNDON AVENUE</t>
  </si>
  <si>
    <t>CLOVIS</t>
  </si>
  <si>
    <t>93611</t>
  </si>
  <si>
    <t>100697</t>
  </si>
  <si>
    <t>COALINGA REGIONAL MEDICAL CENTER</t>
  </si>
  <si>
    <t>1191 PHELPS AVENUE</t>
  </si>
  <si>
    <t>COALINGA</t>
  </si>
  <si>
    <t>93210</t>
  </si>
  <si>
    <t>100717</t>
  </si>
  <si>
    <t>COMMUNITY REGIONAL MEDICAL CENTER-FRESNO</t>
  </si>
  <si>
    <t>2823 FRESNO STREET</t>
  </si>
  <si>
    <t>93721</t>
  </si>
  <si>
    <t>Level I</t>
  </si>
  <si>
    <t>Emergency - Comprehensive</t>
  </si>
  <si>
    <t>100797</t>
  </si>
  <si>
    <t>ADVENTIST MEDICAL CENTER - REEDLEY</t>
  </si>
  <si>
    <t>372 WEST CYPRESS AVENUE</t>
  </si>
  <si>
    <t>REEDLEY</t>
  </si>
  <si>
    <t>93654</t>
  </si>
  <si>
    <t>100899</t>
  </si>
  <si>
    <t>ST. AGNES MEDICAL CENTER</t>
  </si>
  <si>
    <t>1303 EAST HERNDON AVENUE</t>
  </si>
  <si>
    <t>93720</t>
  </si>
  <si>
    <t>104062</t>
  </si>
  <si>
    <t>7300 NORTH FRESNO STREET</t>
  </si>
  <si>
    <t>110889</t>
  </si>
  <si>
    <t>GLENN MEDICAL CENTER</t>
  </si>
  <si>
    <t>GLENN</t>
  </si>
  <si>
    <t>1133 WEST SYCAMORE STREET</t>
  </si>
  <si>
    <t>WILLOWS</t>
  </si>
  <si>
    <t>95988</t>
  </si>
  <si>
    <t>Frontier</t>
  </si>
  <si>
    <t>121002</t>
  </si>
  <si>
    <t>MAD RIVER COMMUNITY HOSPITAL</t>
  </si>
  <si>
    <t>HUMBOLDT</t>
  </si>
  <si>
    <t>3800 JANES ROAD</t>
  </si>
  <si>
    <t>ARCATA</t>
  </si>
  <si>
    <t>95521</t>
  </si>
  <si>
    <t>121031</t>
  </si>
  <si>
    <t>JEROLD PHELPS COMMUNITY HOSPITAL</t>
  </si>
  <si>
    <t>733 CEDAR STREET</t>
  </si>
  <si>
    <t>GARBERVILLE</t>
  </si>
  <si>
    <t>95542</t>
  </si>
  <si>
    <t>121051</t>
  </si>
  <si>
    <t>REDWOOD MEMORIAL HOSPITAL</t>
  </si>
  <si>
    <t>3300 RENNER DRIVE</t>
  </si>
  <si>
    <t>FORTUNA</t>
  </si>
  <si>
    <t>95540</t>
  </si>
  <si>
    <t>121080</t>
  </si>
  <si>
    <t>ST. JOSEPH HOSPITAL - EUREKA</t>
  </si>
  <si>
    <t>2700 DOLBEER STREET</t>
  </si>
  <si>
    <t>EUREKA</t>
  </si>
  <si>
    <t>95501</t>
  </si>
  <si>
    <t>130699</t>
  </si>
  <si>
    <t>EL CENTRO REGIONAL MEDICAL CENTER</t>
  </si>
  <si>
    <t>IMPERIAL</t>
  </si>
  <si>
    <t>1415 ROSS AVENUE</t>
  </si>
  <si>
    <t>EL CENTRO</t>
  </si>
  <si>
    <t>92243</t>
  </si>
  <si>
    <t>130760</t>
  </si>
  <si>
    <t>PIONEERS MEMORIAL HEALTHCARE DISTRICT</t>
  </si>
  <si>
    <t>207 WEST LEGION ROAD</t>
  </si>
  <si>
    <t>BRAWLEY</t>
  </si>
  <si>
    <t>92227</t>
  </si>
  <si>
    <t>141273</t>
  </si>
  <si>
    <t>NORTHERN INYO HOSPITAL</t>
  </si>
  <si>
    <t>INYO</t>
  </si>
  <si>
    <t>150 PIONEER LANE</t>
  </si>
  <si>
    <t>BISHOP</t>
  </si>
  <si>
    <t>93514</t>
  </si>
  <si>
    <t>141338</t>
  </si>
  <si>
    <t>SOUTHERN INYO HOSPITAL</t>
  </si>
  <si>
    <t>501 EAST LOCUST STREET</t>
  </si>
  <si>
    <t>LONE PINE</t>
  </si>
  <si>
    <t>93545</t>
  </si>
  <si>
    <t>150706</t>
  </si>
  <si>
    <t>DELANO REGIONAL MEDICAL CENTER</t>
  </si>
  <si>
    <t>KERN</t>
  </si>
  <si>
    <t>1401 GARCES HIGHWAY</t>
  </si>
  <si>
    <t>DELANO</t>
  </si>
  <si>
    <t>93215</t>
  </si>
  <si>
    <t>150722</t>
  </si>
  <si>
    <t>BAKERSFIELD</t>
  </si>
  <si>
    <t>93301</t>
  </si>
  <si>
    <t>150736</t>
  </si>
  <si>
    <t>KERN MEDICAL CENTER</t>
  </si>
  <si>
    <t>1700 MOUNT VERNON AVENUE</t>
  </si>
  <si>
    <t>93306</t>
  </si>
  <si>
    <t>150737</t>
  </si>
  <si>
    <t>KERN VALLEY HEALTHCARE DISTRICT</t>
  </si>
  <si>
    <t>6412 LAUREL AVENUE</t>
  </si>
  <si>
    <t>LAKE ISABELLA</t>
  </si>
  <si>
    <t>93240</t>
  </si>
  <si>
    <t>150761</t>
  </si>
  <si>
    <t>MERCY HOSPITAL - BAKERSFIELD</t>
  </si>
  <si>
    <t>2215 TRUXTUN AVENUE</t>
  </si>
  <si>
    <t>150782</t>
  </si>
  <si>
    <t>RIDGECREST REGIONAL HOSPITAL</t>
  </si>
  <si>
    <t>1081 NORTH CHINA LAKE BLVD.</t>
  </si>
  <si>
    <t>RIDGECREST</t>
  </si>
  <si>
    <t>93555</t>
  </si>
  <si>
    <t>150788</t>
  </si>
  <si>
    <t>SAN JOAQUIN COMMUNITY HOSPITAL</t>
  </si>
  <si>
    <t>2615 CHESTER AVENUE</t>
  </si>
  <si>
    <t>150808</t>
  </si>
  <si>
    <t>TEHACHAPI HOSPITAL</t>
  </si>
  <si>
    <t>115 WEST E STREET</t>
  </si>
  <si>
    <t>TEHACHAPI</t>
  </si>
  <si>
    <t>93561</t>
  </si>
  <si>
    <t>154101</t>
  </si>
  <si>
    <t>BAKERSFIELD HEART HOSPITAL</t>
  </si>
  <si>
    <t>Investor - Limited Liability Company</t>
  </si>
  <si>
    <t>3001 SILLECT AVENUE</t>
  </si>
  <si>
    <t>93308</t>
  </si>
  <si>
    <t>KINGS</t>
  </si>
  <si>
    <t>164029</t>
  </si>
  <si>
    <t>ADVENTIST MEDICAL CENTER</t>
  </si>
  <si>
    <t>115 MALL DRIVE</t>
  </si>
  <si>
    <t>HANFORD</t>
  </si>
  <si>
    <t>93230</t>
  </si>
  <si>
    <t>171049</t>
  </si>
  <si>
    <t>ST. HELENA HOSPITAL - CLEARLAKE</t>
  </si>
  <si>
    <t>LAKE</t>
  </si>
  <si>
    <t>15630 18TH AVE - HWY 53</t>
  </si>
  <si>
    <t>CLEARLAKE</t>
  </si>
  <si>
    <t>95422</t>
  </si>
  <si>
    <t>171395</t>
  </si>
  <si>
    <t>SUTTER LAKESIDE HOSPITAL</t>
  </si>
  <si>
    <t>5176 HILL ROAD EAST</t>
  </si>
  <si>
    <t>LAKEPORT</t>
  </si>
  <si>
    <t>95453</t>
  </si>
  <si>
    <t>184008</t>
  </si>
  <si>
    <t>BANNER LASSEN MEDICAL CENTER</t>
  </si>
  <si>
    <t>LASSEN</t>
  </si>
  <si>
    <t>1800 SPRING RIDGE DRIVE</t>
  </si>
  <si>
    <t>SUSANVILLE</t>
  </si>
  <si>
    <t>96130</t>
  </si>
  <si>
    <t>190017</t>
  </si>
  <si>
    <t>LOS ANGELES</t>
  </si>
  <si>
    <t>Investor - Partnership</t>
  </si>
  <si>
    <t>100 SOUTH RAYMOND AVENUE</t>
  </si>
  <si>
    <t>ALHAMBRA</t>
  </si>
  <si>
    <t>91801</t>
  </si>
  <si>
    <t>190034</t>
  </si>
  <si>
    <t>ANTELOPE VALLEY HOSPITAL</t>
  </si>
  <si>
    <t>1600 WEST AVENUE J</t>
  </si>
  <si>
    <t>LANCASTER</t>
  </si>
  <si>
    <t>93534</t>
  </si>
  <si>
    <t>190045</t>
  </si>
  <si>
    <t>CATALINA ISLAND MEDICAL CENTER</t>
  </si>
  <si>
    <t>100 FALLS CANYON ROAD</t>
  </si>
  <si>
    <t>AVALON</t>
  </si>
  <si>
    <t>90704</t>
  </si>
  <si>
    <t>190053</t>
  </si>
  <si>
    <t>ST. MARY MEDICAL CENTER - LONG BEACH</t>
  </si>
  <si>
    <t>1050 LINDEN AVENUE</t>
  </si>
  <si>
    <t>LONG BEACH</t>
  </si>
  <si>
    <t>90813</t>
  </si>
  <si>
    <t>190081</t>
  </si>
  <si>
    <t>BEVERLY HOSPITAL</t>
  </si>
  <si>
    <t>309 WEST BEVERLY BOULEVARD</t>
  </si>
  <si>
    <t>MONTEBELLO</t>
  </si>
  <si>
    <t>90640</t>
  </si>
  <si>
    <t>190110</t>
  </si>
  <si>
    <t>SOUTHERN CALIFORNIA HOSPITAL AT CULVER CITY</t>
  </si>
  <si>
    <t>3828 DELMAS TERRACE</t>
  </si>
  <si>
    <t>CULVER CITY</t>
  </si>
  <si>
    <t>90231</t>
  </si>
  <si>
    <t>190125</t>
  </si>
  <si>
    <t>CALIFORNIA HOSPITAL MEDICAL CENTER - LOS ANGELES</t>
  </si>
  <si>
    <t>1401 SOUTH GRAND AVENUE</t>
  </si>
  <si>
    <t>90015</t>
  </si>
  <si>
    <t>190148</t>
  </si>
  <si>
    <t>CENTINELA HOSPITAL MEDICAL CENTER</t>
  </si>
  <si>
    <t>555 EAST HARDY STREET</t>
  </si>
  <si>
    <t>INGLEWOOD</t>
  </si>
  <si>
    <t>90301</t>
  </si>
  <si>
    <t>190159</t>
  </si>
  <si>
    <t>21530 SOUTH PIONEER BOULEVARD</t>
  </si>
  <si>
    <t>HAWAIIAN GARDENS</t>
  </si>
  <si>
    <t>90716</t>
  </si>
  <si>
    <t>190170</t>
  </si>
  <si>
    <t>4650 SUNSET BOULEVARD</t>
  </si>
  <si>
    <t>90027</t>
  </si>
  <si>
    <t>190197</t>
  </si>
  <si>
    <t>COMMUNITY HOSPITAL OF HUNTINGTON PARK</t>
  </si>
  <si>
    <t>2623 EAST SLAUSON AVENUE</t>
  </si>
  <si>
    <t>HUNTINGTON PARK</t>
  </si>
  <si>
    <t>90255</t>
  </si>
  <si>
    <t>190198</t>
  </si>
  <si>
    <t>LOS ANGELES COMMUNITY HOSPITAL</t>
  </si>
  <si>
    <t>4081 EAST OLYMPIC BOULEVARD</t>
  </si>
  <si>
    <t>90023</t>
  </si>
  <si>
    <t>190200</t>
  </si>
  <si>
    <t>SAN GABRIEL VALLEY MEDICAL CENTER</t>
  </si>
  <si>
    <t>438 W. LAS TUNAS DRIVE</t>
  </si>
  <si>
    <t>SAN GABRIEL</t>
  </si>
  <si>
    <t>91776</t>
  </si>
  <si>
    <t>190240</t>
  </si>
  <si>
    <t>LAKEWOOD REGIONAL MEDICAL CENTER</t>
  </si>
  <si>
    <t>3700 EAST SOUTH STREET</t>
  </si>
  <si>
    <t>LAKEWOOD</t>
  </si>
  <si>
    <t>90712</t>
  </si>
  <si>
    <t>190243</t>
  </si>
  <si>
    <t>PIH HOSPITAL - DOWNEY</t>
  </si>
  <si>
    <t>11500 BROOKSHIRE AVENUE</t>
  </si>
  <si>
    <t>DOWNEY</t>
  </si>
  <si>
    <t>90241</t>
  </si>
  <si>
    <t>190256</t>
  </si>
  <si>
    <t>EAST LOS ANGELES DOCTORS HOSPITAL</t>
  </si>
  <si>
    <t>4060 WHITTIER BOULEVARD</t>
  </si>
  <si>
    <t>190280</t>
  </si>
  <si>
    <t>ENCINO HOSPITAL MEDICAL CENTER</t>
  </si>
  <si>
    <t>16237 VENTURA BOULEVARD</t>
  </si>
  <si>
    <t>ENCINO</t>
  </si>
  <si>
    <t>91436</t>
  </si>
  <si>
    <t>190298</t>
  </si>
  <si>
    <t>FOOTHILL PRESBYTERIAN HOSPITAL-JOHNSTON MEMORIAL</t>
  </si>
  <si>
    <t>250 SOUTH GRAND AVENUE</t>
  </si>
  <si>
    <t>GLENDORA</t>
  </si>
  <si>
    <t>91741</t>
  </si>
  <si>
    <t>190315</t>
  </si>
  <si>
    <t>GARFIELD MEDICAL CENTER</t>
  </si>
  <si>
    <t>525 NORTH GARFIELD AVENUE</t>
  </si>
  <si>
    <t>MONTEREY PARK</t>
  </si>
  <si>
    <t>91754</t>
  </si>
  <si>
    <t>190323</t>
  </si>
  <si>
    <t>GLENDALE</t>
  </si>
  <si>
    <t>91206</t>
  </si>
  <si>
    <t>190328</t>
  </si>
  <si>
    <t>GLENDORA COMMUNITY HOSPITAL</t>
  </si>
  <si>
    <t>150 WEST ROUTE 66</t>
  </si>
  <si>
    <t>91740</t>
  </si>
  <si>
    <t>190352</t>
  </si>
  <si>
    <t>GREATER EL MONTE COMMUNITY HOSPITAL</t>
  </si>
  <si>
    <t>1701 SANTA ANITA AVENUE</t>
  </si>
  <si>
    <t>SOUTH EL MONTE</t>
  </si>
  <si>
    <t>91733</t>
  </si>
  <si>
    <t>190382</t>
  </si>
  <si>
    <t>HOLLYWOOD PRESBYTERIAN MEDICAL CENTER</t>
  </si>
  <si>
    <t>1300 NORTH VERMONT AVENUE</t>
  </si>
  <si>
    <t>190385</t>
  </si>
  <si>
    <t>PROVIDENCE HOLY CROSS MEDICAL CENTER</t>
  </si>
  <si>
    <t>15031 RINALDI STREET</t>
  </si>
  <si>
    <t>MISSION HILLS</t>
  </si>
  <si>
    <t>91345</t>
  </si>
  <si>
    <t>190392</t>
  </si>
  <si>
    <t>GOOD SAMARITAN HOSPITAL-LOS ANGELES</t>
  </si>
  <si>
    <t>1225 WILSHIRE BOULEVARD</t>
  </si>
  <si>
    <t>90017</t>
  </si>
  <si>
    <t>190400</t>
  </si>
  <si>
    <t>HUNTINGTON MEMORIAL HOSPITAL</t>
  </si>
  <si>
    <t>100 W. CALIFORNIA BOULEVARD</t>
  </si>
  <si>
    <t>PASADENA</t>
  </si>
  <si>
    <t>91105</t>
  </si>
  <si>
    <t>190413</t>
  </si>
  <si>
    <t>CITRUS VALLEY MEDICAL CENTER - IC CAMPUS</t>
  </si>
  <si>
    <t>210 W. SAN BERNARDINO ROAD</t>
  </si>
  <si>
    <t>COVINA</t>
  </si>
  <si>
    <t>91723</t>
  </si>
  <si>
    <t>190422</t>
  </si>
  <si>
    <t>TORRANCE MEMORIAL MEDICAL CENTER</t>
  </si>
  <si>
    <t>TORRANCE</t>
  </si>
  <si>
    <t>190429</t>
  </si>
  <si>
    <t>4867 SUNSET BOULEVARD</t>
  </si>
  <si>
    <t>190431</t>
  </si>
  <si>
    <t>25825 SOUTH VERMONT AVENUE</t>
  </si>
  <si>
    <t>HARBOR CITY</t>
  </si>
  <si>
    <t>90710</t>
  </si>
  <si>
    <t>190432</t>
  </si>
  <si>
    <t>13652 CANTARA STREET</t>
  </si>
  <si>
    <t>PANORAMA CITY</t>
  </si>
  <si>
    <t>91402</t>
  </si>
  <si>
    <t>190434</t>
  </si>
  <si>
    <t>6041 CADILLAC AVENUE</t>
  </si>
  <si>
    <t>90034</t>
  </si>
  <si>
    <t>190470</t>
  </si>
  <si>
    <t>4101 TORRANCE BOULEVARD</t>
  </si>
  <si>
    <t>90503</t>
  </si>
  <si>
    <t>190475</t>
  </si>
  <si>
    <t>1720 TERMINO AVENUE</t>
  </si>
  <si>
    <t>90804</t>
  </si>
  <si>
    <t>190500</t>
  </si>
  <si>
    <t>MARINA DEL REY HOSPITAL</t>
  </si>
  <si>
    <t>4650 LINCOLN BOULEVARD</t>
  </si>
  <si>
    <t>MARINA DEL REY</t>
  </si>
  <si>
    <t>90292</t>
  </si>
  <si>
    <t>190517</t>
  </si>
  <si>
    <t>PROVIDENCE TARZANA MEDICAL CENTER</t>
  </si>
  <si>
    <t>18321 CLARK STREET</t>
  </si>
  <si>
    <t>TARZANA</t>
  </si>
  <si>
    <t>91356</t>
  </si>
  <si>
    <t>190521</t>
  </si>
  <si>
    <t>MEMORIAL HOSPITAL OF GARDENA</t>
  </si>
  <si>
    <t>1145 W. REDONDO BEACH BLVD.</t>
  </si>
  <si>
    <t>GARDENA</t>
  </si>
  <si>
    <t>90247</t>
  </si>
  <si>
    <t>190522</t>
  </si>
  <si>
    <t>GLENDALE MEMORIAL HOSPITAL AND HEALTH CENTER</t>
  </si>
  <si>
    <t>1420 SOUTH CENTRAL AVENUE</t>
  </si>
  <si>
    <t>91204</t>
  </si>
  <si>
    <t>190524</t>
  </si>
  <si>
    <t>MISSION COMMUNITY HOSPITAL - PANORAMA CAMPUS</t>
  </si>
  <si>
    <t>14850 ROSCOE BOULEVARD</t>
  </si>
  <si>
    <t>190525</t>
  </si>
  <si>
    <t>LONG BEACH MEMORIAL MEDICAL CENTER</t>
  </si>
  <si>
    <t>2801 ATLANTIC AVENUE</t>
  </si>
  <si>
    <t>90806</t>
  </si>
  <si>
    <t>Level II &amp; Level II - Ped</t>
  </si>
  <si>
    <t>190529</t>
  </si>
  <si>
    <t>METHODIST HOSPITAL OF SOUTHERN CALIFORNIA</t>
  </si>
  <si>
    <t>300 WEST HUNTINGTON DRIVE</t>
  </si>
  <si>
    <t>ARCADIA</t>
  </si>
  <si>
    <t>91007</t>
  </si>
  <si>
    <t>190534</t>
  </si>
  <si>
    <t>OLYMPIA MEDICAL CENTER</t>
  </si>
  <si>
    <t>90036</t>
  </si>
  <si>
    <t>190547</t>
  </si>
  <si>
    <t>MONTEREY PARK HOSPITAL</t>
  </si>
  <si>
    <t>900 SOUTH ATLANTIC BOULEVARD</t>
  </si>
  <si>
    <t>190555</t>
  </si>
  <si>
    <t>CEDARS SINAI MEDICAL CENTER</t>
  </si>
  <si>
    <t>8700 BEVERLY BOULEVARD</t>
  </si>
  <si>
    <t>90048</t>
  </si>
  <si>
    <t>Level I &amp; Level II - Ped</t>
  </si>
  <si>
    <t>190568</t>
  </si>
  <si>
    <t>NORTHRIDGE HOSPITAL MEDICAL CENTER</t>
  </si>
  <si>
    <t>18300 ROSCOE BOULEVARD</t>
  </si>
  <si>
    <t>NORTHRIDGE</t>
  </si>
  <si>
    <t>91325</t>
  </si>
  <si>
    <t>190570</t>
  </si>
  <si>
    <t>NORWALK COMMUNITY HOSPITAL</t>
  </si>
  <si>
    <t>13222 BLOOMFIELD AVENUE</t>
  </si>
  <si>
    <t>NORWALK</t>
  </si>
  <si>
    <t>90650</t>
  </si>
  <si>
    <t>190587</t>
  </si>
  <si>
    <t>COLLEGE MEDICAL CENTER</t>
  </si>
  <si>
    <t>2776 PACIFIC AVENUE</t>
  </si>
  <si>
    <t>190630</t>
  </si>
  <si>
    <t>POMONA VALLEY HOSPITAL MEDICAL CENTER</t>
  </si>
  <si>
    <t>1798 NORTH GAREY AVENUE</t>
  </si>
  <si>
    <t>POMONA</t>
  </si>
  <si>
    <t>91767</t>
  </si>
  <si>
    <t>190631</t>
  </si>
  <si>
    <t>PRESBYTERIAN INTERCOMMUNITY HOSPITAL</t>
  </si>
  <si>
    <t>12401 EAST WASHINGTON BLVD.</t>
  </si>
  <si>
    <t>WHITTIER</t>
  </si>
  <si>
    <t>90602</t>
  </si>
  <si>
    <t>190636</t>
  </si>
  <si>
    <t>CITRUS VALLEY MEDICAL CENTER - QV CAMPUS</t>
  </si>
  <si>
    <t>1115 SOUTH SUNSET AVENUE</t>
  </si>
  <si>
    <t>WEST COVINA</t>
  </si>
  <si>
    <t>91790</t>
  </si>
  <si>
    <t>190673</t>
  </si>
  <si>
    <t>SAN DIMAS COMMUNITY HOSPITAL</t>
  </si>
  <si>
    <t>1350 WEST COVINA BOULEVARD</t>
  </si>
  <si>
    <t>SAN DIMAS</t>
  </si>
  <si>
    <t>91773</t>
  </si>
  <si>
    <t>190680</t>
  </si>
  <si>
    <t>PROVIDENCE LITTLE COMPANY OF MARY MC - SAN PEDRO</t>
  </si>
  <si>
    <t>1300 WEST SEVENTH STREET</t>
  </si>
  <si>
    <t>SAN PEDRO</t>
  </si>
  <si>
    <t>90732</t>
  </si>
  <si>
    <t>190687</t>
  </si>
  <si>
    <t>Public - University of California</t>
  </si>
  <si>
    <t>1250 16TH STREET</t>
  </si>
  <si>
    <t>SANTA MONICA</t>
  </si>
  <si>
    <t>90404</t>
  </si>
  <si>
    <t>190696</t>
  </si>
  <si>
    <t>PACIFICA HOSPITAL OF THE VALLEY</t>
  </si>
  <si>
    <t>9449 SAN FERNANDO ROAD</t>
  </si>
  <si>
    <t>SUN VALLEY</t>
  </si>
  <si>
    <t>91352</t>
  </si>
  <si>
    <t>190708</t>
  </si>
  <si>
    <t>SHERMAN OAKS HOSPITAL</t>
  </si>
  <si>
    <t>4929 VAN NUYS BOULEVARD</t>
  </si>
  <si>
    <t>SHERMAN OAKS</t>
  </si>
  <si>
    <t>91403</t>
  </si>
  <si>
    <t>190754</t>
  </si>
  <si>
    <t>ST. FRANCIS MEDICAL CENTER</t>
  </si>
  <si>
    <t>3630 E. IMPERIAL HIGHWAY</t>
  </si>
  <si>
    <t>LYNWOOD</t>
  </si>
  <si>
    <t>90262</t>
  </si>
  <si>
    <t>190756</t>
  </si>
  <si>
    <t>190758</t>
  </si>
  <si>
    <t>PROVIDENCE SAINT JOSEPH MEDICAL CENTER</t>
  </si>
  <si>
    <t>501 SO. BUENA VISTA</t>
  </si>
  <si>
    <t>BURBANK</t>
  </si>
  <si>
    <t>190762</t>
  </si>
  <si>
    <t>ST. VINCENT MEDICAL CENTER</t>
  </si>
  <si>
    <t>2131 WEST 3RD STREET</t>
  </si>
  <si>
    <t>90057</t>
  </si>
  <si>
    <t>190766</t>
  </si>
  <si>
    <t>COAST PLAZA HOSPITAL</t>
  </si>
  <si>
    <t>13100 SOUTH STUDEBAKER ROAD</t>
  </si>
  <si>
    <t>190796</t>
  </si>
  <si>
    <t>RONALD REAGAN UCLA MEDICAL CENTER</t>
  </si>
  <si>
    <t>757 WESTWOOD PLAZA</t>
  </si>
  <si>
    <t>90095</t>
  </si>
  <si>
    <t>Level I &amp; Level I - Ped</t>
  </si>
  <si>
    <t>190812</t>
  </si>
  <si>
    <t>VALLEY PRESBYTERIAN HOSPITAL</t>
  </si>
  <si>
    <t>15107 VAN OWEN STREET</t>
  </si>
  <si>
    <t>VAN NUYS</t>
  </si>
  <si>
    <t>91405</t>
  </si>
  <si>
    <t>190818</t>
  </si>
  <si>
    <t>USC VERDUGO HILLS HOSPITAL</t>
  </si>
  <si>
    <t>1812 VERDUGO BOULEVARD</t>
  </si>
  <si>
    <t>91208</t>
  </si>
  <si>
    <t>190859</t>
  </si>
  <si>
    <t>WEST HILLS HOSPITAL AND MEDICAL CENTER</t>
  </si>
  <si>
    <t>7300 MEDICAL CENTER DRIVE</t>
  </si>
  <si>
    <t>91307</t>
  </si>
  <si>
    <t>190878</t>
  </si>
  <si>
    <t>WHITE MEMORIAL MEDICAL CENTER</t>
  </si>
  <si>
    <t>1720 CESAR E. CHAVEZ AVENUE</t>
  </si>
  <si>
    <t>90033</t>
  </si>
  <si>
    <t>190883</t>
  </si>
  <si>
    <t>WHITTIER HOSPITAL MEDICAL CENTER</t>
  </si>
  <si>
    <t>9080 COLIMA ROAD</t>
  </si>
  <si>
    <t>90605</t>
  </si>
  <si>
    <t>190949</t>
  </si>
  <si>
    <t>HENRY MAYO NEWHALL HOSPITAL</t>
  </si>
  <si>
    <t>23845 WEST MCBEAN PARKWAY</t>
  </si>
  <si>
    <t>VALENCIA</t>
  </si>
  <si>
    <t>91355</t>
  </si>
  <si>
    <t>191227</t>
  </si>
  <si>
    <t>LAC/HARBOR-UCLA MEDICAL CENTER</t>
  </si>
  <si>
    <t>1000 WEST CARSON STREET</t>
  </si>
  <si>
    <t>90502</t>
  </si>
  <si>
    <t>191228</t>
  </si>
  <si>
    <t>LAC+USC MEDICAL CENTER</t>
  </si>
  <si>
    <t>1200 NORTH STATE STREET</t>
  </si>
  <si>
    <t>191231</t>
  </si>
  <si>
    <t>LOS ANGELES COUNTY OLIVE VIEW-UCLA MEDICAL CENTER</t>
  </si>
  <si>
    <t>14445 OLIVE VIEW DRIVE</t>
  </si>
  <si>
    <t>SYLMAR</t>
  </si>
  <si>
    <t>91342</t>
  </si>
  <si>
    <t>90242</t>
  </si>
  <si>
    <t>191450</t>
  </si>
  <si>
    <t>5601 DE SOTO AVENUE</t>
  </si>
  <si>
    <t>WOODLAND HILLS</t>
  </si>
  <si>
    <t>91367</t>
  </si>
  <si>
    <t>196035</t>
  </si>
  <si>
    <t>1011 BALDWIN PARK BLVD.</t>
  </si>
  <si>
    <t>BALDWIN PARK</t>
  </si>
  <si>
    <t>91706</t>
  </si>
  <si>
    <t>196403</t>
  </si>
  <si>
    <t>KAISER FOUNDATION HOSPITAL - DOWNEY</t>
  </si>
  <si>
    <t>9333 IMPERIAL HIGHWAY</t>
  </si>
  <si>
    <t>196405</t>
  </si>
  <si>
    <t>PALMDALE REGIONAL MEDICAL CENTER</t>
  </si>
  <si>
    <t>38600 MEDICAL CENTER DRIVE</t>
  </si>
  <si>
    <t>PALMDALE</t>
  </si>
  <si>
    <t>93551</t>
  </si>
  <si>
    <t>201281</t>
  </si>
  <si>
    <t>MADERA COMMUNITY HOSPITAL</t>
  </si>
  <si>
    <t>MADERA</t>
  </si>
  <si>
    <t>1250 EAST ALMOND AVENUE</t>
  </si>
  <si>
    <t>93637</t>
  </si>
  <si>
    <t>204019</t>
  </si>
  <si>
    <t>210992</t>
  </si>
  <si>
    <t>MARIN</t>
  </si>
  <si>
    <t>99 MONTECILLO ROAD</t>
  </si>
  <si>
    <t>SAN RAFAEL</t>
  </si>
  <si>
    <t>94903</t>
  </si>
  <si>
    <t>211006</t>
  </si>
  <si>
    <t>MARIN GENERAL HOSPITAL</t>
  </si>
  <si>
    <t>250 BON AIR ROAD</t>
  </si>
  <si>
    <t>GREENBRAE</t>
  </si>
  <si>
    <t>94904</t>
  </si>
  <si>
    <t>214034</t>
  </si>
  <si>
    <t>NOVATO COMMUNITY HOSPITAL</t>
  </si>
  <si>
    <t>NOVATO</t>
  </si>
  <si>
    <t>94945</t>
  </si>
  <si>
    <t>220733</t>
  </si>
  <si>
    <t>JOHN C FREMONT HEALTHCARE DISTRICT</t>
  </si>
  <si>
    <t>MARIPOSA</t>
  </si>
  <si>
    <t>5189 HOSPITAL RD., PO BOX 216</t>
  </si>
  <si>
    <t>95338</t>
  </si>
  <si>
    <t>230949</t>
  </si>
  <si>
    <t>FRANK R HOWARD MEMORIAL HOSPITAL</t>
  </si>
  <si>
    <t>MENDOCINO</t>
  </si>
  <si>
    <t>1 MADRONE STREET</t>
  </si>
  <si>
    <t>WILLITS</t>
  </si>
  <si>
    <t>95490</t>
  </si>
  <si>
    <t>231013</t>
  </si>
  <si>
    <t>MENDOCINO COAST DISTRICT HOSPITAL</t>
  </si>
  <si>
    <t>700 RIVER DRIVE</t>
  </si>
  <si>
    <t>FORT BRAGG</t>
  </si>
  <si>
    <t>95437</t>
  </si>
  <si>
    <t>231396</t>
  </si>
  <si>
    <t>275 HOSPITAL DRIVE</t>
  </si>
  <si>
    <t>UKIAH</t>
  </si>
  <si>
    <t>95482</t>
  </si>
  <si>
    <t>240924</t>
  </si>
  <si>
    <t>MEMORIAL HOSPITAL LOS BANOS</t>
  </si>
  <si>
    <t>MERCED</t>
  </si>
  <si>
    <t>520 WEST I STREET</t>
  </si>
  <si>
    <t>LOS BANOS</t>
  </si>
  <si>
    <t>93635</t>
  </si>
  <si>
    <t>240942</t>
  </si>
  <si>
    <t>MERCY MEDICAL CENTER - MERCED</t>
  </si>
  <si>
    <t>333  MERCY AVENUE</t>
  </si>
  <si>
    <t>95340</t>
  </si>
  <si>
    <t>250955</t>
  </si>
  <si>
    <t>SURPRISE VALLEY COMMUNITY HOSPITAL</t>
  </si>
  <si>
    <t>MODOC</t>
  </si>
  <si>
    <t>CEDARVILLE</t>
  </si>
  <si>
    <t>96104</t>
  </si>
  <si>
    <t>250956</t>
  </si>
  <si>
    <t>MODOC MEDICAL CENTER</t>
  </si>
  <si>
    <t>228 WEST MCDOWELL AVENUE</t>
  </si>
  <si>
    <t>ALTURAS</t>
  </si>
  <si>
    <t>96101</t>
  </si>
  <si>
    <t>260011</t>
  </si>
  <si>
    <t>MAMMOTH HOSPITAL</t>
  </si>
  <si>
    <t>MONO</t>
  </si>
  <si>
    <t>85 SIERRA PARK ROAD</t>
  </si>
  <si>
    <t>MAMMOTH LAKES</t>
  </si>
  <si>
    <t>93546</t>
  </si>
  <si>
    <t>270744</t>
  </si>
  <si>
    <t>MONTEREY</t>
  </si>
  <si>
    <t>23625 W. R. HOLMAN HIGHWAY</t>
  </si>
  <si>
    <t>93940</t>
  </si>
  <si>
    <t>270777</t>
  </si>
  <si>
    <t>GEORGE L MEE MEMORIAL HOSPITAL</t>
  </si>
  <si>
    <t>300 CANAL STREET</t>
  </si>
  <si>
    <t>KING CITY</t>
  </si>
  <si>
    <t>93930</t>
  </si>
  <si>
    <t>270875</t>
  </si>
  <si>
    <t>SALINAS VALLEY MEMORIAL HOSPITAL</t>
  </si>
  <si>
    <t>450 EAST ROMIE LANE</t>
  </si>
  <si>
    <t>SALINAS</t>
  </si>
  <si>
    <t>93901</t>
  </si>
  <si>
    <t>274043</t>
  </si>
  <si>
    <t>NATIVIDAD MEDICAL CENTER</t>
  </si>
  <si>
    <t>1441 CONSTITUTION BOULEVARD</t>
  </si>
  <si>
    <t>93906</t>
  </si>
  <si>
    <t>281047</t>
  </si>
  <si>
    <t>NAPA</t>
  </si>
  <si>
    <t>1000 TRANCAS STREET</t>
  </si>
  <si>
    <t>94558</t>
  </si>
  <si>
    <t>281078</t>
  </si>
  <si>
    <t>ST. HELENA HOSPITAL</t>
  </si>
  <si>
    <t>10 WOODLAND RD.</t>
  </si>
  <si>
    <t>ST. HELENA</t>
  </si>
  <si>
    <t>94574</t>
  </si>
  <si>
    <t>291023</t>
  </si>
  <si>
    <t>SIERRA NEVADA MEMORIAL HOSPITAL</t>
  </si>
  <si>
    <t>NEVADA</t>
  </si>
  <si>
    <t>155 GLASSON WAY</t>
  </si>
  <si>
    <t>GRASS VALLEY</t>
  </si>
  <si>
    <t>95945</t>
  </si>
  <si>
    <t>291053</t>
  </si>
  <si>
    <t>TAHOE FOREST HOSPITAL</t>
  </si>
  <si>
    <t>10121 PINE AVE</t>
  </si>
  <si>
    <t>TRUCKEE</t>
  </si>
  <si>
    <t>96161</t>
  </si>
  <si>
    <t>300032</t>
  </si>
  <si>
    <t>ORANGE</t>
  </si>
  <si>
    <t>92868</t>
  </si>
  <si>
    <t>300225</t>
  </si>
  <si>
    <t>ORANGE COAST MEMORIAL MEDICAL CENTER</t>
  </si>
  <si>
    <t>9920 TALBERT AVENUE</t>
  </si>
  <si>
    <t>FOUNTAIN VALLEY</t>
  </si>
  <si>
    <t>92708</t>
  </si>
  <si>
    <t>ANAHEIM</t>
  </si>
  <si>
    <t>92804</t>
  </si>
  <si>
    <t>301098</t>
  </si>
  <si>
    <t>AHMC ANAHEIM REGIONAL MEDICAL CENTER</t>
  </si>
  <si>
    <t>1111 WEST LA PALMA AVENUE</t>
  </si>
  <si>
    <t>92801</t>
  </si>
  <si>
    <t>301140</t>
  </si>
  <si>
    <t>2601 EAST CHAPMAN AVENUE</t>
  </si>
  <si>
    <t>92869</t>
  </si>
  <si>
    <t>301175</t>
  </si>
  <si>
    <t>17100 EUCLID STREET</t>
  </si>
  <si>
    <t>301188</t>
  </si>
  <si>
    <t>1025 SOUTH ANAHEIM BLVD.</t>
  </si>
  <si>
    <t>92805</t>
  </si>
  <si>
    <t>301205</t>
  </si>
  <si>
    <t>HOAG MEMORIAL HOSPITAL PRESBYTERIAN</t>
  </si>
  <si>
    <t>1 HOAG DRIVE</t>
  </si>
  <si>
    <t>NEWPORT BEACH</t>
  </si>
  <si>
    <t>92663</t>
  </si>
  <si>
    <t>301209</t>
  </si>
  <si>
    <t>HUNTINGTON BEACH HOSPITAL</t>
  </si>
  <si>
    <t>17772 BEACH BOULEVARD</t>
  </si>
  <si>
    <t>HUNTINGTON BEACH</t>
  </si>
  <si>
    <t>92647</t>
  </si>
  <si>
    <t>301234</t>
  </si>
  <si>
    <t>LA PALMA INTERCOMMUNITY HOSPITAL</t>
  </si>
  <si>
    <t>7901 WALKER STREET</t>
  </si>
  <si>
    <t>LA PALMA</t>
  </si>
  <si>
    <t>90623</t>
  </si>
  <si>
    <t>301248</t>
  </si>
  <si>
    <t>LOS ALAMITOS MEDICAL CENTER</t>
  </si>
  <si>
    <t>3751 KATELLA AVENUE</t>
  </si>
  <si>
    <t>LOS ALAMITOS</t>
  </si>
  <si>
    <t>90720</t>
  </si>
  <si>
    <t>301258</t>
  </si>
  <si>
    <t>2701 S. BRISTOL STREET</t>
  </si>
  <si>
    <t>SANTA ANA</t>
  </si>
  <si>
    <t>92704</t>
  </si>
  <si>
    <t>301262</t>
  </si>
  <si>
    <t>MISSION HOSPITAL REGIONAL MEDICAL CENTER</t>
  </si>
  <si>
    <t>27700 MEDICAL CENTER ROAD</t>
  </si>
  <si>
    <t>MISSION VIEJO</t>
  </si>
  <si>
    <t>92691</t>
  </si>
  <si>
    <t>301279</t>
  </si>
  <si>
    <t>UNIVERSITY OF CALIFORNIA IRVINE MEDICAL CENTER</t>
  </si>
  <si>
    <t>101 CITY DRIVE SOUTH</t>
  </si>
  <si>
    <t>301283</t>
  </si>
  <si>
    <t>GARDEN GROVE HOSPITAL AND MEDICAL CENTER</t>
  </si>
  <si>
    <t>12601 GARDEN GROVE BLVD.</t>
  </si>
  <si>
    <t>GARDEN GROVE</t>
  </si>
  <si>
    <t>301297</t>
  </si>
  <si>
    <t>PLACENTIA LINDA HOSPITAL</t>
  </si>
  <si>
    <t>1301 NORTH ROSE DRIVE</t>
  </si>
  <si>
    <t>PLACENTIA</t>
  </si>
  <si>
    <t>92870</t>
  </si>
  <si>
    <t>301317</t>
  </si>
  <si>
    <t>SADDLEBACK MEMORIAL MEDICAL CENTER</t>
  </si>
  <si>
    <t>24451 HEALTH CENTER DRIVE</t>
  </si>
  <si>
    <t>LAGUNA HILLS</t>
  </si>
  <si>
    <t>92653</t>
  </si>
  <si>
    <t>301337</t>
  </si>
  <si>
    <t>MISSION HOSPITAL LAGUNA BEACH</t>
  </si>
  <si>
    <t>31872 COAST HIGHWAY</t>
  </si>
  <si>
    <t>LAGUNA BEACH</t>
  </si>
  <si>
    <t>92651</t>
  </si>
  <si>
    <t>301340</t>
  </si>
  <si>
    <t>ST. JOSEPH HOSPITAL - ORANGE</t>
  </si>
  <si>
    <t>1100 WEST STEWART DRIVE</t>
  </si>
  <si>
    <t>301342</t>
  </si>
  <si>
    <t>ST. JUDE MEDICAL CENTER</t>
  </si>
  <si>
    <t>101 EAST VALENCIA MESA DRIVE</t>
  </si>
  <si>
    <t>FULLERTON</t>
  </si>
  <si>
    <t>92835</t>
  </si>
  <si>
    <t>301379</t>
  </si>
  <si>
    <t>WEST ANAHEIM MEDICAL CENTER</t>
  </si>
  <si>
    <t>3033 WEST ORANGE AVENUE</t>
  </si>
  <si>
    <t>301566</t>
  </si>
  <si>
    <t>1001 NORTH TUSTIN AVENUE</t>
  </si>
  <si>
    <t>92705</t>
  </si>
  <si>
    <t>304113</t>
  </si>
  <si>
    <t>27700 MEDICAL CTR. RD., 5TH FL</t>
  </si>
  <si>
    <t>304409</t>
  </si>
  <si>
    <t>3440 E LA PALMA AVE</t>
  </si>
  <si>
    <t>92806</t>
  </si>
  <si>
    <t>310791</t>
  </si>
  <si>
    <t>SUTTER AUBURN FAITH HOSPITAL</t>
  </si>
  <si>
    <t>PLACER</t>
  </si>
  <si>
    <t>11815 EDUCATION STREET</t>
  </si>
  <si>
    <t>AUBURN</t>
  </si>
  <si>
    <t>95602</t>
  </si>
  <si>
    <t>311000</t>
  </si>
  <si>
    <t>SUTTER ROSEVILLE MEDICAL CENTER</t>
  </si>
  <si>
    <t>ONE MEDICAL PLAZA</t>
  </si>
  <si>
    <t>ROSEVILLE</t>
  </si>
  <si>
    <t>95661</t>
  </si>
  <si>
    <t>314024</t>
  </si>
  <si>
    <t>1600 EUREKA ROAD</t>
  </si>
  <si>
    <t>320859</t>
  </si>
  <si>
    <t>EASTERN PLUMAS HOSPITAL-PORTOLA CAMPUS</t>
  </si>
  <si>
    <t>PLUMAS</t>
  </si>
  <si>
    <t>500 1ST STREET</t>
  </si>
  <si>
    <t>PORTOLA</t>
  </si>
  <si>
    <t>96122</t>
  </si>
  <si>
    <t>320986</t>
  </si>
  <si>
    <t>PLUMAS DISTRICT HOSPITAL</t>
  </si>
  <si>
    <t>1065 BUCKS LAKE ROAD</t>
  </si>
  <si>
    <t>QUINCY</t>
  </si>
  <si>
    <t>95971</t>
  </si>
  <si>
    <t>321016</t>
  </si>
  <si>
    <t>130 BRENTWOOD DRIVE</t>
  </si>
  <si>
    <t>CHESTER</t>
  </si>
  <si>
    <t>96020</t>
  </si>
  <si>
    <t>331152</t>
  </si>
  <si>
    <t>CORONA REGIONAL MEDICAL CENTER-MAIN</t>
  </si>
  <si>
    <t>RIVERSIDE</t>
  </si>
  <si>
    <t>800 SOUTH MAIN STREET</t>
  </si>
  <si>
    <t>CORONA</t>
  </si>
  <si>
    <t>92882</t>
  </si>
  <si>
    <t>331164</t>
  </si>
  <si>
    <t>DESERT REGIONAL MEDICAL CENTER</t>
  </si>
  <si>
    <t>1150 NORTH INDIAN CANYON DRIVE</t>
  </si>
  <si>
    <t>PALM SPRINGS</t>
  </si>
  <si>
    <t>92262</t>
  </si>
  <si>
    <t>331168</t>
  </si>
  <si>
    <t>EISENHOWER MEDICAL CENTER</t>
  </si>
  <si>
    <t>39000 BOB HOPE DRIVE</t>
  </si>
  <si>
    <t>RANCHO MIRAGE</t>
  </si>
  <si>
    <t>92270</t>
  </si>
  <si>
    <t>331194</t>
  </si>
  <si>
    <t>HEMET VALLEY MEDICAL CENTER</t>
  </si>
  <si>
    <t>1117 EAST DEVONSHIRE</t>
  </si>
  <si>
    <t>HEMET</t>
  </si>
  <si>
    <t>92543</t>
  </si>
  <si>
    <t>331216</t>
  </si>
  <si>
    <t>JOHN F KENNEDY MEMORIAL HOSPITAL</t>
  </si>
  <si>
    <t>47111 MONROE STREET</t>
  </si>
  <si>
    <t>INDIO</t>
  </si>
  <si>
    <t>92201</t>
  </si>
  <si>
    <t>331288</t>
  </si>
  <si>
    <t>PALO VERDE HOSPITAL</t>
  </si>
  <si>
    <t>250 NORTH FIRST STREET</t>
  </si>
  <si>
    <t>BLYTHE</t>
  </si>
  <si>
    <t>92225</t>
  </si>
  <si>
    <t>331293</t>
  </si>
  <si>
    <t>PARKVIEW COMMUNITY HOSPITAL MEDICAL CENTER</t>
  </si>
  <si>
    <t>3865 JACKSON STREET</t>
  </si>
  <si>
    <t>92503</t>
  </si>
  <si>
    <t>331312</t>
  </si>
  <si>
    <t>RIVERSIDE COMMUNITY HOSPITAL</t>
  </si>
  <si>
    <t>4445 MAGNOLIA AVENUE</t>
  </si>
  <si>
    <t>92501</t>
  </si>
  <si>
    <t>331326</t>
  </si>
  <si>
    <t>SAN GORGONIO MEMORIAL HOSPITAL</t>
  </si>
  <si>
    <t>600 HIGHLAND SPRINGS AVENUE</t>
  </si>
  <si>
    <t>BANNING</t>
  </si>
  <si>
    <t>92220</t>
  </si>
  <si>
    <t>334018</t>
  </si>
  <si>
    <t>MENIFEE VALLEY MEDICAL CENTER</t>
  </si>
  <si>
    <t>28400 MCCALL BOULEVARD</t>
  </si>
  <si>
    <t>SUN CITY</t>
  </si>
  <si>
    <t>92585</t>
  </si>
  <si>
    <t>334025</t>
  </si>
  <si>
    <t>10800 MAGNOLIA AVENUE</t>
  </si>
  <si>
    <t>92505</t>
  </si>
  <si>
    <t>334048</t>
  </si>
  <si>
    <t>27300 IRIS AVENUE</t>
  </si>
  <si>
    <t>MORENO VALLEY</t>
  </si>
  <si>
    <t>92555</t>
  </si>
  <si>
    <t>334068</t>
  </si>
  <si>
    <t>SOUTHWEST HEALTHCARE SYSTEM-MURRIETA</t>
  </si>
  <si>
    <t>25500 MEDICAL CENTER DRIVE</t>
  </si>
  <si>
    <t>MURRIETA</t>
  </si>
  <si>
    <t>92562</t>
  </si>
  <si>
    <t>334487</t>
  </si>
  <si>
    <t>RIVERSIDE COUNTY REGIONAL MEDICAL CENTER</t>
  </si>
  <si>
    <t>26520 CACTUS AVENUE</t>
  </si>
  <si>
    <t>334564</t>
  </si>
  <si>
    <t>TEMECULA VALLEY HOSPITAL</t>
  </si>
  <si>
    <t>31700 TEMECULA PKWY</t>
  </si>
  <si>
    <t>TEMECULA</t>
  </si>
  <si>
    <t>92592</t>
  </si>
  <si>
    <t>334589</t>
  </si>
  <si>
    <t>LOMA LINDA UNIVERSITY MEDICAL CENTER-MURRIETA</t>
  </si>
  <si>
    <t>28062 BAXTER ROAD</t>
  </si>
  <si>
    <t>92563</t>
  </si>
  <si>
    <t>340913</t>
  </si>
  <si>
    <t>SACRAMENTO</t>
  </si>
  <si>
    <t>2025 MORSE AVENUE</t>
  </si>
  <si>
    <t>95825</t>
  </si>
  <si>
    <t>340947</t>
  </si>
  <si>
    <t>MERCY GENERAL HOSPITAL</t>
  </si>
  <si>
    <t>4001 J STREET</t>
  </si>
  <si>
    <t>95819</t>
  </si>
  <si>
    <t>340950</t>
  </si>
  <si>
    <t>MERCY SAN JUAN HOSPITAL</t>
  </si>
  <si>
    <t>6501 COYLE AVENUE</t>
  </si>
  <si>
    <t>CARMICHAEL</t>
  </si>
  <si>
    <t>95608</t>
  </si>
  <si>
    <t>340951</t>
  </si>
  <si>
    <t>METHODIST HOSPITAL OF SACRAMENTO</t>
  </si>
  <si>
    <t>7500 HOSPITAL DRIVE</t>
  </si>
  <si>
    <t>95823</t>
  </si>
  <si>
    <t>341006</t>
  </si>
  <si>
    <t>UNIVERSITY OF CALIFORNIA DAVIS MEDICAL CENTER</t>
  </si>
  <si>
    <t>2315 STOCKTON BOULEVARD</t>
  </si>
  <si>
    <t>95817</t>
  </si>
  <si>
    <t>341051</t>
  </si>
  <si>
    <t>95816</t>
  </si>
  <si>
    <t>341052</t>
  </si>
  <si>
    <t>SUTTER MEMORIAL HOSPITAL</t>
  </si>
  <si>
    <t>5151 F STREET</t>
  </si>
  <si>
    <t>342344</t>
  </si>
  <si>
    <t>6600 BRUCEVILLE ROAD</t>
  </si>
  <si>
    <t>344029</t>
  </si>
  <si>
    <t>1650 CREEKSIDE DRIVE</t>
  </si>
  <si>
    <t>FOLSOM</t>
  </si>
  <si>
    <t>95630</t>
  </si>
  <si>
    <t>350784</t>
  </si>
  <si>
    <t>HAZEL HAWKINS MEMORIAL HOSPITAL</t>
  </si>
  <si>
    <t>SAN BENITO</t>
  </si>
  <si>
    <t>911 SUNSET DRIVE</t>
  </si>
  <si>
    <t>HOLLISTER</t>
  </si>
  <si>
    <t>95023</t>
  </si>
  <si>
    <t>361110</t>
  </si>
  <si>
    <t>BEAR VALLEY COMMUNITY HOSPITAL</t>
  </si>
  <si>
    <t>SAN BERNARDINO</t>
  </si>
  <si>
    <t>41870 GARSTIN DRIVE</t>
  </si>
  <si>
    <t>BIG BEAR LAKE</t>
  </si>
  <si>
    <t>92315</t>
  </si>
  <si>
    <t>361144</t>
  </si>
  <si>
    <t>CHINO VALLEY MEDICAL CENTER</t>
  </si>
  <si>
    <t>5451 WALNUT AVENUE</t>
  </si>
  <si>
    <t>CHINO</t>
  </si>
  <si>
    <t>91710</t>
  </si>
  <si>
    <t>361166</t>
  </si>
  <si>
    <t>MONTCLAIR HOSPITAL MEDICAL CENTER</t>
  </si>
  <si>
    <t>5000 SAN BERNARDINO STREET</t>
  </si>
  <si>
    <t>MONTCLAIR</t>
  </si>
  <si>
    <t>91763</t>
  </si>
  <si>
    <t>361223</t>
  </si>
  <si>
    <t>9961 SIERRA AVENUE</t>
  </si>
  <si>
    <t>FONTANA</t>
  </si>
  <si>
    <t>92335</t>
  </si>
  <si>
    <t>361246</t>
  </si>
  <si>
    <t>LOMA LINDA UNIVERSITY MEDICAL CENTER</t>
  </si>
  <si>
    <t>11234 ANDERSON STREET</t>
  </si>
  <si>
    <t>LOMA LINDA</t>
  </si>
  <si>
    <t>92354</t>
  </si>
  <si>
    <t>361266</t>
  </si>
  <si>
    <t>MOUNTAINS COMMUNITY HOSPITAL</t>
  </si>
  <si>
    <t>29101 HOSPITAL ROAD</t>
  </si>
  <si>
    <t>LAKE ARROWHEAD</t>
  </si>
  <si>
    <t>92352</t>
  </si>
  <si>
    <t>361308</t>
  </si>
  <si>
    <t>REDLANDS COMMUNITY HOSPITAL</t>
  </si>
  <si>
    <t>350 TERRACINA BOULEVARD</t>
  </si>
  <si>
    <t>REDLANDS</t>
  </si>
  <si>
    <t>92373</t>
  </si>
  <si>
    <t>361318</t>
  </si>
  <si>
    <t>SAN ANTONIO COMMUNITY HOSPITAL</t>
  </si>
  <si>
    <t>999 SAN BERNARDINO ROAD</t>
  </si>
  <si>
    <t>UPLAND</t>
  </si>
  <si>
    <t>91786</t>
  </si>
  <si>
    <t>361323</t>
  </si>
  <si>
    <t>COMMUNITY HOSPITAL OF SAN BERNARDINO</t>
  </si>
  <si>
    <t>1805 MEDICAL CENTER DRIVE</t>
  </si>
  <si>
    <t>92411</t>
  </si>
  <si>
    <t>361339</t>
  </si>
  <si>
    <t>ST. BERNARDINE MEDICAL CENTER</t>
  </si>
  <si>
    <t>2101 NORTH WATERMAN AVENUE</t>
  </si>
  <si>
    <t>92404</t>
  </si>
  <si>
    <t>361343</t>
  </si>
  <si>
    <t>ST. MARY MEDICAL CENTER - APPLE VALLEY</t>
  </si>
  <si>
    <t>18300 US HIGHWAY 18</t>
  </si>
  <si>
    <t>APPLE VALLEY</t>
  </si>
  <si>
    <t>92307</t>
  </si>
  <si>
    <t>361370</t>
  </si>
  <si>
    <t>VICTOR VALLEY GLOBAL MEDICAL CENTER</t>
  </si>
  <si>
    <t>15248 ELEVENTH STREET</t>
  </si>
  <si>
    <t>VICTORVILLE</t>
  </si>
  <si>
    <t>92395</t>
  </si>
  <si>
    <t>361458</t>
  </si>
  <si>
    <t>COLORADO RIVER MEDICAL CENTER</t>
  </si>
  <si>
    <t>1401 BAILEY AVENUE</t>
  </si>
  <si>
    <t>NEEDLES</t>
  </si>
  <si>
    <t>92363</t>
  </si>
  <si>
    <t>362041</t>
  </si>
  <si>
    <t>HI-DESERT MEDICAL CENTER</t>
  </si>
  <si>
    <t>6601 WHITE FEATHER ROAD</t>
  </si>
  <si>
    <t>JOSHUA TREE</t>
  </si>
  <si>
    <t>92252</t>
  </si>
  <si>
    <t>364144</t>
  </si>
  <si>
    <t>DESERT VALLEY HOSPITAL</t>
  </si>
  <si>
    <t>16850 BEAR VALLEY ROAD</t>
  </si>
  <si>
    <t>364231</t>
  </si>
  <si>
    <t>ARROWHEAD REGIONAL MEDICAL CENTER</t>
  </si>
  <si>
    <t>400 N. PEPPER AVENUE</t>
  </si>
  <si>
    <t>COLTON</t>
  </si>
  <si>
    <t>364430</t>
  </si>
  <si>
    <t>BARSTOW COMMUNITY HOSPITAL</t>
  </si>
  <si>
    <t>820 EAST MOUNTAIN VIEW ST</t>
  </si>
  <si>
    <t>BARSTOW</t>
  </si>
  <si>
    <t>92311</t>
  </si>
  <si>
    <t>370652</t>
  </si>
  <si>
    <t>ALVARADO HOSPITAL MEDICAL CENTER</t>
  </si>
  <si>
    <t>SAN DIEGO</t>
  </si>
  <si>
    <t>6655 ALVARADO ROAD</t>
  </si>
  <si>
    <t>92120</t>
  </si>
  <si>
    <t>370673</t>
  </si>
  <si>
    <t>92123</t>
  </si>
  <si>
    <t>Level II - Pediatric</t>
  </si>
  <si>
    <t>370689</t>
  </si>
  <si>
    <t>SHARP CORONADO HOSPITAL AND HEALTHCARE CENTER</t>
  </si>
  <si>
    <t>250 PROSPECT PLACE</t>
  </si>
  <si>
    <t>CORONADO</t>
  </si>
  <si>
    <t>92118</t>
  </si>
  <si>
    <t>370694</t>
  </si>
  <si>
    <t>SHARP MEMORIAL HOSPITAL</t>
  </si>
  <si>
    <t>7901 FROST STREET</t>
  </si>
  <si>
    <t>370714</t>
  </si>
  <si>
    <t>GROSSMONT HOSPITAL</t>
  </si>
  <si>
    <t>5555 GROSSMONT CENTER DRIVE</t>
  </si>
  <si>
    <t>LA MESA</t>
  </si>
  <si>
    <t>91942</t>
  </si>
  <si>
    <t>370730</t>
  </si>
  <si>
    <t>4647 ZION AVENUE</t>
  </si>
  <si>
    <t>370744</t>
  </si>
  <si>
    <t>SCRIPPS MERCY HOSPITAL</t>
  </si>
  <si>
    <t>4077 FIFTH AVENUE</t>
  </si>
  <si>
    <t>92103</t>
  </si>
  <si>
    <t>370755</t>
  </si>
  <si>
    <t>PALOMAR HEALTH DOWNTOWN CAMPUS</t>
  </si>
  <si>
    <t>555 E. VALLEY PARKWAY</t>
  </si>
  <si>
    <t>ESCONDIDO</t>
  </si>
  <si>
    <t>92025</t>
  </si>
  <si>
    <t>370759</t>
  </si>
  <si>
    <t>PARADISE VALLEY HOSPITAL</t>
  </si>
  <si>
    <t>2400 EAST FOURTH STREET</t>
  </si>
  <si>
    <t>NATIONAL CITY</t>
  </si>
  <si>
    <t>91950</t>
  </si>
  <si>
    <t>370771</t>
  </si>
  <si>
    <t>SCRIPPS MEMORIAL HOSPITAL - LA JOLLA</t>
  </si>
  <si>
    <t>9888 GENESEE AVENUE</t>
  </si>
  <si>
    <t>LA JOLLA</t>
  </si>
  <si>
    <t>92037</t>
  </si>
  <si>
    <t>370780</t>
  </si>
  <si>
    <t>TRI-CITY MEDICAL CENTER</t>
  </si>
  <si>
    <t>4002 VISTA WAY</t>
  </si>
  <si>
    <t>OCEANSIDE</t>
  </si>
  <si>
    <t>92056</t>
  </si>
  <si>
    <t>370782</t>
  </si>
  <si>
    <t>UNIVERSITY OF CALIF-SAN DIEGO MEDICAL CENTER</t>
  </si>
  <si>
    <t>200 WEST ARBOR DRIVE</t>
  </si>
  <si>
    <t>370875</t>
  </si>
  <si>
    <t>SHARP CHULA VISTA MEDICAL CENTER</t>
  </si>
  <si>
    <t>751 MEDICAL CENTER COURT</t>
  </si>
  <si>
    <t>CHULA VISTA</t>
  </si>
  <si>
    <t>91911</t>
  </si>
  <si>
    <t>370977</t>
  </si>
  <si>
    <t>POMERADO HOSPITAL</t>
  </si>
  <si>
    <t>15615 POMERADO ROAD</t>
  </si>
  <si>
    <t>POWAY</t>
  </si>
  <si>
    <t>92064</t>
  </si>
  <si>
    <t>371394</t>
  </si>
  <si>
    <t>SCRIPPS MEMORIAL HOSPITAL - ENCINITAS</t>
  </si>
  <si>
    <t>354 SANTA FE DRIVE</t>
  </si>
  <si>
    <t>ENCINITAS</t>
  </si>
  <si>
    <t>92024</t>
  </si>
  <si>
    <t>380857</t>
  </si>
  <si>
    <t>SAN FRANCISCO</t>
  </si>
  <si>
    <t>2425 GEARY BOULEVARD</t>
  </si>
  <si>
    <t>94115</t>
  </si>
  <si>
    <t>380929</t>
  </si>
  <si>
    <t>CALIFORNIA PACIFIC MED CTR-PACIFIC CAMPUS</t>
  </si>
  <si>
    <t>2333 BUCHANAN STREET</t>
  </si>
  <si>
    <t>380933</t>
  </si>
  <si>
    <t>CALIFORNIA PACIFIC MED CTR-DAVIES CAMPUS</t>
  </si>
  <si>
    <t>601 DUBOCE AVENUE</t>
  </si>
  <si>
    <t>94117</t>
  </si>
  <si>
    <t>380939</t>
  </si>
  <si>
    <t>SAN FRANCISCO GENERAL HOSPITAL</t>
  </si>
  <si>
    <t>1001 POTRERO AVENUE</t>
  </si>
  <si>
    <t>94110</t>
  </si>
  <si>
    <t>380960</t>
  </si>
  <si>
    <t>ST. FRANCIS MEMORIAL HOSPITAL</t>
  </si>
  <si>
    <t>900 HYDE STREET</t>
  </si>
  <si>
    <t>94109</t>
  </si>
  <si>
    <t>380964</t>
  </si>
  <si>
    <t>3555 CESAR CHAVEZ STREET</t>
  </si>
  <si>
    <t>380965</t>
  </si>
  <si>
    <t>450 STANYAN STREET</t>
  </si>
  <si>
    <t>381154</t>
  </si>
  <si>
    <t>UCSF MEDICAL CENTER</t>
  </si>
  <si>
    <t>505 PARNASSUS AVENUE</t>
  </si>
  <si>
    <t>94143</t>
  </si>
  <si>
    <t>382715</t>
  </si>
  <si>
    <t>CHINESE HOSPITAL</t>
  </si>
  <si>
    <t>845 JACKSON STREET</t>
  </si>
  <si>
    <t>94133</t>
  </si>
  <si>
    <t>390846</t>
  </si>
  <si>
    <t>DAMERON HOSPITAL</t>
  </si>
  <si>
    <t>SAN JOAQUIN</t>
  </si>
  <si>
    <t>525 WEST ACACIA</t>
  </si>
  <si>
    <t>STOCKTON</t>
  </si>
  <si>
    <t>95203</t>
  </si>
  <si>
    <t>390923</t>
  </si>
  <si>
    <t>LODI MEMORIAL HOSPITAL</t>
  </si>
  <si>
    <t>975 SOUTH FAIRMONT AVENUE</t>
  </si>
  <si>
    <t>LODI</t>
  </si>
  <si>
    <t>391010</t>
  </si>
  <si>
    <t>SAN JOAQUIN GENERAL HOSPITAL</t>
  </si>
  <si>
    <t>500 WEST HOSPITAL ROAD</t>
  </si>
  <si>
    <t>FRENCH CAMP</t>
  </si>
  <si>
    <t>95231</t>
  </si>
  <si>
    <t>391042</t>
  </si>
  <si>
    <t>1800 NORTH CALIFORNIA STREET</t>
  </si>
  <si>
    <t>95204</t>
  </si>
  <si>
    <t>391056</t>
  </si>
  <si>
    <t>SUTTER TRACY COMMUNITY HOSPITAL</t>
  </si>
  <si>
    <t>1420 NORTH TRACY BOULEVARD</t>
  </si>
  <si>
    <t>TRACY</t>
  </si>
  <si>
    <t>95376</t>
  </si>
  <si>
    <t>392287</t>
  </si>
  <si>
    <t>DOCTORS HOSPITAL OF MANTECA</t>
  </si>
  <si>
    <t>1205 EAST NORTH STREET</t>
  </si>
  <si>
    <t>MANTECA</t>
  </si>
  <si>
    <t>95336</t>
  </si>
  <si>
    <t>394009</t>
  </si>
  <si>
    <t>1777 WEST YOSEMITE AVENUE</t>
  </si>
  <si>
    <t>400466</t>
  </si>
  <si>
    <t>MARIAN REGIONAL MEDICAL CENTER, ARROYO GRANDE</t>
  </si>
  <si>
    <t>SAN LUIS OBISPO</t>
  </si>
  <si>
    <t>345 SOUTH HALCYON ROAD</t>
  </si>
  <si>
    <t>ARROYO GRANDE</t>
  </si>
  <si>
    <t>93420</t>
  </si>
  <si>
    <t>400480</t>
  </si>
  <si>
    <t>FRENCH HOSPITAL MEDICAL CENTER</t>
  </si>
  <si>
    <t>1911 JOHNSON AVENUE</t>
  </si>
  <si>
    <t>93401</t>
  </si>
  <si>
    <t>400524</t>
  </si>
  <si>
    <t>SIERRA VISTA REGIONAL MEDICAL CENTER</t>
  </si>
  <si>
    <t>1010 MURRAY STREET</t>
  </si>
  <si>
    <t>93405</t>
  </si>
  <si>
    <t>400548</t>
  </si>
  <si>
    <t>TWIN CITIES COMMUNITY HOSPITAL</t>
  </si>
  <si>
    <t>1100 LAS TABLAS ROAD</t>
  </si>
  <si>
    <t>TEMPLETON</t>
  </si>
  <si>
    <t>93465</t>
  </si>
  <si>
    <t>410782</t>
  </si>
  <si>
    <t>SAN MATEO MEDICAL CENTER</t>
  </si>
  <si>
    <t>SAN MATEO</t>
  </si>
  <si>
    <t>222 WEST 39TH AVENUE</t>
  </si>
  <si>
    <t>94403</t>
  </si>
  <si>
    <t>REDWOOD CITY</t>
  </si>
  <si>
    <t>94063</t>
  </si>
  <si>
    <t>410806</t>
  </si>
  <si>
    <t>1200 EL CAMINO REAL</t>
  </si>
  <si>
    <t>SOUTH SAN FRANCISCO</t>
  </si>
  <si>
    <t>94080</t>
  </si>
  <si>
    <t>410817</t>
  </si>
  <si>
    <t>SETON MEDICAL CENTER</t>
  </si>
  <si>
    <t>1900 SULLIVAN AVENUE</t>
  </si>
  <si>
    <t>DALY CITY</t>
  </si>
  <si>
    <t>94015</t>
  </si>
  <si>
    <t>410828</t>
  </si>
  <si>
    <t>SETON COASTSIDE</t>
  </si>
  <si>
    <t>600 MARINE BOULEVARD</t>
  </si>
  <si>
    <t>MOSS BEACH</t>
  </si>
  <si>
    <t>94038</t>
  </si>
  <si>
    <t>410852</t>
  </si>
  <si>
    <t>MILLS-PENINSULA MEDICAL CENTER</t>
  </si>
  <si>
    <t>1501 TROUSDALE DRIVE</t>
  </si>
  <si>
    <t>BURLINGAME</t>
  </si>
  <si>
    <t>94010</t>
  </si>
  <si>
    <t>410891</t>
  </si>
  <si>
    <t>SEQUOIA HOSPITAL</t>
  </si>
  <si>
    <t>170 ALAMEDA DE LAS PULGAS</t>
  </si>
  <si>
    <t>94062</t>
  </si>
  <si>
    <t>420483</t>
  </si>
  <si>
    <t>GOLETA VALLEY COTTAGE HOSPITAL</t>
  </si>
  <si>
    <t>SANTA BARBARA</t>
  </si>
  <si>
    <t>351 SOUTH PATTERSON AVENUE</t>
  </si>
  <si>
    <t>93111</t>
  </si>
  <si>
    <t>420491</t>
  </si>
  <si>
    <t>LOMPOC VALLEY MEDICAL CENTER</t>
  </si>
  <si>
    <t>1515 E. OCEAN AVENUE</t>
  </si>
  <si>
    <t>LOMPOC</t>
  </si>
  <si>
    <t>93436</t>
  </si>
  <si>
    <t>420493</t>
  </si>
  <si>
    <t>MARIAN REGIONAL MEDICAL CENTER</t>
  </si>
  <si>
    <t>1400 EAST CHURCH STREET</t>
  </si>
  <si>
    <t>SANTA MARIA</t>
  </si>
  <si>
    <t>93454</t>
  </si>
  <si>
    <t>420514</t>
  </si>
  <si>
    <t>SANTA BARBARA COTTAGE HOSPITAL</t>
  </si>
  <si>
    <t>400 W. PUEBLO STREET</t>
  </si>
  <si>
    <t>93102</t>
  </si>
  <si>
    <t>420522</t>
  </si>
  <si>
    <t>SANTA YNEZ VALLEY COTTAGE HOSPITAL</t>
  </si>
  <si>
    <t>2050 VIBORG ROAD</t>
  </si>
  <si>
    <t>SOLVANG</t>
  </si>
  <si>
    <t>93463</t>
  </si>
  <si>
    <t>430705</t>
  </si>
  <si>
    <t>REGIONAL MEDICAL OF SAN JOSE</t>
  </si>
  <si>
    <t>SANTA CLARA</t>
  </si>
  <si>
    <t>225 NORTH JACKSON AVENUE</t>
  </si>
  <si>
    <t>SAN JOSE</t>
  </si>
  <si>
    <t>95116</t>
  </si>
  <si>
    <t>430763</t>
  </si>
  <si>
    <t>EL CAMINO HOSPITAL</t>
  </si>
  <si>
    <t>2500 GRANT ROAD</t>
  </si>
  <si>
    <t>MOUNTAIN VIEW</t>
  </si>
  <si>
    <t>94040</t>
  </si>
  <si>
    <t>430779</t>
  </si>
  <si>
    <t>GOOD SAMARITAN HOSPITAL-SAN JOSE</t>
  </si>
  <si>
    <t>2425 SAMARITAN DRIVE</t>
  </si>
  <si>
    <t>95124</t>
  </si>
  <si>
    <t>430837</t>
  </si>
  <si>
    <t>2105 FOREST AVENUE</t>
  </si>
  <si>
    <t>95128</t>
  </si>
  <si>
    <t>430883</t>
  </si>
  <si>
    <t>SANTA CLARA VALLEY MEDICAL CENTER</t>
  </si>
  <si>
    <t>751 SOUTH BASCOM AVENUE</t>
  </si>
  <si>
    <t>430905</t>
  </si>
  <si>
    <t>300 PASTEUR DRIVE</t>
  </si>
  <si>
    <t>PALO ALTO</t>
  </si>
  <si>
    <t>94305</t>
  </si>
  <si>
    <t>431506</t>
  </si>
  <si>
    <t>250 HOSPITAL PARKWAY</t>
  </si>
  <si>
    <t>95119</t>
  </si>
  <si>
    <t>434138</t>
  </si>
  <si>
    <t>ST. LOUISE REGIONAL HOSPITAL</t>
  </si>
  <si>
    <t>9400 NO NAME UNO</t>
  </si>
  <si>
    <t>GILROY</t>
  </si>
  <si>
    <t>95020</t>
  </si>
  <si>
    <t>434153</t>
  </si>
  <si>
    <t>700 LAWRENCE EXPRESSWAY</t>
  </si>
  <si>
    <t>95051</t>
  </si>
  <si>
    <t>440755</t>
  </si>
  <si>
    <t>SANTA CRUZ</t>
  </si>
  <si>
    <t>1555 SOQUEL DRIVE</t>
  </si>
  <si>
    <t>95065</t>
  </si>
  <si>
    <t>444013</t>
  </si>
  <si>
    <t>WATSONVILLE COMMUNITY HOSPITAL</t>
  </si>
  <si>
    <t>75 NIELSON STREET</t>
  </si>
  <si>
    <t>WATSONVILLE</t>
  </si>
  <si>
    <t>95076</t>
  </si>
  <si>
    <t>450936</t>
  </si>
  <si>
    <t>MAYERS MEMORIAL HOSPITAL</t>
  </si>
  <si>
    <t>SHASTA</t>
  </si>
  <si>
    <t>43563 STATE HWY. 299 E</t>
  </si>
  <si>
    <t>FALL RIVER MILLS</t>
  </si>
  <si>
    <t>96028</t>
  </si>
  <si>
    <t>450940</t>
  </si>
  <si>
    <t>SHASTA REGIONAL MEDICAL CENTER</t>
  </si>
  <si>
    <t>1100 BUTTE STREET</t>
  </si>
  <si>
    <t>REDDING</t>
  </si>
  <si>
    <t>96001</t>
  </si>
  <si>
    <t>450949</t>
  </si>
  <si>
    <t>MERCY MEDICAL CENTER - REDDING</t>
  </si>
  <si>
    <t>2175 ROSALINE AVENUE</t>
  </si>
  <si>
    <t>470871</t>
  </si>
  <si>
    <t>MERCY MEDICAL CENTER MT. SHASTA</t>
  </si>
  <si>
    <t>SISKIYOU</t>
  </si>
  <si>
    <t>914 PINE STREET, BOX 239</t>
  </si>
  <si>
    <t>MOUNT SHASTA</t>
  </si>
  <si>
    <t>96067</t>
  </si>
  <si>
    <t>474007</t>
  </si>
  <si>
    <t>FAIRCHILD MEDICAL CENTER</t>
  </si>
  <si>
    <t>444 BRUCE STREET</t>
  </si>
  <si>
    <t>YREKA</t>
  </si>
  <si>
    <t>96097</t>
  </si>
  <si>
    <t>480989</t>
  </si>
  <si>
    <t>SOLANO</t>
  </si>
  <si>
    <t>975 SERENO DRIVE</t>
  </si>
  <si>
    <t>VALLEJO</t>
  </si>
  <si>
    <t>94589</t>
  </si>
  <si>
    <t>481094</t>
  </si>
  <si>
    <t>SUTTER SOLANO MEDICAL CENTER</t>
  </si>
  <si>
    <t>300 HOSPITAL DRIVE</t>
  </si>
  <si>
    <t>481357</t>
  </si>
  <si>
    <t>NORTH BAY MEDICAL CENTER</t>
  </si>
  <si>
    <t>1200 B. GALE WILSON BLVD.</t>
  </si>
  <si>
    <t>FAIRFIELD</t>
  </si>
  <si>
    <t>94533</t>
  </si>
  <si>
    <t>484044</t>
  </si>
  <si>
    <t>KAISER FOUNDATION HOSPITAL - VACAVILLE</t>
  </si>
  <si>
    <t>1 QUALITY DRIVE</t>
  </si>
  <si>
    <t>VACAVILLE</t>
  </si>
  <si>
    <t>95688</t>
  </si>
  <si>
    <t>SONOMA</t>
  </si>
  <si>
    <t>SANTA ROSA</t>
  </si>
  <si>
    <t>490964</t>
  </si>
  <si>
    <t>HEALDSBURG DISTRICT HOSPITAL</t>
  </si>
  <si>
    <t>1375 UNIVERSITY STREET</t>
  </si>
  <si>
    <t>HEALDSBURG</t>
  </si>
  <si>
    <t>95448</t>
  </si>
  <si>
    <t>491001</t>
  </si>
  <si>
    <t>95476</t>
  </si>
  <si>
    <t>PETALUMA VALLEY HOSPITAL</t>
  </si>
  <si>
    <t>400 NORTH MCDOWELL BOULEVARD</t>
  </si>
  <si>
    <t>PETALUMA</t>
  </si>
  <si>
    <t>94954</t>
  </si>
  <si>
    <t>491064</t>
  </si>
  <si>
    <t>SANTA ROSA MEMORIAL HOSPITAL-MONTGOMERY</t>
  </si>
  <si>
    <t>1165 MONTGOMERY DRIVE</t>
  </si>
  <si>
    <t>95405</t>
  </si>
  <si>
    <t>491076</t>
  </si>
  <si>
    <t>SONOMA VALLEY HOSPITAL</t>
  </si>
  <si>
    <t>347 ANDRIEUX STREET</t>
  </si>
  <si>
    <t>491338</t>
  </si>
  <si>
    <t>501 PETALUMA AVENUE</t>
  </si>
  <si>
    <t>SEBASTOPOL</t>
  </si>
  <si>
    <t>95472</t>
  </si>
  <si>
    <t>494019</t>
  </si>
  <si>
    <t>401 BICENTENNIAL WAY</t>
  </si>
  <si>
    <t>95403</t>
  </si>
  <si>
    <t>500852</t>
  </si>
  <si>
    <t>DOCTORS MEDICAL CENTER</t>
  </si>
  <si>
    <t>STANISLAUS</t>
  </si>
  <si>
    <t>1441 FLORIDA AVENUE</t>
  </si>
  <si>
    <t>MODESTO</t>
  </si>
  <si>
    <t>95350</t>
  </si>
  <si>
    <t>500867</t>
  </si>
  <si>
    <t>825 DELBON AVENUE</t>
  </si>
  <si>
    <t>TURLOCK</t>
  </si>
  <si>
    <t>95382</t>
  </si>
  <si>
    <t>500939</t>
  </si>
  <si>
    <t>MEMORIAL HOSPITAL MEDICAL CENTER - MODESTO</t>
  </si>
  <si>
    <t>1700 COFFEE ROAD</t>
  </si>
  <si>
    <t>95355</t>
  </si>
  <si>
    <t>500967</t>
  </si>
  <si>
    <t>350 SOUTH OAK STREET</t>
  </si>
  <si>
    <t>OAKDALE</t>
  </si>
  <si>
    <t>95361</t>
  </si>
  <si>
    <t>521041</t>
  </si>
  <si>
    <t>ST. ELIZABETH COMMUNITY HOSPITAL</t>
  </si>
  <si>
    <t>TEHAMA</t>
  </si>
  <si>
    <t>2550 SISTER MARY COLUMBA DRIVE</t>
  </si>
  <si>
    <t>RED BLUFF</t>
  </si>
  <si>
    <t>96080</t>
  </si>
  <si>
    <t>531059</t>
  </si>
  <si>
    <t>TRINITY HOSPITAL</t>
  </si>
  <si>
    <t>TRINITY</t>
  </si>
  <si>
    <t>60  EASTER AVENUE</t>
  </si>
  <si>
    <t>WEAVERVILLE</t>
  </si>
  <si>
    <t>96093</t>
  </si>
  <si>
    <t>540734</t>
  </si>
  <si>
    <t>KAWEAH DELTA MEDICAL CENTER</t>
  </si>
  <si>
    <t>TULARE</t>
  </si>
  <si>
    <t>400 WEST MINERAL KING</t>
  </si>
  <si>
    <t>VISALIA</t>
  </si>
  <si>
    <t>93291</t>
  </si>
  <si>
    <t>540798</t>
  </si>
  <si>
    <t>465 WEST PUTNAM AVENUE</t>
  </si>
  <si>
    <t>PORTERVILLE</t>
  </si>
  <si>
    <t>93257</t>
  </si>
  <si>
    <t>540816</t>
  </si>
  <si>
    <t>TULARE REGIONAL MEDICAL CENTER</t>
  </si>
  <si>
    <t>93274</t>
  </si>
  <si>
    <t>554011</t>
  </si>
  <si>
    <t>SONORA REGIONAL MEDICAL CENTER - GREENLEY</t>
  </si>
  <si>
    <t>TUOLUMNE</t>
  </si>
  <si>
    <t>95370</t>
  </si>
  <si>
    <t>560473</t>
  </si>
  <si>
    <t>COMMUNITY MEMORIAL HOSPITAL-SAN BUENAVENTURA</t>
  </si>
  <si>
    <t>VENTURA</t>
  </si>
  <si>
    <t>147 N. BRENT STREET</t>
  </si>
  <si>
    <t>93003</t>
  </si>
  <si>
    <t>560481</t>
  </si>
  <si>
    <t>VENTURA COUNTY MEDICAL CENTER</t>
  </si>
  <si>
    <t>3291 LOMA VISTA ROAD</t>
  </si>
  <si>
    <t>560492</t>
  </si>
  <si>
    <t>215 WEST JANSS ROAD</t>
  </si>
  <si>
    <t>THOUSAND OAKS</t>
  </si>
  <si>
    <t>91360</t>
  </si>
  <si>
    <t>560501</t>
  </si>
  <si>
    <t>OJAI VALLEY COMMUNITY HOSPITAL</t>
  </si>
  <si>
    <t>1306 MARICOPA HIGHWAY</t>
  </si>
  <si>
    <t>OJAI</t>
  </si>
  <si>
    <t>93023</t>
  </si>
  <si>
    <t>560508</t>
  </si>
  <si>
    <t>2309 ANTONIO AVENUE</t>
  </si>
  <si>
    <t>CAMARILLO</t>
  </si>
  <si>
    <t>93010</t>
  </si>
  <si>
    <t>560525</t>
  </si>
  <si>
    <t>SIMI VALLEY HOSPITAL AND HEALTH CARE SVCS-SYCAMORE</t>
  </si>
  <si>
    <t>2975 NORTH SYCAMORE DRIVE</t>
  </si>
  <si>
    <t>SIMI VALLEY</t>
  </si>
  <si>
    <t>93065</t>
  </si>
  <si>
    <t>560529</t>
  </si>
  <si>
    <t>1600 NORTH ROSE AVENUE</t>
  </si>
  <si>
    <t>OXNARD</t>
  </si>
  <si>
    <t>93030</t>
  </si>
  <si>
    <t>571086</t>
  </si>
  <si>
    <t>WOODLAND MEMORIAL HOSPITAL</t>
  </si>
  <si>
    <t>YOLO</t>
  </si>
  <si>
    <t>1325 COTTONWOOD STREET</t>
  </si>
  <si>
    <t>WOODLAND</t>
  </si>
  <si>
    <t>95695</t>
  </si>
  <si>
    <t>574010</t>
  </si>
  <si>
    <t>DAVIS</t>
  </si>
  <si>
    <t>95616</t>
  </si>
  <si>
    <t>SUTTER DAVIS HOSPITAL</t>
  </si>
  <si>
    <t>2000 SUTTER PLACE</t>
  </si>
  <si>
    <t>580996</t>
  </si>
  <si>
    <t>RIDEOUT MEMORIAL HOSPITAL</t>
  </si>
  <si>
    <t>YUBA</t>
  </si>
  <si>
    <t>726 FOURTH ST</t>
  </si>
  <si>
    <t>MARYSVILLE</t>
  </si>
  <si>
    <t>95901</t>
  </si>
  <si>
    <t>(All)</t>
  </si>
  <si>
    <t>Count of oshpd_id</t>
  </si>
  <si>
    <t>Values</t>
  </si>
  <si>
    <t>Sum of Sex_Female</t>
  </si>
  <si>
    <t>Sum of a_Sex_Female</t>
  </si>
  <si>
    <t>Sum of Sex_Male</t>
  </si>
  <si>
    <t>Sum of a_Sex_Male</t>
  </si>
  <si>
    <t>FACILITY COUNTY</t>
  </si>
  <si>
    <t>ER SERVICE LEVEL</t>
  </si>
  <si>
    <t>Sum of a_Age_Under_1</t>
  </si>
  <si>
    <t>Sum of Age_Under_1</t>
  </si>
  <si>
    <t>Sum of Age_01_09</t>
  </si>
  <si>
    <t>Sum of a_Age_01_09</t>
  </si>
  <si>
    <t>Sum of Age_10_19</t>
  </si>
  <si>
    <t>Sum of a_Age_10_19</t>
  </si>
  <si>
    <t>Sum of Age_20_29</t>
  </si>
  <si>
    <t>Sum of a_Age_20_29</t>
  </si>
  <si>
    <t>Sum of Age_30_39</t>
  </si>
  <si>
    <t>Sum of a_Age_30_39</t>
  </si>
  <si>
    <t>Sum of Age_40_49</t>
  </si>
  <si>
    <t>Sum of a_Age_40_49</t>
  </si>
  <si>
    <t>Sum of Age_50_59</t>
  </si>
  <si>
    <t>Sum of a_Age_50_59</t>
  </si>
  <si>
    <t>Sum of Age_60_69</t>
  </si>
  <si>
    <t>Sum of a_Age_60_69</t>
  </si>
  <si>
    <t>Sum of Age_70_79</t>
  </si>
  <si>
    <t>Sum of a_Age_70_79</t>
  </si>
  <si>
    <t>Sum of Age_80_</t>
  </si>
  <si>
    <t>Sum of a_Age_80_</t>
  </si>
  <si>
    <t>Sum of Age_Unknown</t>
  </si>
  <si>
    <t>Sum of a_Age_Unknown</t>
  </si>
  <si>
    <t>Sum of Black</t>
  </si>
  <si>
    <t>Sum of a_Black</t>
  </si>
  <si>
    <t>Sum of Hispanic</t>
  </si>
  <si>
    <t>Sum of a_Hispanic</t>
  </si>
  <si>
    <t>Sum of White</t>
  </si>
  <si>
    <t>Sum of a_White</t>
  </si>
  <si>
    <t>Sum of Died</t>
  </si>
  <si>
    <t>Sum of a_Died</t>
  </si>
  <si>
    <t>Sum of Medicare</t>
  </si>
  <si>
    <t>Sum of a_Medicare</t>
  </si>
  <si>
    <t>Profile Characteristics (Individual Hospital Information will appear only if one hospital is selected)</t>
  </si>
  <si>
    <t>OSHPD Facility No.</t>
  </si>
  <si>
    <t>Hospital Name</t>
  </si>
  <si>
    <t>County</t>
  </si>
  <si>
    <t>Address</t>
  </si>
  <si>
    <t>City</t>
  </si>
  <si>
    <t>ZIP Code</t>
  </si>
  <si>
    <t>Type of Control</t>
  </si>
  <si>
    <t>Licensed Bed Size</t>
  </si>
  <si>
    <t>Senate District</t>
  </si>
  <si>
    <t>Assembly District</t>
  </si>
  <si>
    <t>Emergency Department Level</t>
  </si>
  <si>
    <t>ED Admit</t>
  </si>
  <si>
    <t>Total ED</t>
  </si>
  <si>
    <t>Expected Payer Source</t>
  </si>
  <si>
    <t>Native_American_Eski</t>
  </si>
  <si>
    <t>Other_Race</t>
  </si>
  <si>
    <t>Unknown_Race</t>
  </si>
  <si>
    <t>Acute_Care</t>
  </si>
  <si>
    <t>Against_Medical_Advice</t>
  </si>
  <si>
    <t>Home_Health_Service</t>
  </si>
  <si>
    <t>Hospice_Care</t>
  </si>
  <si>
    <t>Prison_Jail</t>
  </si>
  <si>
    <t>Psychiatric_Care</t>
  </si>
  <si>
    <t>Routine</t>
  </si>
  <si>
    <t>SN_IC_Care</t>
  </si>
  <si>
    <t>Not_Defined_Elsewhere</t>
  </si>
  <si>
    <t>Medi_Cal</t>
  </si>
  <si>
    <t>Other_Payer</t>
  </si>
  <si>
    <t>Private_Coverage</t>
  </si>
  <si>
    <t>a_Asian_Pacific_Isla</t>
  </si>
  <si>
    <t>a_Other_Race</t>
  </si>
  <si>
    <t>a_Unknown_Race</t>
  </si>
  <si>
    <t>a_Native_American_Es</t>
  </si>
  <si>
    <t>a_Acute_Care</t>
  </si>
  <si>
    <t>a_Against_Medical_Advice</t>
  </si>
  <si>
    <t>a_Home_Health_Service</t>
  </si>
  <si>
    <t>a_Routine</t>
  </si>
  <si>
    <t>a_SN_IC_Care</t>
  </si>
  <si>
    <t>a_Prison_Jail</t>
  </si>
  <si>
    <t>a_Hospice_Care</t>
  </si>
  <si>
    <t>a_Psychiatric_Care</t>
  </si>
  <si>
    <t>a_Not_Defined_Elsewhere</t>
  </si>
  <si>
    <t>a_Medi_Cal</t>
  </si>
  <si>
    <t>a_Other_Payer</t>
  </si>
  <si>
    <t>a_Private_Coverage</t>
  </si>
  <si>
    <t>Asian_Pacific_Island</t>
  </si>
  <si>
    <t>Sum of Asian_Pacific_Island</t>
  </si>
  <si>
    <t>Sum of a_Asian_Pacific_Isla</t>
  </si>
  <si>
    <t>Sum of Native_American_Eski</t>
  </si>
  <si>
    <t>Sum of a_Native_American_Es</t>
  </si>
  <si>
    <t>Sum of Other_Race</t>
  </si>
  <si>
    <t>Sum of a_Other_Race</t>
  </si>
  <si>
    <t>Sum of Unknown_Race</t>
  </si>
  <si>
    <t>Sum of a_Unknown_Race</t>
  </si>
  <si>
    <t>Sum of Acute_Care</t>
  </si>
  <si>
    <t>Sum of a_Acute_Care</t>
  </si>
  <si>
    <t>Sum of Against_Medical_Advice</t>
  </si>
  <si>
    <t>Sum of a_Against_Medical_Advice</t>
  </si>
  <si>
    <t>Sum of Home_Health_Service</t>
  </si>
  <si>
    <t>Sum of a_Home_Health_Service</t>
  </si>
  <si>
    <t>Sum of Hospice_Care</t>
  </si>
  <si>
    <t>Sum of a_Hospice_Care</t>
  </si>
  <si>
    <t>Sum of Prison_Jail</t>
  </si>
  <si>
    <t>Sum of a_Prison_Jail</t>
  </si>
  <si>
    <t>Sum of Psychiatric_Care</t>
  </si>
  <si>
    <t>Sum of a_Psychiatric_Care</t>
  </si>
  <si>
    <t>Sum of Routine</t>
  </si>
  <si>
    <t>Sum of a_Routine</t>
  </si>
  <si>
    <t>Sum of SN_IC_Care</t>
  </si>
  <si>
    <t>Sum of a_SN_IC_Care</t>
  </si>
  <si>
    <t>Sum of Not_Defined_Elsewhere</t>
  </si>
  <si>
    <t>Sum of a_Not_Defined_Elsewhere</t>
  </si>
  <si>
    <t>Sum of Medi_Cal</t>
  </si>
  <si>
    <t>Sum of a_Medi_Cal</t>
  </si>
  <si>
    <t>Sum of Other_Payer</t>
  </si>
  <si>
    <t>Sum of a_Other_Payer</t>
  </si>
  <si>
    <t>Sum of Private_Coverage</t>
  </si>
  <si>
    <t>Sum of a_Private_Coverage</t>
  </si>
  <si>
    <t>Disposition</t>
  </si>
  <si>
    <t>Race Group</t>
  </si>
  <si>
    <t>Age Group</t>
  </si>
  <si>
    <t>Under 1</t>
  </si>
  <si>
    <t>1 - 9</t>
  </si>
  <si>
    <t>10 - 19</t>
  </si>
  <si>
    <t>20 - 29</t>
  </si>
  <si>
    <t>30 - 39</t>
  </si>
  <si>
    <t>40 - 49</t>
  </si>
  <si>
    <t>50 - 59</t>
  </si>
  <si>
    <t>60 - 69</t>
  </si>
  <si>
    <t>70 - 79</t>
  </si>
  <si>
    <t>80+</t>
  </si>
  <si>
    <t>Unknown</t>
  </si>
  <si>
    <t>Male</t>
  </si>
  <si>
    <t>Female</t>
  </si>
  <si>
    <t>Principal Diagnosis Group</t>
  </si>
  <si>
    <t>Infections</t>
  </si>
  <si>
    <t>Neoplasms</t>
  </si>
  <si>
    <t>Endocrine/Metabolism</t>
  </si>
  <si>
    <t>Blood/Blood-forming Organs</t>
  </si>
  <si>
    <t>Psychoses &amp; Neurosis</t>
  </si>
  <si>
    <t>Nervous &amp; Sensory Systems</t>
  </si>
  <si>
    <t>Circulatory</t>
  </si>
  <si>
    <t>Respiratory</t>
  </si>
  <si>
    <t>Digestive</t>
  </si>
  <si>
    <t>Genitourinary</t>
  </si>
  <si>
    <t>All Pregnancies</t>
  </si>
  <si>
    <t>Musculoskeletal</t>
  </si>
  <si>
    <t>Perinatal Disorders</t>
  </si>
  <si>
    <t>Symptoms</t>
  </si>
  <si>
    <t>Injuries/Drugs/Complications</t>
  </si>
  <si>
    <t>Births</t>
  </si>
  <si>
    <t>Rail &amp; Motor Vehicle</t>
  </si>
  <si>
    <t>Other Vehicle/Transport</t>
  </si>
  <si>
    <t>Accidental Poisoning</t>
  </si>
  <si>
    <t>Accidental Falls</t>
  </si>
  <si>
    <t>Fire Accidents</t>
  </si>
  <si>
    <t>Other Accidents</t>
  </si>
  <si>
    <t>Inflicted by Others</t>
  </si>
  <si>
    <t>Undetermined</t>
  </si>
  <si>
    <t>War</t>
  </si>
  <si>
    <t>Late Effects of Injury</t>
  </si>
  <si>
    <t>Principal Cause of Injury Group</t>
  </si>
  <si>
    <t>Number of Facilities</t>
  </si>
  <si>
    <t>Sum of oshpd_id2</t>
  </si>
  <si>
    <t>oshpd_id2</t>
  </si>
  <si>
    <t>State of California</t>
  </si>
  <si>
    <t>Office of Statewide Health Planning and Development</t>
  </si>
  <si>
    <t>INSTRUCTIONS FOR USING THE PIVOT PROFILE:</t>
  </si>
  <si>
    <r>
      <t>1.</t>
    </r>
    <r>
      <rPr>
        <sz val="8"/>
        <rFont val="Arial"/>
        <family val="2"/>
      </rPr>
      <t xml:space="preserve">  Make your subsetting selections from the pulldown arrows on the </t>
    </r>
    <r>
      <rPr>
        <b/>
        <sz val="8"/>
        <rFont val="Arial"/>
        <family val="2"/>
      </rPr>
      <t>"PIVOT</t>
    </r>
    <r>
      <rPr>
        <sz val="8"/>
        <rFont val="Arial"/>
        <family val="2"/>
      </rPr>
      <t xml:space="preserve">" worksheet.  Note: Selecting incompatible parameters (e.g. incorrect county for a facility) may yield errors on the </t>
    </r>
    <r>
      <rPr>
        <b/>
        <sz val="8"/>
        <rFont val="Arial"/>
        <family val="2"/>
      </rPr>
      <t>"PROFILE</t>
    </r>
    <r>
      <rPr>
        <sz val="8"/>
        <rFont val="Arial"/>
        <family val="2"/>
      </rPr>
      <t xml:space="preserve">".  To get </t>
    </r>
    <r>
      <rPr>
        <b/>
        <sz val="8"/>
        <rFont val="Arial"/>
        <family val="2"/>
      </rPr>
      <t>Statewide</t>
    </r>
    <r>
      <rPr>
        <sz val="8"/>
        <rFont val="Arial"/>
        <family val="2"/>
      </rPr>
      <t xml:space="preserve"> totals, select </t>
    </r>
    <r>
      <rPr>
        <b/>
        <sz val="8"/>
        <rFont val="Arial"/>
        <family val="2"/>
      </rPr>
      <t>"All."</t>
    </r>
  </si>
  <si>
    <r>
      <t>2.</t>
    </r>
    <r>
      <rPr>
        <sz val="8"/>
        <rFont val="Arial"/>
        <family val="2"/>
      </rPr>
      <t xml:space="preserve">  Click on the </t>
    </r>
    <r>
      <rPr>
        <b/>
        <sz val="8"/>
        <rFont val="Arial"/>
        <family val="2"/>
      </rPr>
      <t>"PROFILE"</t>
    </r>
    <r>
      <rPr>
        <sz val="8"/>
        <rFont val="Arial"/>
        <family val="2"/>
      </rPr>
      <t xml:space="preserve"> worksheet tab to view your results.</t>
    </r>
  </si>
  <si>
    <t>DATA REFERENCES/NOTES:</t>
  </si>
  <si>
    <t>Principal Diagnosis Code Range</t>
  </si>
  <si>
    <t>(based upon the ICD-9-CM coding of the Principal Diagnosis)</t>
  </si>
  <si>
    <t>001-139</t>
  </si>
  <si>
    <t>140-239</t>
  </si>
  <si>
    <t>240-279</t>
  </si>
  <si>
    <t>280-289</t>
  </si>
  <si>
    <t>290-319</t>
  </si>
  <si>
    <t>320-389</t>
  </si>
  <si>
    <t>390-459</t>
  </si>
  <si>
    <t>460-519</t>
  </si>
  <si>
    <t>520-579</t>
  </si>
  <si>
    <t>580-629</t>
  </si>
  <si>
    <t>Skin</t>
  </si>
  <si>
    <t>680-709</t>
  </si>
  <si>
    <t>710-739</t>
  </si>
  <si>
    <t>Congenital Anomalies (Birth Defects)</t>
  </si>
  <si>
    <t>740-759</t>
  </si>
  <si>
    <t>760-779</t>
  </si>
  <si>
    <t>780-799</t>
  </si>
  <si>
    <t>800-999</t>
  </si>
  <si>
    <t>Other Reasons</t>
  </si>
  <si>
    <t>V01-V29, V40-V89</t>
  </si>
  <si>
    <t>V30-V39</t>
  </si>
  <si>
    <t>Principal E-Code Range</t>
  </si>
  <si>
    <t>(based upon the ICD-9-CM coding of the Principal E-Code)</t>
  </si>
  <si>
    <t>E800-E825</t>
  </si>
  <si>
    <t>E826-E848</t>
  </si>
  <si>
    <t>E850-E869</t>
  </si>
  <si>
    <t>Misadventures/Complication</t>
  </si>
  <si>
    <t>E870-E879</t>
  </si>
  <si>
    <t>E880-E888</t>
  </si>
  <si>
    <t>E890-E899</t>
  </si>
  <si>
    <t>Natural/Environmental</t>
  </si>
  <si>
    <t>E900-E909</t>
  </si>
  <si>
    <t>Submersion, Suffocation, Foreign Bodies</t>
  </si>
  <si>
    <t>E910-E915</t>
  </si>
  <si>
    <t>E916-E928</t>
  </si>
  <si>
    <t>Adverse Effects/Therapeutics</t>
  </si>
  <si>
    <t>E930-E949</t>
  </si>
  <si>
    <t>Self Inflicted</t>
  </si>
  <si>
    <t>E950-E958</t>
  </si>
  <si>
    <t>E960-E968, E970-E976, E978-E979</t>
  </si>
  <si>
    <t>E980-E988</t>
  </si>
  <si>
    <t>E990-E998</t>
  </si>
  <si>
    <t>E929, E959, E969, E977, E989, E999</t>
  </si>
  <si>
    <t>Description</t>
  </si>
  <si>
    <t>(based upon combination of the "Ethnicity" and "Race" data fields)</t>
  </si>
  <si>
    <r>
      <t xml:space="preserve">Ethnicity = "Non-Hispanic", "Unknown", or Invalid </t>
    </r>
    <r>
      <rPr>
        <b/>
        <u/>
        <sz val="8"/>
        <rFont val="Arial"/>
        <family val="2"/>
      </rPr>
      <t>and</t>
    </r>
    <r>
      <rPr>
        <sz val="8"/>
        <rFont val="Arial"/>
        <family val="2"/>
      </rPr>
      <t xml:space="preserve"> 
Race = "White" </t>
    </r>
  </si>
  <si>
    <r>
      <t xml:space="preserve">Ethnicity = "Non-Hispanic", "Unknown", or Invalid </t>
    </r>
    <r>
      <rPr>
        <b/>
        <u/>
        <sz val="8"/>
        <rFont val="Arial"/>
        <family val="2"/>
      </rPr>
      <t>and</t>
    </r>
    <r>
      <rPr>
        <sz val="8"/>
        <rFont val="Arial"/>
        <family val="2"/>
      </rPr>
      <t xml:space="preserve"> 
Race = "Black" </t>
    </r>
  </si>
  <si>
    <t>Asian/Pacific Islander</t>
  </si>
  <si>
    <r>
      <t xml:space="preserve">Ethnicity = "Non-Hispanic", "Unknown", or Invalid </t>
    </r>
    <r>
      <rPr>
        <b/>
        <u/>
        <sz val="8"/>
        <rFont val="Arial"/>
        <family val="2"/>
      </rPr>
      <t>and</t>
    </r>
    <r>
      <rPr>
        <sz val="8"/>
        <rFont val="Arial"/>
        <family val="2"/>
      </rPr>
      <t xml:space="preserve"> 
Race = "Other".</t>
    </r>
  </si>
  <si>
    <r>
      <t xml:space="preserve">Ethnicity = "Non-Hispanic", "Unknown", or Invalid </t>
    </r>
    <r>
      <rPr>
        <b/>
        <u/>
        <sz val="8"/>
        <rFont val="Arial"/>
        <family val="2"/>
      </rPr>
      <t>and</t>
    </r>
    <r>
      <rPr>
        <sz val="8"/>
        <rFont val="Arial"/>
        <family val="2"/>
      </rPr>
      <t xml:space="preserve"> Race = "Unknown"; Also includes invalid and unreported cases.</t>
    </r>
  </si>
  <si>
    <t>Other Payer</t>
  </si>
  <si>
    <t>Expected Payer Crosswalk</t>
  </si>
  <si>
    <t>http://oshpd.ca.gov/HID/MIRCal/ManualsGuides.html</t>
  </si>
  <si>
    <t>Home Health Services</t>
  </si>
  <si>
    <t>From Emergency Department Data (PAYER)</t>
  </si>
  <si>
    <t>From Patient Discharge Data (PAY_CAT)</t>
  </si>
  <si>
    <t>Childrens Hospital or Cancer Center</t>
  </si>
  <si>
    <r>
      <rPr>
        <b/>
        <sz val="8"/>
        <rFont val="Arial"/>
        <family val="2"/>
      </rPr>
      <t>MC</t>
    </r>
    <r>
      <rPr>
        <sz val="8"/>
        <rFont val="Arial"/>
        <family val="2"/>
      </rPr>
      <t>=Medicaid (Californias Medi-Cal Program)</t>
    </r>
  </si>
  <si>
    <r>
      <rPr>
        <b/>
        <sz val="8"/>
        <rFont val="Arial"/>
        <family val="2"/>
      </rPr>
      <t>MA</t>
    </r>
    <r>
      <rPr>
        <sz val="8"/>
        <rFont val="Arial"/>
        <family val="2"/>
      </rPr>
      <t xml:space="preserve">=Medicare Part A, </t>
    </r>
    <r>
      <rPr>
        <b/>
        <sz val="8"/>
        <rFont val="Arial"/>
        <family val="2"/>
      </rPr>
      <t>MB</t>
    </r>
    <r>
      <rPr>
        <sz val="8"/>
        <rFont val="Arial"/>
        <family val="2"/>
      </rPr>
      <t xml:space="preserve">=Medicare Part B, or </t>
    </r>
    <r>
      <rPr>
        <b/>
        <sz val="8"/>
        <rFont val="Arial"/>
        <family val="2"/>
      </rPr>
      <t>16</t>
    </r>
    <r>
      <rPr>
        <sz val="8"/>
        <rFont val="Arial"/>
        <family val="2"/>
      </rPr>
      <t>=Health Maintenance Organization (HMO) Medicare Risk</t>
    </r>
  </si>
  <si>
    <r>
      <rPr>
        <b/>
        <sz val="8"/>
        <color theme="1"/>
        <rFont val="Arial"/>
        <family val="2"/>
      </rPr>
      <t>01</t>
    </r>
    <r>
      <rPr>
        <sz val="8"/>
        <color theme="1"/>
        <rFont val="Arial"/>
        <family val="2"/>
      </rPr>
      <t>=Medicare</t>
    </r>
  </si>
  <si>
    <r>
      <rPr>
        <b/>
        <sz val="8"/>
        <color theme="1"/>
        <rFont val="Arial"/>
        <family val="2"/>
      </rPr>
      <t>02</t>
    </r>
    <r>
      <rPr>
        <sz val="8"/>
        <color theme="1"/>
        <rFont val="Arial"/>
        <family val="2"/>
      </rPr>
      <t>=Medi-Cal</t>
    </r>
  </si>
  <si>
    <r>
      <rPr>
        <b/>
        <sz val="8"/>
        <color theme="1"/>
        <rFont val="Arial"/>
        <family val="2"/>
      </rPr>
      <t>03</t>
    </r>
    <r>
      <rPr>
        <sz val="8"/>
        <color theme="1"/>
        <rFont val="Arial"/>
        <family val="2"/>
      </rPr>
      <t>=Private Coverage</t>
    </r>
  </si>
  <si>
    <r>
      <rPr>
        <b/>
        <sz val="8"/>
        <color theme="1"/>
        <rFont val="Arial"/>
        <family val="2"/>
      </rPr>
      <t>05</t>
    </r>
    <r>
      <rPr>
        <sz val="8"/>
        <color theme="1"/>
        <rFont val="Arial"/>
        <family val="2"/>
      </rPr>
      <t>=County Indigent Programs,</t>
    </r>
    <r>
      <rPr>
        <b/>
        <sz val="8"/>
        <color theme="1"/>
        <rFont val="Arial"/>
        <family val="2"/>
      </rPr>
      <t xml:space="preserve"> 07</t>
    </r>
    <r>
      <rPr>
        <sz val="8"/>
        <color theme="1"/>
        <rFont val="Arial"/>
        <family val="2"/>
      </rPr>
      <t xml:space="preserve">=Other Indigent, or </t>
    </r>
    <r>
      <rPr>
        <b/>
        <sz val="8"/>
        <color theme="1"/>
        <rFont val="Arial"/>
        <family val="2"/>
      </rPr>
      <t>08</t>
    </r>
    <r>
      <rPr>
        <sz val="8"/>
        <color theme="1"/>
        <rFont val="Arial"/>
        <family val="2"/>
      </rPr>
      <t>=Self-Pay</t>
    </r>
  </si>
  <si>
    <r>
      <rPr>
        <b/>
        <sz val="8"/>
        <rFont val="Arial"/>
        <family val="2"/>
      </rPr>
      <t>12</t>
    </r>
    <r>
      <rPr>
        <sz val="8"/>
        <rFont val="Arial"/>
        <family val="2"/>
      </rPr>
      <t>=Preferred Provider Organization (PPO),</t>
    </r>
    <r>
      <rPr>
        <b/>
        <sz val="8"/>
        <rFont val="Arial"/>
        <family val="2"/>
      </rPr>
      <t>13</t>
    </r>
    <r>
      <rPr>
        <sz val="8"/>
        <rFont val="Arial"/>
        <family val="2"/>
      </rPr>
      <t xml:space="preserve">=Point of Service (POS), </t>
    </r>
    <r>
      <rPr>
        <b/>
        <sz val="8"/>
        <rFont val="Arial"/>
        <family val="2"/>
      </rPr>
      <t>14</t>
    </r>
    <r>
      <rPr>
        <sz val="8"/>
        <rFont val="Arial"/>
        <family val="2"/>
      </rPr>
      <t>=Exclusive Provider Organization (EPO),</t>
    </r>
    <r>
      <rPr>
        <b/>
        <sz val="8"/>
        <rFont val="Arial"/>
        <family val="2"/>
      </rPr>
      <t xml:space="preserve"> AM</t>
    </r>
    <r>
      <rPr>
        <sz val="8"/>
        <rFont val="Arial"/>
        <family val="2"/>
      </rPr>
      <t xml:space="preserve">=Automobile Medical, </t>
    </r>
    <r>
      <rPr>
        <b/>
        <sz val="8"/>
        <rFont val="Arial"/>
        <family val="2"/>
      </rPr>
      <t>BL</t>
    </r>
    <r>
      <rPr>
        <sz val="8"/>
        <rFont val="Arial"/>
        <family val="2"/>
      </rPr>
      <t xml:space="preserve">=Blue Cross/Blue Shield, </t>
    </r>
    <r>
      <rPr>
        <b/>
        <sz val="8"/>
        <rFont val="Arial"/>
        <family val="2"/>
      </rPr>
      <t>CI</t>
    </r>
    <r>
      <rPr>
        <sz val="8"/>
        <rFont val="Arial"/>
        <family val="2"/>
      </rPr>
      <t xml:space="preserve">=Commiecial Insurance Company, or </t>
    </r>
    <r>
      <rPr>
        <b/>
        <sz val="8"/>
        <rFont val="Arial"/>
        <family val="2"/>
      </rPr>
      <t>HM</t>
    </r>
    <r>
      <rPr>
        <sz val="8"/>
        <rFont val="Arial"/>
        <family val="2"/>
      </rPr>
      <t>=Health Maintenance Organization</t>
    </r>
  </si>
  <si>
    <t>All_Other</t>
  </si>
  <si>
    <t>English</t>
  </si>
  <si>
    <t>Spanish</t>
  </si>
  <si>
    <t>a_All_Other</t>
  </si>
  <si>
    <t>a_English</t>
  </si>
  <si>
    <t>a_Spanish</t>
  </si>
  <si>
    <t>datayear</t>
  </si>
  <si>
    <t>Sum of All_Other</t>
  </si>
  <si>
    <t>Sum of English</t>
  </si>
  <si>
    <t>Sum of Spanish</t>
  </si>
  <si>
    <t>Sum of a_All_Other</t>
  </si>
  <si>
    <t>Sum of a_English</t>
  </si>
  <si>
    <t>All Other</t>
  </si>
  <si>
    <t>Sum of a_Spanish</t>
  </si>
  <si>
    <t>TEACHING HOSPITAL</t>
  </si>
  <si>
    <t>RURAL HOSPITAL</t>
  </si>
  <si>
    <t>ASSEMBLY DISTRICT</t>
  </si>
  <si>
    <t>SENATE DISTRICT</t>
  </si>
  <si>
    <t>ED_Visit</t>
  </si>
  <si>
    <t>Inpatient_from_ED</t>
  </si>
  <si>
    <t>HIGHLAND HOSPITAL</t>
  </si>
  <si>
    <t>014132</t>
  </si>
  <si>
    <t>39400 PASEO PADRE PARKWAY</t>
  </si>
  <si>
    <t>014326</t>
  </si>
  <si>
    <t>275 W. MACARTHUR BLVD.</t>
  </si>
  <si>
    <t>ENLOE MEDICAL CENTER- ESPLANADE</t>
  </si>
  <si>
    <t>BAKERSFIELD MEMORIAL HOSPITAL</t>
  </si>
  <si>
    <t>420 34TH STREET</t>
  </si>
  <si>
    <t>ALHAMBRA HOSPITAL MEDICAL CENTER</t>
  </si>
  <si>
    <t>GARDENS REGIONAL HOSPITAL AND MEDICAL CENTER</t>
  </si>
  <si>
    <t>GLENDALE ADVENTIST MEDICAL CENTER</t>
  </si>
  <si>
    <t>1509 WILSON TERRACE</t>
  </si>
  <si>
    <t>COMMUNITY HOSPITAL LONG BEACH</t>
  </si>
  <si>
    <t>5900 WEST OLYMPIC BLVD</t>
  </si>
  <si>
    <t>SANTA MONICA - UCLA MEDICAL CENTER AND ORTHOPAEDIC HOSPITAL</t>
  </si>
  <si>
    <t>2121 SANTA MONICA BLVD.</t>
  </si>
  <si>
    <t>UKIAH VALLEY MEDICAL CENTER</t>
  </si>
  <si>
    <t>741 N. MAIN STREET</t>
  </si>
  <si>
    <t>COMMUNITY HOSPITAL OF THE MONTEREY PENINSULA</t>
  </si>
  <si>
    <t>DOMINICAN HOSPITAL</t>
  </si>
  <si>
    <t>SUTTER SANTA ROSA REGIONAL HOSPITAL</t>
  </si>
  <si>
    <t>494106</t>
  </si>
  <si>
    <t>30 MARK WEST SPRINGS RD.</t>
  </si>
  <si>
    <t>EMANUEL MEDICAL CENTER</t>
  </si>
  <si>
    <t>SIERRA VIEW MEDICAL CENTER</t>
  </si>
  <si>
    <t>630-679</t>
  </si>
  <si>
    <t>Alameda/Jack London Square/Oakland Inner Harbor</t>
  </si>
  <si>
    <t>Albany/Berkeley East and North/Claremont/Cragmont/Forest Park/Rockridge/Temescal/Thousand Oaks</t>
  </si>
  <si>
    <t>Oakland West Central</t>
  </si>
  <si>
    <t>San Leandro West/San Lorenzo West/Hayward West</t>
  </si>
  <si>
    <t>Dimond/Montclair/Oakland East/Oakmore/Piedmont/Piedmont Pines/Trestle Glen</t>
  </si>
  <si>
    <t>Fremont East/Niles/Union City Central</t>
  </si>
  <si>
    <t>Ashland/Brookfield Village/Castro Valley South/Elmhurst/Hayward Northeast/San Leandro North Central/San Lorenzo East</t>
  </si>
  <si>
    <t>Dublin/Pleasanton/Santa Rita/Sunol</t>
  </si>
  <si>
    <t>Centerville/Fremont West/Irvington/Newark East Central</t>
  </si>
  <si>
    <t>Castro Valley Central and North/Oak Knoll/San Leandro Northeast/Sheffield Village/Union City East</t>
  </si>
  <si>
    <t>014337</t>
  </si>
  <si>
    <t>2500 MERCED STREET</t>
  </si>
  <si>
    <t>94577</t>
  </si>
  <si>
    <t>Ione/Jackson/Pine Grove/Sutter Creek</t>
  </si>
  <si>
    <t>Biggs/East Biggs/Gridley</t>
  </si>
  <si>
    <t>Magalia/Paradise/Stirling City</t>
  </si>
  <si>
    <t>Oroville/Palermo/Thermalito</t>
  </si>
  <si>
    <t>Chapmantown/Chico</t>
  </si>
  <si>
    <t>Angels Camp/Arnold/Copperopolis/Mountain Ranch/Murphys/San Andreas/Valley Springs/West Point</t>
  </si>
  <si>
    <t>Colusa</t>
  </si>
  <si>
    <t>Richmond Central/San Pablo Central</t>
  </si>
  <si>
    <t>Crockett/Hercules/Martinez West/Pinole/Port Costa/Richmond Northeast/Rodeo</t>
  </si>
  <si>
    <t>Brentwood Central and West/Oakley</t>
  </si>
  <si>
    <t>Clayton/Concord South/Walnut Creek Central and East</t>
  </si>
  <si>
    <t>Avon/Clyde/Concord Central/Pittsburg Southwest</t>
  </si>
  <si>
    <t>Alamo/Danville/Diablo/San Ramon</t>
  </si>
  <si>
    <t>Crescent City/Gasquet/Klamath/Smith River</t>
  </si>
  <si>
    <t>South Lake Tahoe</t>
  </si>
  <si>
    <t>Cool/Diamond Springs/Latrobe/Pilot Hill/Placerville</t>
  </si>
  <si>
    <t>Auberry/Calwa/Centerville/Clovis East/Del Rey/Fowler/Friant/Sanger/Shaver Lake</t>
  </si>
  <si>
    <t>Coalinga</t>
  </si>
  <si>
    <t>Fresno West Central</t>
  </si>
  <si>
    <t>Orange Cove/Parlier/Reedley/Squaw Valley/Tivy Valley/Wonder Valley</t>
  </si>
  <si>
    <t>Fresno North Central</t>
  </si>
  <si>
    <t>Artois/Elk Creek/Glenn/Grindstone Indian Rancheria/Willows</t>
  </si>
  <si>
    <t>Arcata/Eureka</t>
  </si>
  <si>
    <t>Garberville/Redway</t>
  </si>
  <si>
    <t>Ferndale/Fortuna/Rio Dell/Scotia</t>
  </si>
  <si>
    <t>El Centro/Heber/Holtville/Imperial/Seeley</t>
  </si>
  <si>
    <t>Brawley/Westmorland</t>
  </si>
  <si>
    <t>Bishop/Bishop Paiute Tribe/Mustang Mesa/Round Valley/West Bishop/Wilkerson</t>
  </si>
  <si>
    <t>Alabama Hills/Cartago/Darwin/Keeler/Lone Pine/Lone Pine Paiute Shoshone Tribe/Olancha/Pearsonville</t>
  </si>
  <si>
    <t>Delano/McFarland</t>
  </si>
  <si>
    <t>Bakersfield Northeast/Oildale</t>
  </si>
  <si>
    <t>Bakersfield East/Lakeview/La Loma</t>
  </si>
  <si>
    <t>Alta Sierra/Bodfish/Glennville/Kernville/Lake Isabella/Weldon/Wofford Heights</t>
  </si>
  <si>
    <t>Bakersfield Northwest/Rosedale</t>
  </si>
  <si>
    <t>Inyokern/Ridgecrest</t>
  </si>
  <si>
    <t>Bear Valley Springs/Keene/Stallion Springs/Tehachapi</t>
  </si>
  <si>
    <t>Armona/Hanford/Lemoore</t>
  </si>
  <si>
    <t>Clearlake/Clearlake Oaks</t>
  </si>
  <si>
    <t>Kelseyville/Lakeport</t>
  </si>
  <si>
    <t>Susanville</t>
  </si>
  <si>
    <t>Alhambra/El Sereno South/San Gabriel Central</t>
  </si>
  <si>
    <t>Lancaster Central/Palmdale North Central</t>
  </si>
  <si>
    <t>Avalon</t>
  </si>
  <si>
    <t>Belmont Shore/Long Beach East/Long Beach Shoreline/Los Altos/Naples</t>
  </si>
  <si>
    <t>Pico Rivera/Santa Fe Springs Northwest</t>
  </si>
  <si>
    <t>Culver City North/Palms</t>
  </si>
  <si>
    <t>Boyle Heights Northwest/Chinatown/Downtown Northwest/Little Tokyo/Westlake</t>
  </si>
  <si>
    <t>Del Aire/Inglewood West/Los Angeles International Airport</t>
  </si>
  <si>
    <t>Cerritos/Hawaiian Gardens</t>
  </si>
  <si>
    <t>Hollywood South Central/Inner Sunset</t>
  </si>
  <si>
    <t>Huntington Park/South Gate West/Walnut Park</t>
  </si>
  <si>
    <t>City Terrace East/East Los Angeles</t>
  </si>
  <si>
    <t>Downey Northeast</t>
  </si>
  <si>
    <t>Encino/Tarzana/Warner Center/Woodland Hills</t>
  </si>
  <si>
    <t>Asuza/Charter Oak/Covina</t>
  </si>
  <si>
    <t>Montebello North/Monterey Park/South San Gabriel</t>
  </si>
  <si>
    <t>Atwater Village/Glendale Central/Glendale Southwest/Griffith Park</t>
  </si>
  <si>
    <t>Bassett/Industry West/La Puente</t>
  </si>
  <si>
    <t>Granada Hills/Mission Hills/Porter Ranch</t>
  </si>
  <si>
    <t>Pasadena South/San Marino/South Pasadena</t>
  </si>
  <si>
    <t>Harbor Gateway South/Lomita/Torrance East Central</t>
  </si>
  <si>
    <t>Northridge South/Reseda North</t>
  </si>
  <si>
    <t>Hancock Park/Mid-City West/Park La Brea</t>
  </si>
  <si>
    <t>Redondo Beach Central and South/Torrance West Central</t>
  </si>
  <si>
    <t>Bixby Knolls/Long Beach Central</t>
  </si>
  <si>
    <t>Baldwin Hills/Culver City South/Fox Hills/Ladera Heights/Marina del Rey/View Park/Windsor Hills</t>
  </si>
  <si>
    <t>Gardena Southeast/Harbor Gateway Central/Lawndale South/Moneta/Redondo Beach North/Torrance North</t>
  </si>
  <si>
    <t>Arcadia Central and Northeast/Bradbury/Monrovia/Sierra Madre</t>
  </si>
  <si>
    <t>Hollywood Hills/Hollywood West/Mount Olympus/West Hollywood</t>
  </si>
  <si>
    <t>Norwalk/Studebaker</t>
  </si>
  <si>
    <t>Claremont/La Verne/Pomona Northwest/San Dimas</t>
  </si>
  <si>
    <t>La Habra Heights/Whittier</t>
  </si>
  <si>
    <t>Valinda/West Covina</t>
  </si>
  <si>
    <t>Miraleste/Palo Verdes Estates/Portuguese Bend/Rancho Palos Verdes/Rolling Hills/San Pedro West</t>
  </si>
  <si>
    <t>Santa Monica Central/Sawtelle/West Los Angeles</t>
  </si>
  <si>
    <t>Pacoima East/Sun Valley West</t>
  </si>
  <si>
    <t>Sherman Oaks/Studio City/Valley Village</t>
  </si>
  <si>
    <t>Downey Southwest/Lynwood North Central/South Gate East</t>
  </si>
  <si>
    <t>Burbank North/North Hollywood South</t>
  </si>
  <si>
    <t>Century City/Cheviot Hills/Rancho Park/West Los Angeles/Westwood</t>
  </si>
  <si>
    <t>Burbank South/Eagle Rock/Glendale Northwest</t>
  </si>
  <si>
    <t>Agoura Hills/Calabasas/Hidden Hills/West Hills/Westlake</t>
  </si>
  <si>
    <t>Canyon Country/Santa Clarita West/Saugus</t>
  </si>
  <si>
    <t>Angeles National Forest West/Kagel Canyon/Lake View Terrace/San Fernando East/Sylmar</t>
  </si>
  <si>
    <t>Palmdale Central</t>
  </si>
  <si>
    <t>Madera</t>
  </si>
  <si>
    <t>Corte Madera/Fairfax/Kentfield/Larkspur/Marinwood/Mill Valley/Ross/San Anselmo/San Rafael West/Terra Linda</t>
  </si>
  <si>
    <t>Bel Marin Keys/Black Point/Ignacio/Novato/San Rafael East/Santa Venetia</t>
  </si>
  <si>
    <t>Bootjack/CatheyÆs Valley/Coulterville/Don Pedro/El Portal/Fish Camp/Mariposa</t>
  </si>
  <si>
    <t>Brooktrails/Pine Mountain/Willits</t>
  </si>
  <si>
    <t>Fort Bragg/Westport</t>
  </si>
  <si>
    <t>Ukiah</t>
  </si>
  <si>
    <t>Dos Palos/Gustine/Los Banos</t>
  </si>
  <si>
    <t>Merced Central and North/Merced Southeast</t>
  </si>
  <si>
    <t>Surprise Valley</t>
  </si>
  <si>
    <t>Alturas/Canby</t>
  </si>
  <si>
    <t>Mammoth Lakes</t>
  </si>
  <si>
    <t>Carmel/Del Rey Oaks/Monterey/Pacific Grove/Sand City/Seaside</t>
  </si>
  <si>
    <t>King City/San Lucas</t>
  </si>
  <si>
    <t>Salinas/Spreckels</t>
  </si>
  <si>
    <t>Napa Central</t>
  </si>
  <si>
    <t>Angwin/Deer Park/St. Helena</t>
  </si>
  <si>
    <t>Grass Valley/Nevada City/Penn Valley/Rough and Ready/Wildwood</t>
  </si>
  <si>
    <t>North Bloomfield/North San Juan/Truckee</t>
  </si>
  <si>
    <t>City of Orange South/Santa Ana North/Tustin Foothills/Tustin West</t>
  </si>
  <si>
    <t>Fountain Valley/Huntington Beach Central</t>
  </si>
  <si>
    <t>Anaheim Central</t>
  </si>
  <si>
    <t>Anaheim Hills/City of Orange East/Villa Park</t>
  </si>
  <si>
    <t>Costa Mesa</t>
  </si>
  <si>
    <t>Huntington Beach North/Seal Beach East/Westminster</t>
  </si>
  <si>
    <t>Buena Park/La Palma</t>
  </si>
  <si>
    <t>Cypress/Los Alamitos/Rossmoor</t>
  </si>
  <si>
    <t>Santa Ana South</t>
  </si>
  <si>
    <t>Lake Forest East/Mission Viejo Central and South</t>
  </si>
  <si>
    <t>Garden Grove North/Stanton</t>
  </si>
  <si>
    <t>Brea East/Placentia Central and North/Yorba Linda</t>
  </si>
  <si>
    <t>Laguna Beach/Laguna Woods</t>
  </si>
  <si>
    <t>Aliso Viejo/Laguna Hills/Laguna Niguel</t>
  </si>
  <si>
    <t>Fullerton Central and South</t>
  </si>
  <si>
    <t>Anaheim West</t>
  </si>
  <si>
    <t>Auburn/Newcastle/Lincoln/Sheridan</t>
  </si>
  <si>
    <t>Rocklin/Granite Bay</t>
  </si>
  <si>
    <t>Beckwourth/Chilcoot/Crocker Mountain/Delleker/Iron Horse/Lake Davis/Maybe/Portola/Valley View/Vinton</t>
  </si>
  <si>
    <t>Bucks Lake/Cromberg/East Quincy/Greenhorn/Keddie/Laporte/Little Grass Valley/Meadow Valley/Quincy/Sloat/Spring Garden</t>
  </si>
  <si>
    <t>Bailey Creek/Canyondam/Chester/Eastshore/Foxwood/Hamilton Branch/Lake Almanor Peninsula/Lake Almanor Peninsula/Lake Almanor West/Prattville/Warner Valley</t>
  </si>
  <si>
    <t>Arlington/Corona East/Home Gardens/La Sierra/Riverside Southwest</t>
  </si>
  <si>
    <t>Cathedral City Southeast/Palm Desert North/Palm Springs South/Rancho Mirage North</t>
  </si>
  <si>
    <t>Bermuda Dunes South/Indian Wells/La Quinta West/Palm Desert/Rancho Mirage Central and South</t>
  </si>
  <si>
    <t>East Hemet/Hemet/Valle Vista</t>
  </si>
  <si>
    <t>Arabia/Coachella/Desert Beach/Flowing Wells/Indio South/La Quinta East/Mecca/Oasis/Thermal</t>
  </si>
  <si>
    <t>Blythe</t>
  </si>
  <si>
    <t>Casablanca/Riverside Central</t>
  </si>
  <si>
    <t>Eastside/Fairmont Park/Riverside Downtown/Rubidoux/University</t>
  </si>
  <si>
    <t>Banning/Beaumont/Cabizon/Calimesa/Cherry Valley</t>
  </si>
  <si>
    <t>Canyon Lake/Perris/Quail Valley/Romoland/Sun City/Winchester</t>
  </si>
  <si>
    <t>Lake Elsinore/Murrieta West/Sedco Hills/Wildomar</t>
  </si>
  <si>
    <t>Temecula South</t>
  </si>
  <si>
    <t>French Valley/Murrieta East/Temecula/Winchester</t>
  </si>
  <si>
    <t>Arcade/Arden/Town and Country Village</t>
  </si>
  <si>
    <t>Greenhaven/Land Park/Midtown/Pocket/Riverside/Sutterville</t>
  </si>
  <si>
    <t>Carmichael/Fair Oaks/Gold River</t>
  </si>
  <si>
    <t>Elk Grove/Laguna/Laguna West/Lakeside</t>
  </si>
  <si>
    <t>Florin/Fruitridge/Oak Park/Parkway/South Sacramento</t>
  </si>
  <si>
    <t>East Sacramento/La Riviera/Mather/Rancho Cordova/Rosemont</t>
  </si>
  <si>
    <t>Folsom/Orangevale</t>
  </si>
  <si>
    <t>Hollister/Paicines/Panoche/San Juan Bautista</t>
  </si>
  <si>
    <t>Big Bear Lake/Fawnskin/Moorridge/Running Springs/Sugarloaf</t>
  </si>
  <si>
    <t>Chino Hills/Chino West Central/Los Serranos/Sleepy Hollow</t>
  </si>
  <si>
    <t>Montclair/Ontario Northwest/Upland South</t>
  </si>
  <si>
    <t>Bloomington/Colton Central and West/Fontana South/Rialto South</t>
  </si>
  <si>
    <t>Colton Southeast/Grand Terrace/Loma Linda/Redlands North</t>
  </si>
  <si>
    <t>Blue Jay/Crestline/Lake Arrowhead/Skyforest/Twin Peaks</t>
  </si>
  <si>
    <t>Mentone/Redlands South/Yucaipa</t>
  </si>
  <si>
    <t>Muscoy/San Bernardino Central</t>
  </si>
  <si>
    <t>Highland/San Bernardino East</t>
  </si>
  <si>
    <t>Apple Valley/Hesperia East</t>
  </si>
  <si>
    <t>Hesperia West/Mountain View Acres/Victorville Central and South</t>
  </si>
  <si>
    <t>Big River/Needles</t>
  </si>
  <si>
    <t>Joshua Tree/Landers/Morongo Valley/Rimrock/Yucca Valley</t>
  </si>
  <si>
    <t>Barstow/Daggett/Lenwood/Nebo Center/Oro Grande/Yermo</t>
  </si>
  <si>
    <t>College Heights/Hillcrest Southeast/Kensington/Rolando North/University Heights</t>
  </si>
  <si>
    <t>Bay Park/Five Points/Hillcrest Northwest/Mission Hills/Mission Valley/Morena/Normal Heights/Old Town/Serra Mesa</t>
  </si>
  <si>
    <t>Castle Park/Chula Vista Southwest/Imperial Beach West/Nestor East/Palm City/San Ysidro/South San Diego</t>
  </si>
  <si>
    <t>La Mesa/Rolando South</t>
  </si>
  <si>
    <t>Allied Gardens/Del Cerro/Grantville/Miramar/Tierrasanta</t>
  </si>
  <si>
    <t>Escondido Central and South/San Marcos Central and East</t>
  </si>
  <si>
    <t>Encanto/Lemon Grove Northwest/Lincoln Acres/National City East/Paradise Hills Southwest</t>
  </si>
  <si>
    <t>Crown Point/Del Mar/La Jolla/Pacific Beach</t>
  </si>
  <si>
    <t>Oceanside East/San Marcos West/Vista</t>
  </si>
  <si>
    <t>Cockatoo Grove/Eastlake Greens/Otay Mesa</t>
  </si>
  <si>
    <t>Poway Central/Poway Grove/Rancho Bernardo Southwest/Sabre Springs</t>
  </si>
  <si>
    <t>Encinitas Central/Leucadia/Oceanside North and West/San Luis Rey/South Oceanside</t>
  </si>
  <si>
    <t>Laurel Heights/Ocean Beach North/Richmond/Sutro Heights</t>
  </si>
  <si>
    <t>Cow Hollow/Financial District/Marina/Nob Hill/Pacific Heights/Russian Hill/Seacliff</t>
  </si>
  <si>
    <t>Buena Vista/Castro/Eureka Valley/Forest Hill/Haight-Ashbury/Noe Valley/West of Twin Peaks</t>
  </si>
  <si>
    <t>Bernal Heights/Mission District/Potrero Hill</t>
  </si>
  <si>
    <t>Chinatown/Civic Center/Inner Mission/North Beach/South of Market/Tenderloin/Western Addition</t>
  </si>
  <si>
    <t>French Camp/Stockton South/Stockton Southeast</t>
  </si>
  <si>
    <t>Lodi</t>
  </si>
  <si>
    <t>Stockton North Central/Stockton Northeast</t>
  </si>
  <si>
    <t>Tracy</t>
  </si>
  <si>
    <t>Lathrop/Manteca</t>
  </si>
  <si>
    <t>Banta/Escalon/Ripon/Vernalis</t>
  </si>
  <si>
    <t>Arroyo Grande/Nipomo/Oceano/Pismo Beach</t>
  </si>
  <si>
    <t>San Luis Obispo</t>
  </si>
  <si>
    <t>Atascadero/Templeton</t>
  </si>
  <si>
    <t>Burlingame Hills/Burlingame Southwest/Hillsborough/Hillsdale/Millbrae West/San Bruno Central/San Mateo West</t>
  </si>
  <si>
    <t>Atherton/Lindenwood/Menlo Oaks/Menlo Park/Redwood City Central/Sharon Heights/West Menlo Park/Woodside/Woodside Hills</t>
  </si>
  <si>
    <t>Brisbane/Burlingame Northeast/Colma/Daly City East/Millbrae East/San Bruno/South San Francisco</t>
  </si>
  <si>
    <t>Broadmoor Village/Daly City West/San Bruno Northwest/Serramonte/Westborough</t>
  </si>
  <si>
    <t>El Granada/Half Moon Bay/Miramar/Montara/Moss Beach/Princeton by the Sea/Skyline</t>
  </si>
  <si>
    <t>Belmont/Devonshire/Emerald Lake/Farm Hills/Palomar Park/San Carlos West/The Highlands</t>
  </si>
  <si>
    <t>Goleta South/Isla Vista/Santa Barbara South</t>
  </si>
  <si>
    <t>Lompoc/Mission Hills/Vandenberg</t>
  </si>
  <si>
    <t>Orcutt/Santa Maria</t>
  </si>
  <si>
    <t>Goleta North/Mission Canyon/Montecito/Riviera/Santa Barbara North</t>
  </si>
  <si>
    <t>Buellton/Los Olivos/Santa Ynez/Solvang</t>
  </si>
  <si>
    <t>Berryessa/East San Jose/Milpitas East</t>
  </si>
  <si>
    <t>Los Altos/Los Altos Hills/Palo Alto Central/Stanford</t>
  </si>
  <si>
    <t>Cambrian Village West/Campbell South/Los Gatos/Monte Sereno/San Tomas</t>
  </si>
  <si>
    <t>San Jose Northwest</t>
  </si>
  <si>
    <t>New Almaden/San Jose Southwest</t>
  </si>
  <si>
    <t>Gilroy/Morgan Hill/Rucker/San Martin</t>
  </si>
  <si>
    <t>Cupertino/Rancho Rinconada/San Jose West/Saratoga</t>
  </si>
  <si>
    <t>Aptos/Capitola/Live Oak/Rio del Mar/Santa Cruz</t>
  </si>
  <si>
    <t>Freedom/Watsonville</t>
  </si>
  <si>
    <t>Burney/Cassel/Fall River Mills/Hat Creek/McArthur</t>
  </si>
  <si>
    <t>Redding</t>
  </si>
  <si>
    <t>Carrick/Edgewood/Mount Shasta/Weed</t>
  </si>
  <si>
    <t>Gazelle/Grenada/Hilt/Hornbrook/Yreka</t>
  </si>
  <si>
    <t>Vallejo</t>
  </si>
  <si>
    <t>Fairfield</t>
  </si>
  <si>
    <t>Vacaville</t>
  </si>
  <si>
    <t>Santa Rosa</t>
  </si>
  <si>
    <t>Geyserville/Healdsburg</t>
  </si>
  <si>
    <t>Petaluma</t>
  </si>
  <si>
    <t>Boyes Hot Springs/Glen Ellen/Kenwood/Sonoma/Vineburg</t>
  </si>
  <si>
    <t>Bodega/Sebastopol</t>
  </si>
  <si>
    <t>Modesto West</t>
  </si>
  <si>
    <t>Denair/Turlock</t>
  </si>
  <si>
    <t>Modesto East</t>
  </si>
  <si>
    <t>Oakdale/Riverbank</t>
  </si>
  <si>
    <t>Gerber/Los Flores/Proberta/Red Bluff</t>
  </si>
  <si>
    <t>Douglas City/Lewiston/Trinity Center/Weaverville</t>
  </si>
  <si>
    <t>Farmersville/Goshen/Visalia</t>
  </si>
  <si>
    <t>Alpaugh/Earlimart/Pixley/Porterville/Rich Grove/Terra Bella</t>
  </si>
  <si>
    <t>Tipton/Tulare/Woodville</t>
  </si>
  <si>
    <t>Columbia/Jamestown/Sonora</t>
  </si>
  <si>
    <t>Ventura</t>
  </si>
  <si>
    <t>Thousand Oaks Central and West</t>
  </si>
  <si>
    <t>Meiners Oaks/Oak View/Ojai</t>
  </si>
  <si>
    <t>Camarillo/Moorpark</t>
  </si>
  <si>
    <t>Simi Valley East</t>
  </si>
  <si>
    <t>Oxnard North Central</t>
  </si>
  <si>
    <t>Woodland</t>
  </si>
  <si>
    <t>Davis</t>
  </si>
  <si>
    <t>Marysville</t>
  </si>
  <si>
    <t>Control_Type_Desc</t>
  </si>
  <si>
    <t>ASSEMBLY_DIST</t>
  </si>
  <si>
    <t>SENATE_DIST</t>
  </si>
  <si>
    <t>2070 CLINTON</t>
  </si>
  <si>
    <t>ALTA BATES SUMMIT MED CTR-ALTA BATES CAMPUS</t>
  </si>
  <si>
    <t>2450 ASHBY STREET</t>
  </si>
  <si>
    <t>CHILDRENS HOSPITAL AND RESEARCH CTR AT OAKLAND</t>
  </si>
  <si>
    <t>ALTA BATES SUMMIT MED CTR-SUMMIT CAMPUS-HAWTHORNE</t>
  </si>
  <si>
    <t>KAISER FND HOSP - FREMONT</t>
  </si>
  <si>
    <t>KAISER FND HOSP - OAKLAND/RICHMOND</t>
  </si>
  <si>
    <t>KAISER FND HOSP - SAN LEANDRO</t>
  </si>
  <si>
    <t>BIGGS GRIDLEY MEMORIAL HOSPITAL</t>
  </si>
  <si>
    <t>KAISER FND HOSP - WALNUT CREEK</t>
  </si>
  <si>
    <t>94596-5300</t>
  </si>
  <si>
    <t>KAISER FOUND HSP-ANTIOCH</t>
  </si>
  <si>
    <t>MARSHALL  MEDICAL CENTER (1-RH)</t>
  </si>
  <si>
    <t>KAISER FND HOSP - FRESNO</t>
  </si>
  <si>
    <t>CHILDRENS HOSPITAL OF LOS ANGELES</t>
  </si>
  <si>
    <t>3330 WEST LOMITA BOULEVARD</t>
  </si>
  <si>
    <t>90505-5073</t>
  </si>
  <si>
    <t>KAISER FND HOSP - LOS ANGELES</t>
  </si>
  <si>
    <t>KAISER FND HOSP - SOUTH BAY</t>
  </si>
  <si>
    <t>KAISER FND HOSP - PANORAMA CITY</t>
  </si>
  <si>
    <t>KAISER FND HOSP - WEST LA</t>
  </si>
  <si>
    <t>PROVIDENCE LITTLE COMPANY OF MARY MC - TORRANCE</t>
  </si>
  <si>
    <t>91754-4780</t>
  </si>
  <si>
    <t>PROVIDENCE SAINT JOHNS HEALTH CENTER</t>
  </si>
  <si>
    <t>91505-4866</t>
  </si>
  <si>
    <t>CANOGA PARK</t>
  </si>
  <si>
    <t>KAISER FND HOSP - WOODLAND HILLS</t>
  </si>
  <si>
    <t>KAISER FND HOSP - BALDWIN PARK</t>
  </si>
  <si>
    <t>CHILDRENS HOSPITAL CENTRAL CALIFORNIA</t>
  </si>
  <si>
    <t>9300 VALLEY CHILDRENS PLACE</t>
  </si>
  <si>
    <t>93638</t>
  </si>
  <si>
    <t>KAISER FND HOSP - SAN RAFAEL</t>
  </si>
  <si>
    <t>180 ROLAND WAY</t>
  </si>
  <si>
    <t>QUEEN OF THE VALLEY HOSPITAL - NAPA</t>
  </si>
  <si>
    <t>CHILDRENS HOSPITAL OF ORANGE COUNTY</t>
  </si>
  <si>
    <t>1201 West La Veta Avenue</t>
  </si>
  <si>
    <t>CHAPMAN MEDICAL CENTER</t>
  </si>
  <si>
    <t>FOUNTAIN VALLEY RGNL HOSP AND MED CTR - EUCLID</t>
  </si>
  <si>
    <t>WESTERN MEDICAL CENTER ANAHEIM</t>
  </si>
  <si>
    <t>COASTAL COMMUNITIES HOSPITAL</t>
  </si>
  <si>
    <t>92843-1908</t>
  </si>
  <si>
    <t>WESTERN MEDICAL CENTER - SANTA ANA</t>
  </si>
  <si>
    <t>CHILDRENS HOSPITAL AT MISSION</t>
  </si>
  <si>
    <t>KAISER FND HOSP - ORANGE COUNTY - ANAHEIM</t>
  </si>
  <si>
    <t>304460</t>
  </si>
  <si>
    <t>HOAG ORTHOPEDIC INSTITUTE</t>
  </si>
  <si>
    <t>16250 SAND CANYON AVENUE</t>
  </si>
  <si>
    <t>IRVINE</t>
  </si>
  <si>
    <t>92618</t>
  </si>
  <si>
    <t>Irvine Central/Tustin East</t>
  </si>
  <si>
    <t>KAISER FND HOSP - ROSEVILLE</t>
  </si>
  <si>
    <t>SENECA HEALTHCARE DISTRICT</t>
  </si>
  <si>
    <t>KAISER FND HOSP - RIVERSIDE</t>
  </si>
  <si>
    <t>KAISER FND HOSPITAL - MORENO VALLEY</t>
  </si>
  <si>
    <t>KAISER FND HOSP - SACRAMENTO</t>
  </si>
  <si>
    <t>SUTTER GENERAL HOSPITAL</t>
  </si>
  <si>
    <t>2801 L STREET</t>
  </si>
  <si>
    <t>KAISER FND HOSP - SOUTH SACRAMENTO</t>
  </si>
  <si>
    <t>MERCY HOSPITAL - FOLSOM</t>
  </si>
  <si>
    <t>KAISER FND HOSP - FONTANA</t>
  </si>
  <si>
    <t>92324-1816</t>
  </si>
  <si>
    <t>92120-5298</t>
  </si>
  <si>
    <t>RADY CHILDRENS HOSPITAL - SAN DIEGO</t>
  </si>
  <si>
    <t>3020 CHILDRENS WAY</t>
  </si>
  <si>
    <t>370695</t>
  </si>
  <si>
    <t>SHARP MARY BIRCH HOSPITAL FOR WOMEN AND NEWBORNS</t>
  </si>
  <si>
    <t>3003 HEALTH CENTER DRIVE</t>
  </si>
  <si>
    <t>KAISER FND HOSP - SAN DIEGO</t>
  </si>
  <si>
    <t>92103-2180</t>
  </si>
  <si>
    <t>KAISER FND HOSP - SAN FRANCISCO</t>
  </si>
  <si>
    <t>CALIFORNIA PACIFIC MEDICAL CENTER - ST. LUKES CAMPUS</t>
  </si>
  <si>
    <t>ST. MARYS MEDICAL CENTER, SAN FRANCISCO</t>
  </si>
  <si>
    <t>95240-5179</t>
  </si>
  <si>
    <t>ST. JOSEPHS MEDICAL CENTER OF STOCKTON</t>
  </si>
  <si>
    <t>KAISER FND HOSP-MANTECA</t>
  </si>
  <si>
    <t>KAISER FND HOSP - SOUTH SAN FRANCISCO</t>
  </si>
  <si>
    <t>OCONNOR HOSPITAL</t>
  </si>
  <si>
    <t>95128-2699</t>
  </si>
  <si>
    <t>STANFORD HOSPITAL</t>
  </si>
  <si>
    <t>KAISER FND HOSP - SAN JOSE</t>
  </si>
  <si>
    <t>KAISER FND HOSP - SANTA CLARA</t>
  </si>
  <si>
    <t>KAISER FND HOSP - REHABILITATION CENTER VALLEJO</t>
  </si>
  <si>
    <t>94590</t>
  </si>
  <si>
    <t>PALM DRIVE HOSPITAL</t>
  </si>
  <si>
    <t>KAISER FND HOSP - SANTA ROSA</t>
  </si>
  <si>
    <t>OAK VALLEY DISTRICT HOSPITAL (2-RH)</t>
  </si>
  <si>
    <t>869 CHERRY AVENUE</t>
  </si>
  <si>
    <t>1000 Greenley Road</t>
  </si>
  <si>
    <t>Sonora</t>
  </si>
  <si>
    <t>LOS ROBLES HOSPITAL AND MEDICAL CENTER</t>
  </si>
  <si>
    <t>ST. JOHNS PLEASANT VALLEY HOSPITAL</t>
  </si>
  <si>
    <t>ST. JOHNS REGIONAL MEDICAL CENTER</t>
  </si>
  <si>
    <t>MSSA Designation</t>
  </si>
  <si>
    <t>MSSA Name</t>
  </si>
  <si>
    <t>Unknown Payer</t>
  </si>
  <si>
    <r>
      <rPr>
        <b/>
        <sz val="8"/>
        <rFont val="Arial"/>
        <family val="2"/>
      </rPr>
      <t>99</t>
    </r>
    <r>
      <rPr>
        <sz val="8"/>
        <rFont val="Arial"/>
        <family val="2"/>
      </rPr>
      <t>=Invalid/Unknown</t>
    </r>
  </si>
  <si>
    <r>
      <rPr>
        <b/>
        <sz val="8"/>
        <rFont val="Arial"/>
        <family val="2"/>
      </rPr>
      <t>09</t>
    </r>
    <r>
      <rPr>
        <sz val="8"/>
        <rFont val="Arial"/>
        <family val="2"/>
      </rPr>
      <t>=Self-Pay</t>
    </r>
  </si>
  <si>
    <r>
      <rPr>
        <b/>
        <sz val="8"/>
        <rFont val="Arial"/>
        <family val="2"/>
      </rPr>
      <t>11</t>
    </r>
    <r>
      <rPr>
        <sz val="8"/>
        <rFont val="Arial"/>
        <family val="2"/>
      </rPr>
      <t xml:space="preserve">=Other Non-federal Programs, </t>
    </r>
    <r>
      <rPr>
        <b/>
        <sz val="8"/>
        <rFont val="Arial"/>
        <family val="2"/>
      </rPr>
      <t>CH</t>
    </r>
    <r>
      <rPr>
        <sz val="8"/>
        <rFont val="Arial"/>
        <family val="2"/>
      </rPr>
      <t xml:space="preserve">=Champus (Tricare), </t>
    </r>
    <r>
      <rPr>
        <b/>
        <sz val="8"/>
        <rFont val="Arial"/>
        <family val="2"/>
      </rPr>
      <t>DS</t>
    </r>
    <r>
      <rPr>
        <sz val="8"/>
        <rFont val="Arial"/>
        <family val="2"/>
      </rPr>
      <t xml:space="preserve">=Disability, </t>
    </r>
    <r>
      <rPr>
        <b/>
        <sz val="8"/>
        <rFont val="Arial"/>
        <family val="2"/>
      </rPr>
      <t>OF</t>
    </r>
    <r>
      <rPr>
        <sz val="8"/>
        <rFont val="Arial"/>
        <family val="2"/>
      </rPr>
      <t xml:space="preserve">=Other Federal Programs, </t>
    </r>
    <r>
      <rPr>
        <b/>
        <sz val="8"/>
        <rFont val="Arial"/>
        <family val="2"/>
      </rPr>
      <t>TV</t>
    </r>
    <r>
      <rPr>
        <sz val="8"/>
        <rFont val="Arial"/>
        <family val="2"/>
      </rPr>
      <t xml:space="preserve">=Title V, </t>
    </r>
    <r>
      <rPr>
        <b/>
        <sz val="8"/>
        <rFont val="Arial"/>
        <family val="2"/>
      </rPr>
      <t>VA</t>
    </r>
    <r>
      <rPr>
        <sz val="8"/>
        <rFont val="Arial"/>
        <family val="2"/>
      </rPr>
      <t xml:space="preserve">=Veterans Affairs Plans, </t>
    </r>
    <r>
      <rPr>
        <b/>
        <sz val="8"/>
        <rFont val="Arial"/>
        <family val="2"/>
      </rPr>
      <t>00</t>
    </r>
    <r>
      <rPr>
        <sz val="8"/>
        <rFont val="Arial"/>
        <family val="2"/>
      </rPr>
      <t xml:space="preserve">=Other, or </t>
    </r>
    <r>
      <rPr>
        <b/>
        <sz val="8"/>
        <rFont val="Arial"/>
        <family val="2"/>
      </rPr>
      <t>WC</t>
    </r>
    <r>
      <rPr>
        <sz val="8"/>
        <rFont val="Arial"/>
        <family val="2"/>
      </rPr>
      <t>=Workers Compensation</t>
    </r>
  </si>
  <si>
    <r>
      <rPr>
        <b/>
        <sz val="8"/>
        <color theme="1"/>
        <rFont val="Arial"/>
        <family val="2"/>
      </rPr>
      <t>00</t>
    </r>
    <r>
      <rPr>
        <sz val="8"/>
        <color theme="1"/>
        <rFont val="Arial"/>
        <family val="2"/>
      </rPr>
      <t>=Invalid/Blank</t>
    </r>
  </si>
  <si>
    <t>Skilled Nursing</t>
  </si>
  <si>
    <t>4.  Database:  The background data that is necessary to run the pivot table is located in the "DATA" worksheet.  DO NOT MAKE ANY CHANGES TO THIS WORKSHEET, AS IT CONTAINS MANY LINKS, FORMULAS AND CUSTOM FORMATS THAT CAN EASILY BE CORRUPTED.  If you would like to use the data in the "DATA" worksheet, make a copy of it and use the copy (in Excel, Copy Sheet function).</t>
  </si>
  <si>
    <t>SelfPay</t>
  </si>
  <si>
    <t>Unknown_Payer</t>
  </si>
  <si>
    <t>a_SelfPay</t>
  </si>
  <si>
    <t>a_Unknown_Payer</t>
  </si>
  <si>
    <t>LICENSED_BED_TOTAL</t>
  </si>
  <si>
    <t>Sum of SelfPay</t>
  </si>
  <si>
    <t>Sum of Unknown_Payer</t>
  </si>
  <si>
    <t>Sum of a_SelfPay</t>
  </si>
  <si>
    <t>Sum of a_Unknown_Payer</t>
  </si>
  <si>
    <t>EMS Treatment Stations</t>
  </si>
  <si>
    <t>CHART DATA:</t>
  </si>
  <si>
    <r>
      <t xml:space="preserve">Ethnicity = "Hispanic" </t>
    </r>
    <r>
      <rPr>
        <b/>
        <u/>
        <sz val="7"/>
        <rFont val="Arial"/>
        <family val="2"/>
      </rPr>
      <t>and</t>
    </r>
    <r>
      <rPr>
        <sz val="7"/>
        <rFont val="Arial"/>
        <family val="2"/>
      </rPr>
      <t xml:space="preserve"> Race = "White", "Black", "American Indian or Alaska Native", "Asian", "Native Hawaiian or Other Pacific Islander", "Other",  "Unknown", or Invalid</t>
    </r>
  </si>
  <si>
    <r>
      <t xml:space="preserve">Ethnicity = "Non-Hispanic", "Unknown", or Invalid </t>
    </r>
    <r>
      <rPr>
        <b/>
        <u/>
        <sz val="8"/>
        <rFont val="Arial"/>
        <family val="2"/>
      </rPr>
      <t>and</t>
    </r>
    <r>
      <rPr>
        <sz val="8"/>
        <rFont val="Arial"/>
        <family val="2"/>
      </rPr>
      <t xml:space="preserve"> 
Race = "Asian" or "Native Hawaiian or Other Pacific Islander"</t>
    </r>
  </si>
  <si>
    <t>American Indian/Alaska Native</t>
  </si>
  <si>
    <r>
      <t xml:space="preserve">Ethnicity = "Non-Hispanic", "Unknown", or Invalid </t>
    </r>
    <r>
      <rPr>
        <b/>
        <u/>
        <sz val="8"/>
        <rFont val="Arial"/>
        <family val="2"/>
      </rPr>
      <t>and</t>
    </r>
    <r>
      <rPr>
        <sz val="8"/>
        <rFont val="Arial"/>
        <family val="2"/>
      </rPr>
      <t xml:space="preserve"> 
Race = "American Indian/Alaska Native" </t>
    </r>
  </si>
  <si>
    <t>3.  Printing: The four-page Profile is set to print in portrait format.</t>
  </si>
  <si>
    <t>CONGRESS_DIST</t>
  </si>
  <si>
    <t>EMS_STATION</t>
  </si>
  <si>
    <t>Select your variables above using the pulldown arrows.  You can choose a specific hospital or county, or create a custom aggregation.  To get Statewide totals, select "All" for all fields.  When done, click on the "PROFILE" worksheet to see your results.</t>
  </si>
  <si>
    <t>Note:  Avoid changing the worksheets as they contain many links, formulas and custom formats.</t>
  </si>
  <si>
    <t>**No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</si>
  <si>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Make your selections here</t>
  </si>
  <si>
    <t>Self-Pay/Uninsured</t>
  </si>
  <si>
    <t>Sex_Unk</t>
  </si>
  <si>
    <t>Sum of Sex_Unk</t>
  </si>
  <si>
    <t>Sex</t>
  </si>
  <si>
    <t>Unknown/Invalid/Blank</t>
  </si>
  <si>
    <t>TYPE OF CONTROL</t>
  </si>
  <si>
    <t>NOTE: The Emergency Department Data Pivot Profile uses all of the data from the Emergency Department dataset and those records from the Patient Discharge dataset where the Source of Admission was "The admitting hospital's Emergency Room."  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</si>
  <si>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r>
      <t xml:space="preserve">The purpose of the following notes is to help the data user understand the categorization of selected profile tables.  Detailed information regarding the individual data elements can be found in the </t>
    </r>
    <r>
      <rPr>
        <b/>
        <i/>
        <u/>
        <sz val="8"/>
        <rFont val="Arial"/>
        <family val="2"/>
      </rPr>
      <t>California Inpatient Data Reporting Manual</t>
    </r>
    <r>
      <rPr>
        <sz val="8"/>
        <rFont val="Arial"/>
        <family val="2"/>
      </rPr>
      <t xml:space="preserve"> and the </t>
    </r>
    <r>
      <rPr>
        <b/>
        <i/>
        <u/>
        <sz val="8"/>
        <rFont val="Arial"/>
        <family val="2"/>
      </rPr>
      <t>California Emergency Department and Ambulatory Surgery Data Reporting Manual</t>
    </r>
    <r>
      <rPr>
        <sz val="8"/>
        <rFont val="Arial"/>
        <family val="2"/>
      </rPr>
      <t xml:space="preserve"> on the OSHPD web site (</t>
    </r>
    <r>
      <rPr>
        <b/>
        <u/>
        <sz val="8"/>
        <rFont val="Arial"/>
        <family val="2"/>
      </rPr>
      <t>www.oshpd.ca.gov</t>
    </r>
    <r>
      <rPr>
        <sz val="8"/>
        <rFont val="Arial"/>
        <family val="2"/>
      </rPr>
      <t>).</t>
    </r>
  </si>
  <si>
    <r>
      <t xml:space="preserve">Ethnicity = "Hispanic" </t>
    </r>
    <r>
      <rPr>
        <b/>
        <u/>
        <sz val="7"/>
        <rFont val="Arial"/>
        <family val="2"/>
      </rPr>
      <t>and</t>
    </r>
    <r>
      <rPr>
        <sz val="7"/>
        <rFont val="Arial"/>
        <family val="2"/>
      </rPr>
      <t xml:space="preserve"> Race = "White", "Black", "Native American", "Asian/Pacific Islander", "Other",  "Unknown", or Invalid</t>
    </r>
  </si>
  <si>
    <r>
      <t xml:space="preserve">Ethnicity = "Non-Hispanic", "Unknown", or Invalid </t>
    </r>
    <r>
      <rPr>
        <b/>
        <u/>
        <sz val="8"/>
        <rFont val="Arial"/>
        <family val="2"/>
      </rPr>
      <t>and</t>
    </r>
    <r>
      <rPr>
        <sz val="8"/>
        <rFont val="Arial"/>
        <family val="2"/>
      </rPr>
      <t xml:space="preserve"> 
Race = "Asian/Pacific Islander" </t>
    </r>
  </si>
  <si>
    <r>
      <t xml:space="preserve">Ethnicity = "Non-Hispanic", "Unknown", or Invalid </t>
    </r>
    <r>
      <rPr>
        <b/>
        <u/>
        <sz val="8"/>
        <rFont val="Arial"/>
        <family val="2"/>
      </rPr>
      <t>and</t>
    </r>
    <r>
      <rPr>
        <sz val="8"/>
        <rFont val="Arial"/>
        <family val="2"/>
      </rPr>
      <t xml:space="preserve"> 
Race = "Native American/Eskimo" </t>
    </r>
  </si>
  <si>
    <t>From Emergency Department Data</t>
  </si>
  <si>
    <t>From Patient Discharge Data</t>
  </si>
  <si>
    <r>
      <rPr>
        <b/>
        <sz val="8"/>
        <color theme="1"/>
        <rFont val="Arial"/>
        <family val="2"/>
      </rPr>
      <t>04</t>
    </r>
    <r>
      <rPr>
        <sz val="8"/>
        <color theme="1"/>
        <rFont val="Arial"/>
        <family val="2"/>
      </rPr>
      <t xml:space="preserve">=Workers Compensation, </t>
    </r>
    <r>
      <rPr>
        <b/>
        <sz val="8"/>
        <color theme="1"/>
        <rFont val="Arial"/>
        <family val="2"/>
      </rPr>
      <t>06</t>
    </r>
    <r>
      <rPr>
        <sz val="8"/>
        <color theme="1"/>
        <rFont val="Arial"/>
        <family val="2"/>
      </rPr>
      <t xml:space="preserve">=Other Government, or </t>
    </r>
    <r>
      <rPr>
        <b/>
        <sz val="8"/>
        <color theme="1"/>
        <rFont val="Arial"/>
        <family val="2"/>
      </rPr>
      <t>09</t>
    </r>
    <r>
      <rPr>
        <sz val="8"/>
        <color theme="1"/>
        <rFont val="Arial"/>
        <family val="2"/>
      </rPr>
      <t>=Other Payer</t>
    </r>
  </si>
  <si>
    <t>Other/Unknown/Invalid</t>
  </si>
  <si>
    <t>414139</t>
  </si>
  <si>
    <t>1100 VETERANS BLVD.</t>
  </si>
  <si>
    <t>a_Sex_Other_Unk</t>
  </si>
  <si>
    <t>N/A</t>
  </si>
  <si>
    <t>Sum of a_Sex_Other_Unk</t>
  </si>
  <si>
    <t>Preferred Language Spoken</t>
  </si>
  <si>
    <t>Rehab</t>
  </si>
  <si>
    <t>Disaster_Care_Site</t>
  </si>
  <si>
    <t>Residential_Care</t>
  </si>
  <si>
    <t>Childrens_or_Cancer</t>
  </si>
  <si>
    <t>CAH</t>
  </si>
  <si>
    <t>a_Rehab</t>
  </si>
  <si>
    <t>a_Disaster_Care_Site</t>
  </si>
  <si>
    <t>a_Residential_Care</t>
  </si>
  <si>
    <t>a_Childrens_or_Cancer</t>
  </si>
  <si>
    <t>a_CAH</t>
  </si>
  <si>
    <t>Invalid_Blank_Disp</t>
  </si>
  <si>
    <t>Other_Disp</t>
  </si>
  <si>
    <t>a_Invalid_Blank_Disp</t>
  </si>
  <si>
    <t>a_Other_Disp</t>
  </si>
  <si>
    <t>Beds 200-299</t>
  </si>
  <si>
    <t>2015</t>
  </si>
  <si>
    <t>Beds 300-499</t>
  </si>
  <si>
    <t>Beds 150-199</t>
  </si>
  <si>
    <t>Beds 50-99</t>
  </si>
  <si>
    <t>Beds 100-149</t>
  </si>
  <si>
    <t>Beds 1-49</t>
  </si>
  <si>
    <t>Beds 500+</t>
  </si>
  <si>
    <t>160787</t>
  </si>
  <si>
    <t>CENTRAL VALLEY GENERAL HOSPITAL</t>
  </si>
  <si>
    <t>1025 NORTH DOUTY STREET</t>
  </si>
  <si>
    <t>190066</t>
  </si>
  <si>
    <t>LOS ANGELES COMMUNITY HOSPITAL AT BELLFLOWER</t>
  </si>
  <si>
    <t>9542 ARTESIA BOULEVARD</t>
  </si>
  <si>
    <t>BELLFLOWER</t>
  </si>
  <si>
    <t>90706</t>
  </si>
  <si>
    <t>Bellflower/Paramount South</t>
  </si>
  <si>
    <t>191230</t>
  </si>
  <si>
    <t>MARTIN LUTHER KING JR.-HARBOR HOSPITAL</t>
  </si>
  <si>
    <t>12021 WILMINGTON AVENUE</t>
  </si>
  <si>
    <t>90059</t>
  </si>
  <si>
    <t>Paramount North/Willowbrook</t>
  </si>
  <si>
    <t>234038</t>
  </si>
  <si>
    <t>FRANK R. HOWARD MEMORIAL HOSPITAL</t>
  </si>
  <si>
    <t>1 MARCELA DRIVE</t>
  </si>
  <si>
    <t>371256</t>
  </si>
  <si>
    <t>SCRIPPS GREEN HOSPITAL</t>
  </si>
  <si>
    <t>10666 NORTH TORREY PINES ROAD</t>
  </si>
  <si>
    <t>LICENSE_CATEGORY_DESC</t>
  </si>
  <si>
    <t>General Acute Care Hospital</t>
  </si>
  <si>
    <t>2015 Emergency Department Summary Report</t>
  </si>
  <si>
    <t>Source: 2015 California Emergency Department Data</t>
  </si>
  <si>
    <t>2015 Patient Discharge Data</t>
  </si>
  <si>
    <t>Sum of Rehab</t>
  </si>
  <si>
    <t>Sum of Disaster_Care_Site</t>
  </si>
  <si>
    <t>Sum of Residential_Care</t>
  </si>
  <si>
    <t>Sum of Childrens_or_Cancer</t>
  </si>
  <si>
    <t>Sum of CAH</t>
  </si>
  <si>
    <t>Sum of a_Rehab</t>
  </si>
  <si>
    <t>Sum of a_Disaster_Care_Site</t>
  </si>
  <si>
    <t>Sum of a_Residential_Care</t>
  </si>
  <si>
    <t>Sum of a_Childrens_or_Cancer</t>
  </si>
  <si>
    <t>Sum of a_CAH</t>
  </si>
  <si>
    <t>Sum of Invalid_Blank_Disp</t>
  </si>
  <si>
    <t>Sum of a_Invalid_Blank_Disp</t>
  </si>
  <si>
    <t>Sum of Other_Disp</t>
  </si>
  <si>
    <t>Sum of a_Other_Disp</t>
  </si>
  <si>
    <t>Invalid/Blank</t>
  </si>
  <si>
    <t>Disaster Care Site</t>
  </si>
  <si>
    <t>Inpatient Rehabilitation</t>
  </si>
  <si>
    <r>
      <rPr>
        <b/>
        <sz val="8"/>
        <rFont val="Arial"/>
        <family val="2"/>
      </rPr>
      <t>02</t>
    </r>
    <r>
      <rPr>
        <sz val="8"/>
        <rFont val="Arial"/>
        <family val="2"/>
      </rPr>
      <t xml:space="preserve">=Discharged/transferred to a short term general hospital for inpatient care
</t>
    </r>
    <r>
      <rPr>
        <b/>
        <sz val="8"/>
        <rFont val="Arial"/>
        <family val="2"/>
      </rPr>
      <t>82</t>
    </r>
    <r>
      <rPr>
        <sz val="8"/>
        <rFont val="Arial"/>
        <family val="2"/>
      </rPr>
      <t xml:space="preserve">=Discharged/Transferred to a Short Term General Hospital for Inpatient Care with a Planned Acute Care Hospital Inpatient Readmission
</t>
    </r>
    <r>
      <rPr>
        <b/>
        <sz val="8"/>
        <rFont val="Arial"/>
        <family val="2"/>
      </rPr>
      <t>63</t>
    </r>
    <r>
      <rPr>
        <sz val="8"/>
        <rFont val="Arial"/>
        <family val="2"/>
      </rPr>
      <t xml:space="preserve">=Discharged/transferred to a Medicare certified long term care hospital (LTCH)
</t>
    </r>
    <r>
      <rPr>
        <b/>
        <sz val="8"/>
        <rFont val="Arial"/>
        <family val="2"/>
      </rPr>
      <t>91</t>
    </r>
    <r>
      <rPr>
        <sz val="8"/>
        <rFont val="Arial"/>
        <family val="2"/>
      </rPr>
      <t xml:space="preserve">=Discharged/Transferred to a Medicare certified Long Term Care Hospital (LTCH) with a Planned Acute Care Hospital Inpatient Readmission
</t>
    </r>
    <r>
      <rPr>
        <b/>
        <sz val="8"/>
        <rFont val="Arial"/>
        <family val="2"/>
      </rPr>
      <t>43</t>
    </r>
    <r>
      <rPr>
        <sz val="8"/>
        <rFont val="Arial"/>
        <family val="2"/>
      </rPr>
      <t xml:space="preserve">=Discharged/transferred to a federal health care facility
</t>
    </r>
    <r>
      <rPr>
        <b/>
        <sz val="8"/>
        <rFont val="Arial"/>
        <family val="2"/>
      </rPr>
      <t>88</t>
    </r>
    <r>
      <rPr>
        <sz val="8"/>
        <rFont val="Arial"/>
        <family val="2"/>
      </rPr>
      <t>=Discharged/Transferred to a Federal Health Care Facility with a Planned Acute Care Hospital Inpatient Readmission</t>
    </r>
  </si>
  <si>
    <r>
      <rPr>
        <b/>
        <sz val="8"/>
        <rFont val="Arial"/>
        <family val="2"/>
      </rPr>
      <t>07</t>
    </r>
    <r>
      <rPr>
        <sz val="8"/>
        <rFont val="Arial"/>
        <family val="2"/>
      </rPr>
      <t>=Left against medical advice or discontinued care</t>
    </r>
  </si>
  <si>
    <r>
      <rPr>
        <b/>
        <sz val="8"/>
        <rFont val="Arial"/>
        <family val="2"/>
      </rPr>
      <t>05</t>
    </r>
    <r>
      <rPr>
        <sz val="8"/>
        <rFont val="Arial"/>
        <family val="2"/>
      </rPr>
      <t xml:space="preserve">=Discharged/transferred to a designated cancer center or children’s hospital
</t>
    </r>
    <r>
      <rPr>
        <b/>
        <sz val="8"/>
        <rFont val="Arial"/>
        <family val="2"/>
      </rPr>
      <t>85</t>
    </r>
    <r>
      <rPr>
        <sz val="8"/>
        <rFont val="Arial"/>
        <family val="2"/>
      </rPr>
      <t>=Discharged/Transferred to a designated Cancer Center or Children's Hospital with a Planned Acute Care Hospital Inpatient Readmission</t>
    </r>
  </si>
  <si>
    <r>
      <rPr>
        <b/>
        <sz val="8"/>
        <rFont val="Arial"/>
        <family val="2"/>
      </rPr>
      <t>66</t>
    </r>
    <r>
      <rPr>
        <sz val="8"/>
        <rFont val="Arial"/>
        <family val="2"/>
      </rPr>
      <t xml:space="preserve">=Discharged/transferred to a Critical Access Hospital (CAH)
</t>
    </r>
    <r>
      <rPr>
        <b/>
        <sz val="8"/>
        <rFont val="Arial"/>
        <family val="2"/>
      </rPr>
      <t>94</t>
    </r>
    <r>
      <rPr>
        <sz val="8"/>
        <rFont val="Arial"/>
        <family val="2"/>
      </rPr>
      <t>=Discharged/Transferred to a Critical Access Hospital (CAH) with a Planned Acute Care Hospital Inpatient Readmission</t>
    </r>
  </si>
  <si>
    <r>
      <rPr>
        <b/>
        <sz val="8"/>
        <rFont val="Arial"/>
        <family val="2"/>
      </rPr>
      <t>20</t>
    </r>
    <r>
      <rPr>
        <sz val="8"/>
        <rFont val="Arial"/>
        <family val="2"/>
      </rPr>
      <t>=Expired</t>
    </r>
  </si>
  <si>
    <r>
      <rPr>
        <b/>
        <sz val="8"/>
        <rFont val="Arial"/>
        <family val="2"/>
      </rPr>
      <t>69</t>
    </r>
    <r>
      <rPr>
        <sz val="8"/>
        <rFont val="Arial"/>
        <family val="2"/>
      </rPr>
      <t>=Discharged/Transferred to a designated Disaster Alternative Care Site</t>
    </r>
  </si>
  <si>
    <r>
      <rPr>
        <b/>
        <sz val="8"/>
        <rFont val="Arial"/>
        <family val="2"/>
      </rPr>
      <t>06</t>
    </r>
    <r>
      <rPr>
        <sz val="8"/>
        <rFont val="Arial"/>
        <family val="2"/>
      </rPr>
      <t xml:space="preserve">=Discharged/transferred to home under care of organized home health service organization in anticipation of covered skilled care
</t>
    </r>
    <r>
      <rPr>
        <b/>
        <sz val="8"/>
        <rFont val="Arial"/>
        <family val="2"/>
      </rPr>
      <t>86</t>
    </r>
    <r>
      <rPr>
        <sz val="8"/>
        <rFont val="Arial"/>
        <family val="2"/>
      </rPr>
      <t>=Discharged/Transferred to home under care of organized home health service organization with a Planned Acute Care Hospital Inpatient Readmission</t>
    </r>
  </si>
  <si>
    <r>
      <rPr>
        <b/>
        <sz val="8"/>
        <rFont val="Arial"/>
        <family val="2"/>
      </rPr>
      <t>50</t>
    </r>
    <r>
      <rPr>
        <sz val="8"/>
        <rFont val="Arial"/>
        <family val="2"/>
      </rPr>
      <t xml:space="preserve">=Discharged home with hospice care
</t>
    </r>
    <r>
      <rPr>
        <b/>
        <sz val="8"/>
        <rFont val="Arial"/>
        <family val="2"/>
      </rPr>
      <t>51</t>
    </r>
    <r>
      <rPr>
        <sz val="8"/>
        <rFont val="Arial"/>
        <family val="2"/>
      </rPr>
      <t>=Discharged to a medical facility with hospice care</t>
    </r>
  </si>
  <si>
    <r>
      <rPr>
        <b/>
        <sz val="8"/>
        <rFont val="Arial"/>
        <family val="2"/>
      </rPr>
      <t>62</t>
    </r>
    <r>
      <rPr>
        <sz val="8"/>
        <rFont val="Arial"/>
        <family val="2"/>
      </rPr>
      <t xml:space="preserve">=Discharged/transferred to an inpatient rehabilitation facility (IRF) including a rehabilitation distinct part unit of a hospital
</t>
    </r>
    <r>
      <rPr>
        <b/>
        <sz val="8"/>
        <rFont val="Arial"/>
        <family val="2"/>
      </rPr>
      <t>90</t>
    </r>
    <r>
      <rPr>
        <sz val="8"/>
        <rFont val="Arial"/>
        <family val="2"/>
      </rPr>
      <t>=Discharged/Transferred to an Inpatient Rehabilitation Facility (IRF) including Rehabilitation Distinct Part Unit of a Hospital with a Planned Acute Care Hospital Inpatient Readmission</t>
    </r>
  </si>
  <si>
    <r>
      <rPr>
        <b/>
        <sz val="8"/>
        <rFont val="Arial"/>
        <family val="2"/>
      </rPr>
      <t>99</t>
    </r>
    <r>
      <rPr>
        <sz val="8"/>
        <rFont val="Arial"/>
        <family val="2"/>
      </rPr>
      <t>=Invalid/Missing</t>
    </r>
  </si>
  <si>
    <r>
      <rPr>
        <b/>
        <sz val="8"/>
        <rFont val="Arial"/>
        <family val="2"/>
      </rPr>
      <t>70</t>
    </r>
    <r>
      <rPr>
        <sz val="8"/>
        <rFont val="Arial"/>
        <family val="2"/>
      </rPr>
      <t xml:space="preserve">=Discharged/transferred to another type of health care institution not defined elsewhere in this code list
</t>
    </r>
    <r>
      <rPr>
        <b/>
        <sz val="8"/>
        <rFont val="Arial"/>
        <family val="2"/>
      </rPr>
      <t>95</t>
    </r>
    <r>
      <rPr>
        <sz val="8"/>
        <rFont val="Arial"/>
        <family val="2"/>
      </rPr>
      <t>=Discharged/Transferred to another type of health care institution not defined elsewhere in this code list with a Planned Acute Care Hospital Inpatient Readmission</t>
    </r>
  </si>
  <si>
    <r>
      <rPr>
        <b/>
        <sz val="8"/>
        <rFont val="Arial"/>
        <family val="2"/>
      </rPr>
      <t>00</t>
    </r>
    <r>
      <rPr>
        <sz val="8"/>
        <rFont val="Arial"/>
        <family val="2"/>
      </rPr>
      <t>=Other</t>
    </r>
  </si>
  <si>
    <r>
      <rPr>
        <b/>
        <sz val="8"/>
        <rFont val="Arial"/>
        <family val="2"/>
      </rPr>
      <t>21</t>
    </r>
    <r>
      <rPr>
        <sz val="8"/>
        <rFont val="Arial"/>
        <family val="2"/>
      </rPr>
      <t xml:space="preserve">=Discharged/transferred to court/law enforcement
</t>
    </r>
    <r>
      <rPr>
        <b/>
        <sz val="8"/>
        <rFont val="Arial"/>
        <family val="2"/>
      </rPr>
      <t>87</t>
    </r>
    <r>
      <rPr>
        <sz val="8"/>
        <rFont val="Arial"/>
        <family val="2"/>
      </rPr>
      <t>=Discharged/Transferred to Court/Law Enforcement with a Planned Acute Care Hospital Inpatient Readmission</t>
    </r>
  </si>
  <si>
    <r>
      <rPr>
        <b/>
        <sz val="8"/>
        <rFont val="Arial"/>
        <family val="2"/>
      </rPr>
      <t>65</t>
    </r>
    <r>
      <rPr>
        <sz val="8"/>
        <rFont val="Arial"/>
        <family val="2"/>
      </rPr>
      <t xml:space="preserve">=Discharged/transferred to a psychiatric hospital or psychiatric distinct part unit of a hospital
</t>
    </r>
    <r>
      <rPr>
        <b/>
        <sz val="8"/>
        <rFont val="Arial"/>
        <family val="2"/>
      </rPr>
      <t>93</t>
    </r>
    <r>
      <rPr>
        <sz val="8"/>
        <rFont val="Arial"/>
        <family val="2"/>
      </rPr>
      <t>=Discharged/Transferred to a Psychiatric Hospital or Psychiatric Distinct Part Unit of a Hospital with a Planned Acute Care Hospital Inpatient Readmission</t>
    </r>
  </si>
  <si>
    <r>
      <rPr>
        <b/>
        <sz val="8"/>
        <rFont val="Arial"/>
        <family val="2"/>
      </rPr>
      <t>04</t>
    </r>
    <r>
      <rPr>
        <sz val="8"/>
        <rFont val="Arial"/>
        <family val="2"/>
      </rPr>
      <t xml:space="preserve">=Discharged/transferred to a facility that provides custodial or supportive care
</t>
    </r>
    <r>
      <rPr>
        <b/>
        <sz val="8"/>
        <rFont val="Arial"/>
        <family val="2"/>
      </rPr>
      <t>84</t>
    </r>
    <r>
      <rPr>
        <sz val="8"/>
        <rFont val="Arial"/>
        <family val="2"/>
      </rPr>
      <t>=Discharged/Transferred to a facility that provides custodial or supportive care (includes intermediate care facility) with a Planned Acute Care Hospital Inpatient Readmission</t>
    </r>
  </si>
  <si>
    <r>
      <rPr>
        <b/>
        <sz val="8"/>
        <rFont val="Arial"/>
        <family val="2"/>
      </rPr>
      <t>01</t>
    </r>
    <r>
      <rPr>
        <sz val="8"/>
        <rFont val="Arial"/>
        <family val="2"/>
      </rPr>
      <t xml:space="preserve">=Discharged to home or self care (routine discharge) o
</t>
    </r>
    <r>
      <rPr>
        <b/>
        <sz val="8"/>
        <rFont val="Arial"/>
        <family val="2"/>
      </rPr>
      <t>81</t>
    </r>
    <r>
      <rPr>
        <sz val="8"/>
        <rFont val="Arial"/>
        <family val="2"/>
      </rPr>
      <t>=Discharged/Transferred to Home or Self Care with a Planned Acute Care Hospital Inpatient Readmission</t>
    </r>
  </si>
  <si>
    <r>
      <rPr>
        <b/>
        <sz val="8"/>
        <rFont val="Arial"/>
        <family val="2"/>
      </rPr>
      <t>03</t>
    </r>
    <r>
      <rPr>
        <sz val="8"/>
        <rFont val="Arial"/>
        <family val="2"/>
      </rPr>
      <t xml:space="preserve">=Discharged/transferred to skilled nursing facility (SNF) with Medicare certification in anticipation of covered skilled care
</t>
    </r>
    <r>
      <rPr>
        <b/>
        <sz val="8"/>
        <rFont val="Arial"/>
        <family val="2"/>
      </rPr>
      <t>83</t>
    </r>
    <r>
      <rPr>
        <sz val="8"/>
        <rFont val="Arial"/>
        <family val="2"/>
      </rPr>
      <t xml:space="preserve">=Discharged/Transferred to Skilled Nursing Facility (SNF) with Medicare Certification with a Planned Acute Care Hospital Inpatient Readmission
</t>
    </r>
    <r>
      <rPr>
        <b/>
        <sz val="8"/>
        <rFont val="Arial"/>
        <family val="2"/>
      </rPr>
      <t>61</t>
    </r>
    <r>
      <rPr>
        <sz val="8"/>
        <rFont val="Arial"/>
        <family val="2"/>
      </rPr>
      <t xml:space="preserve">=Discharged/transferred to a hospital-based Medicare approved swing bed
</t>
    </r>
    <r>
      <rPr>
        <b/>
        <sz val="8"/>
        <rFont val="Arial"/>
        <family val="2"/>
      </rPr>
      <t>89</t>
    </r>
    <r>
      <rPr>
        <sz val="8"/>
        <rFont val="Arial"/>
        <family val="2"/>
      </rPr>
      <t xml:space="preserve">=Discharged/Transferred to a hospital-based Medicare approved swing bed with a Planned Acute Care Hospital Inpatient Readmission
</t>
    </r>
    <r>
      <rPr>
        <b/>
        <sz val="8"/>
        <rFont val="Arial"/>
        <family val="2"/>
      </rPr>
      <t>64</t>
    </r>
    <r>
      <rPr>
        <sz val="8"/>
        <rFont val="Arial"/>
        <family val="2"/>
      </rPr>
      <t xml:space="preserve">=Discharged/transferred to a nursing facility certified under Medicaid (Medi-Cal), but not certified under Medicare
</t>
    </r>
    <r>
      <rPr>
        <b/>
        <sz val="8"/>
        <rFont val="Arial"/>
        <family val="2"/>
      </rPr>
      <t>92</t>
    </r>
    <r>
      <rPr>
        <sz val="8"/>
        <rFont val="Arial"/>
        <family val="2"/>
      </rPr>
      <t>=Discharged/Transferred to a Nursing Facility certified under Medicaid (Medi-Cal), but not certified under Medicare with a Planned Acute Care Hospital Inpatient Readmission</t>
    </r>
  </si>
  <si>
    <t>2015 Emergency Department Pivot Profile</t>
  </si>
  <si>
    <t>KAISER FND HOSP - REDWOOD CITY</t>
  </si>
  <si>
    <t>This Excel pivot table uses the California Patient Discharge Database and the Emergency Department Database for January 1, 2015 to December 31, 2015.  It is a fast and simple way to aggregate and display data.</t>
  </si>
  <si>
    <t>October 2016</t>
  </si>
  <si>
    <t>Due to a change from ICD-9-CM to ICD-10-CM codes, effective October 1, 2015, 
these groups are not available for the 2015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</si>
</sst>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_(* \(#,##0\);_(* &quot;-&quot;_);_(@_)"/>
    <numFmt numFmtId="43" formatCode="_(* #,##0.00_);_(* \(#,##0.00\);_(* &quot;-&quot;??_);_(@_)"/>
    <numFmt numFmtId="164" formatCode="0.0%"/>
    <numFmt numFmtId="165" formatCode="_(* #,##0_);_(* \(#,##0\);_(* &quot;-&quot;??_);_(@_)"/>
  </numFmts>
  <fonts count="25" x14ac:knownFonts="1">
    <font>
      <sz val="11"/>
      <color theme="1"/>
      <name val="Calibri"/>
      <family val="2"/>
      <scheme val="minor"/>
    </font>
    <font>
      <sz val="11"/>
      <color theme="1"/>
      <name val="Calibri"/>
      <family val="2"/>
      <scheme val="minor"/>
    </font>
    <font>
      <sz val="10"/>
      <name val="MS Sans Serif"/>
      <family val="2"/>
    </font>
    <font>
      <sz val="10"/>
      <name val="Arial"/>
      <family val="2"/>
    </font>
    <font>
      <b/>
      <sz val="10"/>
      <name val="Arial"/>
      <family val="2"/>
    </font>
    <font>
      <sz val="10"/>
      <name val="MS Sans Serif"/>
    </font>
    <font>
      <sz val="8"/>
      <name val="Arial"/>
      <family val="2"/>
    </font>
    <font>
      <b/>
      <sz val="8"/>
      <name val="Arial"/>
      <family val="2"/>
    </font>
    <font>
      <b/>
      <i/>
      <u/>
      <sz val="8"/>
      <name val="Arial"/>
      <family val="2"/>
    </font>
    <font>
      <b/>
      <u/>
      <sz val="8"/>
      <name val="Arial"/>
      <family val="2"/>
    </font>
    <font>
      <b/>
      <sz val="7"/>
      <name val="Arial"/>
      <family val="2"/>
    </font>
    <font>
      <b/>
      <u/>
      <sz val="7"/>
      <name val="Arial"/>
      <family val="2"/>
    </font>
    <font>
      <sz val="7"/>
      <name val="Arial"/>
      <family val="2"/>
    </font>
    <font>
      <sz val="8"/>
      <color theme="1"/>
      <name val="Arial"/>
      <family val="2"/>
    </font>
    <font>
      <b/>
      <sz val="8"/>
      <color theme="1"/>
      <name val="Arial"/>
      <family val="2"/>
    </font>
    <font>
      <u/>
      <sz val="11"/>
      <color theme="10"/>
      <name val="Calibri"/>
      <family val="2"/>
      <scheme val="minor"/>
    </font>
    <font>
      <sz val="10"/>
      <color indexed="8"/>
      <name val="Arial"/>
      <family val="2"/>
    </font>
    <font>
      <sz val="11"/>
      <color theme="1"/>
      <name val="Arial"/>
      <family val="2"/>
    </font>
    <font>
      <b/>
      <sz val="12"/>
      <color theme="1"/>
      <name val="Arial"/>
      <family val="2"/>
    </font>
    <font>
      <sz val="9"/>
      <color theme="1"/>
      <name val="Arial"/>
      <family val="2"/>
    </font>
    <font>
      <b/>
      <sz val="11"/>
      <color theme="0"/>
      <name val="Arial"/>
      <family val="2"/>
    </font>
    <font>
      <b/>
      <sz val="11"/>
      <color theme="1"/>
      <name val="Arial"/>
      <family val="2"/>
    </font>
    <font>
      <sz val="12"/>
      <color theme="1"/>
      <name val="Arial"/>
      <family val="2"/>
    </font>
    <font>
      <sz val="10"/>
      <color theme="1"/>
      <name val="Arial"/>
      <family val="2"/>
    </font>
    <font>
      <sz val="10"/>
      <color theme="1"/>
      <name val="Arial"/>
    </font>
  </fonts>
  <fills count="7">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indexed="13"/>
        <bgColor indexed="64"/>
      </patternFill>
    </fill>
    <fill>
      <patternFill patternType="solid">
        <fgColor rgb="FFFFFFFF"/>
        <bgColor indexed="64"/>
      </patternFill>
    </fill>
    <fill>
      <patternFill patternType="solid">
        <fgColor theme="3" tint="0.79998168889431442"/>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1" fillId="0" borderId="0"/>
    <xf numFmtId="0" fontId="2" fillId="0" borderId="0"/>
    <xf numFmtId="0" fontId="3" fillId="0" borderId="0"/>
    <xf numFmtId="9" fontId="2" fillId="0" borderId="0" applyFont="0" applyFill="0" applyBorder="0" applyAlignment="0" applyProtection="0"/>
    <xf numFmtId="9" fontId="2" fillId="0" borderId="0" applyFont="0" applyFill="0" applyBorder="0" applyAlignment="0" applyProtection="0"/>
    <xf numFmtId="0" fontId="5" fillId="0" borderId="0"/>
    <xf numFmtId="0" fontId="15" fillId="0" borderId="0" applyNumberFormat="0" applyFill="0" applyBorder="0" applyAlignment="0" applyProtection="0"/>
    <xf numFmtId="1" fontId="1" fillId="0" borderId="0"/>
    <xf numFmtId="0" fontId="16" fillId="0" borderId="0"/>
  </cellStyleXfs>
  <cellXfs count="110">
    <xf numFmtId="0" fontId="0" fillId="0" borderId="0" xfId="0"/>
    <xf numFmtId="0" fontId="3" fillId="2" borderId="0" xfId="8" applyFont="1" applyFill="1" applyBorder="1" applyAlignment="1">
      <alignment horizontal="left" indent="1"/>
    </xf>
    <xf numFmtId="0" fontId="4" fillId="0" borderId="0" xfId="11" applyFont="1" applyBorder="1" applyAlignment="1">
      <alignment horizontal="center" vertical="center" wrapText="1"/>
    </xf>
    <xf numFmtId="0" fontId="7" fillId="0" borderId="2" xfId="11" applyFont="1" applyBorder="1" applyAlignment="1">
      <alignment horizontal="center" vertical="center" wrapText="1"/>
    </xf>
    <xf numFmtId="0" fontId="10" fillId="0" borderId="4" xfId="11" applyFont="1" applyBorder="1" applyAlignment="1">
      <alignment horizontal="center" vertical="center" wrapText="1"/>
    </xf>
    <xf numFmtId="0" fontId="7" fillId="0" borderId="5" xfId="11" applyFont="1" applyBorder="1" applyAlignment="1">
      <alignment horizontal="center" vertical="center" wrapText="1"/>
    </xf>
    <xf numFmtId="0" fontId="6" fillId="0" borderId="5" xfId="11" applyFont="1" applyBorder="1"/>
    <xf numFmtId="0" fontId="6" fillId="0" borderId="5" xfId="11" applyFont="1" applyBorder="1" applyAlignment="1">
      <alignment horizontal="left" indent="2"/>
    </xf>
    <xf numFmtId="0" fontId="6" fillId="0" borderId="0" xfId="11" applyFont="1" applyBorder="1"/>
    <xf numFmtId="0" fontId="6" fillId="0" borderId="0" xfId="11" applyFont="1" applyBorder="1" applyAlignment="1">
      <alignment horizontal="left"/>
    </xf>
    <xf numFmtId="0" fontId="7" fillId="0" borderId="3" xfId="11" applyFont="1" applyBorder="1" applyAlignment="1">
      <alignment horizontal="center"/>
    </xf>
    <xf numFmtId="0" fontId="10" fillId="0" borderId="6" xfId="11" applyFont="1" applyBorder="1" applyAlignment="1">
      <alignment horizontal="center" vertical="center" wrapText="1"/>
    </xf>
    <xf numFmtId="0" fontId="6" fillId="0" borderId="5" xfId="11" applyFont="1" applyBorder="1" applyAlignment="1">
      <alignment wrapText="1"/>
    </xf>
    <xf numFmtId="0" fontId="6" fillId="0" borderId="0" xfId="11" applyFont="1"/>
    <xf numFmtId="0" fontId="7" fillId="0" borderId="5" xfId="11" applyFont="1" applyFill="1" applyBorder="1" applyAlignment="1">
      <alignment vertical="center" wrapText="1"/>
    </xf>
    <xf numFmtId="0" fontId="7" fillId="0" borderId="5" xfId="11" applyFont="1" applyFill="1" applyBorder="1" applyAlignment="1">
      <alignment vertical="center"/>
    </xf>
    <xf numFmtId="0" fontId="6" fillId="0" borderId="5" xfId="11" applyFont="1" applyFill="1" applyBorder="1" applyAlignment="1">
      <alignment vertical="center" wrapText="1"/>
    </xf>
    <xf numFmtId="0" fontId="13" fillId="0" borderId="5" xfId="0" applyFont="1" applyBorder="1" applyAlignment="1">
      <alignment vertical="top"/>
    </xf>
    <xf numFmtId="0" fontId="13" fillId="0" borderId="5" xfId="0" applyFont="1" applyBorder="1" applyAlignment="1"/>
    <xf numFmtId="0" fontId="13" fillId="0" borderId="5" xfId="0" applyFont="1" applyBorder="1" applyAlignment="1">
      <alignment vertical="top" wrapText="1"/>
    </xf>
    <xf numFmtId="0" fontId="0" fillId="0" borderId="0" xfId="0"/>
    <xf numFmtId="0" fontId="6" fillId="0" borderId="0" xfId="11" applyFont="1" applyBorder="1" applyAlignment="1">
      <alignment vertical="center" wrapText="1"/>
    </xf>
    <xf numFmtId="0" fontId="0" fillId="0" borderId="0" xfId="0" applyBorder="1"/>
    <xf numFmtId="0" fontId="0" fillId="0" borderId="8" xfId="0" applyBorder="1"/>
    <xf numFmtId="0" fontId="0" fillId="0" borderId="10" xfId="0" applyBorder="1"/>
    <xf numFmtId="0" fontId="0" fillId="0" borderId="0" xfId="0" applyAlignment="1"/>
    <xf numFmtId="0" fontId="0" fillId="0" borderId="0" xfId="0"/>
    <xf numFmtId="0" fontId="13" fillId="0" borderId="5" xfId="0" applyFont="1" applyBorder="1" applyAlignment="1">
      <alignment vertical="center" wrapText="1"/>
    </xf>
    <xf numFmtId="0" fontId="15" fillId="0" borderId="0" xfId="12"/>
    <xf numFmtId="0" fontId="7" fillId="0" borderId="3" xfId="0" applyFont="1" applyBorder="1" applyAlignment="1">
      <alignment horizontal="center" vertical="center" wrapText="1"/>
    </xf>
    <xf numFmtId="0" fontId="10" fillId="0" borderId="6" xfId="0" applyFont="1" applyBorder="1" applyAlignment="1">
      <alignment horizontal="center" vertical="center" wrapText="1"/>
    </xf>
    <xf numFmtId="0" fontId="6" fillId="0" borderId="7" xfId="0" applyFont="1" applyBorder="1" applyAlignment="1">
      <alignment vertical="center" wrapText="1"/>
    </xf>
    <xf numFmtId="0" fontId="6" fillId="0" borderId="5" xfId="0" applyFont="1" applyBorder="1" applyAlignment="1">
      <alignment vertical="center" wrapText="1"/>
    </xf>
    <xf numFmtId="0" fontId="12" fillId="0" borderId="5" xfId="0" applyFont="1" applyBorder="1" applyAlignment="1">
      <alignment vertical="center" wrapText="1"/>
    </xf>
    <xf numFmtId="0" fontId="7" fillId="0" borderId="3" xfId="0" applyFont="1" applyBorder="1"/>
    <xf numFmtId="0" fontId="0" fillId="0" borderId="0" xfId="0" applyFill="1"/>
    <xf numFmtId="0" fontId="3" fillId="6" borderId="0" xfId="0" applyFont="1" applyFill="1" applyAlignment="1">
      <alignment horizontal="left" vertical="top" wrapText="1"/>
    </xf>
    <xf numFmtId="0" fontId="7" fillId="0" borderId="5" xfId="14" applyFont="1" applyBorder="1" applyAlignment="1">
      <alignment horizontal="center" vertical="center" wrapText="1"/>
    </xf>
    <xf numFmtId="0" fontId="6" fillId="0" borderId="5" xfId="14" applyFont="1" applyBorder="1" applyAlignment="1">
      <alignment vertical="center" wrapText="1"/>
    </xf>
    <xf numFmtId="0" fontId="7" fillId="0" borderId="0" xfId="11" applyFont="1" applyFill="1" applyBorder="1" applyAlignment="1">
      <alignment vertical="center"/>
    </xf>
    <xf numFmtId="49" fontId="13" fillId="0" borderId="0" xfId="0" applyNumberFormat="1" applyFont="1" applyBorder="1" applyAlignment="1">
      <alignment vertical="top" wrapText="1"/>
    </xf>
    <xf numFmtId="49" fontId="13" fillId="0" borderId="0" xfId="0" applyNumberFormat="1" applyFont="1" applyFill="1" applyBorder="1" applyAlignment="1">
      <alignment vertical="top" wrapText="1"/>
    </xf>
    <xf numFmtId="0" fontId="17" fillId="2" borderId="0" xfId="0" applyFont="1" applyFill="1"/>
    <xf numFmtId="0" fontId="18" fillId="2" borderId="0" xfId="0" applyFont="1" applyFill="1" applyAlignment="1"/>
    <xf numFmtId="0" fontId="19" fillId="2" borderId="0" xfId="0" applyFont="1" applyFill="1" applyAlignment="1">
      <alignment horizontal="right"/>
    </xf>
    <xf numFmtId="0" fontId="17" fillId="2" borderId="0" xfId="0" applyFont="1" applyFill="1" applyAlignment="1">
      <alignment horizontal="left" indent="1"/>
    </xf>
    <xf numFmtId="164" fontId="17" fillId="2" borderId="0" xfId="2" applyNumberFormat="1" applyFont="1" applyFill="1"/>
    <xf numFmtId="164" fontId="17" fillId="2" borderId="1" xfId="2" applyNumberFormat="1" applyFont="1" applyFill="1" applyBorder="1"/>
    <xf numFmtId="164" fontId="17" fillId="2" borderId="0" xfId="2" applyNumberFormat="1" applyFont="1" applyFill="1" applyBorder="1"/>
    <xf numFmtId="164" fontId="17" fillId="2" borderId="0" xfId="0" applyNumberFormat="1" applyFont="1" applyFill="1"/>
    <xf numFmtId="49" fontId="17" fillId="2" borderId="0" xfId="0" applyNumberFormat="1" applyFont="1" applyFill="1" applyAlignment="1">
      <alignment horizontal="left" indent="1"/>
    </xf>
    <xf numFmtId="165" fontId="17" fillId="2" borderId="0" xfId="0" applyNumberFormat="1" applyFont="1" applyFill="1"/>
    <xf numFmtId="0" fontId="17" fillId="2" borderId="0" xfId="0" applyFont="1" applyFill="1" applyAlignment="1">
      <alignment vertical="center"/>
    </xf>
    <xf numFmtId="49" fontId="17" fillId="5" borderId="0" xfId="0" applyNumberFormat="1" applyFont="1" applyFill="1"/>
    <xf numFmtId="49" fontId="17" fillId="0" borderId="0" xfId="0" applyNumberFormat="1" applyFont="1"/>
    <xf numFmtId="49" fontId="17" fillId="2" borderId="0" xfId="0" applyNumberFormat="1" applyFont="1" applyFill="1"/>
    <xf numFmtId="0" fontId="17" fillId="5" borderId="0" xfId="0" applyNumberFormat="1" applyFont="1" applyFill="1"/>
    <xf numFmtId="0" fontId="17" fillId="5" borderId="0" xfId="0" applyFont="1" applyFill="1"/>
    <xf numFmtId="0" fontId="3" fillId="2" borderId="0" xfId="8" applyFont="1" applyFill="1" applyBorder="1"/>
    <xf numFmtId="0" fontId="4" fillId="0" borderId="0" xfId="0" applyFont="1"/>
    <xf numFmtId="0" fontId="23" fillId="0" borderId="0" xfId="0" applyFont="1"/>
    <xf numFmtId="0" fontId="23" fillId="0" borderId="0" xfId="0" applyNumberFormat="1" applyFont="1"/>
    <xf numFmtId="49" fontId="23" fillId="0" borderId="0" xfId="0" applyNumberFormat="1" applyFont="1"/>
    <xf numFmtId="0" fontId="7" fillId="0" borderId="5" xfId="14" applyFont="1" applyBorder="1" applyAlignment="1">
      <alignment horizontal="center" wrapText="1"/>
    </xf>
    <xf numFmtId="0" fontId="6" fillId="0" borderId="5" xfId="14" applyFont="1" applyBorder="1" applyAlignment="1">
      <alignment wrapText="1"/>
    </xf>
    <xf numFmtId="0" fontId="6" fillId="0" borderId="5" xfId="14" quotePrefix="1" applyFont="1" applyBorder="1" applyAlignment="1">
      <alignment wrapText="1"/>
    </xf>
    <xf numFmtId="164" fontId="17" fillId="0" borderId="1" xfId="2" applyNumberFormat="1" applyFont="1" applyFill="1" applyBorder="1"/>
    <xf numFmtId="3" fontId="17" fillId="2" borderId="0" xfId="0" applyNumberFormat="1" applyFont="1" applyFill="1"/>
    <xf numFmtId="3" fontId="17" fillId="2" borderId="0" xfId="0" applyNumberFormat="1" applyFont="1" applyFill="1" applyAlignment="1">
      <alignment horizontal="left"/>
    </xf>
    <xf numFmtId="3" fontId="17" fillId="2" borderId="0" xfId="1" applyNumberFormat="1" applyFont="1" applyFill="1"/>
    <xf numFmtId="3" fontId="17" fillId="2" borderId="1" xfId="1" applyNumberFormat="1" applyFont="1" applyFill="1" applyBorder="1"/>
    <xf numFmtId="3" fontId="17" fillId="0" borderId="0" xfId="1" applyNumberFormat="1" applyFont="1" applyFill="1" applyBorder="1" applyAlignment="1">
      <alignment horizontal="right"/>
    </xf>
    <xf numFmtId="3" fontId="17" fillId="0" borderId="0" xfId="1" applyNumberFormat="1" applyFont="1" applyFill="1" applyBorder="1"/>
    <xf numFmtId="3" fontId="17" fillId="2" borderId="0" xfId="1" applyNumberFormat="1" applyFont="1" applyFill="1" applyBorder="1"/>
    <xf numFmtId="3" fontId="17" fillId="2" borderId="1" xfId="0" applyNumberFormat="1" applyFont="1" applyFill="1" applyBorder="1"/>
    <xf numFmtId="3" fontId="17" fillId="0" borderId="1" xfId="1" applyNumberFormat="1" applyFont="1" applyFill="1" applyBorder="1"/>
    <xf numFmtId="3" fontId="17" fillId="2" borderId="0" xfId="0" applyNumberFormat="1" applyFont="1" applyFill="1" applyBorder="1"/>
    <xf numFmtId="1" fontId="17" fillId="2" borderId="0" xfId="0" applyNumberFormat="1" applyFont="1" applyFill="1" applyAlignment="1">
      <alignment horizontal="left"/>
    </xf>
    <xf numFmtId="0" fontId="24" fillId="0" borderId="0" xfId="0" pivotButton="1" applyFont="1"/>
    <xf numFmtId="0" fontId="24" fillId="0" borderId="0" xfId="0" applyFont="1"/>
    <xf numFmtId="3" fontId="24" fillId="0" borderId="0" xfId="0" applyNumberFormat="1" applyFont="1"/>
    <xf numFmtId="0" fontId="24" fillId="0" borderId="0" xfId="0" applyNumberFormat="1" applyFont="1"/>
    <xf numFmtId="41" fontId="24" fillId="0" borderId="0" xfId="0" applyNumberFormat="1" applyFont="1"/>
    <xf numFmtId="0" fontId="20" fillId="3" borderId="0" xfId="0" applyFont="1" applyFill="1" applyAlignment="1">
      <alignment horizontal="center"/>
    </xf>
    <xf numFmtId="0" fontId="22" fillId="2" borderId="0" xfId="0" applyFont="1" applyFill="1" applyAlignment="1">
      <alignment horizontal="center"/>
    </xf>
    <xf numFmtId="0" fontId="21" fillId="2" borderId="0" xfId="0" applyFont="1" applyFill="1" applyAlignment="1">
      <alignment horizontal="center"/>
    </xf>
    <xf numFmtId="0" fontId="17" fillId="2" borderId="0" xfId="0" applyFont="1" applyFill="1" applyAlignment="1">
      <alignment horizontal="left" vertical="top" wrapText="1"/>
    </xf>
    <xf numFmtId="0" fontId="18" fillId="2" borderId="0" xfId="0" applyFont="1" applyFill="1" applyAlignment="1">
      <alignment horizontal="center" vertical="center" wrapText="1"/>
    </xf>
    <xf numFmtId="0" fontId="3" fillId="6" borderId="0" xfId="0" applyFont="1" applyFill="1" applyAlignment="1">
      <alignment horizontal="left" vertical="top" wrapText="1"/>
    </xf>
    <xf numFmtId="0" fontId="7" fillId="0" borderId="3" xfId="11" applyFont="1" applyBorder="1" applyAlignment="1">
      <alignment horizontal="center" vertical="center" wrapText="1"/>
    </xf>
    <xf numFmtId="0" fontId="7" fillId="0" borderId="6" xfId="11" applyFont="1" applyBorder="1" applyAlignment="1">
      <alignment horizontal="center" vertical="center" wrapText="1"/>
    </xf>
    <xf numFmtId="0" fontId="6" fillId="0" borderId="2" xfId="11" applyFont="1" applyBorder="1" applyAlignment="1">
      <alignment horizontal="left" vertical="center" wrapText="1"/>
    </xf>
    <xf numFmtId="0" fontId="6" fillId="0" borderId="8" xfId="11" applyFont="1" applyBorder="1" applyAlignment="1">
      <alignment horizontal="left" vertical="center" wrapText="1"/>
    </xf>
    <xf numFmtId="0" fontId="6" fillId="0" borderId="1" xfId="11" applyFont="1" applyBorder="1" applyAlignment="1">
      <alignment horizontal="left" vertical="center" wrapText="1"/>
    </xf>
    <xf numFmtId="0" fontId="7" fillId="0" borderId="2" xfId="0" applyFont="1" applyBorder="1" applyAlignment="1">
      <alignment horizontal="center" vertical="center"/>
    </xf>
    <xf numFmtId="0" fontId="7" fillId="0" borderId="8" xfId="0" applyFont="1" applyBorder="1" applyAlignment="1">
      <alignment horizontal="center" vertical="center"/>
    </xf>
    <xf numFmtId="0" fontId="7" fillId="0" borderId="4" xfId="0" applyFont="1" applyBorder="1" applyAlignment="1">
      <alignment horizontal="center" vertical="center"/>
    </xf>
    <xf numFmtId="0" fontId="7" fillId="0" borderId="10" xfId="0" applyFont="1" applyBorder="1" applyAlignment="1">
      <alignment horizontal="center" vertical="center"/>
    </xf>
    <xf numFmtId="0" fontId="7" fillId="0" borderId="7" xfId="11" applyFont="1" applyBorder="1" applyAlignment="1">
      <alignment vertical="center" wrapText="1"/>
    </xf>
    <xf numFmtId="0" fontId="7" fillId="0" borderId="0" xfId="11" applyFont="1" applyBorder="1" applyAlignment="1">
      <alignment vertical="center" wrapText="1"/>
    </xf>
    <xf numFmtId="0" fontId="7" fillId="0" borderId="9" xfId="11" applyFont="1" applyBorder="1" applyAlignment="1">
      <alignment vertical="center" wrapText="1"/>
    </xf>
    <xf numFmtId="0" fontId="6" fillId="0" borderId="0" xfId="11" applyFont="1" applyBorder="1" applyAlignment="1">
      <alignment horizontal="center" vertical="center" wrapText="1"/>
    </xf>
    <xf numFmtId="0" fontId="6" fillId="0" borderId="0" xfId="11" applyFont="1" applyBorder="1" applyAlignment="1">
      <alignment horizontal="left" vertical="center" wrapText="1"/>
    </xf>
    <xf numFmtId="0" fontId="6" fillId="0" borderId="4" xfId="11" applyFont="1" applyBorder="1" applyAlignment="1">
      <alignment horizontal="left" vertical="center" wrapText="1"/>
    </xf>
    <xf numFmtId="0" fontId="7" fillId="4" borderId="0" xfId="11" applyFont="1" applyFill="1" applyBorder="1" applyAlignment="1">
      <alignment horizontal="left" vertical="center" wrapText="1"/>
    </xf>
    <xf numFmtId="49" fontId="7" fillId="0" borderId="0" xfId="11" applyNumberFormat="1" applyFont="1" applyBorder="1" applyAlignment="1">
      <alignment horizontal="center" vertical="center" wrapText="1"/>
    </xf>
    <xf numFmtId="0" fontId="6" fillId="0" borderId="11" xfId="11" applyFont="1" applyBorder="1" applyAlignment="1">
      <alignment horizontal="left" vertical="center" wrapText="1"/>
    </xf>
    <xf numFmtId="0" fontId="4" fillId="0" borderId="0" xfId="11" applyFont="1" applyBorder="1" applyAlignment="1">
      <alignment horizontal="center" vertical="center" wrapText="1"/>
    </xf>
    <xf numFmtId="0" fontId="7" fillId="0" borderId="0" xfId="11" applyFont="1" applyBorder="1" applyAlignment="1">
      <alignment horizontal="center" vertical="center" wrapText="1"/>
    </xf>
    <xf numFmtId="0" fontId="7" fillId="4" borderId="0" xfId="11" applyFont="1" applyFill="1" applyBorder="1" applyAlignment="1">
      <alignment horizontal="center" vertical="center" wrapText="1"/>
    </xf>
  </cellXfs>
  <cellStyles count="15">
    <cellStyle name="Comma" xfId="1" builtinId="3"/>
    <cellStyle name="Comma 2" xfId="5"/>
    <cellStyle name="Comma 3" xfId="4"/>
    <cellStyle name="Hyperlink" xfId="12" builtinId="8"/>
    <cellStyle name="Normal" xfId="0" builtinId="0"/>
    <cellStyle name="Normal 2" xfId="6"/>
    <cellStyle name="Normal 3" xfId="7"/>
    <cellStyle name="Normal 4" xfId="3"/>
    <cellStyle name="Normal 5" xfId="11"/>
    <cellStyle name="Normal_PDD_2003_Profile mk" xfId="14"/>
    <cellStyle name="Normal_Profile Worksheet-2000" xfId="8"/>
    <cellStyle name="Percent" xfId="2" builtinId="5"/>
    <cellStyle name="Percent 2" xfId="10"/>
    <cellStyle name="Percent 3" xfId="9"/>
    <cellStyle name="Style 1" xfId="13"/>
  </cellStyles>
  <dxfs count="15">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33" formatCode="_(* #,##0_);_(* \(#,##0\);_(* &quot;-&quot;_);_(@_)"/>
    </dxf>
    <dxf>
      <numFmt numFmtId="33" formatCode="_(* #,##0_);_(* \(#,##0\);_(* &quot;-&quot;_);_(@_)"/>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6/relationships/vbaProject" Target="vbaProject.bin"/><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 Visits and ED Admits by Expected Payer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15CD-4E8C-98E5-C15D645791B2}"/>
              </c:ext>
            </c:extLst>
          </c:dPt>
          <c:dPt>
            <c:idx val="1"/>
            <c:bubble3D val="0"/>
            <c:spPr>
              <a:solidFill>
                <a:schemeClr val="accent2"/>
              </a:solidFill>
              <a:ln>
                <a:noFill/>
              </a:ln>
              <a:effectLst/>
            </c:spPr>
            <c:extLst>
              <c:ext xmlns:c16="http://schemas.microsoft.com/office/drawing/2014/chart" uri="{C3380CC4-5D6E-409C-BE32-E72D297353CC}">
                <c16:uniqueId val="{00000003-15CD-4E8C-98E5-C15D645791B2}"/>
              </c:ext>
            </c:extLst>
          </c:dPt>
          <c:dPt>
            <c:idx val="2"/>
            <c:bubble3D val="0"/>
            <c:spPr>
              <a:solidFill>
                <a:schemeClr val="accent3"/>
              </a:solidFill>
              <a:ln>
                <a:noFill/>
              </a:ln>
              <a:effectLst/>
            </c:spPr>
            <c:extLst>
              <c:ext xmlns:c16="http://schemas.microsoft.com/office/drawing/2014/chart" uri="{C3380CC4-5D6E-409C-BE32-E72D297353CC}">
                <c16:uniqueId val="{00000005-15CD-4E8C-98E5-C15D645791B2}"/>
              </c:ext>
            </c:extLst>
          </c:dPt>
          <c:dPt>
            <c:idx val="3"/>
            <c:bubble3D val="0"/>
            <c:spPr>
              <a:solidFill>
                <a:schemeClr val="accent4"/>
              </a:solidFill>
              <a:ln>
                <a:noFill/>
              </a:ln>
              <a:effectLst/>
            </c:spPr>
            <c:extLst>
              <c:ext xmlns:c16="http://schemas.microsoft.com/office/drawing/2014/chart" uri="{C3380CC4-5D6E-409C-BE32-E72D297353CC}">
                <c16:uniqueId val="{00000007-15CD-4E8C-98E5-C15D645791B2}"/>
              </c:ext>
            </c:extLst>
          </c:dPt>
          <c:dPt>
            <c:idx val="4"/>
            <c:bubble3D val="0"/>
            <c:spPr>
              <a:solidFill>
                <a:schemeClr val="accent5"/>
              </a:solidFill>
              <a:ln>
                <a:noFill/>
              </a:ln>
              <a:effectLst/>
            </c:spPr>
            <c:extLst>
              <c:ext xmlns:c16="http://schemas.microsoft.com/office/drawing/2014/chart" uri="{C3380CC4-5D6E-409C-BE32-E72D297353CC}">
                <c16:uniqueId val="{00000009-15CD-4E8C-98E5-C15D645791B2}"/>
              </c:ext>
            </c:extLst>
          </c:dPt>
          <c:dPt>
            <c:idx val="5"/>
            <c:bubble3D val="0"/>
            <c:spPr>
              <a:solidFill>
                <a:schemeClr val="accent6"/>
              </a:solidFill>
              <a:ln>
                <a:noFill/>
              </a:ln>
              <a:effectLst/>
            </c:spPr>
            <c:extLst>
              <c:ext xmlns:c16="http://schemas.microsoft.com/office/drawing/2014/chart" uri="{C3380CC4-5D6E-409C-BE32-E72D297353CC}">
                <c16:uniqueId val="{0000000B-15CD-4E8C-98E5-C15D645791B2}"/>
              </c:ext>
            </c:extLst>
          </c:dPt>
          <c:dLbls>
            <c:dLbl>
              <c:idx val="0"/>
              <c:layout>
                <c:manualLayout>
                  <c:x val="1.9096128608923884E-2"/>
                  <c:y val="5.1615995917177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CD-4E8C-98E5-C15D645791B2}"/>
                </c:ext>
              </c:extLst>
            </c:dLbl>
            <c:dLbl>
              <c:idx val="5"/>
              <c:layout>
                <c:manualLayout>
                  <c:x val="7.6735126859142605E-2"/>
                  <c:y val="2.04122922134733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5CD-4E8C-98E5-C15D645791B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Profile!$A$214:$A$219</c:f>
              <c:strCache>
                <c:ptCount val="6"/>
                <c:pt idx="0">
                  <c:v>Medicare</c:v>
                </c:pt>
                <c:pt idx="1">
                  <c:v>Medi-Cal</c:v>
                </c:pt>
                <c:pt idx="2">
                  <c:v>Private Coverage</c:v>
                </c:pt>
                <c:pt idx="3">
                  <c:v>Self-Pay/Uninsured</c:v>
                </c:pt>
                <c:pt idx="4">
                  <c:v>Other</c:v>
                </c:pt>
                <c:pt idx="5">
                  <c:v>Unknown</c:v>
                </c:pt>
              </c:strCache>
            </c:strRef>
          </c:cat>
          <c:val>
            <c:numRef>
              <c:f>Profile!$B$214:$B$219</c:f>
              <c:numCache>
                <c:formatCode>#,##0</c:formatCode>
                <c:ptCount val="6"/>
                <c:pt idx="0">
                  <c:v>3015664</c:v>
                </c:pt>
                <c:pt idx="1">
                  <c:v>5856603</c:v>
                </c:pt>
                <c:pt idx="2">
                  <c:v>3792434</c:v>
                </c:pt>
                <c:pt idx="3">
                  <c:v>1094222</c:v>
                </c:pt>
                <c:pt idx="4">
                  <c:v>489304</c:v>
                </c:pt>
                <c:pt idx="5">
                  <c:v>4863</c:v>
                </c:pt>
              </c:numCache>
            </c:numRef>
          </c:val>
          <c:extLst>
            <c:ext xmlns:c16="http://schemas.microsoft.com/office/drawing/2014/chart" uri="{C3380CC4-5D6E-409C-BE32-E72D297353CC}">
              <c16:uniqueId val="{0000000C-15CD-4E8C-98E5-C15D645791B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 Visits and ED Admits by Type and Race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Profile!$B$222</c:f>
              <c:strCache>
                <c:ptCount val="1"/>
                <c:pt idx="0">
                  <c:v>ED Visit</c:v>
                </c:pt>
              </c:strCache>
            </c:strRef>
          </c:tx>
          <c:spPr>
            <a:solidFill>
              <a:schemeClr val="accent1"/>
            </a:solidFill>
            <a:ln>
              <a:noFill/>
            </a:ln>
            <a:effectLst/>
          </c:spPr>
          <c:invertIfNegative val="0"/>
          <c:cat>
            <c:strRef>
              <c:f>Profile!$A$223:$A$229</c:f>
              <c:strCache>
                <c:ptCount val="7"/>
                <c:pt idx="0">
                  <c:v>Asian/Pacific Islander</c:v>
                </c:pt>
                <c:pt idx="1">
                  <c:v>Black</c:v>
                </c:pt>
                <c:pt idx="2">
                  <c:v>Hispanic</c:v>
                </c:pt>
                <c:pt idx="3">
                  <c:v>American Indian/Alaska Native</c:v>
                </c:pt>
                <c:pt idx="4">
                  <c:v>White</c:v>
                </c:pt>
                <c:pt idx="5">
                  <c:v>Other</c:v>
                </c:pt>
                <c:pt idx="6">
                  <c:v>Unknown/Invalid/Blank</c:v>
                </c:pt>
              </c:strCache>
            </c:strRef>
          </c:cat>
          <c:val>
            <c:numRef>
              <c:f>Profile!$B$223:$B$229</c:f>
              <c:numCache>
                <c:formatCode>#,##0</c:formatCode>
                <c:ptCount val="7"/>
                <c:pt idx="0">
                  <c:v>691015</c:v>
                </c:pt>
                <c:pt idx="1">
                  <c:v>1378263</c:v>
                </c:pt>
                <c:pt idx="2">
                  <c:v>4842250</c:v>
                </c:pt>
                <c:pt idx="3">
                  <c:v>63039</c:v>
                </c:pt>
                <c:pt idx="4">
                  <c:v>4750400</c:v>
                </c:pt>
                <c:pt idx="5">
                  <c:v>465611</c:v>
                </c:pt>
                <c:pt idx="6">
                  <c:v>177138</c:v>
                </c:pt>
              </c:numCache>
            </c:numRef>
          </c:val>
          <c:extLst>
            <c:ext xmlns:c16="http://schemas.microsoft.com/office/drawing/2014/chart" uri="{C3380CC4-5D6E-409C-BE32-E72D297353CC}">
              <c16:uniqueId val="{00000000-125C-44BF-8D56-5FC022D2D772}"/>
            </c:ext>
          </c:extLst>
        </c:ser>
        <c:ser>
          <c:idx val="1"/>
          <c:order val="1"/>
          <c:tx>
            <c:strRef>
              <c:f>Profile!$C$222</c:f>
              <c:strCache>
                <c:ptCount val="1"/>
                <c:pt idx="0">
                  <c:v>ED Admit</c:v>
                </c:pt>
              </c:strCache>
            </c:strRef>
          </c:tx>
          <c:spPr>
            <a:solidFill>
              <a:schemeClr val="accent2"/>
            </a:solidFill>
            <a:ln>
              <a:noFill/>
            </a:ln>
            <a:effectLst/>
          </c:spPr>
          <c:invertIfNegative val="0"/>
          <c:cat>
            <c:strRef>
              <c:f>Profile!$A$223:$A$229</c:f>
              <c:strCache>
                <c:ptCount val="7"/>
                <c:pt idx="0">
                  <c:v>Asian/Pacific Islander</c:v>
                </c:pt>
                <c:pt idx="1">
                  <c:v>Black</c:v>
                </c:pt>
                <c:pt idx="2">
                  <c:v>Hispanic</c:v>
                </c:pt>
                <c:pt idx="3">
                  <c:v>American Indian/Alaska Native</c:v>
                </c:pt>
                <c:pt idx="4">
                  <c:v>White</c:v>
                </c:pt>
                <c:pt idx="5">
                  <c:v>Other</c:v>
                </c:pt>
                <c:pt idx="6">
                  <c:v>Unknown/Invalid/Blank</c:v>
                </c:pt>
              </c:strCache>
            </c:strRef>
          </c:cat>
          <c:val>
            <c:numRef>
              <c:f>Profile!$C$223:$C$229</c:f>
              <c:numCache>
                <c:formatCode>General</c:formatCode>
                <c:ptCount val="7"/>
                <c:pt idx="0">
                  <c:v>159237</c:v>
                </c:pt>
                <c:pt idx="1">
                  <c:v>190820</c:v>
                </c:pt>
                <c:pt idx="2">
                  <c:v>522261</c:v>
                </c:pt>
                <c:pt idx="3">
                  <c:v>5727</c:v>
                </c:pt>
                <c:pt idx="4">
                  <c:v>932781</c:v>
                </c:pt>
                <c:pt idx="5">
                  <c:v>65590</c:v>
                </c:pt>
                <c:pt idx="6">
                  <c:v>8958</c:v>
                </c:pt>
              </c:numCache>
            </c:numRef>
          </c:val>
          <c:extLst>
            <c:ext xmlns:c16="http://schemas.microsoft.com/office/drawing/2014/chart" uri="{C3380CC4-5D6E-409C-BE32-E72D297353CC}">
              <c16:uniqueId val="{00000001-125C-44BF-8D56-5FC022D2D772}"/>
            </c:ext>
          </c:extLst>
        </c:ser>
        <c:dLbls>
          <c:showLegendKey val="0"/>
          <c:showVal val="0"/>
          <c:showCatName val="0"/>
          <c:showSerName val="0"/>
          <c:showPercent val="0"/>
          <c:showBubbleSize val="0"/>
        </c:dLbls>
        <c:gapWidth val="150"/>
        <c:overlap val="100"/>
        <c:axId val="989410704"/>
        <c:axId val="989411264"/>
      </c:barChart>
      <c:catAx>
        <c:axId val="98941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11264"/>
        <c:crosses val="autoZero"/>
        <c:auto val="1"/>
        <c:lblAlgn val="ctr"/>
        <c:lblOffset val="100"/>
        <c:noMultiLvlLbl val="0"/>
      </c:catAx>
      <c:valAx>
        <c:axId val="989411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1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0</xdr:row>
      <xdr:rowOff>0</xdr:rowOff>
    </xdr:from>
    <xdr:to>
      <xdr:col>8</xdr:col>
      <xdr:colOff>22860</xdr:colOff>
      <xdr:row>4</xdr:row>
      <xdr:rowOff>167640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52160" y="0"/>
          <a:ext cx="1524000" cy="830580"/>
        </a:xfrm>
        <a:prstGeom prst="rect">
          <a:avLst/>
        </a:prstGeom>
      </xdr:spPr>
    </xdr:pic>
    <xdr:clientData/>
  </xdr:twoCellAnchor>
  <xdr:twoCellAnchor>
    <xdr:from>
      <xdr:col>0</xdr:col>
      <xdr:colOff>967740</xdr:colOff>
      <xdr:row>32</xdr:row>
      <xdr:rowOff>144780</xdr:rowOff>
    </xdr:from>
    <xdr:to>
      <xdr:col>5</xdr:col>
      <xdr:colOff>251460</xdr:colOff>
      <xdr:row>47</xdr:row>
      <xdr:rowOff>144780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396240</xdr:colOff>
      <xdr:row>112</xdr:row>
      <xdr:rowOff>129540</xdr:rowOff>
    </xdr:from>
    <xdr:to>
      <xdr:col>6</xdr:col>
      <xdr:colOff>579120</xdr:colOff>
      <xdr:row>127</xdr:row>
      <xdr:rowOff>175260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0</xdr:rowOff>
    </xdr:from>
    <xdr:to>
      <xdr:col>3</xdr:col>
      <xdr:colOff>274320</xdr:colOff>
      <xdr:row>4</xdr:row>
      <xdr:rowOff>0</xdr:rowOff>
    </xdr:to>
    <xdr:sp macro="" textlink="">
      <xdr:nvSpPr>
        <xdr:cNvPr id="2" name="Left Arrow 1"/>
        <xdr:cNvSpPr/>
      </xdr:nvSpPr>
      <xdr:spPr>
        <a:xfrm>
          <a:off x="7330440" y="548640"/>
          <a:ext cx="274320" cy="18288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sta, Julie@OSHPD" refreshedDate="42654.635228587962" createdVersion="6" refreshedVersion="6" minRefreshableVersion="3" recordCount="328">
  <cacheSource type="worksheet">
    <worksheetSource ref="A1:DN329" sheet="Data"/>
  </cacheSource>
  <cacheFields count="118">
    <cacheField name="oshpd_id2" numFmtId="0">
      <sharedItems containsSemiMixedTypes="0" containsString="0" containsNumber="1" containsInteger="1" minValue="106010735" maxValue="106580996"/>
    </cacheField>
    <cacheField name="oshpd_id" numFmtId="49">
      <sharedItems/>
    </cacheField>
    <cacheField name="FACILITY_NAME" numFmtId="49">
      <sharedItems count="329">
        <s v="ALAMEDA HOSPITAL"/>
        <s v="ALTA BATES SUMMIT MED CTR-ALTA BATES CAMPUS"/>
        <s v="CHILDRENS HOSPITAL AND RESEARCH CTR AT OAKLAND"/>
        <s v="HIGHLAND HOSPITAL"/>
        <s v="ALTA BATES SUMMIT MED CTR-SUMMIT CAMPUS-HAWTHORNE"/>
        <s v="ST. ROSE HOSPITAL"/>
        <s v="WASHINGTON HOSPITAL - FREMONT"/>
        <s v="SAN LEANDRO HOSPITAL"/>
        <s v="VALLEYCARE MEDICAL CENTER"/>
        <s v="KAISER FND HOSP - FREMONT"/>
        <s v="EDEN MEDICAL CENTER"/>
        <s v="KAISER FND HOSP - OAKLAND/RICHMOND"/>
        <s v="KAISER FND HOSP - SAN LEANDRO"/>
        <s v="SUTTER AMADOR HOSPITAL"/>
        <s v="BIGGS GRIDLEY MEMORIAL HOSPITAL"/>
        <s v="FEATHER RIVER HOSPITAL"/>
        <s v="OROVILLE HOSPITAL"/>
        <s v="ENLOE MEDICAL CENTER- ESPLANADE"/>
        <s v="MARK TWAIN MEDICAL CENTER"/>
        <s v="COLUSA REGIONAL MEDICAL CENTER"/>
        <s v="DOCTORS MEDICAL CENTER - SAN PABLO"/>
        <s v="CONTRA COSTA REGIONAL MEDICAL CENTER"/>
        <s v="SUTTER DELTA MEDICAL CENTER"/>
        <s v="JOHN MUIR MEDICAL CENTER-WALNUT CREEK CAMPUS"/>
        <s v="KAISER FND HOSP - WALNUT CREEK"/>
        <s v="JOHN MUIR MEDICAL CENTER-CONCORD CAMPUS"/>
        <s v="SAN RAMON REGIONAL MEDICAL CENTER"/>
        <s v="KAISER FOUND HSP-ANTIOCH"/>
        <s v="SUTTER COAST HOSPITAL"/>
        <s v="BARTON MEMORIAL HOSPITAL"/>
        <s v="MARSHALL  MEDICAL CENTER (1-RH)"/>
        <s v="CLOVIS COMMUNITY MEDICAL CENTER"/>
        <s v="COALINGA REGIONAL MEDICAL CENTER"/>
        <s v="COMMUNITY REGIONAL MEDICAL CENTER-FRESNO"/>
        <s v="ADVENTIST MEDICAL CENTER - REEDLEY"/>
        <s v="ST. AGNES MEDICAL CENTER"/>
        <s v="KAISER FND HOSP - FRESNO"/>
        <s v="GLENN MEDICAL CENTER"/>
        <s v="MAD RIVER COMMUNITY HOSPITAL"/>
        <s v="JEROLD PHELPS COMMUNITY HOSPITAL"/>
        <s v="REDWOOD MEMORIAL HOSPITAL"/>
        <s v="ST. JOSEPH HOSPITAL - EUREKA"/>
        <s v="EL CENTRO REGIONAL MEDICAL CENTER"/>
        <s v="PIONEERS MEMORIAL HEALTHCARE DISTRICT"/>
        <s v="NORTHERN INYO HOSPITAL"/>
        <s v="SOUTHERN INYO HOSPITAL"/>
        <s v="DELANO REGIONAL MEDICAL CENTER"/>
        <s v="BAKERSFIELD MEMORIAL HOSPITAL"/>
        <s v="KERN MEDICAL CENTER"/>
        <s v="KERN VALLEY HEALTHCARE DISTRICT"/>
        <s v="MERCY HOSPITAL - BAKERSFIELD"/>
        <s v="RIDGECREST REGIONAL HOSPITAL"/>
        <s v="SAN JOAQUIN COMMUNITY HOSPITAL"/>
        <s v="TEHACHAPI HOSPITAL"/>
        <s v="BAKERSFIELD HEART HOSPITAL"/>
        <s v="CENTRAL VALLEY GENERAL HOSPITAL"/>
        <s v="ADVENTIST MEDICAL CENTER"/>
        <s v="ST. HELENA HOSPITAL - CLEARLAKE"/>
        <s v="SUTTER LAKESIDE HOSPITAL"/>
        <s v="BANNER LASSEN MEDICAL CENTER"/>
        <s v="ALHAMBRA HOSPITAL MEDICAL CENTER"/>
        <s v="ANTELOPE VALLEY HOSPITAL"/>
        <s v="CATALINA ISLAND MEDICAL CENTER"/>
        <s v="ST. MARY MEDICAL CENTER - LONG BEACH"/>
        <s v="LOS ANGELES COMMUNITY HOSPITAL AT BELLFLOWER"/>
        <s v="BEVERLY HOSPITAL"/>
        <s v="SOUTHERN CALIFORNIA HOSPITAL AT CULVER CITY"/>
        <s v="CALIFORNIA HOSPITAL MEDICAL CENTER - LOS ANGELES"/>
        <s v="CENTINELA HOSPITAL MEDICAL CENTER"/>
        <s v="GARDENS REGIONAL HOSPITAL AND MEDICAL CENTER"/>
        <s v="CHILDRENS HOSPITAL OF LOS ANGELES"/>
        <s v="COMMUNITY HOSPITAL OF HUNTINGTON PARK"/>
        <s v="LOS ANGELES COMMUNITY HOSPITAL"/>
        <s v="SAN GABRIEL VALLEY MEDICAL CENTER"/>
        <s v="LAKEWOOD REGIONAL MEDICAL CENTER"/>
        <s v="PIH HOSPITAL - DOWNEY"/>
        <s v="EAST LOS ANGELES DOCTORS HOSPITAL"/>
        <s v="ENCINO HOSPITAL MEDICAL CENTER"/>
        <s v="FOOTHILL PRESBYTERIAN HOSPITAL-JOHNSTON MEMORIAL"/>
        <s v="GARFIELD MEDICAL CENTER"/>
        <s v="GLENDALE ADVENTIST MEDICAL CENTER"/>
        <s v="GLENDORA COMMUNITY HOSPITAL"/>
        <s v="GREATER EL MONTE COMMUNITY HOSPITAL"/>
        <s v="HOLLYWOOD PRESBYTERIAN MEDICAL CENTER"/>
        <s v="PROVIDENCE HOLY CROSS MEDICAL CENTER"/>
        <s v="GOOD SAMARITAN HOSPITAL-LOS ANGELES"/>
        <s v="HUNTINGTON MEMORIAL HOSPITAL"/>
        <s v="CITRUS VALLEY MEDICAL CENTER - IC CAMPUS"/>
        <s v="TORRANCE MEMORIAL MEDICAL CENTER"/>
        <s v="KAISER FND HOSP - LOS ANGELES"/>
        <s v="KAISER FND HOSP - SOUTH BAY"/>
        <s v="KAISER FND HOSP - PANORAMA CITY"/>
        <s v="KAISER FND HOSP - WEST LA"/>
        <s v="PROVIDENCE LITTLE COMPANY OF MARY MC - TORRANCE"/>
        <s v="COMMUNITY HOSPITAL LONG BEACH"/>
        <s v="MARINA DEL REY HOSPITAL"/>
        <s v="PROVIDENCE TARZANA MEDICAL CENTER"/>
        <s v="MEMORIAL HOSPITAL OF GARDENA"/>
        <s v="GLENDALE MEMORIAL HOSPITAL AND HEALTH CENTER"/>
        <s v="MISSION COMMUNITY HOSPITAL - PANORAMA CAMPUS"/>
        <s v="LONG BEACH MEMORIAL MEDICAL CENTER"/>
        <s v="METHODIST HOSPITAL OF SOUTHERN CALIFORNIA"/>
        <s v="OLYMPIA MEDICAL CENTER"/>
        <s v="MONTEREY PARK HOSPITAL"/>
        <s v="CEDARS SINAI MEDICAL CENTER"/>
        <s v="NORTHRIDGE HOSPITAL MEDICAL CENTER"/>
        <s v="NORWALK COMMUNITY HOSPITAL"/>
        <s v="COLLEGE MEDICAL CENTER"/>
        <s v="POMONA VALLEY HOSPITAL MEDICAL CENTER"/>
        <s v="PRESBYTERIAN INTERCOMMUNITY HOSPITAL"/>
        <s v="CITRUS VALLEY MEDICAL CENTER - QV CAMPUS"/>
        <s v="SAN DIMAS COMMUNITY HOSPITAL"/>
        <s v="PROVIDENCE LITTLE COMPANY OF MARY MC - SAN PEDRO"/>
        <s v="SANTA MONICA - UCLA MEDICAL CENTER AND ORTHOPAEDIC HOSPITAL"/>
        <s v="PACIFICA HOSPITAL OF THE VALLEY"/>
        <s v="SHERMAN OAKS HOSPITAL"/>
        <s v="ST. FRANCIS MEDICAL CENTER"/>
        <s v="PROVIDENCE SAINT JOHNS HEALTH CENTER"/>
        <s v="PROVIDENCE SAINT JOSEPH MEDICAL CENTER"/>
        <s v="ST. VINCENT MEDICAL CENTER"/>
        <s v="COAST PLAZA HOSPITAL"/>
        <s v="RONALD REAGAN UCLA MEDICAL CENTER"/>
        <s v="VALLEY PRESBYTERIAN HOSPITAL"/>
        <s v="USC VERDUGO HILLS HOSPITAL"/>
        <s v="WEST HILLS HOSPITAL AND MEDICAL CENTER"/>
        <s v="WHITE MEMORIAL MEDICAL CENTER"/>
        <s v="WHITTIER HOSPITAL MEDICAL CENTER"/>
        <s v="HENRY MAYO NEWHALL HOSPITAL"/>
        <s v="LAC/HARBOR-UCLA MEDICAL CENTER"/>
        <s v="LAC+USC MEDICAL CENTER"/>
        <s v="MARTIN LUTHER KING JR.-HARBOR HOSPITAL"/>
        <s v="LOS ANGELES COUNTY OLIVE VIEW-UCLA MEDICAL CENTER"/>
        <s v="KAISER FND HOSP - WOODLAND HILLS"/>
        <s v="KAISER FND HOSP - BALDWIN PARK"/>
        <s v="KAISER FOUNDATION HOSPITAL - DOWNEY"/>
        <s v="PALMDALE REGIONAL MEDICAL CENTER"/>
        <s v="MADERA COMMUNITY HOSPITAL"/>
        <s v="CHILDRENS HOSPITAL CENTRAL CALIFORNIA"/>
        <s v="KAISER FND HOSP - SAN RAFAEL"/>
        <s v="MARIN GENERAL HOSPITAL"/>
        <s v="NOVATO COMMUNITY HOSPITAL"/>
        <s v="JOHN C FREMONT HEALTHCARE DISTRICT"/>
        <s v="FRANK R HOWARD MEMORIAL HOSPITAL"/>
        <s v="MENDOCINO COAST DISTRICT HOSPITAL"/>
        <s v="UKIAH VALLEY MEDICAL CENTER"/>
        <s v="FRANK R. HOWARD MEMORIAL HOSPITAL"/>
        <s v="MEMORIAL HOSPITAL LOS BANOS"/>
        <s v="MERCY MEDICAL CENTER - MERCED"/>
        <s v="SURPRISE VALLEY COMMUNITY HOSPITAL"/>
        <s v="MODOC MEDICAL CENTER"/>
        <s v="MAMMOTH HOSPITAL"/>
        <s v="COMMUNITY HOSPITAL OF THE MONTEREY PENINSULA"/>
        <s v="GEORGE L MEE MEMORIAL HOSPITAL"/>
        <s v="SALINAS VALLEY MEMORIAL HOSPITAL"/>
        <s v="NATIVIDAD MEDICAL CENTER"/>
        <s v="QUEEN OF THE VALLEY HOSPITAL - NAPA"/>
        <s v="ST. HELENA HOSPITAL"/>
        <s v="SIERRA NEVADA MEMORIAL HOSPITAL"/>
        <s v="TAHOE FOREST HOSPITAL"/>
        <s v="CHILDRENS HOSPITAL OF ORANGE COUNTY"/>
        <s v="ORANGE COAST MEMORIAL MEDICAL CENTER"/>
        <s v="AHMC ANAHEIM REGIONAL MEDICAL CENTER"/>
        <s v="CHAPMAN MEDICAL CENTER"/>
        <s v="FOUNTAIN VALLEY RGNL HOSP AND MED CTR - EUCLID"/>
        <s v="WESTERN MEDICAL CENTER ANAHEIM"/>
        <s v="HOAG MEMORIAL HOSPITAL PRESBYTERIAN"/>
        <s v="HUNTINGTON BEACH HOSPITAL"/>
        <s v="LA PALMA INTERCOMMUNITY HOSPITAL"/>
        <s v="LOS ALAMITOS MEDICAL CENTER"/>
        <s v="COASTAL COMMUNITIES HOSPITAL"/>
        <s v="MISSION HOSPITAL REGIONAL MEDICAL CENTER"/>
        <s v="UNIVERSITY OF CALIFORNIA IRVINE MEDICAL CENTER"/>
        <s v="GARDEN GROVE HOSPITAL AND MEDICAL CENTER"/>
        <s v="PLACENTIA LINDA HOSPITAL"/>
        <s v="SADDLEBACK MEMORIAL MEDICAL CENTER"/>
        <s v="MISSION HOSPITAL LAGUNA BEACH"/>
        <s v="ST. JOSEPH HOSPITAL - ORANGE"/>
        <s v="ST. JUDE MEDICAL CENTER"/>
        <s v="WEST ANAHEIM MEDICAL CENTER"/>
        <s v="WESTERN MEDICAL CENTER - SANTA ANA"/>
        <s v="CHILDRENS HOSPITAL AT MISSION"/>
        <s v="KAISER FND HOSP - ORANGE COUNTY - ANAHEIM"/>
        <s v="HOAG ORTHOPEDIC INSTITUTE"/>
        <s v="SUTTER AUBURN FAITH HOSPITAL"/>
        <s v="SUTTER ROSEVILLE MEDICAL CENTER"/>
        <s v="KAISER FND HOSP - ROSEVILLE"/>
        <s v="EASTERN PLUMAS HOSPITAL-PORTOLA CAMPUS"/>
        <s v="PLUMAS DISTRICT HOSPITAL"/>
        <s v="SENECA HEALTHCARE DISTRICT"/>
        <s v="CORONA REGIONAL MEDICAL CENTER-MAIN"/>
        <s v="DESERT REGIONAL MEDICAL CENTER"/>
        <s v="EISENHOWER MEDICAL CENTER"/>
        <s v="HEMET VALLEY MEDICAL CENTER"/>
        <s v="JOHN F KENNEDY MEMORIAL HOSPITAL"/>
        <s v="PALO VERDE HOSPITAL"/>
        <s v="PARKVIEW COMMUNITY HOSPITAL MEDICAL CENTER"/>
        <s v="RIVERSIDE COMMUNITY HOSPITAL"/>
        <s v="SAN GORGONIO MEMORIAL HOSPITAL"/>
        <s v="MENIFEE VALLEY MEDICAL CENTER"/>
        <s v="KAISER FND HOSP - RIVERSIDE"/>
        <s v="KAISER FND HOSPITAL - MORENO VALLEY"/>
        <s v="SOUTHWEST HEALTHCARE SYSTEM-MURRIETA"/>
        <s v="RIVERSIDE COUNTY REGIONAL MEDICAL CENTER"/>
        <s v="TEMECULA VALLEY HOSPITAL"/>
        <s v="LOMA LINDA UNIVERSITY MEDICAL CENTER-MURRIETA"/>
        <s v="KAISER FND HOSP - SACRAMENTO"/>
        <s v="MERCY GENERAL HOSPITAL"/>
        <s v="MERCY SAN JUAN HOSPITAL"/>
        <s v="METHODIST HOSPITAL OF SACRAMENTO"/>
        <s v="UNIVERSITY OF CALIFORNIA DAVIS MEDICAL CENTER"/>
        <s v="SUTTER GENERAL HOSPITAL"/>
        <s v="SUTTER MEMORIAL HOSPITAL"/>
        <s v="KAISER FND HOSP - SOUTH SACRAMENTO"/>
        <s v="MERCY HOSPITAL - FOLSOM"/>
        <s v="HAZEL HAWKINS MEMORIAL HOSPITAL"/>
        <s v="BEAR VALLEY COMMUNITY HOSPITAL"/>
        <s v="CHINO VALLEY MEDICAL CENTER"/>
        <s v="MONTCLAIR HOSPITAL MEDICAL CENTER"/>
        <s v="KAISER FND HOSP - FONTANA"/>
        <s v="LOMA LINDA UNIVERSITY MEDICAL CENTER"/>
        <s v="MOUNTAINS COMMUNITY HOSPITAL"/>
        <s v="REDLANDS COMMUNITY HOSPITAL"/>
        <s v="SAN ANTONIO COMMUNITY HOSPITAL"/>
        <s v="COMMUNITY HOSPITAL OF SAN BERNARDINO"/>
        <s v="ST. BERNARDINE MEDICAL CENTER"/>
        <s v="ST. MARY MEDICAL CENTER - APPLE VALLEY"/>
        <s v="VICTOR VALLEY GLOBAL MEDICAL CENTER"/>
        <s v="COLORADO RIVER MEDICAL CENTER"/>
        <s v="HI-DESERT MEDICAL CENTER"/>
        <s v="DESERT VALLEY HOSPITAL"/>
        <s v="ARROWHEAD REGIONAL MEDICAL CENTER"/>
        <s v="BARSTOW COMMUNITY HOSPITAL"/>
        <s v="ALVARADO HOSPITAL MEDICAL CENTER"/>
        <s v="RADY CHILDRENS HOSPITAL - SAN DIEGO"/>
        <s v="SHARP CORONADO HOSPITAL AND HEALTHCARE CENTER"/>
        <s v="SHARP MEMORIAL HOSPITAL"/>
        <s v="SHARP MARY BIRCH HOSPITAL FOR WOMEN AND NEWBORNS"/>
        <s v="GROSSMONT HOSPITAL"/>
        <s v="KAISER FND HOSP - SAN DIEGO"/>
        <s v="SCRIPPS MERCY HOSPITAL"/>
        <s v="PALOMAR HEALTH DOWNTOWN CAMPUS"/>
        <s v="PARADISE VALLEY HOSPITAL"/>
        <s v="SCRIPPS MEMORIAL HOSPITAL - LA JOLLA"/>
        <s v="TRI-CITY MEDICAL CENTER"/>
        <s v="UNIVERSITY OF CALIF-SAN DIEGO MEDICAL CENTER"/>
        <s v="SHARP CHULA VISTA MEDICAL CENTER"/>
        <s v="POMERADO HOSPITAL"/>
        <s v="SCRIPPS GREEN HOSPITAL"/>
        <s v="SCRIPPS MEMORIAL HOSPITAL - ENCINITAS"/>
        <s v="KAISER FND HOSP - SAN FRANCISCO"/>
        <s v="CALIFORNIA PACIFIC MED CTR-PACIFIC CAMPUS"/>
        <s v="CALIFORNIA PACIFIC MED CTR-DAVIES CAMPUS"/>
        <s v="SAN FRANCISCO GENERAL HOSPITAL"/>
        <s v="ST. FRANCIS MEMORIAL HOSPITAL"/>
        <s v="CALIFORNIA PACIFIC MEDICAL CENTER - ST. LUKES CAMPUS"/>
        <s v="ST. MARYS MEDICAL CENTER, SAN FRANCISCO"/>
        <s v="UCSF MEDICAL CENTER"/>
        <s v="CHINESE HOSPITAL"/>
        <s v="DAMERON HOSPITAL"/>
        <s v="LODI MEMORIAL HOSPITAL"/>
        <s v="SAN JOAQUIN GENERAL HOSPITAL"/>
        <s v="ST. JOSEPHS MEDICAL CENTER OF STOCKTON"/>
        <s v="SUTTER TRACY COMMUNITY HOSPITAL"/>
        <s v="DOCTORS HOSPITAL OF MANTECA"/>
        <s v="KAISER FND HOSP-MANTECA"/>
        <s v="MARIAN REGIONAL MEDICAL CENTER, ARROYO GRANDE"/>
        <s v="FRENCH HOSPITAL MEDICAL CENTER"/>
        <s v="SIERRA VISTA REGIONAL MEDICAL CENTER"/>
        <s v="TWIN CITIES COMMUNITY HOSPITAL"/>
        <s v="SAN MATEO MEDICAL CENTER"/>
        <s v="KAISER FND HOSP - SOUTH SAN FRANCISCO"/>
        <s v="SETON MEDICAL CENTER"/>
        <s v="SETON COASTSIDE"/>
        <s v="MILLS-PENINSULA MEDICAL CENTER"/>
        <s v="SEQUOIA HOSPITAL"/>
        <s v="KAISER FND HOSP - REDWOOD CITY"/>
        <s v="GOLETA VALLEY COTTAGE HOSPITAL"/>
        <s v="LOMPOC VALLEY MEDICAL CENTER"/>
        <s v="MARIAN REGIONAL MEDICAL CENTER"/>
        <s v="SANTA BARBARA COTTAGE HOSPITAL"/>
        <s v="SANTA YNEZ VALLEY COTTAGE HOSPITAL"/>
        <s v="REGIONAL MEDICAL OF SAN JOSE"/>
        <s v="EL CAMINO HOSPITAL"/>
        <s v="GOOD SAMARITAN HOSPITAL-SAN JOSE"/>
        <s v="OCONNOR HOSPITAL"/>
        <s v="SANTA CLARA VALLEY MEDICAL CENTER"/>
        <s v="STANFORD HOSPITAL"/>
        <s v="KAISER FND HOSP - SAN JOSE"/>
        <s v="ST. LOUISE REGIONAL HOSPITAL"/>
        <s v="KAISER FND HOSP - SANTA CLARA"/>
        <s v="DOMINICAN HOSPITAL"/>
        <s v="WATSONVILLE COMMUNITY HOSPITAL"/>
        <s v="MAYERS MEMORIAL HOSPITAL"/>
        <s v="SHASTA REGIONAL MEDICAL CENTER"/>
        <s v="MERCY MEDICAL CENTER - REDDING"/>
        <s v="MERCY MEDICAL CENTER MT. SHASTA"/>
        <s v="FAIRCHILD MEDICAL CENTER"/>
        <s v="KAISER FND HOSP - REHABILITATION CENTER VALLEJO"/>
        <s v="SUTTER SOLANO MEDICAL CENTER"/>
        <s v="NORTH BAY MEDICAL CENTER"/>
        <s v="KAISER FOUNDATION HOSPITAL - VACAVILLE"/>
        <s v="HEALDSBURG DISTRICT HOSPITAL"/>
        <s v="PETALUMA VALLEY HOSPITAL"/>
        <s v="SANTA ROSA MEMORIAL HOSPITAL-MONTGOMERY"/>
        <s v="SONOMA VALLEY HOSPITAL"/>
        <s v="PALM DRIVE HOSPITAL"/>
        <s v="KAISER FND HOSP - SANTA ROSA"/>
        <s v="SUTTER SANTA ROSA REGIONAL HOSPITAL"/>
        <s v="DOCTORS MEDICAL CENTER"/>
        <s v="EMANUEL MEDICAL CENTER"/>
        <s v="MEMORIAL HOSPITAL MEDICAL CENTER - MODESTO"/>
        <s v="OAK VALLEY DISTRICT HOSPITAL (2-RH)"/>
        <s v="ST. ELIZABETH COMMUNITY HOSPITAL"/>
        <s v="TRINITY HOSPITAL"/>
        <s v="KAWEAH DELTA MEDICAL CENTER"/>
        <s v="SIERRA VIEW MEDICAL CENTER"/>
        <s v="TULARE REGIONAL MEDICAL CENTER"/>
        <s v="SONORA REGIONAL MEDICAL CENTER - GREENLEY"/>
        <s v="COMMUNITY MEMORIAL HOSPITAL-SAN BUENAVENTURA"/>
        <s v="VENTURA COUNTY MEDICAL CENTER"/>
        <s v="LOS ROBLES HOSPITAL AND MEDICAL CENTER"/>
        <s v="OJAI VALLEY COMMUNITY HOSPITAL"/>
        <s v="ST. JOHNS PLEASANT VALLEY HOSPITAL"/>
        <s v="SIMI VALLEY HOSPITAL AND HEALTH CARE SVCS-SYCAMORE"/>
        <s v="ST. JOHNS REGIONAL MEDICAL CENTER"/>
        <s v="WOODLAND MEMORIAL HOSPITAL"/>
        <s v="SUTTER DAVIS HOSPITAL"/>
        <s v="RIDEOUT MEMORIAL HOSPITAL"/>
        <s v="KAISER FND HOSP - REDWOOD CITY (OLD)" u="1"/>
      </sharedItems>
    </cacheField>
    <cacheField name="COUNTY_NAME" numFmtId="49">
      <sharedItems count="55">
        <s v="ALAMEDA"/>
        <s v="AMADOR"/>
        <s v="BUTTE"/>
        <s v="CALAVERAS"/>
        <s v="COLUSA"/>
        <s v="CONTRA COSTA"/>
        <s v="DEL NORTE"/>
        <s v="EL DORADO"/>
        <s v="FRESNO"/>
        <s v="GLENN"/>
        <s v="HUMBOLDT"/>
        <s v="IMPERIAL"/>
        <s v="INYO"/>
        <s v="KERN"/>
        <s v="KINGS"/>
        <s v="LAKE"/>
        <s v="LASSEN"/>
        <s v="LOS ANGELES"/>
        <s v="MADERA"/>
        <s v="MARIN"/>
        <s v="MARIPOSA"/>
        <s v="MENDOCINO"/>
        <s v="MERCED"/>
        <s v="MODOC"/>
        <s v="MONO"/>
        <s v="MONTEREY"/>
        <s v="NAPA"/>
        <s v="NEVADA"/>
        <s v="ORANGE"/>
        <s v="PLACER"/>
        <s v="PLUMAS"/>
        <s v="RIVERSIDE"/>
        <s v="SACRAMENTO"/>
        <s v="SAN BENITO"/>
        <s v="SAN BERNARDINO"/>
        <s v="SAN DIEGO"/>
        <s v="SAN FRANCISCO"/>
        <s v="SAN JOAQUIN"/>
        <s v="SAN LUIS OBISPO"/>
        <s v="SAN MATEO"/>
        <s v="SANTA BARBARA"/>
        <s v="SANTA CLARA"/>
        <s v="SANTA CRUZ"/>
        <s v="SHASTA"/>
        <s v="SISKIYOU"/>
        <s v="SOLANO"/>
        <s v="SONOMA"/>
        <s v="STANISLAUS"/>
        <s v="TEHAMA"/>
        <s v="TRINITY"/>
        <s v="TULARE"/>
        <s v="TUOLUMNE"/>
        <s v="VENTURA"/>
        <s v="YOLO"/>
        <s v="YUBA"/>
      </sharedItems>
    </cacheField>
    <cacheField name="Control_Type_Desc" numFmtId="49">
      <sharedItems count="7">
        <s v="Public - City or County"/>
        <s v="Nonprofit - Corporation"/>
        <s v="Public - District"/>
        <s v="Investor - Corporation"/>
        <s v="Investor - Partnership"/>
        <s v="Investor - Limited Liability Company"/>
        <s v="Public - University of California"/>
      </sharedItems>
    </cacheField>
    <cacheField name="LICENSE_CATEGORY_DESC" numFmtId="49">
      <sharedItems containsBlank="1"/>
    </cacheField>
    <cacheField name="DBA_ADDRESS1" numFmtId="49">
      <sharedItems/>
    </cacheField>
    <cacheField name="DBA_CITY" numFmtId="49">
      <sharedItems/>
    </cacheField>
    <cacheField name="DBA_ZIP_CODE" numFmtId="49">
      <sharedItems/>
    </cacheField>
    <cacheField name="LICENSED_BED_SIZE" numFmtId="49">
      <sharedItems/>
    </cacheField>
    <cacheField name="TRAUMA_CENTER_DESC" numFmtId="49">
      <sharedItems containsBlank="1"/>
    </cacheField>
    <cacheField name="CONGRESS_DIST" numFmtId="0">
      <sharedItems containsSemiMixedTypes="0" containsString="0" containsNumber="1" containsInteger="1" minValue="1" maxValue="53"/>
    </cacheField>
    <cacheField name="ASSEMBLY_DIST" numFmtId="0">
      <sharedItems containsSemiMixedTypes="0" containsString="0" containsNumber="1" containsInteger="1" minValue="1" maxValue="79" count="77">
        <n v="18"/>
        <n v="15"/>
        <n v="20"/>
        <n v="16"/>
        <n v="25"/>
        <n v="5"/>
        <n v="3"/>
        <n v="14"/>
        <n v="11"/>
        <n v="2"/>
        <n v="23"/>
        <n v="31"/>
        <n v="56"/>
        <n v="26"/>
        <n v="32"/>
        <n v="34"/>
        <n v="4"/>
        <n v="1"/>
        <n v="49"/>
        <n v="36"/>
        <n v="70"/>
        <n v="58"/>
        <n v="54"/>
        <n v="53"/>
        <n v="62"/>
        <n v="63"/>
        <n v="43"/>
        <n v="51"/>
        <n v="45"/>
        <n v="48"/>
        <n v="57"/>
        <n v="39"/>
        <n v="41"/>
        <n v="66"/>
        <n v="46"/>
        <n v="50"/>
        <n v="52"/>
        <n v="38"/>
        <n v="64"/>
        <n v="10"/>
        <n v="21"/>
        <n v="29"/>
        <n v="30"/>
        <n v="68"/>
        <n v="72"/>
        <n v="69"/>
        <n v="74"/>
        <n v="65"/>
        <n v="73"/>
        <n v="55"/>
        <n v="6"/>
        <n v="60"/>
        <n v="42"/>
        <n v="61"/>
        <n v="67"/>
        <n v="75"/>
        <n v="8"/>
        <n v="7"/>
        <n v="9"/>
        <n v="33"/>
        <n v="47"/>
        <n v="40"/>
        <n v="79"/>
        <n v="78"/>
        <n v="76"/>
        <n v="77"/>
        <n v="19"/>
        <n v="17"/>
        <n v="13"/>
        <n v="12"/>
        <n v="35"/>
        <n v="22"/>
        <n v="37"/>
        <n v="27"/>
        <n v="24"/>
        <n v="28"/>
        <n v="44"/>
      </sharedItems>
    </cacheField>
    <cacheField name="SENATE_DIST" numFmtId="0">
      <sharedItems containsSemiMixedTypes="0" containsString="0" containsNumber="1" containsInteger="1" minValue="1" maxValue="40" count="40">
        <n v="9"/>
        <n v="10"/>
        <n v="7"/>
        <n v="8"/>
        <n v="4"/>
        <n v="3"/>
        <n v="2"/>
        <n v="1"/>
        <n v="12"/>
        <n v="14"/>
        <n v="40"/>
        <n v="16"/>
        <n v="22"/>
        <n v="21"/>
        <n v="26"/>
        <n v="33"/>
        <n v="32"/>
        <n v="30"/>
        <n v="35"/>
        <n v="24"/>
        <n v="27"/>
        <n v="25"/>
        <n v="18"/>
        <n v="20"/>
        <n v="17"/>
        <n v="37"/>
        <n v="34"/>
        <n v="29"/>
        <n v="36"/>
        <n v="31"/>
        <n v="28"/>
        <n v="23"/>
        <n v="6"/>
        <n v="39"/>
        <n v="38"/>
        <n v="11"/>
        <n v="5"/>
        <n v="13"/>
        <n v="19"/>
        <n v="15"/>
      </sharedItems>
    </cacheField>
    <cacheField name="MSSA_NAME" numFmtId="49">
      <sharedItems/>
    </cacheField>
    <cacheField name="MSSA_DESIGNATION" numFmtId="49">
      <sharedItems/>
    </cacheField>
    <cacheField name="RURAL_HOSPITAL_DESC" numFmtId="49">
      <sharedItems count="2">
        <s v="N/A"/>
        <s v="Rural"/>
      </sharedItems>
    </cacheField>
    <cacheField name="TEACHING_HOSPITAL_DESC" numFmtId="49">
      <sharedItems count="2">
        <s v="N/A"/>
        <s v="Teaching"/>
      </sharedItems>
    </cacheField>
    <cacheField name="ER_SERVICE_LEVEL_DESC" numFmtId="49">
      <sharedItems containsBlank="1" count="4">
        <s v="Emergency - Basic"/>
        <s v="Emergency - Standby"/>
        <s v="Emergency - Comprehensive"/>
        <m/>
      </sharedItems>
    </cacheField>
    <cacheField name="Sex_Female" numFmtId="0">
      <sharedItems containsString="0" containsBlank="1" containsNumber="1" containsInteger="1" minValue="205" maxValue="72394"/>
    </cacheField>
    <cacheField name="Sex_Male" numFmtId="0">
      <sharedItems containsString="0" containsBlank="1" containsNumber="1" containsInteger="1" minValue="164" maxValue="63193"/>
    </cacheField>
    <cacheField name="Sex_Unk" numFmtId="0">
      <sharedItems containsString="0" containsBlank="1" containsNumber="1" containsInteger="1" minValue="1" maxValue="32"/>
    </cacheField>
    <cacheField name="Age_01_09" numFmtId="0">
      <sharedItems containsString="0" containsBlank="1" containsNumber="1" containsInteger="1" minValue="2" maxValue="68097"/>
    </cacheField>
    <cacheField name="Age_10_19" numFmtId="0">
      <sharedItems containsString="0" containsBlank="1" containsNumber="1" containsInteger="1" minValue="27" maxValue="22542"/>
    </cacheField>
    <cacheField name="Age_20_29" numFmtId="0">
      <sharedItems containsString="0" containsBlank="1" containsNumber="1" containsInteger="1" minValue="48" maxValue="20918"/>
    </cacheField>
    <cacheField name="Age_30_39" numFmtId="0">
      <sharedItems containsString="0" containsBlank="1" containsNumber="1" containsInteger="1" minValue="47" maxValue="18351"/>
    </cacheField>
    <cacheField name="Age_40_49" numFmtId="0">
      <sharedItems containsString="0" containsBlank="1" containsNumber="1" containsInteger="1" minValue="33" maxValue="20576"/>
    </cacheField>
    <cacheField name="Age_50_59" numFmtId="0">
      <sharedItems containsString="0" containsBlank="1" containsNumber="1" containsInteger="1" minValue="25" maxValue="20888"/>
    </cacheField>
    <cacheField name="Age_60_69" numFmtId="0">
      <sharedItems containsString="0" containsBlank="1" containsNumber="1" containsInteger="1" minValue="13" maxValue="11993"/>
    </cacheField>
    <cacheField name="Age_70_79" numFmtId="0">
      <sharedItems containsString="0" containsBlank="1" containsNumber="1" containsInteger="1" minValue="1" maxValue="9000"/>
    </cacheField>
    <cacheField name="Age_80_" numFmtId="0">
      <sharedItems containsString="0" containsBlank="1" containsNumber="1" containsInteger="1" minValue="1" maxValue="9579"/>
    </cacheField>
    <cacheField name="Age_Under_1" numFmtId="0">
      <sharedItems containsString="0" containsBlank="1" containsNumber="1" containsInteger="1" minValue="3" maxValue="19338"/>
    </cacheField>
    <cacheField name="Age_Unknown" numFmtId="0">
      <sharedItems containsString="0" containsBlank="1" containsNumber="1" containsInteger="1" minValue="1" maxValue="30"/>
    </cacheField>
    <cacheField name="Asian_Pacific_Island" numFmtId="0">
      <sharedItems containsString="0" containsBlank="1" containsNumber="1" containsInteger="1" minValue="3" maxValue="15304"/>
    </cacheField>
    <cacheField name="Black" numFmtId="0">
      <sharedItems containsString="0" containsBlank="1" containsNumber="1" containsInteger="1" minValue="1" maxValue="41962"/>
    </cacheField>
    <cacheField name="Hispanic" numFmtId="0">
      <sharedItems containsString="0" containsBlank="1" containsNumber="1" containsInteger="1" minValue="19" maxValue="83915"/>
    </cacheField>
    <cacheField name="Native_American_Eski" numFmtId="0">
      <sharedItems containsString="0" containsBlank="1" containsNumber="1" containsInteger="1" minValue="1" maxValue="14700"/>
    </cacheField>
    <cacheField name="Other_Race" numFmtId="0">
      <sharedItems containsString="0" containsBlank="1" containsNumber="1" containsInteger="1" minValue="1" maxValue="18445"/>
    </cacheField>
    <cacheField name="Unknown_Race" numFmtId="0">
      <sharedItems containsString="0" containsBlank="1" containsNumber="1" containsInteger="1" minValue="1" maxValue="52648"/>
    </cacheField>
    <cacheField name="White" numFmtId="0">
      <sharedItems containsString="0" containsBlank="1" containsNumber="1" containsInteger="1" minValue="9" maxValue="69662"/>
    </cacheField>
    <cacheField name="Acute_Care" numFmtId="0">
      <sharedItems containsString="0" containsBlank="1" containsNumber="1" containsInteger="1" minValue="2" maxValue="3435"/>
    </cacheField>
    <cacheField name="Against_Medical_Advice" numFmtId="0">
      <sharedItems containsString="0" containsBlank="1" containsNumber="1" containsInteger="1" minValue="1" maxValue="10333"/>
    </cacheField>
    <cacheField name="Died" numFmtId="0">
      <sharedItems containsString="0" containsBlank="1" containsNumber="1" containsInteger="1" minValue="1" maxValue="250"/>
    </cacheField>
    <cacheField name="Home_Health_Service" numFmtId="0">
      <sharedItems containsString="0" containsBlank="1" containsNumber="1" containsInteger="1" minValue="1" maxValue="27584"/>
    </cacheField>
    <cacheField name="Hospice_Care" numFmtId="0">
      <sharedItems containsString="0" containsBlank="1" containsNumber="1" containsInteger="1" minValue="1" maxValue="148"/>
    </cacheField>
    <cacheField name="Rehab" numFmtId="0">
      <sharedItems containsString="0" containsBlank="1" containsNumber="1" containsInteger="1" minValue="1" maxValue="139"/>
    </cacheField>
    <cacheField name="Disaster_Care_Site" numFmtId="0">
      <sharedItems containsString="0" containsBlank="1" containsNumber="1" containsInteger="1" minValue="1" maxValue="2"/>
    </cacheField>
    <cacheField name="Prison_Jail" numFmtId="0">
      <sharedItems containsString="0" containsBlank="1" containsNumber="1" containsInteger="1" minValue="1" maxValue="7503"/>
    </cacheField>
    <cacheField name="Psychiatric_Care" numFmtId="0">
      <sharedItems containsString="0" containsBlank="1" containsNumber="1" containsInteger="1" minValue="1" maxValue="4619"/>
    </cacheField>
    <cacheField name="Residential_Care" numFmtId="0">
      <sharedItems containsString="0" containsBlank="1" containsNumber="1" containsInteger="1" minValue="1" maxValue="394"/>
    </cacheField>
    <cacheField name="Routine" numFmtId="0">
      <sharedItems containsString="0" containsBlank="1" containsNumber="1" containsInteger="1" minValue="314" maxValue="124242"/>
    </cacheField>
    <cacheField name="SN_IC_Care" numFmtId="0">
      <sharedItems containsString="0" containsBlank="1" containsNumber="1" containsInteger="1" minValue="1" maxValue="1631"/>
    </cacheField>
    <cacheField name="Childrens_or_Cancer" numFmtId="0">
      <sharedItems containsString="0" containsBlank="1" containsNumber="1" containsInteger="1" minValue="1" maxValue="5574"/>
    </cacheField>
    <cacheField name="CAH" numFmtId="0">
      <sharedItems containsString="0" containsBlank="1" containsNumber="1" containsInteger="1" minValue="1" maxValue="328"/>
    </cacheField>
    <cacheField name="Not_Defined_Elsewhere" numFmtId="0">
      <sharedItems containsString="0" containsBlank="1" containsNumber="1" containsInteger="1" minValue="1" maxValue="2125"/>
    </cacheField>
    <cacheField name="Medi_Cal" numFmtId="0">
      <sharedItems containsString="0" containsBlank="1" containsNumber="1" containsInteger="1" minValue="28" maxValue="93731"/>
    </cacheField>
    <cacheField name="Medicare" numFmtId="0">
      <sharedItems containsString="0" containsBlank="1" containsNumber="1" containsInteger="1" minValue="14" maxValue="31838"/>
    </cacheField>
    <cacheField name="Other_Payer" numFmtId="0">
      <sharedItems containsString="0" containsBlank="1" containsNumber="1" containsInteger="1" minValue="2" maxValue="24602"/>
    </cacheField>
    <cacheField name="Private_Coverage" numFmtId="0">
      <sharedItems containsString="0" containsBlank="1" containsNumber="1" containsInteger="1" minValue="74" maxValue="54387"/>
    </cacheField>
    <cacheField name="SelfPay" numFmtId="0">
      <sharedItems containsString="0" containsBlank="1" containsNumber="1" containsInteger="1" minValue="3" maxValue="19711"/>
    </cacheField>
    <cacheField name="Unknown_Payer" numFmtId="0">
      <sharedItems containsString="0" containsBlank="1" containsNumber="1" containsInteger="1" minValue="1" maxValue="509"/>
    </cacheField>
    <cacheField name="ED_Visit" numFmtId="0">
      <sharedItems containsString="0" containsBlank="1" containsNumber="1" containsInteger="1" minValue="369" maxValue="127756"/>
    </cacheField>
    <cacheField name="All_Other" numFmtId="0">
      <sharedItems containsString="0" containsBlank="1" containsNumber="1" containsInteger="1" minValue="1" maxValue="6573"/>
    </cacheField>
    <cacheField name="English" numFmtId="0">
      <sharedItems containsString="0" containsBlank="1" containsNumber="1" containsInteger="1" minValue="344" maxValue="112837"/>
    </cacheField>
    <cacheField name="Spanish" numFmtId="0">
      <sharedItems containsString="0" containsBlank="1" containsNumber="1" containsInteger="1" minValue="9" maxValue="45501"/>
    </cacheField>
    <cacheField name="a_Sex_Female" numFmtId="0">
      <sharedItems containsString="0" containsBlank="1" containsNumber="1" containsInteger="1" minValue="1" maxValue="12158"/>
    </cacheField>
    <cacheField name="a_Sex_Male" numFmtId="0">
      <sharedItems containsString="0" containsBlank="1" containsNumber="1" containsInteger="1" minValue="1" maxValue="13781"/>
    </cacheField>
    <cacheField name="a_Sex_Other_Unk" numFmtId="0">
      <sharedItems containsString="0" containsBlank="1" containsNumber="1" containsInteger="1" minValue="1" maxValue="9"/>
    </cacheField>
    <cacheField name="a_Age_10_19" numFmtId="0">
      <sharedItems containsString="0" containsBlank="1" containsNumber="1" containsInteger="1" minValue="1" maxValue="2665"/>
    </cacheField>
    <cacheField name="a_Age_20_29" numFmtId="0">
      <sharedItems containsString="0" containsBlank="1" containsNumber="1" containsInteger="1" minValue="1" maxValue="2624"/>
    </cacheField>
    <cacheField name="a_Age_30_39" numFmtId="0">
      <sharedItems containsString="0" containsBlank="1" containsNumber="1" containsInteger="1" minValue="1" maxValue="2847"/>
    </cacheField>
    <cacheField name="a_Age_40_49" numFmtId="0">
      <sharedItems containsString="0" containsBlank="1" containsNumber="1" containsInteger="1" minValue="1" maxValue="3601"/>
    </cacheField>
    <cacheField name="a_Age_50_59" numFmtId="0">
      <sharedItems containsString="0" containsBlank="1" containsNumber="1" containsInteger="1" minValue="1" maxValue="5378"/>
    </cacheField>
    <cacheField name="a_Age_60_69" numFmtId="0">
      <sharedItems containsString="0" containsBlank="1" containsNumber="1" containsInteger="1" minValue="1" maxValue="4504"/>
    </cacheField>
    <cacheField name="a_Age_70_79" numFmtId="0">
      <sharedItems containsString="0" containsBlank="1" containsNumber="1" containsInteger="1" minValue="1" maxValue="3784"/>
    </cacheField>
    <cacheField name="a_Age_80_" numFmtId="0">
      <sharedItems containsString="0" containsBlank="1" containsNumber="1" containsInteger="1" minValue="1" maxValue="6065"/>
    </cacheField>
    <cacheField name="a_Age_Under_1" numFmtId="0">
      <sharedItems containsString="0" containsBlank="1" containsNumber="1" containsInteger="1" minValue="1" maxValue="2359"/>
    </cacheField>
    <cacheField name="a_Age_01_09" numFmtId="0">
      <sharedItems containsString="0" containsBlank="1" containsNumber="1" containsInteger="1" minValue="1" maxValue="4126"/>
    </cacheField>
    <cacheField name="a_Age_Unknown" numFmtId="0">
      <sharedItems containsString="0" containsBlank="1" containsNumber="1" containsInteger="1" minValue="1" maxValue="2"/>
    </cacheField>
    <cacheField name="a_Asian_Pacific_Isla" numFmtId="0">
      <sharedItems containsString="0" containsBlank="1" containsNumber="1" containsInteger="1" minValue="1" maxValue="4865"/>
    </cacheField>
    <cacheField name="a_Black" numFmtId="0">
      <sharedItems containsString="0" containsBlank="1" containsNumber="1" containsInteger="1" minValue="1" maxValue="9793"/>
    </cacheField>
    <cacheField name="a_Hispanic" numFmtId="0">
      <sharedItems containsString="0" containsBlank="1" containsNumber="1" containsInteger="1" minValue="1" maxValue="13858"/>
    </cacheField>
    <cacheField name="a_Other_Race" numFmtId="0">
      <sharedItems containsString="0" containsBlank="1" containsNumber="1" containsInteger="1" minValue="1" maxValue="3152"/>
    </cacheField>
    <cacheField name="a_Unknown_Race" numFmtId="0">
      <sharedItems containsString="0" containsBlank="1" containsNumber="1" containsInteger="1" minValue="1" maxValue="396"/>
    </cacheField>
    <cacheField name="a_White" numFmtId="0">
      <sharedItems containsString="0" containsBlank="1" containsNumber="1" containsInteger="1" minValue="2" maxValue="14347"/>
    </cacheField>
    <cacheField name="a_Native_American_Es" numFmtId="0">
      <sharedItems containsString="0" containsBlank="1" containsNumber="1" containsInteger="1" minValue="1" maxValue="264"/>
    </cacheField>
    <cacheField name="a_Acute_Care" numFmtId="0">
      <sharedItems containsString="0" containsBlank="1" containsNumber="1" containsInteger="1" minValue="1" maxValue="1704"/>
    </cacheField>
    <cacheField name="a_Against_Medical_Advice" numFmtId="0">
      <sharedItems containsString="0" containsBlank="1" containsNumber="1" containsInteger="1" minValue="1" maxValue="1220"/>
    </cacheField>
    <cacheField name="a_Died" numFmtId="0">
      <sharedItems containsString="0" containsBlank="1" containsNumber="1" containsInteger="1" minValue="1" maxValue="853"/>
    </cacheField>
    <cacheField name="a_Home_Health_Service" numFmtId="0">
      <sharedItems containsString="0" containsBlank="1" containsNumber="1" containsInteger="1" minValue="1" maxValue="6165"/>
    </cacheField>
    <cacheField name="a_Rehab" numFmtId="0">
      <sharedItems containsString="0" containsBlank="1" containsNumber="1" containsInteger="1" minValue="1" maxValue="573"/>
    </cacheField>
    <cacheField name="a_Disaster_Care_Site" numFmtId="0">
      <sharedItems containsString="0" containsBlank="1" containsNumber="1" containsInteger="1" minValue="1" maxValue="3"/>
    </cacheField>
    <cacheField name="a_Residential_Care" numFmtId="0">
      <sharedItems containsString="0" containsBlank="1" containsNumber="1" containsInteger="1" minValue="1" maxValue="391"/>
    </cacheField>
    <cacheField name="a_Routine" numFmtId="0">
      <sharedItems containsString="0" containsBlank="1" containsNumber="1" containsInteger="1" minValue="1" maxValue="16485"/>
    </cacheField>
    <cacheField name="a_SN_IC_Care" numFmtId="0">
      <sharedItems containsString="0" containsBlank="1" containsNumber="1" containsInteger="1" minValue="1" maxValue="3618"/>
    </cacheField>
    <cacheField name="a_Prison_Jail" numFmtId="0">
      <sharedItems containsString="0" containsBlank="1" containsNumber="1" containsInteger="1" minValue="1" maxValue="1085"/>
    </cacheField>
    <cacheField name="a_Hospice_Care" numFmtId="0">
      <sharedItems containsString="0" containsBlank="1" containsNumber="1" containsInteger="1" minValue="1" maxValue="1111"/>
    </cacheField>
    <cacheField name="a_Psychiatric_Care" numFmtId="0">
      <sharedItems containsString="0" containsBlank="1" containsNumber="1" containsInteger="1" minValue="1" maxValue="181"/>
    </cacheField>
    <cacheField name="a_Childrens_or_Cancer" numFmtId="0">
      <sharedItems containsString="0" containsBlank="1" containsNumber="1" containsInteger="1" minValue="1" maxValue="623"/>
    </cacheField>
    <cacheField name="a_CAH" numFmtId="0">
      <sharedItems containsString="0" containsBlank="1" containsNumber="1" containsInteger="1" minValue="1" maxValue="30"/>
    </cacheField>
    <cacheField name="a_Not_Defined_Elsewhere" numFmtId="0">
      <sharedItems containsString="0" containsBlank="1" containsNumber="1" containsInteger="1" minValue="1" maxValue="231"/>
    </cacheField>
    <cacheField name="a_Medi_Cal" numFmtId="0">
      <sharedItems containsString="0" containsBlank="1" containsNumber="1" containsInteger="1" minValue="1" maxValue="16518"/>
    </cacheField>
    <cacheField name="a_Medicare" numFmtId="0">
      <sharedItems containsString="0" containsBlank="1" containsNumber="1" containsInteger="1" minValue="1" maxValue="13605"/>
    </cacheField>
    <cacheField name="a_Other_Payer" numFmtId="0">
      <sharedItems containsString="0" containsBlank="1" containsNumber="1" containsInteger="1" minValue="1" maxValue="2016"/>
    </cacheField>
    <cacheField name="a_Private_Coverage" numFmtId="0">
      <sharedItems containsString="0" containsBlank="1" containsNumber="1" containsInteger="1" minValue="1" maxValue="6318"/>
    </cacheField>
    <cacheField name="a_SelfPay" numFmtId="0">
      <sharedItems containsString="0" containsBlank="1" containsNumber="1" containsInteger="1" minValue="1" maxValue="2261"/>
    </cacheField>
    <cacheField name="a_Unknown_Payer" numFmtId="0">
      <sharedItems containsString="0" containsBlank="1" containsNumber="1" containsInteger="1" minValue="1" maxValue="61"/>
    </cacheField>
    <cacheField name="Inpatient_from_ED" numFmtId="0">
      <sharedItems containsSemiMixedTypes="0" containsString="0" containsNumber="1" containsInteger="1" minValue="1" maxValue="24997"/>
    </cacheField>
    <cacheField name="a_All_Other" numFmtId="0">
      <sharedItems containsString="0" containsBlank="1" containsNumber="1" containsInteger="1" minValue="1" maxValue="3087"/>
    </cacheField>
    <cacheField name="a_English" numFmtId="0">
      <sharedItems containsString="0" containsBlank="1" containsNumber="1" containsInteger="1" minValue="1" maxValue="20341"/>
    </cacheField>
    <cacheField name="a_Spanish" numFmtId="0">
      <sharedItems containsString="0" containsBlank="1" containsNumber="1" containsInteger="1" minValue="1" maxValue="8962"/>
    </cacheField>
    <cacheField name="datayear" numFmtId="49">
      <sharedItems/>
    </cacheField>
    <cacheField name="LICENSED_BED_TOTAL" numFmtId="0">
      <sharedItems containsSemiMixedTypes="0" containsString="0" containsNumber="1" containsInteger="1" minValue="11" maxValue="886"/>
    </cacheField>
    <cacheField name="EMS_STATION" numFmtId="0">
      <sharedItems containsSemiMixedTypes="0" containsString="0" containsNumber="1" containsInteger="1" minValue="0" maxValue="106"/>
    </cacheField>
    <cacheField name="Invalid_Blank_Disp" numFmtId="0">
      <sharedItems containsString="0" containsBlank="1" containsNumber="1" containsInteger="1" minValue="1" maxValue="368"/>
    </cacheField>
    <cacheField name="Other_Disp" numFmtId="0">
      <sharedItems containsString="0" containsBlank="1" containsNumber="1" containsInteger="1" minValue="1" maxValue="4043"/>
    </cacheField>
    <cacheField name="a_Invalid_Blank_Disp" numFmtId="0">
      <sharedItems containsString="0" containsBlank="1" containsNumber="1" containsInteger="1" minValue="1" maxValue="1383"/>
    </cacheField>
    <cacheField name="a_Other_Disp" numFmtId="0">
      <sharedItems containsString="0" containsBlank="1" containsNumber="1" containsInteger="1" minValue="1" maxValue="1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28">
  <r>
    <n v="106010735"/>
    <s v="010735"/>
    <x v="0"/>
    <x v="0"/>
    <x v="0"/>
    <s v="General Acute Care Hospital"/>
    <s v="2070 CLINTON"/>
    <s v="ALAMEDA"/>
    <s v="94501"/>
    <s v="Beds 200-299"/>
    <m/>
    <n v="13"/>
    <x v="0"/>
    <x v="0"/>
    <s v="Alameda/Jack London Square/Oakland Inner Harbor"/>
    <s v="Urban"/>
    <x v="0"/>
    <x v="0"/>
    <x v="0"/>
    <n v="8722"/>
    <n v="6889"/>
    <m/>
    <n v="774"/>
    <n v="1174"/>
    <n v="2774"/>
    <n v="2772"/>
    <n v="2312"/>
    <n v="2259"/>
    <n v="1659"/>
    <n v="884"/>
    <n v="943"/>
    <n v="60"/>
    <m/>
    <n v="1562"/>
    <n v="3206"/>
    <n v="1268"/>
    <n v="14"/>
    <n v="3314"/>
    <n v="250"/>
    <n v="5997"/>
    <n v="280"/>
    <n v="426"/>
    <n v="28"/>
    <m/>
    <m/>
    <m/>
    <m/>
    <n v="166"/>
    <n v="202"/>
    <m/>
    <n v="14342"/>
    <n v="165"/>
    <m/>
    <n v="1"/>
    <m/>
    <n v="760"/>
    <n v="2926"/>
    <n v="5456"/>
    <n v="4069"/>
    <n v="2400"/>
    <m/>
    <n v="15611"/>
    <n v="685"/>
    <n v="14351"/>
    <n v="575"/>
    <n v="1032"/>
    <n v="875"/>
    <m/>
    <n v="5"/>
    <n v="59"/>
    <n v="118"/>
    <n v="160"/>
    <n v="244"/>
    <n v="398"/>
    <n v="306"/>
    <n v="616"/>
    <n v="1"/>
    <m/>
    <m/>
    <n v="316"/>
    <n v="249"/>
    <n v="145"/>
    <n v="225"/>
    <n v="20"/>
    <n v="950"/>
    <n v="2"/>
    <n v="89"/>
    <n v="52"/>
    <n v="41"/>
    <n v="235"/>
    <n v="8"/>
    <m/>
    <n v="40"/>
    <n v="806"/>
    <n v="603"/>
    <m/>
    <n v="30"/>
    <n v="3"/>
    <m/>
    <m/>
    <m/>
    <n v="409"/>
    <n v="1174"/>
    <n v="3"/>
    <n v="275"/>
    <n v="46"/>
    <m/>
    <n v="1907"/>
    <n v="217"/>
    <n v="1633"/>
    <n v="57"/>
    <s v="2015"/>
    <n v="281"/>
    <n v="12"/>
    <n v="1"/>
    <m/>
    <m/>
    <m/>
  </r>
  <r>
    <n v="106010739"/>
    <s v="010739"/>
    <x v="1"/>
    <x v="0"/>
    <x v="1"/>
    <s v="General Acute Care Hospital"/>
    <s v="2450 ASHBY STREET"/>
    <s v="BERKELEY"/>
    <s v="94705"/>
    <s v="Beds 300-499"/>
    <m/>
    <n v="13"/>
    <x v="1"/>
    <x v="0"/>
    <s v="Albany/Berkeley East and North/Claremont/Cragmont/Forest Park/Rockridge/Temescal/Thousand Oaks"/>
    <s v="Urban"/>
    <x v="0"/>
    <x v="0"/>
    <x v="0"/>
    <n v="23230"/>
    <n v="17196"/>
    <n v="4"/>
    <n v="682"/>
    <n v="2205"/>
    <n v="8769"/>
    <n v="6910"/>
    <n v="5524"/>
    <n v="5924"/>
    <n v="4778"/>
    <n v="2828"/>
    <n v="2606"/>
    <n v="204"/>
    <m/>
    <n v="3440"/>
    <n v="13624"/>
    <n v="5553"/>
    <n v="76"/>
    <n v="2231"/>
    <n v="447"/>
    <n v="15059"/>
    <n v="248"/>
    <n v="337"/>
    <n v="35"/>
    <n v="120"/>
    <n v="20"/>
    <n v="7"/>
    <m/>
    <n v="86"/>
    <n v="1334"/>
    <n v="7"/>
    <n v="37587"/>
    <n v="235"/>
    <n v="5"/>
    <n v="34"/>
    <n v="104"/>
    <n v="14558"/>
    <n v="9123"/>
    <n v="739"/>
    <n v="12537"/>
    <n v="3412"/>
    <n v="61"/>
    <n v="40430"/>
    <n v="1131"/>
    <n v="37704"/>
    <n v="1595"/>
    <n v="3155"/>
    <n v="2735"/>
    <m/>
    <n v="46"/>
    <n v="453"/>
    <n v="506"/>
    <n v="554"/>
    <n v="884"/>
    <n v="1158"/>
    <n v="966"/>
    <n v="1314"/>
    <n v="9"/>
    <m/>
    <m/>
    <n v="581"/>
    <n v="1969"/>
    <n v="583"/>
    <n v="197"/>
    <n v="30"/>
    <n v="2521"/>
    <n v="9"/>
    <n v="193"/>
    <n v="124"/>
    <n v="216"/>
    <n v="893"/>
    <n v="194"/>
    <m/>
    <n v="10"/>
    <n v="3050"/>
    <n v="1000"/>
    <m/>
    <n v="148"/>
    <n v="47"/>
    <m/>
    <n v="3"/>
    <n v="8"/>
    <n v="1419"/>
    <n v="2666"/>
    <n v="52"/>
    <n v="1630"/>
    <n v="123"/>
    <m/>
    <n v="5890"/>
    <n v="243"/>
    <n v="5447"/>
    <n v="200"/>
    <s v="2015"/>
    <n v="347"/>
    <n v="22"/>
    <n v="228"/>
    <n v="43"/>
    <n v="4"/>
    <m/>
  </r>
  <r>
    <n v="106010776"/>
    <s v="010776"/>
    <x v="2"/>
    <x v="0"/>
    <x v="1"/>
    <s v="General Acute Care Hospital"/>
    <s v="747 52ND STREET"/>
    <s v="OAKLAND"/>
    <s v="94609"/>
    <s v="Beds 150-199"/>
    <s v="Level I - Pediatric"/>
    <n v="13"/>
    <x v="1"/>
    <x v="0"/>
    <s v="Oakland West Central"/>
    <s v="Urban"/>
    <x v="0"/>
    <x v="0"/>
    <x v="0"/>
    <n v="18362"/>
    <n v="21248"/>
    <m/>
    <n v="23968"/>
    <n v="9563"/>
    <n v="315"/>
    <n v="69"/>
    <n v="57"/>
    <n v="28"/>
    <n v="15"/>
    <n v="6"/>
    <m/>
    <n v="5589"/>
    <m/>
    <n v="2756"/>
    <n v="10033"/>
    <n v="18049"/>
    <n v="28"/>
    <n v="5227"/>
    <n v="183"/>
    <n v="3334"/>
    <n v="235"/>
    <n v="44"/>
    <n v="5"/>
    <n v="30"/>
    <m/>
    <n v="1"/>
    <m/>
    <n v="8"/>
    <m/>
    <m/>
    <n v="39018"/>
    <n v="6"/>
    <n v="4"/>
    <m/>
    <m/>
    <n v="30876"/>
    <n v="24"/>
    <n v="533"/>
    <n v="5579"/>
    <n v="2596"/>
    <n v="2"/>
    <n v="39610"/>
    <n v="1385"/>
    <n v="27828"/>
    <n v="10397"/>
    <n v="3000"/>
    <n v="3929"/>
    <m/>
    <n v="1890"/>
    <n v="77"/>
    <m/>
    <m/>
    <m/>
    <m/>
    <m/>
    <m/>
    <n v="1363"/>
    <n v="3599"/>
    <m/>
    <n v="568"/>
    <n v="1298"/>
    <n v="2675"/>
    <n v="1184"/>
    <n v="35"/>
    <n v="1162"/>
    <n v="7"/>
    <m/>
    <n v="3"/>
    <m/>
    <n v="2"/>
    <m/>
    <m/>
    <m/>
    <n v="6837"/>
    <n v="20"/>
    <m/>
    <m/>
    <m/>
    <n v="59"/>
    <m/>
    <m/>
    <n v="3580"/>
    <n v="12"/>
    <n v="1325"/>
    <n v="1738"/>
    <n v="274"/>
    <m/>
    <n v="6929"/>
    <n v="239"/>
    <n v="5231"/>
    <n v="1459"/>
    <s v="2015"/>
    <n v="190"/>
    <n v="37"/>
    <n v="40"/>
    <n v="219"/>
    <n v="8"/>
    <m/>
  </r>
  <r>
    <n v="106010846"/>
    <s v="010846"/>
    <x v="3"/>
    <x v="0"/>
    <x v="0"/>
    <s v="General Acute Care Hospital"/>
    <s v="1411 EAST 31ST STREET"/>
    <s v="OAKLAND"/>
    <s v="94602"/>
    <s v="Beds 200-299"/>
    <s v="Level II"/>
    <n v="13"/>
    <x v="0"/>
    <x v="0"/>
    <s v="Oakland West Central"/>
    <s v="Urban"/>
    <x v="0"/>
    <x v="1"/>
    <x v="0"/>
    <n v="30651"/>
    <n v="35104"/>
    <n v="2"/>
    <n v="861"/>
    <n v="2810"/>
    <n v="13871"/>
    <n v="13787"/>
    <n v="12082"/>
    <n v="12712"/>
    <n v="7118"/>
    <n v="1611"/>
    <n v="716"/>
    <n v="189"/>
    <m/>
    <n v="5762"/>
    <n v="28234"/>
    <n v="21463"/>
    <n v="261"/>
    <n v="1793"/>
    <n v="400"/>
    <n v="7844"/>
    <n v="110"/>
    <n v="570"/>
    <n v="155"/>
    <n v="3"/>
    <n v="14"/>
    <n v="4"/>
    <m/>
    <n v="1158"/>
    <n v="26"/>
    <n v="95"/>
    <n v="63263"/>
    <n v="139"/>
    <n v="6"/>
    <m/>
    <n v="153"/>
    <n v="41892"/>
    <n v="6148"/>
    <n v="1059"/>
    <n v="2021"/>
    <n v="14128"/>
    <n v="509"/>
    <n v="65757"/>
    <n v="4786"/>
    <n v="47250"/>
    <n v="13721"/>
    <n v="3295"/>
    <n v="4642"/>
    <m/>
    <n v="175"/>
    <n v="872"/>
    <n v="1030"/>
    <n v="1341"/>
    <n v="1726"/>
    <n v="1599"/>
    <n v="625"/>
    <n v="568"/>
    <n v="1"/>
    <m/>
    <m/>
    <n v="1034"/>
    <n v="3270"/>
    <n v="2035"/>
    <n v="151"/>
    <n v="36"/>
    <n v="1357"/>
    <n v="54"/>
    <n v="218"/>
    <n v="382"/>
    <n v="211"/>
    <n v="289"/>
    <n v="209"/>
    <m/>
    <n v="154"/>
    <n v="5356"/>
    <n v="856"/>
    <n v="61"/>
    <n v="88"/>
    <n v="37"/>
    <m/>
    <m/>
    <n v="68"/>
    <n v="4816"/>
    <n v="2072"/>
    <n v="67"/>
    <n v="616"/>
    <n v="366"/>
    <m/>
    <n v="7937"/>
    <n v="794"/>
    <n v="5819"/>
    <n v="1324"/>
    <s v="2015"/>
    <n v="286"/>
    <n v="52"/>
    <n v="3"/>
    <n v="58"/>
    <m/>
    <n v="8"/>
  </r>
  <r>
    <n v="106010937"/>
    <s v="010937"/>
    <x v="4"/>
    <x v="0"/>
    <x v="1"/>
    <s v="General Acute Care Hospital"/>
    <s v="350 HAWTHORNE AVENUE"/>
    <s v="OAKLAND"/>
    <s v="94609"/>
    <s v="Beds 300-499"/>
    <m/>
    <n v="13"/>
    <x v="0"/>
    <x v="0"/>
    <s v="Dimond/Montclair/Oakland East/Oakmore/Piedmont/Piedmont Pines/Trestle Glen"/>
    <s v="Urban"/>
    <x v="0"/>
    <x v="0"/>
    <x v="0"/>
    <n v="21836"/>
    <n v="16099"/>
    <n v="1"/>
    <n v="286"/>
    <n v="1226"/>
    <n v="6762"/>
    <n v="6313"/>
    <n v="5573"/>
    <n v="6668"/>
    <n v="5290"/>
    <n v="2818"/>
    <n v="2946"/>
    <n v="54"/>
    <m/>
    <n v="4004"/>
    <n v="20854"/>
    <n v="3646"/>
    <n v="57"/>
    <n v="1451"/>
    <n v="237"/>
    <n v="7687"/>
    <n v="373"/>
    <n v="405"/>
    <n v="82"/>
    <n v="311"/>
    <n v="31"/>
    <n v="18"/>
    <m/>
    <n v="7"/>
    <n v="745"/>
    <n v="4"/>
    <n v="35061"/>
    <n v="436"/>
    <n v="5"/>
    <n v="46"/>
    <n v="173"/>
    <n v="17239"/>
    <n v="10006"/>
    <n v="550"/>
    <n v="6930"/>
    <n v="3174"/>
    <n v="37"/>
    <n v="37936"/>
    <n v="2461"/>
    <n v="34392"/>
    <n v="1083"/>
    <n v="4451"/>
    <n v="4077"/>
    <m/>
    <n v="23"/>
    <n v="274"/>
    <n v="462"/>
    <n v="757"/>
    <n v="1458"/>
    <n v="1925"/>
    <n v="1405"/>
    <n v="2224"/>
    <m/>
    <m/>
    <m/>
    <n v="1682"/>
    <n v="3792"/>
    <n v="643"/>
    <n v="206"/>
    <n v="65"/>
    <n v="2119"/>
    <n v="21"/>
    <n v="173"/>
    <n v="172"/>
    <n v="320"/>
    <n v="1487"/>
    <n v="265"/>
    <m/>
    <n v="21"/>
    <n v="4206"/>
    <n v="1673"/>
    <m/>
    <n v="183"/>
    <n v="15"/>
    <m/>
    <n v="3"/>
    <n v="1"/>
    <n v="2246"/>
    <n v="4622"/>
    <n v="118"/>
    <n v="1429"/>
    <n v="111"/>
    <n v="2"/>
    <n v="8528"/>
    <n v="1231"/>
    <n v="7016"/>
    <n v="281"/>
    <s v="2015"/>
    <n v="403"/>
    <n v="31"/>
    <n v="193"/>
    <n v="46"/>
    <n v="9"/>
    <m/>
  </r>
  <r>
    <n v="106010967"/>
    <s v="010967"/>
    <x v="5"/>
    <x v="0"/>
    <x v="1"/>
    <s v="General Acute Care Hospital"/>
    <s v="27200 CALAROGA AVENUE"/>
    <s v="HAYWARD"/>
    <s v="94545"/>
    <s v="Beds 200-299"/>
    <m/>
    <n v="15"/>
    <x v="2"/>
    <x v="1"/>
    <s v="San Leandro West/San Lorenzo West/Hayward West"/>
    <s v="Urban"/>
    <x v="0"/>
    <x v="0"/>
    <x v="0"/>
    <n v="18395"/>
    <n v="14681"/>
    <m/>
    <n v="4042"/>
    <n v="3198"/>
    <n v="6023"/>
    <n v="5392"/>
    <n v="4422"/>
    <n v="4182"/>
    <n v="2724"/>
    <n v="1275"/>
    <n v="1045"/>
    <n v="773"/>
    <m/>
    <n v="4935"/>
    <n v="6000"/>
    <n v="13575"/>
    <n v="43"/>
    <n v="1818"/>
    <n v="25"/>
    <n v="6680"/>
    <n v="311"/>
    <n v="755"/>
    <n v="94"/>
    <m/>
    <n v="10"/>
    <m/>
    <m/>
    <n v="194"/>
    <n v="667"/>
    <n v="1"/>
    <n v="30867"/>
    <n v="18"/>
    <n v="86"/>
    <n v="24"/>
    <m/>
    <n v="19276"/>
    <n v="4279"/>
    <n v="1899"/>
    <n v="3749"/>
    <n v="3873"/>
    <m/>
    <n v="33076"/>
    <n v="1958"/>
    <n v="25505"/>
    <n v="5613"/>
    <n v="2371"/>
    <n v="2092"/>
    <m/>
    <n v="24"/>
    <n v="183"/>
    <n v="245"/>
    <n v="436"/>
    <n v="833"/>
    <n v="969"/>
    <n v="822"/>
    <n v="951"/>
    <m/>
    <m/>
    <m/>
    <n v="1146"/>
    <n v="624"/>
    <n v="1125"/>
    <n v="140"/>
    <n v="7"/>
    <n v="1416"/>
    <n v="5"/>
    <m/>
    <n v="112"/>
    <n v="198"/>
    <n v="847"/>
    <m/>
    <m/>
    <m/>
    <n v="2174"/>
    <n v="989"/>
    <n v="2"/>
    <m/>
    <m/>
    <n v="141"/>
    <m/>
    <m/>
    <n v="1856"/>
    <n v="2066"/>
    <n v="14"/>
    <n v="499"/>
    <n v="28"/>
    <m/>
    <n v="4463"/>
    <n v="655"/>
    <n v="3289"/>
    <n v="519"/>
    <s v="2015"/>
    <n v="217"/>
    <n v="17"/>
    <m/>
    <n v="49"/>
    <m/>
    <m/>
  </r>
  <r>
    <n v="106010987"/>
    <s v="010987"/>
    <x v="6"/>
    <x v="0"/>
    <x v="2"/>
    <s v="General Acute Care Hospital"/>
    <s v="2000 MOWRY AVENUE"/>
    <s v="FREMONT"/>
    <s v="94538"/>
    <s v="Beds 300-499"/>
    <m/>
    <n v="17"/>
    <x v="2"/>
    <x v="1"/>
    <s v="Fremont East/Niles/Union City Central"/>
    <s v="Urban"/>
    <x v="0"/>
    <x v="0"/>
    <x v="0"/>
    <n v="23418"/>
    <n v="19589"/>
    <m/>
    <n v="5518"/>
    <n v="3965"/>
    <n v="6668"/>
    <n v="6232"/>
    <n v="5192"/>
    <n v="5426"/>
    <n v="3826"/>
    <n v="2568"/>
    <n v="2560"/>
    <n v="1052"/>
    <m/>
    <n v="10429"/>
    <n v="4291"/>
    <n v="9733"/>
    <n v="66"/>
    <n v="7076"/>
    <n v="360"/>
    <n v="11052"/>
    <n v="173"/>
    <m/>
    <n v="78"/>
    <n v="224"/>
    <n v="38"/>
    <n v="7"/>
    <m/>
    <n v="325"/>
    <n v="744"/>
    <n v="4"/>
    <n v="40892"/>
    <n v="443"/>
    <n v="8"/>
    <m/>
    <n v="63"/>
    <n v="18246"/>
    <n v="9578"/>
    <n v="1222"/>
    <n v="9945"/>
    <n v="3992"/>
    <n v="24"/>
    <n v="43007"/>
    <n v="3146"/>
    <n v="37778"/>
    <n v="2083"/>
    <n v="4173"/>
    <n v="3628"/>
    <m/>
    <n v="67"/>
    <n v="238"/>
    <n v="352"/>
    <n v="564"/>
    <n v="1041"/>
    <n v="1409"/>
    <n v="1689"/>
    <n v="2338"/>
    <n v="34"/>
    <n v="69"/>
    <m/>
    <n v="2240"/>
    <n v="477"/>
    <n v="966"/>
    <n v="1094"/>
    <n v="29"/>
    <n v="2987"/>
    <n v="8"/>
    <n v="104"/>
    <m/>
    <n v="328"/>
    <n v="1542"/>
    <n v="61"/>
    <m/>
    <n v="3"/>
    <n v="4007"/>
    <n v="1605"/>
    <n v="2"/>
    <n v="100"/>
    <n v="44"/>
    <m/>
    <n v="1"/>
    <n v="4"/>
    <n v="1394"/>
    <n v="4817"/>
    <n v="62"/>
    <n v="1351"/>
    <n v="177"/>
    <m/>
    <n v="7801"/>
    <n v="1263"/>
    <n v="6255"/>
    <n v="283"/>
    <s v="2015"/>
    <n v="341"/>
    <n v="23"/>
    <n v="2"/>
    <n v="6"/>
    <m/>
    <m/>
  </r>
  <r>
    <n v="106013619"/>
    <s v="013619"/>
    <x v="7"/>
    <x v="0"/>
    <x v="0"/>
    <s v="General Acute Care Hospital"/>
    <s v="13855 EAST 14TH STREET"/>
    <s v="SAN LEANDRO"/>
    <s v="94578"/>
    <s v="Beds 50-99"/>
    <m/>
    <n v="13"/>
    <x v="0"/>
    <x v="0"/>
    <s v="Ashland/Brookfield Village/Castro Valley South/Elmhurst/Hayward Northeast/San Leandro North Central/San Lorenzo East"/>
    <s v="Urban"/>
    <x v="0"/>
    <x v="0"/>
    <x v="0"/>
    <n v="17814"/>
    <n v="13227"/>
    <n v="4"/>
    <n v="1401"/>
    <n v="2247"/>
    <n v="6986"/>
    <n v="5560"/>
    <n v="4559"/>
    <n v="5281"/>
    <n v="2796"/>
    <n v="1094"/>
    <n v="948"/>
    <n v="173"/>
    <m/>
    <n v="2288"/>
    <n v="16236"/>
    <n v="6842"/>
    <n v="158"/>
    <n v="613"/>
    <n v="64"/>
    <n v="4844"/>
    <n v="97"/>
    <n v="683"/>
    <n v="15"/>
    <n v="43"/>
    <n v="6"/>
    <n v="1"/>
    <m/>
    <n v="104"/>
    <n v="757"/>
    <m/>
    <n v="28899"/>
    <n v="62"/>
    <n v="6"/>
    <m/>
    <n v="372"/>
    <n v="3141"/>
    <n v="4960"/>
    <n v="16738"/>
    <n v="3428"/>
    <n v="2778"/>
    <m/>
    <n v="31045"/>
    <n v="845"/>
    <n v="28182"/>
    <n v="2018"/>
    <n v="1445"/>
    <n v="1293"/>
    <m/>
    <n v="18"/>
    <n v="140"/>
    <n v="204"/>
    <n v="289"/>
    <n v="591"/>
    <n v="516"/>
    <n v="431"/>
    <n v="549"/>
    <m/>
    <m/>
    <m/>
    <n v="341"/>
    <n v="1176"/>
    <n v="124"/>
    <n v="304"/>
    <m/>
    <n v="781"/>
    <n v="12"/>
    <n v="85"/>
    <n v="94"/>
    <n v="66"/>
    <n v="330"/>
    <n v="14"/>
    <m/>
    <n v="1"/>
    <n v="1612"/>
    <n v="485"/>
    <m/>
    <n v="29"/>
    <n v="21"/>
    <m/>
    <m/>
    <n v="1"/>
    <n v="941"/>
    <n v="1435"/>
    <n v="162"/>
    <n v="158"/>
    <n v="42"/>
    <m/>
    <n v="2738"/>
    <n v="206"/>
    <n v="2344"/>
    <n v="188"/>
    <s v="2015"/>
    <n v="93"/>
    <n v="12"/>
    <m/>
    <m/>
    <m/>
    <m/>
  </r>
  <r>
    <n v="106014050"/>
    <s v="014050"/>
    <x v="8"/>
    <x v="0"/>
    <x v="1"/>
    <s v="General Acute Care Hospital"/>
    <s v="5555 WEST LAS POSITAS BLVD."/>
    <s v="PLEASANTON"/>
    <s v="94588"/>
    <s v="Beds 150-199"/>
    <m/>
    <n v="15"/>
    <x v="3"/>
    <x v="2"/>
    <s v="Dublin/Pleasanton/Santa Rita/Sunol"/>
    <s v="Urban"/>
    <x v="0"/>
    <x v="0"/>
    <x v="0"/>
    <n v="13944"/>
    <n v="12390"/>
    <m/>
    <n v="3085"/>
    <n v="2865"/>
    <n v="4029"/>
    <n v="3790"/>
    <n v="3472"/>
    <n v="3335"/>
    <n v="2119"/>
    <n v="1491"/>
    <n v="1530"/>
    <n v="618"/>
    <m/>
    <n v="3485"/>
    <n v="1757"/>
    <n v="4348"/>
    <n v="14700"/>
    <n v="1943"/>
    <n v="92"/>
    <n v="9"/>
    <n v="518"/>
    <n v="167"/>
    <n v="65"/>
    <n v="1"/>
    <n v="1"/>
    <m/>
    <m/>
    <n v="339"/>
    <n v="587"/>
    <n v="9"/>
    <n v="24621"/>
    <n v="26"/>
    <m/>
    <m/>
    <m/>
    <n v="7319"/>
    <n v="4320"/>
    <n v="2099"/>
    <n v="10231"/>
    <n v="2364"/>
    <n v="1"/>
    <n v="26334"/>
    <n v="573"/>
    <n v="24302"/>
    <n v="1459"/>
    <n v="2057"/>
    <n v="1693"/>
    <m/>
    <n v="42"/>
    <n v="133"/>
    <n v="209"/>
    <n v="324"/>
    <n v="519"/>
    <n v="582"/>
    <n v="764"/>
    <n v="1097"/>
    <n v="30"/>
    <n v="50"/>
    <m/>
    <n v="411"/>
    <n v="111"/>
    <n v="292"/>
    <n v="349"/>
    <n v="12"/>
    <n v="2570"/>
    <n v="5"/>
    <n v="139"/>
    <n v="32"/>
    <n v="157"/>
    <n v="475"/>
    <n v="5"/>
    <m/>
    <m/>
    <n v="1935"/>
    <n v="860"/>
    <n v="25"/>
    <n v="88"/>
    <n v="33"/>
    <n v="1"/>
    <m/>
    <m/>
    <n v="603"/>
    <n v="2082"/>
    <n v="231"/>
    <n v="785"/>
    <n v="37"/>
    <n v="12"/>
    <n v="3750"/>
    <n v="152"/>
    <n v="3507"/>
    <n v="91"/>
    <s v="2015"/>
    <n v="167"/>
    <n v="18"/>
    <m/>
    <m/>
    <m/>
    <m/>
  </r>
  <r>
    <n v="106014132"/>
    <s v="014132"/>
    <x v="9"/>
    <x v="0"/>
    <x v="1"/>
    <s v="General Acute Care Hospital"/>
    <s v="39400 PASEO PADRE PARKWAY"/>
    <s v="FREMONT"/>
    <s v="94538"/>
    <s v="Beds 100-149"/>
    <m/>
    <n v="17"/>
    <x v="4"/>
    <x v="1"/>
    <s v="Centerville/Fremont West/Irvington/Newark East Central"/>
    <s v="Urban"/>
    <x v="0"/>
    <x v="0"/>
    <x v="0"/>
    <n v="18276"/>
    <n v="16238"/>
    <n v="1"/>
    <n v="3768"/>
    <n v="3452"/>
    <n v="4362"/>
    <n v="4339"/>
    <n v="4014"/>
    <n v="4166"/>
    <n v="3624"/>
    <n v="3004"/>
    <n v="3249"/>
    <n v="537"/>
    <m/>
    <n v="9874"/>
    <n v="2650"/>
    <n v="7830"/>
    <n v="99"/>
    <n v="826"/>
    <n v="352"/>
    <n v="12884"/>
    <n v="331"/>
    <n v="358"/>
    <n v="60"/>
    <n v="389"/>
    <n v="52"/>
    <n v="33"/>
    <m/>
    <n v="5"/>
    <n v="589"/>
    <n v="3"/>
    <n v="32331"/>
    <n v="168"/>
    <n v="5"/>
    <n v="1"/>
    <n v="190"/>
    <n v="4550"/>
    <n v="8267"/>
    <n v="573"/>
    <n v="19461"/>
    <n v="1664"/>
    <m/>
    <n v="34515"/>
    <n v="1320"/>
    <n v="31760"/>
    <n v="1435"/>
    <n v="1402"/>
    <n v="1319"/>
    <m/>
    <n v="11"/>
    <n v="62"/>
    <n v="122"/>
    <n v="207"/>
    <n v="370"/>
    <n v="500"/>
    <n v="593"/>
    <n v="854"/>
    <m/>
    <n v="2"/>
    <m/>
    <n v="629"/>
    <n v="160"/>
    <n v="439"/>
    <n v="13"/>
    <n v="1"/>
    <n v="1476"/>
    <n v="3"/>
    <n v="114"/>
    <n v="27"/>
    <n v="125"/>
    <n v="764"/>
    <n v="10"/>
    <m/>
    <n v="9"/>
    <n v="1181"/>
    <n v="364"/>
    <m/>
    <n v="108"/>
    <n v="11"/>
    <n v="1"/>
    <n v="4"/>
    <n v="3"/>
    <n v="84"/>
    <n v="1779"/>
    <n v="6"/>
    <n v="822"/>
    <n v="30"/>
    <m/>
    <n v="2721"/>
    <n v="113"/>
    <n v="2529"/>
    <n v="79"/>
    <s v="2015"/>
    <n v="106"/>
    <n v="16"/>
    <m/>
    <m/>
    <m/>
    <m/>
  </r>
  <r>
    <n v="106014233"/>
    <s v="014233"/>
    <x v="10"/>
    <x v="0"/>
    <x v="1"/>
    <s v="General Acute Care Hospital"/>
    <s v="20103 LAKE CHABOT RD"/>
    <s v="CASTRO VALLEY"/>
    <s v="94546"/>
    <s v="Beds 100-149"/>
    <s v="Level II"/>
    <n v="15"/>
    <x v="2"/>
    <x v="1"/>
    <s v="Castro Valley Central and North/Oak Knoll/San Leandro Northeast/Sheffield Village/Union City East"/>
    <s v="Urban"/>
    <x v="0"/>
    <x v="0"/>
    <x v="0"/>
    <n v="21807"/>
    <n v="16313"/>
    <m/>
    <n v="3578"/>
    <n v="3093"/>
    <n v="6856"/>
    <n v="6230"/>
    <n v="4738"/>
    <n v="5350"/>
    <n v="3469"/>
    <n v="1850"/>
    <n v="2196"/>
    <n v="760"/>
    <m/>
    <n v="3703"/>
    <n v="7532"/>
    <n v="10920"/>
    <n v="95"/>
    <n v="1461"/>
    <n v="148"/>
    <n v="14261"/>
    <n v="334"/>
    <n v="373"/>
    <n v="74"/>
    <n v="160"/>
    <n v="25"/>
    <n v="14"/>
    <m/>
    <n v="26"/>
    <n v="851"/>
    <n v="17"/>
    <n v="35224"/>
    <n v="314"/>
    <n v="38"/>
    <n v="17"/>
    <n v="199"/>
    <n v="18099"/>
    <n v="6606"/>
    <n v="831"/>
    <n v="9066"/>
    <n v="3421"/>
    <n v="97"/>
    <n v="38120"/>
    <n v="1163"/>
    <n v="34461"/>
    <n v="2496"/>
    <n v="2888"/>
    <n v="2862"/>
    <m/>
    <n v="58"/>
    <n v="266"/>
    <n v="404"/>
    <n v="514"/>
    <n v="945"/>
    <n v="1083"/>
    <n v="955"/>
    <n v="1524"/>
    <n v="1"/>
    <m/>
    <m/>
    <n v="720"/>
    <n v="848"/>
    <n v="972"/>
    <n v="139"/>
    <n v="17"/>
    <n v="3043"/>
    <n v="11"/>
    <n v="312"/>
    <n v="96"/>
    <n v="246"/>
    <n v="881"/>
    <n v="224"/>
    <m/>
    <n v="13"/>
    <n v="2447"/>
    <n v="1315"/>
    <n v="1"/>
    <n v="168"/>
    <n v="43"/>
    <m/>
    <n v="1"/>
    <n v="2"/>
    <n v="1286"/>
    <n v="2911"/>
    <n v="74"/>
    <n v="1372"/>
    <n v="107"/>
    <m/>
    <n v="5750"/>
    <n v="333"/>
    <n v="5102"/>
    <n v="315"/>
    <s v="2015"/>
    <n v="130"/>
    <n v="22"/>
    <n v="222"/>
    <n v="232"/>
    <n v="1"/>
    <m/>
  </r>
  <r>
    <n v="106014326"/>
    <s v="014326"/>
    <x v="11"/>
    <x v="0"/>
    <x v="1"/>
    <s v="General Acute Care Hospital"/>
    <s v="275 W. MACARTHUR BLVD."/>
    <s v="OAKLAND"/>
    <s v="94611"/>
    <s v="Beds 300-499"/>
    <m/>
    <n v="13"/>
    <x v="1"/>
    <x v="0"/>
    <s v="Dimond/Montclair/Oakland East/Oakmore/Piedmont/Piedmont Pines/Trestle Glen"/>
    <s v="Urban"/>
    <x v="0"/>
    <x v="0"/>
    <x v="0"/>
    <n v="58286"/>
    <n v="46846"/>
    <n v="2"/>
    <n v="10142"/>
    <n v="8972"/>
    <n v="18293"/>
    <n v="14973"/>
    <n v="12960"/>
    <n v="13649"/>
    <n v="10815"/>
    <n v="6943"/>
    <n v="6685"/>
    <n v="1702"/>
    <m/>
    <n v="9451"/>
    <n v="41962"/>
    <n v="23691"/>
    <n v="375"/>
    <n v="2679"/>
    <n v="1434"/>
    <n v="25542"/>
    <n v="952"/>
    <n v="1152"/>
    <n v="100"/>
    <n v="169"/>
    <n v="108"/>
    <n v="88"/>
    <m/>
    <n v="63"/>
    <n v="1113"/>
    <n v="30"/>
    <n v="100331"/>
    <n v="553"/>
    <n v="13"/>
    <n v="9"/>
    <n v="312"/>
    <n v="30442"/>
    <n v="19981"/>
    <n v="2338"/>
    <n v="41541"/>
    <n v="10831"/>
    <n v="1"/>
    <n v="105134"/>
    <n v="2081"/>
    <n v="95428"/>
    <n v="7625"/>
    <n v="5255"/>
    <n v="4606"/>
    <n v="1"/>
    <n v="278"/>
    <n v="366"/>
    <n v="459"/>
    <n v="718"/>
    <n v="1325"/>
    <n v="1761"/>
    <n v="1919"/>
    <n v="2516"/>
    <n v="150"/>
    <n v="370"/>
    <m/>
    <n v="1269"/>
    <n v="3574"/>
    <n v="1260"/>
    <n v="158"/>
    <n v="62"/>
    <n v="3504"/>
    <n v="35"/>
    <n v="422"/>
    <n v="74"/>
    <n v="399"/>
    <n v="1073"/>
    <n v="52"/>
    <n v="2"/>
    <n v="69"/>
    <n v="6086"/>
    <n v="1341"/>
    <n v="1"/>
    <n v="231"/>
    <n v="48"/>
    <n v="1"/>
    <n v="9"/>
    <n v="48"/>
    <n v="1091"/>
    <n v="5595"/>
    <n v="28"/>
    <n v="2893"/>
    <n v="255"/>
    <m/>
    <n v="9862"/>
    <n v="401"/>
    <n v="9001"/>
    <n v="460"/>
    <s v="2015"/>
    <n v="315"/>
    <n v="48"/>
    <n v="141"/>
    <m/>
    <n v="1"/>
    <n v="5"/>
  </r>
  <r>
    <n v="106014337"/>
    <s v="014337"/>
    <x v="12"/>
    <x v="0"/>
    <x v="1"/>
    <s v="General Acute Care Hospital"/>
    <s v="2500 MERCED STREET"/>
    <s v="SAN LEANDRO"/>
    <s v="94577"/>
    <s v="Beds 200-299"/>
    <m/>
    <n v="13"/>
    <x v="0"/>
    <x v="0"/>
    <s v="San Leandro West/San Lorenzo West/Hayward West"/>
    <s v="Urban"/>
    <x v="0"/>
    <x v="0"/>
    <x v="0"/>
    <n v="30723"/>
    <n v="24670"/>
    <n v="2"/>
    <n v="5935"/>
    <n v="5418"/>
    <n v="8274"/>
    <n v="6996"/>
    <n v="6585"/>
    <n v="7119"/>
    <n v="5470"/>
    <n v="3851"/>
    <n v="4594"/>
    <n v="1153"/>
    <m/>
    <n v="9026"/>
    <n v="12480"/>
    <n v="17041"/>
    <n v="223"/>
    <n v="1007"/>
    <n v="690"/>
    <n v="14928"/>
    <n v="521"/>
    <n v="862"/>
    <n v="70"/>
    <n v="482"/>
    <n v="108"/>
    <n v="75"/>
    <m/>
    <n v="12"/>
    <n v="647"/>
    <n v="149"/>
    <n v="51452"/>
    <n v="826"/>
    <n v="16"/>
    <n v="15"/>
    <n v="160"/>
    <n v="9142"/>
    <n v="11451"/>
    <n v="1081"/>
    <n v="30539"/>
    <n v="3182"/>
    <m/>
    <n v="55395"/>
    <n v="1442"/>
    <n v="48979"/>
    <n v="4974"/>
    <n v="2355"/>
    <n v="1995"/>
    <m/>
    <n v="39"/>
    <n v="167"/>
    <n v="226"/>
    <n v="305"/>
    <n v="548"/>
    <n v="837"/>
    <n v="876"/>
    <n v="1341"/>
    <n v="10"/>
    <n v="1"/>
    <m/>
    <n v="674"/>
    <n v="850"/>
    <n v="759"/>
    <n v="20"/>
    <n v="9"/>
    <n v="2017"/>
    <n v="21"/>
    <n v="154"/>
    <n v="19"/>
    <n v="233"/>
    <n v="1069"/>
    <n v="18"/>
    <m/>
    <n v="9"/>
    <n v="1721"/>
    <n v="964"/>
    <m/>
    <n v="137"/>
    <n v="18"/>
    <m/>
    <m/>
    <n v="5"/>
    <n v="241"/>
    <n v="2783"/>
    <n v="7"/>
    <n v="1268"/>
    <n v="51"/>
    <m/>
    <n v="4350"/>
    <n v="147"/>
    <n v="3992"/>
    <n v="211"/>
    <s v="2015"/>
    <n v="216"/>
    <n v="40"/>
    <m/>
    <m/>
    <m/>
    <n v="3"/>
  </r>
  <r>
    <n v="106034002"/>
    <s v="034002"/>
    <x v="13"/>
    <x v="1"/>
    <x v="1"/>
    <s v="General Acute Care Hospital"/>
    <s v="200 MISSION BLVD"/>
    <s v="JACKSON"/>
    <s v="95642"/>
    <s v="Beds 50-99"/>
    <m/>
    <n v="4"/>
    <x v="5"/>
    <x v="3"/>
    <s v="Ione/Jackson/Pine Grove/Sutter Creek"/>
    <s v="Rural"/>
    <x v="1"/>
    <x v="0"/>
    <x v="0"/>
    <n v="11169"/>
    <n v="9253"/>
    <m/>
    <n v="1850"/>
    <n v="1837"/>
    <n v="2720"/>
    <n v="2651"/>
    <n v="2473"/>
    <n v="2876"/>
    <n v="2388"/>
    <n v="1751"/>
    <n v="1517"/>
    <n v="359"/>
    <m/>
    <n v="164"/>
    <n v="181"/>
    <n v="1657"/>
    <n v="224"/>
    <n v="119"/>
    <n v="583"/>
    <n v="17494"/>
    <n v="323"/>
    <n v="109"/>
    <n v="23"/>
    <n v="162"/>
    <n v="37"/>
    <n v="3"/>
    <m/>
    <n v="114"/>
    <n v="73"/>
    <n v="5"/>
    <n v="19133"/>
    <n v="58"/>
    <n v="1"/>
    <n v="39"/>
    <n v="239"/>
    <n v="7798"/>
    <n v="5440"/>
    <n v="610"/>
    <n v="4896"/>
    <n v="1547"/>
    <n v="131"/>
    <n v="20422"/>
    <n v="76"/>
    <n v="20093"/>
    <n v="253"/>
    <n v="1076"/>
    <n v="867"/>
    <m/>
    <n v="14"/>
    <n v="61"/>
    <n v="87"/>
    <n v="109"/>
    <n v="292"/>
    <n v="390"/>
    <n v="423"/>
    <n v="563"/>
    <n v="3"/>
    <n v="1"/>
    <m/>
    <n v="9"/>
    <n v="16"/>
    <n v="79"/>
    <n v="17"/>
    <n v="89"/>
    <n v="1725"/>
    <n v="8"/>
    <n v="134"/>
    <n v="31"/>
    <n v="58"/>
    <n v="298"/>
    <n v="21"/>
    <m/>
    <n v="5"/>
    <n v="1008"/>
    <n v="309"/>
    <n v="2"/>
    <n v="61"/>
    <n v="1"/>
    <m/>
    <n v="7"/>
    <n v="8"/>
    <n v="300"/>
    <n v="1310"/>
    <n v="60"/>
    <n v="231"/>
    <n v="42"/>
    <m/>
    <n v="1943"/>
    <n v="14"/>
    <n v="1919"/>
    <n v="10"/>
    <s v="2015"/>
    <n v="52"/>
    <n v="14"/>
    <n v="56"/>
    <n v="47"/>
    <m/>
    <m/>
  </r>
  <r>
    <n v="106040802"/>
    <s v="040802"/>
    <x v="14"/>
    <x v="2"/>
    <x v="1"/>
    <s v="General Acute Care Hospital"/>
    <s v="240 SPRUCE STREET"/>
    <s v="GRIDLEY"/>
    <s v="95948"/>
    <s v="Beds 1-49"/>
    <m/>
    <n v="1"/>
    <x v="6"/>
    <x v="4"/>
    <s v="Biggs/East Biggs/Gridley"/>
    <s v="Rural"/>
    <x v="1"/>
    <x v="0"/>
    <x v="1"/>
    <n v="6105"/>
    <n v="4566"/>
    <n v="1"/>
    <n v="1668"/>
    <n v="1240"/>
    <n v="1591"/>
    <n v="1434"/>
    <n v="1344"/>
    <n v="1359"/>
    <n v="737"/>
    <n v="572"/>
    <n v="448"/>
    <n v="279"/>
    <m/>
    <n v="311"/>
    <n v="169"/>
    <n v="3183"/>
    <n v="47"/>
    <n v="256"/>
    <n v="12"/>
    <n v="6694"/>
    <n v="212"/>
    <n v="197"/>
    <n v="13"/>
    <n v="1"/>
    <n v="15"/>
    <m/>
    <m/>
    <m/>
    <n v="7"/>
    <n v="111"/>
    <n v="10100"/>
    <n v="9"/>
    <m/>
    <n v="6"/>
    <n v="1"/>
    <n v="6453"/>
    <n v="1935"/>
    <n v="33"/>
    <n v="1311"/>
    <n v="940"/>
    <m/>
    <n v="10672"/>
    <n v="38"/>
    <n v="9027"/>
    <n v="1607"/>
    <n v="258"/>
    <n v="185"/>
    <m/>
    <n v="10"/>
    <n v="34"/>
    <n v="36"/>
    <n v="41"/>
    <n v="67"/>
    <n v="71"/>
    <n v="97"/>
    <n v="87"/>
    <m/>
    <m/>
    <m/>
    <n v="5"/>
    <n v="6"/>
    <n v="80"/>
    <n v="8"/>
    <n v="2"/>
    <n v="341"/>
    <n v="1"/>
    <n v="24"/>
    <n v="11"/>
    <n v="2"/>
    <m/>
    <m/>
    <m/>
    <n v="5"/>
    <n v="271"/>
    <n v="122"/>
    <m/>
    <m/>
    <n v="5"/>
    <m/>
    <n v="3"/>
    <m/>
    <n v="141"/>
    <n v="265"/>
    <m/>
    <n v="29"/>
    <n v="8"/>
    <m/>
    <n v="443"/>
    <n v="1"/>
    <n v="386"/>
    <n v="56"/>
    <s v="2015"/>
    <n v="45"/>
    <n v="5"/>
    <m/>
    <m/>
    <m/>
    <m/>
  </r>
  <r>
    <n v="106040875"/>
    <s v="040875"/>
    <x v="15"/>
    <x v="2"/>
    <x v="1"/>
    <s v="General Acute Care Hospital"/>
    <s v="5974 PENTZ ROAD"/>
    <s v="PARADISE"/>
    <s v="95969"/>
    <s v="Beds 100-149"/>
    <m/>
    <n v="1"/>
    <x v="6"/>
    <x v="4"/>
    <s v="Magalia/Paradise/Stirling City"/>
    <s v="Rural"/>
    <x v="0"/>
    <x v="0"/>
    <x v="0"/>
    <n v="14262"/>
    <n v="10602"/>
    <m/>
    <n v="2663"/>
    <n v="2023"/>
    <n v="3627"/>
    <n v="3117"/>
    <n v="2407"/>
    <n v="3265"/>
    <n v="2849"/>
    <n v="2002"/>
    <n v="2295"/>
    <n v="616"/>
    <m/>
    <n v="139"/>
    <n v="138"/>
    <n v="876"/>
    <n v="31"/>
    <n v="179"/>
    <n v="355"/>
    <n v="23146"/>
    <n v="456"/>
    <n v="335"/>
    <n v="40"/>
    <n v="54"/>
    <n v="5"/>
    <m/>
    <m/>
    <n v="178"/>
    <n v="145"/>
    <m/>
    <n v="23469"/>
    <n v="148"/>
    <n v="14"/>
    <m/>
    <n v="10"/>
    <n v="11966"/>
    <n v="7660"/>
    <n v="582"/>
    <n v="3424"/>
    <n v="1232"/>
    <m/>
    <n v="24864"/>
    <n v="27"/>
    <n v="24764"/>
    <n v="73"/>
    <n v="1721"/>
    <n v="1361"/>
    <m/>
    <n v="25"/>
    <n v="94"/>
    <n v="135"/>
    <n v="172"/>
    <n v="467"/>
    <n v="640"/>
    <n v="571"/>
    <n v="927"/>
    <n v="17"/>
    <n v="34"/>
    <m/>
    <n v="20"/>
    <n v="12"/>
    <n v="69"/>
    <n v="25"/>
    <n v="8"/>
    <n v="2948"/>
    <m/>
    <n v="112"/>
    <n v="76"/>
    <n v="70"/>
    <n v="632"/>
    <n v="14"/>
    <m/>
    <m/>
    <n v="1549"/>
    <n v="502"/>
    <m/>
    <n v="110"/>
    <n v="10"/>
    <m/>
    <n v="1"/>
    <m/>
    <n v="586"/>
    <n v="2138"/>
    <n v="58"/>
    <n v="273"/>
    <n v="27"/>
    <m/>
    <n v="3082"/>
    <n v="7"/>
    <n v="3069"/>
    <n v="6"/>
    <s v="2015"/>
    <n v="100"/>
    <n v="18"/>
    <m/>
    <n v="10"/>
    <m/>
    <n v="6"/>
  </r>
  <r>
    <n v="106040937"/>
    <s v="040937"/>
    <x v="16"/>
    <x v="2"/>
    <x v="1"/>
    <s v="General Acute Care Hospital"/>
    <s v="2767 OLIVE HIGHWAY"/>
    <s v="OROVILLE"/>
    <s v="95966"/>
    <s v="Beds 100-149"/>
    <m/>
    <n v="1"/>
    <x v="6"/>
    <x v="4"/>
    <s v="Oroville/Palermo/Thermalito"/>
    <s v="Rural"/>
    <x v="0"/>
    <x v="0"/>
    <x v="0"/>
    <n v="10732"/>
    <n v="9459"/>
    <m/>
    <n v="2352"/>
    <n v="2129"/>
    <n v="3747"/>
    <n v="3097"/>
    <n v="2508"/>
    <n v="2803"/>
    <n v="1611"/>
    <n v="789"/>
    <n v="630"/>
    <n v="525"/>
    <m/>
    <n v="638"/>
    <n v="828"/>
    <n v="1461"/>
    <n v="495"/>
    <n v="324"/>
    <n v="89"/>
    <n v="16356"/>
    <n v="273"/>
    <n v="847"/>
    <n v="38"/>
    <m/>
    <m/>
    <m/>
    <m/>
    <m/>
    <n v="306"/>
    <n v="1"/>
    <n v="18725"/>
    <n v="1"/>
    <m/>
    <m/>
    <m/>
    <n v="12111"/>
    <n v="3804"/>
    <n v="611"/>
    <n v="2392"/>
    <n v="1273"/>
    <m/>
    <n v="20191"/>
    <n v="233"/>
    <n v="19641"/>
    <n v="317"/>
    <n v="5687"/>
    <n v="4858"/>
    <m/>
    <n v="151"/>
    <n v="676"/>
    <n v="777"/>
    <n v="1210"/>
    <n v="2187"/>
    <n v="2130"/>
    <n v="1705"/>
    <n v="1550"/>
    <n v="71"/>
    <n v="88"/>
    <m/>
    <n v="298"/>
    <n v="289"/>
    <n v="481"/>
    <n v="147"/>
    <n v="17"/>
    <n v="9076"/>
    <n v="237"/>
    <n v="247"/>
    <n v="591"/>
    <n v="130"/>
    <n v="443"/>
    <m/>
    <m/>
    <n v="3"/>
    <n v="8125"/>
    <n v="920"/>
    <n v="34"/>
    <n v="33"/>
    <n v="19"/>
    <m/>
    <m/>
    <m/>
    <n v="4032"/>
    <n v="5369"/>
    <n v="190"/>
    <n v="841"/>
    <n v="113"/>
    <m/>
    <n v="10545"/>
    <n v="247"/>
    <n v="10137"/>
    <n v="161"/>
    <s v="2015"/>
    <n v="133"/>
    <n v="14"/>
    <m/>
    <m/>
    <m/>
    <m/>
  </r>
  <r>
    <n v="106040962"/>
    <s v="040962"/>
    <x v="17"/>
    <x v="2"/>
    <x v="1"/>
    <s v="General Acute Care Hospital"/>
    <s v="1531 ESPLANADE"/>
    <s v="CHICO"/>
    <s v="95926"/>
    <s v="Beds 200-299"/>
    <s v="Level II"/>
    <n v="1"/>
    <x v="6"/>
    <x v="4"/>
    <s v="Chapmantown/Chico"/>
    <s v="Urban"/>
    <x v="0"/>
    <x v="0"/>
    <x v="0"/>
    <n v="24856"/>
    <n v="20991"/>
    <m/>
    <n v="4269"/>
    <n v="4940"/>
    <n v="9133"/>
    <n v="6385"/>
    <n v="5118"/>
    <n v="5602"/>
    <n v="3924"/>
    <n v="2516"/>
    <n v="2988"/>
    <n v="972"/>
    <m/>
    <n v="609"/>
    <n v="1598"/>
    <n v="7723"/>
    <n v="414"/>
    <n v="2375"/>
    <n v="165"/>
    <n v="32963"/>
    <n v="219"/>
    <n v="652"/>
    <n v="73"/>
    <n v="2"/>
    <n v="3"/>
    <n v="5"/>
    <m/>
    <n v="434"/>
    <n v="609"/>
    <n v="5"/>
    <n v="43680"/>
    <n v="165"/>
    <m/>
    <m/>
    <m/>
    <n v="21609"/>
    <n v="10110"/>
    <n v="1028"/>
    <n v="10826"/>
    <n v="2274"/>
    <m/>
    <n v="45847"/>
    <n v="442"/>
    <n v="42730"/>
    <n v="2675"/>
    <n v="5274"/>
    <n v="5375"/>
    <m/>
    <n v="182"/>
    <n v="593"/>
    <n v="641"/>
    <n v="876"/>
    <n v="1608"/>
    <n v="2073"/>
    <n v="1966"/>
    <n v="2558"/>
    <n v="60"/>
    <n v="92"/>
    <m/>
    <n v="109"/>
    <n v="162"/>
    <n v="1032"/>
    <n v="364"/>
    <n v="21"/>
    <n v="8888"/>
    <n v="73"/>
    <n v="184"/>
    <n v="191"/>
    <n v="414"/>
    <n v="1498"/>
    <n v="347"/>
    <m/>
    <n v="38"/>
    <n v="6135"/>
    <n v="1576"/>
    <n v="8"/>
    <n v="188"/>
    <n v="70"/>
    <m/>
    <m/>
    <m/>
    <n v="2565"/>
    <n v="6238"/>
    <n v="142"/>
    <n v="1628"/>
    <n v="76"/>
    <m/>
    <n v="10649"/>
    <n v="113"/>
    <n v="10041"/>
    <n v="495"/>
    <s v="2015"/>
    <n v="228"/>
    <n v="34"/>
    <m/>
    <m/>
    <m/>
    <m/>
  </r>
  <r>
    <n v="106050932"/>
    <s v="050932"/>
    <x v="18"/>
    <x v="3"/>
    <x v="1"/>
    <s v="General Acute Care Hospital"/>
    <s v="768 MOUNTAIN RANCH ROAD"/>
    <s v="SAN ANDREAS"/>
    <s v="95249"/>
    <s v="Beds 1-49"/>
    <m/>
    <n v="4"/>
    <x v="5"/>
    <x v="3"/>
    <s v="Angels Camp/Arnold/Copperopolis/Mountain Ranch/Murphys/San Andreas/Valley Springs/West Point"/>
    <s v="Rural"/>
    <x v="1"/>
    <x v="0"/>
    <x v="0"/>
    <n v="6086"/>
    <n v="5185"/>
    <n v="1"/>
    <n v="948"/>
    <n v="1137"/>
    <n v="1476"/>
    <n v="1310"/>
    <n v="1299"/>
    <n v="1616"/>
    <n v="1417"/>
    <n v="1060"/>
    <n v="868"/>
    <n v="141"/>
    <m/>
    <n v="84"/>
    <n v="107"/>
    <n v="577"/>
    <n v="32"/>
    <n v="58"/>
    <n v="85"/>
    <n v="10329"/>
    <n v="514"/>
    <n v="245"/>
    <n v="9"/>
    <n v="16"/>
    <n v="3"/>
    <m/>
    <m/>
    <n v="105"/>
    <n v="104"/>
    <m/>
    <n v="10228"/>
    <n v="41"/>
    <n v="3"/>
    <n v="1"/>
    <n v="3"/>
    <n v="4937"/>
    <n v="3156"/>
    <n v="343"/>
    <n v="2303"/>
    <n v="533"/>
    <m/>
    <n v="11272"/>
    <n v="22"/>
    <n v="11085"/>
    <n v="165"/>
    <n v="467"/>
    <n v="407"/>
    <m/>
    <n v="9"/>
    <n v="29"/>
    <n v="30"/>
    <n v="59"/>
    <n v="133"/>
    <n v="185"/>
    <n v="202"/>
    <n v="227"/>
    <m/>
    <m/>
    <m/>
    <n v="6"/>
    <n v="3"/>
    <n v="18"/>
    <n v="5"/>
    <n v="3"/>
    <n v="837"/>
    <n v="2"/>
    <n v="41"/>
    <n v="100"/>
    <n v="12"/>
    <n v="85"/>
    <n v="3"/>
    <m/>
    <n v="12"/>
    <n v="496"/>
    <n v="80"/>
    <n v="1"/>
    <n v="3"/>
    <n v="1"/>
    <n v="35"/>
    <n v="2"/>
    <n v="3"/>
    <n v="159"/>
    <n v="584"/>
    <n v="15"/>
    <n v="104"/>
    <n v="12"/>
    <m/>
    <n v="874"/>
    <n v="1"/>
    <n v="868"/>
    <n v="5"/>
    <s v="2015"/>
    <n v="48"/>
    <n v="8"/>
    <m/>
    <m/>
    <m/>
    <m/>
  </r>
  <r>
    <n v="106060870"/>
    <s v="060870"/>
    <x v="19"/>
    <x v="4"/>
    <x v="1"/>
    <s v="General Acute Care Hospital"/>
    <s v="199 EAST WEBSTER STREET"/>
    <s v="COLUSA"/>
    <s v="95932"/>
    <s v="Beds 1-49"/>
    <s v="Level IV"/>
    <n v="3"/>
    <x v="6"/>
    <x v="4"/>
    <s v="Colusa"/>
    <s v="Rural"/>
    <x v="1"/>
    <x v="0"/>
    <x v="1"/>
    <n v="3661"/>
    <n v="3246"/>
    <m/>
    <n v="1155"/>
    <n v="871"/>
    <n v="1094"/>
    <n v="820"/>
    <n v="632"/>
    <n v="726"/>
    <n v="594"/>
    <n v="400"/>
    <n v="403"/>
    <n v="212"/>
    <m/>
    <n v="51"/>
    <n v="115"/>
    <n v="3278"/>
    <n v="77"/>
    <n v="14"/>
    <n v="5"/>
    <n v="3367"/>
    <n v="309"/>
    <n v="243"/>
    <n v="11"/>
    <n v="7"/>
    <m/>
    <m/>
    <m/>
    <n v="140"/>
    <n v="25"/>
    <m/>
    <n v="6128"/>
    <n v="44"/>
    <m/>
    <m/>
    <m/>
    <n v="3615"/>
    <n v="1284"/>
    <n v="424"/>
    <n v="1163"/>
    <n v="421"/>
    <m/>
    <n v="6907"/>
    <n v="26"/>
    <n v="5278"/>
    <n v="1603"/>
    <n v="251"/>
    <n v="189"/>
    <m/>
    <n v="13"/>
    <n v="20"/>
    <n v="45"/>
    <n v="31"/>
    <n v="50"/>
    <n v="73"/>
    <n v="73"/>
    <n v="122"/>
    <n v="4"/>
    <n v="9"/>
    <m/>
    <n v="4"/>
    <n v="3"/>
    <n v="138"/>
    <m/>
    <m/>
    <n v="293"/>
    <n v="2"/>
    <n v="27"/>
    <n v="7"/>
    <n v="6"/>
    <n v="27"/>
    <m/>
    <m/>
    <m/>
    <n v="254"/>
    <n v="109"/>
    <n v="5"/>
    <n v="5"/>
    <m/>
    <m/>
    <m/>
    <m/>
    <n v="92"/>
    <n v="240"/>
    <m/>
    <n v="80"/>
    <n v="28"/>
    <m/>
    <n v="440"/>
    <m/>
    <n v="367"/>
    <n v="73"/>
    <s v="2015"/>
    <n v="48"/>
    <n v="4"/>
    <m/>
    <m/>
    <m/>
    <m/>
  </r>
  <r>
    <n v="106070904"/>
    <s v="070904"/>
    <x v="20"/>
    <x v="5"/>
    <x v="2"/>
    <s v="General Acute Care Hospital"/>
    <s v="2000 VALE ROAD"/>
    <s v="SAN PABLO"/>
    <s v="94806"/>
    <s v="Beds 100-149"/>
    <m/>
    <n v="11"/>
    <x v="1"/>
    <x v="0"/>
    <s v="Richmond Central/San Pablo Central"/>
    <s v="Urban"/>
    <x v="0"/>
    <x v="0"/>
    <x v="1"/>
    <n v="5342"/>
    <n v="4001"/>
    <m/>
    <n v="1299"/>
    <n v="1022"/>
    <n v="1702"/>
    <n v="1401"/>
    <n v="1180"/>
    <n v="1151"/>
    <n v="736"/>
    <n v="385"/>
    <n v="270"/>
    <n v="197"/>
    <m/>
    <n v="415"/>
    <n v="1637"/>
    <n v="5988"/>
    <n v="50"/>
    <n v="200"/>
    <n v="5"/>
    <n v="1048"/>
    <n v="80"/>
    <n v="97"/>
    <m/>
    <n v="2"/>
    <n v="2"/>
    <m/>
    <m/>
    <n v="2"/>
    <n v="13"/>
    <m/>
    <n v="9026"/>
    <n v="13"/>
    <n v="19"/>
    <m/>
    <n v="88"/>
    <n v="1096"/>
    <n v="1261"/>
    <n v="100"/>
    <n v="5595"/>
    <n v="1286"/>
    <n v="5"/>
    <n v="9343"/>
    <n v="21"/>
    <n v="7798"/>
    <n v="1524"/>
    <n v="199"/>
    <n v="189"/>
    <m/>
    <n v="1"/>
    <n v="11"/>
    <n v="29"/>
    <n v="48"/>
    <n v="69"/>
    <n v="68"/>
    <n v="61"/>
    <n v="101"/>
    <m/>
    <m/>
    <m/>
    <n v="72"/>
    <n v="120"/>
    <n v="75"/>
    <n v="4"/>
    <n v="2"/>
    <n v="113"/>
    <n v="2"/>
    <n v="11"/>
    <n v="12"/>
    <n v="8"/>
    <n v="28"/>
    <m/>
    <m/>
    <m/>
    <n v="281"/>
    <n v="39"/>
    <n v="7"/>
    <n v="1"/>
    <m/>
    <m/>
    <m/>
    <n v="1"/>
    <n v="116"/>
    <n v="192"/>
    <n v="7"/>
    <n v="52"/>
    <n v="20"/>
    <n v="1"/>
    <n v="388"/>
    <n v="16"/>
    <n v="317"/>
    <n v="55"/>
    <s v="2015"/>
    <n v="124"/>
    <n v="25"/>
    <n v="1"/>
    <m/>
    <m/>
    <m/>
  </r>
  <r>
    <n v="106070924"/>
    <s v="070924"/>
    <x v="21"/>
    <x v="5"/>
    <x v="0"/>
    <s v="General Acute Care Hospital"/>
    <s v="2500 ALHAMBRA AVENUE"/>
    <s v="MARTINEZ"/>
    <s v="94553"/>
    <s v="Beds 150-199"/>
    <m/>
    <n v="5"/>
    <x v="7"/>
    <x v="5"/>
    <s v="Crockett/Hercules/Martinez West/Pinole/Port Costa/Richmond Northeast/Rodeo"/>
    <s v="Urban"/>
    <x v="0"/>
    <x v="0"/>
    <x v="0"/>
    <n v="26033"/>
    <n v="23899"/>
    <n v="9"/>
    <n v="2758"/>
    <n v="4300"/>
    <n v="9478"/>
    <n v="9561"/>
    <n v="7631"/>
    <n v="8298"/>
    <n v="4806"/>
    <n v="1513"/>
    <n v="764"/>
    <n v="832"/>
    <m/>
    <n v="5298"/>
    <n v="8691"/>
    <n v="13777"/>
    <n v="327"/>
    <n v="4612"/>
    <n v="1"/>
    <n v="17235"/>
    <n v="194"/>
    <n v="1419"/>
    <n v="12"/>
    <n v="897"/>
    <n v="2"/>
    <m/>
    <m/>
    <n v="787"/>
    <n v="8"/>
    <n v="117"/>
    <n v="44750"/>
    <n v="1631"/>
    <n v="4"/>
    <m/>
    <m/>
    <n v="30649"/>
    <n v="6156"/>
    <n v="4618"/>
    <n v="4999"/>
    <n v="3519"/>
    <m/>
    <n v="49941"/>
    <n v="2326"/>
    <n v="38469"/>
    <n v="9146"/>
    <n v="2903"/>
    <n v="2674"/>
    <m/>
    <n v="83"/>
    <n v="633"/>
    <n v="729"/>
    <n v="816"/>
    <n v="1204"/>
    <n v="1073"/>
    <n v="546"/>
    <n v="471"/>
    <n v="22"/>
    <m/>
    <m/>
    <n v="761"/>
    <n v="1044"/>
    <n v="1410"/>
    <n v="114"/>
    <n v="4"/>
    <n v="2149"/>
    <n v="95"/>
    <n v="16"/>
    <n v="12"/>
    <n v="55"/>
    <n v="44"/>
    <m/>
    <m/>
    <n v="162"/>
    <n v="5080"/>
    <n v="77"/>
    <n v="77"/>
    <n v="17"/>
    <n v="34"/>
    <n v="3"/>
    <m/>
    <m/>
    <n v="3390"/>
    <n v="1622"/>
    <n v="90"/>
    <n v="350"/>
    <n v="125"/>
    <m/>
    <n v="5577"/>
    <n v="446"/>
    <n v="4233"/>
    <n v="898"/>
    <s v="2015"/>
    <n v="167"/>
    <n v="20"/>
    <n v="120"/>
    <m/>
    <m/>
    <m/>
  </r>
  <r>
    <n v="106070934"/>
    <s v="070934"/>
    <x v="22"/>
    <x v="5"/>
    <x v="1"/>
    <s v="General Acute Care Hospital"/>
    <s v="3901 LONE TREE WAY"/>
    <s v="ANTIOCH"/>
    <s v="94509"/>
    <s v="Beds 100-149"/>
    <m/>
    <n v="9"/>
    <x v="8"/>
    <x v="2"/>
    <s v="Brentwood Central and West/Oakley"/>
    <s v="Urban"/>
    <x v="0"/>
    <x v="0"/>
    <x v="0"/>
    <n v="30410"/>
    <n v="21920"/>
    <n v="1"/>
    <n v="7636"/>
    <n v="6378"/>
    <n v="10046"/>
    <n v="7983"/>
    <n v="6162"/>
    <n v="6001"/>
    <n v="3319"/>
    <n v="1836"/>
    <n v="1479"/>
    <n v="1491"/>
    <m/>
    <n v="2671"/>
    <n v="14831"/>
    <n v="16336"/>
    <n v="76"/>
    <n v="1215"/>
    <n v="112"/>
    <n v="17090"/>
    <n v="362"/>
    <n v="504"/>
    <n v="65"/>
    <n v="144"/>
    <n v="14"/>
    <m/>
    <m/>
    <n v="33"/>
    <n v="224"/>
    <n v="10"/>
    <n v="50298"/>
    <n v="106"/>
    <n v="6"/>
    <n v="36"/>
    <n v="288"/>
    <n v="32072"/>
    <n v="6672"/>
    <n v="880"/>
    <n v="7996"/>
    <n v="4647"/>
    <n v="64"/>
    <n v="52331"/>
    <n v="652"/>
    <n v="46612"/>
    <n v="5067"/>
    <n v="3627"/>
    <n v="3101"/>
    <m/>
    <n v="97"/>
    <n v="455"/>
    <n v="585"/>
    <n v="820"/>
    <n v="1265"/>
    <n v="1220"/>
    <n v="1015"/>
    <n v="1078"/>
    <n v="90"/>
    <n v="103"/>
    <m/>
    <n v="443"/>
    <n v="1425"/>
    <n v="1420"/>
    <n v="173"/>
    <n v="14"/>
    <n v="3245"/>
    <n v="8"/>
    <n v="233"/>
    <n v="274"/>
    <n v="175"/>
    <n v="814"/>
    <n v="21"/>
    <m/>
    <n v="15"/>
    <n v="4340"/>
    <n v="694"/>
    <m/>
    <n v="133"/>
    <n v="17"/>
    <n v="2"/>
    <n v="2"/>
    <n v="7"/>
    <n v="2445"/>
    <n v="2880"/>
    <n v="62"/>
    <n v="1197"/>
    <n v="144"/>
    <m/>
    <n v="6728"/>
    <n v="177"/>
    <n v="6062"/>
    <n v="489"/>
    <s v="2015"/>
    <n v="145"/>
    <n v="32"/>
    <n v="171"/>
    <n v="70"/>
    <n v="1"/>
    <m/>
  </r>
  <r>
    <n v="106070988"/>
    <s v="070988"/>
    <x v="23"/>
    <x v="5"/>
    <x v="1"/>
    <s v="General Acute Care Hospital"/>
    <s v="1601 YGNACIO VALLEY ROAD"/>
    <s v="WALNUT CREEK"/>
    <s v="94598"/>
    <s v="Beds 500+"/>
    <s v="Level II"/>
    <n v="11"/>
    <x v="3"/>
    <x v="2"/>
    <s v="Clayton/Concord South/Walnut Creek Central and East"/>
    <s v="Urban"/>
    <x v="0"/>
    <x v="0"/>
    <x v="0"/>
    <n v="21949"/>
    <n v="17028"/>
    <n v="1"/>
    <n v="4178"/>
    <n v="3573"/>
    <n v="4575"/>
    <n v="4359"/>
    <n v="4237"/>
    <n v="4564"/>
    <n v="3899"/>
    <n v="3491"/>
    <n v="5101"/>
    <n v="1001"/>
    <m/>
    <n v="3113"/>
    <n v="2119"/>
    <n v="5592"/>
    <n v="140"/>
    <n v="1500"/>
    <n v="1325"/>
    <n v="25189"/>
    <n v="178"/>
    <n v="144"/>
    <n v="59"/>
    <n v="146"/>
    <n v="90"/>
    <n v="1"/>
    <m/>
    <n v="25"/>
    <n v="243"/>
    <n v="2"/>
    <n v="37155"/>
    <n v="592"/>
    <n v="56"/>
    <m/>
    <n v="17"/>
    <n v="1478"/>
    <n v="17803"/>
    <n v="919"/>
    <n v="16388"/>
    <n v="2390"/>
    <m/>
    <n v="38978"/>
    <n v="1055"/>
    <n v="36595"/>
    <n v="1328"/>
    <n v="5906"/>
    <n v="5401"/>
    <m/>
    <n v="336"/>
    <n v="550"/>
    <n v="637"/>
    <n v="756"/>
    <n v="1283"/>
    <n v="1680"/>
    <n v="1974"/>
    <n v="3657"/>
    <n v="138"/>
    <n v="296"/>
    <m/>
    <n v="802"/>
    <n v="683"/>
    <n v="999"/>
    <n v="271"/>
    <n v="239"/>
    <n v="8272"/>
    <n v="41"/>
    <n v="427"/>
    <n v="64"/>
    <n v="424"/>
    <n v="2070"/>
    <n v="203"/>
    <m/>
    <n v="12"/>
    <n v="5645"/>
    <n v="2024"/>
    <n v="9"/>
    <n v="335"/>
    <n v="88"/>
    <n v="3"/>
    <m/>
    <m/>
    <n v="1256"/>
    <n v="6645"/>
    <n v="210"/>
    <n v="2785"/>
    <n v="411"/>
    <m/>
    <n v="11307"/>
    <n v="395"/>
    <n v="10623"/>
    <n v="289"/>
    <s v="2015"/>
    <n v="572"/>
    <n v="44"/>
    <m/>
    <n v="270"/>
    <m/>
    <n v="3"/>
  </r>
  <r>
    <n v="106070990"/>
    <s v="070990"/>
    <x v="24"/>
    <x v="5"/>
    <x v="1"/>
    <s v="General Acute Care Hospital"/>
    <s v="1425 SOUTH MAIN STREET"/>
    <s v="WALNUT CREEK"/>
    <s v="94596-5300"/>
    <s v="Beds 200-299"/>
    <m/>
    <n v="11"/>
    <x v="3"/>
    <x v="2"/>
    <s v="Clayton/Concord South/Walnut Creek Central and East"/>
    <s v="Urban"/>
    <x v="0"/>
    <x v="0"/>
    <x v="0"/>
    <n v="27849"/>
    <n v="23476"/>
    <m/>
    <n v="4731"/>
    <n v="4729"/>
    <n v="5464"/>
    <n v="5541"/>
    <n v="5495"/>
    <n v="6273"/>
    <n v="6047"/>
    <n v="5277"/>
    <n v="6954"/>
    <n v="814"/>
    <m/>
    <n v="5807"/>
    <n v="2561"/>
    <n v="6726"/>
    <n v="188"/>
    <n v="1558"/>
    <n v="898"/>
    <n v="33587"/>
    <n v="339"/>
    <n v="503"/>
    <n v="59"/>
    <n v="229"/>
    <n v="92"/>
    <n v="14"/>
    <m/>
    <n v="5"/>
    <n v="395"/>
    <n v="17"/>
    <n v="48999"/>
    <n v="397"/>
    <n v="3"/>
    <n v="7"/>
    <n v="266"/>
    <n v="3960"/>
    <n v="15002"/>
    <n v="496"/>
    <n v="29988"/>
    <n v="1879"/>
    <m/>
    <n v="51325"/>
    <n v="587"/>
    <n v="49471"/>
    <n v="1267"/>
    <n v="4593"/>
    <n v="4143"/>
    <m/>
    <n v="137"/>
    <n v="232"/>
    <n v="311"/>
    <n v="483"/>
    <n v="939"/>
    <n v="1498"/>
    <n v="1912"/>
    <n v="3029"/>
    <n v="62"/>
    <n v="133"/>
    <m/>
    <n v="826"/>
    <n v="298"/>
    <n v="619"/>
    <n v="88"/>
    <n v="25"/>
    <n v="6859"/>
    <n v="21"/>
    <n v="251"/>
    <n v="72"/>
    <n v="314"/>
    <n v="1806"/>
    <n v="60"/>
    <n v="3"/>
    <n v="91"/>
    <n v="4633"/>
    <n v="1108"/>
    <m/>
    <n v="372"/>
    <n v="14"/>
    <m/>
    <m/>
    <n v="12"/>
    <n v="228"/>
    <n v="5837"/>
    <n v="11"/>
    <n v="2584"/>
    <n v="76"/>
    <m/>
    <n v="8736"/>
    <n v="132"/>
    <n v="8490"/>
    <n v="114"/>
    <s v="2015"/>
    <n v="233"/>
    <n v="52"/>
    <m/>
    <m/>
    <m/>
    <m/>
  </r>
  <r>
    <n v="106071018"/>
    <s v="071018"/>
    <x v="25"/>
    <x v="5"/>
    <x v="1"/>
    <s v="General Acute Care Hospital"/>
    <s v="2540 EAST STREET"/>
    <s v="CONCORD"/>
    <s v="94520"/>
    <s v="Beds 200-299"/>
    <m/>
    <n v="11"/>
    <x v="7"/>
    <x v="2"/>
    <s v="Avon/Clyde/Concord Central/Pittsburg Southwest"/>
    <s v="Urban"/>
    <x v="0"/>
    <x v="0"/>
    <x v="0"/>
    <n v="29568"/>
    <n v="22969"/>
    <n v="1"/>
    <n v="6874"/>
    <n v="5292"/>
    <n v="8167"/>
    <n v="7530"/>
    <n v="6391"/>
    <n v="7076"/>
    <n v="4601"/>
    <n v="2922"/>
    <n v="2573"/>
    <n v="1112"/>
    <m/>
    <n v="3063"/>
    <n v="6226"/>
    <n v="17920"/>
    <n v="101"/>
    <n v="3482"/>
    <n v="773"/>
    <n v="20973"/>
    <n v="604"/>
    <n v="331"/>
    <n v="72"/>
    <n v="48"/>
    <n v="30"/>
    <n v="13"/>
    <m/>
    <n v="67"/>
    <n v="500"/>
    <n v="5"/>
    <n v="49817"/>
    <n v="273"/>
    <n v="62"/>
    <n v="3"/>
    <n v="111"/>
    <n v="4223"/>
    <n v="31838"/>
    <n v="1078"/>
    <n v="9454"/>
    <n v="5941"/>
    <n v="4"/>
    <n v="52538"/>
    <n v="883"/>
    <n v="44530"/>
    <n v="7125"/>
    <n v="3948"/>
    <n v="4019"/>
    <m/>
    <n v="48"/>
    <n v="283"/>
    <n v="439"/>
    <n v="739"/>
    <n v="1427"/>
    <n v="1695"/>
    <n v="1453"/>
    <n v="1883"/>
    <m/>
    <m/>
    <m/>
    <n v="655"/>
    <n v="870"/>
    <n v="1232"/>
    <n v="360"/>
    <n v="107"/>
    <n v="4723"/>
    <n v="20"/>
    <n v="220"/>
    <n v="153"/>
    <n v="320"/>
    <n v="1657"/>
    <n v="32"/>
    <m/>
    <n v="22"/>
    <n v="4134"/>
    <n v="1220"/>
    <n v="7"/>
    <n v="142"/>
    <n v="54"/>
    <m/>
    <m/>
    <n v="4"/>
    <n v="1540"/>
    <n v="4676"/>
    <n v="224"/>
    <n v="1191"/>
    <n v="336"/>
    <m/>
    <n v="7967"/>
    <n v="268"/>
    <n v="7109"/>
    <n v="590"/>
    <s v="2015"/>
    <n v="267"/>
    <n v="32"/>
    <m/>
    <n v="602"/>
    <m/>
    <n v="2"/>
  </r>
  <r>
    <n v="106074017"/>
    <s v="074017"/>
    <x v="26"/>
    <x v="5"/>
    <x v="3"/>
    <s v="General Acute Care Hospital"/>
    <s v="6001 NORRIS CANYON ROAD"/>
    <s v="SAN RAMON"/>
    <s v="94583"/>
    <s v="Beds 100-149"/>
    <m/>
    <n v="15"/>
    <x v="3"/>
    <x v="2"/>
    <s v="Alamo/Danville/Diablo/San Ramon"/>
    <s v="Urban"/>
    <x v="0"/>
    <x v="0"/>
    <x v="0"/>
    <n v="8376"/>
    <n v="6842"/>
    <m/>
    <n v="1609"/>
    <n v="1699"/>
    <n v="1558"/>
    <n v="1827"/>
    <n v="2131"/>
    <n v="2119"/>
    <n v="1643"/>
    <n v="1293"/>
    <n v="1160"/>
    <n v="179"/>
    <m/>
    <n v="1701"/>
    <n v="662"/>
    <n v="876"/>
    <n v="14"/>
    <n v="1982"/>
    <n v="54"/>
    <n v="9929"/>
    <n v="252"/>
    <n v="64"/>
    <n v="31"/>
    <n v="54"/>
    <n v="2"/>
    <m/>
    <m/>
    <m/>
    <n v="80"/>
    <n v="3"/>
    <n v="14722"/>
    <n v="10"/>
    <m/>
    <m/>
    <m/>
    <n v="1692"/>
    <n v="3147"/>
    <n v="570"/>
    <n v="9214"/>
    <n v="595"/>
    <m/>
    <n v="15218"/>
    <n v="240"/>
    <n v="14866"/>
    <n v="112"/>
    <n v="1560"/>
    <n v="1422"/>
    <m/>
    <n v="31"/>
    <n v="101"/>
    <n v="134"/>
    <n v="206"/>
    <n v="358"/>
    <n v="519"/>
    <n v="602"/>
    <n v="1002"/>
    <n v="10"/>
    <n v="19"/>
    <m/>
    <n v="269"/>
    <n v="98"/>
    <n v="134"/>
    <n v="245"/>
    <n v="9"/>
    <n v="2225"/>
    <n v="2"/>
    <n v="77"/>
    <n v="29"/>
    <n v="94"/>
    <n v="526"/>
    <n v="16"/>
    <m/>
    <n v="47"/>
    <n v="1543"/>
    <n v="567"/>
    <n v="1"/>
    <n v="66"/>
    <n v="14"/>
    <n v="2"/>
    <m/>
    <m/>
    <n v="209"/>
    <n v="1629"/>
    <n v="138"/>
    <n v="1006"/>
    <m/>
    <m/>
    <n v="2982"/>
    <n v="91"/>
    <n v="2861"/>
    <n v="30"/>
    <s v="2015"/>
    <n v="123"/>
    <n v="12"/>
    <m/>
    <m/>
    <m/>
    <m/>
  </r>
  <r>
    <n v="106074097"/>
    <s v="074097"/>
    <x v="27"/>
    <x v="5"/>
    <x v="1"/>
    <s v="General Acute Care Hospital"/>
    <s v="4501 SAND CREEK ROAD"/>
    <s v="ANTIOCH"/>
    <s v="94531"/>
    <s v="Beds 150-199"/>
    <m/>
    <n v="9"/>
    <x v="8"/>
    <x v="2"/>
    <s v="Brentwood Central and West/Oakley"/>
    <s v="Urban"/>
    <x v="0"/>
    <x v="0"/>
    <x v="0"/>
    <n v="28148"/>
    <n v="21193"/>
    <m/>
    <n v="6345"/>
    <n v="6161"/>
    <n v="7016"/>
    <n v="6000"/>
    <n v="5990"/>
    <n v="5929"/>
    <n v="4540"/>
    <n v="3312"/>
    <n v="2971"/>
    <n v="1077"/>
    <m/>
    <n v="3564"/>
    <n v="11977"/>
    <n v="11395"/>
    <n v="175"/>
    <n v="1115"/>
    <n v="463"/>
    <n v="20652"/>
    <n v="369"/>
    <n v="648"/>
    <n v="46"/>
    <n v="248"/>
    <n v="63"/>
    <n v="7"/>
    <m/>
    <n v="4"/>
    <n v="253"/>
    <n v="1"/>
    <n v="47276"/>
    <n v="181"/>
    <m/>
    <n v="19"/>
    <n v="226"/>
    <n v="9847"/>
    <n v="9789"/>
    <n v="586"/>
    <n v="25989"/>
    <n v="3130"/>
    <m/>
    <n v="49341"/>
    <n v="438"/>
    <n v="46462"/>
    <n v="2441"/>
    <n v="2208"/>
    <n v="1952"/>
    <m/>
    <n v="20"/>
    <n v="151"/>
    <n v="227"/>
    <n v="411"/>
    <n v="599"/>
    <n v="856"/>
    <n v="916"/>
    <n v="974"/>
    <n v="4"/>
    <n v="2"/>
    <m/>
    <n v="313"/>
    <n v="693"/>
    <n v="652"/>
    <n v="53"/>
    <n v="7"/>
    <n v="2425"/>
    <n v="17"/>
    <n v="193"/>
    <n v="44"/>
    <n v="201"/>
    <n v="791"/>
    <n v="13"/>
    <m/>
    <n v="7"/>
    <n v="2334"/>
    <n v="417"/>
    <m/>
    <n v="144"/>
    <n v="15"/>
    <m/>
    <m/>
    <n v="1"/>
    <n v="331"/>
    <n v="2589"/>
    <n v="13"/>
    <n v="1159"/>
    <n v="68"/>
    <m/>
    <n v="4160"/>
    <n v="38"/>
    <n v="3939"/>
    <n v="183"/>
    <s v="2015"/>
    <n v="150"/>
    <n v="35"/>
    <m/>
    <m/>
    <m/>
    <m/>
  </r>
  <r>
    <n v="106084001"/>
    <s v="084001"/>
    <x v="28"/>
    <x v="6"/>
    <x v="1"/>
    <s v="General Acute Care Hospital"/>
    <s v="800 EAST WASHINGTON BOULEVARD"/>
    <s v="CRESCENT CITY"/>
    <s v="95531"/>
    <s v="Beds 1-49"/>
    <s v="Level IV"/>
    <n v="2"/>
    <x v="9"/>
    <x v="6"/>
    <s v="Crescent City/Gasquet/Klamath/Smith River"/>
    <s v="Rural"/>
    <x v="1"/>
    <x v="0"/>
    <x v="0"/>
    <n v="10395"/>
    <n v="8863"/>
    <m/>
    <n v="1692"/>
    <n v="1511"/>
    <n v="2911"/>
    <n v="2598"/>
    <n v="2308"/>
    <n v="2745"/>
    <n v="2021"/>
    <n v="1625"/>
    <n v="1434"/>
    <n v="413"/>
    <m/>
    <n v="241"/>
    <n v="180"/>
    <n v="1028"/>
    <n v="878"/>
    <n v="79"/>
    <n v="178"/>
    <n v="16674"/>
    <n v="672"/>
    <n v="291"/>
    <n v="44"/>
    <n v="42"/>
    <m/>
    <n v="20"/>
    <m/>
    <n v="142"/>
    <m/>
    <n v="4"/>
    <n v="17854"/>
    <n v="148"/>
    <m/>
    <m/>
    <m/>
    <n v="8950"/>
    <n v="5318"/>
    <n v="1458"/>
    <n v="2634"/>
    <n v="882"/>
    <n v="16"/>
    <n v="19258"/>
    <n v="121"/>
    <n v="18839"/>
    <n v="298"/>
    <n v="907"/>
    <n v="727"/>
    <m/>
    <n v="24"/>
    <n v="121"/>
    <n v="93"/>
    <n v="116"/>
    <n v="230"/>
    <n v="278"/>
    <n v="325"/>
    <n v="410"/>
    <n v="14"/>
    <n v="23"/>
    <m/>
    <n v="48"/>
    <n v="5"/>
    <n v="30"/>
    <n v="9"/>
    <n v="10"/>
    <n v="1484"/>
    <n v="48"/>
    <n v="126"/>
    <n v="50"/>
    <n v="78"/>
    <n v="241"/>
    <n v="8"/>
    <m/>
    <m/>
    <n v="930"/>
    <n v="196"/>
    <n v="3"/>
    <m/>
    <m/>
    <m/>
    <m/>
    <n v="2"/>
    <n v="358"/>
    <n v="996"/>
    <n v="105"/>
    <n v="158"/>
    <n v="17"/>
    <m/>
    <n v="1634"/>
    <n v="11"/>
    <n v="1610"/>
    <n v="13"/>
    <s v="2015"/>
    <n v="49"/>
    <n v="11"/>
    <m/>
    <n v="41"/>
    <m/>
    <m/>
  </r>
  <r>
    <n v="106090793"/>
    <s v="090793"/>
    <x v="29"/>
    <x v="7"/>
    <x v="1"/>
    <s v="General Acute Care Hospital"/>
    <s v="2170 SOUTH AVENUE"/>
    <s v="SOUTH LAKE TAHOE"/>
    <s v="96150"/>
    <s v="Beds 100-149"/>
    <m/>
    <n v="4"/>
    <x v="5"/>
    <x v="7"/>
    <s v="South Lake Tahoe"/>
    <s v="Rural"/>
    <x v="1"/>
    <x v="0"/>
    <x v="0"/>
    <n v="9156"/>
    <n v="9262"/>
    <n v="2"/>
    <n v="1880"/>
    <n v="2049"/>
    <n v="3823"/>
    <n v="2757"/>
    <n v="2193"/>
    <n v="2456"/>
    <n v="1753"/>
    <n v="751"/>
    <n v="434"/>
    <n v="324"/>
    <m/>
    <n v="508"/>
    <n v="329"/>
    <n v="3494"/>
    <n v="65"/>
    <n v="914"/>
    <n v="39"/>
    <n v="13071"/>
    <n v="378"/>
    <n v="524"/>
    <n v="16"/>
    <n v="1"/>
    <m/>
    <m/>
    <m/>
    <n v="79"/>
    <n v="91"/>
    <m/>
    <n v="17106"/>
    <n v="7"/>
    <n v="180"/>
    <n v="37"/>
    <m/>
    <n v="8124"/>
    <n v="2619"/>
    <n v="782"/>
    <n v="5276"/>
    <n v="1619"/>
    <m/>
    <n v="18420"/>
    <n v="193"/>
    <n v="16944"/>
    <n v="1283"/>
    <n v="548"/>
    <n v="670"/>
    <m/>
    <n v="31"/>
    <n v="108"/>
    <n v="105"/>
    <n v="133"/>
    <n v="219"/>
    <n v="226"/>
    <n v="187"/>
    <n v="169"/>
    <n v="15"/>
    <n v="25"/>
    <m/>
    <n v="37"/>
    <n v="13"/>
    <n v="126"/>
    <n v="53"/>
    <n v="2"/>
    <n v="982"/>
    <n v="5"/>
    <n v="66"/>
    <n v="25"/>
    <n v="11"/>
    <n v="120"/>
    <n v="2"/>
    <m/>
    <m/>
    <n v="878"/>
    <n v="89"/>
    <n v="3"/>
    <n v="11"/>
    <n v="9"/>
    <n v="2"/>
    <n v="2"/>
    <m/>
    <n v="310"/>
    <n v="516"/>
    <n v="43"/>
    <n v="306"/>
    <n v="43"/>
    <m/>
    <n v="1218"/>
    <n v="18"/>
    <n v="1128"/>
    <n v="72"/>
    <s v="2015"/>
    <n v="111"/>
    <n v="12"/>
    <m/>
    <n v="1"/>
    <m/>
    <m/>
  </r>
  <r>
    <n v="106090933"/>
    <s v="090933"/>
    <x v="30"/>
    <x v="7"/>
    <x v="1"/>
    <s v="General Acute Care Hospital"/>
    <s v="1100 MARSHALL WAY"/>
    <s v="PLACERVILLE"/>
    <s v="95667"/>
    <s v="Beds 100-149"/>
    <s v="Level III"/>
    <n v="4"/>
    <x v="5"/>
    <x v="7"/>
    <s v="Cool/Diamond Springs/Latrobe/Pilot Hill/Placerville"/>
    <s v="Rural"/>
    <x v="1"/>
    <x v="0"/>
    <x v="0"/>
    <n v="13676"/>
    <n v="11478"/>
    <m/>
    <n v="2648"/>
    <n v="2779"/>
    <n v="3467"/>
    <n v="3332"/>
    <n v="2461"/>
    <n v="3221"/>
    <n v="2609"/>
    <n v="2014"/>
    <n v="2157"/>
    <n v="466"/>
    <m/>
    <n v="138"/>
    <n v="205"/>
    <n v="2248"/>
    <n v="82"/>
    <n v="658"/>
    <n v="12783"/>
    <n v="9040"/>
    <n v="659"/>
    <n v="217"/>
    <n v="39"/>
    <n v="18"/>
    <n v="4"/>
    <m/>
    <m/>
    <n v="24"/>
    <n v="191"/>
    <m/>
    <n v="23794"/>
    <n v="93"/>
    <n v="1"/>
    <n v="6"/>
    <n v="108"/>
    <n v="2373"/>
    <n v="6418"/>
    <n v="6881"/>
    <n v="8704"/>
    <n v="723"/>
    <n v="55"/>
    <n v="25154"/>
    <n v="64"/>
    <n v="24425"/>
    <n v="665"/>
    <n v="2193"/>
    <n v="1972"/>
    <m/>
    <n v="54"/>
    <n v="187"/>
    <n v="272"/>
    <n v="298"/>
    <n v="639"/>
    <n v="775"/>
    <n v="734"/>
    <n v="1194"/>
    <n v="5"/>
    <n v="7"/>
    <m/>
    <n v="26"/>
    <n v="49"/>
    <n v="4004"/>
    <n v="77"/>
    <n v="6"/>
    <n v="2"/>
    <n v="1"/>
    <n v="8"/>
    <n v="566"/>
    <n v="162"/>
    <n v="313"/>
    <m/>
    <m/>
    <n v="295"/>
    <n v="2601"/>
    <n v="25"/>
    <n v="10"/>
    <n v="16"/>
    <n v="1"/>
    <n v="156"/>
    <m/>
    <m/>
    <n v="934"/>
    <n v="2536"/>
    <n v="29"/>
    <n v="629"/>
    <n v="37"/>
    <m/>
    <n v="4165"/>
    <n v="6"/>
    <n v="4116"/>
    <n v="43"/>
    <s v="2015"/>
    <n v="113"/>
    <n v="24"/>
    <m/>
    <m/>
    <n v="8"/>
    <n v="4"/>
  </r>
  <r>
    <n v="106100005"/>
    <s v="100005"/>
    <x v="31"/>
    <x v="8"/>
    <x v="1"/>
    <s v="General Acute Care Hospital"/>
    <s v="2755 HERNDON AVENUE"/>
    <s v="CLOVIS"/>
    <s v="93611"/>
    <s v="Beds 200-299"/>
    <m/>
    <n v="22"/>
    <x v="10"/>
    <x v="3"/>
    <s v="Auberry/Calwa/Centerville/Clovis East/Del Rey/Fowler/Friant/Sanger/Shaver Lake"/>
    <s v="Rural"/>
    <x v="0"/>
    <x v="0"/>
    <x v="0"/>
    <n v="32595"/>
    <n v="21072"/>
    <n v="1"/>
    <n v="3044"/>
    <n v="5062"/>
    <n v="11721"/>
    <n v="9626"/>
    <n v="7009"/>
    <n v="6398"/>
    <n v="4577"/>
    <n v="3016"/>
    <n v="2583"/>
    <n v="632"/>
    <m/>
    <n v="65"/>
    <n v="104"/>
    <n v="33129"/>
    <n v="160"/>
    <n v="760"/>
    <n v="63"/>
    <n v="19387"/>
    <n v="359"/>
    <n v="3289"/>
    <n v="51"/>
    <n v="41"/>
    <n v="8"/>
    <n v="7"/>
    <m/>
    <n v="116"/>
    <n v="329"/>
    <n v="84"/>
    <n v="48970"/>
    <n v="122"/>
    <n v="68"/>
    <m/>
    <n v="208"/>
    <n v="25425"/>
    <n v="9147"/>
    <n v="1574"/>
    <n v="14012"/>
    <n v="3510"/>
    <m/>
    <n v="53668"/>
    <n v="644"/>
    <n v="50522"/>
    <n v="2502"/>
    <n v="3838"/>
    <n v="3114"/>
    <m/>
    <n v="47"/>
    <n v="399"/>
    <n v="508"/>
    <n v="693"/>
    <n v="1021"/>
    <n v="1279"/>
    <n v="1381"/>
    <n v="1622"/>
    <n v="2"/>
    <m/>
    <m/>
    <n v="420"/>
    <n v="229"/>
    <n v="1783"/>
    <n v="123"/>
    <n v="14"/>
    <n v="4330"/>
    <n v="53"/>
    <n v="202"/>
    <n v="98"/>
    <n v="256"/>
    <n v="1333"/>
    <n v="180"/>
    <m/>
    <n v="18"/>
    <n v="3804"/>
    <n v="826"/>
    <m/>
    <n v="225"/>
    <n v="4"/>
    <m/>
    <m/>
    <n v="1"/>
    <n v="1483"/>
    <n v="3975"/>
    <n v="27"/>
    <n v="1351"/>
    <n v="116"/>
    <m/>
    <n v="6952"/>
    <n v="223"/>
    <n v="6444"/>
    <n v="285"/>
    <s v="2015"/>
    <n v="208"/>
    <n v="42"/>
    <m/>
    <n v="16"/>
    <n v="1"/>
    <n v="4"/>
  </r>
  <r>
    <n v="106100697"/>
    <s v="100697"/>
    <x v="32"/>
    <x v="8"/>
    <x v="2"/>
    <s v="General Acute Care Hospital"/>
    <s v="1191 PHELPS AVENUE"/>
    <s v="COALINGA"/>
    <s v="93210"/>
    <s v="Beds 100-149"/>
    <m/>
    <n v="21"/>
    <x v="11"/>
    <x v="8"/>
    <s v="Coalinga"/>
    <s v="Rural"/>
    <x v="1"/>
    <x v="0"/>
    <x v="1"/>
    <n v="4602"/>
    <n v="4263"/>
    <m/>
    <n v="1709"/>
    <n v="1327"/>
    <n v="1400"/>
    <n v="1221"/>
    <n v="985"/>
    <n v="928"/>
    <n v="526"/>
    <n v="298"/>
    <n v="207"/>
    <n v="264"/>
    <m/>
    <n v="89"/>
    <n v="275"/>
    <n v="6006"/>
    <n v="7"/>
    <n v="94"/>
    <m/>
    <n v="2394"/>
    <n v="508"/>
    <n v="148"/>
    <n v="8"/>
    <m/>
    <m/>
    <m/>
    <m/>
    <n v="1"/>
    <m/>
    <n v="10"/>
    <n v="8159"/>
    <n v="31"/>
    <m/>
    <m/>
    <m/>
    <n v="5500"/>
    <n v="730"/>
    <n v="670"/>
    <n v="1962"/>
    <n v="3"/>
    <m/>
    <n v="8865"/>
    <n v="4"/>
    <n v="6274"/>
    <n v="2587"/>
    <n v="81"/>
    <n v="84"/>
    <m/>
    <n v="2"/>
    <n v="8"/>
    <n v="13"/>
    <n v="18"/>
    <n v="31"/>
    <n v="30"/>
    <n v="17"/>
    <n v="46"/>
    <m/>
    <m/>
    <m/>
    <n v="1"/>
    <n v="4"/>
    <n v="77"/>
    <m/>
    <n v="1"/>
    <n v="82"/>
    <m/>
    <n v="8"/>
    <n v="7"/>
    <n v="1"/>
    <m/>
    <m/>
    <m/>
    <n v="15"/>
    <n v="117"/>
    <n v="7"/>
    <m/>
    <m/>
    <n v="6"/>
    <n v="4"/>
    <m/>
    <m/>
    <n v="49"/>
    <n v="83"/>
    <n v="9"/>
    <n v="22"/>
    <n v="2"/>
    <m/>
    <n v="165"/>
    <m/>
    <n v="126"/>
    <n v="39"/>
    <s v="2015"/>
    <n v="123"/>
    <n v="9"/>
    <m/>
    <m/>
    <m/>
    <m/>
  </r>
  <r>
    <n v="106100717"/>
    <s v="100717"/>
    <x v="33"/>
    <x v="8"/>
    <x v="1"/>
    <s v="General Acute Care Hospital"/>
    <s v="2823 FRESNO STREET"/>
    <s v="FRESNO"/>
    <s v="93721"/>
    <s v="Beds 500+"/>
    <s v="Level I"/>
    <n v="16"/>
    <x v="11"/>
    <x v="9"/>
    <s v="Fresno West Central"/>
    <s v="Urban"/>
    <x v="0"/>
    <x v="1"/>
    <x v="2"/>
    <n v="41008"/>
    <n v="40740"/>
    <n v="1"/>
    <n v="4866"/>
    <n v="7145"/>
    <n v="18639"/>
    <n v="15366"/>
    <n v="13143"/>
    <n v="12282"/>
    <n v="5752"/>
    <n v="2122"/>
    <n v="1296"/>
    <n v="1138"/>
    <m/>
    <n v="94"/>
    <n v="342"/>
    <n v="37530"/>
    <n v="140"/>
    <n v="1575"/>
    <n v="38"/>
    <n v="42030"/>
    <n v="172"/>
    <n v="10001"/>
    <n v="250"/>
    <n v="18"/>
    <n v="28"/>
    <n v="15"/>
    <m/>
    <n v="1982"/>
    <n v="465"/>
    <n v="130"/>
    <n v="67773"/>
    <n v="496"/>
    <n v="143"/>
    <m/>
    <n v="224"/>
    <n v="57398"/>
    <n v="8783"/>
    <n v="2150"/>
    <n v="5074"/>
    <n v="8344"/>
    <m/>
    <n v="81749"/>
    <n v="1167"/>
    <n v="69439"/>
    <n v="11143"/>
    <n v="11216"/>
    <n v="13781"/>
    <m/>
    <n v="648"/>
    <n v="2320"/>
    <n v="2760"/>
    <n v="3600"/>
    <n v="5378"/>
    <n v="4504"/>
    <n v="2958"/>
    <n v="2356"/>
    <n v="193"/>
    <n v="280"/>
    <m/>
    <n v="1535"/>
    <n v="2602"/>
    <n v="11045"/>
    <n v="506"/>
    <n v="22"/>
    <n v="9161"/>
    <n v="126"/>
    <n v="279"/>
    <n v="1060"/>
    <n v="853"/>
    <n v="4227"/>
    <n v="573"/>
    <m/>
    <n v="62"/>
    <n v="14257"/>
    <n v="2749"/>
    <n v="279"/>
    <n v="404"/>
    <n v="181"/>
    <n v="15"/>
    <m/>
    <n v="21"/>
    <n v="12094"/>
    <n v="8889"/>
    <n v="999"/>
    <n v="2089"/>
    <n v="926"/>
    <m/>
    <n v="24997"/>
    <n v="1015"/>
    <n v="20233"/>
    <n v="3749"/>
    <s v="2015"/>
    <n v="641"/>
    <n v="73"/>
    <m/>
    <n v="52"/>
    <n v="1"/>
    <n v="36"/>
  </r>
  <r>
    <n v="106100797"/>
    <s v="100797"/>
    <x v="34"/>
    <x v="8"/>
    <x v="1"/>
    <s v="General Acute Care Hospital"/>
    <s v="372 WEST CYPRESS AVENUE"/>
    <s v="REEDLEY"/>
    <s v="93654"/>
    <s v="Beds 1-49"/>
    <m/>
    <n v="22"/>
    <x v="11"/>
    <x v="9"/>
    <s v="Orange Cove/Parlier/Reedley/Squaw Valley/Tivy Valley/Wonder Valley"/>
    <s v="Rural"/>
    <x v="1"/>
    <x v="0"/>
    <x v="1"/>
    <n v="15918"/>
    <n v="12242"/>
    <n v="9"/>
    <n v="6170"/>
    <n v="4115"/>
    <n v="4875"/>
    <n v="3774"/>
    <n v="2702"/>
    <n v="2137"/>
    <n v="1432"/>
    <n v="903"/>
    <n v="746"/>
    <n v="1315"/>
    <m/>
    <n v="87"/>
    <n v="113"/>
    <n v="23276"/>
    <n v="13"/>
    <n v="217"/>
    <n v="20"/>
    <n v="4443"/>
    <n v="930"/>
    <n v="288"/>
    <n v="20"/>
    <n v="8"/>
    <n v="6"/>
    <m/>
    <m/>
    <n v="67"/>
    <n v="48"/>
    <n v="1"/>
    <n v="26688"/>
    <n v="56"/>
    <n v="20"/>
    <m/>
    <n v="33"/>
    <n v="19770"/>
    <n v="2597"/>
    <n v="358"/>
    <n v="3050"/>
    <n v="2394"/>
    <m/>
    <n v="28169"/>
    <n v="30"/>
    <n v="18576"/>
    <n v="9563"/>
    <n v="344"/>
    <n v="222"/>
    <m/>
    <n v="10"/>
    <n v="44"/>
    <n v="44"/>
    <n v="81"/>
    <n v="73"/>
    <n v="94"/>
    <n v="85"/>
    <n v="135"/>
    <m/>
    <m/>
    <m/>
    <n v="3"/>
    <n v="1"/>
    <n v="404"/>
    <n v="2"/>
    <n v="2"/>
    <n v="154"/>
    <m/>
    <n v="45"/>
    <n v="7"/>
    <n v="5"/>
    <n v="19"/>
    <m/>
    <m/>
    <m/>
    <n v="413"/>
    <n v="74"/>
    <m/>
    <n v="3"/>
    <m/>
    <m/>
    <m/>
    <m/>
    <n v="217"/>
    <n v="268"/>
    <m/>
    <n v="61"/>
    <n v="20"/>
    <m/>
    <n v="566"/>
    <n v="2"/>
    <n v="341"/>
    <n v="223"/>
    <s v="2015"/>
    <n v="49"/>
    <n v="10"/>
    <n v="3"/>
    <n v="1"/>
    <m/>
    <m/>
  </r>
  <r>
    <n v="106100899"/>
    <s v="100899"/>
    <x v="35"/>
    <x v="8"/>
    <x v="1"/>
    <s v="General Acute Care Hospital"/>
    <s v="1303 EAST HERNDON AVENUE"/>
    <s v="FRESNO"/>
    <s v="93720"/>
    <s v="Beds 300-499"/>
    <m/>
    <n v="22"/>
    <x v="10"/>
    <x v="3"/>
    <s v="Fresno North Central"/>
    <s v="Urban"/>
    <x v="0"/>
    <x v="0"/>
    <x v="0"/>
    <n v="46270"/>
    <n v="27768"/>
    <n v="1"/>
    <n v="3010"/>
    <n v="5896"/>
    <n v="16767"/>
    <n v="12692"/>
    <n v="9468"/>
    <n v="9215"/>
    <n v="6653"/>
    <n v="4542"/>
    <n v="5245"/>
    <n v="551"/>
    <m/>
    <n v="2627"/>
    <n v="8459"/>
    <n v="31366"/>
    <n v="259"/>
    <n v="641"/>
    <n v="252"/>
    <n v="30435"/>
    <n v="573"/>
    <n v="3327"/>
    <n v="132"/>
    <n v="693"/>
    <n v="25"/>
    <n v="51"/>
    <m/>
    <n v="10"/>
    <n v="412"/>
    <n v="75"/>
    <n v="68485"/>
    <n v="191"/>
    <n v="48"/>
    <n v="6"/>
    <n v="5"/>
    <n v="40432"/>
    <n v="15688"/>
    <n v="1371"/>
    <n v="12563"/>
    <n v="3985"/>
    <m/>
    <n v="74039"/>
    <n v="881"/>
    <n v="68650"/>
    <n v="4508"/>
    <n v="5919"/>
    <n v="4689"/>
    <m/>
    <n v="93"/>
    <n v="719"/>
    <n v="794"/>
    <n v="937"/>
    <n v="1666"/>
    <n v="1981"/>
    <n v="1833"/>
    <n v="2583"/>
    <n v="2"/>
    <m/>
    <m/>
    <n v="644"/>
    <n v="820"/>
    <n v="3124"/>
    <n v="52"/>
    <n v="23"/>
    <n v="5900"/>
    <n v="45"/>
    <n v="118"/>
    <n v="183"/>
    <n v="568"/>
    <n v="2132"/>
    <n v="361"/>
    <m/>
    <n v="91"/>
    <n v="5569"/>
    <n v="1294"/>
    <m/>
    <n v="274"/>
    <n v="8"/>
    <n v="5"/>
    <m/>
    <n v="5"/>
    <n v="2878"/>
    <n v="6209"/>
    <n v="84"/>
    <n v="1354"/>
    <n v="83"/>
    <m/>
    <n v="10608"/>
    <n v="339"/>
    <n v="9516"/>
    <n v="753"/>
    <s v="2015"/>
    <n v="436"/>
    <n v="48"/>
    <m/>
    <n v="6"/>
    <m/>
    <m/>
  </r>
  <r>
    <n v="106104062"/>
    <s v="104062"/>
    <x v="36"/>
    <x v="8"/>
    <x v="1"/>
    <s v="General Acute Care Hospital"/>
    <s v="7300 NORTH FRESNO STREET"/>
    <s v="FRESNO"/>
    <s v="93720"/>
    <s v="Beds 150-199"/>
    <m/>
    <n v="22"/>
    <x v="10"/>
    <x v="3"/>
    <s v="Fresno North Central"/>
    <s v="Urban"/>
    <x v="0"/>
    <x v="0"/>
    <x v="0"/>
    <n v="18416"/>
    <n v="13864"/>
    <m/>
    <n v="2753"/>
    <n v="3283"/>
    <n v="4351"/>
    <n v="3642"/>
    <n v="3310"/>
    <n v="3706"/>
    <n v="3492"/>
    <n v="3554"/>
    <n v="3702"/>
    <n v="487"/>
    <m/>
    <n v="1708"/>
    <n v="2619"/>
    <n v="12879"/>
    <n v="178"/>
    <n v="424"/>
    <n v="235"/>
    <n v="14237"/>
    <n v="78"/>
    <n v="263"/>
    <n v="32"/>
    <n v="200"/>
    <n v="42"/>
    <n v="20"/>
    <m/>
    <n v="2"/>
    <n v="318"/>
    <n v="3"/>
    <n v="30796"/>
    <n v="223"/>
    <n v="99"/>
    <m/>
    <n v="204"/>
    <n v="3895"/>
    <n v="9666"/>
    <n v="683"/>
    <n v="16693"/>
    <n v="1343"/>
    <m/>
    <n v="32280"/>
    <n v="257"/>
    <n v="30191"/>
    <n v="1832"/>
    <n v="2433"/>
    <n v="2036"/>
    <m/>
    <n v="23"/>
    <n v="111"/>
    <n v="176"/>
    <n v="280"/>
    <n v="569"/>
    <n v="829"/>
    <n v="1129"/>
    <n v="1351"/>
    <n v="1"/>
    <m/>
    <m/>
    <n v="224"/>
    <n v="267"/>
    <n v="1086"/>
    <n v="20"/>
    <n v="1"/>
    <n v="2844"/>
    <n v="27"/>
    <n v="108"/>
    <n v="35"/>
    <n v="181"/>
    <n v="895"/>
    <n v="4"/>
    <n v="1"/>
    <m/>
    <n v="2433"/>
    <n v="525"/>
    <m/>
    <n v="254"/>
    <n v="7"/>
    <m/>
    <m/>
    <n v="25"/>
    <n v="67"/>
    <n v="3138"/>
    <n v="14"/>
    <n v="1221"/>
    <n v="29"/>
    <m/>
    <n v="4469"/>
    <n v="38"/>
    <n v="4256"/>
    <n v="175"/>
    <s v="2015"/>
    <n v="169"/>
    <n v="22"/>
    <m/>
    <m/>
    <n v="1"/>
    <m/>
  </r>
  <r>
    <n v="106110889"/>
    <s v="110889"/>
    <x v="37"/>
    <x v="9"/>
    <x v="1"/>
    <s v="General Acute Care Hospital"/>
    <s v="1133 WEST SYCAMORE STREET"/>
    <s v="WILLOWS"/>
    <s v="95988"/>
    <s v="Beds 1-49"/>
    <s v="Level IV"/>
    <n v="3"/>
    <x v="6"/>
    <x v="4"/>
    <s v="Artois/Elk Creek/Glenn/Grindstone Indian Rancheria/Willows"/>
    <s v="Frontier"/>
    <x v="1"/>
    <x v="0"/>
    <x v="1"/>
    <n v="3056"/>
    <n v="2532"/>
    <m/>
    <n v="532"/>
    <n v="616"/>
    <n v="992"/>
    <n v="889"/>
    <n v="595"/>
    <n v="723"/>
    <n v="480"/>
    <n v="380"/>
    <n v="289"/>
    <n v="92"/>
    <m/>
    <n v="88"/>
    <n v="88"/>
    <n v="1060"/>
    <n v="111"/>
    <n v="35"/>
    <n v="6"/>
    <n v="4200"/>
    <n v="389"/>
    <n v="128"/>
    <n v="2"/>
    <m/>
    <m/>
    <m/>
    <m/>
    <n v="117"/>
    <n v="57"/>
    <n v="1"/>
    <n v="4845"/>
    <n v="39"/>
    <m/>
    <n v="1"/>
    <m/>
    <n v="2649"/>
    <n v="1271"/>
    <n v="387"/>
    <n v="753"/>
    <n v="528"/>
    <m/>
    <n v="5588"/>
    <n v="13"/>
    <n v="5402"/>
    <n v="173"/>
    <n v="121"/>
    <n v="85"/>
    <m/>
    <n v="2"/>
    <n v="10"/>
    <n v="17"/>
    <n v="18"/>
    <n v="27"/>
    <n v="39"/>
    <n v="48"/>
    <n v="45"/>
    <m/>
    <m/>
    <m/>
    <n v="3"/>
    <n v="2"/>
    <n v="22"/>
    <n v="2"/>
    <n v="1"/>
    <n v="172"/>
    <n v="4"/>
    <n v="18"/>
    <n v="5"/>
    <m/>
    <m/>
    <m/>
    <m/>
    <m/>
    <n v="141"/>
    <n v="42"/>
    <m/>
    <m/>
    <m/>
    <m/>
    <m/>
    <m/>
    <n v="10"/>
    <n v="131"/>
    <n v="50"/>
    <n v="14"/>
    <n v="1"/>
    <m/>
    <n v="206"/>
    <m/>
    <n v="197"/>
    <n v="9"/>
    <s v="2015"/>
    <n v="47"/>
    <n v="5"/>
    <m/>
    <n v="9"/>
    <m/>
    <m/>
  </r>
  <r>
    <n v="106121002"/>
    <s v="121002"/>
    <x v="38"/>
    <x v="10"/>
    <x v="3"/>
    <s v="General Acute Care Hospital"/>
    <s v="3800 JANES ROAD"/>
    <s v="ARCATA"/>
    <s v="95521"/>
    <s v="Beds 50-99"/>
    <m/>
    <n v="2"/>
    <x v="9"/>
    <x v="6"/>
    <s v="Arcata/Eureka"/>
    <s v="Rural"/>
    <x v="0"/>
    <x v="0"/>
    <x v="0"/>
    <n v="8366"/>
    <n v="7956"/>
    <m/>
    <n v="1265"/>
    <n v="1629"/>
    <n v="3644"/>
    <n v="2553"/>
    <n v="1760"/>
    <n v="1941"/>
    <n v="1681"/>
    <n v="888"/>
    <n v="756"/>
    <n v="205"/>
    <m/>
    <n v="165"/>
    <n v="476"/>
    <n v="1341"/>
    <n v="1913"/>
    <n v="131"/>
    <n v="6"/>
    <n v="12290"/>
    <n v="391"/>
    <n v="190"/>
    <n v="32"/>
    <n v="12"/>
    <m/>
    <n v="1"/>
    <m/>
    <n v="120"/>
    <n v="46"/>
    <n v="10"/>
    <n v="15464"/>
    <n v="3"/>
    <n v="6"/>
    <n v="32"/>
    <n v="2"/>
    <n v="7290"/>
    <n v="3355"/>
    <n v="1049"/>
    <n v="3524"/>
    <n v="1102"/>
    <n v="2"/>
    <n v="16322"/>
    <n v="61"/>
    <n v="16062"/>
    <n v="199"/>
    <n v="1107"/>
    <n v="611"/>
    <m/>
    <n v="67"/>
    <n v="331"/>
    <n v="322"/>
    <n v="125"/>
    <n v="185"/>
    <n v="237"/>
    <n v="179"/>
    <n v="240"/>
    <n v="12"/>
    <n v="20"/>
    <m/>
    <n v="16"/>
    <n v="24"/>
    <n v="100"/>
    <n v="9"/>
    <n v="3"/>
    <n v="1302"/>
    <n v="264"/>
    <n v="66"/>
    <n v="52"/>
    <n v="25"/>
    <n v="97"/>
    <n v="4"/>
    <m/>
    <n v="9"/>
    <n v="1396"/>
    <n v="59"/>
    <n v="1"/>
    <m/>
    <n v="6"/>
    <m/>
    <n v="3"/>
    <m/>
    <n v="711"/>
    <n v="620"/>
    <n v="55"/>
    <n v="310"/>
    <n v="21"/>
    <n v="1"/>
    <n v="1718"/>
    <n v="8"/>
    <n v="1696"/>
    <n v="14"/>
    <s v="2015"/>
    <n v="78"/>
    <n v="7"/>
    <n v="10"/>
    <n v="3"/>
    <m/>
    <m/>
  </r>
  <r>
    <n v="106121031"/>
    <s v="121031"/>
    <x v="39"/>
    <x v="10"/>
    <x v="2"/>
    <s v="General Acute Care Hospital"/>
    <s v="733 CEDAR STREET"/>
    <s v="GARBERVILLE"/>
    <s v="95542"/>
    <s v="Beds 1-49"/>
    <m/>
    <n v="2"/>
    <x v="9"/>
    <x v="6"/>
    <s v="Garberville/Redway"/>
    <s v="Frontier"/>
    <x v="1"/>
    <x v="0"/>
    <x v="1"/>
    <n v="1375"/>
    <n v="1714"/>
    <m/>
    <n v="158"/>
    <n v="216"/>
    <n v="678"/>
    <n v="618"/>
    <n v="400"/>
    <n v="363"/>
    <n v="346"/>
    <n v="141"/>
    <n v="145"/>
    <n v="24"/>
    <m/>
    <n v="32"/>
    <n v="51"/>
    <n v="192"/>
    <n v="85"/>
    <n v="29"/>
    <n v="59"/>
    <n v="2641"/>
    <n v="101"/>
    <n v="143"/>
    <n v="7"/>
    <m/>
    <m/>
    <m/>
    <m/>
    <n v="34"/>
    <n v="4"/>
    <n v="4"/>
    <n v="2592"/>
    <n v="10"/>
    <n v="56"/>
    <n v="21"/>
    <n v="117"/>
    <n v="646"/>
    <n v="492"/>
    <n v="142"/>
    <n v="1001"/>
    <n v="808"/>
    <m/>
    <n v="3089"/>
    <n v="23"/>
    <n v="3015"/>
    <n v="51"/>
    <n v="24"/>
    <n v="25"/>
    <m/>
    <n v="2"/>
    <n v="3"/>
    <n v="5"/>
    <n v="4"/>
    <n v="8"/>
    <n v="5"/>
    <n v="10"/>
    <n v="12"/>
    <m/>
    <m/>
    <m/>
    <m/>
    <n v="1"/>
    <n v="1"/>
    <m/>
    <m/>
    <n v="46"/>
    <n v="1"/>
    <n v="7"/>
    <n v="3"/>
    <m/>
    <m/>
    <m/>
    <m/>
    <m/>
    <n v="28"/>
    <n v="9"/>
    <m/>
    <m/>
    <m/>
    <m/>
    <m/>
    <n v="2"/>
    <n v="15"/>
    <n v="27"/>
    <n v="1"/>
    <n v="4"/>
    <n v="2"/>
    <m/>
    <n v="49"/>
    <m/>
    <n v="49"/>
    <m/>
    <s v="2015"/>
    <n v="17"/>
    <n v="2"/>
    <m/>
    <m/>
    <m/>
    <m/>
  </r>
  <r>
    <n v="106121051"/>
    <s v="121051"/>
    <x v="40"/>
    <x v="10"/>
    <x v="1"/>
    <s v="General Acute Care Hospital"/>
    <s v="3300 RENNER DRIVE"/>
    <s v="FORTUNA"/>
    <s v="95540"/>
    <s v="Beds 1-49"/>
    <m/>
    <n v="2"/>
    <x v="9"/>
    <x v="6"/>
    <s v="Ferndale/Fortuna/Rio Dell/Scotia"/>
    <s v="Rural"/>
    <x v="1"/>
    <x v="0"/>
    <x v="0"/>
    <n v="6294"/>
    <n v="5634"/>
    <m/>
    <n v="1068"/>
    <n v="1148"/>
    <n v="1938"/>
    <n v="1694"/>
    <n v="1262"/>
    <n v="1553"/>
    <n v="1366"/>
    <n v="824"/>
    <n v="864"/>
    <n v="211"/>
    <m/>
    <n v="63"/>
    <n v="123"/>
    <n v="773"/>
    <n v="304"/>
    <n v="608"/>
    <n v="137"/>
    <n v="9920"/>
    <n v="197"/>
    <n v="183"/>
    <n v="22"/>
    <m/>
    <m/>
    <m/>
    <m/>
    <n v="103"/>
    <n v="38"/>
    <m/>
    <n v="10993"/>
    <n v="96"/>
    <m/>
    <n v="1"/>
    <n v="285"/>
    <n v="5162"/>
    <n v="2786"/>
    <n v="484"/>
    <n v="2253"/>
    <n v="1243"/>
    <m/>
    <n v="11928"/>
    <n v="26"/>
    <n v="11669"/>
    <n v="233"/>
    <n v="376"/>
    <n v="312"/>
    <m/>
    <n v="15"/>
    <n v="24"/>
    <n v="41"/>
    <n v="43"/>
    <n v="99"/>
    <n v="149"/>
    <n v="123"/>
    <n v="167"/>
    <n v="8"/>
    <n v="19"/>
    <m/>
    <n v="4"/>
    <n v="1"/>
    <n v="24"/>
    <n v="38"/>
    <n v="7"/>
    <n v="591"/>
    <n v="23"/>
    <n v="29"/>
    <n v="8"/>
    <n v="33"/>
    <n v="85"/>
    <n v="1"/>
    <m/>
    <n v="3"/>
    <n v="404"/>
    <n v="80"/>
    <n v="1"/>
    <n v="14"/>
    <n v="1"/>
    <n v="28"/>
    <m/>
    <n v="1"/>
    <n v="159"/>
    <n v="405"/>
    <n v="13"/>
    <n v="90"/>
    <n v="21"/>
    <m/>
    <n v="688"/>
    <n v="3"/>
    <n v="675"/>
    <n v="10"/>
    <s v="2015"/>
    <n v="35"/>
    <n v="8"/>
    <n v="10"/>
    <m/>
    <m/>
    <m/>
  </r>
  <r>
    <n v="106121080"/>
    <s v="121080"/>
    <x v="41"/>
    <x v="10"/>
    <x v="1"/>
    <s v="General Acute Care Hospital"/>
    <s v="2700 DOLBEER STREET"/>
    <s v="EUREKA"/>
    <s v="95501"/>
    <s v="Beds 100-149"/>
    <m/>
    <n v="2"/>
    <x v="9"/>
    <x v="6"/>
    <s v="Arcata/Eureka"/>
    <s v="Rural"/>
    <x v="0"/>
    <x v="0"/>
    <x v="0"/>
    <n v="13548"/>
    <n v="13390"/>
    <m/>
    <n v="1913"/>
    <n v="2041"/>
    <n v="5063"/>
    <n v="4532"/>
    <n v="3668"/>
    <n v="3594"/>
    <n v="2921"/>
    <n v="1555"/>
    <n v="1263"/>
    <n v="388"/>
    <m/>
    <n v="507"/>
    <n v="812"/>
    <n v="905"/>
    <n v="1059"/>
    <n v="1436"/>
    <n v="683"/>
    <n v="21536"/>
    <n v="73"/>
    <n v="433"/>
    <n v="68"/>
    <n v="1"/>
    <n v="2"/>
    <n v="4"/>
    <m/>
    <n v="366"/>
    <n v="190"/>
    <n v="1"/>
    <n v="25396"/>
    <n v="3"/>
    <n v="231"/>
    <m/>
    <n v="160"/>
    <n v="12607"/>
    <n v="5853"/>
    <n v="1477"/>
    <n v="4581"/>
    <n v="2420"/>
    <m/>
    <n v="26938"/>
    <n v="112"/>
    <n v="26655"/>
    <n v="171"/>
    <n v="1945"/>
    <n v="2268"/>
    <m/>
    <n v="64"/>
    <n v="236"/>
    <n v="266"/>
    <n v="366"/>
    <n v="692"/>
    <n v="945"/>
    <n v="701"/>
    <n v="859"/>
    <n v="22"/>
    <n v="62"/>
    <m/>
    <n v="71"/>
    <n v="74"/>
    <n v="90"/>
    <n v="173"/>
    <n v="92"/>
    <n v="3534"/>
    <n v="179"/>
    <n v="47"/>
    <n v="162"/>
    <n v="153"/>
    <n v="589"/>
    <n v="32"/>
    <m/>
    <n v="12"/>
    <n v="2701"/>
    <n v="312"/>
    <n v="18"/>
    <n v="102"/>
    <n v="30"/>
    <n v="53"/>
    <m/>
    <n v="2"/>
    <n v="1153"/>
    <n v="2319"/>
    <n v="166"/>
    <n v="498"/>
    <n v="77"/>
    <m/>
    <n v="4213"/>
    <n v="33"/>
    <n v="4153"/>
    <n v="27"/>
    <s v="2015"/>
    <n v="138"/>
    <n v="20"/>
    <n v="10"/>
    <m/>
    <m/>
    <m/>
  </r>
  <r>
    <n v="106130699"/>
    <s v="130699"/>
    <x v="42"/>
    <x v="11"/>
    <x v="0"/>
    <s v="General Acute Care Hospital"/>
    <s v="1415 ROSS AVENUE"/>
    <s v="EL CENTRO"/>
    <s v="92243"/>
    <s v="Beds 150-199"/>
    <s v="Level IV"/>
    <n v="51"/>
    <x v="12"/>
    <x v="10"/>
    <s v="El Centro/Heber/Holtville/Imperial/Seeley"/>
    <s v="Rural"/>
    <x v="0"/>
    <x v="0"/>
    <x v="0"/>
    <n v="25073"/>
    <n v="20865"/>
    <m/>
    <n v="6679"/>
    <n v="5657"/>
    <n v="6478"/>
    <n v="5349"/>
    <n v="4842"/>
    <n v="5088"/>
    <n v="4266"/>
    <n v="3146"/>
    <n v="3084"/>
    <n v="1349"/>
    <m/>
    <n v="126"/>
    <n v="999"/>
    <n v="39186"/>
    <n v="22"/>
    <n v="1193"/>
    <n v="353"/>
    <n v="4059"/>
    <n v="925"/>
    <n v="524"/>
    <n v="65"/>
    <n v="73"/>
    <m/>
    <n v="1"/>
    <m/>
    <n v="13"/>
    <n v="5"/>
    <m/>
    <n v="44045"/>
    <n v="27"/>
    <n v="91"/>
    <m/>
    <m/>
    <n v="26250"/>
    <n v="9919"/>
    <n v="1298"/>
    <n v="6316"/>
    <n v="2123"/>
    <n v="32"/>
    <n v="45938"/>
    <n v="27"/>
    <n v="26286"/>
    <n v="19625"/>
    <n v="1571"/>
    <n v="1713"/>
    <m/>
    <n v="41"/>
    <n v="152"/>
    <n v="182"/>
    <n v="243"/>
    <n v="490"/>
    <n v="599"/>
    <n v="648"/>
    <n v="860"/>
    <n v="36"/>
    <n v="33"/>
    <m/>
    <n v="9"/>
    <n v="87"/>
    <n v="2647"/>
    <n v="99"/>
    <n v="37"/>
    <n v="404"/>
    <n v="1"/>
    <m/>
    <n v="514"/>
    <n v="124"/>
    <n v="689"/>
    <m/>
    <m/>
    <m/>
    <n v="1679"/>
    <n v="3"/>
    <n v="24"/>
    <m/>
    <m/>
    <n v="234"/>
    <m/>
    <m/>
    <n v="917"/>
    <n v="2025"/>
    <n v="23"/>
    <n v="277"/>
    <n v="42"/>
    <m/>
    <n v="3284"/>
    <n v="2"/>
    <n v="1459"/>
    <n v="1823"/>
    <s v="2015"/>
    <n v="161"/>
    <n v="24"/>
    <n v="12"/>
    <n v="157"/>
    <n v="8"/>
    <n v="9"/>
  </r>
  <r>
    <n v="106130760"/>
    <s v="130760"/>
    <x v="43"/>
    <x v="11"/>
    <x v="2"/>
    <s v="General Acute Care Hospital"/>
    <s v="207 WEST LEGION ROAD"/>
    <s v="BRAWLEY"/>
    <s v="92227"/>
    <s v="Beds 100-149"/>
    <s v="Level IV"/>
    <n v="51"/>
    <x v="12"/>
    <x v="10"/>
    <s v="Brawley/Westmorland"/>
    <s v="Rural"/>
    <x v="0"/>
    <x v="0"/>
    <x v="0"/>
    <n v="25332"/>
    <n v="19456"/>
    <n v="1"/>
    <n v="7902"/>
    <n v="6151"/>
    <n v="7233"/>
    <n v="6121"/>
    <n v="4570"/>
    <n v="4530"/>
    <n v="3064"/>
    <n v="2020"/>
    <n v="1616"/>
    <n v="1582"/>
    <m/>
    <n v="95"/>
    <n v="738"/>
    <n v="36601"/>
    <n v="11"/>
    <n v="43"/>
    <n v="69"/>
    <n v="7232"/>
    <n v="571"/>
    <n v="430"/>
    <n v="35"/>
    <n v="29"/>
    <m/>
    <m/>
    <m/>
    <n v="412"/>
    <n v="2"/>
    <n v="6"/>
    <n v="43074"/>
    <n v="46"/>
    <n v="182"/>
    <n v="2"/>
    <m/>
    <n v="3645"/>
    <n v="5989"/>
    <n v="1044"/>
    <n v="33077"/>
    <n v="1032"/>
    <n v="2"/>
    <n v="44789"/>
    <n v="32"/>
    <n v="34103"/>
    <n v="10654"/>
    <n v="1635"/>
    <n v="1543"/>
    <m/>
    <n v="82"/>
    <n v="159"/>
    <n v="222"/>
    <n v="260"/>
    <n v="443"/>
    <n v="518"/>
    <n v="533"/>
    <n v="648"/>
    <n v="151"/>
    <n v="162"/>
    <m/>
    <n v="5"/>
    <n v="76"/>
    <n v="2337"/>
    <n v="1"/>
    <n v="6"/>
    <n v="753"/>
    <m/>
    <n v="187"/>
    <n v="64"/>
    <n v="71"/>
    <n v="525"/>
    <n v="57"/>
    <m/>
    <n v="2"/>
    <n v="1970"/>
    <n v="177"/>
    <n v="63"/>
    <n v="45"/>
    <n v="3"/>
    <n v="7"/>
    <n v="5"/>
    <n v="1"/>
    <n v="1116"/>
    <n v="1530"/>
    <n v="83"/>
    <n v="417"/>
    <n v="32"/>
    <m/>
    <n v="3178"/>
    <n v="4"/>
    <n v="2043"/>
    <n v="1131"/>
    <s v="2015"/>
    <n v="107"/>
    <n v="16"/>
    <m/>
    <m/>
    <m/>
    <n v="1"/>
  </r>
  <r>
    <n v="106141273"/>
    <s v="141273"/>
    <x v="44"/>
    <x v="12"/>
    <x v="2"/>
    <s v="General Acute Care Hospital"/>
    <s v="150 PIONEER LANE"/>
    <s v="BISHOP"/>
    <s v="93514"/>
    <s v="Beds 1-49"/>
    <m/>
    <n v="8"/>
    <x v="13"/>
    <x v="3"/>
    <s v="Bishop/Bishop Paiute Tribe/Mustang Mesa/Round Valley/West Bishop/Wilkerson"/>
    <s v="Rural"/>
    <x v="1"/>
    <x v="0"/>
    <x v="0"/>
    <n v="4246"/>
    <n v="3898"/>
    <m/>
    <n v="914"/>
    <n v="841"/>
    <n v="1102"/>
    <n v="948"/>
    <n v="723"/>
    <n v="1018"/>
    <n v="907"/>
    <n v="721"/>
    <n v="786"/>
    <n v="184"/>
    <m/>
    <n v="63"/>
    <n v="40"/>
    <n v="1257"/>
    <n v="1084"/>
    <n v="41"/>
    <n v="8"/>
    <n v="5651"/>
    <n v="63"/>
    <n v="80"/>
    <n v="17"/>
    <n v="7"/>
    <m/>
    <n v="2"/>
    <m/>
    <m/>
    <n v="7"/>
    <n v="7"/>
    <n v="7465"/>
    <n v="18"/>
    <n v="122"/>
    <n v="328"/>
    <m/>
    <n v="1745"/>
    <n v="2136"/>
    <n v="444"/>
    <n v="3344"/>
    <n v="475"/>
    <m/>
    <n v="8144"/>
    <n v="97"/>
    <n v="7529"/>
    <n v="518"/>
    <n v="344"/>
    <n v="288"/>
    <m/>
    <n v="24"/>
    <n v="40"/>
    <n v="45"/>
    <n v="34"/>
    <n v="80"/>
    <n v="104"/>
    <n v="88"/>
    <n v="196"/>
    <n v="9"/>
    <n v="12"/>
    <m/>
    <n v="5"/>
    <m/>
    <n v="48"/>
    <n v="4"/>
    <m/>
    <n v="500"/>
    <n v="75"/>
    <n v="31"/>
    <n v="9"/>
    <n v="21"/>
    <n v="8"/>
    <m/>
    <m/>
    <n v="2"/>
    <n v="420"/>
    <n v="127"/>
    <n v="3"/>
    <m/>
    <m/>
    <n v="6"/>
    <n v="1"/>
    <m/>
    <n v="140"/>
    <n v="360"/>
    <n v="14"/>
    <n v="110"/>
    <n v="8"/>
    <m/>
    <n v="632"/>
    <n v="3"/>
    <n v="611"/>
    <n v="18"/>
    <s v="2015"/>
    <n v="25"/>
    <n v="7"/>
    <m/>
    <n v="28"/>
    <m/>
    <n v="4"/>
  </r>
  <r>
    <n v="106141338"/>
    <s v="141338"/>
    <x v="45"/>
    <x v="12"/>
    <x v="2"/>
    <s v="General Acute Care Hospital"/>
    <s v="501 EAST LOCUST STREET"/>
    <s v="LONE PINE"/>
    <s v="93545"/>
    <s v="Beds 1-49"/>
    <m/>
    <n v="8"/>
    <x v="13"/>
    <x v="3"/>
    <s v="Alabama Hills/Cartago/Darwin/Keeler/Lone Pine/Lone Pine Paiute Shoshone Tribe/Olancha/Pearsonville"/>
    <s v="Frontier"/>
    <x v="1"/>
    <x v="0"/>
    <x v="1"/>
    <n v="578"/>
    <n v="640"/>
    <m/>
    <n v="108"/>
    <n v="109"/>
    <n v="182"/>
    <n v="160"/>
    <n v="129"/>
    <n v="175"/>
    <n v="152"/>
    <n v="91"/>
    <n v="91"/>
    <n v="21"/>
    <m/>
    <n v="14"/>
    <n v="22"/>
    <n v="185"/>
    <n v="101"/>
    <n v="5"/>
    <m/>
    <n v="891"/>
    <n v="120"/>
    <n v="20"/>
    <n v="5"/>
    <m/>
    <m/>
    <m/>
    <m/>
    <n v="38"/>
    <n v="2"/>
    <n v="4"/>
    <n v="974"/>
    <n v="2"/>
    <m/>
    <n v="53"/>
    <m/>
    <n v="344"/>
    <n v="257"/>
    <n v="92"/>
    <n v="373"/>
    <n v="152"/>
    <m/>
    <n v="1218"/>
    <n v="30"/>
    <n v="1138"/>
    <n v="50"/>
    <m/>
    <n v="3"/>
    <m/>
    <m/>
    <n v="1"/>
    <m/>
    <m/>
    <m/>
    <n v="2"/>
    <m/>
    <m/>
    <m/>
    <m/>
    <m/>
    <m/>
    <m/>
    <m/>
    <m/>
    <m/>
    <n v="3"/>
    <m/>
    <n v="1"/>
    <m/>
    <m/>
    <m/>
    <m/>
    <m/>
    <m/>
    <n v="2"/>
    <m/>
    <m/>
    <m/>
    <m/>
    <m/>
    <m/>
    <m/>
    <m/>
    <n v="1"/>
    <m/>
    <m/>
    <n v="2"/>
    <m/>
    <n v="3"/>
    <m/>
    <n v="3"/>
    <m/>
    <s v="2015"/>
    <n v="37"/>
    <n v="2"/>
    <m/>
    <m/>
    <m/>
    <m/>
  </r>
  <r>
    <n v="106150706"/>
    <s v="150706"/>
    <x v="46"/>
    <x v="13"/>
    <x v="1"/>
    <s v="General Acute Care Hospital"/>
    <s v="1401 GARCES HIGHWAY"/>
    <s v="DELANO"/>
    <s v="93215"/>
    <s v="Beds 150-199"/>
    <m/>
    <n v="21"/>
    <x v="14"/>
    <x v="9"/>
    <s v="Delano/McFarland"/>
    <s v="Urban"/>
    <x v="0"/>
    <x v="0"/>
    <x v="0"/>
    <n v="16384"/>
    <n v="13176"/>
    <n v="1"/>
    <n v="6833"/>
    <n v="4706"/>
    <n v="4720"/>
    <n v="3665"/>
    <n v="2672"/>
    <n v="2352"/>
    <n v="1480"/>
    <n v="900"/>
    <n v="604"/>
    <n v="1629"/>
    <m/>
    <n v="1151"/>
    <n v="440"/>
    <n v="25362"/>
    <n v="13"/>
    <n v="991"/>
    <n v="31"/>
    <n v="1573"/>
    <n v="414"/>
    <m/>
    <n v="44"/>
    <m/>
    <m/>
    <m/>
    <m/>
    <m/>
    <n v="2"/>
    <n v="394"/>
    <n v="28612"/>
    <n v="91"/>
    <m/>
    <m/>
    <m/>
    <n v="19953"/>
    <n v="2392"/>
    <n v="524"/>
    <n v="3928"/>
    <n v="2764"/>
    <m/>
    <n v="29561"/>
    <n v="101"/>
    <n v="19066"/>
    <n v="10394"/>
    <n v="781"/>
    <n v="739"/>
    <m/>
    <n v="39"/>
    <n v="112"/>
    <n v="125"/>
    <n v="189"/>
    <n v="231"/>
    <n v="233"/>
    <n v="239"/>
    <n v="244"/>
    <n v="57"/>
    <n v="51"/>
    <m/>
    <n v="157"/>
    <n v="31"/>
    <n v="1098"/>
    <n v="46"/>
    <n v="2"/>
    <n v="184"/>
    <n v="2"/>
    <n v="38"/>
    <n v="77"/>
    <n v="45"/>
    <n v="15"/>
    <m/>
    <m/>
    <n v="4"/>
    <n v="1218"/>
    <n v="87"/>
    <n v="6"/>
    <m/>
    <m/>
    <n v="29"/>
    <m/>
    <m/>
    <n v="766"/>
    <n v="586"/>
    <n v="8"/>
    <n v="119"/>
    <n v="41"/>
    <m/>
    <n v="1520"/>
    <n v="13"/>
    <n v="941"/>
    <n v="566"/>
    <s v="2015"/>
    <n v="156"/>
    <n v="10"/>
    <m/>
    <n v="4"/>
    <m/>
    <n v="1"/>
  </r>
  <r>
    <n v="106150722"/>
    <s v="150722"/>
    <x v="47"/>
    <x v="13"/>
    <x v="1"/>
    <s v="General Acute Care Hospital"/>
    <s v="420 34TH STREET"/>
    <s v="BAKERSFIELD"/>
    <s v="93301"/>
    <s v="Beds 300-499"/>
    <m/>
    <n v="23"/>
    <x v="15"/>
    <x v="11"/>
    <s v="Bakersfield Northeast/Oildale"/>
    <s v="Urban"/>
    <x v="0"/>
    <x v="0"/>
    <x v="0"/>
    <n v="37083"/>
    <n v="25685"/>
    <m/>
    <n v="13804"/>
    <n v="7952"/>
    <n v="11929"/>
    <n v="7644"/>
    <n v="5578"/>
    <n v="5546"/>
    <n v="3275"/>
    <n v="1793"/>
    <n v="1463"/>
    <n v="3784"/>
    <m/>
    <n v="785"/>
    <n v="5975"/>
    <n v="35835"/>
    <n v="82"/>
    <n v="2318"/>
    <n v="283"/>
    <n v="17490"/>
    <n v="289"/>
    <n v="363"/>
    <n v="60"/>
    <n v="1"/>
    <n v="9"/>
    <n v="29"/>
    <m/>
    <m/>
    <n v="55"/>
    <n v="6"/>
    <n v="61723"/>
    <n v="27"/>
    <n v="206"/>
    <m/>
    <m/>
    <n v="45502"/>
    <n v="7764"/>
    <n v="566"/>
    <n v="6517"/>
    <n v="2419"/>
    <m/>
    <n v="62768"/>
    <n v="94"/>
    <n v="53388"/>
    <n v="9286"/>
    <n v="5818"/>
    <n v="3674"/>
    <m/>
    <n v="516"/>
    <n v="1636"/>
    <n v="977"/>
    <n v="758"/>
    <n v="1313"/>
    <n v="1482"/>
    <n v="1056"/>
    <n v="1074"/>
    <n v="316"/>
    <n v="364"/>
    <m/>
    <n v="186"/>
    <n v="727"/>
    <n v="4071"/>
    <n v="58"/>
    <m/>
    <n v="4410"/>
    <n v="40"/>
    <n v="129"/>
    <n v="217"/>
    <n v="278"/>
    <n v="540"/>
    <n v="288"/>
    <m/>
    <n v="17"/>
    <n v="6998"/>
    <n v="765"/>
    <n v="15"/>
    <n v="208"/>
    <n v="4"/>
    <n v="33"/>
    <m/>
    <m/>
    <n v="4394"/>
    <n v="3365"/>
    <n v="189"/>
    <n v="1544"/>
    <m/>
    <m/>
    <n v="9492"/>
    <n v="52"/>
    <n v="8318"/>
    <n v="1122"/>
    <s v="2015"/>
    <n v="426"/>
    <n v="36"/>
    <m/>
    <m/>
    <m/>
    <m/>
  </r>
  <r>
    <n v="106150736"/>
    <s v="150736"/>
    <x v="48"/>
    <x v="13"/>
    <x v="0"/>
    <s v="General Acute Care Hospital"/>
    <s v="1700 MOUNT VERNON AVENUE"/>
    <s v="BAKERSFIELD"/>
    <s v="93306"/>
    <s v="Beds 200-299"/>
    <s v="Level II"/>
    <n v="21"/>
    <x v="14"/>
    <x v="9"/>
    <s v="Bakersfield East/Lakeview/La Loma"/>
    <s v="Urban"/>
    <x v="0"/>
    <x v="1"/>
    <x v="0"/>
    <n v="19507"/>
    <n v="21199"/>
    <m/>
    <n v="4354"/>
    <n v="4384"/>
    <n v="9083"/>
    <n v="7309"/>
    <n v="5696"/>
    <n v="5346"/>
    <n v="2261"/>
    <n v="575"/>
    <n v="233"/>
    <n v="1465"/>
    <m/>
    <n v="261"/>
    <n v="4329"/>
    <n v="24011"/>
    <n v="42"/>
    <n v="405"/>
    <n v="59"/>
    <n v="11599"/>
    <m/>
    <n v="3065"/>
    <n v="85"/>
    <m/>
    <m/>
    <m/>
    <m/>
    <n v="1465"/>
    <n v="32"/>
    <m/>
    <n v="35385"/>
    <n v="1"/>
    <m/>
    <m/>
    <n v="672"/>
    <n v="30035"/>
    <n v="2105"/>
    <n v="323"/>
    <n v="4267"/>
    <n v="3903"/>
    <n v="73"/>
    <n v="40706"/>
    <n v="205"/>
    <n v="31967"/>
    <n v="8534"/>
    <n v="1859"/>
    <n v="2671"/>
    <m/>
    <n v="215"/>
    <n v="744"/>
    <n v="685"/>
    <n v="715"/>
    <n v="983"/>
    <n v="584"/>
    <n v="194"/>
    <n v="115"/>
    <n v="150"/>
    <n v="145"/>
    <m/>
    <n v="35"/>
    <n v="355"/>
    <n v="2366"/>
    <n v="43"/>
    <n v="5"/>
    <n v="1725"/>
    <n v="1"/>
    <n v="66"/>
    <n v="225"/>
    <n v="119"/>
    <n v="23"/>
    <n v="125"/>
    <m/>
    <n v="2"/>
    <n v="3483"/>
    <n v="150"/>
    <n v="199"/>
    <n v="20"/>
    <n v="57"/>
    <n v="8"/>
    <m/>
    <n v="53"/>
    <n v="3070"/>
    <n v="649"/>
    <n v="325"/>
    <n v="346"/>
    <n v="137"/>
    <n v="3"/>
    <n v="4530"/>
    <n v="30"/>
    <n v="3529"/>
    <n v="971"/>
    <s v="2015"/>
    <n v="222"/>
    <n v="32"/>
    <n v="1"/>
    <m/>
    <m/>
    <m/>
  </r>
  <r>
    <n v="106150737"/>
    <s v="150737"/>
    <x v="49"/>
    <x v="13"/>
    <x v="2"/>
    <s v="General Acute Care Hospital"/>
    <s v="6412 LAUREL AVENUE"/>
    <s v="LAKE ISABELLA"/>
    <s v="93240"/>
    <s v="Beds 100-149"/>
    <m/>
    <n v="23"/>
    <x v="13"/>
    <x v="11"/>
    <s v="Alta Sierra/Bodfish/Glennville/Kernville/Lake Isabella/Weldon/Wofford Heights"/>
    <s v="Frontier"/>
    <x v="1"/>
    <x v="0"/>
    <x v="1"/>
    <n v="3553"/>
    <n v="3209"/>
    <m/>
    <n v="482"/>
    <n v="555"/>
    <n v="789"/>
    <n v="622"/>
    <n v="698"/>
    <n v="1210"/>
    <n v="934"/>
    <n v="688"/>
    <n v="690"/>
    <n v="94"/>
    <m/>
    <n v="16"/>
    <n v="43"/>
    <n v="445"/>
    <n v="60"/>
    <n v="140"/>
    <n v="121"/>
    <n v="5937"/>
    <n v="1149"/>
    <n v="328"/>
    <n v="29"/>
    <m/>
    <n v="1"/>
    <m/>
    <m/>
    <n v="2"/>
    <m/>
    <m/>
    <n v="5222"/>
    <n v="12"/>
    <m/>
    <n v="19"/>
    <m/>
    <n v="378"/>
    <n v="1383"/>
    <n v="72"/>
    <n v="4441"/>
    <n v="488"/>
    <m/>
    <n v="6762"/>
    <n v="13"/>
    <n v="6703"/>
    <n v="46"/>
    <n v="319"/>
    <n v="268"/>
    <m/>
    <n v="2"/>
    <n v="21"/>
    <n v="24"/>
    <n v="43"/>
    <n v="124"/>
    <n v="134"/>
    <n v="104"/>
    <n v="135"/>
    <m/>
    <m/>
    <m/>
    <n v="1"/>
    <n v="1"/>
    <n v="22"/>
    <n v="8"/>
    <n v="8"/>
    <n v="545"/>
    <n v="2"/>
    <n v="36"/>
    <n v="58"/>
    <n v="7"/>
    <m/>
    <n v="1"/>
    <m/>
    <m/>
    <n v="383"/>
    <n v="92"/>
    <m/>
    <n v="9"/>
    <m/>
    <m/>
    <m/>
    <m/>
    <n v="171"/>
    <n v="338"/>
    <n v="4"/>
    <n v="35"/>
    <n v="39"/>
    <m/>
    <n v="587"/>
    <m/>
    <n v="586"/>
    <n v="1"/>
    <s v="2015"/>
    <n v="101"/>
    <n v="8"/>
    <m/>
    <m/>
    <n v="1"/>
    <m/>
  </r>
  <r>
    <n v="106150761"/>
    <s v="150761"/>
    <x v="50"/>
    <x v="13"/>
    <x v="1"/>
    <s v="General Acute Care Hospital"/>
    <s v="2215 TRUXTUN AVENUE"/>
    <s v="BAKERSFIELD"/>
    <s v="93301"/>
    <s v="Beds 100-149"/>
    <m/>
    <n v="23"/>
    <x v="15"/>
    <x v="11"/>
    <s v="Bakersfield Northwest/Rosedale"/>
    <s v="Urban"/>
    <x v="0"/>
    <x v="0"/>
    <x v="0"/>
    <n v="41089"/>
    <n v="30625"/>
    <m/>
    <n v="11414"/>
    <n v="9197"/>
    <n v="14520"/>
    <n v="10608"/>
    <n v="7831"/>
    <n v="7005"/>
    <n v="4240"/>
    <n v="2226"/>
    <n v="1897"/>
    <n v="2776"/>
    <m/>
    <n v="1781"/>
    <n v="8664"/>
    <n v="33358"/>
    <n v="149"/>
    <n v="1156"/>
    <n v="273"/>
    <n v="26333"/>
    <n v="920"/>
    <n v="560"/>
    <n v="158"/>
    <n v="6"/>
    <n v="21"/>
    <n v="19"/>
    <m/>
    <m/>
    <n v="132"/>
    <n v="34"/>
    <n v="69544"/>
    <n v="198"/>
    <n v="122"/>
    <m/>
    <m/>
    <n v="42977"/>
    <n v="10235"/>
    <n v="912"/>
    <n v="13732"/>
    <n v="3858"/>
    <m/>
    <n v="71714"/>
    <n v="445"/>
    <n v="64623"/>
    <n v="6646"/>
    <n v="3129"/>
    <n v="3538"/>
    <m/>
    <n v="171"/>
    <n v="663"/>
    <n v="829"/>
    <n v="1012"/>
    <n v="1314"/>
    <n v="1157"/>
    <n v="790"/>
    <n v="716"/>
    <m/>
    <n v="15"/>
    <m/>
    <n v="210"/>
    <n v="647"/>
    <n v="2237"/>
    <n v="92"/>
    <m/>
    <n v="3421"/>
    <n v="60"/>
    <n v="134"/>
    <n v="152"/>
    <n v="144"/>
    <n v="513"/>
    <n v="267"/>
    <m/>
    <n v="69"/>
    <n v="3927"/>
    <n v="528"/>
    <n v="793"/>
    <n v="134"/>
    <n v="6"/>
    <m/>
    <m/>
    <m/>
    <n v="2140"/>
    <n v="2334"/>
    <n v="82"/>
    <n v="2111"/>
    <m/>
    <m/>
    <n v="6667"/>
    <n v="99"/>
    <n v="5893"/>
    <n v="675"/>
    <s v="2015"/>
    <n v="144"/>
    <n v="16"/>
    <m/>
    <m/>
    <m/>
    <m/>
  </r>
  <r>
    <n v="106150782"/>
    <s v="150782"/>
    <x v="51"/>
    <x v="13"/>
    <x v="1"/>
    <s v="General Acute Care Hospital"/>
    <s v="1081 NORTH CHINA LAKE BLVD."/>
    <s v="RIDGECREST"/>
    <s v="93555"/>
    <s v="Beds 50-99"/>
    <m/>
    <n v="23"/>
    <x v="15"/>
    <x v="11"/>
    <s v="Inyokern/Ridgecrest"/>
    <s v="Rural"/>
    <x v="1"/>
    <x v="0"/>
    <x v="0"/>
    <n v="9987"/>
    <n v="8441"/>
    <m/>
    <n v="1982"/>
    <n v="1758"/>
    <n v="2857"/>
    <n v="2553"/>
    <n v="2193"/>
    <n v="2433"/>
    <n v="1621"/>
    <n v="1374"/>
    <n v="1190"/>
    <n v="467"/>
    <m/>
    <n v="323"/>
    <n v="1184"/>
    <n v="2538"/>
    <n v="24"/>
    <n v="428"/>
    <n v="227"/>
    <n v="13704"/>
    <n v="630"/>
    <n v="107"/>
    <n v="46"/>
    <n v="5"/>
    <m/>
    <n v="13"/>
    <m/>
    <n v="102"/>
    <n v="23"/>
    <n v="1"/>
    <n v="17417"/>
    <n v="55"/>
    <m/>
    <n v="29"/>
    <m/>
    <n v="8055"/>
    <n v="4013"/>
    <n v="1574"/>
    <n v="4192"/>
    <n v="594"/>
    <m/>
    <n v="18428"/>
    <n v="67"/>
    <n v="17893"/>
    <n v="468"/>
    <n v="659"/>
    <n v="546"/>
    <m/>
    <n v="27"/>
    <n v="70"/>
    <n v="77"/>
    <n v="92"/>
    <n v="176"/>
    <n v="189"/>
    <n v="202"/>
    <n v="308"/>
    <n v="25"/>
    <n v="39"/>
    <m/>
    <n v="19"/>
    <n v="38"/>
    <n v="118"/>
    <n v="12"/>
    <n v="4"/>
    <n v="1002"/>
    <n v="12"/>
    <n v="85"/>
    <n v="18"/>
    <n v="44"/>
    <n v="80"/>
    <n v="4"/>
    <m/>
    <n v="1"/>
    <n v="789"/>
    <n v="163"/>
    <n v="1"/>
    <n v="16"/>
    <n v="2"/>
    <m/>
    <n v="2"/>
    <m/>
    <n v="269"/>
    <n v="659"/>
    <n v="38"/>
    <n v="229"/>
    <n v="10"/>
    <m/>
    <n v="1205"/>
    <n v="4"/>
    <n v="1181"/>
    <n v="20"/>
    <s v="2015"/>
    <n v="98"/>
    <n v="8"/>
    <m/>
    <m/>
    <m/>
    <m/>
  </r>
  <r>
    <n v="106150788"/>
    <s v="150788"/>
    <x v="52"/>
    <x v="13"/>
    <x v="1"/>
    <s v="General Acute Care Hospital"/>
    <s v="2615 CHESTER AVENUE"/>
    <s v="BAKERSFIELD"/>
    <s v="93301"/>
    <s v="Beds 200-299"/>
    <m/>
    <n v="23"/>
    <x v="15"/>
    <x v="11"/>
    <s v="Bakersfield Northeast/Oildale"/>
    <s v="Urban"/>
    <x v="0"/>
    <x v="0"/>
    <x v="0"/>
    <n v="36799"/>
    <n v="28400"/>
    <n v="3"/>
    <n v="9169"/>
    <n v="6737"/>
    <n v="11658"/>
    <n v="8896"/>
    <n v="7676"/>
    <n v="7660"/>
    <n v="5124"/>
    <n v="3226"/>
    <n v="2478"/>
    <n v="2572"/>
    <n v="6"/>
    <n v="540"/>
    <n v="6966"/>
    <n v="32034"/>
    <n v="82"/>
    <n v="695"/>
    <n v="413"/>
    <n v="24472"/>
    <n v="474"/>
    <n v="4278"/>
    <n v="71"/>
    <n v="39"/>
    <n v="41"/>
    <n v="26"/>
    <m/>
    <n v="484"/>
    <n v="82"/>
    <n v="42"/>
    <n v="59343"/>
    <n v="252"/>
    <n v="2"/>
    <m/>
    <n v="39"/>
    <n v="36426"/>
    <n v="10665"/>
    <n v="1541"/>
    <n v="11935"/>
    <n v="4635"/>
    <m/>
    <n v="65202"/>
    <n v="172"/>
    <n v="55077"/>
    <n v="9953"/>
    <n v="5439"/>
    <n v="5498"/>
    <m/>
    <n v="227"/>
    <n v="739"/>
    <n v="811"/>
    <n v="1201"/>
    <n v="2043"/>
    <n v="2131"/>
    <n v="1910"/>
    <n v="1605"/>
    <n v="118"/>
    <n v="151"/>
    <n v="1"/>
    <n v="162"/>
    <n v="961"/>
    <n v="3747"/>
    <n v="182"/>
    <n v="28"/>
    <n v="5835"/>
    <n v="22"/>
    <n v="165"/>
    <n v="252"/>
    <n v="407"/>
    <n v="902"/>
    <n v="317"/>
    <m/>
    <n v="10"/>
    <n v="7008"/>
    <n v="1162"/>
    <n v="366"/>
    <n v="311"/>
    <n v="18"/>
    <m/>
    <m/>
    <n v="1"/>
    <n v="3095"/>
    <n v="5352"/>
    <n v="504"/>
    <n v="1889"/>
    <n v="93"/>
    <n v="4"/>
    <n v="10937"/>
    <n v="61"/>
    <n v="9472"/>
    <n v="1404"/>
    <s v="2015"/>
    <n v="254"/>
    <n v="22"/>
    <n v="8"/>
    <n v="21"/>
    <m/>
    <n v="18"/>
  </r>
  <r>
    <n v="106150808"/>
    <s v="150808"/>
    <x v="53"/>
    <x v="13"/>
    <x v="2"/>
    <s v="General Acute Care Hospital"/>
    <s v="115 WEST E STREET"/>
    <s v="TEHACHAPI"/>
    <s v="93561"/>
    <s v="Beds 1-49"/>
    <m/>
    <n v="23"/>
    <x v="15"/>
    <x v="11"/>
    <s v="Bear Valley Springs/Keene/Stallion Springs/Tehachapi"/>
    <s v="Rural"/>
    <x v="1"/>
    <x v="0"/>
    <x v="1"/>
    <n v="7654"/>
    <n v="6025"/>
    <n v="1"/>
    <n v="2116"/>
    <n v="1811"/>
    <n v="1988"/>
    <n v="1728"/>
    <n v="1417"/>
    <n v="1730"/>
    <n v="1109"/>
    <n v="778"/>
    <n v="606"/>
    <n v="397"/>
    <m/>
    <n v="58"/>
    <n v="908"/>
    <n v="2612"/>
    <m/>
    <n v="58"/>
    <n v="57"/>
    <n v="9987"/>
    <n v="1063"/>
    <n v="886"/>
    <n v="31"/>
    <m/>
    <m/>
    <m/>
    <m/>
    <n v="101"/>
    <n v="16"/>
    <n v="1"/>
    <n v="11564"/>
    <n v="8"/>
    <m/>
    <n v="9"/>
    <m/>
    <n v="6942"/>
    <n v="2244"/>
    <n v="538"/>
    <n v="2763"/>
    <n v="1193"/>
    <m/>
    <n v="13680"/>
    <n v="13"/>
    <n v="13229"/>
    <n v="438"/>
    <n v="70"/>
    <n v="39"/>
    <m/>
    <n v="2"/>
    <n v="4"/>
    <n v="9"/>
    <n v="4"/>
    <n v="13"/>
    <n v="21"/>
    <n v="25"/>
    <n v="29"/>
    <n v="2"/>
    <m/>
    <m/>
    <n v="1"/>
    <n v="2"/>
    <n v="17"/>
    <m/>
    <m/>
    <n v="89"/>
    <m/>
    <n v="12"/>
    <n v="2"/>
    <n v="1"/>
    <m/>
    <m/>
    <m/>
    <m/>
    <n v="82"/>
    <n v="1"/>
    <m/>
    <m/>
    <m/>
    <n v="11"/>
    <m/>
    <m/>
    <n v="26"/>
    <n v="69"/>
    <n v="2"/>
    <n v="11"/>
    <n v="1"/>
    <m/>
    <n v="109"/>
    <m/>
    <n v="102"/>
    <n v="7"/>
    <s v="2015"/>
    <n v="28"/>
    <n v="7"/>
    <n v="1"/>
    <m/>
    <m/>
    <m/>
  </r>
  <r>
    <n v="106154101"/>
    <s v="154101"/>
    <x v="54"/>
    <x v="13"/>
    <x v="3"/>
    <s v="General Acute Care Hospital"/>
    <s v="3001 SILLECT AVENUE"/>
    <s v="BAKERSFIELD"/>
    <s v="93308"/>
    <s v="Beds 1-49"/>
    <m/>
    <n v="23"/>
    <x v="15"/>
    <x v="11"/>
    <s v="Bakersfield Northwest/Rosedale"/>
    <s v="Urban"/>
    <x v="0"/>
    <x v="0"/>
    <x v="0"/>
    <n v="5633"/>
    <n v="4176"/>
    <m/>
    <n v="372"/>
    <n v="642"/>
    <n v="1328"/>
    <n v="1508"/>
    <n v="1465"/>
    <n v="1623"/>
    <n v="1181"/>
    <n v="979"/>
    <n v="656"/>
    <n v="55"/>
    <m/>
    <n v="174"/>
    <n v="510"/>
    <n v="2417"/>
    <n v="25"/>
    <n v="137"/>
    <n v="5"/>
    <n v="6541"/>
    <n v="181"/>
    <n v="1120"/>
    <n v="30"/>
    <n v="11"/>
    <n v="4"/>
    <m/>
    <m/>
    <n v="2"/>
    <m/>
    <n v="21"/>
    <n v="8366"/>
    <n v="13"/>
    <m/>
    <m/>
    <m/>
    <n v="4142"/>
    <n v="3034"/>
    <n v="220"/>
    <n v="1890"/>
    <n v="523"/>
    <m/>
    <n v="9809"/>
    <n v="39"/>
    <n v="9512"/>
    <n v="258"/>
    <n v="1498"/>
    <n v="1406"/>
    <m/>
    <n v="7"/>
    <n v="61"/>
    <n v="125"/>
    <n v="221"/>
    <n v="436"/>
    <n v="712"/>
    <n v="728"/>
    <n v="614"/>
    <m/>
    <m/>
    <m/>
    <n v="74"/>
    <n v="139"/>
    <n v="622"/>
    <n v="51"/>
    <n v="2"/>
    <n v="2011"/>
    <n v="5"/>
    <n v="45"/>
    <n v="65"/>
    <n v="90"/>
    <n v="71"/>
    <n v="124"/>
    <m/>
    <n v="11"/>
    <n v="2192"/>
    <n v="236"/>
    <m/>
    <n v="43"/>
    <m/>
    <m/>
    <m/>
    <n v="16"/>
    <n v="448"/>
    <n v="1982"/>
    <n v="54"/>
    <n v="399"/>
    <n v="21"/>
    <m/>
    <n v="2904"/>
    <n v="20"/>
    <n v="2688"/>
    <n v="196"/>
    <s v="2015"/>
    <n v="47"/>
    <n v="9"/>
    <m/>
    <n v="61"/>
    <m/>
    <n v="11"/>
  </r>
  <r>
    <n v="106160787"/>
    <s v="160787"/>
    <x v="55"/>
    <x v="14"/>
    <x v="1"/>
    <s v="General Acute Care Hospital"/>
    <s v="1025 NORTH DOUTY STREET"/>
    <s v="HANFORD"/>
    <s v="93230"/>
    <s v="Beds 1-49"/>
    <m/>
    <n v="21"/>
    <x v="14"/>
    <x v="9"/>
    <s v="Armona/Hanford/Lemoore"/>
    <s v="Urban"/>
    <x v="0"/>
    <x v="0"/>
    <x v="3"/>
    <m/>
    <m/>
    <m/>
    <m/>
    <m/>
    <m/>
    <m/>
    <m/>
    <m/>
    <m/>
    <m/>
    <m/>
    <m/>
    <m/>
    <m/>
    <m/>
    <m/>
    <m/>
    <m/>
    <m/>
    <m/>
    <m/>
    <m/>
    <m/>
    <m/>
    <m/>
    <m/>
    <m/>
    <m/>
    <m/>
    <m/>
    <m/>
    <m/>
    <m/>
    <m/>
    <m/>
    <m/>
    <m/>
    <m/>
    <m/>
    <m/>
    <m/>
    <m/>
    <m/>
    <m/>
    <m/>
    <n v="1"/>
    <m/>
    <m/>
    <m/>
    <m/>
    <m/>
    <m/>
    <m/>
    <m/>
    <m/>
    <m/>
    <n v="1"/>
    <m/>
    <m/>
    <m/>
    <m/>
    <n v="1"/>
    <m/>
    <m/>
    <m/>
    <m/>
    <m/>
    <m/>
    <m/>
    <m/>
    <m/>
    <m/>
    <m/>
    <n v="1"/>
    <m/>
    <m/>
    <m/>
    <m/>
    <m/>
    <m/>
    <m/>
    <m/>
    <m/>
    <m/>
    <n v="1"/>
    <m/>
    <m/>
    <n v="1"/>
    <m/>
    <n v="1"/>
    <m/>
    <s v="2015"/>
    <n v="49"/>
    <n v="0"/>
    <m/>
    <m/>
    <m/>
    <m/>
  </r>
  <r>
    <n v="106164029"/>
    <s v="164029"/>
    <x v="56"/>
    <x v="14"/>
    <x v="1"/>
    <s v="General Acute Care Hospital"/>
    <s v="115 MALL DRIVE"/>
    <s v="HANFORD"/>
    <s v="93230"/>
    <s v="Beds 100-149"/>
    <m/>
    <n v="21"/>
    <x v="14"/>
    <x v="9"/>
    <s v="Armona/Hanford/Lemoore"/>
    <s v="Urban"/>
    <x v="1"/>
    <x v="0"/>
    <x v="0"/>
    <n v="65675"/>
    <n v="48923"/>
    <n v="3"/>
    <n v="22512"/>
    <n v="15567"/>
    <n v="20357"/>
    <n v="16633"/>
    <n v="12226"/>
    <n v="10147"/>
    <n v="6377"/>
    <n v="4078"/>
    <n v="2928"/>
    <n v="3774"/>
    <n v="2"/>
    <n v="584"/>
    <n v="4809"/>
    <n v="75789"/>
    <n v="248"/>
    <n v="1941"/>
    <n v="285"/>
    <n v="30945"/>
    <n v="1753"/>
    <n v="2069"/>
    <n v="86"/>
    <n v="51"/>
    <n v="8"/>
    <n v="3"/>
    <m/>
    <n v="265"/>
    <n v="179"/>
    <n v="2"/>
    <n v="109842"/>
    <n v="172"/>
    <n v="48"/>
    <m/>
    <n v="78"/>
    <n v="72437"/>
    <n v="12470"/>
    <n v="6107"/>
    <n v="15233"/>
    <n v="8354"/>
    <m/>
    <n v="114601"/>
    <n v="214"/>
    <n v="88411"/>
    <n v="25976"/>
    <n v="3757"/>
    <n v="3593"/>
    <m/>
    <n v="115"/>
    <n v="454"/>
    <n v="654"/>
    <n v="864"/>
    <n v="1280"/>
    <n v="1288"/>
    <n v="1282"/>
    <n v="1398"/>
    <n v="4"/>
    <n v="11"/>
    <m/>
    <n v="79"/>
    <n v="309"/>
    <n v="3777"/>
    <n v="94"/>
    <n v="7"/>
    <n v="3072"/>
    <n v="12"/>
    <n v="220"/>
    <n v="167"/>
    <n v="248"/>
    <n v="737"/>
    <n v="22"/>
    <m/>
    <n v="6"/>
    <n v="5080"/>
    <n v="741"/>
    <n v="16"/>
    <n v="94"/>
    <n v="4"/>
    <n v="2"/>
    <m/>
    <m/>
    <n v="2118"/>
    <n v="3867"/>
    <n v="154"/>
    <n v="947"/>
    <n v="262"/>
    <n v="2"/>
    <n v="7350"/>
    <n v="57"/>
    <n v="5650"/>
    <n v="1643"/>
    <s v="2015"/>
    <n v="142"/>
    <n v="26"/>
    <n v="27"/>
    <n v="18"/>
    <n v="1"/>
    <n v="12"/>
  </r>
  <r>
    <n v="106171049"/>
    <s v="171049"/>
    <x v="57"/>
    <x v="15"/>
    <x v="1"/>
    <s v="General Acute Care Hospital"/>
    <s v="15630 18TH AVE - HWY 53"/>
    <s v="CLEARLAKE"/>
    <s v="95422"/>
    <s v="Beds 1-49"/>
    <m/>
    <n v="3"/>
    <x v="16"/>
    <x v="6"/>
    <s v="Clearlake/Clearlake Oaks"/>
    <s v="Rural"/>
    <x v="1"/>
    <x v="0"/>
    <x v="1"/>
    <n v="10851"/>
    <n v="9400"/>
    <n v="1"/>
    <n v="2018"/>
    <n v="1829"/>
    <n v="3159"/>
    <n v="2539"/>
    <n v="2287"/>
    <n v="3172"/>
    <n v="2483"/>
    <n v="1378"/>
    <n v="1027"/>
    <n v="360"/>
    <m/>
    <n v="81"/>
    <n v="715"/>
    <n v="2237"/>
    <n v="209"/>
    <n v="407"/>
    <n v="231"/>
    <n v="16372"/>
    <n v="1728"/>
    <n v="475"/>
    <n v="37"/>
    <n v="15"/>
    <n v="13"/>
    <n v="4"/>
    <m/>
    <n v="72"/>
    <n v="95"/>
    <m/>
    <n v="17694"/>
    <n v="82"/>
    <n v="22"/>
    <m/>
    <n v="11"/>
    <n v="11215"/>
    <n v="5114"/>
    <n v="700"/>
    <n v="1954"/>
    <n v="1269"/>
    <m/>
    <n v="20252"/>
    <n v="23"/>
    <n v="19449"/>
    <n v="780"/>
    <n v="604"/>
    <n v="519"/>
    <m/>
    <n v="13"/>
    <n v="65"/>
    <n v="66"/>
    <n v="102"/>
    <n v="219"/>
    <n v="240"/>
    <n v="206"/>
    <n v="206"/>
    <m/>
    <n v="6"/>
    <m/>
    <n v="3"/>
    <n v="43"/>
    <n v="60"/>
    <n v="13"/>
    <n v="8"/>
    <n v="992"/>
    <n v="4"/>
    <n v="89"/>
    <n v="23"/>
    <n v="28"/>
    <n v="42"/>
    <m/>
    <m/>
    <n v="1"/>
    <n v="800"/>
    <n v="114"/>
    <m/>
    <n v="11"/>
    <n v="5"/>
    <n v="1"/>
    <n v="1"/>
    <n v="1"/>
    <n v="365"/>
    <n v="652"/>
    <n v="19"/>
    <n v="70"/>
    <n v="17"/>
    <m/>
    <n v="1123"/>
    <m/>
    <n v="1094"/>
    <n v="29"/>
    <s v="2015"/>
    <n v="32"/>
    <n v="8"/>
    <m/>
    <n v="4"/>
    <m/>
    <n v="7"/>
  </r>
  <r>
    <n v="106171395"/>
    <s v="171395"/>
    <x v="58"/>
    <x v="15"/>
    <x v="1"/>
    <s v="General Acute Care Hospital"/>
    <s v="5176 HILL ROAD EAST"/>
    <s v="LAKEPORT"/>
    <s v="95453"/>
    <s v="Beds 1-49"/>
    <s v="Level IV"/>
    <n v="3"/>
    <x v="16"/>
    <x v="6"/>
    <s v="Kelseyville/Lakeport"/>
    <s v="Rural"/>
    <x v="1"/>
    <x v="0"/>
    <x v="0"/>
    <n v="10270"/>
    <n v="8347"/>
    <n v="1"/>
    <n v="1805"/>
    <n v="1804"/>
    <n v="2712"/>
    <n v="2535"/>
    <n v="1971"/>
    <n v="2678"/>
    <n v="2246"/>
    <n v="1472"/>
    <n v="1085"/>
    <n v="310"/>
    <m/>
    <n v="145"/>
    <n v="319"/>
    <n v="2866"/>
    <n v="904"/>
    <n v="129"/>
    <n v="150"/>
    <n v="14105"/>
    <n v="401"/>
    <n v="121"/>
    <n v="37"/>
    <n v="6"/>
    <n v="5"/>
    <n v="2"/>
    <m/>
    <n v="88"/>
    <n v="73"/>
    <n v="1"/>
    <n v="17488"/>
    <n v="62"/>
    <n v="6"/>
    <n v="28"/>
    <n v="227"/>
    <n v="9061"/>
    <n v="4912"/>
    <n v="812"/>
    <n v="2382"/>
    <n v="1380"/>
    <n v="71"/>
    <n v="18618"/>
    <n v="51"/>
    <n v="17676"/>
    <n v="891"/>
    <n v="642"/>
    <n v="507"/>
    <m/>
    <n v="12"/>
    <n v="36"/>
    <n v="68"/>
    <n v="64"/>
    <n v="215"/>
    <n v="257"/>
    <n v="229"/>
    <n v="264"/>
    <n v="1"/>
    <n v="3"/>
    <m/>
    <n v="4"/>
    <n v="11"/>
    <n v="92"/>
    <n v="9"/>
    <n v="8"/>
    <n v="980"/>
    <n v="45"/>
    <n v="75"/>
    <n v="17"/>
    <n v="31"/>
    <n v="150"/>
    <n v="2"/>
    <m/>
    <n v="1"/>
    <n v="611"/>
    <n v="235"/>
    <m/>
    <n v="22"/>
    <m/>
    <m/>
    <n v="1"/>
    <n v="4"/>
    <n v="266"/>
    <n v="747"/>
    <n v="18"/>
    <n v="108"/>
    <n v="10"/>
    <m/>
    <n v="1149"/>
    <n v="3"/>
    <n v="1116"/>
    <n v="30"/>
    <s v="2015"/>
    <n v="30"/>
    <n v="12"/>
    <n v="55"/>
    <n v="18"/>
    <m/>
    <m/>
  </r>
  <r>
    <n v="106184008"/>
    <s v="184008"/>
    <x v="59"/>
    <x v="16"/>
    <x v="1"/>
    <s v="General Acute Care Hospital"/>
    <s v="1800 SPRING RIDGE DRIVE"/>
    <s v="SUSANVILLE"/>
    <s v="96130"/>
    <s v="Beds 1-49"/>
    <m/>
    <n v="1"/>
    <x v="17"/>
    <x v="7"/>
    <s v="Susanville"/>
    <s v="Rural"/>
    <x v="1"/>
    <x v="0"/>
    <x v="0"/>
    <n v="5915"/>
    <n v="5002"/>
    <m/>
    <n v="1169"/>
    <n v="1028"/>
    <n v="2033"/>
    <n v="1426"/>
    <n v="1210"/>
    <n v="1463"/>
    <n v="1007"/>
    <n v="663"/>
    <n v="635"/>
    <n v="283"/>
    <m/>
    <n v="104"/>
    <n v="284"/>
    <n v="856"/>
    <n v="350"/>
    <n v="87"/>
    <n v="1"/>
    <n v="9235"/>
    <n v="645"/>
    <n v="9"/>
    <n v="7"/>
    <m/>
    <n v="1"/>
    <n v="4"/>
    <m/>
    <m/>
    <n v="53"/>
    <n v="5"/>
    <n v="10117"/>
    <n v="13"/>
    <m/>
    <m/>
    <m/>
    <n v="4674"/>
    <n v="2428"/>
    <n v="892"/>
    <n v="2469"/>
    <n v="454"/>
    <m/>
    <n v="10917"/>
    <n v="6"/>
    <n v="10861"/>
    <n v="50"/>
    <n v="413"/>
    <n v="377"/>
    <m/>
    <n v="15"/>
    <n v="49"/>
    <n v="72"/>
    <n v="80"/>
    <n v="125"/>
    <n v="142"/>
    <n v="115"/>
    <n v="151"/>
    <n v="13"/>
    <n v="28"/>
    <m/>
    <n v="4"/>
    <n v="11"/>
    <n v="51"/>
    <n v="5"/>
    <n v="1"/>
    <n v="694"/>
    <n v="24"/>
    <n v="1"/>
    <n v="70"/>
    <n v="14"/>
    <n v="42"/>
    <m/>
    <m/>
    <m/>
    <n v="529"/>
    <n v="8"/>
    <n v="28"/>
    <n v="1"/>
    <m/>
    <n v="96"/>
    <m/>
    <n v="1"/>
    <n v="207"/>
    <n v="398"/>
    <n v="55"/>
    <n v="119"/>
    <n v="11"/>
    <m/>
    <n v="790"/>
    <m/>
    <n v="789"/>
    <n v="1"/>
    <s v="2015"/>
    <n v="38"/>
    <n v="8"/>
    <m/>
    <n v="63"/>
    <m/>
    <m/>
  </r>
  <r>
    <n v="106190017"/>
    <s v="190017"/>
    <x v="60"/>
    <x v="17"/>
    <x v="4"/>
    <s v="General Acute Care Hospital"/>
    <s v="100 SOUTH RAYMOND AVENUE"/>
    <s v="ALHAMBRA"/>
    <s v="91801"/>
    <s v="Beds 100-149"/>
    <m/>
    <n v="27"/>
    <x v="18"/>
    <x v="12"/>
    <s v="Alhambra/El Sereno South/San Gabriel Central"/>
    <s v="Urban"/>
    <x v="0"/>
    <x v="0"/>
    <x v="0"/>
    <n v="7600"/>
    <n v="6039"/>
    <m/>
    <n v="1295"/>
    <n v="1326"/>
    <n v="2415"/>
    <n v="1912"/>
    <n v="1852"/>
    <n v="1994"/>
    <n v="1208"/>
    <n v="688"/>
    <n v="767"/>
    <n v="182"/>
    <m/>
    <n v="2144"/>
    <n v="687"/>
    <n v="8905"/>
    <n v="95"/>
    <n v="379"/>
    <n v="3"/>
    <n v="1426"/>
    <n v="319"/>
    <n v="408"/>
    <n v="12"/>
    <n v="65"/>
    <n v="1"/>
    <n v="1"/>
    <m/>
    <n v="23"/>
    <n v="129"/>
    <m/>
    <n v="12474"/>
    <n v="155"/>
    <n v="8"/>
    <m/>
    <n v="39"/>
    <n v="1858"/>
    <n v="2378"/>
    <n v="249"/>
    <n v="8385"/>
    <n v="769"/>
    <m/>
    <n v="13639"/>
    <n v="1297"/>
    <n v="10740"/>
    <n v="1602"/>
    <n v="1694"/>
    <n v="1549"/>
    <m/>
    <n v="41"/>
    <n v="110"/>
    <n v="143"/>
    <n v="284"/>
    <n v="464"/>
    <n v="538"/>
    <n v="542"/>
    <n v="1121"/>
    <m/>
    <m/>
    <m/>
    <n v="1522"/>
    <n v="142"/>
    <n v="1168"/>
    <n v="55"/>
    <n v="4"/>
    <n v="340"/>
    <n v="12"/>
    <n v="206"/>
    <n v="145"/>
    <n v="92"/>
    <n v="578"/>
    <n v="104"/>
    <m/>
    <n v="7"/>
    <n v="1317"/>
    <n v="735"/>
    <n v="1"/>
    <n v="35"/>
    <n v="21"/>
    <n v="1"/>
    <m/>
    <n v="1"/>
    <n v="1032"/>
    <n v="1855"/>
    <n v="12"/>
    <n v="314"/>
    <n v="30"/>
    <m/>
    <n v="3243"/>
    <n v="1259"/>
    <n v="1560"/>
    <n v="424"/>
    <s v="2015"/>
    <n v="144"/>
    <n v="8"/>
    <m/>
    <n v="5"/>
    <m/>
    <m/>
  </r>
  <r>
    <n v="106190034"/>
    <s v="190034"/>
    <x v="61"/>
    <x v="17"/>
    <x v="2"/>
    <s v="General Acute Care Hospital"/>
    <s v="1600 WEST AVENUE J"/>
    <s v="LANCASTER"/>
    <s v="93534"/>
    <s v="Beds 300-499"/>
    <s v="Level II"/>
    <n v="23"/>
    <x v="19"/>
    <x v="13"/>
    <s v="Lancaster Central/Palmdale North Central"/>
    <s v="Urban"/>
    <x v="0"/>
    <x v="0"/>
    <x v="0"/>
    <n v="63043"/>
    <n v="45642"/>
    <m/>
    <n v="16065"/>
    <n v="11972"/>
    <n v="20918"/>
    <n v="15779"/>
    <n v="12531"/>
    <n v="13287"/>
    <n v="7553"/>
    <n v="3844"/>
    <n v="2774"/>
    <n v="3962"/>
    <m/>
    <n v="1215"/>
    <n v="33656"/>
    <n v="38276"/>
    <n v="128"/>
    <n v="1055"/>
    <n v="810"/>
    <n v="33545"/>
    <n v="357"/>
    <n v="6070"/>
    <n v="151"/>
    <n v="44"/>
    <n v="23"/>
    <n v="1"/>
    <m/>
    <n v="1418"/>
    <n v="205"/>
    <n v="37"/>
    <n v="99746"/>
    <n v="419"/>
    <n v="212"/>
    <m/>
    <n v="1"/>
    <n v="67371"/>
    <n v="14194"/>
    <n v="2684"/>
    <n v="12713"/>
    <n v="11722"/>
    <n v="1"/>
    <n v="108685"/>
    <n v="331"/>
    <n v="99477"/>
    <n v="8877"/>
    <n v="5951"/>
    <n v="5785"/>
    <m/>
    <n v="390"/>
    <n v="1050"/>
    <n v="985"/>
    <n v="1186"/>
    <n v="2115"/>
    <n v="2057"/>
    <n v="1727"/>
    <n v="1525"/>
    <n v="295"/>
    <n v="406"/>
    <m/>
    <n v="244"/>
    <n v="2600"/>
    <n v="2882"/>
    <n v="158"/>
    <n v="15"/>
    <n v="5818"/>
    <n v="19"/>
    <n v="197"/>
    <n v="296"/>
    <n v="563"/>
    <n v="1185"/>
    <n v="74"/>
    <m/>
    <n v="84"/>
    <n v="7812"/>
    <n v="1225"/>
    <n v="44"/>
    <n v="220"/>
    <n v="8"/>
    <n v="20"/>
    <m/>
    <n v="8"/>
    <n v="4247"/>
    <n v="4971"/>
    <n v="310"/>
    <n v="2031"/>
    <n v="177"/>
    <m/>
    <n v="11736"/>
    <n v="72"/>
    <n v="10776"/>
    <n v="888"/>
    <s v="2015"/>
    <n v="420"/>
    <n v="28"/>
    <n v="1"/>
    <m/>
    <m/>
    <m/>
  </r>
  <r>
    <n v="106190045"/>
    <s v="190045"/>
    <x v="62"/>
    <x v="17"/>
    <x v="1"/>
    <s v="General Acute Care Hospital"/>
    <s v="100 FALLS CANYON ROAD"/>
    <s v="AVALON"/>
    <s v="90704"/>
    <s v="Beds 1-49"/>
    <m/>
    <n v="47"/>
    <x v="20"/>
    <x v="14"/>
    <s v="Avalon"/>
    <s v="Frontier"/>
    <x v="1"/>
    <x v="0"/>
    <x v="1"/>
    <n v="971"/>
    <n v="974"/>
    <m/>
    <n v="231"/>
    <n v="213"/>
    <n v="320"/>
    <n v="213"/>
    <n v="237"/>
    <n v="227"/>
    <n v="217"/>
    <n v="158"/>
    <n v="103"/>
    <n v="26"/>
    <m/>
    <n v="13"/>
    <n v="9"/>
    <n v="542"/>
    <m/>
    <n v="24"/>
    <m/>
    <n v="1357"/>
    <n v="129"/>
    <n v="11"/>
    <n v="2"/>
    <m/>
    <m/>
    <m/>
    <m/>
    <m/>
    <m/>
    <m/>
    <n v="1772"/>
    <n v="3"/>
    <m/>
    <m/>
    <n v="28"/>
    <n v="364"/>
    <n v="303"/>
    <n v="56"/>
    <n v="875"/>
    <n v="347"/>
    <m/>
    <n v="1945"/>
    <n v="2"/>
    <n v="1835"/>
    <n v="108"/>
    <n v="7"/>
    <n v="3"/>
    <m/>
    <m/>
    <m/>
    <m/>
    <m/>
    <n v="2"/>
    <n v="1"/>
    <n v="2"/>
    <n v="5"/>
    <m/>
    <m/>
    <m/>
    <m/>
    <m/>
    <n v="1"/>
    <m/>
    <m/>
    <n v="9"/>
    <m/>
    <n v="3"/>
    <n v="1"/>
    <n v="1"/>
    <m/>
    <m/>
    <m/>
    <m/>
    <n v="4"/>
    <n v="1"/>
    <m/>
    <m/>
    <m/>
    <m/>
    <m/>
    <m/>
    <m/>
    <n v="8"/>
    <m/>
    <n v="2"/>
    <m/>
    <m/>
    <n v="10"/>
    <m/>
    <n v="9"/>
    <n v="1"/>
    <s v="2015"/>
    <n v="12"/>
    <n v="2"/>
    <m/>
    <m/>
    <m/>
    <m/>
  </r>
  <r>
    <n v="106190053"/>
    <s v="190053"/>
    <x v="63"/>
    <x v="17"/>
    <x v="1"/>
    <s v="General Acute Care Hospital"/>
    <s v="1050 LINDEN AVENUE"/>
    <s v="LONG BEACH"/>
    <s v="90813"/>
    <s v="Beds 300-499"/>
    <s v="Level II"/>
    <n v="47"/>
    <x v="20"/>
    <x v="15"/>
    <s v="Belmont Shore/Long Beach East/Long Beach Shoreline/Los Altos/Naples"/>
    <s v="Urban"/>
    <x v="0"/>
    <x v="0"/>
    <x v="0"/>
    <n v="25435"/>
    <n v="22928"/>
    <m/>
    <n v="6065"/>
    <n v="4372"/>
    <n v="9396"/>
    <n v="7587"/>
    <n v="6926"/>
    <n v="6583"/>
    <n v="3616"/>
    <n v="1487"/>
    <n v="935"/>
    <n v="1396"/>
    <m/>
    <n v="1652"/>
    <n v="12467"/>
    <n v="21729"/>
    <n v="157"/>
    <n v="814"/>
    <n v="500"/>
    <n v="11044"/>
    <n v="527"/>
    <n v="1846"/>
    <n v="44"/>
    <m/>
    <n v="9"/>
    <m/>
    <m/>
    <n v="284"/>
    <m/>
    <n v="1"/>
    <n v="45557"/>
    <n v="54"/>
    <m/>
    <m/>
    <m/>
    <n v="32673"/>
    <n v="6202"/>
    <n v="583"/>
    <n v="3672"/>
    <n v="5233"/>
    <m/>
    <n v="48363"/>
    <n v="88"/>
    <n v="40733"/>
    <n v="7542"/>
    <n v="3234"/>
    <n v="3619"/>
    <n v="1"/>
    <n v="129"/>
    <n v="572"/>
    <n v="697"/>
    <n v="874"/>
    <n v="1443"/>
    <n v="1256"/>
    <n v="844"/>
    <n v="761"/>
    <n v="156"/>
    <n v="122"/>
    <m/>
    <n v="580"/>
    <n v="1562"/>
    <n v="2339"/>
    <n v="126"/>
    <n v="47"/>
    <n v="2181"/>
    <n v="19"/>
    <n v="209"/>
    <n v="381"/>
    <n v="193"/>
    <n v="397"/>
    <n v="232"/>
    <m/>
    <n v="14"/>
    <n v="4568"/>
    <n v="705"/>
    <n v="63"/>
    <n v="58"/>
    <n v="28"/>
    <m/>
    <m/>
    <n v="6"/>
    <n v="3382"/>
    <n v="2570"/>
    <n v="88"/>
    <n v="679"/>
    <n v="135"/>
    <m/>
    <n v="6854"/>
    <n v="39"/>
    <n v="5871"/>
    <n v="944"/>
    <s v="2015"/>
    <n v="389"/>
    <n v="26"/>
    <m/>
    <n v="41"/>
    <m/>
    <m/>
  </r>
  <r>
    <n v="106190066"/>
    <s v="190066"/>
    <x v="64"/>
    <x v="17"/>
    <x v="3"/>
    <m/>
    <s v="9542 ARTESIA BOULEVARD"/>
    <s v="BELLFLOWER"/>
    <s v="90706"/>
    <s v="Beds 100-149"/>
    <m/>
    <n v="38"/>
    <x v="21"/>
    <x v="16"/>
    <s v="Bellflower/Paramount South"/>
    <s v="Urban"/>
    <x v="0"/>
    <x v="0"/>
    <x v="0"/>
    <m/>
    <m/>
    <m/>
    <m/>
    <m/>
    <m/>
    <m/>
    <m/>
    <m/>
    <m/>
    <m/>
    <m/>
    <m/>
    <m/>
    <m/>
    <m/>
    <m/>
    <m/>
    <m/>
    <m/>
    <m/>
    <m/>
    <m/>
    <m/>
    <m/>
    <m/>
    <m/>
    <m/>
    <m/>
    <m/>
    <m/>
    <m/>
    <m/>
    <m/>
    <m/>
    <m/>
    <m/>
    <m/>
    <m/>
    <m/>
    <m/>
    <m/>
    <m/>
    <m/>
    <m/>
    <m/>
    <n v="2"/>
    <n v="9"/>
    <m/>
    <m/>
    <m/>
    <n v="2"/>
    <n v="3"/>
    <n v="3"/>
    <n v="2"/>
    <m/>
    <n v="1"/>
    <m/>
    <m/>
    <m/>
    <n v="2"/>
    <n v="5"/>
    <n v="1"/>
    <m/>
    <m/>
    <n v="3"/>
    <m/>
    <m/>
    <m/>
    <m/>
    <m/>
    <m/>
    <m/>
    <n v="3"/>
    <n v="5"/>
    <n v="2"/>
    <m/>
    <m/>
    <n v="1"/>
    <m/>
    <m/>
    <m/>
    <n v="4"/>
    <n v="7"/>
    <m/>
    <m/>
    <m/>
    <m/>
    <n v="11"/>
    <m/>
    <n v="11"/>
    <m/>
    <s v="2015"/>
    <n v="144"/>
    <n v="0"/>
    <m/>
    <m/>
    <m/>
    <m/>
  </r>
  <r>
    <n v="106190081"/>
    <s v="190081"/>
    <x v="65"/>
    <x v="17"/>
    <x v="1"/>
    <s v="General Acute Care Hospital"/>
    <s v="309 WEST BEVERLY BOULEVARD"/>
    <s v="MONTEBELLO"/>
    <s v="90640"/>
    <s v="Beds 200-299"/>
    <m/>
    <n v="38"/>
    <x v="21"/>
    <x v="16"/>
    <s v="Pico Rivera/Santa Fe Springs Northwest"/>
    <s v="Urban"/>
    <x v="0"/>
    <x v="0"/>
    <x v="0"/>
    <n v="15416"/>
    <n v="12877"/>
    <m/>
    <n v="4325"/>
    <n v="3437"/>
    <n v="5004"/>
    <n v="3902"/>
    <n v="3164"/>
    <n v="2994"/>
    <n v="2019"/>
    <n v="1374"/>
    <n v="1317"/>
    <n v="757"/>
    <m/>
    <n v="424"/>
    <n v="394"/>
    <n v="25126"/>
    <n v="2"/>
    <n v="290"/>
    <n v="52"/>
    <n v="2005"/>
    <n v="280"/>
    <n v="1981"/>
    <n v="64"/>
    <n v="2"/>
    <n v="7"/>
    <n v="8"/>
    <m/>
    <n v="19"/>
    <n v="252"/>
    <n v="10"/>
    <n v="24971"/>
    <n v="104"/>
    <n v="375"/>
    <m/>
    <n v="220"/>
    <n v="15765"/>
    <n v="6959"/>
    <n v="347"/>
    <n v="1455"/>
    <n v="3767"/>
    <m/>
    <n v="28293"/>
    <n v="253"/>
    <n v="22806"/>
    <n v="5234"/>
    <n v="3524"/>
    <n v="3126"/>
    <m/>
    <n v="107"/>
    <n v="361"/>
    <n v="455"/>
    <n v="628"/>
    <n v="1123"/>
    <n v="1182"/>
    <n v="1006"/>
    <n v="1460"/>
    <n v="119"/>
    <n v="209"/>
    <m/>
    <n v="199"/>
    <n v="112"/>
    <n v="5520"/>
    <n v="96"/>
    <n v="12"/>
    <n v="710"/>
    <n v="1"/>
    <n v="313"/>
    <n v="240"/>
    <n v="175"/>
    <n v="434"/>
    <n v="11"/>
    <m/>
    <n v="11"/>
    <n v="4308"/>
    <n v="1047"/>
    <n v="2"/>
    <n v="77"/>
    <n v="13"/>
    <n v="4"/>
    <m/>
    <n v="15"/>
    <n v="2754"/>
    <n v="3137"/>
    <n v="20"/>
    <n v="674"/>
    <n v="65"/>
    <m/>
    <n v="6650"/>
    <n v="282"/>
    <n v="3806"/>
    <n v="2562"/>
    <s v="2015"/>
    <n v="224"/>
    <n v="16"/>
    <m/>
    <m/>
    <m/>
    <m/>
  </r>
  <r>
    <n v="106190110"/>
    <s v="190110"/>
    <x v="66"/>
    <x v="17"/>
    <x v="5"/>
    <s v="General Acute Care Hospital"/>
    <s v="3828 DELMAS TERRACE"/>
    <s v="CULVER CITY"/>
    <s v="90231"/>
    <s v="Beds 300-499"/>
    <m/>
    <n v="37"/>
    <x v="22"/>
    <x v="17"/>
    <s v="Culver City North/Palms"/>
    <s v="Urban"/>
    <x v="0"/>
    <x v="0"/>
    <x v="0"/>
    <n v="8406"/>
    <n v="8513"/>
    <m/>
    <n v="955"/>
    <n v="1258"/>
    <n v="3160"/>
    <n v="2694"/>
    <n v="2703"/>
    <n v="3009"/>
    <n v="1710"/>
    <n v="664"/>
    <n v="618"/>
    <n v="148"/>
    <m/>
    <n v="602"/>
    <n v="6549"/>
    <n v="4219"/>
    <n v="57"/>
    <n v="27"/>
    <n v="14"/>
    <n v="5451"/>
    <n v="257"/>
    <n v="846"/>
    <n v="26"/>
    <m/>
    <n v="1"/>
    <n v="4"/>
    <m/>
    <n v="121"/>
    <n v="327"/>
    <n v="21"/>
    <n v="11171"/>
    <n v="51"/>
    <m/>
    <m/>
    <n v="51"/>
    <n v="2022"/>
    <n v="3158"/>
    <n v="227"/>
    <n v="9096"/>
    <n v="2286"/>
    <n v="130"/>
    <n v="16919"/>
    <n v="44"/>
    <n v="16228"/>
    <n v="647"/>
    <n v="2641"/>
    <n v="3006"/>
    <n v="1"/>
    <n v="24"/>
    <n v="378"/>
    <n v="498"/>
    <n v="700"/>
    <n v="1323"/>
    <n v="1170"/>
    <n v="740"/>
    <n v="815"/>
    <m/>
    <m/>
    <m/>
    <n v="182"/>
    <n v="2108"/>
    <n v="1002"/>
    <n v="5"/>
    <n v="5"/>
    <n v="2331"/>
    <n v="15"/>
    <n v="205"/>
    <n v="276"/>
    <n v="112"/>
    <n v="268"/>
    <n v="139"/>
    <m/>
    <n v="51"/>
    <n v="3076"/>
    <n v="1370"/>
    <n v="3"/>
    <n v="17"/>
    <n v="50"/>
    <m/>
    <n v="1"/>
    <n v="46"/>
    <n v="662"/>
    <n v="2401"/>
    <n v="74"/>
    <n v="2444"/>
    <n v="67"/>
    <m/>
    <n v="5648"/>
    <n v="25"/>
    <n v="5372"/>
    <n v="251"/>
    <s v="2015"/>
    <n v="420"/>
    <n v="27"/>
    <m/>
    <n v="4043"/>
    <m/>
    <n v="34"/>
  </r>
  <r>
    <n v="106190125"/>
    <s v="190125"/>
    <x v="67"/>
    <x v="17"/>
    <x v="1"/>
    <s v="General Acute Care Hospital"/>
    <s v="1401 SOUTH GRAND AVENUE"/>
    <s v="LOS ANGELES"/>
    <s v="90015"/>
    <s v="Beds 300-499"/>
    <s v="Level II"/>
    <n v="34"/>
    <x v="23"/>
    <x v="17"/>
    <s v="Boyle Heights Northwest/Chinatown/Downtown Northwest/Little Tokyo/Westlake"/>
    <s v="Urban"/>
    <x v="0"/>
    <x v="0"/>
    <x v="0"/>
    <n v="36071"/>
    <n v="31668"/>
    <n v="8"/>
    <n v="8875"/>
    <n v="7344"/>
    <n v="15208"/>
    <n v="10467"/>
    <n v="8945"/>
    <n v="8666"/>
    <n v="4096"/>
    <n v="1253"/>
    <n v="630"/>
    <n v="2263"/>
    <m/>
    <n v="1285"/>
    <n v="22284"/>
    <n v="36625"/>
    <n v="52"/>
    <n v="3262"/>
    <n v="1260"/>
    <n v="2979"/>
    <n v="790"/>
    <n v="2622"/>
    <n v="68"/>
    <n v="2"/>
    <m/>
    <m/>
    <m/>
    <m/>
    <n v="970"/>
    <n v="4"/>
    <n v="63173"/>
    <n v="14"/>
    <n v="12"/>
    <n v="1"/>
    <m/>
    <n v="49418"/>
    <n v="4748"/>
    <n v="487"/>
    <n v="3713"/>
    <n v="9381"/>
    <m/>
    <n v="67747"/>
    <n v="31"/>
    <n v="50074"/>
    <n v="17642"/>
    <n v="5230"/>
    <n v="5502"/>
    <n v="2"/>
    <n v="403"/>
    <n v="1290"/>
    <n v="1300"/>
    <n v="1665"/>
    <n v="2361"/>
    <n v="1735"/>
    <n v="779"/>
    <n v="720"/>
    <n v="225"/>
    <n v="256"/>
    <m/>
    <n v="203"/>
    <n v="3776"/>
    <n v="5672"/>
    <n v="423"/>
    <n v="106"/>
    <n v="536"/>
    <n v="18"/>
    <n v="211"/>
    <n v="563"/>
    <n v="180"/>
    <n v="346"/>
    <n v="75"/>
    <m/>
    <n v="80"/>
    <n v="8558"/>
    <n v="551"/>
    <n v="13"/>
    <n v="103"/>
    <n v="31"/>
    <m/>
    <n v="1"/>
    <n v="20"/>
    <n v="7502"/>
    <n v="2279"/>
    <n v="108"/>
    <n v="575"/>
    <n v="270"/>
    <m/>
    <n v="10734"/>
    <n v="9"/>
    <n v="7233"/>
    <n v="3492"/>
    <s v="2015"/>
    <n v="318"/>
    <n v="35"/>
    <m/>
    <n v="91"/>
    <m/>
    <n v="2"/>
  </r>
  <r>
    <n v="106190148"/>
    <s v="190148"/>
    <x v="68"/>
    <x v="17"/>
    <x v="5"/>
    <s v="General Acute Care Hospital"/>
    <s v="555 EAST HARDY STREET"/>
    <s v="INGLEWOOD"/>
    <s v="90301"/>
    <s v="Beds 300-499"/>
    <m/>
    <n v="43"/>
    <x v="24"/>
    <x v="18"/>
    <s v="Del Aire/Inglewood West/Los Angeles International Airport"/>
    <s v="Urban"/>
    <x v="0"/>
    <x v="0"/>
    <x v="0"/>
    <n v="27374"/>
    <n v="22565"/>
    <m/>
    <n v="4492"/>
    <n v="4546"/>
    <n v="10533"/>
    <n v="7794"/>
    <n v="6813"/>
    <n v="7777"/>
    <n v="3885"/>
    <n v="1904"/>
    <n v="1244"/>
    <n v="951"/>
    <m/>
    <n v="450"/>
    <n v="31007"/>
    <n v="13256"/>
    <m/>
    <n v="1028"/>
    <m/>
    <n v="4198"/>
    <n v="877"/>
    <n v="896"/>
    <m/>
    <m/>
    <m/>
    <n v="1"/>
    <m/>
    <m/>
    <n v="366"/>
    <n v="1"/>
    <n v="47430"/>
    <n v="125"/>
    <n v="181"/>
    <m/>
    <m/>
    <n v="29349"/>
    <n v="6701"/>
    <n v="395"/>
    <n v="4353"/>
    <n v="9141"/>
    <m/>
    <n v="49939"/>
    <n v="78"/>
    <n v="46584"/>
    <n v="3277"/>
    <n v="8112"/>
    <n v="6028"/>
    <m/>
    <n v="129"/>
    <n v="759"/>
    <n v="918"/>
    <n v="1619"/>
    <n v="3119"/>
    <n v="2930"/>
    <n v="2311"/>
    <n v="2348"/>
    <n v="7"/>
    <m/>
    <m/>
    <n v="161"/>
    <n v="9793"/>
    <n v="2823"/>
    <n v="145"/>
    <m/>
    <n v="1206"/>
    <n v="12"/>
    <n v="649"/>
    <n v="1066"/>
    <n v="353"/>
    <n v="588"/>
    <n v="236"/>
    <m/>
    <n v="18"/>
    <n v="9704"/>
    <n v="1449"/>
    <m/>
    <m/>
    <m/>
    <m/>
    <m/>
    <m/>
    <n v="6159"/>
    <n v="6704"/>
    <n v="2"/>
    <n v="841"/>
    <n v="434"/>
    <m/>
    <n v="14140"/>
    <n v="38"/>
    <n v="12915"/>
    <n v="1187"/>
    <s v="2015"/>
    <n v="369"/>
    <n v="44"/>
    <m/>
    <n v="62"/>
    <m/>
    <n v="77"/>
  </r>
  <r>
    <n v="106190159"/>
    <s v="190159"/>
    <x v="69"/>
    <x v="17"/>
    <x v="1"/>
    <s v="General Acute Care Hospital"/>
    <s v="21530 SOUTH PIONEER BOULEVARD"/>
    <s v="HAWAIIAN GARDENS"/>
    <s v="90716"/>
    <s v="Beds 100-149"/>
    <m/>
    <n v="38"/>
    <x v="25"/>
    <x v="16"/>
    <s v="Cerritos/Hawaiian Gardens"/>
    <s v="Urban"/>
    <x v="0"/>
    <x v="0"/>
    <x v="0"/>
    <n v="3601"/>
    <n v="3236"/>
    <m/>
    <n v="586"/>
    <n v="755"/>
    <n v="1212"/>
    <n v="1057"/>
    <n v="1068"/>
    <n v="943"/>
    <n v="574"/>
    <n v="299"/>
    <n v="281"/>
    <n v="62"/>
    <m/>
    <n v="761"/>
    <n v="969"/>
    <n v="3102"/>
    <n v="8"/>
    <n v="248"/>
    <n v="60"/>
    <n v="1689"/>
    <n v="281"/>
    <n v="240"/>
    <n v="11"/>
    <m/>
    <n v="6"/>
    <m/>
    <m/>
    <m/>
    <n v="14"/>
    <n v="1"/>
    <n v="6089"/>
    <n v="83"/>
    <n v="112"/>
    <m/>
    <m/>
    <n v="2950"/>
    <n v="1127"/>
    <n v="137"/>
    <n v="1533"/>
    <n v="1090"/>
    <m/>
    <n v="6837"/>
    <n v="49"/>
    <n v="6165"/>
    <n v="623"/>
    <n v="1303"/>
    <n v="1268"/>
    <m/>
    <n v="13"/>
    <n v="95"/>
    <n v="148"/>
    <n v="260"/>
    <n v="482"/>
    <n v="521"/>
    <n v="466"/>
    <n v="586"/>
    <m/>
    <m/>
    <m/>
    <n v="446"/>
    <n v="349"/>
    <n v="795"/>
    <n v="45"/>
    <n v="20"/>
    <n v="914"/>
    <n v="2"/>
    <n v="199"/>
    <n v="96"/>
    <n v="44"/>
    <n v="162"/>
    <n v="8"/>
    <m/>
    <m/>
    <n v="878"/>
    <n v="1098"/>
    <m/>
    <n v="60"/>
    <n v="13"/>
    <n v="13"/>
    <m/>
    <m/>
    <n v="782"/>
    <n v="1508"/>
    <n v="22"/>
    <n v="199"/>
    <n v="60"/>
    <m/>
    <n v="2571"/>
    <n v="80"/>
    <n v="2244"/>
    <n v="247"/>
    <s v="2015"/>
    <n v="107"/>
    <n v="8"/>
    <m/>
    <m/>
    <m/>
    <m/>
  </r>
  <r>
    <n v="106190170"/>
    <s v="190170"/>
    <x v="70"/>
    <x v="17"/>
    <x v="1"/>
    <s v="General Acute Care Hospital"/>
    <s v="4650 SUNSET BOULEVARD"/>
    <s v="LOS ANGELES"/>
    <s v="90027"/>
    <s v="Beds 500+"/>
    <s v="Level I - Pediatric"/>
    <n v="28"/>
    <x v="26"/>
    <x v="19"/>
    <s v="Hollywood South Central/Inner Sunset"/>
    <s v="Urban"/>
    <x v="0"/>
    <x v="1"/>
    <x v="0"/>
    <n v="33810"/>
    <n v="38542"/>
    <m/>
    <n v="44842"/>
    <n v="15123"/>
    <n v="614"/>
    <n v="75"/>
    <n v="33"/>
    <n v="36"/>
    <n v="13"/>
    <n v="1"/>
    <n v="1"/>
    <n v="11614"/>
    <m/>
    <n v="2869"/>
    <n v="5033"/>
    <n v="55489"/>
    <n v="13"/>
    <n v="5982"/>
    <n v="168"/>
    <n v="2798"/>
    <n v="3"/>
    <n v="5099"/>
    <n v="5"/>
    <n v="1"/>
    <m/>
    <m/>
    <m/>
    <m/>
    <n v="280"/>
    <n v="4"/>
    <n v="66916"/>
    <n v="16"/>
    <m/>
    <m/>
    <m/>
    <n v="66168"/>
    <n v="46"/>
    <n v="273"/>
    <n v="5640"/>
    <n v="3"/>
    <n v="222"/>
    <n v="72352"/>
    <n v="226"/>
    <n v="45141"/>
    <n v="26985"/>
    <n v="3358"/>
    <n v="4043"/>
    <m/>
    <n v="2119"/>
    <n v="185"/>
    <n v="1"/>
    <m/>
    <m/>
    <m/>
    <m/>
    <m/>
    <n v="1613"/>
    <n v="3483"/>
    <m/>
    <n v="433"/>
    <n v="621"/>
    <n v="5033"/>
    <n v="609"/>
    <n v="7"/>
    <n v="698"/>
    <m/>
    <n v="89"/>
    <n v="19"/>
    <n v="40"/>
    <n v="16"/>
    <m/>
    <m/>
    <n v="12"/>
    <n v="7200"/>
    <n v="25"/>
    <m/>
    <m/>
    <m/>
    <m/>
    <m/>
    <m/>
    <n v="5944"/>
    <n v="25"/>
    <n v="57"/>
    <n v="1312"/>
    <n v="63"/>
    <m/>
    <n v="7401"/>
    <n v="3"/>
    <n v="5050"/>
    <n v="2348"/>
    <s v="2015"/>
    <n v="568"/>
    <n v="39"/>
    <n v="19"/>
    <n v="9"/>
    <m/>
    <m/>
  </r>
  <r>
    <n v="106190197"/>
    <s v="190197"/>
    <x v="71"/>
    <x v="17"/>
    <x v="3"/>
    <s v="General Acute Care Hospital"/>
    <s v="2623 EAST SLAUSON AVENUE"/>
    <s v="HUNTINGTON PARK"/>
    <s v="90255"/>
    <s v="Beds 50-99"/>
    <m/>
    <n v="40"/>
    <x v="23"/>
    <x v="15"/>
    <s v="Huntington Park/South Gate West/Walnut Park"/>
    <s v="Urban"/>
    <x v="0"/>
    <x v="0"/>
    <x v="0"/>
    <n v="22157"/>
    <n v="18054"/>
    <m/>
    <n v="7709"/>
    <n v="5993"/>
    <n v="6542"/>
    <n v="5598"/>
    <n v="5105"/>
    <n v="3876"/>
    <n v="2278"/>
    <n v="1162"/>
    <n v="742"/>
    <n v="1206"/>
    <m/>
    <n v="68"/>
    <n v="2149"/>
    <n v="37112"/>
    <n v="5"/>
    <n v="21"/>
    <n v="12"/>
    <n v="844"/>
    <n v="1144"/>
    <n v="3427"/>
    <n v="27"/>
    <m/>
    <n v="3"/>
    <m/>
    <m/>
    <n v="5"/>
    <n v="105"/>
    <n v="2"/>
    <n v="35460"/>
    <n v="13"/>
    <n v="25"/>
    <m/>
    <m/>
    <n v="30876"/>
    <n v="1713"/>
    <n v="89"/>
    <n v="127"/>
    <n v="7406"/>
    <m/>
    <n v="40211"/>
    <n v="1"/>
    <n v="36992"/>
    <n v="3218"/>
    <n v="1554"/>
    <n v="1503"/>
    <m/>
    <n v="50"/>
    <n v="222"/>
    <n v="310"/>
    <n v="417"/>
    <n v="577"/>
    <n v="564"/>
    <n v="503"/>
    <n v="414"/>
    <m/>
    <m/>
    <m/>
    <n v="14"/>
    <n v="420"/>
    <n v="2514"/>
    <m/>
    <n v="2"/>
    <n v="106"/>
    <n v="1"/>
    <n v="227"/>
    <n v="354"/>
    <n v="66"/>
    <n v="73"/>
    <m/>
    <m/>
    <n v="11"/>
    <n v="2097"/>
    <n v="224"/>
    <m/>
    <n v="5"/>
    <m/>
    <m/>
    <m/>
    <m/>
    <n v="1867"/>
    <n v="981"/>
    <n v="1"/>
    <n v="141"/>
    <n v="67"/>
    <m/>
    <n v="3057"/>
    <m/>
    <n v="2766"/>
    <n v="291"/>
    <s v="2015"/>
    <n v="81"/>
    <n v="14"/>
    <m/>
    <m/>
    <m/>
    <m/>
  </r>
  <r>
    <n v="106190198"/>
    <s v="190198"/>
    <x v="72"/>
    <x v="17"/>
    <x v="5"/>
    <s v="General Acute Care Hospital"/>
    <s v="4081 EAST OLYMPIC BOULEVARD"/>
    <s v="LOS ANGELES"/>
    <s v="90023"/>
    <s v="Beds 100-149"/>
    <m/>
    <n v="40"/>
    <x v="27"/>
    <x v="19"/>
    <s v="City Terrace East/East Los Angeles"/>
    <s v="Urban"/>
    <x v="0"/>
    <x v="0"/>
    <x v="1"/>
    <n v="3251"/>
    <n v="2948"/>
    <m/>
    <n v="1564"/>
    <n v="955"/>
    <n v="866"/>
    <n v="797"/>
    <n v="710"/>
    <n v="559"/>
    <n v="350"/>
    <n v="128"/>
    <n v="58"/>
    <n v="212"/>
    <m/>
    <n v="46"/>
    <n v="237"/>
    <n v="5452"/>
    <m/>
    <n v="53"/>
    <n v="17"/>
    <n v="394"/>
    <n v="118"/>
    <n v="459"/>
    <n v="1"/>
    <n v="2"/>
    <m/>
    <n v="1"/>
    <m/>
    <n v="1"/>
    <m/>
    <n v="9"/>
    <n v="5514"/>
    <n v="93"/>
    <m/>
    <m/>
    <m/>
    <n v="3767"/>
    <n v="498"/>
    <n v="8"/>
    <n v="1367"/>
    <n v="559"/>
    <m/>
    <n v="6199"/>
    <n v="11"/>
    <n v="2881"/>
    <n v="3307"/>
    <n v="939"/>
    <n v="1203"/>
    <m/>
    <n v="55"/>
    <n v="84"/>
    <n v="138"/>
    <n v="236"/>
    <n v="424"/>
    <n v="439"/>
    <n v="267"/>
    <n v="257"/>
    <n v="69"/>
    <n v="173"/>
    <m/>
    <n v="66"/>
    <n v="336"/>
    <n v="1230"/>
    <n v="31"/>
    <n v="10"/>
    <n v="468"/>
    <n v="1"/>
    <n v="73"/>
    <n v="96"/>
    <n v="35"/>
    <n v="18"/>
    <n v="5"/>
    <m/>
    <n v="39"/>
    <n v="1229"/>
    <n v="630"/>
    <m/>
    <m/>
    <n v="12"/>
    <m/>
    <m/>
    <n v="5"/>
    <n v="1190"/>
    <n v="894"/>
    <m/>
    <n v="44"/>
    <n v="14"/>
    <m/>
    <n v="2142"/>
    <n v="23"/>
    <n v="1334"/>
    <n v="785"/>
    <s v="2015"/>
    <n v="130"/>
    <n v="3"/>
    <n v="1"/>
    <m/>
    <m/>
    <m/>
  </r>
  <r>
    <n v="106190200"/>
    <s v="190200"/>
    <x v="73"/>
    <x v="17"/>
    <x v="5"/>
    <s v="General Acute Care Hospital"/>
    <s v="438 W. LAS TUNAS DRIVE"/>
    <s v="SAN GABRIEL"/>
    <s v="91776"/>
    <s v="Beds 200-299"/>
    <m/>
    <n v="27"/>
    <x v="18"/>
    <x v="12"/>
    <s v="Alhambra/El Sereno South/San Gabriel Central"/>
    <s v="Urban"/>
    <x v="0"/>
    <x v="0"/>
    <x v="0"/>
    <n v="12498"/>
    <n v="9613"/>
    <n v="1"/>
    <n v="3540"/>
    <n v="2593"/>
    <n v="3341"/>
    <n v="2811"/>
    <n v="2598"/>
    <n v="2340"/>
    <n v="1568"/>
    <n v="1125"/>
    <n v="1450"/>
    <n v="746"/>
    <m/>
    <n v="6736"/>
    <n v="606"/>
    <n v="10679"/>
    <n v="17"/>
    <n v="812"/>
    <n v="51"/>
    <n v="3211"/>
    <n v="377"/>
    <n v="660"/>
    <n v="16"/>
    <n v="3"/>
    <n v="2"/>
    <n v="5"/>
    <m/>
    <n v="282"/>
    <n v="300"/>
    <n v="21"/>
    <n v="19879"/>
    <n v="328"/>
    <n v="48"/>
    <n v="90"/>
    <m/>
    <n v="2791"/>
    <n v="3629"/>
    <n v="306"/>
    <n v="13535"/>
    <n v="1851"/>
    <m/>
    <n v="22112"/>
    <n v="2624"/>
    <n v="17798"/>
    <n v="1690"/>
    <n v="2830"/>
    <n v="2403"/>
    <n v="1"/>
    <n v="41"/>
    <n v="188"/>
    <n v="227"/>
    <n v="383"/>
    <n v="629"/>
    <n v="818"/>
    <n v="1011"/>
    <n v="1922"/>
    <n v="15"/>
    <m/>
    <m/>
    <n v="2561"/>
    <n v="98"/>
    <n v="1483"/>
    <n v="134"/>
    <n v="9"/>
    <n v="941"/>
    <n v="8"/>
    <n v="319"/>
    <n v="107"/>
    <n v="200"/>
    <n v="523"/>
    <n v="69"/>
    <m/>
    <n v="24"/>
    <n v="2517"/>
    <n v="1353"/>
    <n v="4"/>
    <n v="70"/>
    <n v="42"/>
    <m/>
    <n v="4"/>
    <n v="2"/>
    <n v="1220"/>
    <n v="3314"/>
    <n v="14"/>
    <n v="597"/>
    <n v="89"/>
    <m/>
    <n v="5234"/>
    <n v="1716"/>
    <n v="3115"/>
    <n v="403"/>
    <s v="2015"/>
    <n v="273"/>
    <n v="12"/>
    <n v="3"/>
    <n v="98"/>
    <m/>
    <m/>
  </r>
  <r>
    <n v="106190240"/>
    <s v="190240"/>
    <x v="74"/>
    <x v="17"/>
    <x v="3"/>
    <s v="General Acute Care Hospital"/>
    <s v="3700 EAST SOUTH STREET"/>
    <s v="LAKEWOOD"/>
    <s v="90712"/>
    <s v="Beds 150-199"/>
    <m/>
    <n v="38"/>
    <x v="25"/>
    <x v="15"/>
    <s v="Cerritos/Hawaiian Gardens"/>
    <s v="Urban"/>
    <x v="0"/>
    <x v="0"/>
    <x v="0"/>
    <n v="27852"/>
    <n v="20226"/>
    <n v="1"/>
    <n v="5069"/>
    <n v="5078"/>
    <n v="8580"/>
    <n v="7235"/>
    <n v="6197"/>
    <n v="6073"/>
    <n v="4286"/>
    <n v="2647"/>
    <n v="2252"/>
    <n v="662"/>
    <m/>
    <n v="2929"/>
    <n v="13748"/>
    <n v="18071"/>
    <n v="54"/>
    <n v="2287"/>
    <n v="658"/>
    <n v="10332"/>
    <n v="859"/>
    <n v="1930"/>
    <n v="117"/>
    <n v="199"/>
    <n v="18"/>
    <n v="2"/>
    <m/>
    <n v="69"/>
    <n v="266"/>
    <n v="3"/>
    <n v="44272"/>
    <n v="341"/>
    <m/>
    <m/>
    <m/>
    <n v="20129"/>
    <n v="8948"/>
    <n v="496"/>
    <n v="12527"/>
    <n v="5979"/>
    <m/>
    <n v="48079"/>
    <n v="146"/>
    <n v="45015"/>
    <n v="2918"/>
    <n v="3434"/>
    <n v="2956"/>
    <m/>
    <n v="35"/>
    <n v="271"/>
    <n v="384"/>
    <n v="607"/>
    <n v="1200"/>
    <n v="1440"/>
    <n v="1172"/>
    <n v="1281"/>
    <m/>
    <m/>
    <m/>
    <n v="584"/>
    <n v="1348"/>
    <n v="2093"/>
    <n v="353"/>
    <n v="45"/>
    <n v="1957"/>
    <n v="10"/>
    <n v="474"/>
    <n v="170"/>
    <n v="328"/>
    <n v="756"/>
    <n v="36"/>
    <m/>
    <n v="23"/>
    <n v="3237"/>
    <n v="1151"/>
    <n v="8"/>
    <n v="153"/>
    <n v="54"/>
    <m/>
    <m/>
    <m/>
    <n v="1678"/>
    <n v="3071"/>
    <n v="331"/>
    <n v="1196"/>
    <n v="114"/>
    <m/>
    <n v="6390"/>
    <n v="46"/>
    <n v="5756"/>
    <n v="588"/>
    <s v="2015"/>
    <n v="172"/>
    <n v="14"/>
    <n v="2"/>
    <n v="1"/>
    <m/>
    <m/>
  </r>
  <r>
    <n v="106190243"/>
    <s v="190243"/>
    <x v="75"/>
    <x v="17"/>
    <x v="1"/>
    <s v="General Acute Care Hospital"/>
    <s v="11500 BROOKSHIRE AVENUE"/>
    <s v="DOWNEY"/>
    <s v="90241"/>
    <s v="Beds 150-199"/>
    <m/>
    <n v="40"/>
    <x v="21"/>
    <x v="16"/>
    <s v="Downey Northeast"/>
    <s v="Urban"/>
    <x v="0"/>
    <x v="0"/>
    <x v="0"/>
    <n v="24979"/>
    <n v="18800"/>
    <n v="1"/>
    <n v="6740"/>
    <n v="5523"/>
    <n v="7191"/>
    <n v="5628"/>
    <n v="4797"/>
    <n v="4402"/>
    <n v="3491"/>
    <n v="2480"/>
    <n v="2268"/>
    <n v="1259"/>
    <n v="1"/>
    <n v="743"/>
    <n v="1936"/>
    <n v="35655"/>
    <n v="27"/>
    <n v="129"/>
    <n v="227"/>
    <n v="5063"/>
    <n v="1177"/>
    <n v="797"/>
    <n v="28"/>
    <n v="165"/>
    <n v="23"/>
    <n v="10"/>
    <m/>
    <n v="468"/>
    <n v="244"/>
    <n v="45"/>
    <n v="40336"/>
    <n v="276"/>
    <n v="125"/>
    <m/>
    <n v="71"/>
    <n v="24437"/>
    <n v="7152"/>
    <n v="607"/>
    <n v="8838"/>
    <n v="2746"/>
    <m/>
    <n v="43780"/>
    <n v="96"/>
    <n v="34448"/>
    <n v="9236"/>
    <n v="2889"/>
    <n v="2594"/>
    <m/>
    <n v="33"/>
    <n v="290"/>
    <n v="384"/>
    <n v="485"/>
    <n v="779"/>
    <n v="1059"/>
    <n v="1024"/>
    <n v="1422"/>
    <n v="7"/>
    <m/>
    <m/>
    <n v="204"/>
    <n v="292"/>
    <n v="3668"/>
    <n v="20"/>
    <m/>
    <n v="1296"/>
    <n v="3"/>
    <n v="284"/>
    <n v="90"/>
    <n v="157"/>
    <n v="662"/>
    <n v="12"/>
    <m/>
    <n v="43"/>
    <n v="3058"/>
    <n v="1008"/>
    <n v="2"/>
    <n v="153"/>
    <n v="14"/>
    <m/>
    <m/>
    <m/>
    <n v="1369"/>
    <n v="3244"/>
    <n v="25"/>
    <n v="779"/>
    <n v="66"/>
    <m/>
    <n v="5483"/>
    <n v="40"/>
    <n v="3705"/>
    <n v="1738"/>
    <s v="2015"/>
    <n v="199"/>
    <n v="22"/>
    <m/>
    <n v="15"/>
    <m/>
    <m/>
  </r>
  <r>
    <n v="106190256"/>
    <s v="190256"/>
    <x v="76"/>
    <x v="17"/>
    <x v="4"/>
    <s v="General Acute Care Hospital"/>
    <s v="4060 WHITTIER BOULEVARD"/>
    <s v="LOS ANGELES"/>
    <s v="90023"/>
    <s v="Beds 100-149"/>
    <m/>
    <n v="40"/>
    <x v="27"/>
    <x v="19"/>
    <s v="City Terrace East/East Los Angeles"/>
    <s v="Urban"/>
    <x v="0"/>
    <x v="0"/>
    <x v="0"/>
    <n v="7444"/>
    <n v="6577"/>
    <m/>
    <n v="2288"/>
    <n v="1819"/>
    <n v="2686"/>
    <n v="2132"/>
    <n v="1838"/>
    <n v="1519"/>
    <n v="677"/>
    <n v="397"/>
    <n v="274"/>
    <n v="391"/>
    <m/>
    <n v="64"/>
    <n v="279"/>
    <n v="13254"/>
    <n v="6"/>
    <n v="16"/>
    <m/>
    <n v="402"/>
    <n v="223"/>
    <n v="1087"/>
    <n v="11"/>
    <n v="2"/>
    <m/>
    <m/>
    <m/>
    <n v="487"/>
    <n v="10"/>
    <m/>
    <n v="12196"/>
    <n v="3"/>
    <m/>
    <n v="2"/>
    <m/>
    <n v="10171"/>
    <n v="1096"/>
    <n v="590"/>
    <n v="782"/>
    <n v="1382"/>
    <m/>
    <n v="14021"/>
    <n v="13"/>
    <n v="8855"/>
    <n v="5153"/>
    <n v="1060"/>
    <n v="1058"/>
    <m/>
    <n v="55"/>
    <n v="103"/>
    <n v="169"/>
    <n v="264"/>
    <n v="448"/>
    <n v="373"/>
    <n v="296"/>
    <n v="321"/>
    <n v="26"/>
    <n v="63"/>
    <m/>
    <n v="23"/>
    <n v="95"/>
    <n v="1843"/>
    <n v="6"/>
    <n v="1"/>
    <n v="149"/>
    <n v="1"/>
    <n v="103"/>
    <n v="148"/>
    <n v="70"/>
    <n v="140"/>
    <m/>
    <m/>
    <n v="3"/>
    <n v="1328"/>
    <n v="316"/>
    <m/>
    <m/>
    <n v="6"/>
    <m/>
    <m/>
    <m/>
    <n v="1259"/>
    <n v="752"/>
    <n v="5"/>
    <n v="90"/>
    <n v="12"/>
    <m/>
    <n v="2118"/>
    <n v="1"/>
    <n v="1885"/>
    <n v="232"/>
    <s v="2015"/>
    <n v="127"/>
    <n v="8"/>
    <m/>
    <m/>
    <m/>
    <n v="4"/>
  </r>
  <r>
    <n v="106190280"/>
    <s v="190280"/>
    <x v="77"/>
    <x v="17"/>
    <x v="1"/>
    <s v="General Acute Care Hospital"/>
    <s v="16237 VENTURA BOULEVARD"/>
    <s v="ENCINO"/>
    <s v="91436"/>
    <s v="Beds 100-149"/>
    <m/>
    <n v="30"/>
    <x v="28"/>
    <x v="20"/>
    <s v="Encino/Tarzana/Warner Center/Woodland Hills"/>
    <s v="Urban"/>
    <x v="0"/>
    <x v="0"/>
    <x v="0"/>
    <n v="5080"/>
    <n v="4124"/>
    <m/>
    <n v="596"/>
    <n v="701"/>
    <n v="1532"/>
    <n v="1752"/>
    <n v="1405"/>
    <n v="1334"/>
    <n v="783"/>
    <n v="580"/>
    <n v="488"/>
    <n v="33"/>
    <m/>
    <n v="214"/>
    <n v="1012"/>
    <n v="1230"/>
    <n v="2"/>
    <n v="575"/>
    <n v="32"/>
    <n v="6139"/>
    <n v="162"/>
    <n v="456"/>
    <n v="7"/>
    <m/>
    <m/>
    <m/>
    <m/>
    <n v="23"/>
    <n v="1"/>
    <m/>
    <n v="8544"/>
    <m/>
    <m/>
    <m/>
    <m/>
    <n v="3706"/>
    <n v="1883"/>
    <n v="122"/>
    <n v="2434"/>
    <n v="1059"/>
    <m/>
    <n v="9204"/>
    <n v="83"/>
    <n v="9017"/>
    <n v="104"/>
    <n v="1246"/>
    <n v="1038"/>
    <m/>
    <n v="11"/>
    <n v="91"/>
    <n v="96"/>
    <n v="167"/>
    <n v="310"/>
    <n v="387"/>
    <n v="418"/>
    <n v="804"/>
    <m/>
    <m/>
    <m/>
    <n v="59"/>
    <n v="161"/>
    <n v="174"/>
    <n v="82"/>
    <n v="11"/>
    <n v="1797"/>
    <m/>
    <n v="108"/>
    <n v="82"/>
    <n v="43"/>
    <n v="247"/>
    <n v="14"/>
    <m/>
    <n v="159"/>
    <n v="915"/>
    <n v="641"/>
    <m/>
    <n v="20"/>
    <n v="53"/>
    <m/>
    <n v="1"/>
    <n v="1"/>
    <n v="382"/>
    <n v="1644"/>
    <n v="3"/>
    <n v="218"/>
    <n v="37"/>
    <m/>
    <n v="2284"/>
    <n v="82"/>
    <n v="2160"/>
    <n v="42"/>
    <s v="2015"/>
    <n v="148"/>
    <n v="8"/>
    <m/>
    <n v="11"/>
    <m/>
    <m/>
  </r>
  <r>
    <n v="106190298"/>
    <s v="190298"/>
    <x v="78"/>
    <x v="17"/>
    <x v="1"/>
    <s v="General Acute Care Hospital"/>
    <s v="250 SOUTH GRAND AVENUE"/>
    <s v="GLENDORA"/>
    <s v="91741"/>
    <s v="Beds 100-149"/>
    <m/>
    <n v="27"/>
    <x v="29"/>
    <x v="21"/>
    <s v="Asuza/Charter Oak/Covina"/>
    <s v="Urban"/>
    <x v="0"/>
    <x v="0"/>
    <x v="0"/>
    <n v="12342"/>
    <n v="9139"/>
    <n v="3"/>
    <n v="3159"/>
    <n v="3028"/>
    <n v="3725"/>
    <n v="2881"/>
    <n v="2420"/>
    <n v="2687"/>
    <n v="1610"/>
    <n v="891"/>
    <n v="755"/>
    <n v="328"/>
    <m/>
    <n v="712"/>
    <n v="829"/>
    <n v="10304"/>
    <n v="39"/>
    <n v="195"/>
    <n v="35"/>
    <n v="9370"/>
    <n v="322"/>
    <n v="318"/>
    <n v="11"/>
    <n v="3"/>
    <n v="7"/>
    <m/>
    <m/>
    <m/>
    <n v="234"/>
    <n v="5"/>
    <n v="20461"/>
    <n v="104"/>
    <n v="11"/>
    <m/>
    <m/>
    <n v="53"/>
    <n v="2641"/>
    <n v="43"/>
    <n v="16564"/>
    <n v="2183"/>
    <m/>
    <n v="21484"/>
    <n v="527"/>
    <n v="19398"/>
    <n v="1559"/>
    <n v="2292"/>
    <n v="1816"/>
    <m/>
    <n v="59"/>
    <n v="271"/>
    <n v="278"/>
    <n v="404"/>
    <n v="690"/>
    <n v="720"/>
    <n v="733"/>
    <n v="952"/>
    <m/>
    <n v="1"/>
    <m/>
    <n v="197"/>
    <n v="132"/>
    <n v="1445"/>
    <n v="20"/>
    <n v="1"/>
    <n v="2310"/>
    <n v="3"/>
    <n v="8"/>
    <n v="743"/>
    <n v="103"/>
    <n v="37"/>
    <m/>
    <m/>
    <n v="67"/>
    <n v="2440"/>
    <n v="13"/>
    <n v="1"/>
    <n v="412"/>
    <m/>
    <n v="283"/>
    <m/>
    <m/>
    <n v="1103"/>
    <n v="2001"/>
    <n v="37"/>
    <n v="909"/>
    <n v="58"/>
    <m/>
    <n v="4108"/>
    <n v="174"/>
    <n v="3494"/>
    <n v="440"/>
    <s v="2015"/>
    <n v="105"/>
    <n v="23"/>
    <m/>
    <n v="8"/>
    <n v="1"/>
    <m/>
  </r>
  <r>
    <n v="106190315"/>
    <s v="190315"/>
    <x v="79"/>
    <x v="17"/>
    <x v="4"/>
    <s v="General Acute Care Hospital"/>
    <s v="525 NORTH GARFIELD AVENUE"/>
    <s v="MONTEREY PARK"/>
    <s v="91754"/>
    <s v="Beds 200-299"/>
    <m/>
    <n v="27"/>
    <x v="18"/>
    <x v="12"/>
    <s v="Montebello North/Monterey Park/South San Gabriel"/>
    <s v="Urban"/>
    <x v="0"/>
    <x v="0"/>
    <x v="0"/>
    <n v="11912"/>
    <n v="9997"/>
    <m/>
    <n v="3640"/>
    <n v="2207"/>
    <n v="3044"/>
    <n v="2499"/>
    <n v="2503"/>
    <n v="2682"/>
    <n v="1768"/>
    <n v="1291"/>
    <n v="1372"/>
    <n v="903"/>
    <m/>
    <n v="9181"/>
    <n v="505"/>
    <n v="10950"/>
    <n v="3"/>
    <n v="51"/>
    <n v="3"/>
    <n v="1216"/>
    <n v="317"/>
    <n v="877"/>
    <n v="50"/>
    <n v="12"/>
    <m/>
    <m/>
    <m/>
    <n v="90"/>
    <n v="177"/>
    <n v="2"/>
    <n v="20278"/>
    <n v="75"/>
    <n v="23"/>
    <n v="1"/>
    <m/>
    <n v="2887"/>
    <n v="3564"/>
    <n v="329"/>
    <n v="13191"/>
    <n v="1938"/>
    <m/>
    <n v="21909"/>
    <n v="4815"/>
    <n v="14647"/>
    <n v="2447"/>
    <n v="3240"/>
    <n v="3185"/>
    <n v="1"/>
    <n v="70"/>
    <n v="170"/>
    <n v="282"/>
    <n v="509"/>
    <n v="915"/>
    <n v="1118"/>
    <n v="1220"/>
    <n v="2111"/>
    <n v="14"/>
    <n v="17"/>
    <m/>
    <n v="4136"/>
    <n v="133"/>
    <n v="1775"/>
    <n v="16"/>
    <n v="6"/>
    <n v="358"/>
    <n v="2"/>
    <n v="208"/>
    <n v="195"/>
    <n v="281"/>
    <n v="1221"/>
    <n v="329"/>
    <m/>
    <n v="4"/>
    <n v="3296"/>
    <n v="764"/>
    <n v="2"/>
    <n v="75"/>
    <n v="37"/>
    <n v="8"/>
    <n v="1"/>
    <n v="4"/>
    <n v="2005"/>
    <n v="3609"/>
    <n v="18"/>
    <n v="711"/>
    <n v="83"/>
    <m/>
    <n v="6426"/>
    <n v="2857"/>
    <n v="2870"/>
    <n v="699"/>
    <s v="2015"/>
    <n v="210"/>
    <n v="21"/>
    <m/>
    <n v="7"/>
    <n v="1"/>
    <m/>
  </r>
  <r>
    <n v="106190323"/>
    <s v="190323"/>
    <x v="80"/>
    <x v="17"/>
    <x v="1"/>
    <s v="General Acute Care Hospital"/>
    <s v="1509 WILSON TERRACE"/>
    <s v="GLENDALE"/>
    <s v="91206"/>
    <s v="Beds 500+"/>
    <m/>
    <n v="28"/>
    <x v="26"/>
    <x v="21"/>
    <s v="Atwater Village/Glendale Central/Glendale Southwest/Griffith Park"/>
    <s v="Urban"/>
    <x v="0"/>
    <x v="0"/>
    <x v="0"/>
    <n v="24461"/>
    <n v="18826"/>
    <n v="1"/>
    <n v="4591"/>
    <n v="3907"/>
    <n v="6941"/>
    <n v="6245"/>
    <n v="5199"/>
    <n v="5646"/>
    <n v="4312"/>
    <n v="2842"/>
    <n v="2762"/>
    <n v="841"/>
    <n v="2"/>
    <n v="1969"/>
    <n v="1139"/>
    <n v="13217"/>
    <n v="50"/>
    <n v="490"/>
    <n v="371"/>
    <n v="26052"/>
    <n v="911"/>
    <n v="1071"/>
    <n v="55"/>
    <n v="99"/>
    <n v="30"/>
    <n v="17"/>
    <m/>
    <n v="68"/>
    <n v="27"/>
    <n v="30"/>
    <n v="40549"/>
    <n v="323"/>
    <n v="1"/>
    <m/>
    <n v="49"/>
    <n v="20851"/>
    <n v="7972"/>
    <n v="721"/>
    <n v="9684"/>
    <n v="4060"/>
    <m/>
    <n v="43288"/>
    <n v="3611"/>
    <n v="37431"/>
    <n v="2246"/>
    <n v="6952"/>
    <n v="6685"/>
    <m/>
    <n v="137"/>
    <n v="785"/>
    <n v="1146"/>
    <n v="1490"/>
    <n v="2148"/>
    <n v="2300"/>
    <n v="2334"/>
    <n v="3291"/>
    <n v="5"/>
    <n v="1"/>
    <m/>
    <n v="811"/>
    <n v="413"/>
    <n v="2666"/>
    <n v="176"/>
    <n v="101"/>
    <n v="9458"/>
    <n v="12"/>
    <n v="290"/>
    <n v="488"/>
    <n v="331"/>
    <n v="2821"/>
    <n v="338"/>
    <m/>
    <n v="391"/>
    <n v="6865"/>
    <n v="1775"/>
    <n v="6"/>
    <n v="191"/>
    <n v="107"/>
    <n v="1"/>
    <m/>
    <m/>
    <n v="4166"/>
    <n v="7140"/>
    <n v="113"/>
    <n v="1901"/>
    <n v="317"/>
    <m/>
    <n v="13637"/>
    <n v="2771"/>
    <n v="10034"/>
    <n v="832"/>
    <s v="2015"/>
    <n v="515"/>
    <n v="36"/>
    <n v="55"/>
    <n v="3"/>
    <n v="2"/>
    <n v="31"/>
  </r>
  <r>
    <n v="106190328"/>
    <s v="190328"/>
    <x v="81"/>
    <x v="17"/>
    <x v="4"/>
    <s v="General Acute Care Hospital"/>
    <s v="150 WEST ROUTE 66"/>
    <s v="GLENDORA"/>
    <s v="91740"/>
    <s v="Beds 100-149"/>
    <m/>
    <n v="27"/>
    <x v="29"/>
    <x v="21"/>
    <s v="Asuza/Charter Oak/Covina"/>
    <s v="Urban"/>
    <x v="0"/>
    <x v="0"/>
    <x v="0"/>
    <n v="2017"/>
    <n v="1752"/>
    <m/>
    <n v="498"/>
    <n v="437"/>
    <n v="693"/>
    <n v="627"/>
    <n v="555"/>
    <n v="475"/>
    <n v="207"/>
    <n v="129"/>
    <n v="81"/>
    <n v="67"/>
    <m/>
    <n v="347"/>
    <n v="11"/>
    <n v="1977"/>
    <n v="1137"/>
    <m/>
    <n v="12"/>
    <n v="285"/>
    <n v="100"/>
    <n v="270"/>
    <m/>
    <n v="1"/>
    <n v="1"/>
    <n v="3"/>
    <m/>
    <n v="19"/>
    <n v="13"/>
    <n v="25"/>
    <n v="3243"/>
    <n v="80"/>
    <n v="3"/>
    <m/>
    <n v="6"/>
    <n v="2490"/>
    <n v="568"/>
    <n v="36"/>
    <n v="269"/>
    <n v="406"/>
    <m/>
    <n v="3769"/>
    <n v="24"/>
    <n v="3205"/>
    <n v="540"/>
    <n v="640"/>
    <n v="582"/>
    <m/>
    <n v="4"/>
    <n v="11"/>
    <n v="23"/>
    <n v="48"/>
    <n v="155"/>
    <n v="279"/>
    <n v="340"/>
    <n v="362"/>
    <m/>
    <m/>
    <m/>
    <n v="76"/>
    <n v="96"/>
    <n v="354"/>
    <n v="76"/>
    <n v="9"/>
    <n v="610"/>
    <n v="1"/>
    <n v="264"/>
    <n v="24"/>
    <n v="19"/>
    <n v="23"/>
    <n v="31"/>
    <m/>
    <n v="44"/>
    <n v="128"/>
    <n v="602"/>
    <m/>
    <n v="3"/>
    <n v="83"/>
    <m/>
    <m/>
    <n v="1"/>
    <n v="32"/>
    <n v="1134"/>
    <n v="1"/>
    <n v="48"/>
    <n v="7"/>
    <m/>
    <n v="1222"/>
    <n v="21"/>
    <n v="1098"/>
    <n v="103"/>
    <s v="2015"/>
    <n v="128"/>
    <n v="7"/>
    <m/>
    <n v="5"/>
    <m/>
    <m/>
  </r>
  <r>
    <n v="106190352"/>
    <s v="190352"/>
    <x v="82"/>
    <x v="17"/>
    <x v="5"/>
    <s v="General Acute Care Hospital"/>
    <s v="1701 SANTA ANITA AVENUE"/>
    <s v="SOUTH EL MONTE"/>
    <s v="91733"/>
    <s v="Beds 100-149"/>
    <m/>
    <n v="38"/>
    <x v="30"/>
    <x v="12"/>
    <s v="Bassett/Industry West/La Puente"/>
    <s v="Urban"/>
    <x v="0"/>
    <x v="0"/>
    <x v="0"/>
    <n v="8717"/>
    <n v="7567"/>
    <m/>
    <n v="3022"/>
    <n v="2300"/>
    <n v="2962"/>
    <n v="2370"/>
    <n v="2158"/>
    <n v="1559"/>
    <n v="757"/>
    <n v="349"/>
    <n v="238"/>
    <n v="569"/>
    <m/>
    <n v="885"/>
    <n v="301"/>
    <n v="14047"/>
    <m/>
    <n v="6"/>
    <n v="1"/>
    <n v="1044"/>
    <n v="334"/>
    <n v="784"/>
    <n v="14"/>
    <n v="3"/>
    <m/>
    <n v="1"/>
    <m/>
    <n v="25"/>
    <n v="239"/>
    <n v="2"/>
    <n v="14853"/>
    <n v="24"/>
    <n v="2"/>
    <m/>
    <m/>
    <n v="4444"/>
    <n v="685"/>
    <n v="203"/>
    <n v="9474"/>
    <n v="1478"/>
    <m/>
    <n v="16284"/>
    <n v="239"/>
    <n v="10765"/>
    <n v="5280"/>
    <n v="1246"/>
    <n v="1274"/>
    <m/>
    <n v="92"/>
    <n v="157"/>
    <n v="213"/>
    <n v="367"/>
    <n v="500"/>
    <n v="463"/>
    <n v="281"/>
    <n v="310"/>
    <n v="34"/>
    <n v="103"/>
    <m/>
    <n v="309"/>
    <n v="57"/>
    <n v="1870"/>
    <n v="1"/>
    <n v="1"/>
    <n v="282"/>
    <m/>
    <n v="259"/>
    <n v="139"/>
    <n v="70"/>
    <n v="49"/>
    <n v="4"/>
    <m/>
    <n v="1"/>
    <n v="1717"/>
    <n v="269"/>
    <n v="1"/>
    <n v="4"/>
    <n v="7"/>
    <m/>
    <m/>
    <m/>
    <n v="1535"/>
    <n v="766"/>
    <n v="24"/>
    <n v="169"/>
    <n v="26"/>
    <m/>
    <n v="2520"/>
    <n v="54"/>
    <n v="2211"/>
    <n v="255"/>
    <s v="2015"/>
    <n v="117"/>
    <n v="9"/>
    <m/>
    <n v="3"/>
    <m/>
    <m/>
  </r>
  <r>
    <n v="106190382"/>
    <s v="190382"/>
    <x v="83"/>
    <x v="17"/>
    <x v="3"/>
    <s v="General Acute Care Hospital"/>
    <s v="1300 NORTH VERMONT AVENUE"/>
    <s v="LOS ANGELES"/>
    <s v="90027"/>
    <s v="Beds 300-499"/>
    <m/>
    <n v="28"/>
    <x v="26"/>
    <x v="19"/>
    <s v="Hollywood South Central/Inner Sunset"/>
    <s v="Urban"/>
    <x v="0"/>
    <x v="0"/>
    <x v="0"/>
    <n v="15329"/>
    <n v="14787"/>
    <n v="2"/>
    <n v="311"/>
    <n v="1465"/>
    <n v="6912"/>
    <n v="5729"/>
    <n v="5156"/>
    <n v="5103"/>
    <n v="3041"/>
    <n v="1370"/>
    <n v="950"/>
    <n v="81"/>
    <m/>
    <n v="2352"/>
    <n v="4651"/>
    <n v="13361"/>
    <n v="8"/>
    <n v="3726"/>
    <n v="80"/>
    <n v="5940"/>
    <n v="283"/>
    <n v="3890"/>
    <n v="82"/>
    <n v="11"/>
    <n v="1"/>
    <n v="4"/>
    <m/>
    <m/>
    <n v="407"/>
    <n v="154"/>
    <n v="24886"/>
    <n v="144"/>
    <m/>
    <m/>
    <m/>
    <n v="5480"/>
    <n v="3463"/>
    <n v="84"/>
    <n v="15005"/>
    <n v="6055"/>
    <n v="31"/>
    <n v="30118"/>
    <n v="696"/>
    <n v="26169"/>
    <n v="3253"/>
    <n v="3057"/>
    <n v="3243"/>
    <m/>
    <n v="33"/>
    <n v="333"/>
    <n v="401"/>
    <n v="639"/>
    <n v="1055"/>
    <n v="1221"/>
    <n v="1073"/>
    <n v="1539"/>
    <n v="6"/>
    <m/>
    <m/>
    <n v="1468"/>
    <n v="667"/>
    <n v="1980"/>
    <n v="850"/>
    <n v="1"/>
    <n v="1331"/>
    <n v="3"/>
    <n v="165"/>
    <n v="323"/>
    <n v="285"/>
    <n v="191"/>
    <n v="240"/>
    <m/>
    <n v="110"/>
    <n v="3758"/>
    <n v="1160"/>
    <n v="2"/>
    <n v="15"/>
    <n v="16"/>
    <m/>
    <m/>
    <n v="34"/>
    <n v="2907"/>
    <n v="2850"/>
    <n v="20"/>
    <n v="368"/>
    <n v="155"/>
    <m/>
    <n v="6300"/>
    <n v="800"/>
    <n v="4867"/>
    <n v="633"/>
    <s v="2015"/>
    <n v="434"/>
    <n v="20"/>
    <n v="20"/>
    <n v="236"/>
    <n v="1"/>
    <m/>
  </r>
  <r>
    <n v="106190385"/>
    <s v="190385"/>
    <x v="84"/>
    <x v="17"/>
    <x v="1"/>
    <s v="General Acute Care Hospital"/>
    <s v="15031 RINALDI STREET"/>
    <s v="MISSION HILLS"/>
    <s v="91345"/>
    <s v="Beds 300-499"/>
    <s v="Level II"/>
    <n v="29"/>
    <x v="31"/>
    <x v="22"/>
    <s v="Granada Hills/Mission Hills/Porter Ranch"/>
    <s v="Urban"/>
    <x v="0"/>
    <x v="0"/>
    <x v="0"/>
    <n v="51318"/>
    <n v="37533"/>
    <n v="32"/>
    <n v="17834"/>
    <n v="12059"/>
    <n v="14985"/>
    <n v="11600"/>
    <n v="9118"/>
    <n v="8045"/>
    <n v="5320"/>
    <n v="3289"/>
    <n v="3018"/>
    <n v="3615"/>
    <m/>
    <n v="1344"/>
    <n v="2855"/>
    <n v="68862"/>
    <n v="53"/>
    <n v="3095"/>
    <n v="424"/>
    <n v="12250"/>
    <n v="448"/>
    <n v="266"/>
    <n v="87"/>
    <n v="28"/>
    <n v="23"/>
    <n v="5"/>
    <m/>
    <n v="48"/>
    <n v="144"/>
    <n v="14"/>
    <n v="87049"/>
    <n v="178"/>
    <n v="29"/>
    <n v="1"/>
    <n v="544"/>
    <n v="55421"/>
    <n v="9705"/>
    <n v="741"/>
    <n v="13647"/>
    <n v="9363"/>
    <n v="6"/>
    <n v="88883"/>
    <n v="691"/>
    <n v="65779"/>
    <n v="22413"/>
    <n v="5438"/>
    <n v="5455"/>
    <n v="1"/>
    <n v="154"/>
    <n v="735"/>
    <n v="825"/>
    <n v="1206"/>
    <n v="1589"/>
    <n v="1984"/>
    <n v="1836"/>
    <n v="2542"/>
    <n v="23"/>
    <m/>
    <m/>
    <n v="494"/>
    <n v="525"/>
    <n v="5324"/>
    <n v="684"/>
    <n v="72"/>
    <n v="3786"/>
    <n v="9"/>
    <n v="397"/>
    <n v="138"/>
    <n v="378"/>
    <n v="1396"/>
    <n v="93"/>
    <m/>
    <n v="27"/>
    <n v="6367"/>
    <n v="1859"/>
    <n v="7"/>
    <n v="191"/>
    <n v="17"/>
    <m/>
    <n v="1"/>
    <n v="22"/>
    <n v="2887"/>
    <n v="5551"/>
    <n v="127"/>
    <n v="1934"/>
    <n v="395"/>
    <m/>
    <n v="10894"/>
    <n v="340"/>
    <n v="7913"/>
    <n v="2641"/>
    <s v="2015"/>
    <n v="377"/>
    <n v="32"/>
    <n v="19"/>
    <m/>
    <n v="1"/>
    <m/>
  </r>
  <r>
    <n v="106190392"/>
    <s v="190392"/>
    <x v="85"/>
    <x v="17"/>
    <x v="1"/>
    <s v="General Acute Care Hospital"/>
    <s v="1225 WILSHIRE BOULEVARD"/>
    <s v="LOS ANGELES"/>
    <s v="90017"/>
    <s v="Beds 300-499"/>
    <m/>
    <n v="34"/>
    <x v="23"/>
    <x v="19"/>
    <s v="Boyle Heights Northwest/Chinatown/Downtown Northwest/Little Tokyo/Westlake"/>
    <s v="Urban"/>
    <x v="0"/>
    <x v="0"/>
    <x v="0"/>
    <n v="14741"/>
    <n v="13540"/>
    <m/>
    <n v="1084"/>
    <n v="1790"/>
    <n v="6335"/>
    <n v="5195"/>
    <n v="4219"/>
    <n v="4260"/>
    <n v="2743"/>
    <n v="1363"/>
    <n v="934"/>
    <n v="358"/>
    <m/>
    <n v="2272"/>
    <n v="6221"/>
    <n v="13906"/>
    <n v="16"/>
    <n v="175"/>
    <n v="49"/>
    <n v="5642"/>
    <n v="1024"/>
    <n v="1080"/>
    <n v="69"/>
    <m/>
    <m/>
    <m/>
    <m/>
    <n v="37"/>
    <n v="560"/>
    <m/>
    <n v="25502"/>
    <n v="9"/>
    <m/>
    <m/>
    <m/>
    <n v="12283"/>
    <n v="4155"/>
    <n v="373"/>
    <n v="5690"/>
    <n v="5780"/>
    <m/>
    <n v="28281"/>
    <n v="1127"/>
    <n v="18580"/>
    <n v="8574"/>
    <n v="3082"/>
    <n v="2933"/>
    <m/>
    <n v="47"/>
    <n v="306"/>
    <n v="373"/>
    <n v="494"/>
    <n v="885"/>
    <n v="1095"/>
    <n v="1274"/>
    <n v="1528"/>
    <n v="13"/>
    <m/>
    <m/>
    <n v="1409"/>
    <n v="1154"/>
    <n v="2297"/>
    <n v="42"/>
    <n v="10"/>
    <n v="1101"/>
    <n v="2"/>
    <n v="230"/>
    <n v="210"/>
    <n v="262"/>
    <n v="376"/>
    <n v="118"/>
    <m/>
    <n v="21"/>
    <n v="3678"/>
    <n v="991"/>
    <m/>
    <n v="44"/>
    <n v="7"/>
    <m/>
    <m/>
    <n v="75"/>
    <n v="1419"/>
    <n v="2520"/>
    <n v="20"/>
    <n v="1848"/>
    <n v="208"/>
    <m/>
    <n v="6015"/>
    <n v="1029"/>
    <n v="3240"/>
    <n v="1746"/>
    <s v="2015"/>
    <n v="408"/>
    <n v="12"/>
    <m/>
    <m/>
    <n v="3"/>
    <m/>
  </r>
  <r>
    <n v="106190400"/>
    <s v="190400"/>
    <x v="86"/>
    <x v="17"/>
    <x v="1"/>
    <s v="General Acute Care Hospital"/>
    <s v="100 W. CALIFORNIA BOULEVARD"/>
    <s v="PASADENA"/>
    <s v="91105"/>
    <s v="Beds 500+"/>
    <s v="Level II"/>
    <n v="27"/>
    <x v="32"/>
    <x v="21"/>
    <s v="Pasadena South/San Marino/South Pasadena"/>
    <s v="Urban"/>
    <x v="0"/>
    <x v="0"/>
    <x v="0"/>
    <n v="26509"/>
    <n v="22927"/>
    <n v="2"/>
    <n v="5434"/>
    <n v="4579"/>
    <n v="8378"/>
    <n v="7015"/>
    <n v="6513"/>
    <n v="6184"/>
    <n v="4360"/>
    <n v="2796"/>
    <n v="2818"/>
    <n v="1361"/>
    <m/>
    <n v="3460"/>
    <n v="8067"/>
    <n v="16805"/>
    <n v="44"/>
    <n v="3088"/>
    <n v="257"/>
    <n v="17717"/>
    <n v="1429"/>
    <n v="1045"/>
    <n v="78"/>
    <n v="59"/>
    <n v="14"/>
    <n v="31"/>
    <m/>
    <n v="347"/>
    <n v="185"/>
    <n v="38"/>
    <n v="45243"/>
    <n v="203"/>
    <n v="3"/>
    <m/>
    <n v="760"/>
    <n v="4557"/>
    <n v="8554"/>
    <n v="15001"/>
    <n v="16237"/>
    <n v="5089"/>
    <m/>
    <n v="49438"/>
    <n v="1310"/>
    <n v="43554"/>
    <n v="4574"/>
    <n v="8023"/>
    <n v="7541"/>
    <m/>
    <n v="368"/>
    <n v="1120"/>
    <n v="1166"/>
    <n v="1539"/>
    <n v="2096"/>
    <n v="2487"/>
    <n v="2347"/>
    <n v="3744"/>
    <n v="273"/>
    <n v="424"/>
    <m/>
    <n v="1411"/>
    <n v="2077"/>
    <n v="3890"/>
    <n v="814"/>
    <n v="52"/>
    <n v="7301"/>
    <n v="19"/>
    <n v="438"/>
    <n v="215"/>
    <n v="397"/>
    <n v="1371"/>
    <n v="195"/>
    <m/>
    <n v="31"/>
    <n v="10304"/>
    <n v="2215"/>
    <n v="12"/>
    <n v="247"/>
    <n v="61"/>
    <n v="12"/>
    <m/>
    <n v="59"/>
    <n v="2948"/>
    <n v="6515"/>
    <n v="574"/>
    <n v="5136"/>
    <n v="384"/>
    <n v="7"/>
    <n v="15564"/>
    <n v="815"/>
    <n v="13255"/>
    <n v="1494"/>
    <s v="2015"/>
    <n v="625"/>
    <n v="50"/>
    <m/>
    <n v="3"/>
    <n v="7"/>
    <m/>
  </r>
  <r>
    <n v="106190413"/>
    <s v="190413"/>
    <x v="87"/>
    <x v="17"/>
    <x v="1"/>
    <s v="General Acute Care Hospital"/>
    <s v="210 W. SAN BERNARDINO ROAD"/>
    <s v="COVINA"/>
    <s v="91723"/>
    <s v="Beds 150-199"/>
    <m/>
    <n v="32"/>
    <x v="29"/>
    <x v="12"/>
    <s v="Asuza/Charter Oak/Covina"/>
    <s v="Urban"/>
    <x v="0"/>
    <x v="0"/>
    <x v="0"/>
    <n v="8923"/>
    <n v="6929"/>
    <m/>
    <n v="1672"/>
    <n v="1683"/>
    <n v="2516"/>
    <n v="2105"/>
    <n v="2157"/>
    <n v="2429"/>
    <n v="1410"/>
    <n v="820"/>
    <n v="874"/>
    <n v="186"/>
    <m/>
    <n v="956"/>
    <n v="857"/>
    <n v="9269"/>
    <n v="11"/>
    <n v="245"/>
    <n v="30"/>
    <n v="4484"/>
    <n v="290"/>
    <n v="259"/>
    <n v="33"/>
    <n v="7"/>
    <n v="7"/>
    <m/>
    <m/>
    <m/>
    <n v="162"/>
    <n v="7"/>
    <n v="14901"/>
    <n v="174"/>
    <n v="4"/>
    <m/>
    <m/>
    <n v="36"/>
    <n v="2908"/>
    <n v="17"/>
    <n v="11254"/>
    <n v="1637"/>
    <m/>
    <n v="15852"/>
    <n v="490"/>
    <n v="13637"/>
    <n v="1725"/>
    <n v="2783"/>
    <n v="3002"/>
    <m/>
    <n v="68"/>
    <n v="533"/>
    <n v="516"/>
    <n v="605"/>
    <n v="964"/>
    <n v="918"/>
    <n v="929"/>
    <n v="1252"/>
    <m/>
    <m/>
    <m/>
    <n v="492"/>
    <n v="308"/>
    <n v="2575"/>
    <n v="73"/>
    <n v="9"/>
    <n v="2320"/>
    <n v="8"/>
    <n v="15"/>
    <n v="773"/>
    <n v="187"/>
    <n v="55"/>
    <m/>
    <m/>
    <n v="250"/>
    <n v="3595"/>
    <n v="31"/>
    <n v="9"/>
    <n v="562"/>
    <n v="12"/>
    <n v="273"/>
    <m/>
    <m/>
    <n v="2065"/>
    <n v="2833"/>
    <n v="19"/>
    <n v="717"/>
    <n v="151"/>
    <m/>
    <n v="5785"/>
    <n v="339"/>
    <n v="4575"/>
    <n v="871"/>
    <s v="2015"/>
    <n v="193"/>
    <n v="12"/>
    <m/>
    <n v="8"/>
    <n v="22"/>
    <n v="1"/>
  </r>
  <r>
    <n v="106190422"/>
    <s v="190422"/>
    <x v="88"/>
    <x v="17"/>
    <x v="1"/>
    <s v="General Acute Care Hospital"/>
    <s v="3330 WEST LOMITA BOULEVARD"/>
    <s v="TORRANCE"/>
    <s v="90505-5073"/>
    <s v="Beds 300-499"/>
    <m/>
    <n v="43"/>
    <x v="33"/>
    <x v="14"/>
    <s v="Harbor Gateway South/Lomita/Torrance East Central"/>
    <s v="Urban"/>
    <x v="0"/>
    <x v="0"/>
    <x v="0"/>
    <n v="34116"/>
    <n v="24807"/>
    <n v="2"/>
    <n v="6656"/>
    <n v="5654"/>
    <n v="8486"/>
    <n v="7470"/>
    <n v="6875"/>
    <n v="7211"/>
    <n v="5364"/>
    <n v="4622"/>
    <n v="5336"/>
    <n v="1251"/>
    <m/>
    <n v="7037"/>
    <n v="7062"/>
    <n v="18707"/>
    <n v="93"/>
    <n v="4632"/>
    <n v="276"/>
    <n v="21118"/>
    <n v="472"/>
    <n v="350"/>
    <n v="38"/>
    <m/>
    <n v="1"/>
    <n v="16"/>
    <m/>
    <n v="203"/>
    <n v="592"/>
    <n v="43"/>
    <n v="56477"/>
    <n v="429"/>
    <n v="197"/>
    <m/>
    <n v="92"/>
    <n v="16508"/>
    <n v="13322"/>
    <n v="939"/>
    <n v="24626"/>
    <n v="3492"/>
    <n v="38"/>
    <n v="58925"/>
    <n v="1383"/>
    <n v="53270"/>
    <n v="4272"/>
    <n v="8215"/>
    <n v="6950"/>
    <m/>
    <n v="262"/>
    <n v="623"/>
    <n v="879"/>
    <n v="1221"/>
    <n v="2229"/>
    <n v="2466"/>
    <n v="2720"/>
    <n v="4300"/>
    <n v="189"/>
    <n v="276"/>
    <m/>
    <n v="2328"/>
    <n v="1434"/>
    <n v="2907"/>
    <n v="1015"/>
    <n v="42"/>
    <n v="7424"/>
    <n v="15"/>
    <n v="203"/>
    <n v="162"/>
    <n v="452"/>
    <n v="1821"/>
    <n v="78"/>
    <m/>
    <n v="140"/>
    <n v="9464"/>
    <n v="2465"/>
    <n v="2"/>
    <n v="308"/>
    <n v="54"/>
    <n v="10"/>
    <m/>
    <m/>
    <n v="1445"/>
    <n v="8726"/>
    <n v="120"/>
    <n v="4688"/>
    <n v="183"/>
    <n v="3"/>
    <n v="15165"/>
    <n v="715"/>
    <n v="13368"/>
    <n v="1082"/>
    <s v="2015"/>
    <n v="446"/>
    <n v="29"/>
    <n v="15"/>
    <m/>
    <n v="1"/>
    <n v="5"/>
  </r>
  <r>
    <n v="106190429"/>
    <s v="190429"/>
    <x v="89"/>
    <x v="17"/>
    <x v="1"/>
    <s v="General Acute Care Hospital"/>
    <s v="4867 SUNSET BOULEVARD"/>
    <s v="LOS ANGELES"/>
    <s v="90027"/>
    <s v="Beds 300-499"/>
    <m/>
    <n v="28"/>
    <x v="26"/>
    <x v="19"/>
    <s v="Hollywood South Central/Inner Sunset"/>
    <s v="Urban"/>
    <x v="0"/>
    <x v="1"/>
    <x v="0"/>
    <n v="33571"/>
    <n v="31201"/>
    <n v="1"/>
    <n v="5696"/>
    <n v="4874"/>
    <n v="11312"/>
    <n v="9262"/>
    <n v="8415"/>
    <n v="8037"/>
    <n v="7011"/>
    <n v="4961"/>
    <n v="4062"/>
    <n v="1143"/>
    <m/>
    <n v="7031"/>
    <n v="9340"/>
    <n v="29434"/>
    <n v="187"/>
    <n v="1302"/>
    <n v="2176"/>
    <n v="15303"/>
    <n v="121"/>
    <n v="692"/>
    <n v="16"/>
    <n v="359"/>
    <n v="34"/>
    <n v="20"/>
    <m/>
    <n v="28"/>
    <n v="698"/>
    <n v="2"/>
    <n v="62084"/>
    <n v="186"/>
    <m/>
    <m/>
    <n v="518"/>
    <n v="16120"/>
    <n v="12915"/>
    <n v="262"/>
    <n v="28468"/>
    <n v="7003"/>
    <n v="5"/>
    <n v="64773"/>
    <n v="2009"/>
    <n v="51033"/>
    <n v="11731"/>
    <n v="3912"/>
    <n v="4383"/>
    <n v="1"/>
    <n v="206"/>
    <n v="583"/>
    <n v="564"/>
    <n v="750"/>
    <n v="1166"/>
    <n v="1655"/>
    <n v="1592"/>
    <n v="1549"/>
    <n v="75"/>
    <n v="156"/>
    <m/>
    <n v="1277"/>
    <n v="1164"/>
    <n v="3169"/>
    <n v="66"/>
    <n v="92"/>
    <n v="2498"/>
    <n v="30"/>
    <n v="153"/>
    <n v="119"/>
    <n v="278"/>
    <n v="1586"/>
    <n v="15"/>
    <n v="3"/>
    <n v="6"/>
    <n v="5189"/>
    <n v="757"/>
    <n v="1"/>
    <n v="144"/>
    <n v="29"/>
    <m/>
    <n v="1"/>
    <n v="14"/>
    <n v="792"/>
    <n v="3921"/>
    <n v="24"/>
    <n v="3311"/>
    <n v="248"/>
    <m/>
    <n v="8296"/>
    <n v="321"/>
    <n v="6468"/>
    <n v="1507"/>
    <s v="2015"/>
    <n v="460"/>
    <n v="45"/>
    <n v="15"/>
    <m/>
    <m/>
    <n v="1"/>
  </r>
  <r>
    <n v="106190431"/>
    <s v="190431"/>
    <x v="90"/>
    <x v="17"/>
    <x v="1"/>
    <s v="General Acute Care Hospital"/>
    <s v="25825 SOUTH VERMONT AVENUE"/>
    <s v="HARBOR CITY"/>
    <s v="90710"/>
    <s v="Beds 200-299"/>
    <m/>
    <n v="33"/>
    <x v="33"/>
    <x v="18"/>
    <s v="Harbor Gateway South/Lomita/Torrance East Central"/>
    <s v="Urban"/>
    <x v="0"/>
    <x v="0"/>
    <x v="0"/>
    <n v="30465"/>
    <n v="23650"/>
    <n v="2"/>
    <n v="5726"/>
    <n v="4775"/>
    <n v="7808"/>
    <n v="6353"/>
    <n v="6223"/>
    <n v="6609"/>
    <n v="5701"/>
    <n v="5160"/>
    <n v="4651"/>
    <n v="1111"/>
    <m/>
    <n v="4936"/>
    <n v="17418"/>
    <n v="18705"/>
    <n v="112"/>
    <n v="881"/>
    <n v="1730"/>
    <n v="10335"/>
    <n v="153"/>
    <n v="622"/>
    <n v="29"/>
    <n v="395"/>
    <n v="97"/>
    <n v="4"/>
    <m/>
    <n v="13"/>
    <n v="540"/>
    <n v="5"/>
    <n v="51527"/>
    <n v="186"/>
    <n v="3"/>
    <n v="1"/>
    <n v="496"/>
    <n v="11793"/>
    <n v="12937"/>
    <n v="151"/>
    <n v="25580"/>
    <n v="3654"/>
    <n v="2"/>
    <n v="54117"/>
    <n v="519"/>
    <n v="48521"/>
    <n v="5077"/>
    <n v="3301"/>
    <n v="3038"/>
    <m/>
    <n v="64"/>
    <n v="267"/>
    <n v="326"/>
    <n v="556"/>
    <n v="891"/>
    <n v="1206"/>
    <n v="1377"/>
    <n v="1551"/>
    <n v="31"/>
    <n v="70"/>
    <m/>
    <n v="734"/>
    <n v="2189"/>
    <n v="1448"/>
    <n v="40"/>
    <n v="37"/>
    <n v="1882"/>
    <n v="9"/>
    <n v="276"/>
    <n v="60"/>
    <n v="262"/>
    <n v="1158"/>
    <n v="5"/>
    <m/>
    <n v="2"/>
    <n v="3741"/>
    <n v="607"/>
    <m/>
    <n v="199"/>
    <n v="18"/>
    <m/>
    <n v="2"/>
    <n v="6"/>
    <n v="477"/>
    <n v="3663"/>
    <n v="3"/>
    <n v="2087"/>
    <n v="109"/>
    <m/>
    <n v="6339"/>
    <n v="67"/>
    <n v="5731"/>
    <n v="541"/>
    <s v="2015"/>
    <n v="229"/>
    <n v="37"/>
    <n v="46"/>
    <m/>
    <n v="2"/>
    <n v="1"/>
  </r>
  <r>
    <n v="106190432"/>
    <s v="190432"/>
    <x v="91"/>
    <x v="17"/>
    <x v="1"/>
    <s v="General Acute Care Hospital"/>
    <s v="13652 CANTARA STREET"/>
    <s v="PANORAMA CITY"/>
    <s v="91402"/>
    <s v="Beds 200-299"/>
    <m/>
    <n v="29"/>
    <x v="34"/>
    <x v="22"/>
    <s v="Northridge South/Reseda North"/>
    <s v="Urban"/>
    <x v="0"/>
    <x v="0"/>
    <x v="0"/>
    <n v="31869"/>
    <n v="27020"/>
    <n v="2"/>
    <n v="6676"/>
    <n v="5621"/>
    <n v="8557"/>
    <n v="6743"/>
    <n v="6457"/>
    <n v="6998"/>
    <n v="6466"/>
    <n v="5185"/>
    <n v="4914"/>
    <n v="1274"/>
    <m/>
    <n v="5237"/>
    <n v="3948"/>
    <n v="29878"/>
    <n v="130"/>
    <n v="65"/>
    <n v="506"/>
    <n v="19127"/>
    <n v="607"/>
    <n v="271"/>
    <n v="45"/>
    <n v="401"/>
    <n v="69"/>
    <n v="4"/>
    <m/>
    <n v="13"/>
    <n v="524"/>
    <n v="31"/>
    <n v="56197"/>
    <n v="347"/>
    <n v="2"/>
    <n v="2"/>
    <n v="373"/>
    <n v="15467"/>
    <n v="13815"/>
    <n v="165"/>
    <n v="24627"/>
    <n v="4810"/>
    <n v="7"/>
    <n v="58891"/>
    <n v="694"/>
    <n v="50898"/>
    <n v="7299"/>
    <n v="2160"/>
    <n v="2048"/>
    <m/>
    <n v="79"/>
    <n v="171"/>
    <n v="190"/>
    <n v="338"/>
    <n v="534"/>
    <n v="775"/>
    <n v="892"/>
    <n v="1074"/>
    <n v="54"/>
    <n v="101"/>
    <m/>
    <n v="394"/>
    <n v="278"/>
    <n v="1376"/>
    <n v="9"/>
    <n v="22"/>
    <n v="2119"/>
    <n v="10"/>
    <n v="163"/>
    <n v="26"/>
    <n v="171"/>
    <n v="654"/>
    <n v="11"/>
    <m/>
    <n v="1"/>
    <n v="2369"/>
    <n v="653"/>
    <m/>
    <n v="119"/>
    <n v="15"/>
    <m/>
    <m/>
    <n v="21"/>
    <n v="343"/>
    <n v="2486"/>
    <n v="2"/>
    <n v="1276"/>
    <n v="101"/>
    <m/>
    <n v="4208"/>
    <n v="70"/>
    <n v="3634"/>
    <n v="504"/>
    <s v="2015"/>
    <n v="218"/>
    <n v="34"/>
    <n v="5"/>
    <m/>
    <m/>
    <n v="5"/>
  </r>
  <r>
    <n v="106190434"/>
    <s v="190434"/>
    <x v="92"/>
    <x v="17"/>
    <x v="1"/>
    <s v="General Acute Care Hospital"/>
    <s v="6041 CADILLAC AVENUE"/>
    <s v="LOS ANGELES"/>
    <s v="90034"/>
    <s v="Beds 200-299"/>
    <m/>
    <n v="37"/>
    <x v="22"/>
    <x v="17"/>
    <s v="Hancock Park/Mid-City West/Park La Brea"/>
    <s v="Urban"/>
    <x v="0"/>
    <x v="0"/>
    <x v="0"/>
    <n v="36460"/>
    <n v="27396"/>
    <n v="1"/>
    <n v="5498"/>
    <n v="5063"/>
    <n v="10617"/>
    <n v="7974"/>
    <n v="7015"/>
    <n v="8024"/>
    <n v="7095"/>
    <n v="5611"/>
    <n v="5896"/>
    <n v="1064"/>
    <m/>
    <n v="2290"/>
    <n v="30966"/>
    <n v="17128"/>
    <n v="206"/>
    <n v="1208"/>
    <n v="1954"/>
    <n v="10105"/>
    <n v="583"/>
    <n v="408"/>
    <n v="63"/>
    <n v="507"/>
    <n v="66"/>
    <n v="13"/>
    <m/>
    <n v="47"/>
    <n v="482"/>
    <n v="5"/>
    <n v="60680"/>
    <n v="128"/>
    <n v="6"/>
    <n v="3"/>
    <n v="848"/>
    <n v="17141"/>
    <n v="15044"/>
    <n v="135"/>
    <n v="24060"/>
    <n v="7472"/>
    <n v="5"/>
    <n v="63857"/>
    <n v="803"/>
    <n v="56829"/>
    <n v="6225"/>
    <n v="3191"/>
    <n v="2578"/>
    <m/>
    <n v="36"/>
    <n v="300"/>
    <n v="315"/>
    <n v="445"/>
    <n v="794"/>
    <n v="1060"/>
    <n v="1224"/>
    <n v="1589"/>
    <m/>
    <n v="6"/>
    <m/>
    <n v="317"/>
    <n v="3108"/>
    <n v="1017"/>
    <n v="25"/>
    <n v="23"/>
    <n v="1263"/>
    <n v="16"/>
    <n v="235"/>
    <n v="53"/>
    <n v="223"/>
    <n v="1488"/>
    <n v="14"/>
    <m/>
    <n v="1"/>
    <n v="2930"/>
    <n v="572"/>
    <m/>
    <n v="215"/>
    <n v="7"/>
    <n v="2"/>
    <n v="2"/>
    <n v="26"/>
    <n v="512"/>
    <n v="3303"/>
    <n v="11"/>
    <n v="1791"/>
    <n v="152"/>
    <m/>
    <n v="5769"/>
    <n v="80"/>
    <n v="5170"/>
    <n v="519"/>
    <s v="2015"/>
    <n v="288"/>
    <n v="53"/>
    <n v="18"/>
    <m/>
    <m/>
    <n v="1"/>
  </r>
  <r>
    <n v="106190470"/>
    <s v="190470"/>
    <x v="93"/>
    <x v="17"/>
    <x v="1"/>
    <s v="General Acute Care Hospital"/>
    <s v="4101 TORRANCE BOULEVARD"/>
    <s v="TORRANCE"/>
    <s v="90503"/>
    <s v="Beds 300-499"/>
    <m/>
    <n v="33"/>
    <x v="33"/>
    <x v="14"/>
    <s v="Redondo Beach Central and South/Torrance West Central"/>
    <s v="Urban"/>
    <x v="0"/>
    <x v="0"/>
    <x v="0"/>
    <n v="33689"/>
    <n v="25270"/>
    <m/>
    <n v="8956"/>
    <n v="6087"/>
    <n v="9782"/>
    <n v="8376"/>
    <n v="7042"/>
    <n v="6495"/>
    <n v="4316"/>
    <n v="2950"/>
    <n v="3048"/>
    <n v="1907"/>
    <m/>
    <n v="4756"/>
    <n v="9627"/>
    <n v="24323"/>
    <n v="75"/>
    <n v="3377"/>
    <n v="481"/>
    <n v="16320"/>
    <n v="552"/>
    <n v="925"/>
    <n v="111"/>
    <n v="56"/>
    <n v="22"/>
    <n v="22"/>
    <m/>
    <n v="102"/>
    <n v="324"/>
    <n v="40"/>
    <n v="55644"/>
    <n v="336"/>
    <n v="64"/>
    <n v="39"/>
    <n v="714"/>
    <n v="27103"/>
    <n v="8892"/>
    <n v="1196"/>
    <n v="17157"/>
    <n v="4609"/>
    <n v="2"/>
    <n v="58959"/>
    <n v="1291"/>
    <n v="51408"/>
    <n v="6260"/>
    <n v="7911"/>
    <n v="6346"/>
    <m/>
    <n v="233"/>
    <n v="762"/>
    <n v="929"/>
    <n v="1416"/>
    <n v="2309"/>
    <n v="2400"/>
    <n v="2334"/>
    <n v="3470"/>
    <n v="146"/>
    <n v="258"/>
    <m/>
    <n v="1892"/>
    <n v="2346"/>
    <n v="3698"/>
    <n v="724"/>
    <n v="51"/>
    <n v="5506"/>
    <n v="40"/>
    <n v="337"/>
    <n v="199"/>
    <n v="393"/>
    <n v="1658"/>
    <n v="122"/>
    <m/>
    <n v="32"/>
    <n v="8680"/>
    <n v="2490"/>
    <n v="2"/>
    <n v="255"/>
    <n v="52"/>
    <n v="3"/>
    <n v="5"/>
    <n v="23"/>
    <n v="3174"/>
    <n v="7195"/>
    <n v="113"/>
    <n v="2999"/>
    <n v="775"/>
    <n v="1"/>
    <n v="14257"/>
    <n v="677"/>
    <n v="12013"/>
    <n v="1567"/>
    <s v="2015"/>
    <n v="442"/>
    <n v="29"/>
    <n v="8"/>
    <m/>
    <n v="6"/>
    <m/>
  </r>
  <r>
    <n v="106190475"/>
    <s v="190475"/>
    <x v="94"/>
    <x v="17"/>
    <x v="1"/>
    <s v="General Acute Care Hospital"/>
    <s v="1720 TERMINO AVENUE"/>
    <s v="LONG BEACH"/>
    <s v="90804"/>
    <s v="Beds 200-299"/>
    <m/>
    <n v="47"/>
    <x v="20"/>
    <x v="15"/>
    <s v="Bixby Knolls/Long Beach Central"/>
    <s v="Urban"/>
    <x v="0"/>
    <x v="0"/>
    <x v="0"/>
    <n v="11930"/>
    <n v="9791"/>
    <n v="6"/>
    <n v="1440"/>
    <n v="1993"/>
    <n v="4567"/>
    <n v="3571"/>
    <n v="3156"/>
    <n v="3031"/>
    <n v="1817"/>
    <n v="943"/>
    <n v="1026"/>
    <n v="183"/>
    <m/>
    <n v="1100"/>
    <n v="4657"/>
    <n v="5735"/>
    <n v="32"/>
    <n v="452"/>
    <n v="64"/>
    <n v="9687"/>
    <n v="778"/>
    <m/>
    <n v="34"/>
    <n v="22"/>
    <n v="3"/>
    <n v="11"/>
    <m/>
    <n v="42"/>
    <n v="22"/>
    <n v="1"/>
    <n v="20682"/>
    <n v="104"/>
    <n v="17"/>
    <n v="8"/>
    <n v="2"/>
    <n v="10204"/>
    <n v="3693"/>
    <n v="253"/>
    <n v="4812"/>
    <n v="2765"/>
    <m/>
    <n v="21727"/>
    <n v="197"/>
    <n v="20571"/>
    <n v="959"/>
    <n v="2273"/>
    <n v="2376"/>
    <n v="4"/>
    <n v="97"/>
    <n v="544"/>
    <n v="567"/>
    <n v="630"/>
    <n v="703"/>
    <n v="674"/>
    <n v="539"/>
    <n v="899"/>
    <m/>
    <m/>
    <m/>
    <n v="267"/>
    <n v="828"/>
    <n v="749"/>
    <n v="94"/>
    <n v="18"/>
    <n v="2691"/>
    <n v="6"/>
    <n v="255"/>
    <m/>
    <n v="146"/>
    <n v="277"/>
    <n v="20"/>
    <m/>
    <m/>
    <n v="2902"/>
    <n v="1000"/>
    <n v="2"/>
    <n v="16"/>
    <n v="33"/>
    <n v="1"/>
    <n v="1"/>
    <m/>
    <n v="1561"/>
    <n v="2277"/>
    <n v="34"/>
    <n v="585"/>
    <n v="196"/>
    <m/>
    <n v="4653"/>
    <n v="78"/>
    <n v="4429"/>
    <n v="146"/>
    <s v="2015"/>
    <n v="208"/>
    <n v="21"/>
    <n v="1"/>
    <m/>
    <m/>
    <m/>
  </r>
  <r>
    <n v="106190500"/>
    <s v="190500"/>
    <x v="95"/>
    <x v="17"/>
    <x v="3"/>
    <s v="General Acute Care Hospital"/>
    <s v="4650 LINCOLN BOULEVARD"/>
    <s v="MARINA DEL REY"/>
    <s v="90292"/>
    <s v="Beds 100-149"/>
    <m/>
    <n v="33"/>
    <x v="24"/>
    <x v="14"/>
    <s v="Baldwin Hills/Culver City South/Fox Hills/Ladera Heights/Marina del Rey/View Park/Windsor Hills"/>
    <s v="Urban"/>
    <x v="0"/>
    <x v="0"/>
    <x v="0"/>
    <n v="12381"/>
    <n v="11642"/>
    <m/>
    <n v="971"/>
    <n v="1651"/>
    <n v="5218"/>
    <n v="4136"/>
    <n v="3647"/>
    <n v="3422"/>
    <n v="2241"/>
    <n v="1247"/>
    <n v="1385"/>
    <n v="105"/>
    <m/>
    <n v="1034"/>
    <n v="5942"/>
    <n v="4021"/>
    <n v="43"/>
    <n v="869"/>
    <n v="18"/>
    <n v="12096"/>
    <n v="865"/>
    <n v="1092"/>
    <n v="49"/>
    <n v="5"/>
    <n v="4"/>
    <n v="8"/>
    <m/>
    <n v="263"/>
    <n v="223"/>
    <n v="26"/>
    <n v="21396"/>
    <n v="47"/>
    <n v="45"/>
    <m/>
    <m/>
    <n v="2021"/>
    <n v="4613"/>
    <n v="737"/>
    <n v="14090"/>
    <n v="2562"/>
    <m/>
    <n v="24023"/>
    <n v="118"/>
    <n v="23303"/>
    <n v="602"/>
    <n v="1426"/>
    <n v="1283"/>
    <m/>
    <n v="20"/>
    <n v="154"/>
    <n v="170"/>
    <n v="263"/>
    <n v="387"/>
    <n v="454"/>
    <n v="443"/>
    <n v="818"/>
    <m/>
    <m/>
    <m/>
    <n v="138"/>
    <n v="582"/>
    <n v="320"/>
    <n v="89"/>
    <n v="1"/>
    <n v="1579"/>
    <m/>
    <n v="234"/>
    <n v="114"/>
    <n v="66"/>
    <n v="123"/>
    <n v="71"/>
    <m/>
    <n v="11"/>
    <n v="1558"/>
    <n v="491"/>
    <n v="1"/>
    <n v="23"/>
    <n v="14"/>
    <n v="3"/>
    <m/>
    <m/>
    <n v="441"/>
    <n v="1583"/>
    <n v="35"/>
    <n v="558"/>
    <n v="92"/>
    <m/>
    <n v="2709"/>
    <n v="17"/>
    <n v="2625"/>
    <n v="67"/>
    <s v="2015"/>
    <n v="145"/>
    <n v="18"/>
    <m/>
    <m/>
    <m/>
    <m/>
  </r>
  <r>
    <n v="106190517"/>
    <s v="190517"/>
    <x v="96"/>
    <x v="17"/>
    <x v="1"/>
    <s v="General Acute Care Hospital"/>
    <s v="18321 CLARK STREET"/>
    <s v="TARZANA"/>
    <s v="91356"/>
    <s v="Beds 200-299"/>
    <m/>
    <n v="30"/>
    <x v="28"/>
    <x v="20"/>
    <s v="Encino/Tarzana/Warner Center/Woodland Hills"/>
    <s v="Urban"/>
    <x v="0"/>
    <x v="0"/>
    <x v="0"/>
    <n v="20447"/>
    <n v="15532"/>
    <n v="4"/>
    <n v="5707"/>
    <n v="3720"/>
    <n v="5229"/>
    <n v="4659"/>
    <n v="3963"/>
    <n v="3773"/>
    <n v="2965"/>
    <n v="2128"/>
    <n v="2527"/>
    <n v="1312"/>
    <m/>
    <n v="693"/>
    <n v="1848"/>
    <n v="9195"/>
    <n v="14"/>
    <n v="1110"/>
    <n v="98"/>
    <n v="23025"/>
    <n v="127"/>
    <n v="229"/>
    <n v="32"/>
    <n v="31"/>
    <n v="7"/>
    <n v="11"/>
    <m/>
    <n v="25"/>
    <n v="168"/>
    <n v="4"/>
    <n v="35026"/>
    <n v="162"/>
    <n v="4"/>
    <n v="4"/>
    <n v="144"/>
    <n v="16147"/>
    <n v="6226"/>
    <n v="407"/>
    <n v="10131"/>
    <n v="3071"/>
    <n v="1"/>
    <n v="35983"/>
    <n v="1010"/>
    <n v="33124"/>
    <n v="1849"/>
    <n v="4397"/>
    <n v="3753"/>
    <m/>
    <n v="217"/>
    <n v="252"/>
    <n v="366"/>
    <n v="437"/>
    <n v="849"/>
    <n v="1242"/>
    <n v="1431"/>
    <n v="2878"/>
    <n v="181"/>
    <n v="297"/>
    <m/>
    <n v="234"/>
    <n v="221"/>
    <n v="980"/>
    <n v="147"/>
    <n v="21"/>
    <n v="6543"/>
    <n v="4"/>
    <n v="137"/>
    <n v="87"/>
    <n v="223"/>
    <n v="1643"/>
    <n v="61"/>
    <m/>
    <n v="18"/>
    <n v="4273"/>
    <n v="1554"/>
    <m/>
    <n v="130"/>
    <n v="21"/>
    <n v="1"/>
    <m/>
    <n v="2"/>
    <n v="1233"/>
    <n v="5024"/>
    <n v="34"/>
    <n v="1641"/>
    <n v="218"/>
    <m/>
    <n v="8150"/>
    <n v="590"/>
    <n v="7252"/>
    <n v="308"/>
    <s v="2015"/>
    <n v="249"/>
    <n v="15"/>
    <n v="9"/>
    <m/>
    <m/>
    <m/>
  </r>
  <r>
    <n v="106190521"/>
    <s v="190521"/>
    <x v="97"/>
    <x v="17"/>
    <x v="4"/>
    <s v="General Acute Care Hospital"/>
    <s v="1145 W. REDONDO BEACH BLVD."/>
    <s v="GARDENA"/>
    <s v="90247"/>
    <s v="Beds 150-199"/>
    <m/>
    <n v="43"/>
    <x v="33"/>
    <x v="18"/>
    <s v="Gardena Southeast/Harbor Gateway Central/Lawndale South/Moneta/Redondo Beach North/Torrance North"/>
    <s v="Urban"/>
    <x v="0"/>
    <x v="0"/>
    <x v="0"/>
    <n v="20101"/>
    <n v="15067"/>
    <m/>
    <n v="4324"/>
    <n v="3669"/>
    <n v="7686"/>
    <n v="5558"/>
    <n v="4527"/>
    <n v="4522"/>
    <n v="2380"/>
    <n v="985"/>
    <n v="687"/>
    <n v="830"/>
    <m/>
    <n v="785"/>
    <n v="18078"/>
    <n v="12386"/>
    <n v="30"/>
    <n v="1539"/>
    <m/>
    <n v="2350"/>
    <n v="1010"/>
    <n v="2768"/>
    <n v="47"/>
    <n v="8"/>
    <n v="1"/>
    <m/>
    <m/>
    <n v="311"/>
    <n v="12"/>
    <n v="2"/>
    <n v="30930"/>
    <n v="69"/>
    <n v="7"/>
    <n v="3"/>
    <m/>
    <n v="21923"/>
    <n v="2365"/>
    <n v="1512"/>
    <n v="180"/>
    <n v="9188"/>
    <m/>
    <n v="35168"/>
    <n v="12"/>
    <n v="34520"/>
    <n v="636"/>
    <n v="2682"/>
    <n v="2328"/>
    <m/>
    <n v="39"/>
    <n v="410"/>
    <n v="437"/>
    <n v="605"/>
    <n v="1115"/>
    <n v="1010"/>
    <n v="684"/>
    <n v="710"/>
    <m/>
    <m/>
    <m/>
    <n v="248"/>
    <n v="2668"/>
    <n v="1420"/>
    <n v="175"/>
    <n v="67"/>
    <n v="427"/>
    <n v="5"/>
    <n v="226"/>
    <n v="375"/>
    <n v="141"/>
    <n v="147"/>
    <m/>
    <m/>
    <m/>
    <n v="3326"/>
    <n v="794"/>
    <m/>
    <m/>
    <m/>
    <m/>
    <n v="1"/>
    <m/>
    <n v="2612"/>
    <n v="1882"/>
    <n v="26"/>
    <n v="278"/>
    <n v="212"/>
    <m/>
    <n v="5010"/>
    <n v="7"/>
    <n v="4896"/>
    <n v="107"/>
    <s v="2015"/>
    <n v="172"/>
    <n v="10"/>
    <m/>
    <m/>
    <m/>
    <m/>
  </r>
  <r>
    <n v="106190522"/>
    <s v="190522"/>
    <x v="98"/>
    <x v="17"/>
    <x v="1"/>
    <s v="General Acute Care Hospital"/>
    <s v="1420 SOUTH CENTRAL AVENUE"/>
    <s v="GLENDALE"/>
    <s v="91204"/>
    <s v="Beds 300-499"/>
    <m/>
    <n v="28"/>
    <x v="26"/>
    <x v="21"/>
    <s v="Atwater Village/Glendale Central/Glendale Southwest/Griffith Park"/>
    <s v="Urban"/>
    <x v="0"/>
    <x v="0"/>
    <x v="0"/>
    <n v="18166"/>
    <n v="15365"/>
    <m/>
    <n v="3346"/>
    <n v="2844"/>
    <n v="5200"/>
    <n v="4674"/>
    <n v="4238"/>
    <n v="4402"/>
    <n v="3467"/>
    <n v="2458"/>
    <n v="2271"/>
    <n v="631"/>
    <m/>
    <n v="1798"/>
    <n v="1364"/>
    <n v="14007"/>
    <n v="1"/>
    <n v="6036"/>
    <n v="52"/>
    <n v="10273"/>
    <n v="252"/>
    <n v="637"/>
    <n v="46"/>
    <n v="103"/>
    <n v="9"/>
    <n v="13"/>
    <m/>
    <n v="47"/>
    <n v="18"/>
    <m/>
    <n v="31989"/>
    <n v="140"/>
    <n v="163"/>
    <m/>
    <n v="114"/>
    <n v="17886"/>
    <n v="6714"/>
    <n v="565"/>
    <n v="5578"/>
    <n v="2788"/>
    <m/>
    <n v="33531"/>
    <n v="2627"/>
    <n v="26882"/>
    <n v="4022"/>
    <n v="2835"/>
    <n v="3033"/>
    <m/>
    <n v="42"/>
    <n v="261"/>
    <n v="356"/>
    <n v="512"/>
    <n v="823"/>
    <n v="941"/>
    <n v="1151"/>
    <n v="1755"/>
    <n v="27"/>
    <m/>
    <m/>
    <n v="552"/>
    <n v="258"/>
    <n v="1520"/>
    <n v="1143"/>
    <n v="8"/>
    <n v="2387"/>
    <m/>
    <n v="178"/>
    <n v="969"/>
    <n v="220"/>
    <n v="826"/>
    <n v="190"/>
    <m/>
    <n v="4"/>
    <n v="3349"/>
    <n v="1"/>
    <n v="3"/>
    <n v="100"/>
    <n v="10"/>
    <n v="1"/>
    <m/>
    <n v="17"/>
    <n v="1759"/>
    <n v="3432"/>
    <n v="23"/>
    <n v="591"/>
    <n v="63"/>
    <m/>
    <n v="5868"/>
    <n v="1182"/>
    <n v="3963"/>
    <n v="723"/>
    <s v="2015"/>
    <n v="334"/>
    <n v="15"/>
    <m/>
    <m/>
    <m/>
    <m/>
  </r>
  <r>
    <n v="106190524"/>
    <s v="190524"/>
    <x v="99"/>
    <x v="17"/>
    <x v="5"/>
    <s v="General Acute Care Hospital"/>
    <s v="14850 ROSCOE BOULEVARD"/>
    <s v="PANORAMA CITY"/>
    <s v="91402"/>
    <s v="Beds 100-149"/>
    <m/>
    <n v="29"/>
    <x v="34"/>
    <x v="22"/>
    <s v="Northridge South/Reseda North"/>
    <s v="Urban"/>
    <x v="0"/>
    <x v="0"/>
    <x v="0"/>
    <n v="7397"/>
    <n v="6977"/>
    <n v="5"/>
    <n v="1285"/>
    <n v="1606"/>
    <n v="2560"/>
    <n v="2268"/>
    <n v="2070"/>
    <n v="2225"/>
    <n v="1239"/>
    <n v="582"/>
    <n v="425"/>
    <n v="119"/>
    <m/>
    <n v="874"/>
    <n v="1565"/>
    <n v="8619"/>
    <n v="15"/>
    <n v="121"/>
    <n v="27"/>
    <n v="3158"/>
    <n v="247"/>
    <n v="318"/>
    <n v="9"/>
    <n v="26"/>
    <n v="1"/>
    <m/>
    <m/>
    <n v="108"/>
    <n v="26"/>
    <n v="5"/>
    <n v="12388"/>
    <n v="286"/>
    <n v="1"/>
    <n v="78"/>
    <n v="876"/>
    <n v="9008"/>
    <n v="2221"/>
    <n v="202"/>
    <n v="911"/>
    <n v="2034"/>
    <n v="3"/>
    <n v="14379"/>
    <n v="560"/>
    <n v="9302"/>
    <n v="4517"/>
    <n v="2291"/>
    <n v="3294"/>
    <m/>
    <n v="38"/>
    <n v="627"/>
    <n v="813"/>
    <n v="837"/>
    <n v="1024"/>
    <n v="873"/>
    <n v="629"/>
    <n v="744"/>
    <m/>
    <m/>
    <m/>
    <n v="450"/>
    <n v="1057"/>
    <n v="1719"/>
    <n v="38"/>
    <n v="15"/>
    <n v="2299"/>
    <n v="7"/>
    <n v="152"/>
    <n v="300"/>
    <n v="98"/>
    <n v="235"/>
    <n v="14"/>
    <m/>
    <n v="38"/>
    <n v="3475"/>
    <n v="1198"/>
    <n v="2"/>
    <n v="17"/>
    <n v="26"/>
    <m/>
    <m/>
    <m/>
    <n v="2711"/>
    <n v="2129"/>
    <n v="32"/>
    <n v="648"/>
    <n v="65"/>
    <m/>
    <n v="5585"/>
    <n v="359"/>
    <n v="4421"/>
    <n v="805"/>
    <s v="2015"/>
    <n v="145"/>
    <n v="8"/>
    <n v="9"/>
    <n v="1"/>
    <m/>
    <n v="30"/>
  </r>
  <r>
    <n v="106190525"/>
    <s v="190525"/>
    <x v="100"/>
    <x v="17"/>
    <x v="1"/>
    <s v="General Acute Care Hospital"/>
    <s v="2801 ATLANTIC AVENUE"/>
    <s v="LONG BEACH"/>
    <s v="90806"/>
    <s v="Beds 300-499"/>
    <s v="Level II &amp; Level II - Ped"/>
    <n v="47"/>
    <x v="20"/>
    <x v="15"/>
    <s v="Bixby Knolls/Long Beach Central"/>
    <s v="Urban"/>
    <x v="0"/>
    <x v="1"/>
    <x v="0"/>
    <n v="45527"/>
    <n v="37173"/>
    <m/>
    <n v="20659"/>
    <n v="10606"/>
    <n v="12638"/>
    <n v="9320"/>
    <n v="7416"/>
    <n v="6744"/>
    <n v="4377"/>
    <n v="2485"/>
    <n v="2028"/>
    <n v="6427"/>
    <m/>
    <n v="5823"/>
    <n v="18110"/>
    <n v="43934"/>
    <n v="102"/>
    <n v="2281"/>
    <n v="188"/>
    <n v="12262"/>
    <n v="870"/>
    <m/>
    <n v="69"/>
    <n v="66"/>
    <n v="5"/>
    <n v="22"/>
    <m/>
    <n v="23"/>
    <n v="374"/>
    <m/>
    <n v="77487"/>
    <n v="288"/>
    <n v="3448"/>
    <n v="1"/>
    <n v="1"/>
    <n v="50627"/>
    <n v="7865"/>
    <n v="834"/>
    <n v="15368"/>
    <n v="8006"/>
    <m/>
    <n v="82700"/>
    <n v="932"/>
    <n v="68655"/>
    <n v="13113"/>
    <n v="7914"/>
    <n v="6708"/>
    <m/>
    <n v="211"/>
    <n v="1531"/>
    <n v="1396"/>
    <n v="1726"/>
    <n v="2540"/>
    <n v="2626"/>
    <n v="2190"/>
    <n v="2388"/>
    <n v="4"/>
    <n v="10"/>
    <m/>
    <n v="2072"/>
    <n v="3181"/>
    <n v="4231"/>
    <n v="341"/>
    <n v="31"/>
    <n v="4746"/>
    <n v="20"/>
    <n v="545"/>
    <m/>
    <n v="444"/>
    <n v="1549"/>
    <n v="224"/>
    <m/>
    <m/>
    <n v="9717"/>
    <n v="1886"/>
    <n v="8"/>
    <n v="149"/>
    <n v="38"/>
    <n v="53"/>
    <n v="3"/>
    <n v="2"/>
    <n v="4746"/>
    <n v="6532"/>
    <n v="187"/>
    <n v="2832"/>
    <n v="325"/>
    <m/>
    <n v="14622"/>
    <n v="737"/>
    <n v="12138"/>
    <n v="1747"/>
    <s v="2015"/>
    <n v="458"/>
    <n v="53"/>
    <n v="46"/>
    <m/>
    <n v="4"/>
    <m/>
  </r>
  <r>
    <n v="106190529"/>
    <s v="190529"/>
    <x v="101"/>
    <x v="17"/>
    <x v="1"/>
    <s v="General Acute Care Hospital"/>
    <s v="300 WEST HUNTINGTON DRIVE"/>
    <s v="ARCADIA"/>
    <s v="91007"/>
    <s v="Beds 300-499"/>
    <m/>
    <n v="27"/>
    <x v="18"/>
    <x v="12"/>
    <s v="Arcadia Central and Northeast/Bradbury/Monrovia/Sierra Madre"/>
    <s v="Urban"/>
    <x v="0"/>
    <x v="0"/>
    <x v="0"/>
    <n v="23204"/>
    <n v="18721"/>
    <m/>
    <n v="6001"/>
    <n v="4609"/>
    <n v="6144"/>
    <n v="5185"/>
    <n v="4796"/>
    <n v="4816"/>
    <n v="3419"/>
    <n v="2710"/>
    <n v="3206"/>
    <n v="1039"/>
    <m/>
    <n v="5608"/>
    <n v="1402"/>
    <n v="12813"/>
    <n v="17"/>
    <n v="5788"/>
    <n v="4785"/>
    <n v="11512"/>
    <n v="1522"/>
    <n v="1080"/>
    <n v="78"/>
    <n v="7"/>
    <n v="4"/>
    <n v="33"/>
    <m/>
    <n v="42"/>
    <n v="108"/>
    <n v="44"/>
    <n v="38811"/>
    <n v="193"/>
    <n v="3"/>
    <m/>
    <m/>
    <n v="4604"/>
    <n v="8057"/>
    <n v="479"/>
    <n v="23728"/>
    <n v="5057"/>
    <m/>
    <n v="41925"/>
    <n v="1749"/>
    <n v="36715"/>
    <n v="3461"/>
    <n v="6299"/>
    <n v="5298"/>
    <m/>
    <n v="106"/>
    <n v="455"/>
    <n v="643"/>
    <n v="979"/>
    <n v="1550"/>
    <n v="1942"/>
    <n v="2217"/>
    <n v="3699"/>
    <n v="6"/>
    <m/>
    <m/>
    <n v="2156"/>
    <n v="604"/>
    <n v="1993"/>
    <n v="1945"/>
    <n v="14"/>
    <n v="4882"/>
    <n v="3"/>
    <n v="515"/>
    <n v="212"/>
    <n v="428"/>
    <n v="654"/>
    <n v="382"/>
    <m/>
    <n v="7"/>
    <n v="6782"/>
    <n v="2344"/>
    <n v="1"/>
    <n v="204"/>
    <n v="64"/>
    <m/>
    <m/>
    <n v="1"/>
    <n v="890"/>
    <n v="6873"/>
    <n v="50"/>
    <n v="3625"/>
    <n v="158"/>
    <n v="1"/>
    <n v="11597"/>
    <n v="1235"/>
    <n v="9245"/>
    <n v="1117"/>
    <s v="2015"/>
    <n v="400"/>
    <n v="38"/>
    <m/>
    <m/>
    <n v="3"/>
    <m/>
  </r>
  <r>
    <n v="106190534"/>
    <s v="190534"/>
    <x v="102"/>
    <x v="17"/>
    <x v="5"/>
    <s v="General Acute Care Hospital"/>
    <s v="5900 WEST OLYMPIC BLVD"/>
    <s v="LOS ANGELES"/>
    <s v="90036"/>
    <s v="Beds 200-299"/>
    <m/>
    <n v="37"/>
    <x v="35"/>
    <x v="14"/>
    <s v="Hancock Park/Mid-City West/Park La Brea"/>
    <s v="Urban"/>
    <x v="0"/>
    <x v="0"/>
    <x v="0"/>
    <n v="12587"/>
    <n v="10457"/>
    <n v="2"/>
    <n v="1391"/>
    <n v="1789"/>
    <n v="4613"/>
    <n v="3867"/>
    <n v="3448"/>
    <n v="3711"/>
    <n v="2240"/>
    <n v="999"/>
    <n v="835"/>
    <n v="153"/>
    <m/>
    <n v="760"/>
    <n v="10576"/>
    <n v="4734"/>
    <m/>
    <n v="2616"/>
    <n v="89"/>
    <n v="4271"/>
    <n v="853"/>
    <n v="1102"/>
    <n v="34"/>
    <n v="1"/>
    <m/>
    <m/>
    <m/>
    <n v="167"/>
    <n v="144"/>
    <n v="137"/>
    <n v="20424"/>
    <n v="176"/>
    <n v="1"/>
    <m/>
    <n v="5"/>
    <n v="11444"/>
    <n v="3857"/>
    <n v="895"/>
    <n v="3226"/>
    <n v="3624"/>
    <m/>
    <n v="23046"/>
    <n v="391"/>
    <n v="20928"/>
    <n v="1727"/>
    <n v="2619"/>
    <n v="2416"/>
    <m/>
    <n v="26"/>
    <n v="182"/>
    <n v="279"/>
    <n v="477"/>
    <n v="931"/>
    <n v="1011"/>
    <n v="839"/>
    <n v="1290"/>
    <m/>
    <m/>
    <m/>
    <n v="332"/>
    <n v="2161"/>
    <n v="785"/>
    <n v="440"/>
    <n v="12"/>
    <n v="1305"/>
    <m/>
    <n v="59"/>
    <n v="231"/>
    <n v="163"/>
    <n v="677"/>
    <n v="62"/>
    <m/>
    <n v="109"/>
    <n v="2021"/>
    <n v="1505"/>
    <m/>
    <n v="50"/>
    <n v="17"/>
    <n v="139"/>
    <n v="1"/>
    <n v="1"/>
    <n v="1516"/>
    <n v="3217"/>
    <n v="32"/>
    <n v="193"/>
    <n v="76"/>
    <n v="1"/>
    <n v="5035"/>
    <n v="481"/>
    <n v="4038"/>
    <n v="516"/>
    <s v="2015"/>
    <n v="204"/>
    <n v="16"/>
    <n v="2"/>
    <m/>
    <m/>
    <m/>
  </r>
  <r>
    <n v="106190547"/>
    <s v="190547"/>
    <x v="103"/>
    <x v="17"/>
    <x v="4"/>
    <s v="General Acute Care Hospital"/>
    <s v="900 SOUTH ATLANTIC BOULEVARD"/>
    <s v="MONTEREY PARK"/>
    <s v="91754-4780"/>
    <s v="Beds 100-149"/>
    <m/>
    <n v="27"/>
    <x v="18"/>
    <x v="12"/>
    <s v="Montebello North/Monterey Park/South San Gabriel"/>
    <s v="Urban"/>
    <x v="0"/>
    <x v="0"/>
    <x v="0"/>
    <n v="9413"/>
    <n v="6544"/>
    <m/>
    <n v="2641"/>
    <n v="1860"/>
    <n v="2604"/>
    <n v="2216"/>
    <n v="1654"/>
    <n v="1723"/>
    <n v="1187"/>
    <n v="748"/>
    <n v="747"/>
    <n v="577"/>
    <m/>
    <n v="715"/>
    <n v="301"/>
    <n v="14339"/>
    <n v="3"/>
    <n v="38"/>
    <n v="4"/>
    <n v="557"/>
    <n v="239"/>
    <n v="1144"/>
    <n v="7"/>
    <m/>
    <m/>
    <m/>
    <m/>
    <n v="8"/>
    <n v="66"/>
    <m/>
    <n v="14423"/>
    <n v="16"/>
    <n v="3"/>
    <m/>
    <m/>
    <n v="2695"/>
    <n v="2016"/>
    <n v="152"/>
    <n v="9729"/>
    <n v="1365"/>
    <m/>
    <n v="15957"/>
    <n v="193"/>
    <n v="10346"/>
    <n v="5418"/>
    <n v="1347"/>
    <n v="1076"/>
    <m/>
    <n v="61"/>
    <n v="158"/>
    <n v="179"/>
    <n v="231"/>
    <n v="395"/>
    <n v="429"/>
    <n v="392"/>
    <n v="531"/>
    <n v="14"/>
    <n v="33"/>
    <m/>
    <n v="168"/>
    <n v="50"/>
    <n v="2087"/>
    <n v="8"/>
    <n v="1"/>
    <n v="109"/>
    <m/>
    <n v="127"/>
    <n v="101"/>
    <n v="48"/>
    <n v="273"/>
    <n v="7"/>
    <m/>
    <n v="1"/>
    <n v="1613"/>
    <n v="216"/>
    <m/>
    <n v="31"/>
    <n v="1"/>
    <m/>
    <m/>
    <n v="4"/>
    <n v="1100"/>
    <n v="1083"/>
    <n v="15"/>
    <n v="195"/>
    <n v="27"/>
    <n v="3"/>
    <n v="2423"/>
    <n v="53"/>
    <n v="1088"/>
    <n v="1282"/>
    <s v="2015"/>
    <n v="101"/>
    <n v="6"/>
    <m/>
    <n v="51"/>
    <n v="1"/>
    <m/>
  </r>
  <r>
    <n v="106190555"/>
    <s v="190555"/>
    <x v="104"/>
    <x v="17"/>
    <x v="1"/>
    <s v="General Acute Care Hospital"/>
    <s v="8700 BEVERLY BOULEVARD"/>
    <s v="LOS ANGELES"/>
    <s v="90048"/>
    <s v="Beds 500+"/>
    <s v="Level I &amp; Level II - Ped"/>
    <n v="28"/>
    <x v="35"/>
    <x v="14"/>
    <s v="Hollywood Hills/Hollywood West/Mount Olympus/West Hollywood"/>
    <s v="Urban"/>
    <x v="0"/>
    <x v="1"/>
    <x v="0"/>
    <n v="33630"/>
    <n v="29486"/>
    <n v="6"/>
    <n v="3733"/>
    <n v="3218"/>
    <n v="11394"/>
    <n v="10775"/>
    <n v="8624"/>
    <n v="8800"/>
    <n v="6518"/>
    <n v="4320"/>
    <n v="4853"/>
    <n v="857"/>
    <n v="30"/>
    <n v="3152"/>
    <n v="13977"/>
    <n v="10841"/>
    <n v="49"/>
    <n v="3129"/>
    <n v="274"/>
    <n v="31700"/>
    <n v="38"/>
    <n v="1254"/>
    <n v="129"/>
    <n v="560"/>
    <n v="15"/>
    <n v="6"/>
    <m/>
    <m/>
    <n v="823"/>
    <n v="14"/>
    <n v="58913"/>
    <n v="175"/>
    <m/>
    <m/>
    <n v="1195"/>
    <n v="16108"/>
    <n v="14247"/>
    <n v="1619"/>
    <n v="24521"/>
    <n v="6627"/>
    <m/>
    <n v="63122"/>
    <n v="2978"/>
    <n v="57637"/>
    <n v="2507"/>
    <n v="12158"/>
    <n v="12197"/>
    <m/>
    <n v="361"/>
    <n v="1780"/>
    <n v="2184"/>
    <n v="2287"/>
    <n v="3317"/>
    <n v="4019"/>
    <n v="3784"/>
    <n v="6065"/>
    <n v="214"/>
    <n v="344"/>
    <m/>
    <n v="1271"/>
    <n v="4671"/>
    <n v="3079"/>
    <n v="890"/>
    <n v="78"/>
    <n v="14347"/>
    <n v="19"/>
    <n v="236"/>
    <n v="346"/>
    <n v="728"/>
    <n v="6165"/>
    <n v="409"/>
    <m/>
    <n v="19"/>
    <n v="12782"/>
    <n v="3092"/>
    <m/>
    <n v="347"/>
    <n v="80"/>
    <m/>
    <m/>
    <n v="151"/>
    <n v="3747"/>
    <n v="13605"/>
    <n v="261"/>
    <n v="6318"/>
    <n v="424"/>
    <m/>
    <n v="24355"/>
    <n v="2882"/>
    <n v="20341"/>
    <n v="1132"/>
    <s v="2015"/>
    <n v="886"/>
    <n v="51"/>
    <m/>
    <m/>
    <m/>
    <m/>
  </r>
  <r>
    <n v="106190568"/>
    <s v="190568"/>
    <x v="105"/>
    <x v="17"/>
    <x v="1"/>
    <s v="General Acute Care Hospital"/>
    <s v="18300 ROSCOE BOULEVARD"/>
    <s v="NORTHRIDGE"/>
    <s v="91325"/>
    <s v="Beds 300-499"/>
    <s v="Level II &amp; Level II - Ped"/>
    <n v="30"/>
    <x v="28"/>
    <x v="20"/>
    <s v="Northridge South/Reseda North"/>
    <s v="Urban"/>
    <x v="0"/>
    <x v="0"/>
    <x v="0"/>
    <n v="25494"/>
    <n v="22221"/>
    <n v="3"/>
    <n v="6457"/>
    <n v="5513"/>
    <n v="8746"/>
    <n v="6326"/>
    <n v="5754"/>
    <n v="5574"/>
    <n v="3658"/>
    <n v="2240"/>
    <n v="2214"/>
    <n v="1236"/>
    <m/>
    <n v="2541"/>
    <n v="3764"/>
    <n v="22885"/>
    <n v="68"/>
    <n v="3056"/>
    <n v="270"/>
    <n v="15134"/>
    <n v="619"/>
    <n v="1307"/>
    <n v="87"/>
    <n v="171"/>
    <n v="24"/>
    <m/>
    <m/>
    <m/>
    <n v="44"/>
    <n v="1"/>
    <n v="45117"/>
    <n v="160"/>
    <m/>
    <n v="4"/>
    <m/>
    <n v="26213"/>
    <n v="6485"/>
    <n v="851"/>
    <n v="9381"/>
    <n v="4788"/>
    <m/>
    <n v="47718"/>
    <n v="879"/>
    <n v="37906"/>
    <n v="8933"/>
    <n v="4917"/>
    <n v="5042"/>
    <n v="1"/>
    <n v="456"/>
    <n v="650"/>
    <n v="677"/>
    <n v="926"/>
    <n v="1397"/>
    <n v="1537"/>
    <n v="1517"/>
    <n v="2196"/>
    <n v="188"/>
    <n v="416"/>
    <m/>
    <n v="751"/>
    <n v="535"/>
    <n v="2943"/>
    <n v="841"/>
    <n v="43"/>
    <n v="4823"/>
    <n v="24"/>
    <n v="284"/>
    <n v="211"/>
    <n v="257"/>
    <n v="1071"/>
    <n v="100"/>
    <m/>
    <n v="254"/>
    <n v="6035"/>
    <n v="1483"/>
    <n v="6"/>
    <n v="200"/>
    <n v="29"/>
    <m/>
    <n v="3"/>
    <n v="27"/>
    <n v="2826"/>
    <n v="4934"/>
    <n v="92"/>
    <n v="1869"/>
    <n v="239"/>
    <m/>
    <n v="9960"/>
    <n v="592"/>
    <n v="8072"/>
    <n v="1296"/>
    <s v="2015"/>
    <n v="409"/>
    <n v="25"/>
    <m/>
    <n v="184"/>
    <m/>
    <m/>
  </r>
  <r>
    <n v="106190570"/>
    <s v="190570"/>
    <x v="106"/>
    <x v="17"/>
    <x v="5"/>
    <s v="General Acute Care Hospital"/>
    <s v="13222 BLOOMFIELD AVENUE"/>
    <s v="NORWALK"/>
    <s v="90650"/>
    <s v="Beds 50-99"/>
    <m/>
    <n v="38"/>
    <x v="30"/>
    <x v="16"/>
    <s v="Norwalk/Studebaker"/>
    <s v="Urban"/>
    <x v="0"/>
    <x v="0"/>
    <x v="0"/>
    <n v="2692"/>
    <n v="2658"/>
    <m/>
    <n v="481"/>
    <n v="529"/>
    <n v="894"/>
    <n v="743"/>
    <n v="723"/>
    <n v="865"/>
    <n v="581"/>
    <n v="282"/>
    <n v="186"/>
    <n v="66"/>
    <m/>
    <n v="234"/>
    <n v="540"/>
    <n v="3304"/>
    <n v="2"/>
    <n v="163"/>
    <n v="56"/>
    <n v="1051"/>
    <n v="474"/>
    <n v="441"/>
    <n v="11"/>
    <n v="7"/>
    <m/>
    <n v="4"/>
    <m/>
    <n v="37"/>
    <n v="22"/>
    <n v="13"/>
    <n v="4070"/>
    <n v="262"/>
    <m/>
    <m/>
    <m/>
    <n v="2466"/>
    <n v="1130"/>
    <n v="72"/>
    <n v="1094"/>
    <n v="588"/>
    <m/>
    <n v="5350"/>
    <n v="47"/>
    <n v="4411"/>
    <n v="892"/>
    <n v="930"/>
    <n v="1162"/>
    <m/>
    <n v="14"/>
    <n v="82"/>
    <n v="146"/>
    <n v="246"/>
    <n v="440"/>
    <n v="505"/>
    <n v="335"/>
    <n v="324"/>
    <m/>
    <m/>
    <m/>
    <n v="130"/>
    <n v="331"/>
    <n v="905"/>
    <n v="46"/>
    <n v="13"/>
    <n v="663"/>
    <n v="4"/>
    <n v="203"/>
    <n v="104"/>
    <n v="47"/>
    <n v="8"/>
    <n v="8"/>
    <m/>
    <n v="29"/>
    <n v="796"/>
    <n v="800"/>
    <n v="4"/>
    <n v="7"/>
    <n v="83"/>
    <m/>
    <m/>
    <n v="3"/>
    <n v="802"/>
    <n v="1166"/>
    <n v="34"/>
    <n v="73"/>
    <n v="17"/>
    <m/>
    <n v="2092"/>
    <n v="40"/>
    <n v="1663"/>
    <n v="389"/>
    <s v="2015"/>
    <n v="50"/>
    <n v="4"/>
    <n v="9"/>
    <m/>
    <m/>
    <m/>
  </r>
  <r>
    <n v="106190587"/>
    <s v="190587"/>
    <x v="107"/>
    <x v="17"/>
    <x v="5"/>
    <s v="General Acute Care Hospital"/>
    <s v="2776 PACIFIC AVENUE"/>
    <s v="LONG BEACH"/>
    <s v="90806"/>
    <s v="Beds 150-199"/>
    <m/>
    <n v="47"/>
    <x v="20"/>
    <x v="15"/>
    <s v="Bixby Knolls/Long Beach Central"/>
    <s v="Urban"/>
    <x v="0"/>
    <x v="0"/>
    <x v="0"/>
    <n v="5322"/>
    <n v="4804"/>
    <n v="3"/>
    <n v="546"/>
    <n v="845"/>
    <n v="1950"/>
    <n v="1804"/>
    <n v="1539"/>
    <n v="1595"/>
    <n v="1020"/>
    <n v="414"/>
    <n v="334"/>
    <n v="82"/>
    <m/>
    <n v="805"/>
    <n v="3556"/>
    <n v="3252"/>
    <n v="34"/>
    <n v="338"/>
    <n v="29"/>
    <n v="2115"/>
    <n v="237"/>
    <n v="578"/>
    <n v="12"/>
    <n v="10"/>
    <n v="2"/>
    <n v="1"/>
    <m/>
    <n v="73"/>
    <n v="343"/>
    <n v="38"/>
    <n v="8396"/>
    <n v="352"/>
    <n v="14"/>
    <n v="9"/>
    <n v="46"/>
    <n v="5739"/>
    <n v="2021"/>
    <n v="78"/>
    <n v="918"/>
    <n v="1373"/>
    <m/>
    <n v="10129"/>
    <n v="141"/>
    <n v="9244"/>
    <n v="744"/>
    <n v="2109"/>
    <n v="3099"/>
    <m/>
    <n v="74"/>
    <n v="783"/>
    <n v="794"/>
    <n v="864"/>
    <n v="1169"/>
    <n v="713"/>
    <n v="413"/>
    <n v="398"/>
    <m/>
    <m/>
    <m/>
    <n v="456"/>
    <n v="1636"/>
    <n v="1185"/>
    <n v="51"/>
    <n v="18"/>
    <n v="1836"/>
    <n v="26"/>
    <n v="159"/>
    <n v="185"/>
    <n v="68"/>
    <n v="119"/>
    <n v="7"/>
    <m/>
    <n v="72"/>
    <n v="3672"/>
    <n v="710"/>
    <n v="4"/>
    <n v="25"/>
    <n v="181"/>
    <m/>
    <n v="1"/>
    <n v="2"/>
    <n v="3302"/>
    <n v="1644"/>
    <n v="25"/>
    <n v="151"/>
    <n v="85"/>
    <n v="1"/>
    <n v="5208"/>
    <n v="229"/>
    <n v="4314"/>
    <n v="665"/>
    <s v="2015"/>
    <n v="157"/>
    <n v="7"/>
    <n v="7"/>
    <n v="11"/>
    <n v="2"/>
    <n v="1"/>
  </r>
  <r>
    <n v="106190630"/>
    <s v="190630"/>
    <x v="108"/>
    <x v="17"/>
    <x v="1"/>
    <s v="General Acute Care Hospital"/>
    <s v="1798 NORTH GAREY AVENUE"/>
    <s v="POMONA"/>
    <s v="91767"/>
    <s v="Beds 300-499"/>
    <m/>
    <n v="35"/>
    <x v="36"/>
    <x v="23"/>
    <s v="Claremont/La Verne/Pomona Northwest/San Dimas"/>
    <s v="Urban"/>
    <x v="0"/>
    <x v="0"/>
    <x v="0"/>
    <n v="47655"/>
    <n v="36925"/>
    <m/>
    <n v="12762"/>
    <n v="9379"/>
    <n v="14262"/>
    <n v="10829"/>
    <n v="9457"/>
    <n v="9555"/>
    <n v="6219"/>
    <n v="4036"/>
    <n v="4389"/>
    <n v="3692"/>
    <m/>
    <n v="3468"/>
    <n v="7475"/>
    <n v="45863"/>
    <n v="16"/>
    <n v="5401"/>
    <n v="53"/>
    <n v="22304"/>
    <n v="747"/>
    <n v="1764"/>
    <n v="139"/>
    <n v="40"/>
    <n v="69"/>
    <n v="26"/>
    <m/>
    <n v="598"/>
    <n v="248"/>
    <n v="74"/>
    <n v="80380"/>
    <n v="369"/>
    <n v="25"/>
    <n v="61"/>
    <n v="29"/>
    <n v="48725"/>
    <n v="10700"/>
    <n v="2303"/>
    <n v="15165"/>
    <n v="7687"/>
    <m/>
    <n v="84580"/>
    <n v="1062"/>
    <n v="71540"/>
    <n v="11978"/>
    <n v="5193"/>
    <n v="5101"/>
    <m/>
    <n v="278"/>
    <n v="562"/>
    <n v="644"/>
    <n v="901"/>
    <n v="1586"/>
    <n v="1742"/>
    <n v="1783"/>
    <n v="2201"/>
    <n v="258"/>
    <n v="339"/>
    <m/>
    <n v="713"/>
    <n v="882"/>
    <n v="4228"/>
    <n v="583"/>
    <n v="4"/>
    <n v="3881"/>
    <n v="3"/>
    <n v="393"/>
    <n v="168"/>
    <n v="483"/>
    <n v="480"/>
    <n v="216"/>
    <m/>
    <n v="120"/>
    <n v="6730"/>
    <n v="1417"/>
    <n v="22"/>
    <n v="208"/>
    <n v="17"/>
    <n v="35"/>
    <m/>
    <n v="5"/>
    <n v="3824"/>
    <n v="5050"/>
    <n v="36"/>
    <n v="1309"/>
    <n v="75"/>
    <m/>
    <n v="10294"/>
    <n v="282"/>
    <n v="8688"/>
    <n v="1324"/>
    <s v="2015"/>
    <n v="437"/>
    <n v="50"/>
    <m/>
    <n v="11"/>
    <m/>
    <m/>
  </r>
  <r>
    <n v="106190631"/>
    <s v="190631"/>
    <x v="109"/>
    <x v="17"/>
    <x v="1"/>
    <s v="General Acute Care Hospital"/>
    <s v="12401 EAST WASHINGTON BLVD."/>
    <s v="WHITTIER"/>
    <s v="90602"/>
    <s v="Beds 500+"/>
    <m/>
    <n v="38"/>
    <x v="30"/>
    <x v="16"/>
    <s v="La Habra Heights/Whittier"/>
    <s v="Urban"/>
    <x v="0"/>
    <x v="0"/>
    <x v="0"/>
    <n v="35073"/>
    <n v="26814"/>
    <m/>
    <n v="9986"/>
    <n v="7555"/>
    <n v="9343"/>
    <n v="7937"/>
    <n v="6625"/>
    <n v="6334"/>
    <n v="4546"/>
    <n v="3516"/>
    <n v="3923"/>
    <n v="2121"/>
    <n v="1"/>
    <n v="1211"/>
    <n v="822"/>
    <n v="50135"/>
    <n v="37"/>
    <n v="78"/>
    <n v="56"/>
    <n v="9548"/>
    <n v="2417"/>
    <n v="3181"/>
    <n v="72"/>
    <n v="84"/>
    <n v="20"/>
    <m/>
    <m/>
    <n v="20"/>
    <n v="369"/>
    <n v="16"/>
    <n v="55187"/>
    <n v="252"/>
    <n v="265"/>
    <m/>
    <n v="2"/>
    <n v="30107"/>
    <n v="11266"/>
    <n v="1047"/>
    <n v="15872"/>
    <n v="3595"/>
    <m/>
    <n v="61887"/>
    <n v="214"/>
    <n v="53540"/>
    <n v="8133"/>
    <n v="6555"/>
    <n v="5576"/>
    <m/>
    <n v="247"/>
    <n v="579"/>
    <n v="752"/>
    <n v="1167"/>
    <n v="1651"/>
    <n v="1916"/>
    <n v="2097"/>
    <n v="3363"/>
    <n v="166"/>
    <n v="193"/>
    <m/>
    <n v="451"/>
    <n v="201"/>
    <n v="7566"/>
    <n v="26"/>
    <n v="3"/>
    <n v="3878"/>
    <n v="6"/>
    <n v="504"/>
    <n v="121"/>
    <n v="343"/>
    <n v="2134"/>
    <n v="169"/>
    <m/>
    <n v="25"/>
    <n v="6744"/>
    <n v="1745"/>
    <m/>
    <n v="304"/>
    <n v="30"/>
    <n v="9"/>
    <m/>
    <n v="3"/>
    <n v="2188"/>
    <n v="7151"/>
    <n v="69"/>
    <n v="2557"/>
    <n v="166"/>
    <m/>
    <n v="12131"/>
    <n v="99"/>
    <n v="10245"/>
    <n v="1787"/>
    <s v="2015"/>
    <n v="548"/>
    <n v="61"/>
    <m/>
    <n v="2"/>
    <m/>
    <m/>
  </r>
  <r>
    <n v="106190636"/>
    <s v="190636"/>
    <x v="110"/>
    <x v="17"/>
    <x v="1"/>
    <s v="General Acute Care Hospital"/>
    <s v="1115 SOUTH SUNSET AVENUE"/>
    <s v="WEST COVINA"/>
    <s v="91790"/>
    <s v="Beds 300-499"/>
    <m/>
    <n v="32"/>
    <x v="29"/>
    <x v="12"/>
    <s v="Valinda/West Covina"/>
    <s v="Urban"/>
    <x v="0"/>
    <x v="0"/>
    <x v="0"/>
    <n v="23583"/>
    <n v="19140"/>
    <n v="1"/>
    <n v="7953"/>
    <n v="5256"/>
    <n v="7080"/>
    <n v="5164"/>
    <n v="4422"/>
    <n v="4500"/>
    <n v="3169"/>
    <n v="2068"/>
    <n v="1772"/>
    <n v="1340"/>
    <m/>
    <n v="3051"/>
    <n v="1441"/>
    <n v="32289"/>
    <n v="36"/>
    <n v="512"/>
    <n v="71"/>
    <n v="5324"/>
    <n v="874"/>
    <n v="997"/>
    <n v="45"/>
    <n v="2"/>
    <n v="12"/>
    <m/>
    <m/>
    <m/>
    <n v="201"/>
    <n v="1"/>
    <n v="40317"/>
    <n v="247"/>
    <n v="15"/>
    <m/>
    <m/>
    <n v="156"/>
    <n v="6417"/>
    <n v="396"/>
    <n v="30006"/>
    <n v="5749"/>
    <m/>
    <n v="42724"/>
    <n v="1239"/>
    <n v="33469"/>
    <n v="8016"/>
    <n v="5294"/>
    <n v="4372"/>
    <m/>
    <n v="242"/>
    <n v="668"/>
    <n v="784"/>
    <n v="1099"/>
    <n v="1645"/>
    <n v="1525"/>
    <n v="1421"/>
    <n v="1739"/>
    <n v="270"/>
    <n v="273"/>
    <m/>
    <n v="1128"/>
    <n v="302"/>
    <n v="6363"/>
    <n v="125"/>
    <n v="2"/>
    <n v="1733"/>
    <n v="13"/>
    <n v="7"/>
    <n v="1092"/>
    <n v="225"/>
    <n v="45"/>
    <m/>
    <m/>
    <n v="137"/>
    <n v="6379"/>
    <n v="108"/>
    <n v="4"/>
    <n v="1045"/>
    <m/>
    <n v="623"/>
    <m/>
    <m/>
    <n v="4590"/>
    <n v="3541"/>
    <n v="82"/>
    <n v="1170"/>
    <n v="283"/>
    <m/>
    <n v="9666"/>
    <n v="671"/>
    <n v="6254"/>
    <n v="2741"/>
    <s v="2015"/>
    <n v="325"/>
    <n v="30"/>
    <m/>
    <n v="13"/>
    <n v="1"/>
    <m/>
  </r>
  <r>
    <n v="106190673"/>
    <s v="190673"/>
    <x v="111"/>
    <x v="17"/>
    <x v="5"/>
    <s v="General Acute Care Hospital"/>
    <s v="1350 WEST COVINA BOULEVARD"/>
    <s v="SAN DIMAS"/>
    <s v="91773"/>
    <s v="Beds 100-149"/>
    <m/>
    <n v="32"/>
    <x v="32"/>
    <x v="21"/>
    <s v="Claremont/La Verne/Pomona Northwest/San Dimas"/>
    <s v="Urban"/>
    <x v="0"/>
    <x v="0"/>
    <x v="0"/>
    <n v="8862"/>
    <n v="6881"/>
    <m/>
    <n v="1683"/>
    <n v="1993"/>
    <n v="2757"/>
    <n v="2219"/>
    <n v="1974"/>
    <n v="1818"/>
    <n v="1171"/>
    <n v="879"/>
    <n v="1008"/>
    <n v="241"/>
    <m/>
    <n v="884"/>
    <n v="1071"/>
    <n v="6254"/>
    <n v="19"/>
    <n v="105"/>
    <n v="48"/>
    <n v="7362"/>
    <n v="332"/>
    <n v="1034"/>
    <n v="22"/>
    <n v="5"/>
    <m/>
    <n v="2"/>
    <m/>
    <n v="282"/>
    <n v="68"/>
    <n v="6"/>
    <n v="13930"/>
    <n v="62"/>
    <m/>
    <m/>
    <m/>
    <n v="1477"/>
    <n v="2743"/>
    <n v="619"/>
    <n v="9648"/>
    <n v="1256"/>
    <m/>
    <n v="15743"/>
    <n v="36"/>
    <n v="15472"/>
    <n v="235"/>
    <n v="1138"/>
    <n v="883"/>
    <m/>
    <n v="17"/>
    <n v="63"/>
    <n v="99"/>
    <n v="156"/>
    <n v="272"/>
    <n v="354"/>
    <n v="411"/>
    <n v="649"/>
    <m/>
    <m/>
    <m/>
    <n v="183"/>
    <n v="93"/>
    <n v="558"/>
    <n v="6"/>
    <n v="4"/>
    <n v="1174"/>
    <n v="3"/>
    <n v="246"/>
    <n v="42"/>
    <n v="53"/>
    <n v="139"/>
    <n v="24"/>
    <m/>
    <n v="47"/>
    <n v="964"/>
    <n v="433"/>
    <m/>
    <n v="37"/>
    <n v="22"/>
    <n v="13"/>
    <m/>
    <m/>
    <n v="31"/>
    <n v="1427"/>
    <n v="45"/>
    <n v="496"/>
    <n v="22"/>
    <m/>
    <n v="2021"/>
    <n v="13"/>
    <n v="1965"/>
    <n v="43"/>
    <s v="2015"/>
    <n v="101"/>
    <n v="8"/>
    <m/>
    <m/>
    <m/>
    <n v="1"/>
  </r>
  <r>
    <n v="106190680"/>
    <s v="190680"/>
    <x v="112"/>
    <x v="17"/>
    <x v="1"/>
    <s v="General Acute Care Hospital"/>
    <s v="1300 WEST SEVENTH STREET"/>
    <s v="SAN PEDRO"/>
    <s v="90732"/>
    <s v="Beds 300-499"/>
    <m/>
    <n v="44"/>
    <x v="20"/>
    <x v="18"/>
    <s v="Miraleste/Palo Verdes Estates/Portuguese Bend/Rancho Palos Verdes/Rolling Hills/San Pedro West"/>
    <s v="Urban"/>
    <x v="0"/>
    <x v="0"/>
    <x v="0"/>
    <n v="20591"/>
    <n v="15870"/>
    <n v="2"/>
    <n v="4727"/>
    <n v="4193"/>
    <n v="6220"/>
    <n v="5205"/>
    <n v="4761"/>
    <n v="4572"/>
    <n v="2779"/>
    <n v="1583"/>
    <n v="1680"/>
    <n v="743"/>
    <m/>
    <n v="552"/>
    <n v="3305"/>
    <n v="18855"/>
    <n v="38"/>
    <n v="2931"/>
    <n v="356"/>
    <n v="10426"/>
    <n v="263"/>
    <n v="152"/>
    <n v="28"/>
    <n v="18"/>
    <n v="10"/>
    <n v="7"/>
    <m/>
    <n v="131"/>
    <n v="400"/>
    <n v="4"/>
    <n v="35017"/>
    <n v="202"/>
    <n v="15"/>
    <n v="20"/>
    <n v="185"/>
    <n v="18700"/>
    <n v="5224"/>
    <n v="1356"/>
    <n v="7543"/>
    <n v="3638"/>
    <n v="2"/>
    <n v="36463"/>
    <n v="215"/>
    <n v="32822"/>
    <n v="3426"/>
    <n v="2190"/>
    <n v="1992"/>
    <n v="1"/>
    <n v="66"/>
    <n v="259"/>
    <n v="338"/>
    <n v="430"/>
    <n v="766"/>
    <n v="761"/>
    <n v="660"/>
    <n v="903"/>
    <m/>
    <m/>
    <m/>
    <n v="101"/>
    <n v="332"/>
    <n v="1403"/>
    <n v="360"/>
    <n v="44"/>
    <n v="1940"/>
    <n v="3"/>
    <n v="171"/>
    <n v="59"/>
    <n v="122"/>
    <n v="301"/>
    <n v="73"/>
    <m/>
    <n v="21"/>
    <n v="2482"/>
    <n v="779"/>
    <n v="23"/>
    <n v="76"/>
    <n v="65"/>
    <m/>
    <n v="3"/>
    <n v="8"/>
    <n v="1041"/>
    <n v="2074"/>
    <n v="70"/>
    <n v="692"/>
    <n v="305"/>
    <n v="1"/>
    <n v="4183"/>
    <n v="56"/>
    <n v="3669"/>
    <n v="458"/>
    <s v="2015"/>
    <n v="356"/>
    <n v="16"/>
    <n v="11"/>
    <m/>
    <m/>
    <m/>
  </r>
  <r>
    <n v="106190687"/>
    <s v="190687"/>
    <x v="113"/>
    <x v="17"/>
    <x v="6"/>
    <s v="General Acute Care Hospital"/>
    <s v="1250 16TH STREET"/>
    <s v="SANTA MONICA"/>
    <s v="90404"/>
    <s v="Beds 200-299"/>
    <m/>
    <n v="33"/>
    <x v="35"/>
    <x v="14"/>
    <s v="Santa Monica Central/Sawtelle/West Los Angeles"/>
    <s v="Urban"/>
    <x v="0"/>
    <x v="0"/>
    <x v="0"/>
    <n v="18440"/>
    <n v="16960"/>
    <n v="15"/>
    <n v="3845"/>
    <n v="3100"/>
    <n v="5967"/>
    <n v="5027"/>
    <n v="4702"/>
    <n v="4628"/>
    <n v="3272"/>
    <n v="2008"/>
    <n v="2166"/>
    <n v="697"/>
    <n v="3"/>
    <n v="1771"/>
    <n v="4047"/>
    <n v="7984"/>
    <n v="124"/>
    <n v="2737"/>
    <n v="798"/>
    <n v="17954"/>
    <n v="409"/>
    <n v="210"/>
    <n v="40"/>
    <n v="64"/>
    <n v="11"/>
    <n v="27"/>
    <m/>
    <n v="234"/>
    <n v="319"/>
    <n v="4"/>
    <n v="33981"/>
    <n v="102"/>
    <n v="4"/>
    <m/>
    <m/>
    <n v="10434"/>
    <n v="4816"/>
    <n v="740"/>
    <n v="15079"/>
    <n v="4346"/>
    <m/>
    <n v="35415"/>
    <n v="799"/>
    <n v="32717"/>
    <n v="1899"/>
    <n v="4355"/>
    <n v="4113"/>
    <m/>
    <n v="217"/>
    <n v="452"/>
    <n v="487"/>
    <n v="751"/>
    <n v="1045"/>
    <n v="1356"/>
    <n v="1294"/>
    <n v="2472"/>
    <n v="124"/>
    <n v="269"/>
    <n v="1"/>
    <n v="575"/>
    <n v="983"/>
    <n v="1414"/>
    <n v="527"/>
    <n v="59"/>
    <n v="4885"/>
    <n v="25"/>
    <n v="289"/>
    <n v="195"/>
    <n v="231"/>
    <n v="1650"/>
    <n v="60"/>
    <m/>
    <n v="83"/>
    <n v="4332"/>
    <n v="1325"/>
    <n v="1"/>
    <n v="265"/>
    <n v="37"/>
    <m/>
    <m/>
    <m/>
    <n v="1392"/>
    <n v="4544"/>
    <n v="45"/>
    <n v="2152"/>
    <n v="335"/>
    <m/>
    <n v="8468"/>
    <n v="439"/>
    <n v="7488"/>
    <n v="541"/>
    <s v="2015"/>
    <n v="265"/>
    <n v="21"/>
    <n v="10"/>
    <m/>
    <m/>
    <m/>
  </r>
  <r>
    <n v="106190696"/>
    <s v="190696"/>
    <x v="114"/>
    <x v="17"/>
    <x v="3"/>
    <s v="General Acute Care Hospital"/>
    <s v="9449 SAN FERNANDO ROAD"/>
    <s v="SUN VALLEY"/>
    <s v="91352"/>
    <s v="Beds 200-299"/>
    <m/>
    <n v="29"/>
    <x v="31"/>
    <x v="22"/>
    <s v="Pacoima East/Sun Valley West"/>
    <s v="Urban"/>
    <x v="0"/>
    <x v="0"/>
    <x v="0"/>
    <n v="5969"/>
    <n v="6154"/>
    <m/>
    <n v="1923"/>
    <n v="1781"/>
    <n v="2256"/>
    <n v="1684"/>
    <n v="1596"/>
    <n v="1566"/>
    <n v="576"/>
    <n v="284"/>
    <n v="152"/>
    <n v="305"/>
    <m/>
    <n v="109"/>
    <n v="738"/>
    <n v="9009"/>
    <m/>
    <n v="899"/>
    <n v="5"/>
    <n v="1363"/>
    <n v="123"/>
    <n v="373"/>
    <n v="23"/>
    <m/>
    <m/>
    <n v="1"/>
    <m/>
    <m/>
    <n v="5"/>
    <m/>
    <n v="11419"/>
    <n v="4"/>
    <n v="175"/>
    <m/>
    <m/>
    <n v="8871"/>
    <n v="790"/>
    <n v="262"/>
    <n v="971"/>
    <n v="1229"/>
    <m/>
    <n v="12123"/>
    <n v="31"/>
    <n v="8891"/>
    <n v="3201"/>
    <n v="1222"/>
    <n v="1448"/>
    <m/>
    <n v="64"/>
    <n v="299"/>
    <n v="387"/>
    <n v="477"/>
    <n v="611"/>
    <n v="348"/>
    <n v="231"/>
    <n v="234"/>
    <n v="7"/>
    <n v="12"/>
    <m/>
    <n v="57"/>
    <n v="369"/>
    <n v="1427"/>
    <n v="84"/>
    <m/>
    <n v="733"/>
    <m/>
    <n v="13"/>
    <n v="414"/>
    <n v="29"/>
    <n v="53"/>
    <m/>
    <m/>
    <n v="109"/>
    <n v="1957"/>
    <n v="8"/>
    <n v="1"/>
    <m/>
    <n v="11"/>
    <n v="75"/>
    <m/>
    <m/>
    <n v="1834"/>
    <n v="638"/>
    <n v="5"/>
    <n v="141"/>
    <n v="52"/>
    <m/>
    <n v="2670"/>
    <n v="14"/>
    <n v="2004"/>
    <n v="652"/>
    <s v="2015"/>
    <n v="231"/>
    <n v="7"/>
    <m/>
    <m/>
    <m/>
    <m/>
  </r>
  <r>
    <n v="106190708"/>
    <s v="190708"/>
    <x v="115"/>
    <x v="17"/>
    <x v="1"/>
    <s v="General Acute Care Hospital"/>
    <s v="4929 VAN NUYS BOULEVARD"/>
    <s v="SHERMAN OAKS"/>
    <s v="91403"/>
    <s v="Beds 150-199"/>
    <m/>
    <n v="30"/>
    <x v="34"/>
    <x v="22"/>
    <s v="Sherman Oaks/Studio City/Valley Village"/>
    <s v="Urban"/>
    <x v="0"/>
    <x v="0"/>
    <x v="0"/>
    <n v="11475"/>
    <n v="10865"/>
    <n v="1"/>
    <n v="1696"/>
    <n v="1762"/>
    <n v="4315"/>
    <n v="4076"/>
    <n v="3217"/>
    <n v="3234"/>
    <n v="1903"/>
    <n v="928"/>
    <n v="1005"/>
    <n v="205"/>
    <m/>
    <n v="421"/>
    <n v="2721"/>
    <n v="4528"/>
    <n v="12"/>
    <n v="3151"/>
    <n v="130"/>
    <n v="11378"/>
    <n v="332"/>
    <n v="1564"/>
    <n v="27"/>
    <m/>
    <m/>
    <m/>
    <m/>
    <n v="432"/>
    <n v="420"/>
    <n v="43"/>
    <n v="19390"/>
    <n v="115"/>
    <m/>
    <m/>
    <m/>
    <n v="10445"/>
    <n v="3720"/>
    <n v="375"/>
    <n v="4426"/>
    <n v="3375"/>
    <m/>
    <n v="22341"/>
    <n v="384"/>
    <n v="20803"/>
    <n v="1154"/>
    <n v="2823"/>
    <n v="2788"/>
    <m/>
    <n v="17"/>
    <n v="201"/>
    <n v="277"/>
    <n v="460"/>
    <n v="911"/>
    <n v="1214"/>
    <n v="1033"/>
    <n v="1498"/>
    <m/>
    <m/>
    <m/>
    <n v="179"/>
    <n v="544"/>
    <n v="783"/>
    <n v="745"/>
    <n v="81"/>
    <n v="3277"/>
    <n v="2"/>
    <n v="276"/>
    <n v="259"/>
    <n v="188"/>
    <n v="290"/>
    <n v="17"/>
    <m/>
    <n v="235"/>
    <n v="2518"/>
    <n v="1630"/>
    <n v="15"/>
    <n v="55"/>
    <n v="111"/>
    <m/>
    <m/>
    <n v="13"/>
    <n v="1500"/>
    <n v="3403"/>
    <n v="21"/>
    <n v="592"/>
    <n v="95"/>
    <m/>
    <n v="5611"/>
    <n v="263"/>
    <n v="5024"/>
    <n v="324"/>
    <s v="2015"/>
    <n v="153"/>
    <n v="12"/>
    <m/>
    <n v="18"/>
    <m/>
    <n v="4"/>
  </r>
  <r>
    <n v="106190754"/>
    <s v="190754"/>
    <x v="116"/>
    <x v="17"/>
    <x v="1"/>
    <s v="General Acute Care Hospital"/>
    <s v="3630 E. IMPERIAL HIGHWAY"/>
    <s v="LYNWOOD"/>
    <s v="90262"/>
    <s v="Beds 300-499"/>
    <s v="Level II"/>
    <n v="44"/>
    <x v="25"/>
    <x v="15"/>
    <s v="Downey Southwest/Lynwood North Central/South Gate East"/>
    <s v="Urban"/>
    <x v="0"/>
    <x v="0"/>
    <x v="0"/>
    <n v="38546"/>
    <n v="31083"/>
    <n v="4"/>
    <n v="11579"/>
    <n v="8204"/>
    <n v="14314"/>
    <n v="9670"/>
    <n v="7495"/>
    <n v="7116"/>
    <n v="4485"/>
    <n v="2210"/>
    <n v="1605"/>
    <n v="2955"/>
    <m/>
    <n v="343"/>
    <n v="16663"/>
    <n v="47103"/>
    <n v="12"/>
    <n v="3166"/>
    <n v="765"/>
    <n v="1581"/>
    <n v="1122"/>
    <n v="10333"/>
    <n v="138"/>
    <n v="111"/>
    <n v="19"/>
    <m/>
    <m/>
    <m/>
    <n v="12"/>
    <n v="23"/>
    <n v="57449"/>
    <n v="337"/>
    <n v="27"/>
    <m/>
    <m/>
    <n v="18781"/>
    <n v="3280"/>
    <n v="309"/>
    <n v="27552"/>
    <n v="19711"/>
    <m/>
    <n v="69633"/>
    <n v="296"/>
    <n v="49565"/>
    <n v="19772"/>
    <n v="5162"/>
    <n v="5782"/>
    <m/>
    <n v="380"/>
    <n v="1362"/>
    <n v="1350"/>
    <n v="1420"/>
    <n v="2108"/>
    <n v="1706"/>
    <n v="1176"/>
    <n v="1105"/>
    <n v="152"/>
    <n v="185"/>
    <m/>
    <n v="70"/>
    <n v="3203"/>
    <n v="6605"/>
    <n v="382"/>
    <n v="100"/>
    <n v="584"/>
    <m/>
    <n v="412"/>
    <n v="384"/>
    <n v="310"/>
    <n v="590"/>
    <n v="61"/>
    <m/>
    <n v="108"/>
    <n v="7847"/>
    <n v="1071"/>
    <m/>
    <n v="101"/>
    <n v="44"/>
    <n v="7"/>
    <m/>
    <m/>
    <n v="4838"/>
    <n v="3072"/>
    <n v="14"/>
    <n v="2333"/>
    <n v="626"/>
    <n v="61"/>
    <n v="10944"/>
    <n v="42"/>
    <n v="7104"/>
    <n v="3798"/>
    <s v="2015"/>
    <n v="384"/>
    <n v="46"/>
    <m/>
    <n v="62"/>
    <n v="9"/>
    <m/>
  </r>
  <r>
    <n v="106190756"/>
    <s v="190756"/>
    <x v="117"/>
    <x v="17"/>
    <x v="1"/>
    <s v="General Acute Care Hospital"/>
    <s v="2121 SANTA MONICA BLVD."/>
    <s v="SANTA MONICA"/>
    <s v="90404"/>
    <s v="Beds 200-299"/>
    <m/>
    <n v="33"/>
    <x v="35"/>
    <x v="14"/>
    <s v="Santa Monica Central/Sawtelle/West Los Angeles"/>
    <s v="Urban"/>
    <x v="0"/>
    <x v="0"/>
    <x v="0"/>
    <n v="11708"/>
    <n v="10788"/>
    <n v="4"/>
    <n v="1015"/>
    <n v="1268"/>
    <n v="3528"/>
    <n v="3391"/>
    <n v="3020"/>
    <n v="3124"/>
    <n v="2611"/>
    <n v="1927"/>
    <n v="2415"/>
    <n v="201"/>
    <m/>
    <n v="813"/>
    <n v="2022"/>
    <n v="2821"/>
    <n v="45"/>
    <n v="2477"/>
    <n v="427"/>
    <n v="13895"/>
    <n v="180"/>
    <n v="221"/>
    <n v="31"/>
    <n v="41"/>
    <n v="7"/>
    <n v="34"/>
    <m/>
    <n v="33"/>
    <n v="303"/>
    <n v="7"/>
    <n v="21296"/>
    <n v="205"/>
    <n v="9"/>
    <n v="4"/>
    <n v="117"/>
    <n v="4717"/>
    <n v="5900"/>
    <n v="498"/>
    <n v="8553"/>
    <n v="2830"/>
    <n v="2"/>
    <n v="22500"/>
    <n v="640"/>
    <n v="21313"/>
    <n v="547"/>
    <n v="3229"/>
    <n v="2936"/>
    <m/>
    <n v="36"/>
    <n v="212"/>
    <n v="308"/>
    <n v="383"/>
    <n v="678"/>
    <n v="946"/>
    <n v="1311"/>
    <n v="2291"/>
    <m/>
    <m/>
    <m/>
    <n v="265"/>
    <n v="355"/>
    <n v="479"/>
    <n v="553"/>
    <n v="37"/>
    <n v="4474"/>
    <n v="2"/>
    <n v="111"/>
    <n v="100"/>
    <n v="243"/>
    <n v="841"/>
    <n v="53"/>
    <m/>
    <n v="12"/>
    <n v="3506"/>
    <n v="1163"/>
    <m/>
    <n v="104"/>
    <n v="26"/>
    <m/>
    <m/>
    <n v="6"/>
    <n v="444"/>
    <n v="4114"/>
    <n v="30"/>
    <n v="1428"/>
    <n v="149"/>
    <m/>
    <n v="6165"/>
    <n v="340"/>
    <n v="5633"/>
    <n v="192"/>
    <s v="2015"/>
    <n v="266"/>
    <n v="27"/>
    <n v="12"/>
    <m/>
    <m/>
    <m/>
  </r>
  <r>
    <n v="106190758"/>
    <s v="190758"/>
    <x v="118"/>
    <x v="17"/>
    <x v="1"/>
    <s v="General Acute Care Hospital"/>
    <s v="501 SO. BUENA VISTA"/>
    <s v="BURBANK"/>
    <s v="91505-4866"/>
    <s v="Beds 300-499"/>
    <m/>
    <n v="30"/>
    <x v="26"/>
    <x v="21"/>
    <s v="Burbank North/North Hollywood South"/>
    <s v="Urban"/>
    <x v="0"/>
    <x v="0"/>
    <x v="0"/>
    <n v="29625"/>
    <n v="23925"/>
    <n v="8"/>
    <n v="6308"/>
    <n v="4704"/>
    <n v="9719"/>
    <n v="7777"/>
    <n v="6542"/>
    <n v="6560"/>
    <n v="4660"/>
    <n v="3002"/>
    <n v="3101"/>
    <n v="1185"/>
    <m/>
    <n v="1374"/>
    <n v="2915"/>
    <n v="18287"/>
    <n v="13"/>
    <n v="2101"/>
    <n v="125"/>
    <n v="28743"/>
    <n v="595"/>
    <n v="370"/>
    <n v="76"/>
    <n v="33"/>
    <n v="14"/>
    <n v="25"/>
    <m/>
    <n v="625"/>
    <n v="285"/>
    <n v="33"/>
    <n v="50863"/>
    <n v="234"/>
    <n v="27"/>
    <n v="11"/>
    <n v="343"/>
    <n v="21781"/>
    <n v="8628"/>
    <n v="1210"/>
    <n v="16414"/>
    <n v="5525"/>
    <m/>
    <n v="53558"/>
    <n v="3935"/>
    <n v="43203"/>
    <n v="6420"/>
    <n v="5402"/>
    <n v="5073"/>
    <m/>
    <n v="62"/>
    <n v="533"/>
    <n v="707"/>
    <n v="1033"/>
    <n v="1561"/>
    <n v="1838"/>
    <n v="1874"/>
    <n v="2797"/>
    <n v="70"/>
    <m/>
    <m/>
    <n v="346"/>
    <n v="451"/>
    <n v="2006"/>
    <n v="450"/>
    <n v="19"/>
    <n v="7196"/>
    <n v="7"/>
    <n v="171"/>
    <n v="152"/>
    <n v="363"/>
    <n v="1033"/>
    <n v="169"/>
    <m/>
    <n v="32"/>
    <n v="6524"/>
    <n v="1708"/>
    <n v="1"/>
    <n v="271"/>
    <n v="27"/>
    <n v="2"/>
    <n v="2"/>
    <n v="20"/>
    <n v="2173"/>
    <n v="5629"/>
    <n v="67"/>
    <n v="2320"/>
    <n v="286"/>
    <m/>
    <n v="10475"/>
    <n v="1483"/>
    <n v="7933"/>
    <n v="1059"/>
    <s v="2015"/>
    <n v="446"/>
    <n v="38"/>
    <n v="24"/>
    <m/>
    <m/>
    <m/>
  </r>
  <r>
    <n v="106190762"/>
    <s v="190762"/>
    <x v="119"/>
    <x v="17"/>
    <x v="1"/>
    <s v="General Acute Care Hospital"/>
    <s v="2131 WEST 3RD STREET"/>
    <s v="LOS ANGELES"/>
    <s v="90057"/>
    <s v="Beds 300-499"/>
    <m/>
    <n v="34"/>
    <x v="27"/>
    <x v="19"/>
    <s v="Boyle Heights Northwest/Chinatown/Downtown Northwest/Little Tokyo/Westlake"/>
    <s v="Urban"/>
    <x v="0"/>
    <x v="0"/>
    <x v="1"/>
    <n v="10139"/>
    <n v="9163"/>
    <m/>
    <n v="565"/>
    <n v="959"/>
    <n v="3541"/>
    <n v="2898"/>
    <n v="2722"/>
    <n v="3023"/>
    <n v="2349"/>
    <n v="1741"/>
    <n v="1447"/>
    <n v="57"/>
    <m/>
    <n v="2987"/>
    <n v="3293"/>
    <n v="9475"/>
    <n v="38"/>
    <n v="138"/>
    <n v="251"/>
    <n v="3120"/>
    <n v="267"/>
    <n v="596"/>
    <n v="14"/>
    <n v="8"/>
    <m/>
    <m/>
    <m/>
    <m/>
    <m/>
    <m/>
    <n v="18239"/>
    <n v="33"/>
    <n v="144"/>
    <m/>
    <m/>
    <n v="12420"/>
    <n v="1645"/>
    <n v="302"/>
    <n v="2420"/>
    <n v="2515"/>
    <m/>
    <n v="19302"/>
    <n v="1289"/>
    <n v="14188"/>
    <n v="3825"/>
    <n v="2975"/>
    <n v="2767"/>
    <m/>
    <n v="17"/>
    <n v="177"/>
    <n v="279"/>
    <n v="433"/>
    <n v="775"/>
    <n v="1088"/>
    <n v="1242"/>
    <n v="1731"/>
    <m/>
    <m/>
    <m/>
    <n v="2110"/>
    <n v="662"/>
    <n v="2166"/>
    <n v="54"/>
    <n v="17"/>
    <n v="730"/>
    <n v="3"/>
    <n v="56"/>
    <n v="183"/>
    <n v="180"/>
    <n v="242"/>
    <n v="149"/>
    <m/>
    <n v="41"/>
    <n v="3748"/>
    <n v="1069"/>
    <m/>
    <n v="71"/>
    <m/>
    <m/>
    <m/>
    <m/>
    <n v="678"/>
    <n v="2594"/>
    <n v="142"/>
    <n v="2328"/>
    <m/>
    <m/>
    <n v="5742"/>
    <n v="1423"/>
    <n v="2972"/>
    <n v="1347"/>
    <s v="2015"/>
    <n v="366"/>
    <n v="8"/>
    <m/>
    <n v="1"/>
    <n v="3"/>
    <m/>
  </r>
  <r>
    <n v="106190766"/>
    <s v="190766"/>
    <x v="120"/>
    <x v="17"/>
    <x v="5"/>
    <s v="General Acute Care Hospital"/>
    <s v="13100 SOUTH STUDEBAKER ROAD"/>
    <s v="NORWALK"/>
    <s v="90650"/>
    <s v="Beds 100-149"/>
    <m/>
    <n v="38"/>
    <x v="30"/>
    <x v="16"/>
    <s v="Norwalk/Studebaker"/>
    <s v="Urban"/>
    <x v="0"/>
    <x v="0"/>
    <x v="0"/>
    <n v="7576"/>
    <n v="7062"/>
    <m/>
    <n v="1799"/>
    <n v="1738"/>
    <n v="2773"/>
    <n v="2334"/>
    <n v="2006"/>
    <n v="1798"/>
    <n v="977"/>
    <n v="531"/>
    <n v="429"/>
    <n v="253"/>
    <m/>
    <n v="405"/>
    <n v="1861"/>
    <n v="9052"/>
    <m/>
    <n v="201"/>
    <m/>
    <n v="3119"/>
    <n v="353"/>
    <n v="1228"/>
    <n v="26"/>
    <n v="11"/>
    <n v="1"/>
    <m/>
    <m/>
    <n v="559"/>
    <n v="153"/>
    <n v="42"/>
    <n v="12096"/>
    <n v="12"/>
    <n v="156"/>
    <m/>
    <m/>
    <n v="2603"/>
    <n v="7598"/>
    <n v="683"/>
    <n v="493"/>
    <n v="3261"/>
    <m/>
    <n v="14638"/>
    <n v="11"/>
    <n v="14422"/>
    <n v="205"/>
    <n v="1503"/>
    <n v="1466"/>
    <m/>
    <n v="98"/>
    <n v="207"/>
    <n v="316"/>
    <n v="356"/>
    <n v="549"/>
    <n v="523"/>
    <n v="373"/>
    <n v="455"/>
    <n v="10"/>
    <n v="82"/>
    <m/>
    <n v="146"/>
    <n v="317"/>
    <n v="1490"/>
    <n v="86"/>
    <n v="8"/>
    <n v="916"/>
    <n v="6"/>
    <n v="193"/>
    <n v="216"/>
    <n v="92"/>
    <n v="65"/>
    <m/>
    <m/>
    <n v="67"/>
    <n v="1858"/>
    <n v="472"/>
    <n v="4"/>
    <m/>
    <m/>
    <n v="2"/>
    <m/>
    <m/>
    <n v="1422"/>
    <n v="1199"/>
    <n v="20"/>
    <n v="239"/>
    <n v="89"/>
    <m/>
    <n v="2969"/>
    <n v="5"/>
    <n v="2889"/>
    <n v="75"/>
    <s v="2015"/>
    <n v="117"/>
    <n v="8"/>
    <n v="1"/>
    <m/>
    <m/>
    <m/>
  </r>
  <r>
    <n v="106190796"/>
    <s v="190796"/>
    <x v="121"/>
    <x v="17"/>
    <x v="6"/>
    <s v="General Acute Care Hospital"/>
    <s v="757 WESTWOOD PLAZA"/>
    <s v="LOS ANGELES"/>
    <s v="90095"/>
    <s v="Beds 300-499"/>
    <s v="Level I &amp; Level I - Ped"/>
    <n v="33"/>
    <x v="22"/>
    <x v="14"/>
    <s v="Century City/Cheviot Hills/Rancho Park/West Los Angeles/Westwood"/>
    <s v="Urban"/>
    <x v="0"/>
    <x v="1"/>
    <x v="2"/>
    <n v="17643"/>
    <n v="16627"/>
    <n v="4"/>
    <n v="2551"/>
    <n v="3774"/>
    <n v="8021"/>
    <n v="4835"/>
    <n v="3813"/>
    <n v="3952"/>
    <n v="3126"/>
    <n v="1823"/>
    <n v="1761"/>
    <n v="617"/>
    <n v="1"/>
    <n v="3552"/>
    <n v="4312"/>
    <n v="6800"/>
    <n v="95"/>
    <n v="2795"/>
    <n v="642"/>
    <n v="16078"/>
    <n v="1304"/>
    <n v="339"/>
    <n v="49"/>
    <n v="158"/>
    <n v="10"/>
    <n v="23"/>
    <m/>
    <n v="52"/>
    <n v="1791"/>
    <n v="1"/>
    <n v="30464"/>
    <n v="29"/>
    <n v="7"/>
    <m/>
    <n v="1"/>
    <n v="7583"/>
    <n v="5129"/>
    <n v="1049"/>
    <n v="17173"/>
    <n v="3340"/>
    <m/>
    <n v="34274"/>
    <n v="1293"/>
    <n v="31371"/>
    <n v="1610"/>
    <n v="4460"/>
    <n v="5702"/>
    <n v="1"/>
    <n v="454"/>
    <n v="935"/>
    <n v="1002"/>
    <n v="1087"/>
    <n v="1629"/>
    <n v="1799"/>
    <n v="1328"/>
    <n v="1281"/>
    <n v="122"/>
    <n v="526"/>
    <m/>
    <n v="922"/>
    <n v="1268"/>
    <n v="2433"/>
    <n v="599"/>
    <n v="83"/>
    <n v="4822"/>
    <n v="36"/>
    <n v="339"/>
    <n v="112"/>
    <n v="374"/>
    <n v="1686"/>
    <n v="160"/>
    <m/>
    <n v="40"/>
    <n v="6499"/>
    <n v="683"/>
    <n v="5"/>
    <n v="169"/>
    <n v="95"/>
    <n v="1"/>
    <m/>
    <m/>
    <n v="2139"/>
    <n v="4217"/>
    <n v="160"/>
    <n v="3185"/>
    <n v="462"/>
    <m/>
    <n v="10163"/>
    <n v="616"/>
    <n v="8668"/>
    <n v="879"/>
    <s v="2015"/>
    <n v="466"/>
    <n v="33"/>
    <n v="46"/>
    <m/>
    <m/>
    <m/>
  </r>
  <r>
    <n v="106190812"/>
    <s v="190812"/>
    <x v="122"/>
    <x v="17"/>
    <x v="1"/>
    <s v="General Acute Care Hospital"/>
    <s v="15107 VAN OWEN STREET"/>
    <s v="VAN NUYS"/>
    <s v="91405"/>
    <s v="Beds 300-499"/>
    <m/>
    <n v="29"/>
    <x v="34"/>
    <x v="22"/>
    <s v="Northridge South/Reseda North"/>
    <s v="Urban"/>
    <x v="0"/>
    <x v="0"/>
    <x v="0"/>
    <n v="34322"/>
    <n v="26565"/>
    <m/>
    <n v="13020"/>
    <n v="7371"/>
    <n v="10263"/>
    <n v="8195"/>
    <n v="6385"/>
    <n v="6268"/>
    <n v="3534"/>
    <n v="1569"/>
    <n v="1206"/>
    <n v="3076"/>
    <m/>
    <n v="1092"/>
    <n v="3297"/>
    <n v="43361"/>
    <n v="46"/>
    <n v="931"/>
    <n v="142"/>
    <n v="12018"/>
    <n v="532"/>
    <n v="2502"/>
    <n v="68"/>
    <n v="11"/>
    <m/>
    <m/>
    <m/>
    <n v="101"/>
    <n v="185"/>
    <m/>
    <n v="57462"/>
    <n v="22"/>
    <n v="3"/>
    <m/>
    <m/>
    <n v="14262"/>
    <n v="4815"/>
    <n v="203"/>
    <n v="35953"/>
    <n v="5654"/>
    <m/>
    <n v="60887"/>
    <n v="1313"/>
    <n v="37523"/>
    <n v="22051"/>
    <n v="3433"/>
    <n v="3314"/>
    <m/>
    <n v="195"/>
    <n v="375"/>
    <n v="518"/>
    <n v="748"/>
    <n v="1214"/>
    <n v="1297"/>
    <n v="893"/>
    <n v="1025"/>
    <n v="194"/>
    <n v="288"/>
    <m/>
    <n v="252"/>
    <n v="451"/>
    <n v="3313"/>
    <n v="131"/>
    <n v="3"/>
    <n v="2585"/>
    <n v="12"/>
    <n v="126"/>
    <n v="253"/>
    <n v="83"/>
    <n v="418"/>
    <n v="33"/>
    <m/>
    <n v="22"/>
    <n v="4850"/>
    <n v="936"/>
    <m/>
    <n v="13"/>
    <n v="2"/>
    <n v="9"/>
    <m/>
    <n v="2"/>
    <n v="1293"/>
    <n v="1733"/>
    <n v="40"/>
    <n v="3573"/>
    <n v="108"/>
    <m/>
    <n v="6747"/>
    <n v="594"/>
    <n v="4141"/>
    <n v="2012"/>
    <s v="2015"/>
    <n v="350"/>
    <n v="27"/>
    <n v="1"/>
    <m/>
    <m/>
    <m/>
  </r>
  <r>
    <n v="106190818"/>
    <s v="190818"/>
    <x v="123"/>
    <x v="17"/>
    <x v="1"/>
    <s v="General Acute Care Hospital"/>
    <s v="1812 VERDUGO BOULEVARD"/>
    <s v="GLENDALE"/>
    <s v="91208"/>
    <s v="Beds 150-199"/>
    <m/>
    <n v="28"/>
    <x v="26"/>
    <x v="21"/>
    <s v="Burbank South/Eagle Rock/Glendale Northwest"/>
    <s v="Urban"/>
    <x v="0"/>
    <x v="0"/>
    <x v="0"/>
    <n v="9748"/>
    <n v="8079"/>
    <n v="6"/>
    <n v="1738"/>
    <n v="1956"/>
    <n v="2647"/>
    <n v="2383"/>
    <n v="2300"/>
    <n v="2426"/>
    <n v="1823"/>
    <n v="1195"/>
    <n v="1128"/>
    <n v="237"/>
    <m/>
    <n v="1017"/>
    <n v="923"/>
    <n v="2811"/>
    <n v="98"/>
    <m/>
    <n v="1548"/>
    <n v="11436"/>
    <n v="529"/>
    <n v="232"/>
    <n v="26"/>
    <n v="7"/>
    <n v="8"/>
    <n v="28"/>
    <m/>
    <n v="19"/>
    <n v="47"/>
    <n v="2"/>
    <n v="16753"/>
    <n v="178"/>
    <n v="1"/>
    <m/>
    <m/>
    <n v="5730"/>
    <n v="3011"/>
    <n v="313"/>
    <n v="7096"/>
    <n v="1683"/>
    <m/>
    <n v="17833"/>
    <n v="414"/>
    <n v="17221"/>
    <n v="198"/>
    <n v="1967"/>
    <n v="1649"/>
    <m/>
    <n v="19"/>
    <n v="115"/>
    <n v="178"/>
    <n v="254"/>
    <n v="443"/>
    <n v="631"/>
    <n v="758"/>
    <n v="1218"/>
    <m/>
    <m/>
    <m/>
    <n v="187"/>
    <n v="140"/>
    <n v="370"/>
    <m/>
    <n v="83"/>
    <n v="2828"/>
    <n v="8"/>
    <n v="230"/>
    <n v="67"/>
    <n v="89"/>
    <n v="263"/>
    <n v="33"/>
    <m/>
    <n v="26"/>
    <n v="1696"/>
    <n v="1067"/>
    <n v="1"/>
    <n v="114"/>
    <n v="30"/>
    <m/>
    <m/>
    <m/>
    <n v="521"/>
    <n v="2150"/>
    <n v="16"/>
    <n v="879"/>
    <n v="49"/>
    <n v="1"/>
    <n v="3616"/>
    <n v="184"/>
    <n v="3361"/>
    <n v="71"/>
    <s v="2015"/>
    <n v="158"/>
    <n v="13"/>
    <m/>
    <n v="3"/>
    <m/>
    <m/>
  </r>
  <r>
    <n v="106190859"/>
    <s v="190859"/>
    <x v="124"/>
    <x v="17"/>
    <x v="3"/>
    <s v="General Acute Care Hospital"/>
    <s v="7300 MEDICAL CENTER DRIVE"/>
    <s v="CANOGA PARK"/>
    <s v="91307"/>
    <s v="Beds 200-299"/>
    <m/>
    <n v="30"/>
    <x v="28"/>
    <x v="20"/>
    <s v="Agoura Hills/Calabasas/Hidden Hills/West Hills/Westlake"/>
    <s v="Urban"/>
    <x v="0"/>
    <x v="0"/>
    <x v="0"/>
    <n v="25252"/>
    <n v="20795"/>
    <m/>
    <n v="5455"/>
    <n v="5011"/>
    <n v="7798"/>
    <n v="6865"/>
    <n v="5871"/>
    <n v="5698"/>
    <n v="3619"/>
    <n v="2380"/>
    <n v="2559"/>
    <n v="791"/>
    <m/>
    <n v="1624"/>
    <n v="2677"/>
    <n v="11003"/>
    <n v="14"/>
    <n v="11605"/>
    <n v="559"/>
    <n v="18565"/>
    <n v="702"/>
    <n v="1211"/>
    <n v="57"/>
    <n v="13"/>
    <n v="7"/>
    <n v="4"/>
    <n v="2"/>
    <n v="233"/>
    <n v="333"/>
    <n v="4"/>
    <n v="43268"/>
    <n v="103"/>
    <n v="1"/>
    <n v="4"/>
    <n v="85"/>
    <n v="11635"/>
    <n v="7226"/>
    <n v="9481"/>
    <n v="12113"/>
    <n v="5592"/>
    <m/>
    <n v="46047"/>
    <n v="877"/>
    <n v="42340"/>
    <n v="2830"/>
    <n v="4174"/>
    <n v="3473"/>
    <n v="1"/>
    <n v="79"/>
    <n v="497"/>
    <n v="693"/>
    <n v="621"/>
    <n v="949"/>
    <n v="1134"/>
    <n v="1339"/>
    <n v="2308"/>
    <n v="9"/>
    <n v="19"/>
    <m/>
    <n v="426"/>
    <n v="334"/>
    <n v="866"/>
    <n v="1878"/>
    <n v="58"/>
    <n v="4081"/>
    <n v="5"/>
    <n v="281"/>
    <n v="233"/>
    <n v="292"/>
    <n v="677"/>
    <n v="20"/>
    <m/>
    <n v="22"/>
    <n v="4564"/>
    <n v="1355"/>
    <m/>
    <n v="126"/>
    <n v="34"/>
    <m/>
    <n v="1"/>
    <n v="42"/>
    <n v="1397"/>
    <n v="4234"/>
    <n v="200"/>
    <n v="1631"/>
    <n v="186"/>
    <m/>
    <n v="7648"/>
    <n v="360"/>
    <n v="6897"/>
    <n v="391"/>
    <s v="2015"/>
    <n v="225"/>
    <n v="30"/>
    <m/>
    <n v="20"/>
    <n v="1"/>
    <m/>
  </r>
  <r>
    <n v="106190878"/>
    <s v="190878"/>
    <x v="125"/>
    <x v="17"/>
    <x v="1"/>
    <s v="General Acute Care Hospital"/>
    <s v="1720 CESAR E. CHAVEZ AVENUE"/>
    <s v="LOS ANGELES"/>
    <s v="90033"/>
    <s v="Beds 300-499"/>
    <m/>
    <n v="34"/>
    <x v="23"/>
    <x v="19"/>
    <s v="Boyle Heights Northwest/Chinatown/Downtown Northwest/Little Tokyo/Westlake"/>
    <s v="Urban"/>
    <x v="0"/>
    <x v="1"/>
    <x v="0"/>
    <n v="28254"/>
    <n v="21631"/>
    <n v="2"/>
    <n v="8846"/>
    <n v="5472"/>
    <n v="8545"/>
    <n v="6206"/>
    <n v="5404"/>
    <n v="5068"/>
    <n v="3600"/>
    <n v="2363"/>
    <n v="1910"/>
    <n v="2472"/>
    <n v="1"/>
    <n v="326"/>
    <n v="1347"/>
    <n v="44601"/>
    <n v="10"/>
    <n v="1210"/>
    <n v="98"/>
    <n v="2295"/>
    <n v="705"/>
    <n v="3465"/>
    <n v="41"/>
    <n v="129"/>
    <n v="27"/>
    <n v="5"/>
    <m/>
    <n v="239"/>
    <n v="27"/>
    <m/>
    <n v="44828"/>
    <n v="351"/>
    <n v="1"/>
    <m/>
    <n v="59"/>
    <n v="33273"/>
    <n v="6953"/>
    <n v="1222"/>
    <n v="4358"/>
    <n v="4081"/>
    <m/>
    <n v="49887"/>
    <n v="70"/>
    <n v="30443"/>
    <n v="19374"/>
    <n v="4767"/>
    <n v="5049"/>
    <n v="3"/>
    <n v="302"/>
    <n v="855"/>
    <n v="998"/>
    <n v="1327"/>
    <n v="1718"/>
    <n v="1552"/>
    <n v="1267"/>
    <n v="1281"/>
    <n v="274"/>
    <n v="245"/>
    <m/>
    <n v="186"/>
    <n v="684"/>
    <n v="7932"/>
    <n v="303"/>
    <n v="7"/>
    <n v="707"/>
    <m/>
    <n v="233"/>
    <n v="266"/>
    <n v="254"/>
    <n v="979"/>
    <n v="110"/>
    <m/>
    <n v="7"/>
    <n v="6627"/>
    <n v="1095"/>
    <n v="45"/>
    <n v="93"/>
    <n v="84"/>
    <n v="1"/>
    <m/>
    <m/>
    <n v="5078"/>
    <n v="3731"/>
    <n v="281"/>
    <n v="551"/>
    <n v="175"/>
    <n v="3"/>
    <n v="9819"/>
    <n v="26"/>
    <n v="5218"/>
    <n v="4575"/>
    <s v="2015"/>
    <n v="353"/>
    <n v="28"/>
    <n v="7"/>
    <n v="3"/>
    <n v="8"/>
    <n v="17"/>
  </r>
  <r>
    <n v="106190883"/>
    <s v="190883"/>
    <x v="126"/>
    <x v="17"/>
    <x v="3"/>
    <s v="General Acute Care Hospital"/>
    <s v="9080 COLIMA ROAD"/>
    <s v="WHITTIER"/>
    <s v="90605"/>
    <s v="Beds 150-199"/>
    <m/>
    <n v="38"/>
    <x v="30"/>
    <x v="16"/>
    <s v="La Habra Heights/Whittier"/>
    <s v="Urban"/>
    <x v="0"/>
    <x v="0"/>
    <x v="0"/>
    <n v="14067"/>
    <n v="10874"/>
    <m/>
    <n v="4078"/>
    <n v="3163"/>
    <n v="4351"/>
    <n v="3553"/>
    <n v="2847"/>
    <n v="2622"/>
    <n v="1526"/>
    <n v="929"/>
    <n v="979"/>
    <n v="893"/>
    <m/>
    <n v="2233"/>
    <n v="572"/>
    <n v="16498"/>
    <n v="14"/>
    <n v="968"/>
    <n v="60"/>
    <n v="4596"/>
    <n v="814"/>
    <n v="519"/>
    <n v="34"/>
    <n v="1"/>
    <n v="3"/>
    <m/>
    <m/>
    <n v="47"/>
    <n v="206"/>
    <n v="6"/>
    <n v="22880"/>
    <n v="125"/>
    <n v="255"/>
    <m/>
    <m/>
    <n v="3876"/>
    <n v="2830"/>
    <n v="321"/>
    <n v="16068"/>
    <n v="1846"/>
    <m/>
    <n v="24941"/>
    <n v="963"/>
    <n v="20284"/>
    <n v="3694"/>
    <n v="2712"/>
    <n v="2225"/>
    <m/>
    <n v="64"/>
    <n v="336"/>
    <n v="463"/>
    <n v="607"/>
    <n v="878"/>
    <n v="827"/>
    <n v="652"/>
    <n v="1110"/>
    <m/>
    <m/>
    <m/>
    <n v="857"/>
    <n v="110"/>
    <n v="2403"/>
    <n v="187"/>
    <n v="25"/>
    <n v="1355"/>
    <m/>
    <n v="421"/>
    <n v="169"/>
    <n v="125"/>
    <n v="289"/>
    <n v="3"/>
    <m/>
    <n v="15"/>
    <n v="3092"/>
    <n v="711"/>
    <n v="1"/>
    <n v="34"/>
    <n v="21"/>
    <n v="55"/>
    <m/>
    <m/>
    <n v="1820"/>
    <n v="1832"/>
    <n v="29"/>
    <n v="1155"/>
    <n v="70"/>
    <n v="31"/>
    <n v="4937"/>
    <n v="640"/>
    <n v="3447"/>
    <n v="850"/>
    <s v="2015"/>
    <n v="178"/>
    <n v="11"/>
    <m/>
    <n v="51"/>
    <n v="1"/>
    <m/>
  </r>
  <r>
    <n v="106190949"/>
    <s v="190949"/>
    <x v="127"/>
    <x v="17"/>
    <x v="1"/>
    <s v="General Acute Care Hospital"/>
    <s v="23845 WEST MCBEAN PARKWAY"/>
    <s v="VALENCIA"/>
    <s v="91355"/>
    <s v="Beds 200-299"/>
    <s v="Level II"/>
    <n v="25"/>
    <x v="37"/>
    <x v="20"/>
    <s v="Canyon Country/Santa Clarita West/Saugus"/>
    <s v="Urban"/>
    <x v="0"/>
    <x v="0"/>
    <x v="0"/>
    <n v="29943"/>
    <n v="24350"/>
    <m/>
    <n v="7829"/>
    <n v="7070"/>
    <n v="9473"/>
    <n v="7124"/>
    <n v="6641"/>
    <n v="6173"/>
    <n v="3759"/>
    <n v="2568"/>
    <n v="2424"/>
    <n v="1232"/>
    <m/>
    <n v="1701"/>
    <n v="3079"/>
    <n v="11466"/>
    <n v="17"/>
    <n v="1830"/>
    <n v="94"/>
    <n v="36106"/>
    <n v="2015"/>
    <n v="1106"/>
    <n v="84"/>
    <n v="60"/>
    <m/>
    <n v="2"/>
    <m/>
    <n v="470"/>
    <n v="49"/>
    <m/>
    <n v="49903"/>
    <n v="46"/>
    <n v="542"/>
    <m/>
    <m/>
    <n v="10253"/>
    <n v="7233"/>
    <n v="1981"/>
    <n v="30669"/>
    <n v="4056"/>
    <n v="101"/>
    <n v="54293"/>
    <n v="72"/>
    <n v="52764"/>
    <n v="1457"/>
    <n v="4838"/>
    <n v="4341"/>
    <m/>
    <n v="271"/>
    <n v="908"/>
    <n v="786"/>
    <n v="1081"/>
    <n v="1577"/>
    <n v="1389"/>
    <n v="1408"/>
    <n v="1731"/>
    <n v="13"/>
    <n v="15"/>
    <m/>
    <n v="362"/>
    <n v="436"/>
    <n v="1193"/>
    <n v="203"/>
    <n v="24"/>
    <n v="6957"/>
    <n v="4"/>
    <n v="7"/>
    <n v="196"/>
    <n v="63"/>
    <n v="1025"/>
    <n v="21"/>
    <m/>
    <m/>
    <n v="6638"/>
    <n v="852"/>
    <n v="15"/>
    <n v="32"/>
    <n v="19"/>
    <n v="311"/>
    <m/>
    <m/>
    <n v="1908"/>
    <n v="4155"/>
    <n v="217"/>
    <n v="2753"/>
    <n v="146"/>
    <m/>
    <n v="9179"/>
    <n v="133"/>
    <n v="8543"/>
    <n v="503"/>
    <s v="2015"/>
    <n v="238"/>
    <n v="36"/>
    <m/>
    <n v="16"/>
    <m/>
    <m/>
  </r>
  <r>
    <n v="106191227"/>
    <s v="191227"/>
    <x v="128"/>
    <x v="17"/>
    <x v="0"/>
    <s v="General Acute Care Hospital"/>
    <s v="1000 WEST CARSON STREET"/>
    <s v="TORRANCE"/>
    <s v="90502"/>
    <s v="Beds 300-499"/>
    <s v="Level I &amp; Level II - Ped"/>
    <n v="43"/>
    <x v="33"/>
    <x v="18"/>
    <s v="Harbor Gateway South/Lomita/Torrance East Central"/>
    <s v="Urban"/>
    <x v="0"/>
    <x v="1"/>
    <x v="0"/>
    <n v="26985"/>
    <n v="28930"/>
    <n v="6"/>
    <n v="8552"/>
    <n v="8005"/>
    <n v="7835"/>
    <n v="6502"/>
    <n v="7742"/>
    <n v="8500"/>
    <n v="4676"/>
    <n v="1305"/>
    <n v="657"/>
    <n v="2147"/>
    <m/>
    <n v="3278"/>
    <n v="12616"/>
    <n v="33017"/>
    <n v="60"/>
    <n v="364"/>
    <n v="12"/>
    <n v="6574"/>
    <n v="15"/>
    <n v="392"/>
    <n v="21"/>
    <n v="7"/>
    <n v="2"/>
    <n v="24"/>
    <n v="1"/>
    <n v="166"/>
    <n v="3003"/>
    <n v="14"/>
    <n v="51930"/>
    <n v="94"/>
    <n v="209"/>
    <m/>
    <n v="43"/>
    <n v="35854"/>
    <n v="2662"/>
    <n v="841"/>
    <n v="2114"/>
    <n v="14162"/>
    <n v="288"/>
    <n v="55921"/>
    <n v="653"/>
    <n v="38022"/>
    <n v="17246"/>
    <n v="5473"/>
    <n v="6967"/>
    <m/>
    <n v="745"/>
    <n v="1636"/>
    <n v="1508"/>
    <n v="1849"/>
    <n v="2562"/>
    <n v="1819"/>
    <n v="771"/>
    <n v="668"/>
    <n v="306"/>
    <n v="576"/>
    <m/>
    <n v="969"/>
    <n v="2873"/>
    <n v="6715"/>
    <n v="29"/>
    <n v="14"/>
    <n v="1829"/>
    <n v="11"/>
    <n v="561"/>
    <n v="336"/>
    <n v="361"/>
    <n v="94"/>
    <n v="153"/>
    <m/>
    <n v="21"/>
    <n v="10156"/>
    <n v="448"/>
    <n v="29"/>
    <n v="129"/>
    <n v="88"/>
    <n v="55"/>
    <m/>
    <n v="9"/>
    <n v="7789"/>
    <n v="1465"/>
    <n v="289"/>
    <n v="577"/>
    <n v="2261"/>
    <n v="59"/>
    <n v="12440"/>
    <n v="271"/>
    <n v="8017"/>
    <n v="4152"/>
    <s v="2015"/>
    <n v="453"/>
    <n v="84"/>
    <m/>
    <m/>
    <m/>
    <m/>
  </r>
  <r>
    <n v="106191228"/>
    <s v="191228"/>
    <x v="129"/>
    <x v="17"/>
    <x v="0"/>
    <s v="General Acute Care Hospital"/>
    <s v="1200 NORTH STATE STREET"/>
    <s v="LOS ANGELES"/>
    <s v="90033"/>
    <s v="Beds 500+"/>
    <s v="Level I &amp; Level II - Ped"/>
    <n v="34"/>
    <x v="27"/>
    <x v="19"/>
    <s v="Boyle Heights Northwest/Chinatown/Downtown Northwest/Little Tokyo/Westlake"/>
    <s v="Urban"/>
    <x v="0"/>
    <x v="1"/>
    <x v="2"/>
    <n v="48701"/>
    <n v="63193"/>
    <n v="12"/>
    <n v="8582"/>
    <n v="9402"/>
    <n v="18028"/>
    <n v="18351"/>
    <n v="20576"/>
    <n v="20888"/>
    <n v="10492"/>
    <n v="2627"/>
    <n v="964"/>
    <n v="1996"/>
    <m/>
    <n v="4280"/>
    <n v="16470"/>
    <n v="76148"/>
    <n v="161"/>
    <n v="1669"/>
    <n v="1380"/>
    <n v="11798"/>
    <n v="2392"/>
    <n v="5558"/>
    <n v="110"/>
    <n v="4"/>
    <n v="1"/>
    <n v="48"/>
    <n v="2"/>
    <n v="7503"/>
    <n v="3122"/>
    <n v="11"/>
    <n v="90570"/>
    <n v="98"/>
    <n v="516"/>
    <m/>
    <n v="1971"/>
    <n v="80486"/>
    <n v="5505"/>
    <n v="11178"/>
    <n v="4053"/>
    <n v="10664"/>
    <n v="20"/>
    <n v="111906"/>
    <n v="2496"/>
    <n v="63909"/>
    <n v="45501"/>
    <n v="8556"/>
    <n v="12637"/>
    <n v="1"/>
    <n v="1036"/>
    <n v="2624"/>
    <n v="2847"/>
    <n v="3601"/>
    <n v="4713"/>
    <n v="3306"/>
    <n v="1222"/>
    <n v="858"/>
    <n v="321"/>
    <n v="666"/>
    <m/>
    <n v="1401"/>
    <n v="2799"/>
    <n v="13858"/>
    <n v="356"/>
    <n v="114"/>
    <n v="2653"/>
    <n v="13"/>
    <n v="690"/>
    <n v="824"/>
    <n v="536"/>
    <n v="54"/>
    <n v="366"/>
    <m/>
    <n v="171"/>
    <n v="16485"/>
    <n v="660"/>
    <n v="914"/>
    <n v="114"/>
    <n v="128"/>
    <n v="133"/>
    <n v="5"/>
    <n v="114"/>
    <n v="16518"/>
    <n v="2598"/>
    <n v="566"/>
    <n v="849"/>
    <n v="661"/>
    <n v="2"/>
    <n v="21194"/>
    <n v="910"/>
    <n v="11322"/>
    <n v="8962"/>
    <s v="2015"/>
    <n v="676"/>
    <n v="106"/>
    <m/>
    <m/>
    <m/>
    <m/>
  </r>
  <r>
    <n v="106191230"/>
    <s v="191230"/>
    <x v="130"/>
    <x v="17"/>
    <x v="0"/>
    <s v="General Acute Care Hospital"/>
    <s v="12021 WILMINGTON AVENUE"/>
    <s v="LOS ANGELES"/>
    <s v="90059"/>
    <s v="Beds 300-499"/>
    <m/>
    <n v="44"/>
    <x v="38"/>
    <x v="18"/>
    <s v="Paramount North/Willowbrook"/>
    <s v="Urban"/>
    <x v="0"/>
    <x v="1"/>
    <x v="0"/>
    <n v="10288"/>
    <n v="8186"/>
    <n v="6"/>
    <n v="1258"/>
    <n v="1641"/>
    <n v="3647"/>
    <n v="3120"/>
    <n v="2982"/>
    <n v="3266"/>
    <n v="1559"/>
    <n v="471"/>
    <n v="284"/>
    <n v="252"/>
    <m/>
    <n v="88"/>
    <n v="8748"/>
    <n v="8465"/>
    <n v="27"/>
    <n v="82"/>
    <n v="204"/>
    <n v="866"/>
    <n v="530"/>
    <n v="558"/>
    <n v="18"/>
    <n v="7"/>
    <n v="34"/>
    <m/>
    <m/>
    <m/>
    <n v="238"/>
    <n v="66"/>
    <n v="16924"/>
    <n v="7"/>
    <n v="11"/>
    <n v="38"/>
    <m/>
    <n v="10049"/>
    <n v="1238"/>
    <n v="4085"/>
    <n v="3108"/>
    <m/>
    <m/>
    <n v="18480"/>
    <n v="54"/>
    <n v="14385"/>
    <n v="4041"/>
    <n v="830"/>
    <n v="761"/>
    <m/>
    <n v="18"/>
    <n v="165"/>
    <n v="157"/>
    <n v="256"/>
    <n v="438"/>
    <n v="320"/>
    <n v="120"/>
    <n v="116"/>
    <m/>
    <n v="1"/>
    <m/>
    <n v="6"/>
    <n v="811"/>
    <n v="678"/>
    <m/>
    <n v="11"/>
    <n v="83"/>
    <n v="2"/>
    <n v="61"/>
    <n v="63"/>
    <n v="32"/>
    <n v="55"/>
    <n v="4"/>
    <m/>
    <n v="26"/>
    <n v="1260"/>
    <n v="51"/>
    <n v="2"/>
    <n v="20"/>
    <n v="8"/>
    <n v="6"/>
    <n v="3"/>
    <m/>
    <n v="1102"/>
    <n v="356"/>
    <n v="3"/>
    <n v="53"/>
    <n v="77"/>
    <m/>
    <n v="1591"/>
    <n v="6"/>
    <n v="1154"/>
    <n v="431"/>
    <s v="2015"/>
    <n v="461"/>
    <n v="30"/>
    <n v="46"/>
    <n v="3"/>
    <m/>
    <m/>
  </r>
  <r>
    <n v="106191231"/>
    <s v="191231"/>
    <x v="131"/>
    <x v="17"/>
    <x v="0"/>
    <s v="General Acute Care Hospital"/>
    <s v="14445 OLIVE VIEW DRIVE"/>
    <s v="SYLMAR"/>
    <s v="91342"/>
    <s v="Beds 300-499"/>
    <m/>
    <n v="29"/>
    <x v="31"/>
    <x v="22"/>
    <s v="Angeles National Forest West/Kagel Canyon/Lake View Terrace/San Fernando East/Sylmar"/>
    <s v="Urban"/>
    <x v="0"/>
    <x v="1"/>
    <x v="0"/>
    <n v="27540"/>
    <n v="26383"/>
    <m/>
    <n v="2229"/>
    <n v="4126"/>
    <n v="9212"/>
    <n v="9390"/>
    <n v="10366"/>
    <n v="10448"/>
    <n v="5710"/>
    <n v="1345"/>
    <n v="594"/>
    <n v="503"/>
    <m/>
    <n v="2266"/>
    <n v="3498"/>
    <n v="37710"/>
    <n v="92"/>
    <n v="343"/>
    <n v="54"/>
    <n v="9960"/>
    <n v="3435"/>
    <n v="2079"/>
    <n v="10"/>
    <n v="15"/>
    <n v="2"/>
    <m/>
    <m/>
    <n v="366"/>
    <n v="872"/>
    <n v="145"/>
    <n v="46713"/>
    <n v="115"/>
    <n v="158"/>
    <m/>
    <n v="12"/>
    <n v="40001"/>
    <n v="2973"/>
    <n v="572"/>
    <n v="2440"/>
    <n v="7937"/>
    <m/>
    <n v="53923"/>
    <n v="1421"/>
    <n v="27743"/>
    <n v="24759"/>
    <n v="3685"/>
    <n v="4222"/>
    <m/>
    <n v="152"/>
    <n v="695"/>
    <n v="916"/>
    <n v="1382"/>
    <n v="2088"/>
    <n v="1510"/>
    <n v="611"/>
    <n v="441"/>
    <n v="37"/>
    <n v="75"/>
    <m/>
    <n v="517"/>
    <n v="427"/>
    <n v="5252"/>
    <n v="28"/>
    <n v="2"/>
    <n v="1661"/>
    <n v="20"/>
    <n v="201"/>
    <n v="199"/>
    <n v="129"/>
    <n v="158"/>
    <n v="6"/>
    <m/>
    <n v="60"/>
    <n v="6744"/>
    <n v="331"/>
    <n v="7"/>
    <n v="4"/>
    <n v="16"/>
    <n v="39"/>
    <m/>
    <n v="7"/>
    <n v="6048"/>
    <n v="1083"/>
    <n v="287"/>
    <n v="97"/>
    <n v="392"/>
    <m/>
    <n v="7907"/>
    <n v="370"/>
    <n v="3635"/>
    <n v="3902"/>
    <s v="2015"/>
    <n v="355"/>
    <n v="51"/>
    <m/>
    <n v="1"/>
    <n v="6"/>
    <m/>
  </r>
  <r>
    <n v="106191450"/>
    <s v="191450"/>
    <x v="132"/>
    <x v="17"/>
    <x v="1"/>
    <s v="General Acute Care Hospital"/>
    <s v="5601 DE SOTO AVENUE"/>
    <s v="WOODLAND HILLS"/>
    <s v="91367"/>
    <s v="Beds 200-299"/>
    <m/>
    <n v="30"/>
    <x v="28"/>
    <x v="20"/>
    <s v="Encino/Tarzana/Warner Center/Woodland Hills"/>
    <s v="Urban"/>
    <x v="0"/>
    <x v="0"/>
    <x v="0"/>
    <n v="19681"/>
    <n v="16654"/>
    <m/>
    <n v="2806"/>
    <n v="3094"/>
    <n v="4720"/>
    <n v="3776"/>
    <n v="3814"/>
    <n v="4184"/>
    <n v="4719"/>
    <n v="3883"/>
    <n v="4873"/>
    <n v="466"/>
    <m/>
    <n v="3186"/>
    <n v="2613"/>
    <n v="8579"/>
    <n v="76"/>
    <n v="383"/>
    <n v="258"/>
    <n v="21240"/>
    <n v="293"/>
    <n v="240"/>
    <n v="14"/>
    <n v="272"/>
    <n v="65"/>
    <n v="4"/>
    <m/>
    <n v="24"/>
    <n v="489"/>
    <n v="2"/>
    <n v="34599"/>
    <n v="187"/>
    <m/>
    <m/>
    <n v="139"/>
    <n v="5652"/>
    <n v="11313"/>
    <n v="76"/>
    <n v="16734"/>
    <n v="2555"/>
    <n v="5"/>
    <n v="36335"/>
    <n v="815"/>
    <n v="33102"/>
    <n v="2418"/>
    <n v="2949"/>
    <n v="2527"/>
    <m/>
    <n v="49"/>
    <n v="139"/>
    <n v="156"/>
    <n v="299"/>
    <n v="547"/>
    <n v="933"/>
    <n v="1235"/>
    <n v="2082"/>
    <n v="17"/>
    <n v="19"/>
    <m/>
    <n v="414"/>
    <n v="204"/>
    <n v="691"/>
    <n v="9"/>
    <n v="15"/>
    <n v="4132"/>
    <n v="11"/>
    <n v="192"/>
    <n v="47"/>
    <n v="200"/>
    <n v="1457"/>
    <n v="6"/>
    <m/>
    <n v="7"/>
    <n v="2774"/>
    <n v="596"/>
    <m/>
    <n v="166"/>
    <n v="22"/>
    <n v="1"/>
    <m/>
    <n v="7"/>
    <n v="266"/>
    <n v="3818"/>
    <n v="6"/>
    <n v="1301"/>
    <n v="84"/>
    <n v="1"/>
    <n v="5476"/>
    <n v="147"/>
    <n v="5077"/>
    <n v="252"/>
    <s v="2015"/>
    <n v="262"/>
    <n v="27"/>
    <n v="7"/>
    <m/>
    <m/>
    <n v="1"/>
  </r>
  <r>
    <n v="106196035"/>
    <s v="196035"/>
    <x v="133"/>
    <x v="17"/>
    <x v="1"/>
    <s v="General Acute Care Hospital"/>
    <s v="1011 BALDWIN PARK BLVD."/>
    <s v="BALDWIN PARK"/>
    <s v="91706"/>
    <s v="Beds 200-299"/>
    <m/>
    <n v="32"/>
    <x v="29"/>
    <x v="12"/>
    <s v="Bassett/Industry West/La Puente"/>
    <s v="Urban"/>
    <x v="0"/>
    <x v="0"/>
    <x v="0"/>
    <n v="40448"/>
    <n v="34118"/>
    <n v="1"/>
    <n v="10633"/>
    <n v="8273"/>
    <n v="10527"/>
    <n v="8434"/>
    <n v="8139"/>
    <n v="8090"/>
    <n v="7411"/>
    <n v="6208"/>
    <n v="4837"/>
    <n v="2013"/>
    <n v="2"/>
    <n v="7164"/>
    <n v="2572"/>
    <n v="51887"/>
    <n v="191"/>
    <n v="1099"/>
    <n v="1181"/>
    <n v="10473"/>
    <n v="1082"/>
    <n v="294"/>
    <n v="30"/>
    <n v="782"/>
    <n v="117"/>
    <n v="13"/>
    <m/>
    <n v="149"/>
    <n v="750"/>
    <n v="10"/>
    <n v="71169"/>
    <n v="109"/>
    <n v="2"/>
    <n v="2"/>
    <n v="50"/>
    <n v="19455"/>
    <n v="14736"/>
    <n v="201"/>
    <n v="33212"/>
    <n v="6963"/>
    <m/>
    <n v="74567"/>
    <n v="1454"/>
    <n v="60961"/>
    <n v="12152"/>
    <n v="3457"/>
    <n v="3418"/>
    <m/>
    <n v="83"/>
    <n v="271"/>
    <n v="341"/>
    <n v="563"/>
    <n v="909"/>
    <n v="1449"/>
    <n v="1634"/>
    <n v="1622"/>
    <n v="1"/>
    <n v="2"/>
    <m/>
    <n v="1026"/>
    <n v="315"/>
    <n v="3608"/>
    <n v="24"/>
    <n v="16"/>
    <n v="1865"/>
    <n v="21"/>
    <n v="298"/>
    <n v="35"/>
    <n v="195"/>
    <n v="2119"/>
    <n v="5"/>
    <m/>
    <n v="3"/>
    <n v="3370"/>
    <n v="564"/>
    <m/>
    <n v="265"/>
    <n v="8"/>
    <m/>
    <m/>
    <n v="10"/>
    <n v="431"/>
    <n v="4102"/>
    <n v="4"/>
    <n v="2235"/>
    <n v="103"/>
    <m/>
    <n v="6875"/>
    <n v="245"/>
    <n v="5483"/>
    <n v="1147"/>
    <s v="2015"/>
    <n v="272"/>
    <n v="40"/>
    <n v="8"/>
    <m/>
    <m/>
    <n v="3"/>
  </r>
  <r>
    <n v="106196403"/>
    <s v="196403"/>
    <x v="134"/>
    <x v="17"/>
    <x v="1"/>
    <s v="General Acute Care Hospital"/>
    <s v="9333 IMPERIAL HIGHWAY"/>
    <s v="DOWNEY"/>
    <s v="90242"/>
    <s v="Beds 300-499"/>
    <m/>
    <n v="40"/>
    <x v="21"/>
    <x v="16"/>
    <s v="Downey Northeast"/>
    <s v="Urban"/>
    <x v="0"/>
    <x v="0"/>
    <x v="0"/>
    <n v="46462"/>
    <n v="35325"/>
    <m/>
    <n v="10517"/>
    <n v="8435"/>
    <n v="11785"/>
    <n v="10374"/>
    <n v="9579"/>
    <n v="9375"/>
    <n v="8366"/>
    <n v="6240"/>
    <n v="4924"/>
    <n v="2192"/>
    <m/>
    <n v="4579"/>
    <n v="13936"/>
    <n v="50062"/>
    <n v="197"/>
    <n v="712"/>
    <n v="932"/>
    <n v="11369"/>
    <n v="860"/>
    <n v="680"/>
    <n v="42"/>
    <n v="500"/>
    <n v="92"/>
    <n v="9"/>
    <m/>
    <n v="32"/>
    <n v="687"/>
    <n v="4"/>
    <n v="78254"/>
    <n v="161"/>
    <n v="2"/>
    <n v="2"/>
    <n v="449"/>
    <n v="19135"/>
    <n v="15678"/>
    <n v="235"/>
    <n v="41455"/>
    <n v="5282"/>
    <n v="2"/>
    <n v="81787"/>
    <n v="732"/>
    <n v="67275"/>
    <n v="13780"/>
    <n v="4541"/>
    <n v="4342"/>
    <m/>
    <n v="222"/>
    <n v="497"/>
    <n v="603"/>
    <n v="864"/>
    <n v="1255"/>
    <n v="1722"/>
    <n v="1766"/>
    <n v="1734"/>
    <n v="56"/>
    <n v="164"/>
    <m/>
    <n v="614"/>
    <n v="1766"/>
    <n v="4282"/>
    <n v="26"/>
    <n v="26"/>
    <n v="2138"/>
    <n v="31"/>
    <n v="362"/>
    <n v="74"/>
    <n v="233"/>
    <n v="1702"/>
    <n v="36"/>
    <m/>
    <n v="13"/>
    <n v="5464"/>
    <n v="653"/>
    <m/>
    <n v="308"/>
    <n v="23"/>
    <m/>
    <n v="1"/>
    <n v="14"/>
    <n v="760"/>
    <n v="4564"/>
    <n v="13"/>
    <n v="3338"/>
    <n v="208"/>
    <m/>
    <n v="8883"/>
    <n v="101"/>
    <n v="7139"/>
    <n v="1643"/>
    <s v="2015"/>
    <n v="352"/>
    <n v="63"/>
    <n v="13"/>
    <m/>
    <m/>
    <m/>
  </r>
  <r>
    <n v="106196405"/>
    <s v="196405"/>
    <x v="135"/>
    <x v="17"/>
    <x v="3"/>
    <s v="General Acute Care Hospital"/>
    <s v="38600 MEDICAL CENTER DRIVE"/>
    <s v="PALMDALE"/>
    <s v="93551"/>
    <s v="Beds 150-199"/>
    <m/>
    <n v="25"/>
    <x v="19"/>
    <x v="13"/>
    <s v="Palmdale Central"/>
    <s v="Urban"/>
    <x v="0"/>
    <x v="0"/>
    <x v="0"/>
    <n v="38435"/>
    <n v="27886"/>
    <m/>
    <n v="9759"/>
    <n v="8326"/>
    <n v="12529"/>
    <n v="9594"/>
    <n v="8158"/>
    <n v="7923"/>
    <n v="4463"/>
    <n v="2386"/>
    <n v="1620"/>
    <n v="1563"/>
    <m/>
    <n v="314"/>
    <n v="17020"/>
    <n v="26229"/>
    <n v="44"/>
    <n v="4213"/>
    <n v="691"/>
    <n v="17810"/>
    <n v="305"/>
    <n v="513"/>
    <n v="59"/>
    <n v="20"/>
    <n v="7"/>
    <n v="1"/>
    <m/>
    <n v="931"/>
    <n v="117"/>
    <m/>
    <n v="64248"/>
    <n v="36"/>
    <n v="8"/>
    <m/>
    <n v="75"/>
    <n v="32466"/>
    <n v="8037"/>
    <n v="1508"/>
    <n v="16175"/>
    <n v="8135"/>
    <m/>
    <n v="66321"/>
    <n v="100"/>
    <n v="63273"/>
    <n v="2948"/>
    <n v="3626"/>
    <n v="3343"/>
    <m/>
    <n v="70"/>
    <n v="448"/>
    <n v="524"/>
    <n v="861"/>
    <n v="1551"/>
    <n v="1372"/>
    <n v="1116"/>
    <n v="1027"/>
    <m/>
    <m/>
    <m/>
    <n v="78"/>
    <n v="1544"/>
    <n v="1763"/>
    <n v="453"/>
    <n v="46"/>
    <n v="3078"/>
    <n v="7"/>
    <n v="116"/>
    <n v="162"/>
    <n v="227"/>
    <n v="961"/>
    <n v="60"/>
    <m/>
    <m/>
    <n v="4401"/>
    <n v="685"/>
    <n v="145"/>
    <n v="196"/>
    <n v="10"/>
    <n v="1"/>
    <m/>
    <n v="5"/>
    <n v="2263"/>
    <n v="3467"/>
    <n v="111"/>
    <n v="848"/>
    <n v="280"/>
    <m/>
    <n v="6969"/>
    <n v="50"/>
    <n v="6450"/>
    <n v="469"/>
    <s v="2015"/>
    <n v="157"/>
    <n v="35"/>
    <n v="1"/>
    <m/>
    <m/>
    <m/>
  </r>
  <r>
    <n v="106201281"/>
    <s v="201281"/>
    <x v="136"/>
    <x v="18"/>
    <x v="1"/>
    <s v="General Acute Care Hospital"/>
    <s v="1250 EAST ALMOND AVENUE"/>
    <s v="MADERA"/>
    <s v="93637"/>
    <s v="Beds 100-149"/>
    <m/>
    <n v="16"/>
    <x v="5"/>
    <x v="8"/>
    <s v="Madera"/>
    <s v="Rural"/>
    <x v="0"/>
    <x v="0"/>
    <x v="0"/>
    <n v="22610"/>
    <n v="16801"/>
    <m/>
    <n v="3751"/>
    <n v="4664"/>
    <n v="8232"/>
    <n v="6674"/>
    <n v="5170"/>
    <n v="4473"/>
    <n v="2808"/>
    <n v="1563"/>
    <n v="1506"/>
    <n v="570"/>
    <m/>
    <n v="464"/>
    <n v="1831"/>
    <n v="27415"/>
    <n v="29"/>
    <n v="12"/>
    <n v="1208"/>
    <n v="8452"/>
    <n v="3293"/>
    <n v="3212"/>
    <n v="71"/>
    <m/>
    <n v="2"/>
    <m/>
    <m/>
    <n v="574"/>
    <n v="267"/>
    <m/>
    <n v="31867"/>
    <n v="121"/>
    <m/>
    <m/>
    <m/>
    <n v="23775"/>
    <n v="5095"/>
    <n v="1069"/>
    <n v="4714"/>
    <n v="4758"/>
    <m/>
    <n v="39411"/>
    <n v="191"/>
    <n v="27521"/>
    <n v="11699"/>
    <n v="1073"/>
    <n v="1042"/>
    <m/>
    <n v="30"/>
    <n v="169"/>
    <n v="177"/>
    <n v="217"/>
    <n v="402"/>
    <n v="334"/>
    <n v="337"/>
    <n v="449"/>
    <m/>
    <m/>
    <m/>
    <n v="50"/>
    <n v="112"/>
    <n v="1096"/>
    <n v="1"/>
    <m/>
    <n v="855"/>
    <n v="1"/>
    <n v="80"/>
    <n v="37"/>
    <n v="42"/>
    <n v="247"/>
    <m/>
    <m/>
    <m/>
    <n v="1357"/>
    <n v="290"/>
    <n v="60"/>
    <m/>
    <m/>
    <n v="1"/>
    <m/>
    <m/>
    <n v="879"/>
    <n v="934"/>
    <n v="72"/>
    <n v="208"/>
    <n v="22"/>
    <m/>
    <n v="2115"/>
    <n v="24"/>
    <n v="1604"/>
    <n v="487"/>
    <s v="2015"/>
    <n v="106"/>
    <n v="16"/>
    <m/>
    <n v="4"/>
    <m/>
    <n v="1"/>
  </r>
  <r>
    <n v="106204019"/>
    <s v="204019"/>
    <x v="137"/>
    <x v="18"/>
    <x v="1"/>
    <s v="General Acute Care Hospital"/>
    <s v="9300 VALLEY CHILDRENS PLACE"/>
    <s v="MADERA"/>
    <s v="93638"/>
    <s v="Beds 300-499"/>
    <m/>
    <n v="16"/>
    <x v="5"/>
    <x v="8"/>
    <s v="Madera"/>
    <s v="Rural"/>
    <x v="0"/>
    <x v="0"/>
    <x v="0"/>
    <n v="52760"/>
    <n v="57751"/>
    <m/>
    <n v="68097"/>
    <n v="22542"/>
    <n v="268"/>
    <n v="130"/>
    <n v="66"/>
    <n v="54"/>
    <n v="13"/>
    <n v="3"/>
    <m/>
    <n v="19338"/>
    <m/>
    <n v="3217"/>
    <n v="4400"/>
    <n v="83915"/>
    <n v="50"/>
    <n v="1326"/>
    <n v="36"/>
    <n v="17567"/>
    <n v="265"/>
    <n v="47"/>
    <n v="5"/>
    <m/>
    <m/>
    <n v="1"/>
    <m/>
    <m/>
    <m/>
    <m/>
    <n v="110130"/>
    <m/>
    <m/>
    <m/>
    <m/>
    <n v="93731"/>
    <n v="14"/>
    <n v="873"/>
    <n v="14143"/>
    <n v="1750"/>
    <m/>
    <n v="110511"/>
    <n v="312"/>
    <n v="85852"/>
    <n v="24347"/>
    <n v="3954"/>
    <n v="4916"/>
    <m/>
    <n v="2349"/>
    <n v="36"/>
    <m/>
    <m/>
    <m/>
    <m/>
    <m/>
    <m/>
    <n v="2359"/>
    <n v="4126"/>
    <m/>
    <n v="378"/>
    <n v="455"/>
    <n v="6027"/>
    <n v="95"/>
    <n v="2"/>
    <n v="1907"/>
    <n v="6"/>
    <n v="1"/>
    <n v="4"/>
    <n v="10"/>
    <n v="10"/>
    <n v="2"/>
    <m/>
    <m/>
    <n v="8734"/>
    <n v="10"/>
    <m/>
    <m/>
    <m/>
    <n v="52"/>
    <m/>
    <m/>
    <n v="6903"/>
    <n v="6"/>
    <n v="92"/>
    <n v="1860"/>
    <n v="9"/>
    <m/>
    <n v="8870"/>
    <n v="91"/>
    <n v="6771"/>
    <n v="2008"/>
    <s v="2015"/>
    <n v="356"/>
    <n v="39"/>
    <m/>
    <n v="63"/>
    <n v="21"/>
    <n v="26"/>
  </r>
  <r>
    <n v="106210992"/>
    <s v="210992"/>
    <x v="138"/>
    <x v="19"/>
    <x v="1"/>
    <s v="General Acute Care Hospital"/>
    <s v="99 MONTECILLO ROAD"/>
    <s v="SAN RAFAEL"/>
    <s v="94903"/>
    <s v="Beds 100-149"/>
    <m/>
    <n v="2"/>
    <x v="39"/>
    <x v="6"/>
    <s v="Corte Madera/Fairfax/Kentfield/Larkspur/Marinwood/Mill Valley/Ross/San Anselmo/San Rafael West/Terra Linda"/>
    <s v="Urban"/>
    <x v="0"/>
    <x v="0"/>
    <x v="0"/>
    <n v="13231"/>
    <n v="11336"/>
    <m/>
    <n v="1568"/>
    <n v="2211"/>
    <n v="2157"/>
    <n v="2143"/>
    <n v="2633"/>
    <n v="3429"/>
    <n v="3604"/>
    <n v="3078"/>
    <n v="3567"/>
    <n v="177"/>
    <m/>
    <n v="1117"/>
    <n v="1183"/>
    <n v="3043"/>
    <n v="83"/>
    <n v="728"/>
    <n v="432"/>
    <n v="17981"/>
    <n v="202"/>
    <n v="196"/>
    <n v="43"/>
    <n v="87"/>
    <n v="62"/>
    <n v="25"/>
    <m/>
    <n v="74"/>
    <n v="225"/>
    <n v="7"/>
    <n v="23473"/>
    <n v="98"/>
    <n v="3"/>
    <n v="5"/>
    <n v="67"/>
    <n v="2323"/>
    <n v="8370"/>
    <n v="516"/>
    <n v="11888"/>
    <n v="1470"/>
    <m/>
    <n v="24567"/>
    <n v="262"/>
    <n v="23193"/>
    <n v="1112"/>
    <n v="1548"/>
    <n v="1486"/>
    <n v="2"/>
    <n v="18"/>
    <n v="65"/>
    <n v="82"/>
    <n v="177"/>
    <n v="346"/>
    <n v="613"/>
    <n v="658"/>
    <n v="1077"/>
    <m/>
    <m/>
    <m/>
    <n v="126"/>
    <n v="86"/>
    <n v="134"/>
    <n v="28"/>
    <n v="10"/>
    <n v="2642"/>
    <n v="10"/>
    <n v="166"/>
    <n v="29"/>
    <n v="108"/>
    <n v="345"/>
    <n v="20"/>
    <m/>
    <n v="12"/>
    <n v="1867"/>
    <n v="328"/>
    <m/>
    <n v="137"/>
    <n v="4"/>
    <m/>
    <n v="3"/>
    <n v="16"/>
    <n v="32"/>
    <n v="2119"/>
    <n v="10"/>
    <n v="832"/>
    <n v="43"/>
    <m/>
    <n v="3036"/>
    <n v="32"/>
    <n v="2950"/>
    <n v="54"/>
    <s v="2015"/>
    <n v="116"/>
    <n v="15"/>
    <m/>
    <m/>
    <m/>
    <n v="1"/>
  </r>
  <r>
    <n v="106211006"/>
    <s v="211006"/>
    <x v="139"/>
    <x v="19"/>
    <x v="1"/>
    <s v="General Acute Care Hospital"/>
    <s v="250 BON AIR ROAD"/>
    <s v="GREENBRAE"/>
    <s v="94904"/>
    <s v="Beds 200-299"/>
    <s v="Level III"/>
    <n v="2"/>
    <x v="39"/>
    <x v="6"/>
    <s v="Corte Madera/Fairfax/Kentfield/Larkspur/Marinwood/Mill Valley/Ross/San Anselmo/San Rafael West/Terra Linda"/>
    <s v="Urban"/>
    <x v="0"/>
    <x v="0"/>
    <x v="0"/>
    <n v="16108"/>
    <n v="14973"/>
    <n v="2"/>
    <n v="3818"/>
    <n v="2968"/>
    <n v="3637"/>
    <n v="3806"/>
    <n v="3985"/>
    <n v="3914"/>
    <n v="3457"/>
    <n v="2463"/>
    <n v="2331"/>
    <n v="704"/>
    <m/>
    <n v="1007"/>
    <n v="1700"/>
    <n v="7162"/>
    <n v="81"/>
    <n v="237"/>
    <n v="18"/>
    <n v="20878"/>
    <n v="83"/>
    <n v="161"/>
    <n v="42"/>
    <n v="18"/>
    <n v="3"/>
    <n v="1"/>
    <m/>
    <n v="162"/>
    <n v="151"/>
    <n v="7"/>
    <n v="30211"/>
    <n v="92"/>
    <n v="6"/>
    <n v="3"/>
    <n v="140"/>
    <n v="10646"/>
    <n v="6752"/>
    <n v="1131"/>
    <n v="10497"/>
    <n v="2057"/>
    <m/>
    <n v="31083"/>
    <n v="140"/>
    <n v="28388"/>
    <n v="2555"/>
    <n v="2460"/>
    <n v="2640"/>
    <m/>
    <n v="59"/>
    <n v="197"/>
    <n v="241"/>
    <n v="373"/>
    <n v="726"/>
    <n v="885"/>
    <n v="946"/>
    <n v="1574"/>
    <n v="34"/>
    <n v="65"/>
    <m/>
    <n v="187"/>
    <n v="236"/>
    <n v="486"/>
    <n v="25"/>
    <n v="6"/>
    <n v="4149"/>
    <n v="11"/>
    <n v="152"/>
    <n v="75"/>
    <n v="207"/>
    <n v="536"/>
    <n v="39"/>
    <m/>
    <n v="5"/>
    <n v="2607"/>
    <n v="1179"/>
    <n v="115"/>
    <n v="147"/>
    <n v="27"/>
    <n v="2"/>
    <m/>
    <n v="7"/>
    <n v="904"/>
    <n v="3042"/>
    <n v="191"/>
    <n v="906"/>
    <n v="56"/>
    <n v="1"/>
    <n v="5100"/>
    <n v="29"/>
    <n v="4922"/>
    <n v="149"/>
    <s v="2015"/>
    <n v="235"/>
    <n v="22"/>
    <m/>
    <n v="3"/>
    <m/>
    <n v="2"/>
  </r>
  <r>
    <n v="106214034"/>
    <s v="214034"/>
    <x v="140"/>
    <x v="19"/>
    <x v="1"/>
    <s v="General Acute Care Hospital"/>
    <s v="180 ROLAND WAY"/>
    <s v="NOVATO"/>
    <s v="94945"/>
    <s v="Beds 1-49"/>
    <m/>
    <n v="2"/>
    <x v="39"/>
    <x v="6"/>
    <s v="Bel Marin Keys/Black Point/Ignacio/Novato/San Rafael East/Santa Venetia"/>
    <s v="Urban"/>
    <x v="0"/>
    <x v="0"/>
    <x v="0"/>
    <n v="7253"/>
    <n v="6026"/>
    <m/>
    <n v="1383"/>
    <n v="1401"/>
    <n v="1490"/>
    <n v="1584"/>
    <n v="1713"/>
    <n v="1740"/>
    <n v="1431"/>
    <n v="1132"/>
    <n v="1264"/>
    <n v="141"/>
    <m/>
    <n v="358"/>
    <n v="603"/>
    <n v="3194"/>
    <n v="26"/>
    <n v="378"/>
    <n v="174"/>
    <n v="8546"/>
    <n v="156"/>
    <n v="57"/>
    <n v="12"/>
    <n v="16"/>
    <n v="19"/>
    <n v="22"/>
    <m/>
    <n v="55"/>
    <n v="77"/>
    <n v="9"/>
    <n v="12632"/>
    <n v="34"/>
    <m/>
    <n v="12"/>
    <n v="97"/>
    <n v="4704"/>
    <n v="3472"/>
    <n v="353"/>
    <n v="3719"/>
    <n v="1001"/>
    <n v="30"/>
    <n v="13279"/>
    <n v="219"/>
    <n v="11345"/>
    <n v="1715"/>
    <n v="672"/>
    <n v="632"/>
    <m/>
    <n v="12"/>
    <n v="42"/>
    <n v="69"/>
    <n v="113"/>
    <n v="156"/>
    <n v="219"/>
    <n v="247"/>
    <n v="446"/>
    <m/>
    <m/>
    <m/>
    <n v="56"/>
    <n v="38"/>
    <n v="153"/>
    <n v="30"/>
    <n v="7"/>
    <n v="1020"/>
    <m/>
    <n v="81"/>
    <n v="5"/>
    <n v="35"/>
    <n v="168"/>
    <n v="18"/>
    <m/>
    <n v="9"/>
    <n v="709"/>
    <n v="216"/>
    <n v="1"/>
    <n v="44"/>
    <n v="10"/>
    <m/>
    <n v="1"/>
    <n v="7"/>
    <n v="225"/>
    <n v="827"/>
    <n v="19"/>
    <n v="204"/>
    <n v="29"/>
    <m/>
    <n v="1304"/>
    <n v="37"/>
    <n v="1187"/>
    <n v="80"/>
    <s v="2015"/>
    <n v="47"/>
    <n v="9"/>
    <n v="60"/>
    <n v="21"/>
    <m/>
    <m/>
  </r>
  <r>
    <n v="106220733"/>
    <s v="220733"/>
    <x v="141"/>
    <x v="20"/>
    <x v="2"/>
    <s v="General Acute Care Hospital"/>
    <s v="5189 HOSPITAL RD., PO BOX 216"/>
    <s v="MARIPOSA"/>
    <s v="95338"/>
    <s v="Beds 1-49"/>
    <m/>
    <n v="4"/>
    <x v="5"/>
    <x v="3"/>
    <s v="Bootjack/CatheyÆs Valley/Coulterville/Don Pedro/El Portal/Fish Camp/Mariposa"/>
    <s v="Rural"/>
    <x v="1"/>
    <x v="0"/>
    <x v="1"/>
    <n v="3155"/>
    <n v="2689"/>
    <m/>
    <n v="490"/>
    <n v="524"/>
    <n v="745"/>
    <n v="661"/>
    <n v="598"/>
    <n v="926"/>
    <n v="729"/>
    <n v="567"/>
    <n v="551"/>
    <n v="53"/>
    <m/>
    <n v="72"/>
    <n v="38"/>
    <n v="369"/>
    <n v="226"/>
    <n v="33"/>
    <n v="20"/>
    <n v="5086"/>
    <n v="601"/>
    <n v="274"/>
    <n v="6"/>
    <m/>
    <m/>
    <n v="2"/>
    <m/>
    <n v="43"/>
    <n v="15"/>
    <n v="26"/>
    <n v="4830"/>
    <n v="6"/>
    <n v="2"/>
    <n v="32"/>
    <m/>
    <n v="513"/>
    <n v="1668"/>
    <n v="130"/>
    <n v="3125"/>
    <n v="408"/>
    <m/>
    <n v="5844"/>
    <n v="28"/>
    <n v="5773"/>
    <n v="43"/>
    <n v="94"/>
    <n v="65"/>
    <m/>
    <m/>
    <n v="5"/>
    <n v="3"/>
    <n v="5"/>
    <n v="18"/>
    <n v="18"/>
    <n v="40"/>
    <n v="70"/>
    <m/>
    <m/>
    <m/>
    <m/>
    <m/>
    <m/>
    <m/>
    <m/>
    <n v="152"/>
    <n v="7"/>
    <n v="9"/>
    <n v="3"/>
    <n v="6"/>
    <m/>
    <m/>
    <m/>
    <m/>
    <n v="101"/>
    <n v="34"/>
    <m/>
    <n v="1"/>
    <m/>
    <m/>
    <n v="1"/>
    <n v="4"/>
    <n v="5"/>
    <n v="122"/>
    <n v="3"/>
    <n v="28"/>
    <n v="1"/>
    <m/>
    <n v="159"/>
    <m/>
    <n v="159"/>
    <m/>
    <s v="2015"/>
    <n v="34"/>
    <n v="4"/>
    <n v="1"/>
    <n v="6"/>
    <m/>
    <m/>
  </r>
  <r>
    <n v="106230949"/>
    <s v="230949"/>
    <x v="142"/>
    <x v="21"/>
    <x v="1"/>
    <s v="General Acute Care Hospital"/>
    <s v="1 MADRONE STREET"/>
    <s v="WILLITS"/>
    <s v="95490"/>
    <s v="Beds 1-49"/>
    <m/>
    <n v="2"/>
    <x v="9"/>
    <x v="6"/>
    <s v="Brooktrails/Pine Mountain/Willits"/>
    <s v="Rural"/>
    <x v="1"/>
    <x v="0"/>
    <x v="0"/>
    <n v="4105"/>
    <n v="4028"/>
    <n v="1"/>
    <n v="930"/>
    <n v="893"/>
    <n v="1291"/>
    <n v="1147"/>
    <n v="943"/>
    <n v="976"/>
    <n v="941"/>
    <n v="514"/>
    <n v="383"/>
    <n v="116"/>
    <m/>
    <n v="35"/>
    <n v="99"/>
    <n v="783"/>
    <n v="550"/>
    <n v="125"/>
    <n v="39"/>
    <n v="6503"/>
    <n v="231"/>
    <n v="86"/>
    <n v="12"/>
    <n v="14"/>
    <n v="4"/>
    <n v="1"/>
    <m/>
    <n v="88"/>
    <n v="49"/>
    <m/>
    <n v="7615"/>
    <n v="22"/>
    <n v="4"/>
    <m/>
    <n v="8"/>
    <n v="4028"/>
    <n v="1717"/>
    <n v="387"/>
    <n v="1348"/>
    <n v="654"/>
    <m/>
    <n v="8134"/>
    <n v="16"/>
    <n v="7894"/>
    <n v="224"/>
    <n v="270"/>
    <n v="303"/>
    <m/>
    <n v="14"/>
    <n v="29"/>
    <n v="44"/>
    <n v="46"/>
    <n v="98"/>
    <n v="127"/>
    <n v="102"/>
    <n v="109"/>
    <m/>
    <n v="4"/>
    <m/>
    <n v="2"/>
    <n v="9"/>
    <n v="36"/>
    <n v="5"/>
    <n v="7"/>
    <n v="475"/>
    <n v="39"/>
    <n v="47"/>
    <n v="5"/>
    <n v="12"/>
    <n v="42"/>
    <n v="3"/>
    <m/>
    <m/>
    <n v="321"/>
    <n v="121"/>
    <m/>
    <n v="14"/>
    <n v="4"/>
    <n v="2"/>
    <m/>
    <m/>
    <n v="173"/>
    <n v="307"/>
    <n v="18"/>
    <n v="66"/>
    <n v="9"/>
    <m/>
    <n v="573"/>
    <m/>
    <n v="561"/>
    <n v="12"/>
    <s v="2015"/>
    <n v="38"/>
    <n v="5"/>
    <m/>
    <m/>
    <m/>
    <n v="2"/>
  </r>
  <r>
    <n v="106231013"/>
    <s v="231013"/>
    <x v="143"/>
    <x v="21"/>
    <x v="2"/>
    <s v="General Acute Care Hospital"/>
    <s v="700 RIVER DRIVE"/>
    <s v="FORT BRAGG"/>
    <s v="95437"/>
    <s v="Beds 1-49"/>
    <m/>
    <n v="2"/>
    <x v="9"/>
    <x v="6"/>
    <s v="Fort Bragg/Westport"/>
    <s v="Rural"/>
    <x v="1"/>
    <x v="0"/>
    <x v="1"/>
    <n v="4986"/>
    <n v="4681"/>
    <m/>
    <n v="808"/>
    <n v="748"/>
    <n v="1108"/>
    <n v="1106"/>
    <n v="1192"/>
    <n v="1271"/>
    <n v="1518"/>
    <n v="1024"/>
    <n v="724"/>
    <n v="168"/>
    <m/>
    <n v="69"/>
    <n v="80"/>
    <n v="1111"/>
    <n v="81"/>
    <n v="297"/>
    <n v="61"/>
    <n v="7968"/>
    <n v="230"/>
    <n v="104"/>
    <n v="17"/>
    <n v="4"/>
    <n v="4"/>
    <m/>
    <m/>
    <n v="59"/>
    <n v="77"/>
    <n v="2"/>
    <n v="9118"/>
    <n v="27"/>
    <n v="3"/>
    <n v="17"/>
    <n v="4"/>
    <n v="340"/>
    <n v="3030"/>
    <n v="495"/>
    <n v="5399"/>
    <n v="403"/>
    <m/>
    <n v="9667"/>
    <n v="51"/>
    <n v="8987"/>
    <n v="629"/>
    <n v="326"/>
    <n v="340"/>
    <m/>
    <n v="8"/>
    <n v="27"/>
    <n v="19"/>
    <n v="49"/>
    <n v="97"/>
    <n v="123"/>
    <n v="150"/>
    <n v="186"/>
    <n v="1"/>
    <n v="6"/>
    <m/>
    <n v="2"/>
    <n v="2"/>
    <n v="29"/>
    <n v="14"/>
    <m/>
    <n v="612"/>
    <n v="7"/>
    <n v="66"/>
    <n v="15"/>
    <n v="25"/>
    <n v="79"/>
    <n v="2"/>
    <m/>
    <n v="3"/>
    <n v="318"/>
    <n v="146"/>
    <n v="1"/>
    <n v="8"/>
    <n v="2"/>
    <m/>
    <n v="1"/>
    <m/>
    <n v="131"/>
    <n v="437"/>
    <n v="6"/>
    <n v="86"/>
    <n v="6"/>
    <m/>
    <n v="666"/>
    <n v="7"/>
    <n v="638"/>
    <n v="21"/>
    <s v="2015"/>
    <n v="49"/>
    <n v="8"/>
    <m/>
    <n v="1"/>
    <m/>
    <m/>
  </r>
  <r>
    <n v="106231396"/>
    <s v="231396"/>
    <x v="144"/>
    <x v="21"/>
    <x v="1"/>
    <s v="General Acute Care Hospital"/>
    <s v="275 HOSPITAL DRIVE"/>
    <s v="UKIAH"/>
    <s v="95482"/>
    <s v="Beds 50-99"/>
    <s v="Level IV"/>
    <n v="2"/>
    <x v="9"/>
    <x v="6"/>
    <s v="Ukiah"/>
    <s v="Rural"/>
    <x v="1"/>
    <x v="0"/>
    <x v="0"/>
    <n v="14203"/>
    <n v="12487"/>
    <m/>
    <n v="3159"/>
    <n v="2917"/>
    <n v="4418"/>
    <n v="4010"/>
    <n v="3352"/>
    <n v="2931"/>
    <n v="2482"/>
    <n v="1483"/>
    <n v="1345"/>
    <n v="593"/>
    <m/>
    <n v="170"/>
    <n v="404"/>
    <n v="6173"/>
    <n v="1726"/>
    <n v="565"/>
    <n v="115"/>
    <n v="17537"/>
    <n v="426"/>
    <n v="164"/>
    <n v="26"/>
    <n v="45"/>
    <n v="5"/>
    <m/>
    <m/>
    <n v="187"/>
    <n v="243"/>
    <n v="1"/>
    <n v="25388"/>
    <n v="56"/>
    <n v="24"/>
    <m/>
    <n v="116"/>
    <n v="13345"/>
    <n v="5329"/>
    <n v="1045"/>
    <n v="5045"/>
    <n v="1926"/>
    <m/>
    <n v="26690"/>
    <n v="46"/>
    <n v="23966"/>
    <n v="2678"/>
    <n v="1092"/>
    <n v="1066"/>
    <m/>
    <n v="35"/>
    <n v="113"/>
    <n v="148"/>
    <n v="162"/>
    <n v="333"/>
    <n v="454"/>
    <n v="351"/>
    <n v="503"/>
    <n v="22"/>
    <n v="37"/>
    <m/>
    <n v="19"/>
    <n v="27"/>
    <n v="259"/>
    <n v="27"/>
    <n v="6"/>
    <n v="1693"/>
    <n v="127"/>
    <n v="111"/>
    <n v="36"/>
    <n v="78"/>
    <n v="228"/>
    <n v="1"/>
    <m/>
    <m/>
    <n v="1381"/>
    <n v="266"/>
    <n v="5"/>
    <n v="32"/>
    <n v="11"/>
    <m/>
    <m/>
    <m/>
    <n v="564"/>
    <n v="1206"/>
    <n v="73"/>
    <n v="300"/>
    <n v="15"/>
    <m/>
    <n v="2158"/>
    <n v="6"/>
    <n v="1989"/>
    <n v="163"/>
    <s v="2015"/>
    <n v="67"/>
    <n v="14"/>
    <m/>
    <n v="9"/>
    <m/>
    <n v="9"/>
  </r>
  <r>
    <n v="106234038"/>
    <s v="234038"/>
    <x v="145"/>
    <x v="21"/>
    <x v="1"/>
    <m/>
    <s v="1 MARCELA DRIVE"/>
    <s v="WILLITS"/>
    <s v="95490"/>
    <s v="Beds 1-49"/>
    <m/>
    <n v="2"/>
    <x v="9"/>
    <x v="6"/>
    <s v="Brooktrails/Pine Mountain/Willits"/>
    <s v="Rural"/>
    <x v="1"/>
    <x v="0"/>
    <x v="0"/>
    <n v="956"/>
    <n v="947"/>
    <m/>
    <n v="218"/>
    <n v="185"/>
    <n v="298"/>
    <n v="250"/>
    <n v="231"/>
    <n v="226"/>
    <n v="239"/>
    <n v="128"/>
    <n v="92"/>
    <n v="35"/>
    <n v="1"/>
    <n v="13"/>
    <n v="10"/>
    <n v="180"/>
    <n v="137"/>
    <n v="30"/>
    <n v="7"/>
    <n v="1526"/>
    <n v="43"/>
    <n v="13"/>
    <m/>
    <n v="2"/>
    <m/>
    <n v="1"/>
    <m/>
    <n v="17"/>
    <n v="16"/>
    <m/>
    <n v="1801"/>
    <n v="7"/>
    <m/>
    <m/>
    <n v="3"/>
    <n v="944"/>
    <n v="378"/>
    <n v="120"/>
    <n v="318"/>
    <n v="143"/>
    <m/>
    <n v="1903"/>
    <n v="4"/>
    <n v="1842"/>
    <n v="57"/>
    <n v="59"/>
    <n v="72"/>
    <m/>
    <n v="1"/>
    <n v="5"/>
    <n v="8"/>
    <n v="11"/>
    <n v="29"/>
    <n v="27"/>
    <n v="27"/>
    <n v="21"/>
    <m/>
    <n v="2"/>
    <m/>
    <m/>
    <m/>
    <n v="6"/>
    <n v="3"/>
    <m/>
    <n v="113"/>
    <n v="9"/>
    <n v="10"/>
    <n v="1"/>
    <n v="4"/>
    <n v="11"/>
    <m/>
    <m/>
    <m/>
    <n v="85"/>
    <n v="19"/>
    <m/>
    <n v="1"/>
    <m/>
    <m/>
    <m/>
    <m/>
    <n v="44"/>
    <n v="65"/>
    <n v="2"/>
    <n v="16"/>
    <n v="4"/>
    <m/>
    <n v="131"/>
    <n v="1"/>
    <n v="126"/>
    <n v="4"/>
    <s v="2015"/>
    <n v="25"/>
    <n v="5"/>
    <m/>
    <m/>
    <m/>
    <m/>
  </r>
  <r>
    <n v="106240924"/>
    <s v="240924"/>
    <x v="146"/>
    <x v="22"/>
    <x v="1"/>
    <s v="General Acute Care Hospital"/>
    <s v="520 WEST I STREET"/>
    <s v="LOS BANOS"/>
    <s v="93635"/>
    <s v="Beds 1-49"/>
    <m/>
    <n v="16"/>
    <x v="40"/>
    <x v="8"/>
    <s v="Dos Palos/Gustine/Los Banos"/>
    <s v="Rural"/>
    <x v="1"/>
    <x v="0"/>
    <x v="0"/>
    <n v="19275"/>
    <n v="14633"/>
    <m/>
    <n v="6606"/>
    <n v="4792"/>
    <n v="5264"/>
    <n v="4884"/>
    <n v="3701"/>
    <n v="3280"/>
    <n v="1932"/>
    <n v="1230"/>
    <n v="1022"/>
    <n v="1197"/>
    <m/>
    <n v="350"/>
    <n v="1618"/>
    <n v="23855"/>
    <n v="54"/>
    <n v="702"/>
    <n v="62"/>
    <n v="7267"/>
    <n v="355"/>
    <n v="133"/>
    <n v="23"/>
    <n v="24"/>
    <n v="6"/>
    <n v="1"/>
    <m/>
    <n v="15"/>
    <n v="96"/>
    <n v="1"/>
    <n v="32456"/>
    <n v="60"/>
    <n v="4"/>
    <n v="42"/>
    <n v="399"/>
    <n v="22461"/>
    <n v="4383"/>
    <n v="801"/>
    <n v="4119"/>
    <n v="2028"/>
    <n v="116"/>
    <n v="33908"/>
    <n v="143"/>
    <n v="26772"/>
    <n v="6993"/>
    <n v="476"/>
    <n v="356"/>
    <m/>
    <n v="14"/>
    <n v="54"/>
    <n v="70"/>
    <n v="78"/>
    <n v="108"/>
    <n v="125"/>
    <n v="161"/>
    <n v="208"/>
    <n v="5"/>
    <n v="9"/>
    <m/>
    <n v="16"/>
    <n v="42"/>
    <n v="388"/>
    <n v="41"/>
    <n v="2"/>
    <n v="340"/>
    <n v="3"/>
    <n v="46"/>
    <n v="10"/>
    <n v="17"/>
    <n v="106"/>
    <n v="5"/>
    <m/>
    <n v="3"/>
    <n v="518"/>
    <n v="108"/>
    <m/>
    <n v="14"/>
    <n v="5"/>
    <m/>
    <m/>
    <m/>
    <n v="267"/>
    <n v="482"/>
    <n v="7"/>
    <n v="70"/>
    <n v="6"/>
    <m/>
    <n v="832"/>
    <n v="18"/>
    <n v="684"/>
    <n v="130"/>
    <s v="2015"/>
    <n v="44"/>
    <n v="9"/>
    <n v="242"/>
    <n v="51"/>
    <m/>
    <m/>
  </r>
  <r>
    <n v="106240942"/>
    <s v="240942"/>
    <x v="147"/>
    <x v="22"/>
    <x v="1"/>
    <s v="General Acute Care Hospital"/>
    <s v="333  MERCY AVENUE"/>
    <s v="MERCED"/>
    <s v="95340"/>
    <s v="Beds 150-199"/>
    <m/>
    <n v="16"/>
    <x v="40"/>
    <x v="8"/>
    <s v="Merced Central and North/Merced Southeast"/>
    <s v="Urban"/>
    <x v="0"/>
    <x v="0"/>
    <x v="0"/>
    <n v="35857"/>
    <n v="27971"/>
    <m/>
    <n v="11510"/>
    <n v="8277"/>
    <n v="11377"/>
    <n v="8820"/>
    <n v="6568"/>
    <n v="6455"/>
    <n v="3834"/>
    <n v="2328"/>
    <n v="2139"/>
    <n v="2520"/>
    <m/>
    <n v="2143"/>
    <n v="5000"/>
    <n v="32084"/>
    <n v="23"/>
    <n v="393"/>
    <n v="436"/>
    <n v="23749"/>
    <n v="1146"/>
    <n v="5127"/>
    <n v="82"/>
    <n v="27584"/>
    <n v="2"/>
    <n v="1"/>
    <m/>
    <n v="96"/>
    <n v="98"/>
    <n v="2"/>
    <n v="29400"/>
    <n v="86"/>
    <n v="196"/>
    <m/>
    <n v="8"/>
    <n v="32299"/>
    <n v="19612"/>
    <n v="981"/>
    <n v="7234"/>
    <n v="3702"/>
    <m/>
    <n v="63828"/>
    <n v="497"/>
    <n v="55273"/>
    <n v="8058"/>
    <n v="3544"/>
    <n v="3085"/>
    <m/>
    <n v="69"/>
    <n v="367"/>
    <n v="479"/>
    <n v="696"/>
    <n v="1063"/>
    <n v="1311"/>
    <n v="1252"/>
    <n v="1389"/>
    <n v="3"/>
    <m/>
    <m/>
    <n v="313"/>
    <n v="484"/>
    <n v="2216"/>
    <n v="28"/>
    <n v="22"/>
    <n v="3562"/>
    <n v="4"/>
    <n v="180"/>
    <n v="123"/>
    <n v="209"/>
    <n v="4761"/>
    <n v="11"/>
    <m/>
    <n v="11"/>
    <n v="36"/>
    <n v="1102"/>
    <n v="9"/>
    <n v="118"/>
    <n v="41"/>
    <m/>
    <n v="2"/>
    <n v="24"/>
    <n v="2186"/>
    <n v="3705"/>
    <n v="82"/>
    <n v="640"/>
    <n v="16"/>
    <m/>
    <n v="6629"/>
    <n v="192"/>
    <n v="5732"/>
    <n v="705"/>
    <s v="2015"/>
    <n v="186"/>
    <n v="26"/>
    <m/>
    <m/>
    <m/>
    <n v="2"/>
  </r>
  <r>
    <n v="106250955"/>
    <s v="250955"/>
    <x v="148"/>
    <x v="23"/>
    <x v="2"/>
    <s v="General Acute Care Hospital"/>
    <s v="741 N. MAIN STREET"/>
    <s v="CEDARVILLE"/>
    <s v="96104"/>
    <s v="Beds 1-49"/>
    <m/>
    <n v="1"/>
    <x v="17"/>
    <x v="7"/>
    <s v="Surprise Valley"/>
    <s v="Frontier"/>
    <x v="1"/>
    <x v="0"/>
    <x v="1"/>
    <n v="205"/>
    <n v="164"/>
    <m/>
    <n v="38"/>
    <n v="27"/>
    <n v="48"/>
    <n v="47"/>
    <n v="34"/>
    <n v="36"/>
    <n v="43"/>
    <n v="38"/>
    <n v="49"/>
    <n v="9"/>
    <m/>
    <n v="5"/>
    <m/>
    <n v="19"/>
    <n v="53"/>
    <m/>
    <n v="3"/>
    <n v="289"/>
    <n v="52"/>
    <m/>
    <n v="1"/>
    <m/>
    <m/>
    <m/>
    <m/>
    <m/>
    <m/>
    <n v="1"/>
    <n v="314"/>
    <n v="1"/>
    <m/>
    <m/>
    <m/>
    <n v="129"/>
    <n v="97"/>
    <n v="2"/>
    <n v="74"/>
    <n v="67"/>
    <m/>
    <n v="369"/>
    <n v="12"/>
    <n v="344"/>
    <n v="13"/>
    <n v="9"/>
    <n v="9"/>
    <m/>
    <m/>
    <m/>
    <m/>
    <n v="2"/>
    <n v="1"/>
    <n v="4"/>
    <n v="5"/>
    <n v="6"/>
    <m/>
    <m/>
    <m/>
    <m/>
    <m/>
    <n v="1"/>
    <m/>
    <m/>
    <n v="16"/>
    <n v="1"/>
    <n v="1"/>
    <m/>
    <m/>
    <m/>
    <m/>
    <m/>
    <m/>
    <n v="15"/>
    <n v="1"/>
    <m/>
    <m/>
    <m/>
    <m/>
    <m/>
    <n v="1"/>
    <m/>
    <n v="13"/>
    <n v="2"/>
    <n v="2"/>
    <n v="1"/>
    <m/>
    <n v="18"/>
    <n v="1"/>
    <n v="17"/>
    <m/>
    <s v="2015"/>
    <n v="26"/>
    <n v="1"/>
    <m/>
    <m/>
    <m/>
    <m/>
  </r>
  <r>
    <n v="106250956"/>
    <s v="250956"/>
    <x v="149"/>
    <x v="23"/>
    <x v="2"/>
    <s v="General Acute Care Hospital"/>
    <s v="228 WEST MCDOWELL AVENUE"/>
    <s v="ALTURAS"/>
    <s v="96101"/>
    <s v="Beds 50-99"/>
    <m/>
    <n v="1"/>
    <x v="17"/>
    <x v="7"/>
    <s v="Alturas/Canby"/>
    <s v="Frontier"/>
    <x v="1"/>
    <x v="0"/>
    <x v="1"/>
    <n v="2472"/>
    <n v="1826"/>
    <n v="3"/>
    <n v="532"/>
    <n v="360"/>
    <n v="651"/>
    <n v="470"/>
    <n v="487"/>
    <n v="677"/>
    <n v="452"/>
    <n v="369"/>
    <n v="177"/>
    <n v="126"/>
    <m/>
    <n v="44"/>
    <n v="35"/>
    <n v="287"/>
    <n v="252"/>
    <n v="60"/>
    <n v="111"/>
    <n v="3512"/>
    <n v="236"/>
    <n v="38"/>
    <n v="11"/>
    <m/>
    <m/>
    <n v="1"/>
    <m/>
    <n v="34"/>
    <n v="3"/>
    <m/>
    <n v="3964"/>
    <n v="13"/>
    <m/>
    <n v="1"/>
    <m/>
    <n v="2174"/>
    <n v="1100"/>
    <n v="72"/>
    <n v="629"/>
    <n v="326"/>
    <m/>
    <n v="4301"/>
    <n v="1"/>
    <n v="4258"/>
    <n v="42"/>
    <n v="98"/>
    <n v="47"/>
    <m/>
    <n v="3"/>
    <n v="4"/>
    <n v="6"/>
    <n v="12"/>
    <n v="26"/>
    <n v="24"/>
    <n v="26"/>
    <n v="37"/>
    <n v="1"/>
    <n v="6"/>
    <m/>
    <n v="4"/>
    <m/>
    <n v="3"/>
    <m/>
    <n v="2"/>
    <n v="128"/>
    <n v="8"/>
    <n v="15"/>
    <n v="4"/>
    <n v="5"/>
    <m/>
    <m/>
    <m/>
    <m/>
    <n v="95"/>
    <n v="26"/>
    <m/>
    <m/>
    <m/>
    <m/>
    <m/>
    <m/>
    <n v="47"/>
    <n v="86"/>
    <m/>
    <n v="7"/>
    <n v="5"/>
    <m/>
    <n v="145"/>
    <n v="1"/>
    <n v="143"/>
    <n v="1"/>
    <s v="2015"/>
    <n v="87"/>
    <n v="5"/>
    <m/>
    <m/>
    <m/>
    <m/>
  </r>
  <r>
    <n v="106260011"/>
    <s v="260011"/>
    <x v="150"/>
    <x v="24"/>
    <x v="2"/>
    <s v="General Acute Care Hospital"/>
    <s v="85 SIERRA PARK ROAD"/>
    <s v="MAMMOTH LAKES"/>
    <s v="93546"/>
    <s v="Beds 1-49"/>
    <m/>
    <n v="8"/>
    <x v="5"/>
    <x v="3"/>
    <s v="Mammoth Lakes"/>
    <s v="Rural"/>
    <x v="1"/>
    <x v="0"/>
    <x v="1"/>
    <n v="3447"/>
    <n v="4702"/>
    <m/>
    <n v="823"/>
    <n v="1305"/>
    <n v="1627"/>
    <n v="1102"/>
    <n v="987"/>
    <n v="938"/>
    <n v="742"/>
    <n v="381"/>
    <n v="125"/>
    <n v="119"/>
    <m/>
    <n v="345"/>
    <n v="70"/>
    <n v="1173"/>
    <n v="59"/>
    <n v="115"/>
    <n v="54"/>
    <n v="6333"/>
    <n v="112"/>
    <n v="43"/>
    <n v="2"/>
    <m/>
    <m/>
    <m/>
    <m/>
    <n v="2"/>
    <m/>
    <m/>
    <n v="5118"/>
    <n v="1"/>
    <m/>
    <m/>
    <m/>
    <n v="1838"/>
    <n v="812"/>
    <n v="260"/>
    <n v="4770"/>
    <n v="469"/>
    <m/>
    <n v="8149"/>
    <n v="72"/>
    <n v="7455"/>
    <n v="622"/>
    <n v="140"/>
    <n v="179"/>
    <m/>
    <n v="31"/>
    <n v="37"/>
    <n v="30"/>
    <n v="35"/>
    <n v="63"/>
    <n v="54"/>
    <n v="37"/>
    <n v="22"/>
    <n v="2"/>
    <n v="8"/>
    <m/>
    <n v="8"/>
    <m/>
    <n v="38"/>
    <n v="7"/>
    <n v="2"/>
    <n v="262"/>
    <n v="2"/>
    <n v="3"/>
    <n v="2"/>
    <n v="3"/>
    <m/>
    <m/>
    <m/>
    <n v="15"/>
    <n v="284"/>
    <n v="2"/>
    <m/>
    <m/>
    <m/>
    <n v="10"/>
    <m/>
    <m/>
    <n v="69"/>
    <n v="93"/>
    <n v="8"/>
    <n v="149"/>
    <m/>
    <m/>
    <n v="319"/>
    <n v="2"/>
    <n v="293"/>
    <n v="24"/>
    <s v="2015"/>
    <n v="17"/>
    <n v="18"/>
    <m/>
    <n v="2871"/>
    <m/>
    <m/>
  </r>
  <r>
    <n v="106270744"/>
    <s v="270744"/>
    <x v="151"/>
    <x v="25"/>
    <x v="1"/>
    <s v="General Acute Care Hospital"/>
    <s v="23625 W. R. HOLMAN HIGHWAY"/>
    <s v="MONTEREY"/>
    <s v="93940"/>
    <s v="Beds 200-299"/>
    <m/>
    <n v="20"/>
    <x v="41"/>
    <x v="24"/>
    <s v="Carmel/Del Rey Oaks/Monterey/Pacific Grove/Sand City/Seaside"/>
    <s v="Urban"/>
    <x v="0"/>
    <x v="0"/>
    <x v="0"/>
    <n v="26666"/>
    <n v="21348"/>
    <m/>
    <n v="6666"/>
    <n v="4871"/>
    <n v="7536"/>
    <n v="6057"/>
    <n v="4702"/>
    <n v="5231"/>
    <n v="4612"/>
    <n v="3319"/>
    <n v="3690"/>
    <n v="1330"/>
    <m/>
    <n v="2708"/>
    <n v="3300"/>
    <n v="12042"/>
    <n v="58"/>
    <n v="3472"/>
    <n v="1147"/>
    <n v="25287"/>
    <n v="233"/>
    <n v="1422"/>
    <n v="59"/>
    <n v="39"/>
    <n v="19"/>
    <n v="4"/>
    <n v="1"/>
    <n v="10"/>
    <n v="205"/>
    <n v="2"/>
    <n v="45912"/>
    <n v="89"/>
    <n v="7"/>
    <m/>
    <n v="2"/>
    <n v="19109"/>
    <n v="9776"/>
    <n v="4900"/>
    <n v="11629"/>
    <n v="2593"/>
    <n v="7"/>
    <n v="48014"/>
    <n v="743"/>
    <n v="43492"/>
    <n v="3779"/>
    <n v="3618"/>
    <n v="3507"/>
    <m/>
    <n v="142"/>
    <n v="484"/>
    <n v="491"/>
    <n v="592"/>
    <n v="963"/>
    <n v="1202"/>
    <n v="1065"/>
    <n v="1959"/>
    <n v="87"/>
    <n v="140"/>
    <m/>
    <n v="454"/>
    <n v="416"/>
    <n v="866"/>
    <n v="454"/>
    <n v="90"/>
    <n v="4834"/>
    <n v="11"/>
    <n v="77"/>
    <n v="100"/>
    <n v="282"/>
    <n v="1003"/>
    <n v="128"/>
    <m/>
    <n v="20"/>
    <n v="4340"/>
    <n v="912"/>
    <n v="2"/>
    <n v="182"/>
    <n v="78"/>
    <m/>
    <m/>
    <m/>
    <n v="1429"/>
    <n v="3770"/>
    <n v="400"/>
    <n v="1445"/>
    <n v="81"/>
    <m/>
    <n v="7125"/>
    <n v="115"/>
    <n v="6748"/>
    <n v="262"/>
    <s v="2015"/>
    <n v="258"/>
    <n v="33"/>
    <m/>
    <n v="10"/>
    <n v="1"/>
    <m/>
  </r>
  <r>
    <n v="106270777"/>
    <s v="270777"/>
    <x v="152"/>
    <x v="25"/>
    <x v="1"/>
    <s v="General Acute Care Hospital"/>
    <s v="300 CANAL STREET"/>
    <s v="KING CITY"/>
    <s v="93930"/>
    <s v="Beds 100-149"/>
    <m/>
    <n v="20"/>
    <x v="42"/>
    <x v="8"/>
    <s v="King City/San Lucas"/>
    <s v="Rural"/>
    <x v="1"/>
    <x v="0"/>
    <x v="0"/>
    <n v="6837"/>
    <n v="5357"/>
    <m/>
    <n v="2915"/>
    <n v="1708"/>
    <n v="2079"/>
    <n v="1651"/>
    <n v="1092"/>
    <n v="868"/>
    <n v="613"/>
    <n v="325"/>
    <n v="275"/>
    <n v="668"/>
    <m/>
    <n v="45"/>
    <n v="100"/>
    <n v="10016"/>
    <n v="6"/>
    <n v="10"/>
    <n v="5"/>
    <n v="2012"/>
    <n v="286"/>
    <n v="36"/>
    <n v="10"/>
    <m/>
    <m/>
    <m/>
    <m/>
    <m/>
    <m/>
    <m/>
    <n v="11856"/>
    <n v="4"/>
    <m/>
    <m/>
    <m/>
    <n v="7785"/>
    <n v="1135"/>
    <n v="445"/>
    <n v="1772"/>
    <n v="1049"/>
    <n v="8"/>
    <n v="12194"/>
    <n v="88"/>
    <n v="5966"/>
    <n v="6140"/>
    <n v="221"/>
    <n v="191"/>
    <m/>
    <n v="21"/>
    <n v="31"/>
    <n v="61"/>
    <n v="50"/>
    <n v="60"/>
    <n v="52"/>
    <n v="41"/>
    <n v="49"/>
    <n v="12"/>
    <n v="35"/>
    <m/>
    <n v="4"/>
    <n v="1"/>
    <n v="294"/>
    <m/>
    <m/>
    <n v="113"/>
    <m/>
    <n v="1"/>
    <n v="9"/>
    <m/>
    <n v="10"/>
    <m/>
    <m/>
    <n v="48"/>
    <n v="324"/>
    <m/>
    <m/>
    <m/>
    <m/>
    <n v="18"/>
    <m/>
    <n v="2"/>
    <n v="195"/>
    <n v="131"/>
    <n v="7"/>
    <n v="67"/>
    <n v="11"/>
    <n v="1"/>
    <n v="412"/>
    <n v="4"/>
    <n v="219"/>
    <n v="189"/>
    <s v="2015"/>
    <n v="119"/>
    <n v="6"/>
    <n v="2"/>
    <m/>
    <m/>
    <m/>
  </r>
  <r>
    <n v="106270875"/>
    <s v="270875"/>
    <x v="153"/>
    <x v="25"/>
    <x v="2"/>
    <s v="General Acute Care Hospital"/>
    <s v="450 EAST ROMIE LANE"/>
    <s v="SALINAS"/>
    <s v="93901"/>
    <s v="Beds 200-299"/>
    <m/>
    <n v="20"/>
    <x v="42"/>
    <x v="8"/>
    <s v="Salinas/Spreckels"/>
    <s v="Urban"/>
    <x v="0"/>
    <x v="0"/>
    <x v="0"/>
    <n v="27640"/>
    <n v="20400"/>
    <m/>
    <n v="9337"/>
    <n v="5602"/>
    <n v="8091"/>
    <n v="6585"/>
    <n v="4852"/>
    <n v="4515"/>
    <n v="3029"/>
    <n v="1867"/>
    <n v="2025"/>
    <n v="2137"/>
    <m/>
    <n v="1049"/>
    <n v="1154"/>
    <n v="35238"/>
    <n v="33"/>
    <n v="2318"/>
    <m/>
    <n v="8248"/>
    <n v="227"/>
    <n v="212"/>
    <n v="41"/>
    <m/>
    <n v="1"/>
    <m/>
    <m/>
    <n v="15"/>
    <n v="4"/>
    <m/>
    <n v="47490"/>
    <n v="1"/>
    <n v="23"/>
    <m/>
    <m/>
    <n v="27375"/>
    <n v="6696"/>
    <n v="1136"/>
    <n v="10964"/>
    <n v="1736"/>
    <n v="133"/>
    <n v="48040"/>
    <n v="142"/>
    <n v="34021"/>
    <n v="13877"/>
    <n v="3606"/>
    <n v="3388"/>
    <m/>
    <n v="175"/>
    <n v="414"/>
    <n v="528"/>
    <n v="635"/>
    <n v="1047"/>
    <n v="1216"/>
    <n v="1124"/>
    <n v="1618"/>
    <n v="72"/>
    <n v="165"/>
    <m/>
    <n v="365"/>
    <n v="135"/>
    <n v="3628"/>
    <n v="379"/>
    <m/>
    <n v="2481"/>
    <n v="6"/>
    <n v="74"/>
    <n v="95"/>
    <n v="268"/>
    <n v="1413"/>
    <n v="180"/>
    <m/>
    <m/>
    <n v="3827"/>
    <n v="993"/>
    <n v="34"/>
    <n v="97"/>
    <n v="4"/>
    <n v="9"/>
    <m/>
    <m/>
    <n v="1765"/>
    <n v="3719"/>
    <n v="73"/>
    <n v="1370"/>
    <n v="67"/>
    <m/>
    <n v="6994"/>
    <n v="111"/>
    <n v="5109"/>
    <n v="1774"/>
    <s v="2015"/>
    <n v="269"/>
    <n v="20"/>
    <n v="26"/>
    <m/>
    <m/>
    <m/>
  </r>
  <r>
    <n v="106274043"/>
    <s v="274043"/>
    <x v="154"/>
    <x v="25"/>
    <x v="0"/>
    <s v="General Acute Care Hospital"/>
    <s v="1441 CONSTITUTION BOULEVARD"/>
    <s v="SALINAS"/>
    <s v="93906"/>
    <s v="Beds 150-199"/>
    <s v="Level II"/>
    <n v="20"/>
    <x v="42"/>
    <x v="8"/>
    <s v="Salinas/Spreckels"/>
    <s v="Urban"/>
    <x v="0"/>
    <x v="0"/>
    <x v="0"/>
    <n v="25722"/>
    <n v="23165"/>
    <m/>
    <n v="9982"/>
    <n v="6037"/>
    <n v="8943"/>
    <n v="7063"/>
    <n v="5378"/>
    <n v="4672"/>
    <n v="2444"/>
    <n v="1038"/>
    <n v="571"/>
    <n v="2759"/>
    <m/>
    <n v="1113"/>
    <n v="1676"/>
    <n v="38769"/>
    <n v="173"/>
    <n v="226"/>
    <n v="276"/>
    <n v="6654"/>
    <n v="335"/>
    <n v="3108"/>
    <n v="62"/>
    <n v="26"/>
    <n v="3"/>
    <n v="15"/>
    <m/>
    <m/>
    <n v="274"/>
    <m/>
    <n v="45011"/>
    <n v="36"/>
    <n v="1"/>
    <m/>
    <m/>
    <n v="34229"/>
    <n v="3678"/>
    <n v="1562"/>
    <n v="5810"/>
    <n v="3608"/>
    <m/>
    <n v="48887"/>
    <n v="794"/>
    <n v="27207"/>
    <n v="20886"/>
    <n v="1792"/>
    <n v="2533"/>
    <m/>
    <n v="212"/>
    <n v="677"/>
    <n v="615"/>
    <n v="636"/>
    <n v="732"/>
    <n v="554"/>
    <n v="312"/>
    <n v="273"/>
    <n v="145"/>
    <n v="169"/>
    <m/>
    <n v="183"/>
    <n v="187"/>
    <n v="2671"/>
    <n v="24"/>
    <n v="14"/>
    <n v="1218"/>
    <n v="28"/>
    <n v="48"/>
    <n v="229"/>
    <n v="33"/>
    <n v="344"/>
    <n v="183"/>
    <m/>
    <n v="163"/>
    <n v="2853"/>
    <n v="129"/>
    <n v="208"/>
    <n v="12"/>
    <n v="30"/>
    <n v="90"/>
    <m/>
    <m/>
    <n v="2146"/>
    <n v="1056"/>
    <n v="396"/>
    <n v="624"/>
    <n v="95"/>
    <n v="8"/>
    <n v="4325"/>
    <n v="84"/>
    <n v="2835"/>
    <n v="1406"/>
    <s v="2015"/>
    <n v="172"/>
    <n v="19"/>
    <n v="1"/>
    <n v="15"/>
    <n v="3"/>
    <m/>
  </r>
  <r>
    <n v="106281047"/>
    <s v="281047"/>
    <x v="155"/>
    <x v="26"/>
    <x v="1"/>
    <s v="General Acute Care Hospital"/>
    <s v="1000 TRANCAS STREET"/>
    <s v="NAPA"/>
    <s v="94558"/>
    <s v="Beds 200-299"/>
    <s v="Level III"/>
    <n v="5"/>
    <x v="16"/>
    <x v="5"/>
    <s v="Napa Central"/>
    <s v="Urban"/>
    <x v="0"/>
    <x v="0"/>
    <x v="0"/>
    <n v="14231"/>
    <n v="12910"/>
    <m/>
    <n v="2935"/>
    <n v="2405"/>
    <n v="4219"/>
    <n v="3427"/>
    <n v="3208"/>
    <n v="3371"/>
    <n v="2700"/>
    <n v="1884"/>
    <n v="2395"/>
    <n v="597"/>
    <m/>
    <n v="463"/>
    <n v="455"/>
    <n v="8472"/>
    <n v="12"/>
    <n v="138"/>
    <n v="238"/>
    <n v="17363"/>
    <n v="686"/>
    <n v="258"/>
    <n v="33"/>
    <n v="18"/>
    <n v="2"/>
    <n v="3"/>
    <m/>
    <n v="124"/>
    <n v="235"/>
    <n v="1"/>
    <n v="25501"/>
    <n v="40"/>
    <m/>
    <m/>
    <n v="189"/>
    <n v="10146"/>
    <n v="6251"/>
    <n v="1386"/>
    <n v="6315"/>
    <n v="3043"/>
    <m/>
    <n v="27141"/>
    <n v="91"/>
    <n v="24041"/>
    <n v="3009"/>
    <n v="1702"/>
    <n v="2001"/>
    <m/>
    <n v="37"/>
    <n v="198"/>
    <n v="199"/>
    <n v="293"/>
    <n v="535"/>
    <n v="624"/>
    <n v="678"/>
    <n v="1129"/>
    <n v="3"/>
    <n v="7"/>
    <m/>
    <n v="95"/>
    <n v="77"/>
    <n v="611"/>
    <n v="53"/>
    <n v="51"/>
    <n v="2816"/>
    <m/>
    <n v="85"/>
    <n v="51"/>
    <n v="172"/>
    <n v="352"/>
    <n v="65"/>
    <m/>
    <n v="23"/>
    <n v="1893"/>
    <n v="740"/>
    <n v="12"/>
    <n v="100"/>
    <n v="113"/>
    <n v="77"/>
    <m/>
    <n v="20"/>
    <n v="631"/>
    <n v="2224"/>
    <n v="148"/>
    <n v="574"/>
    <n v="126"/>
    <m/>
    <n v="3703"/>
    <n v="20"/>
    <n v="3393"/>
    <n v="290"/>
    <s v="2015"/>
    <n v="211"/>
    <n v="18"/>
    <n v="51"/>
    <m/>
    <m/>
    <m/>
  </r>
  <r>
    <n v="106281078"/>
    <s v="281078"/>
    <x v="156"/>
    <x v="26"/>
    <x v="1"/>
    <s v="General Acute Care Hospital"/>
    <s v="10 WOODLAND RD."/>
    <s v="ST. HELENA"/>
    <s v="94574"/>
    <s v="Beds 150-199"/>
    <m/>
    <n v="5"/>
    <x v="16"/>
    <x v="5"/>
    <s v="Angwin/Deer Park/St. Helena"/>
    <s v="Rural"/>
    <x v="0"/>
    <x v="0"/>
    <x v="1"/>
    <n v="3922"/>
    <n v="3669"/>
    <n v="1"/>
    <n v="663"/>
    <n v="667"/>
    <n v="1193"/>
    <n v="911"/>
    <n v="904"/>
    <n v="990"/>
    <n v="873"/>
    <n v="649"/>
    <n v="628"/>
    <n v="114"/>
    <m/>
    <n v="144"/>
    <n v="113"/>
    <n v="2121"/>
    <n v="12"/>
    <n v="173"/>
    <n v="82"/>
    <n v="4947"/>
    <n v="175"/>
    <n v="35"/>
    <n v="3"/>
    <n v="22"/>
    <n v="4"/>
    <n v="5"/>
    <m/>
    <n v="6"/>
    <n v="38"/>
    <m/>
    <n v="7287"/>
    <n v="7"/>
    <m/>
    <m/>
    <n v="10"/>
    <n v="1655"/>
    <n v="1736"/>
    <n v="785"/>
    <n v="2874"/>
    <n v="542"/>
    <m/>
    <n v="7592"/>
    <n v="26"/>
    <n v="6433"/>
    <n v="1133"/>
    <n v="505"/>
    <n v="523"/>
    <m/>
    <n v="8"/>
    <n v="65"/>
    <n v="83"/>
    <n v="98"/>
    <n v="148"/>
    <n v="187"/>
    <n v="169"/>
    <n v="270"/>
    <m/>
    <m/>
    <m/>
    <n v="6"/>
    <n v="13"/>
    <n v="116"/>
    <n v="14"/>
    <n v="11"/>
    <n v="863"/>
    <n v="5"/>
    <n v="38"/>
    <n v="23"/>
    <n v="31"/>
    <n v="111"/>
    <n v="9"/>
    <m/>
    <m/>
    <n v="681"/>
    <n v="101"/>
    <m/>
    <n v="16"/>
    <n v="10"/>
    <n v="1"/>
    <m/>
    <m/>
    <n v="177"/>
    <n v="564"/>
    <n v="13"/>
    <n v="255"/>
    <n v="16"/>
    <n v="3"/>
    <n v="1028"/>
    <n v="4"/>
    <n v="956"/>
    <n v="68"/>
    <s v="2015"/>
    <n v="151"/>
    <n v="8"/>
    <m/>
    <m/>
    <m/>
    <n v="7"/>
  </r>
  <r>
    <n v="106291023"/>
    <s v="291023"/>
    <x v="157"/>
    <x v="27"/>
    <x v="1"/>
    <s v="General Acute Care Hospital"/>
    <s v="155 GLASSON WAY"/>
    <s v="GRASS VALLEY"/>
    <s v="95945"/>
    <s v="Beds 100-149"/>
    <m/>
    <n v="1"/>
    <x v="17"/>
    <x v="7"/>
    <s v="Grass Valley/Nevada City/Penn Valley/Rough and Ready/Wildwood"/>
    <s v="Rural"/>
    <x v="1"/>
    <x v="0"/>
    <x v="0"/>
    <n v="14432"/>
    <n v="12797"/>
    <n v="2"/>
    <n v="2312"/>
    <n v="2767"/>
    <n v="3822"/>
    <n v="3407"/>
    <n v="2794"/>
    <n v="3590"/>
    <n v="3390"/>
    <n v="2273"/>
    <n v="2534"/>
    <n v="342"/>
    <m/>
    <n v="160"/>
    <n v="225"/>
    <n v="749"/>
    <n v="95"/>
    <n v="268"/>
    <n v="556"/>
    <n v="25178"/>
    <n v="601"/>
    <n v="303"/>
    <n v="26"/>
    <n v="19"/>
    <n v="2"/>
    <n v="12"/>
    <m/>
    <n v="155"/>
    <n v="196"/>
    <n v="11"/>
    <n v="25795"/>
    <n v="104"/>
    <m/>
    <n v="1"/>
    <n v="6"/>
    <n v="10827"/>
    <n v="7676"/>
    <n v="1308"/>
    <n v="5059"/>
    <n v="2358"/>
    <n v="3"/>
    <n v="27231"/>
    <n v="112"/>
    <n v="27014"/>
    <n v="105"/>
    <n v="2084"/>
    <n v="1901"/>
    <m/>
    <n v="51"/>
    <n v="160"/>
    <n v="183"/>
    <n v="220"/>
    <n v="535"/>
    <n v="764"/>
    <n v="822"/>
    <n v="1206"/>
    <n v="14"/>
    <n v="30"/>
    <m/>
    <n v="29"/>
    <n v="15"/>
    <n v="38"/>
    <n v="9"/>
    <n v="48"/>
    <n v="3838"/>
    <n v="8"/>
    <n v="199"/>
    <n v="69"/>
    <n v="136"/>
    <n v="284"/>
    <n v="8"/>
    <m/>
    <n v="23"/>
    <n v="2330"/>
    <n v="843"/>
    <n v="8"/>
    <n v="64"/>
    <n v="19"/>
    <m/>
    <m/>
    <m/>
    <n v="744"/>
    <n v="2701"/>
    <n v="48"/>
    <n v="439"/>
    <n v="53"/>
    <m/>
    <n v="3985"/>
    <n v="4"/>
    <n v="3971"/>
    <n v="10"/>
    <s v="2015"/>
    <n v="104"/>
    <n v="18"/>
    <m/>
    <m/>
    <m/>
    <n v="2"/>
  </r>
  <r>
    <n v="106291053"/>
    <s v="291053"/>
    <x v="158"/>
    <x v="27"/>
    <x v="2"/>
    <s v="General Acute Care Hospital"/>
    <s v="10121 PINE AVE"/>
    <s v="TRUCKEE"/>
    <s v="96161"/>
    <s v="Beds 50-99"/>
    <m/>
    <n v="4"/>
    <x v="17"/>
    <x v="7"/>
    <s v="North Bloomfield/North San Juan/Truckee"/>
    <s v="Rural"/>
    <x v="1"/>
    <x v="0"/>
    <x v="0"/>
    <n v="5672"/>
    <n v="6211"/>
    <m/>
    <n v="1216"/>
    <n v="1526"/>
    <n v="2025"/>
    <n v="1744"/>
    <n v="1438"/>
    <n v="1367"/>
    <n v="1177"/>
    <n v="816"/>
    <n v="376"/>
    <n v="198"/>
    <m/>
    <n v="265"/>
    <n v="118"/>
    <n v="1934"/>
    <n v="13"/>
    <n v="318"/>
    <n v="18"/>
    <n v="9217"/>
    <n v="228"/>
    <n v="26"/>
    <n v="4"/>
    <n v="51"/>
    <m/>
    <m/>
    <m/>
    <n v="205"/>
    <n v="48"/>
    <n v="5"/>
    <n v="11107"/>
    <n v="4"/>
    <n v="1"/>
    <n v="186"/>
    <m/>
    <n v="677"/>
    <n v="1634"/>
    <n v="432"/>
    <n v="7919"/>
    <n v="1216"/>
    <n v="5"/>
    <n v="11883"/>
    <n v="41"/>
    <n v="10977"/>
    <n v="865"/>
    <n v="404"/>
    <n v="425"/>
    <m/>
    <n v="21"/>
    <n v="63"/>
    <n v="84"/>
    <n v="88"/>
    <n v="123"/>
    <n v="172"/>
    <n v="132"/>
    <n v="137"/>
    <n v="1"/>
    <n v="8"/>
    <m/>
    <n v="10"/>
    <n v="5"/>
    <n v="63"/>
    <n v="14"/>
    <m/>
    <n v="737"/>
    <m/>
    <n v="36"/>
    <n v="4"/>
    <n v="10"/>
    <n v="82"/>
    <m/>
    <m/>
    <n v="1"/>
    <n v="599"/>
    <n v="84"/>
    <n v="1"/>
    <n v="9"/>
    <n v="2"/>
    <n v="1"/>
    <m/>
    <m/>
    <n v="132"/>
    <n v="370"/>
    <n v="16"/>
    <n v="265"/>
    <n v="46"/>
    <m/>
    <n v="829"/>
    <n v="3"/>
    <n v="789"/>
    <n v="37"/>
    <s v="2015"/>
    <n v="72"/>
    <n v="15"/>
    <m/>
    <n v="18"/>
    <m/>
    <m/>
  </r>
  <r>
    <n v="106300032"/>
    <s v="300032"/>
    <x v="159"/>
    <x v="28"/>
    <x v="1"/>
    <s v="General Acute Care Hospital"/>
    <s v="1201 West La Veta Avenue"/>
    <s v="ORANGE"/>
    <s v="92868"/>
    <s v="Beds 200-299"/>
    <s v="Level II - Pediatric"/>
    <n v="46"/>
    <x v="43"/>
    <x v="25"/>
    <s v="City of Orange South/Santa Ana North/Tustin Foothills/Tustin West"/>
    <s v="Urban"/>
    <x v="0"/>
    <x v="0"/>
    <x v="0"/>
    <n v="32999"/>
    <n v="37858"/>
    <n v="11"/>
    <n v="43520"/>
    <n v="15055"/>
    <n v="458"/>
    <n v="171"/>
    <n v="76"/>
    <n v="68"/>
    <n v="26"/>
    <n v="12"/>
    <n v="5"/>
    <n v="11477"/>
    <m/>
    <n v="3633"/>
    <n v="1149"/>
    <n v="47209"/>
    <n v="102"/>
    <n v="3294"/>
    <n v="997"/>
    <n v="14484"/>
    <n v="293"/>
    <n v="275"/>
    <n v="3"/>
    <n v="17"/>
    <m/>
    <m/>
    <m/>
    <m/>
    <n v="8"/>
    <m/>
    <n v="70021"/>
    <n v="3"/>
    <n v="5"/>
    <m/>
    <n v="164"/>
    <n v="54906"/>
    <n v="38"/>
    <n v="1671"/>
    <n v="12058"/>
    <n v="2109"/>
    <n v="86"/>
    <n v="70868"/>
    <n v="461"/>
    <n v="50234"/>
    <n v="20173"/>
    <n v="2813"/>
    <n v="3424"/>
    <n v="2"/>
    <n v="1800"/>
    <n v="109"/>
    <m/>
    <m/>
    <m/>
    <m/>
    <m/>
    <m/>
    <n v="1563"/>
    <n v="2767"/>
    <m/>
    <n v="533"/>
    <n v="182"/>
    <n v="3342"/>
    <n v="337"/>
    <n v="46"/>
    <n v="1789"/>
    <n v="10"/>
    <n v="19"/>
    <n v="9"/>
    <n v="21"/>
    <n v="15"/>
    <n v="8"/>
    <m/>
    <m/>
    <n v="6136"/>
    <m/>
    <m/>
    <n v="1"/>
    <m/>
    <n v="17"/>
    <m/>
    <n v="10"/>
    <n v="4003"/>
    <n v="6"/>
    <n v="67"/>
    <n v="2125"/>
    <n v="38"/>
    <m/>
    <n v="6239"/>
    <n v="59"/>
    <n v="4804"/>
    <n v="1376"/>
    <s v="2015"/>
    <n v="279"/>
    <n v="31"/>
    <m/>
    <n v="79"/>
    <n v="3"/>
    <m/>
  </r>
  <r>
    <n v="106300225"/>
    <s v="300225"/>
    <x v="160"/>
    <x v="28"/>
    <x v="1"/>
    <s v="General Acute Care Hospital"/>
    <s v="9920 TALBERT AVENUE"/>
    <s v="FOUNTAIN VALLEY"/>
    <s v="92708"/>
    <s v="Beds 200-299"/>
    <m/>
    <n v="48"/>
    <x v="44"/>
    <x v="26"/>
    <s v="Fountain Valley/Huntington Beach Central"/>
    <s v="Urban"/>
    <x v="0"/>
    <x v="0"/>
    <x v="0"/>
    <n v="15357"/>
    <n v="11047"/>
    <m/>
    <n v="1675"/>
    <n v="2101"/>
    <n v="3902"/>
    <n v="3291"/>
    <n v="3391"/>
    <n v="3682"/>
    <n v="2739"/>
    <n v="2498"/>
    <n v="2829"/>
    <n v="296"/>
    <m/>
    <n v="4074"/>
    <n v="627"/>
    <n v="6069"/>
    <n v="15"/>
    <n v="1068"/>
    <n v="4"/>
    <n v="14547"/>
    <n v="542"/>
    <m/>
    <n v="32"/>
    <n v="301"/>
    <n v="21"/>
    <n v="8"/>
    <m/>
    <n v="5"/>
    <n v="150"/>
    <n v="1"/>
    <n v="25037"/>
    <n v="293"/>
    <n v="11"/>
    <m/>
    <n v="2"/>
    <n v="7760"/>
    <n v="7258"/>
    <n v="394"/>
    <n v="9682"/>
    <n v="1310"/>
    <m/>
    <n v="26404"/>
    <n v="977"/>
    <n v="24464"/>
    <n v="963"/>
    <n v="3639"/>
    <n v="3309"/>
    <m/>
    <n v="30"/>
    <n v="308"/>
    <n v="413"/>
    <n v="698"/>
    <n v="1083"/>
    <n v="1200"/>
    <n v="1442"/>
    <n v="1765"/>
    <n v="9"/>
    <m/>
    <m/>
    <n v="1357"/>
    <n v="115"/>
    <n v="1189"/>
    <n v="163"/>
    <n v="3"/>
    <n v="4120"/>
    <n v="1"/>
    <n v="122"/>
    <m/>
    <n v="190"/>
    <n v="1375"/>
    <n v="25"/>
    <m/>
    <n v="1"/>
    <n v="3877"/>
    <n v="1190"/>
    <n v="1"/>
    <n v="144"/>
    <n v="19"/>
    <n v="1"/>
    <n v="2"/>
    <m/>
    <n v="1042"/>
    <n v="4087"/>
    <n v="33"/>
    <n v="1679"/>
    <n v="107"/>
    <m/>
    <n v="6948"/>
    <n v="675"/>
    <n v="5938"/>
    <n v="335"/>
    <s v="2015"/>
    <n v="218"/>
    <n v="14"/>
    <m/>
    <n v="1"/>
    <n v="1"/>
    <m/>
  </r>
  <r>
    <n v="106301098"/>
    <s v="301098"/>
    <x v="161"/>
    <x v="28"/>
    <x v="4"/>
    <s v="General Acute Care Hospital"/>
    <s v="1111 WEST LA PALMA AVENUE"/>
    <s v="ANAHEIM"/>
    <s v="92801"/>
    <s v="Beds 200-299"/>
    <m/>
    <n v="46"/>
    <x v="45"/>
    <x v="27"/>
    <s v="Anaheim Central"/>
    <s v="Urban"/>
    <x v="0"/>
    <x v="0"/>
    <x v="0"/>
    <n v="19052"/>
    <n v="14828"/>
    <m/>
    <n v="3512"/>
    <n v="3390"/>
    <n v="6064"/>
    <n v="4720"/>
    <n v="4222"/>
    <n v="4421"/>
    <n v="2923"/>
    <n v="1948"/>
    <n v="1957"/>
    <n v="722"/>
    <n v="1"/>
    <n v="1986"/>
    <n v="1590"/>
    <n v="18355"/>
    <n v="10"/>
    <n v="1452"/>
    <n v="11"/>
    <n v="10476"/>
    <n v="677"/>
    <n v="771"/>
    <n v="51"/>
    <n v="67"/>
    <n v="22"/>
    <n v="1"/>
    <n v="2"/>
    <n v="48"/>
    <n v="111"/>
    <n v="4"/>
    <n v="31808"/>
    <n v="247"/>
    <n v="67"/>
    <m/>
    <m/>
    <n v="14768"/>
    <n v="6457"/>
    <n v="428"/>
    <n v="9863"/>
    <n v="2364"/>
    <m/>
    <n v="33880"/>
    <n v="592"/>
    <n v="26780"/>
    <n v="6508"/>
    <n v="4702"/>
    <n v="4185"/>
    <m/>
    <n v="86"/>
    <n v="536"/>
    <n v="661"/>
    <n v="1084"/>
    <n v="1705"/>
    <n v="1726"/>
    <n v="1400"/>
    <n v="1671"/>
    <n v="18"/>
    <m/>
    <m/>
    <n v="872"/>
    <n v="326"/>
    <n v="3572"/>
    <n v="420"/>
    <n v="2"/>
    <n v="3693"/>
    <n v="2"/>
    <n v="255"/>
    <n v="363"/>
    <n v="178"/>
    <n v="915"/>
    <n v="10"/>
    <m/>
    <n v="20"/>
    <n v="5319"/>
    <n v="1592"/>
    <m/>
    <n v="171"/>
    <n v="59"/>
    <n v="2"/>
    <m/>
    <n v="3"/>
    <n v="3344"/>
    <n v="3739"/>
    <n v="43"/>
    <n v="1599"/>
    <n v="152"/>
    <n v="10"/>
    <n v="8887"/>
    <n v="359"/>
    <n v="6784"/>
    <n v="1744"/>
    <s v="2015"/>
    <n v="223"/>
    <n v="21"/>
    <m/>
    <n v="4"/>
    <m/>
    <m/>
  </r>
  <r>
    <n v="106301140"/>
    <s v="301140"/>
    <x v="162"/>
    <x v="28"/>
    <x v="3"/>
    <s v="General Acute Care Hospital"/>
    <s v="2601 EAST CHAPMAN AVENUE"/>
    <s v="ORANGE"/>
    <s v="92869"/>
    <s v="Beds 100-149"/>
    <m/>
    <n v="45"/>
    <x v="43"/>
    <x v="25"/>
    <s v="Anaheim Hills/City of Orange East/Villa Park"/>
    <s v="Urban"/>
    <x v="0"/>
    <x v="0"/>
    <x v="0"/>
    <n v="4232"/>
    <n v="3658"/>
    <m/>
    <n v="403"/>
    <n v="895"/>
    <n v="1787"/>
    <n v="1358"/>
    <n v="1161"/>
    <n v="1108"/>
    <n v="568"/>
    <n v="272"/>
    <n v="292"/>
    <n v="46"/>
    <m/>
    <n v="349"/>
    <n v="207"/>
    <n v="2922"/>
    <n v="10"/>
    <n v="644"/>
    <n v="15"/>
    <n v="3743"/>
    <n v="207"/>
    <n v="327"/>
    <n v="18"/>
    <n v="5"/>
    <n v="5"/>
    <n v="13"/>
    <m/>
    <n v="6"/>
    <n v="57"/>
    <n v="8"/>
    <n v="7206"/>
    <n v="16"/>
    <n v="9"/>
    <n v="2"/>
    <n v="11"/>
    <n v="744"/>
    <n v="1030"/>
    <n v="204"/>
    <n v="5290"/>
    <n v="622"/>
    <m/>
    <n v="7890"/>
    <n v="101"/>
    <n v="6982"/>
    <n v="807"/>
    <n v="615"/>
    <n v="561"/>
    <m/>
    <n v="16"/>
    <n v="126"/>
    <n v="133"/>
    <n v="151"/>
    <n v="204"/>
    <n v="166"/>
    <n v="139"/>
    <n v="241"/>
    <m/>
    <m/>
    <m/>
    <n v="57"/>
    <n v="49"/>
    <n v="275"/>
    <n v="107"/>
    <n v="2"/>
    <n v="685"/>
    <n v="1"/>
    <n v="61"/>
    <n v="46"/>
    <n v="14"/>
    <n v="54"/>
    <n v="9"/>
    <m/>
    <n v="47"/>
    <n v="743"/>
    <n v="166"/>
    <n v="1"/>
    <n v="18"/>
    <n v="13"/>
    <m/>
    <m/>
    <n v="3"/>
    <n v="266"/>
    <n v="522"/>
    <n v="13"/>
    <n v="362"/>
    <n v="13"/>
    <m/>
    <n v="1176"/>
    <n v="36"/>
    <n v="1024"/>
    <n v="116"/>
    <s v="2015"/>
    <n v="114"/>
    <n v="8"/>
    <m/>
    <m/>
    <m/>
    <n v="1"/>
  </r>
  <r>
    <n v="106301175"/>
    <s v="301175"/>
    <x v="163"/>
    <x v="28"/>
    <x v="3"/>
    <s v="General Acute Care Hospital"/>
    <s v="17100 EUCLID STREET"/>
    <s v="FOUNTAIN VALLEY"/>
    <s v="92708"/>
    <s v="Beds 200-299"/>
    <m/>
    <n v="48"/>
    <x v="44"/>
    <x v="26"/>
    <s v="Fountain Valley/Huntington Beach Central"/>
    <s v="Urban"/>
    <x v="0"/>
    <x v="0"/>
    <x v="0"/>
    <n v="24213"/>
    <n v="19306"/>
    <m/>
    <n v="5269"/>
    <n v="4204"/>
    <n v="7092"/>
    <n v="5710"/>
    <n v="6074"/>
    <n v="5729"/>
    <n v="3790"/>
    <n v="2444"/>
    <n v="2180"/>
    <n v="1027"/>
    <m/>
    <n v="11159"/>
    <n v="689"/>
    <n v="17148"/>
    <n v="48"/>
    <n v="3292"/>
    <n v="759"/>
    <n v="10424"/>
    <n v="531"/>
    <n v="1603"/>
    <n v="71"/>
    <n v="43"/>
    <n v="4"/>
    <n v="3"/>
    <m/>
    <m/>
    <n v="361"/>
    <n v="3"/>
    <n v="40484"/>
    <n v="410"/>
    <n v="4"/>
    <m/>
    <m/>
    <n v="14095"/>
    <n v="7016"/>
    <n v="367"/>
    <n v="18728"/>
    <n v="3313"/>
    <m/>
    <n v="43519"/>
    <n v="6573"/>
    <n v="30288"/>
    <n v="6658"/>
    <n v="5197"/>
    <n v="5196"/>
    <m/>
    <n v="287"/>
    <n v="595"/>
    <n v="695"/>
    <n v="1038"/>
    <n v="1669"/>
    <n v="1829"/>
    <n v="1849"/>
    <n v="2049"/>
    <n v="149"/>
    <n v="233"/>
    <m/>
    <n v="4000"/>
    <n v="157"/>
    <n v="2772"/>
    <n v="609"/>
    <n v="97"/>
    <n v="2756"/>
    <n v="2"/>
    <n v="480"/>
    <n v="250"/>
    <n v="354"/>
    <n v="2007"/>
    <n v="69"/>
    <m/>
    <n v="40"/>
    <n v="5205"/>
    <n v="1749"/>
    <n v="1"/>
    <n v="195"/>
    <n v="36"/>
    <n v="4"/>
    <m/>
    <n v="2"/>
    <n v="2919"/>
    <n v="4815"/>
    <n v="1294"/>
    <n v="1204"/>
    <n v="161"/>
    <m/>
    <n v="10393"/>
    <n v="3087"/>
    <n v="5855"/>
    <n v="1451"/>
    <s v="2015"/>
    <n v="293"/>
    <n v="25"/>
    <n v="2"/>
    <m/>
    <m/>
    <n v="1"/>
  </r>
  <r>
    <n v="106301188"/>
    <s v="301188"/>
    <x v="164"/>
    <x v="28"/>
    <x v="3"/>
    <s v="General Acute Care Hospital"/>
    <s v="1025 SOUTH ANAHEIM BLVD."/>
    <s v="ANAHEIM"/>
    <s v="92805"/>
    <s v="Beds 150-199"/>
    <m/>
    <n v="46"/>
    <x v="45"/>
    <x v="26"/>
    <s v="Anaheim Central"/>
    <s v="Urban"/>
    <x v="0"/>
    <x v="0"/>
    <x v="0"/>
    <n v="6744"/>
    <n v="6389"/>
    <m/>
    <n v="1481"/>
    <n v="1676"/>
    <n v="2785"/>
    <n v="2202"/>
    <n v="1819"/>
    <n v="1575"/>
    <n v="767"/>
    <n v="301"/>
    <n v="229"/>
    <n v="298"/>
    <m/>
    <n v="417"/>
    <n v="522"/>
    <n v="7584"/>
    <n v="21"/>
    <n v="591"/>
    <n v="76"/>
    <n v="3922"/>
    <n v="254"/>
    <n v="351"/>
    <n v="33"/>
    <n v="14"/>
    <n v="8"/>
    <m/>
    <m/>
    <n v="835"/>
    <n v="175"/>
    <n v="2"/>
    <n v="11379"/>
    <n v="8"/>
    <n v="3"/>
    <n v="2"/>
    <n v="66"/>
    <n v="1992"/>
    <n v="1228"/>
    <n v="659"/>
    <n v="7321"/>
    <n v="1932"/>
    <n v="1"/>
    <n v="13133"/>
    <n v="94"/>
    <n v="9977"/>
    <n v="3062"/>
    <n v="1059"/>
    <n v="1465"/>
    <m/>
    <n v="71"/>
    <n v="459"/>
    <n v="397"/>
    <n v="493"/>
    <n v="518"/>
    <n v="284"/>
    <n v="146"/>
    <n v="156"/>
    <m/>
    <m/>
    <m/>
    <n v="162"/>
    <n v="109"/>
    <n v="920"/>
    <n v="102"/>
    <n v="24"/>
    <n v="1206"/>
    <n v="1"/>
    <n v="38"/>
    <n v="179"/>
    <n v="53"/>
    <n v="20"/>
    <n v="8"/>
    <m/>
    <n v="77"/>
    <n v="1754"/>
    <n v="169"/>
    <n v="123"/>
    <n v="10"/>
    <n v="29"/>
    <n v="50"/>
    <m/>
    <n v="5"/>
    <n v="1192"/>
    <n v="801"/>
    <n v="237"/>
    <n v="240"/>
    <n v="51"/>
    <n v="3"/>
    <n v="2524"/>
    <n v="50"/>
    <n v="2159"/>
    <n v="315"/>
    <s v="2015"/>
    <n v="188"/>
    <n v="11"/>
    <n v="3"/>
    <m/>
    <m/>
    <n v="9"/>
  </r>
  <r>
    <n v="106301205"/>
    <s v="301205"/>
    <x v="165"/>
    <x v="28"/>
    <x v="1"/>
    <s v="General Acute Care Hospital"/>
    <s v="1 HOAG DRIVE"/>
    <s v="NEWPORT BEACH"/>
    <s v="92663"/>
    <s v="Beds 300-499"/>
    <m/>
    <n v="48"/>
    <x v="46"/>
    <x v="25"/>
    <s v="Costa Mesa"/>
    <s v="Urban"/>
    <x v="0"/>
    <x v="0"/>
    <x v="0"/>
    <n v="52035"/>
    <n v="42964"/>
    <n v="4"/>
    <n v="6408"/>
    <n v="7864"/>
    <n v="15346"/>
    <n v="13569"/>
    <n v="12081"/>
    <n v="12029"/>
    <n v="9271"/>
    <n v="7950"/>
    <n v="9472"/>
    <n v="1013"/>
    <m/>
    <n v="8049"/>
    <n v="2599"/>
    <n v="12801"/>
    <n v="64"/>
    <n v="821"/>
    <n v="1007"/>
    <n v="69662"/>
    <n v="574"/>
    <n v="1685"/>
    <n v="132"/>
    <n v="429"/>
    <n v="44"/>
    <n v="20"/>
    <m/>
    <n v="287"/>
    <n v="967"/>
    <n v="11"/>
    <n v="88368"/>
    <n v="319"/>
    <n v="339"/>
    <n v="7"/>
    <n v="1793"/>
    <n v="22612"/>
    <n v="18237"/>
    <n v="1506"/>
    <n v="44843"/>
    <n v="7805"/>
    <m/>
    <n v="95003"/>
    <n v="4691"/>
    <n v="86331"/>
    <n v="3981"/>
    <n v="8308"/>
    <n v="8157"/>
    <n v="2"/>
    <n v="148"/>
    <n v="867"/>
    <n v="1127"/>
    <n v="1446"/>
    <n v="2134"/>
    <n v="2563"/>
    <n v="3361"/>
    <n v="4818"/>
    <n v="3"/>
    <m/>
    <m/>
    <n v="1261"/>
    <n v="236"/>
    <n v="1331"/>
    <n v="50"/>
    <n v="41"/>
    <n v="13541"/>
    <n v="7"/>
    <n v="425"/>
    <n v="212"/>
    <n v="578"/>
    <n v="3133"/>
    <n v="241"/>
    <m/>
    <n v="11"/>
    <n v="8851"/>
    <n v="2291"/>
    <n v="6"/>
    <n v="588"/>
    <n v="118"/>
    <n v="1"/>
    <m/>
    <n v="11"/>
    <n v="1947"/>
    <n v="9525"/>
    <n v="115"/>
    <n v="4640"/>
    <n v="240"/>
    <m/>
    <n v="16467"/>
    <n v="875"/>
    <n v="15064"/>
    <n v="528"/>
    <s v="2015"/>
    <n v="443"/>
    <n v="56"/>
    <n v="26"/>
    <n v="2"/>
    <n v="1"/>
    <m/>
  </r>
  <r>
    <n v="106301209"/>
    <s v="301209"/>
    <x v="166"/>
    <x v="28"/>
    <x v="1"/>
    <s v="General Acute Care Hospital"/>
    <s v="17772 BEACH BOULEVARD"/>
    <s v="HUNTINGTON BEACH"/>
    <s v="92647"/>
    <s v="Beds 100-149"/>
    <m/>
    <n v="48"/>
    <x v="44"/>
    <x v="26"/>
    <s v="Huntington Beach North/Seal Beach East/Westminster"/>
    <s v="Urban"/>
    <x v="0"/>
    <x v="0"/>
    <x v="0"/>
    <n v="7520"/>
    <n v="8169"/>
    <m/>
    <n v="1181"/>
    <n v="1691"/>
    <n v="3355"/>
    <n v="2733"/>
    <n v="2335"/>
    <n v="2206"/>
    <n v="1010"/>
    <n v="570"/>
    <n v="480"/>
    <n v="127"/>
    <n v="1"/>
    <n v="932"/>
    <n v="524"/>
    <n v="3452"/>
    <n v="15"/>
    <n v="819"/>
    <n v="166"/>
    <n v="9781"/>
    <n v="266"/>
    <n v="580"/>
    <n v="59"/>
    <m/>
    <n v="2"/>
    <n v="4"/>
    <m/>
    <n v="155"/>
    <n v="299"/>
    <n v="36"/>
    <n v="14051"/>
    <n v="36"/>
    <n v="7"/>
    <n v="14"/>
    <n v="151"/>
    <n v="7152"/>
    <n v="1313"/>
    <n v="307"/>
    <n v="4751"/>
    <n v="2166"/>
    <m/>
    <n v="15689"/>
    <n v="191"/>
    <n v="14784"/>
    <n v="714"/>
    <n v="1411"/>
    <n v="1515"/>
    <m/>
    <n v="26"/>
    <n v="176"/>
    <n v="261"/>
    <n v="377"/>
    <n v="522"/>
    <n v="503"/>
    <n v="484"/>
    <n v="577"/>
    <m/>
    <m/>
    <m/>
    <n v="350"/>
    <n v="85"/>
    <n v="392"/>
    <n v="137"/>
    <n v="24"/>
    <n v="1935"/>
    <n v="3"/>
    <n v="53"/>
    <n v="432"/>
    <n v="79"/>
    <n v="178"/>
    <n v="5"/>
    <m/>
    <n v="44"/>
    <n v="1673"/>
    <n v="261"/>
    <n v="4"/>
    <n v="47"/>
    <n v="44"/>
    <n v="79"/>
    <n v="3"/>
    <n v="19"/>
    <n v="852"/>
    <n v="1576"/>
    <n v="36"/>
    <n v="334"/>
    <n v="128"/>
    <m/>
    <n v="2926"/>
    <n v="117"/>
    <n v="2665"/>
    <n v="144"/>
    <s v="2015"/>
    <n v="131"/>
    <n v="12"/>
    <n v="22"/>
    <n v="7"/>
    <n v="1"/>
    <n v="4"/>
  </r>
  <r>
    <n v="106301234"/>
    <s v="301234"/>
    <x v="167"/>
    <x v="28"/>
    <x v="5"/>
    <s v="General Acute Care Hospital"/>
    <s v="7901 WALKER STREET"/>
    <s v="LA PALMA"/>
    <s v="90623"/>
    <s v="Beds 100-149"/>
    <m/>
    <n v="38"/>
    <x v="47"/>
    <x v="27"/>
    <s v="Buena Park/La Palma"/>
    <s v="Urban"/>
    <x v="0"/>
    <x v="0"/>
    <x v="0"/>
    <n v="7598"/>
    <n v="6103"/>
    <m/>
    <n v="1622"/>
    <n v="1658"/>
    <n v="2263"/>
    <n v="2059"/>
    <n v="1744"/>
    <n v="1743"/>
    <n v="977"/>
    <n v="666"/>
    <n v="673"/>
    <n v="296"/>
    <m/>
    <n v="2683"/>
    <n v="1586"/>
    <n v="4348"/>
    <n v="23"/>
    <n v="339"/>
    <n v="72"/>
    <n v="4650"/>
    <n v="265"/>
    <n v="727"/>
    <n v="25"/>
    <m/>
    <n v="7"/>
    <m/>
    <m/>
    <n v="42"/>
    <n v="106"/>
    <n v="27"/>
    <n v="12208"/>
    <n v="90"/>
    <n v="11"/>
    <n v="4"/>
    <n v="167"/>
    <n v="6160"/>
    <n v="1516"/>
    <n v="177"/>
    <n v="4430"/>
    <n v="1378"/>
    <n v="40"/>
    <n v="13701"/>
    <n v="404"/>
    <n v="12560"/>
    <n v="737"/>
    <n v="1808"/>
    <n v="1407"/>
    <m/>
    <n v="42"/>
    <n v="224"/>
    <n v="271"/>
    <n v="281"/>
    <n v="523"/>
    <n v="545"/>
    <n v="565"/>
    <n v="762"/>
    <n v="2"/>
    <m/>
    <m/>
    <n v="855"/>
    <n v="308"/>
    <n v="805"/>
    <n v="55"/>
    <n v="15"/>
    <n v="1177"/>
    <m/>
    <n v="84"/>
    <n v="464"/>
    <n v="84"/>
    <n v="187"/>
    <n v="3"/>
    <m/>
    <n v="38"/>
    <n v="1726"/>
    <n v="451"/>
    <m/>
    <n v="45"/>
    <n v="12"/>
    <n v="91"/>
    <n v="3"/>
    <n v="24"/>
    <n v="905"/>
    <n v="1884"/>
    <n v="25"/>
    <n v="313"/>
    <n v="88"/>
    <m/>
    <n v="3215"/>
    <n v="332"/>
    <n v="2640"/>
    <n v="243"/>
    <s v="2015"/>
    <n v="141"/>
    <n v="10"/>
    <m/>
    <n v="22"/>
    <m/>
    <n v="3"/>
  </r>
  <r>
    <n v="106301248"/>
    <s v="301248"/>
    <x v="168"/>
    <x v="28"/>
    <x v="3"/>
    <s v="General Acute Care Hospital"/>
    <s v="3751 KATELLA AVENUE"/>
    <s v="LOS ALAMITOS"/>
    <s v="90720"/>
    <s v="Beds 150-199"/>
    <m/>
    <n v="47"/>
    <x v="44"/>
    <x v="26"/>
    <s v="Cypress/Los Alamitos/Rossmoor"/>
    <s v="Urban"/>
    <x v="0"/>
    <x v="0"/>
    <x v="0"/>
    <n v="15120"/>
    <n v="11274"/>
    <n v="1"/>
    <n v="2150"/>
    <n v="2196"/>
    <n v="3506"/>
    <n v="2963"/>
    <n v="3107"/>
    <n v="3209"/>
    <n v="2537"/>
    <n v="2533"/>
    <n v="3814"/>
    <n v="380"/>
    <m/>
    <n v="2095"/>
    <n v="1317"/>
    <n v="5368"/>
    <n v="19"/>
    <n v="226"/>
    <n v="79"/>
    <n v="17291"/>
    <n v="422"/>
    <n v="484"/>
    <n v="64"/>
    <n v="155"/>
    <n v="22"/>
    <n v="2"/>
    <m/>
    <m/>
    <n v="50"/>
    <m/>
    <n v="24550"/>
    <n v="479"/>
    <n v="154"/>
    <m/>
    <m/>
    <n v="3881"/>
    <n v="7958"/>
    <n v="891"/>
    <n v="11335"/>
    <n v="2330"/>
    <m/>
    <n v="26395"/>
    <n v="113"/>
    <n v="25709"/>
    <n v="573"/>
    <n v="3137"/>
    <n v="2736"/>
    <m/>
    <n v="30"/>
    <n v="224"/>
    <n v="228"/>
    <n v="399"/>
    <n v="700"/>
    <n v="979"/>
    <n v="1254"/>
    <n v="2059"/>
    <m/>
    <m/>
    <m/>
    <n v="513"/>
    <n v="206"/>
    <n v="700"/>
    <n v="48"/>
    <n v="16"/>
    <n v="4390"/>
    <m/>
    <n v="261"/>
    <n v="119"/>
    <n v="210"/>
    <n v="979"/>
    <n v="58"/>
    <m/>
    <n v="47"/>
    <n v="2588"/>
    <n v="1340"/>
    <m/>
    <n v="203"/>
    <n v="64"/>
    <m/>
    <m/>
    <n v="4"/>
    <n v="342"/>
    <n v="3328"/>
    <n v="767"/>
    <n v="1411"/>
    <n v="25"/>
    <m/>
    <n v="5873"/>
    <n v="58"/>
    <n v="5709"/>
    <n v="106"/>
    <s v="2015"/>
    <n v="167"/>
    <n v="20"/>
    <n v="13"/>
    <m/>
    <m/>
    <m/>
  </r>
  <r>
    <n v="106301258"/>
    <s v="301258"/>
    <x v="169"/>
    <x v="28"/>
    <x v="3"/>
    <s v="General Acute Care Hospital"/>
    <s v="2701 S. BRISTOL STREET"/>
    <s v="SANTA ANA"/>
    <s v="92704"/>
    <s v="Beds 150-199"/>
    <m/>
    <n v="46"/>
    <x v="45"/>
    <x v="26"/>
    <s v="Santa Ana South"/>
    <s v="Urban"/>
    <x v="0"/>
    <x v="0"/>
    <x v="0"/>
    <n v="10421"/>
    <n v="8424"/>
    <m/>
    <n v="2809"/>
    <n v="2693"/>
    <n v="3616"/>
    <n v="3219"/>
    <n v="2510"/>
    <n v="1875"/>
    <n v="923"/>
    <n v="462"/>
    <n v="284"/>
    <n v="454"/>
    <m/>
    <n v="303"/>
    <n v="341"/>
    <n v="16058"/>
    <n v="7"/>
    <n v="127"/>
    <n v="3"/>
    <n v="2006"/>
    <n v="236"/>
    <n v="255"/>
    <n v="22"/>
    <n v="1"/>
    <n v="18"/>
    <n v="2"/>
    <m/>
    <n v="22"/>
    <n v="105"/>
    <n v="4"/>
    <n v="18074"/>
    <n v="37"/>
    <n v="26"/>
    <n v="9"/>
    <n v="25"/>
    <n v="3689"/>
    <n v="1134"/>
    <n v="423"/>
    <n v="11130"/>
    <n v="2467"/>
    <n v="2"/>
    <n v="18845"/>
    <n v="66"/>
    <n v="8471"/>
    <n v="10308"/>
    <n v="794"/>
    <n v="771"/>
    <m/>
    <n v="28"/>
    <n v="132"/>
    <n v="188"/>
    <n v="215"/>
    <n v="295"/>
    <n v="262"/>
    <n v="207"/>
    <n v="237"/>
    <m/>
    <n v="1"/>
    <m/>
    <n v="102"/>
    <n v="27"/>
    <n v="1043"/>
    <n v="17"/>
    <n v="1"/>
    <n v="374"/>
    <n v="1"/>
    <n v="102"/>
    <n v="47"/>
    <n v="36"/>
    <n v="62"/>
    <n v="5"/>
    <m/>
    <n v="31"/>
    <n v="896"/>
    <n v="338"/>
    <n v="1"/>
    <n v="6"/>
    <n v="28"/>
    <m/>
    <m/>
    <n v="4"/>
    <n v="796"/>
    <n v="602"/>
    <n v="7"/>
    <n v="115"/>
    <n v="45"/>
    <m/>
    <n v="1565"/>
    <n v="55"/>
    <n v="730"/>
    <n v="780"/>
    <s v="2015"/>
    <n v="178"/>
    <n v="10"/>
    <n v="9"/>
    <m/>
    <m/>
    <n v="9"/>
  </r>
  <r>
    <n v="106301262"/>
    <s v="301262"/>
    <x v="170"/>
    <x v="28"/>
    <x v="1"/>
    <s v="General Acute Care Hospital"/>
    <s v="27700 MEDICAL CENTER ROAD"/>
    <s v="MISSION VIEJO"/>
    <s v="92691"/>
    <s v="Beds 300-499"/>
    <s v="Level II"/>
    <n v="45"/>
    <x v="48"/>
    <x v="28"/>
    <s v="Lake Forest East/Mission Viejo Central and South"/>
    <s v="Urban"/>
    <x v="0"/>
    <x v="0"/>
    <x v="0"/>
    <n v="20604"/>
    <n v="15231"/>
    <n v="2"/>
    <n v="2"/>
    <n v="1459"/>
    <n v="6583"/>
    <n v="5126"/>
    <n v="5582"/>
    <n v="5667"/>
    <n v="4168"/>
    <n v="3222"/>
    <n v="4025"/>
    <n v="3"/>
    <m/>
    <n v="1214"/>
    <n v="748"/>
    <n v="5282"/>
    <n v="8"/>
    <n v="2994"/>
    <n v="194"/>
    <n v="25397"/>
    <n v="489"/>
    <n v="857"/>
    <n v="74"/>
    <n v="489"/>
    <n v="53"/>
    <n v="5"/>
    <m/>
    <n v="46"/>
    <n v="195"/>
    <n v="6"/>
    <n v="33412"/>
    <n v="178"/>
    <n v="1"/>
    <m/>
    <n v="32"/>
    <n v="9061"/>
    <n v="10090"/>
    <n v="906"/>
    <n v="12823"/>
    <n v="2957"/>
    <m/>
    <n v="35837"/>
    <n v="368"/>
    <n v="33346"/>
    <n v="2123"/>
    <n v="5337"/>
    <n v="5194"/>
    <n v="1"/>
    <n v="102"/>
    <n v="665"/>
    <n v="615"/>
    <n v="1003"/>
    <n v="1484"/>
    <n v="1723"/>
    <n v="1881"/>
    <n v="3059"/>
    <m/>
    <m/>
    <m/>
    <n v="389"/>
    <n v="143"/>
    <n v="1017"/>
    <n v="736"/>
    <n v="41"/>
    <n v="8202"/>
    <n v="4"/>
    <n v="51"/>
    <n v="134"/>
    <n v="373"/>
    <n v="2115"/>
    <n v="233"/>
    <m/>
    <n v="9"/>
    <n v="5522"/>
    <n v="1463"/>
    <n v="4"/>
    <n v="257"/>
    <n v="89"/>
    <n v="271"/>
    <m/>
    <n v="11"/>
    <n v="1563"/>
    <n v="5905"/>
    <n v="147"/>
    <n v="2662"/>
    <n v="255"/>
    <m/>
    <n v="10532"/>
    <n v="151"/>
    <n v="9854"/>
    <n v="527"/>
    <s v="2015"/>
    <n v="345"/>
    <n v="33"/>
    <m/>
    <m/>
    <m/>
    <m/>
  </r>
  <r>
    <n v="106301279"/>
    <s v="301279"/>
    <x v="171"/>
    <x v="28"/>
    <x v="6"/>
    <s v="General Acute Care Hospital"/>
    <s v="101 CITY DRIVE SOUTH"/>
    <s v="ORANGE"/>
    <s v="92868"/>
    <s v="Beds 300-499"/>
    <s v="Level I"/>
    <n v="46"/>
    <x v="45"/>
    <x v="26"/>
    <s v="Garden Grove North/Stanton"/>
    <s v="Urban"/>
    <x v="0"/>
    <x v="1"/>
    <x v="2"/>
    <n v="22354"/>
    <n v="17153"/>
    <m/>
    <n v="1617"/>
    <n v="2850"/>
    <n v="9108"/>
    <n v="7688"/>
    <n v="5855"/>
    <n v="5572"/>
    <n v="3110"/>
    <n v="1779"/>
    <n v="1484"/>
    <n v="444"/>
    <m/>
    <n v="3750"/>
    <n v="1614"/>
    <n v="18548"/>
    <n v="65"/>
    <n v="346"/>
    <n v="29"/>
    <n v="15155"/>
    <n v="393"/>
    <n v="546"/>
    <n v="89"/>
    <n v="15"/>
    <n v="1"/>
    <n v="11"/>
    <m/>
    <n v="42"/>
    <n v="273"/>
    <n v="18"/>
    <n v="37428"/>
    <n v="197"/>
    <n v="411"/>
    <n v="13"/>
    <n v="35"/>
    <n v="20252"/>
    <n v="5324"/>
    <n v="985"/>
    <n v="8817"/>
    <n v="4045"/>
    <n v="84"/>
    <n v="39507"/>
    <n v="921"/>
    <n v="32539"/>
    <n v="6047"/>
    <n v="5471"/>
    <n v="5738"/>
    <m/>
    <n v="601"/>
    <n v="1615"/>
    <n v="1466"/>
    <n v="1523"/>
    <n v="1935"/>
    <n v="1603"/>
    <n v="1213"/>
    <n v="1176"/>
    <n v="15"/>
    <n v="62"/>
    <m/>
    <n v="1636"/>
    <n v="389"/>
    <n v="4247"/>
    <n v="193"/>
    <n v="18"/>
    <n v="4712"/>
    <n v="14"/>
    <n v="412"/>
    <n v="148"/>
    <n v="331"/>
    <n v="1172"/>
    <n v="224"/>
    <m/>
    <n v="118"/>
    <n v="7404"/>
    <n v="1042"/>
    <n v="16"/>
    <n v="157"/>
    <n v="126"/>
    <n v="19"/>
    <n v="30"/>
    <n v="10"/>
    <n v="4965"/>
    <n v="3518"/>
    <n v="204"/>
    <n v="2252"/>
    <n v="270"/>
    <m/>
    <n v="11209"/>
    <n v="615"/>
    <n v="8821"/>
    <n v="1773"/>
    <s v="2015"/>
    <n v="411"/>
    <n v="36"/>
    <n v="8"/>
    <n v="27"/>
    <m/>
    <m/>
  </r>
  <r>
    <n v="106301283"/>
    <s v="301283"/>
    <x v="172"/>
    <x v="28"/>
    <x v="5"/>
    <s v="General Acute Care Hospital"/>
    <s v="12601 GARDEN GROVE BLVD."/>
    <s v="GARDEN GROVE"/>
    <s v="92843-1908"/>
    <s v="Beds 150-199"/>
    <m/>
    <n v="46"/>
    <x v="45"/>
    <x v="26"/>
    <s v="Garden Grove North/Stanton"/>
    <s v="Urban"/>
    <x v="0"/>
    <x v="0"/>
    <x v="0"/>
    <n v="13162"/>
    <n v="11061"/>
    <m/>
    <n v="2858"/>
    <n v="2804"/>
    <n v="4545"/>
    <n v="3834"/>
    <n v="3407"/>
    <n v="3034"/>
    <n v="1515"/>
    <n v="831"/>
    <n v="886"/>
    <n v="509"/>
    <m/>
    <n v="3447"/>
    <n v="702"/>
    <n v="13476"/>
    <n v="3"/>
    <n v="199"/>
    <n v="55"/>
    <n v="6341"/>
    <n v="710"/>
    <n v="1521"/>
    <n v="74"/>
    <n v="2"/>
    <m/>
    <m/>
    <m/>
    <n v="109"/>
    <n v="26"/>
    <n v="2"/>
    <n v="21775"/>
    <n v="4"/>
    <m/>
    <m/>
    <m/>
    <n v="15006"/>
    <n v="3068"/>
    <n v="235"/>
    <n v="3037"/>
    <n v="2877"/>
    <m/>
    <n v="24223"/>
    <n v="1335"/>
    <n v="17662"/>
    <n v="5226"/>
    <n v="1865"/>
    <n v="1680"/>
    <m/>
    <n v="51"/>
    <n v="213"/>
    <n v="246"/>
    <n v="390"/>
    <n v="580"/>
    <n v="507"/>
    <n v="537"/>
    <n v="1005"/>
    <n v="16"/>
    <m/>
    <m/>
    <n v="1398"/>
    <n v="69"/>
    <n v="1107"/>
    <n v="17"/>
    <n v="2"/>
    <n v="951"/>
    <n v="1"/>
    <n v="11"/>
    <n v="1019"/>
    <n v="83"/>
    <n v="144"/>
    <n v="5"/>
    <m/>
    <n v="26"/>
    <n v="2042"/>
    <n v="13"/>
    <m/>
    <n v="9"/>
    <m/>
    <n v="192"/>
    <m/>
    <m/>
    <n v="1315"/>
    <n v="1846"/>
    <n v="11"/>
    <n v="297"/>
    <n v="76"/>
    <m/>
    <n v="3545"/>
    <n v="950"/>
    <n v="2013"/>
    <n v="582"/>
    <s v="2015"/>
    <n v="167"/>
    <n v="12"/>
    <m/>
    <m/>
    <n v="1"/>
    <m/>
  </r>
  <r>
    <n v="106301297"/>
    <s v="301297"/>
    <x v="173"/>
    <x v="28"/>
    <x v="3"/>
    <s v="General Acute Care Hospital"/>
    <s v="1301 NORTH ROSE DRIVE"/>
    <s v="PLACENTIA"/>
    <s v="92870"/>
    <s v="Beds 100-149"/>
    <m/>
    <n v="39"/>
    <x v="49"/>
    <x v="27"/>
    <s v="Brea East/Placentia Central and North/Yorba Linda"/>
    <s v="Urban"/>
    <x v="0"/>
    <x v="0"/>
    <x v="0"/>
    <n v="15924"/>
    <n v="11646"/>
    <m/>
    <n v="2744"/>
    <n v="3203"/>
    <n v="4340"/>
    <n v="3693"/>
    <n v="3522"/>
    <n v="3497"/>
    <n v="2172"/>
    <n v="1799"/>
    <n v="2281"/>
    <n v="319"/>
    <m/>
    <n v="1362"/>
    <n v="867"/>
    <n v="7511"/>
    <n v="21"/>
    <n v="2549"/>
    <n v="175"/>
    <n v="15085"/>
    <n v="549"/>
    <n v="243"/>
    <n v="26"/>
    <n v="175"/>
    <n v="36"/>
    <m/>
    <m/>
    <m/>
    <n v="94"/>
    <n v="1"/>
    <n v="26271"/>
    <n v="172"/>
    <n v="2"/>
    <n v="1"/>
    <m/>
    <n v="5662"/>
    <n v="5594"/>
    <n v="569"/>
    <n v="14084"/>
    <n v="1661"/>
    <m/>
    <n v="27570"/>
    <n v="187"/>
    <n v="26241"/>
    <n v="1142"/>
    <n v="1419"/>
    <n v="1250"/>
    <m/>
    <n v="26"/>
    <n v="140"/>
    <n v="177"/>
    <n v="285"/>
    <n v="446"/>
    <n v="417"/>
    <n v="425"/>
    <n v="753"/>
    <m/>
    <m/>
    <m/>
    <n v="169"/>
    <n v="74"/>
    <n v="453"/>
    <n v="192"/>
    <n v="12"/>
    <n v="1768"/>
    <n v="1"/>
    <n v="211"/>
    <n v="55"/>
    <n v="62"/>
    <n v="361"/>
    <m/>
    <m/>
    <n v="3"/>
    <n v="1427"/>
    <n v="434"/>
    <m/>
    <n v="104"/>
    <n v="10"/>
    <n v="1"/>
    <m/>
    <n v="1"/>
    <n v="343"/>
    <n v="1268"/>
    <n v="387"/>
    <n v="616"/>
    <n v="55"/>
    <m/>
    <n v="2669"/>
    <n v="39"/>
    <n v="2526"/>
    <n v="104"/>
    <s v="2015"/>
    <n v="114"/>
    <n v="20"/>
    <m/>
    <m/>
    <m/>
    <m/>
  </r>
  <r>
    <n v="106301317"/>
    <s v="301317"/>
    <x v="174"/>
    <x v="28"/>
    <x v="1"/>
    <s v="General Acute Care Hospital"/>
    <s v="24451 HEALTH CENTER DRIVE"/>
    <s v="LAGUNA HILLS"/>
    <s v="92653"/>
    <s v="Beds 200-299"/>
    <m/>
    <n v="45"/>
    <x v="48"/>
    <x v="28"/>
    <s v="Laguna Beach/Laguna Woods"/>
    <s v="Urban"/>
    <x v="0"/>
    <x v="0"/>
    <x v="0"/>
    <n v="23474"/>
    <n v="18497"/>
    <n v="4"/>
    <n v="2955"/>
    <n v="3510"/>
    <n v="5678"/>
    <n v="4883"/>
    <n v="4825"/>
    <n v="5126"/>
    <n v="4321"/>
    <n v="3966"/>
    <n v="6327"/>
    <n v="384"/>
    <m/>
    <n v="1906"/>
    <n v="968"/>
    <n v="6561"/>
    <n v="30"/>
    <n v="2074"/>
    <n v="250"/>
    <n v="30186"/>
    <n v="510"/>
    <m/>
    <n v="106"/>
    <n v="719"/>
    <n v="53"/>
    <n v="53"/>
    <m/>
    <n v="96"/>
    <n v="314"/>
    <m/>
    <n v="39735"/>
    <n v="379"/>
    <n v="4"/>
    <m/>
    <n v="1"/>
    <n v="9878"/>
    <n v="12916"/>
    <n v="1799"/>
    <n v="14586"/>
    <n v="2796"/>
    <m/>
    <n v="41975"/>
    <n v="729"/>
    <n v="39560"/>
    <n v="1686"/>
    <n v="4771"/>
    <n v="4052"/>
    <m/>
    <n v="56"/>
    <n v="252"/>
    <n v="373"/>
    <n v="589"/>
    <n v="982"/>
    <n v="1287"/>
    <n v="1712"/>
    <n v="3569"/>
    <n v="3"/>
    <m/>
    <m/>
    <n v="414"/>
    <n v="118"/>
    <n v="766"/>
    <n v="409"/>
    <n v="56"/>
    <n v="7047"/>
    <n v="13"/>
    <n v="235"/>
    <m/>
    <n v="312"/>
    <n v="2238"/>
    <n v="74"/>
    <m/>
    <m/>
    <n v="4063"/>
    <n v="1528"/>
    <n v="3"/>
    <n v="336"/>
    <n v="32"/>
    <m/>
    <m/>
    <n v="2"/>
    <n v="760"/>
    <n v="6052"/>
    <n v="97"/>
    <n v="1740"/>
    <n v="174"/>
    <m/>
    <n v="8823"/>
    <n v="245"/>
    <n v="8342"/>
    <n v="236"/>
    <s v="2015"/>
    <n v="252"/>
    <n v="31"/>
    <n v="1"/>
    <n v="4"/>
    <m/>
    <m/>
  </r>
  <r>
    <n v="106301337"/>
    <s v="301337"/>
    <x v="175"/>
    <x v="28"/>
    <x v="1"/>
    <s v="General Acute Care Hospital"/>
    <s v="31872 COAST HIGHWAY"/>
    <s v="LAGUNA BEACH"/>
    <s v="92651"/>
    <s v="Beds 150-199"/>
    <m/>
    <n v="48"/>
    <x v="46"/>
    <x v="25"/>
    <s v="Aliso Viejo/Laguna Hills/Laguna Niguel"/>
    <s v="Urban"/>
    <x v="0"/>
    <x v="0"/>
    <x v="0"/>
    <n v="5795"/>
    <n v="5359"/>
    <m/>
    <n v="508"/>
    <n v="1026"/>
    <n v="1992"/>
    <n v="1389"/>
    <n v="1536"/>
    <n v="1824"/>
    <n v="1209"/>
    <n v="776"/>
    <n v="859"/>
    <n v="35"/>
    <m/>
    <n v="211"/>
    <n v="275"/>
    <n v="828"/>
    <n v="11"/>
    <n v="673"/>
    <n v="7"/>
    <n v="9149"/>
    <n v="187"/>
    <n v="265"/>
    <n v="19"/>
    <n v="8"/>
    <n v="6"/>
    <m/>
    <m/>
    <n v="82"/>
    <n v="281"/>
    <n v="21"/>
    <n v="10253"/>
    <n v="11"/>
    <m/>
    <m/>
    <n v="21"/>
    <n v="2819"/>
    <n v="2556"/>
    <n v="359"/>
    <n v="4635"/>
    <n v="785"/>
    <m/>
    <n v="11154"/>
    <n v="78"/>
    <n v="10889"/>
    <n v="187"/>
    <n v="1407"/>
    <n v="1512"/>
    <m/>
    <n v="100"/>
    <n v="644"/>
    <n v="391"/>
    <n v="423"/>
    <n v="453"/>
    <n v="300"/>
    <n v="200"/>
    <n v="408"/>
    <m/>
    <m/>
    <m/>
    <n v="40"/>
    <n v="53"/>
    <n v="150"/>
    <n v="118"/>
    <n v="5"/>
    <n v="2548"/>
    <n v="5"/>
    <n v="44"/>
    <n v="274"/>
    <n v="6"/>
    <n v="192"/>
    <n v="17"/>
    <m/>
    <n v="55"/>
    <n v="1953"/>
    <n v="155"/>
    <n v="1"/>
    <n v="33"/>
    <n v="82"/>
    <n v="32"/>
    <m/>
    <n v="75"/>
    <n v="350"/>
    <n v="898"/>
    <n v="36"/>
    <n v="1543"/>
    <n v="92"/>
    <m/>
    <n v="2919"/>
    <n v="15"/>
    <n v="2881"/>
    <n v="23"/>
    <s v="2015"/>
    <n v="188"/>
    <n v="12"/>
    <m/>
    <m/>
    <m/>
    <m/>
  </r>
  <r>
    <n v="106301340"/>
    <s v="301340"/>
    <x v="176"/>
    <x v="28"/>
    <x v="1"/>
    <s v="General Acute Care Hospital"/>
    <s v="1100 WEST STEWART DRIVE"/>
    <s v="ORANGE"/>
    <s v="92868"/>
    <s v="Beds 300-499"/>
    <m/>
    <n v="46"/>
    <x v="43"/>
    <x v="25"/>
    <s v="City of Orange South/Santa Ana North/Tustin Foothills/Tustin West"/>
    <s v="Urban"/>
    <x v="0"/>
    <x v="0"/>
    <x v="0"/>
    <n v="38294"/>
    <n v="25979"/>
    <m/>
    <n v="3825"/>
    <n v="6615"/>
    <n v="12351"/>
    <n v="9839"/>
    <n v="8367"/>
    <n v="7553"/>
    <n v="5626"/>
    <n v="4386"/>
    <n v="5107"/>
    <n v="604"/>
    <m/>
    <n v="2156"/>
    <n v="1289"/>
    <n v="34449"/>
    <n v="19"/>
    <n v="2417"/>
    <n v="137"/>
    <n v="23806"/>
    <n v="537"/>
    <n v="416"/>
    <n v="63"/>
    <n v="184"/>
    <n v="32"/>
    <n v="28"/>
    <m/>
    <n v="139"/>
    <n v="475"/>
    <n v="14"/>
    <n v="61138"/>
    <n v="281"/>
    <n v="2"/>
    <m/>
    <n v="957"/>
    <n v="28156"/>
    <n v="15998"/>
    <n v="977"/>
    <n v="13433"/>
    <n v="5709"/>
    <m/>
    <n v="64273"/>
    <n v="251"/>
    <n v="52759"/>
    <n v="11263"/>
    <n v="5705"/>
    <n v="5472"/>
    <m/>
    <n v="150"/>
    <n v="871"/>
    <n v="884"/>
    <n v="1234"/>
    <n v="1693"/>
    <n v="1924"/>
    <n v="1754"/>
    <n v="2667"/>
    <m/>
    <m/>
    <m/>
    <n v="620"/>
    <n v="235"/>
    <n v="3475"/>
    <n v="277"/>
    <n v="24"/>
    <n v="6541"/>
    <n v="5"/>
    <n v="62"/>
    <n v="202"/>
    <n v="332"/>
    <n v="1824"/>
    <n v="3"/>
    <m/>
    <n v="35"/>
    <n v="6686"/>
    <n v="1559"/>
    <n v="3"/>
    <n v="263"/>
    <n v="49"/>
    <n v="148"/>
    <m/>
    <n v="11"/>
    <n v="2056"/>
    <n v="5955"/>
    <n v="67"/>
    <n v="2803"/>
    <n v="296"/>
    <m/>
    <n v="11177"/>
    <n v="149"/>
    <n v="9519"/>
    <n v="1509"/>
    <s v="2015"/>
    <n v="457"/>
    <n v="53"/>
    <n v="7"/>
    <m/>
    <m/>
    <m/>
  </r>
  <r>
    <n v="106301342"/>
    <s v="301342"/>
    <x v="177"/>
    <x v="28"/>
    <x v="1"/>
    <s v="General Acute Care Hospital"/>
    <s v="101 EAST VALENCIA MESA DRIVE"/>
    <s v="FULLERTON"/>
    <s v="92835"/>
    <s v="Beds 300-499"/>
    <m/>
    <n v="39"/>
    <x v="47"/>
    <x v="27"/>
    <s v="Fullerton Central and South"/>
    <s v="Urban"/>
    <x v="0"/>
    <x v="0"/>
    <x v="0"/>
    <n v="32874"/>
    <n v="25358"/>
    <m/>
    <n v="5573"/>
    <n v="5332"/>
    <n v="8475"/>
    <n v="6897"/>
    <n v="6837"/>
    <n v="7335"/>
    <n v="5732"/>
    <n v="4693"/>
    <n v="6274"/>
    <n v="1084"/>
    <m/>
    <n v="5112"/>
    <n v="1678"/>
    <n v="19058"/>
    <n v="43"/>
    <n v="4919"/>
    <n v="417"/>
    <n v="27005"/>
    <n v="1584"/>
    <n v="1884"/>
    <n v="126"/>
    <n v="336"/>
    <n v="34"/>
    <n v="7"/>
    <m/>
    <n v="85"/>
    <n v="152"/>
    <n v="11"/>
    <n v="53467"/>
    <n v="457"/>
    <n v="1"/>
    <m/>
    <n v="79"/>
    <n v="18857"/>
    <n v="17540"/>
    <n v="1089"/>
    <n v="15416"/>
    <n v="5330"/>
    <m/>
    <n v="58232"/>
    <n v="1361"/>
    <n v="52138"/>
    <n v="4733"/>
    <n v="4525"/>
    <n v="4026"/>
    <m/>
    <n v="49"/>
    <n v="278"/>
    <n v="362"/>
    <n v="635"/>
    <n v="1130"/>
    <n v="1506"/>
    <n v="1799"/>
    <n v="2789"/>
    <n v="3"/>
    <m/>
    <m/>
    <n v="1019"/>
    <n v="187"/>
    <n v="1668"/>
    <n v="421"/>
    <n v="63"/>
    <n v="5188"/>
    <n v="5"/>
    <n v="178"/>
    <n v="81"/>
    <n v="324"/>
    <n v="1870"/>
    <n v="240"/>
    <m/>
    <n v="19"/>
    <n v="3530"/>
    <n v="1672"/>
    <n v="2"/>
    <n v="323"/>
    <n v="23"/>
    <n v="281"/>
    <m/>
    <n v="8"/>
    <n v="1240"/>
    <n v="5579"/>
    <n v="58"/>
    <n v="1521"/>
    <n v="153"/>
    <m/>
    <n v="8551"/>
    <n v="489"/>
    <n v="7429"/>
    <n v="633"/>
    <s v="2015"/>
    <n v="329"/>
    <n v="36"/>
    <n v="9"/>
    <m/>
    <m/>
    <m/>
  </r>
  <r>
    <n v="106301379"/>
    <s v="301379"/>
    <x v="178"/>
    <x v="28"/>
    <x v="5"/>
    <s v="General Acute Care Hospital"/>
    <s v="3033 WEST ORANGE AVENUE"/>
    <s v="ANAHEIM"/>
    <s v="92804"/>
    <s v="Beds 200-299"/>
    <m/>
    <n v="46"/>
    <x v="47"/>
    <x v="27"/>
    <s v="Anaheim West"/>
    <s v="Urban"/>
    <x v="0"/>
    <x v="0"/>
    <x v="0"/>
    <n v="11936"/>
    <n v="11461"/>
    <m/>
    <n v="2212"/>
    <n v="2330"/>
    <n v="4109"/>
    <n v="3584"/>
    <n v="3275"/>
    <n v="3368"/>
    <n v="1893"/>
    <n v="1106"/>
    <n v="1215"/>
    <n v="304"/>
    <n v="1"/>
    <n v="2285"/>
    <n v="1739"/>
    <n v="8717"/>
    <n v="14"/>
    <n v="625"/>
    <n v="100"/>
    <n v="9917"/>
    <n v="744"/>
    <n v="2091"/>
    <n v="99"/>
    <n v="3"/>
    <n v="10"/>
    <n v="3"/>
    <m/>
    <n v="21"/>
    <n v="469"/>
    <n v="14"/>
    <n v="19369"/>
    <n v="75"/>
    <n v="2"/>
    <n v="19"/>
    <n v="431"/>
    <n v="12376"/>
    <n v="2642"/>
    <n v="230"/>
    <n v="5129"/>
    <n v="2957"/>
    <n v="63"/>
    <n v="23397"/>
    <n v="1007"/>
    <n v="19697"/>
    <n v="2693"/>
    <n v="2823"/>
    <n v="2663"/>
    <m/>
    <n v="51"/>
    <n v="224"/>
    <n v="315"/>
    <n v="531"/>
    <n v="942"/>
    <n v="1067"/>
    <n v="1002"/>
    <n v="1354"/>
    <m/>
    <m/>
    <m/>
    <n v="978"/>
    <n v="206"/>
    <n v="1213"/>
    <n v="119"/>
    <n v="15"/>
    <n v="2952"/>
    <n v="3"/>
    <n v="98"/>
    <n v="755"/>
    <n v="257"/>
    <n v="220"/>
    <n v="10"/>
    <m/>
    <n v="68"/>
    <n v="3130"/>
    <n v="692"/>
    <n v="2"/>
    <n v="56"/>
    <n v="20"/>
    <n v="129"/>
    <n v="10"/>
    <n v="34"/>
    <n v="1564"/>
    <n v="3260"/>
    <n v="42"/>
    <n v="498"/>
    <n v="122"/>
    <m/>
    <n v="5486"/>
    <n v="645"/>
    <n v="4277"/>
    <n v="564"/>
    <s v="2015"/>
    <n v="219"/>
    <n v="24"/>
    <n v="21"/>
    <n v="26"/>
    <n v="1"/>
    <n v="4"/>
  </r>
  <r>
    <n v="106301566"/>
    <s v="301566"/>
    <x v="179"/>
    <x v="28"/>
    <x v="3"/>
    <s v="General Acute Care Hospital"/>
    <s v="1001 NORTH TUSTIN AVENUE"/>
    <s v="SANTA ANA"/>
    <s v="92705"/>
    <s v="Beds 200-299"/>
    <s v="Level II"/>
    <n v="46"/>
    <x v="45"/>
    <x v="26"/>
    <s v="City of Orange South/Santa Ana North/Tustin Foothills/Tustin West"/>
    <s v="Urban"/>
    <x v="0"/>
    <x v="0"/>
    <x v="0"/>
    <n v="10352"/>
    <n v="9436"/>
    <m/>
    <n v="1493"/>
    <n v="1932"/>
    <n v="4379"/>
    <n v="3549"/>
    <n v="2950"/>
    <n v="2542"/>
    <n v="1368"/>
    <n v="616"/>
    <n v="600"/>
    <n v="359"/>
    <m/>
    <n v="716"/>
    <n v="745"/>
    <n v="12361"/>
    <n v="14"/>
    <n v="603"/>
    <n v="32"/>
    <n v="5317"/>
    <n v="376"/>
    <n v="519"/>
    <n v="90"/>
    <n v="1"/>
    <n v="12"/>
    <n v="5"/>
    <m/>
    <n v="232"/>
    <n v="212"/>
    <n v="3"/>
    <n v="18200"/>
    <n v="36"/>
    <n v="19"/>
    <n v="3"/>
    <n v="64"/>
    <n v="3373"/>
    <n v="2061"/>
    <n v="1006"/>
    <n v="11099"/>
    <n v="2245"/>
    <n v="4"/>
    <n v="19788"/>
    <n v="128"/>
    <n v="13689"/>
    <n v="5971"/>
    <n v="2090"/>
    <n v="2573"/>
    <m/>
    <n v="124"/>
    <n v="529"/>
    <n v="526"/>
    <n v="523"/>
    <n v="891"/>
    <n v="762"/>
    <n v="557"/>
    <n v="722"/>
    <n v="12"/>
    <n v="17"/>
    <m/>
    <n v="351"/>
    <n v="125"/>
    <n v="2170"/>
    <n v="165"/>
    <n v="9"/>
    <n v="1843"/>
    <m/>
    <n v="210"/>
    <n v="185"/>
    <n v="188"/>
    <n v="193"/>
    <n v="151"/>
    <m/>
    <n v="20"/>
    <n v="2922"/>
    <n v="619"/>
    <n v="27"/>
    <n v="83"/>
    <n v="28"/>
    <m/>
    <m/>
    <n v="5"/>
    <n v="1913"/>
    <n v="1637"/>
    <n v="176"/>
    <n v="822"/>
    <n v="115"/>
    <m/>
    <n v="4663"/>
    <n v="94"/>
    <n v="3259"/>
    <n v="1310"/>
    <s v="2015"/>
    <n v="282"/>
    <n v="20"/>
    <n v="16"/>
    <m/>
    <m/>
    <n v="32"/>
  </r>
  <r>
    <n v="106304113"/>
    <s v="304113"/>
    <x v="180"/>
    <x v="28"/>
    <x v="1"/>
    <s v="General Acute Care Hospital"/>
    <s v="27700 MEDICAL CTR. RD., 5TH FL"/>
    <s v="MISSION VIEJO"/>
    <s v="92691"/>
    <s v="Beds 50-99"/>
    <m/>
    <n v="45"/>
    <x v="48"/>
    <x v="28"/>
    <s v="Lake Forest East/Mission Viejo Central and South"/>
    <s v="Urban"/>
    <x v="0"/>
    <x v="0"/>
    <x v="0"/>
    <n v="5804"/>
    <n v="6925"/>
    <m/>
    <n v="6757"/>
    <n v="4758"/>
    <m/>
    <m/>
    <m/>
    <m/>
    <m/>
    <m/>
    <m/>
    <n v="1214"/>
    <m/>
    <n v="483"/>
    <n v="201"/>
    <n v="3346"/>
    <n v="4"/>
    <n v="979"/>
    <n v="38"/>
    <n v="7678"/>
    <n v="112"/>
    <n v="22"/>
    <n v="5"/>
    <m/>
    <m/>
    <m/>
    <m/>
    <m/>
    <n v="66"/>
    <m/>
    <n v="12513"/>
    <n v="1"/>
    <m/>
    <m/>
    <n v="10"/>
    <n v="5392"/>
    <n v="220"/>
    <n v="305"/>
    <n v="6110"/>
    <n v="702"/>
    <m/>
    <n v="12729"/>
    <n v="33"/>
    <n v="11462"/>
    <n v="1234"/>
    <n v="509"/>
    <n v="621"/>
    <m/>
    <n v="385"/>
    <m/>
    <m/>
    <m/>
    <m/>
    <m/>
    <m/>
    <m/>
    <n v="219"/>
    <n v="526"/>
    <m/>
    <n v="55"/>
    <n v="24"/>
    <n v="246"/>
    <n v="94"/>
    <n v="5"/>
    <n v="706"/>
    <m/>
    <m/>
    <m/>
    <n v="3"/>
    <n v="5"/>
    <m/>
    <m/>
    <n v="1"/>
    <n v="1087"/>
    <m/>
    <m/>
    <m/>
    <n v="10"/>
    <n v="22"/>
    <m/>
    <n v="2"/>
    <n v="423"/>
    <m/>
    <n v="24"/>
    <n v="655"/>
    <n v="28"/>
    <m/>
    <n v="1130"/>
    <n v="6"/>
    <n v="1025"/>
    <n v="99"/>
    <s v="2015"/>
    <n v="54"/>
    <n v="33"/>
    <m/>
    <m/>
    <m/>
    <m/>
  </r>
  <r>
    <n v="106304409"/>
    <s v="304409"/>
    <x v="181"/>
    <x v="28"/>
    <x v="1"/>
    <s v="General Acute Care Hospital"/>
    <s v="3440 E LA PALMA AVE"/>
    <s v="ANAHEIM"/>
    <s v="92806"/>
    <s v="Beds 200-299"/>
    <m/>
    <n v="46"/>
    <x v="43"/>
    <x v="25"/>
    <s v="Brea East/Placentia Central and North/Yorba Linda"/>
    <s v="Urban"/>
    <x v="0"/>
    <x v="0"/>
    <x v="0"/>
    <n v="50586"/>
    <n v="40838"/>
    <n v="2"/>
    <n v="9344"/>
    <n v="8971"/>
    <n v="13042"/>
    <n v="11272"/>
    <n v="10817"/>
    <n v="11408"/>
    <n v="10074"/>
    <n v="7670"/>
    <n v="6732"/>
    <n v="2096"/>
    <m/>
    <n v="11408"/>
    <n v="3931"/>
    <n v="27052"/>
    <n v="287"/>
    <n v="496"/>
    <n v="864"/>
    <n v="47388"/>
    <n v="407"/>
    <n v="495"/>
    <n v="61"/>
    <n v="511"/>
    <n v="78"/>
    <n v="49"/>
    <m/>
    <n v="16"/>
    <n v="872"/>
    <m/>
    <n v="88463"/>
    <n v="362"/>
    <m/>
    <m/>
    <n v="111"/>
    <n v="15438"/>
    <n v="19470"/>
    <n v="420"/>
    <n v="53224"/>
    <n v="2873"/>
    <n v="1"/>
    <n v="91426"/>
    <n v="2086"/>
    <n v="81581"/>
    <n v="7759"/>
    <n v="6791"/>
    <n v="6251"/>
    <n v="1"/>
    <n v="307"/>
    <n v="595"/>
    <n v="723"/>
    <n v="1135"/>
    <n v="1808"/>
    <n v="2449"/>
    <n v="2677"/>
    <n v="2927"/>
    <n v="142"/>
    <n v="280"/>
    <m/>
    <n v="1589"/>
    <n v="421"/>
    <n v="2540"/>
    <n v="27"/>
    <n v="44"/>
    <n v="8394"/>
    <n v="28"/>
    <n v="379"/>
    <n v="112"/>
    <n v="328"/>
    <n v="2326"/>
    <n v="26"/>
    <m/>
    <n v="1"/>
    <n v="8317"/>
    <n v="1139"/>
    <m/>
    <n v="377"/>
    <n v="28"/>
    <n v="1"/>
    <m/>
    <n v="8"/>
    <n v="924"/>
    <n v="6963"/>
    <n v="12"/>
    <n v="5038"/>
    <n v="106"/>
    <m/>
    <n v="13043"/>
    <n v="375"/>
    <n v="11720"/>
    <n v="948"/>
    <s v="2015"/>
    <n v="262"/>
    <n v="36"/>
    <n v="1"/>
    <m/>
    <m/>
    <n v="1"/>
  </r>
  <r>
    <n v="106304460"/>
    <s v="304460"/>
    <x v="182"/>
    <x v="28"/>
    <x v="5"/>
    <s v="General Acute Care Hospital"/>
    <s v="16250 SAND CANYON AVENUE"/>
    <s v="IRVINE"/>
    <s v="92618"/>
    <s v="Beds 50-99"/>
    <m/>
    <n v="45"/>
    <x v="46"/>
    <x v="25"/>
    <s v="Irvine Central/Tustin East"/>
    <s v="Urban"/>
    <x v="0"/>
    <x v="0"/>
    <x v="3"/>
    <m/>
    <m/>
    <m/>
    <m/>
    <m/>
    <m/>
    <m/>
    <m/>
    <m/>
    <m/>
    <m/>
    <m/>
    <m/>
    <m/>
    <m/>
    <m/>
    <m/>
    <m/>
    <m/>
    <m/>
    <m/>
    <m/>
    <m/>
    <m/>
    <m/>
    <m/>
    <m/>
    <m/>
    <m/>
    <m/>
    <m/>
    <m/>
    <m/>
    <m/>
    <m/>
    <m/>
    <m/>
    <m/>
    <m/>
    <m/>
    <m/>
    <m/>
    <m/>
    <m/>
    <m/>
    <m/>
    <n v="9"/>
    <n v="6"/>
    <m/>
    <m/>
    <m/>
    <n v="1"/>
    <m/>
    <n v="1"/>
    <n v="3"/>
    <n v="4"/>
    <n v="6"/>
    <m/>
    <m/>
    <m/>
    <n v="2"/>
    <m/>
    <n v="1"/>
    <m/>
    <m/>
    <n v="12"/>
    <m/>
    <m/>
    <m/>
    <m/>
    <n v="4"/>
    <m/>
    <m/>
    <m/>
    <n v="3"/>
    <n v="8"/>
    <m/>
    <m/>
    <m/>
    <m/>
    <m/>
    <m/>
    <n v="2"/>
    <n v="10"/>
    <m/>
    <n v="3"/>
    <m/>
    <m/>
    <n v="15"/>
    <n v="2"/>
    <n v="13"/>
    <m/>
    <s v="2015"/>
    <n v="70"/>
    <n v="0"/>
    <m/>
    <m/>
    <m/>
    <m/>
  </r>
  <r>
    <n v="106310791"/>
    <s v="310791"/>
    <x v="183"/>
    <x v="29"/>
    <x v="1"/>
    <s v="General Acute Care Hospital"/>
    <s v="11815 EDUCATION STREET"/>
    <s v="AUBURN"/>
    <s v="95602"/>
    <s v="Beds 50-99"/>
    <m/>
    <n v="1"/>
    <x v="17"/>
    <x v="7"/>
    <s v="Auburn/Newcastle/Lincoln/Sheridan"/>
    <s v="Urban"/>
    <x v="0"/>
    <x v="0"/>
    <x v="0"/>
    <n v="12894"/>
    <n v="11114"/>
    <m/>
    <n v="1916"/>
    <n v="2136"/>
    <n v="3470"/>
    <n v="3164"/>
    <n v="2761"/>
    <n v="3363"/>
    <n v="2749"/>
    <n v="1953"/>
    <n v="2209"/>
    <n v="287"/>
    <m/>
    <n v="255"/>
    <n v="312"/>
    <n v="1901"/>
    <n v="111"/>
    <n v="194"/>
    <n v="451"/>
    <n v="20784"/>
    <n v="425"/>
    <n v="138"/>
    <n v="42"/>
    <n v="130"/>
    <n v="28"/>
    <n v="16"/>
    <m/>
    <n v="132"/>
    <n v="325"/>
    <n v="15"/>
    <n v="21996"/>
    <n v="266"/>
    <m/>
    <n v="56"/>
    <n v="142"/>
    <n v="9375"/>
    <n v="6506"/>
    <n v="816"/>
    <n v="5349"/>
    <n v="1876"/>
    <n v="86"/>
    <n v="24008"/>
    <n v="156"/>
    <n v="23332"/>
    <n v="520"/>
    <n v="1460"/>
    <n v="1299"/>
    <m/>
    <n v="31"/>
    <n v="91"/>
    <n v="112"/>
    <n v="171"/>
    <n v="413"/>
    <n v="558"/>
    <n v="598"/>
    <n v="773"/>
    <n v="2"/>
    <n v="10"/>
    <m/>
    <n v="31"/>
    <n v="18"/>
    <n v="108"/>
    <n v="18"/>
    <n v="52"/>
    <n v="2523"/>
    <n v="9"/>
    <n v="105"/>
    <n v="33"/>
    <n v="94"/>
    <n v="239"/>
    <n v="9"/>
    <m/>
    <n v="10"/>
    <n v="1387"/>
    <n v="752"/>
    <m/>
    <n v="76"/>
    <n v="10"/>
    <n v="1"/>
    <m/>
    <n v="43"/>
    <n v="486"/>
    <n v="1842"/>
    <n v="63"/>
    <n v="335"/>
    <n v="33"/>
    <m/>
    <n v="2759"/>
    <n v="26"/>
    <n v="2712"/>
    <n v="21"/>
    <s v="2015"/>
    <n v="72"/>
    <n v="14"/>
    <n v="155"/>
    <n v="142"/>
    <m/>
    <m/>
  </r>
  <r>
    <n v="106311000"/>
    <s v="311000"/>
    <x v="184"/>
    <x v="29"/>
    <x v="1"/>
    <s v="General Acute Care Hospital"/>
    <s v="ONE MEDICAL PLAZA"/>
    <s v="ROSEVILLE"/>
    <s v="95661"/>
    <s v="Beds 300-499"/>
    <s v="Level II"/>
    <n v="4"/>
    <x v="50"/>
    <x v="4"/>
    <s v="Rocklin/Granite Bay"/>
    <s v="Urban"/>
    <x v="0"/>
    <x v="0"/>
    <x v="0"/>
    <n v="34759"/>
    <n v="25804"/>
    <n v="3"/>
    <n v="6708"/>
    <n v="6539"/>
    <n v="9800"/>
    <n v="8835"/>
    <n v="7102"/>
    <n v="6921"/>
    <n v="4917"/>
    <n v="3805"/>
    <n v="4597"/>
    <n v="1342"/>
    <m/>
    <n v="2069"/>
    <n v="2335"/>
    <n v="8704"/>
    <n v="190"/>
    <n v="1809"/>
    <n v="1474"/>
    <n v="43985"/>
    <n v="484"/>
    <n v="342"/>
    <n v="90"/>
    <n v="378"/>
    <n v="112"/>
    <n v="6"/>
    <m/>
    <n v="164"/>
    <n v="920"/>
    <n v="9"/>
    <n v="57008"/>
    <n v="394"/>
    <n v="12"/>
    <n v="48"/>
    <n v="287"/>
    <n v="23957"/>
    <n v="12516"/>
    <n v="2559"/>
    <n v="17422"/>
    <n v="4025"/>
    <n v="87"/>
    <n v="60566"/>
    <n v="1403"/>
    <n v="57082"/>
    <n v="2081"/>
    <n v="5895"/>
    <n v="5486"/>
    <m/>
    <n v="265"/>
    <n v="623"/>
    <n v="866"/>
    <n v="1007"/>
    <n v="1572"/>
    <n v="1865"/>
    <n v="2134"/>
    <n v="2924"/>
    <n v="37"/>
    <n v="88"/>
    <m/>
    <n v="415"/>
    <n v="304"/>
    <n v="906"/>
    <n v="220"/>
    <n v="150"/>
    <n v="9301"/>
    <n v="85"/>
    <n v="304"/>
    <n v="141"/>
    <n v="378"/>
    <n v="1964"/>
    <n v="278"/>
    <m/>
    <n v="34"/>
    <n v="6189"/>
    <n v="1617"/>
    <m/>
    <n v="367"/>
    <n v="85"/>
    <m/>
    <n v="13"/>
    <n v="10"/>
    <n v="2036"/>
    <n v="6546"/>
    <n v="281"/>
    <n v="2364"/>
    <n v="154"/>
    <m/>
    <n v="11381"/>
    <n v="314"/>
    <n v="10864"/>
    <n v="203"/>
    <s v="2015"/>
    <n v="328"/>
    <n v="34"/>
    <n v="167"/>
    <n v="145"/>
    <n v="1"/>
    <m/>
  </r>
  <r>
    <n v="106314024"/>
    <s v="314024"/>
    <x v="185"/>
    <x v="29"/>
    <x v="1"/>
    <s v="General Acute Care Hospital"/>
    <s v="1600 EUREKA ROAD"/>
    <s v="ROSEVILLE"/>
    <s v="95661"/>
    <s v="Beds 300-499"/>
    <m/>
    <n v="4"/>
    <x v="50"/>
    <x v="4"/>
    <s v="Rocklin/Granite Bay"/>
    <s v="Urban"/>
    <x v="0"/>
    <x v="0"/>
    <x v="0"/>
    <n v="51934"/>
    <n v="40364"/>
    <n v="1"/>
    <n v="9851"/>
    <n v="9784"/>
    <n v="12188"/>
    <n v="10765"/>
    <n v="9851"/>
    <n v="10525"/>
    <n v="9576"/>
    <n v="8473"/>
    <n v="9489"/>
    <n v="1797"/>
    <m/>
    <n v="4646"/>
    <n v="4828"/>
    <n v="11392"/>
    <n v="543"/>
    <n v="968"/>
    <n v="1781"/>
    <n v="68141"/>
    <n v="174"/>
    <n v="1192"/>
    <n v="147"/>
    <n v="502"/>
    <n v="148"/>
    <n v="27"/>
    <m/>
    <n v="5"/>
    <n v="843"/>
    <n v="18"/>
    <n v="88430"/>
    <n v="645"/>
    <n v="1"/>
    <n v="12"/>
    <n v="155"/>
    <n v="16935"/>
    <n v="23704"/>
    <n v="1173"/>
    <n v="44966"/>
    <n v="5521"/>
    <m/>
    <n v="92299"/>
    <n v="1510"/>
    <n v="88963"/>
    <n v="1826"/>
    <n v="4489"/>
    <n v="4137"/>
    <m/>
    <n v="216"/>
    <n v="289"/>
    <n v="371"/>
    <n v="500"/>
    <n v="1032"/>
    <n v="1601"/>
    <n v="1852"/>
    <n v="2280"/>
    <n v="141"/>
    <n v="344"/>
    <m/>
    <n v="408"/>
    <n v="305"/>
    <n v="724"/>
    <n v="49"/>
    <n v="12"/>
    <n v="7072"/>
    <n v="56"/>
    <n v="317"/>
    <n v="46"/>
    <n v="357"/>
    <n v="993"/>
    <n v="31"/>
    <m/>
    <n v="149"/>
    <n v="5469"/>
    <n v="989"/>
    <m/>
    <n v="239"/>
    <n v="13"/>
    <m/>
    <n v="6"/>
    <n v="17"/>
    <n v="658"/>
    <n v="5182"/>
    <n v="25"/>
    <n v="2627"/>
    <n v="134"/>
    <m/>
    <n v="8626"/>
    <n v="122"/>
    <n v="8373"/>
    <n v="131"/>
    <s v="2015"/>
    <n v="340"/>
    <n v="73"/>
    <m/>
    <m/>
    <m/>
    <m/>
  </r>
  <r>
    <n v="106320859"/>
    <s v="320859"/>
    <x v="186"/>
    <x v="30"/>
    <x v="2"/>
    <s v="General Acute Care Hospital"/>
    <s v="500 1ST STREET"/>
    <s v="PORTOLA"/>
    <s v="96122"/>
    <s v="Beds 50-99"/>
    <m/>
    <n v="1"/>
    <x v="17"/>
    <x v="7"/>
    <s v="Beckwourth/Chilcoot/Crocker Mountain/Delleker/Iron Horse/Lake Davis/Maybe/Portola/Valley View/Vinton"/>
    <s v="Frontier"/>
    <x v="1"/>
    <x v="0"/>
    <x v="0"/>
    <n v="1907"/>
    <n v="1613"/>
    <m/>
    <n v="339"/>
    <n v="303"/>
    <n v="418"/>
    <n v="391"/>
    <n v="322"/>
    <n v="498"/>
    <n v="568"/>
    <n v="377"/>
    <n v="259"/>
    <n v="45"/>
    <m/>
    <n v="13"/>
    <n v="17"/>
    <n v="274"/>
    <n v="28"/>
    <n v="26"/>
    <n v="61"/>
    <n v="3101"/>
    <n v="257"/>
    <n v="64"/>
    <n v="4"/>
    <m/>
    <m/>
    <m/>
    <m/>
    <n v="6"/>
    <n v="2"/>
    <n v="1"/>
    <n v="3139"/>
    <n v="5"/>
    <m/>
    <n v="42"/>
    <m/>
    <n v="585"/>
    <n v="1133"/>
    <n v="87"/>
    <n v="1635"/>
    <n v="80"/>
    <m/>
    <n v="3520"/>
    <n v="2"/>
    <n v="3449"/>
    <n v="69"/>
    <n v="76"/>
    <n v="58"/>
    <m/>
    <m/>
    <n v="2"/>
    <n v="7"/>
    <n v="9"/>
    <n v="18"/>
    <n v="28"/>
    <n v="30"/>
    <n v="40"/>
    <m/>
    <m/>
    <m/>
    <m/>
    <n v="2"/>
    <n v="7"/>
    <m/>
    <m/>
    <n v="125"/>
    <m/>
    <n v="3"/>
    <n v="1"/>
    <n v="5"/>
    <m/>
    <m/>
    <m/>
    <n v="5"/>
    <n v="93"/>
    <n v="6"/>
    <m/>
    <m/>
    <m/>
    <n v="20"/>
    <m/>
    <n v="1"/>
    <n v="32"/>
    <n v="89"/>
    <n v="1"/>
    <n v="11"/>
    <n v="1"/>
    <m/>
    <n v="134"/>
    <m/>
    <n v="133"/>
    <n v="1"/>
    <s v="2015"/>
    <n v="75"/>
    <n v="1"/>
    <m/>
    <m/>
    <m/>
    <m/>
  </r>
  <r>
    <n v="106320986"/>
    <s v="320986"/>
    <x v="187"/>
    <x v="30"/>
    <x v="2"/>
    <s v="General Acute Care Hospital"/>
    <s v="1065 BUCKS LAKE ROAD"/>
    <s v="QUINCY"/>
    <s v="95971"/>
    <s v="Beds 1-49"/>
    <m/>
    <n v="1"/>
    <x v="17"/>
    <x v="7"/>
    <s v="Bucks Lake/Cromberg/East Quincy/Greenhorn/Keddie/Laporte/Little Grass Valley/Meadow Valley/Quincy/Sloat/Spring Garden"/>
    <s v="Frontier"/>
    <x v="1"/>
    <x v="0"/>
    <x v="1"/>
    <n v="2060"/>
    <n v="1750"/>
    <m/>
    <n v="339"/>
    <n v="468"/>
    <n v="576"/>
    <n v="395"/>
    <n v="414"/>
    <n v="543"/>
    <n v="483"/>
    <n v="301"/>
    <n v="228"/>
    <n v="63"/>
    <m/>
    <n v="12"/>
    <n v="107"/>
    <n v="157"/>
    <n v="69"/>
    <n v="74"/>
    <n v="18"/>
    <n v="3373"/>
    <n v="167"/>
    <n v="55"/>
    <n v="8"/>
    <m/>
    <m/>
    <m/>
    <m/>
    <n v="25"/>
    <n v="10"/>
    <n v="2"/>
    <n v="3537"/>
    <n v="1"/>
    <m/>
    <n v="1"/>
    <n v="4"/>
    <n v="2019"/>
    <n v="377"/>
    <n v="186"/>
    <n v="1129"/>
    <n v="99"/>
    <m/>
    <n v="3810"/>
    <n v="1"/>
    <n v="3800"/>
    <n v="9"/>
    <n v="208"/>
    <n v="184"/>
    <m/>
    <n v="13"/>
    <n v="13"/>
    <n v="32"/>
    <n v="20"/>
    <n v="62"/>
    <n v="74"/>
    <n v="80"/>
    <n v="85"/>
    <n v="3"/>
    <n v="10"/>
    <m/>
    <n v="1"/>
    <n v="17"/>
    <n v="11"/>
    <n v="4"/>
    <n v="5"/>
    <n v="343"/>
    <n v="11"/>
    <n v="20"/>
    <n v="2"/>
    <n v="4"/>
    <m/>
    <n v="1"/>
    <m/>
    <n v="2"/>
    <n v="338"/>
    <n v="23"/>
    <m/>
    <m/>
    <n v="1"/>
    <m/>
    <n v="1"/>
    <m/>
    <n v="85"/>
    <n v="241"/>
    <n v="6"/>
    <n v="56"/>
    <n v="4"/>
    <m/>
    <n v="392"/>
    <n v="1"/>
    <n v="389"/>
    <n v="2"/>
    <s v="2015"/>
    <n v="25"/>
    <n v="4"/>
    <m/>
    <m/>
    <m/>
    <m/>
  </r>
  <r>
    <n v="106321016"/>
    <s v="321016"/>
    <x v="188"/>
    <x v="30"/>
    <x v="2"/>
    <s v="General Acute Care Hospital"/>
    <s v="130 BRENTWOOD DRIVE"/>
    <s v="CHESTER"/>
    <s v="96020"/>
    <s v="Beds 1-49"/>
    <s v="Level IV"/>
    <n v="1"/>
    <x v="17"/>
    <x v="7"/>
    <s v="Bailey Creek/Canyondam/Chester/Eastshore/Foxwood/Hamilton Branch/Lake Almanor Peninsula/Lake Almanor Peninsula/Lake Almanor West/Prattville/Warner Valley"/>
    <s v="Frontier"/>
    <x v="1"/>
    <x v="0"/>
    <x v="1"/>
    <n v="1610"/>
    <n v="1316"/>
    <m/>
    <n v="241"/>
    <n v="240"/>
    <n v="329"/>
    <n v="300"/>
    <n v="294"/>
    <n v="416"/>
    <n v="412"/>
    <n v="375"/>
    <n v="268"/>
    <n v="51"/>
    <m/>
    <n v="23"/>
    <n v="9"/>
    <n v="133"/>
    <n v="44"/>
    <n v="35"/>
    <n v="56"/>
    <n v="2626"/>
    <n v="90"/>
    <n v="23"/>
    <n v="4"/>
    <n v="12"/>
    <n v="2"/>
    <n v="1"/>
    <m/>
    <n v="7"/>
    <n v="4"/>
    <n v="31"/>
    <n v="2605"/>
    <n v="1"/>
    <m/>
    <n v="135"/>
    <m/>
    <n v="727"/>
    <n v="990"/>
    <n v="118"/>
    <n v="953"/>
    <n v="138"/>
    <m/>
    <n v="2926"/>
    <n v="3"/>
    <n v="2901"/>
    <n v="22"/>
    <n v="88"/>
    <n v="58"/>
    <m/>
    <n v="2"/>
    <n v="3"/>
    <n v="4"/>
    <n v="7"/>
    <n v="17"/>
    <n v="29"/>
    <n v="37"/>
    <n v="47"/>
    <m/>
    <m/>
    <m/>
    <m/>
    <m/>
    <n v="3"/>
    <m/>
    <m/>
    <n v="140"/>
    <n v="3"/>
    <n v="4"/>
    <m/>
    <n v="8"/>
    <n v="4"/>
    <n v="3"/>
    <m/>
    <n v="4"/>
    <n v="107"/>
    <n v="8"/>
    <m/>
    <n v="2"/>
    <m/>
    <m/>
    <n v="2"/>
    <n v="4"/>
    <n v="18"/>
    <n v="108"/>
    <n v="1"/>
    <n v="18"/>
    <n v="1"/>
    <m/>
    <n v="146"/>
    <m/>
    <n v="146"/>
    <m/>
    <s v="2015"/>
    <n v="26"/>
    <n v="2"/>
    <m/>
    <n v="11"/>
    <m/>
    <m/>
  </r>
  <r>
    <n v="106331152"/>
    <s v="331152"/>
    <x v="189"/>
    <x v="31"/>
    <x v="3"/>
    <s v="General Acute Care Hospital"/>
    <s v="800 SOUTH MAIN STREET"/>
    <s v="CORONA"/>
    <s v="92882"/>
    <s v="Beds 150-199"/>
    <m/>
    <n v="42"/>
    <x v="51"/>
    <x v="29"/>
    <s v="Arlington/Corona East/Home Gardens/La Sierra/Riverside Southwest"/>
    <s v="Urban"/>
    <x v="0"/>
    <x v="0"/>
    <x v="0"/>
    <n v="22351"/>
    <n v="18033"/>
    <m/>
    <n v="5582"/>
    <n v="4787"/>
    <n v="6803"/>
    <n v="5815"/>
    <n v="5079"/>
    <n v="4675"/>
    <n v="2865"/>
    <n v="1981"/>
    <n v="1798"/>
    <n v="997"/>
    <n v="2"/>
    <n v="1018"/>
    <n v="2680"/>
    <n v="19689"/>
    <n v="71"/>
    <n v="1759"/>
    <n v="232"/>
    <n v="14935"/>
    <n v="469"/>
    <n v="536"/>
    <n v="80"/>
    <n v="104"/>
    <n v="24"/>
    <n v="11"/>
    <m/>
    <n v="93"/>
    <n v="471"/>
    <m/>
    <n v="38209"/>
    <n v="245"/>
    <n v="42"/>
    <m/>
    <n v="100"/>
    <n v="20054"/>
    <n v="3858"/>
    <n v="714"/>
    <n v="10434"/>
    <n v="5324"/>
    <m/>
    <n v="40384"/>
    <n v="611"/>
    <n v="35719"/>
    <n v="4054"/>
    <n v="3121"/>
    <n v="2718"/>
    <m/>
    <n v="138"/>
    <n v="404"/>
    <n v="452"/>
    <n v="702"/>
    <n v="996"/>
    <n v="925"/>
    <n v="978"/>
    <n v="1108"/>
    <n v="40"/>
    <n v="96"/>
    <m/>
    <n v="230"/>
    <n v="394"/>
    <n v="2208"/>
    <n v="224"/>
    <n v="17"/>
    <n v="2759"/>
    <n v="7"/>
    <n v="270"/>
    <n v="145"/>
    <n v="175"/>
    <n v="552"/>
    <n v="2"/>
    <m/>
    <n v="1"/>
    <n v="3470"/>
    <n v="1059"/>
    <n v="14"/>
    <n v="116"/>
    <n v="27"/>
    <n v="1"/>
    <m/>
    <n v="7"/>
    <n v="1820"/>
    <n v="2813"/>
    <n v="58"/>
    <n v="932"/>
    <n v="216"/>
    <m/>
    <n v="5839"/>
    <n v="167"/>
    <n v="4946"/>
    <n v="726"/>
    <s v="2015"/>
    <n v="160"/>
    <n v="19"/>
    <m/>
    <m/>
    <m/>
    <m/>
  </r>
  <r>
    <n v="106331164"/>
    <s v="331164"/>
    <x v="190"/>
    <x v="31"/>
    <x v="3"/>
    <s v="General Acute Care Hospital"/>
    <s v="1150 NORTH INDIAN CANYON DRIVE"/>
    <s v="PALM SPRINGS"/>
    <s v="92262"/>
    <s v="Beds 300-499"/>
    <s v="Level II"/>
    <n v="36"/>
    <x v="52"/>
    <x v="30"/>
    <s v="Cathedral City Southeast/Palm Desert North/Palm Springs South/Rancho Mirage North"/>
    <s v="Urban"/>
    <x v="0"/>
    <x v="0"/>
    <x v="2"/>
    <n v="31124"/>
    <n v="29623"/>
    <n v="8"/>
    <n v="7693"/>
    <n v="5744"/>
    <n v="9839"/>
    <n v="8208"/>
    <n v="7300"/>
    <n v="8249"/>
    <n v="5462"/>
    <n v="3466"/>
    <n v="2616"/>
    <n v="2178"/>
    <m/>
    <n v="881"/>
    <n v="4656"/>
    <n v="24896"/>
    <n v="129"/>
    <n v="1390"/>
    <n v="671"/>
    <n v="28132"/>
    <n v="259"/>
    <n v="1046"/>
    <n v="113"/>
    <n v="54"/>
    <n v="24"/>
    <n v="1"/>
    <m/>
    <m/>
    <n v="1046"/>
    <m/>
    <n v="57689"/>
    <n v="523"/>
    <m/>
    <m/>
    <m/>
    <n v="21199"/>
    <n v="10310"/>
    <n v="1789"/>
    <n v="23991"/>
    <n v="3466"/>
    <m/>
    <n v="60755"/>
    <n v="223"/>
    <n v="55405"/>
    <n v="5127"/>
    <n v="5011"/>
    <n v="6506"/>
    <m/>
    <n v="229"/>
    <n v="677"/>
    <n v="748"/>
    <n v="1078"/>
    <n v="2022"/>
    <n v="2393"/>
    <n v="2038"/>
    <n v="2016"/>
    <n v="150"/>
    <n v="166"/>
    <m/>
    <n v="230"/>
    <n v="666"/>
    <n v="2922"/>
    <n v="260"/>
    <n v="86"/>
    <n v="7322"/>
    <n v="31"/>
    <n v="230"/>
    <n v="426"/>
    <n v="406"/>
    <n v="923"/>
    <n v="173"/>
    <m/>
    <n v="60"/>
    <n v="6765"/>
    <n v="2093"/>
    <n v="31"/>
    <n v="326"/>
    <n v="49"/>
    <n v="1"/>
    <m/>
    <n v="34"/>
    <n v="3259"/>
    <n v="5464"/>
    <n v="695"/>
    <n v="1971"/>
    <n v="128"/>
    <m/>
    <n v="11517"/>
    <n v="43"/>
    <n v="10792"/>
    <n v="682"/>
    <s v="2015"/>
    <n v="385"/>
    <n v="28"/>
    <m/>
    <m/>
    <m/>
    <m/>
  </r>
  <r>
    <n v="106331168"/>
    <s v="331168"/>
    <x v="191"/>
    <x v="31"/>
    <x v="1"/>
    <s v="General Acute Care Hospital"/>
    <s v="39000 BOB HOPE DRIVE"/>
    <s v="RANCHO MIRAGE"/>
    <s v="92270"/>
    <s v="Beds 300-499"/>
    <m/>
    <n v="36"/>
    <x v="52"/>
    <x v="30"/>
    <s v="Bermuda Dunes South/Indian Wells/La Quinta West/Palm Desert/Rancho Mirage Central and South"/>
    <s v="Urban"/>
    <x v="0"/>
    <x v="0"/>
    <x v="0"/>
    <n v="33877"/>
    <n v="27573"/>
    <n v="2"/>
    <n v="7143"/>
    <n v="5461"/>
    <n v="7832"/>
    <n v="6674"/>
    <n v="5820"/>
    <n v="7057"/>
    <n v="6423"/>
    <n v="6713"/>
    <n v="6967"/>
    <n v="1362"/>
    <m/>
    <n v="647"/>
    <n v="1579"/>
    <n v="24248"/>
    <n v="74"/>
    <n v="2457"/>
    <n v="1308"/>
    <n v="31139"/>
    <n v="362"/>
    <n v="811"/>
    <n v="79"/>
    <n v="5"/>
    <n v="14"/>
    <n v="7"/>
    <m/>
    <m/>
    <n v="523"/>
    <n v="119"/>
    <n v="59198"/>
    <n v="243"/>
    <n v="91"/>
    <m/>
    <m/>
    <n v="24997"/>
    <n v="15604"/>
    <n v="1344"/>
    <n v="15338"/>
    <n v="4168"/>
    <n v="1"/>
    <n v="61452"/>
    <n v="62"/>
    <n v="54791"/>
    <n v="6599"/>
    <n v="6720"/>
    <n v="7582"/>
    <m/>
    <n v="166"/>
    <n v="531"/>
    <n v="650"/>
    <n v="979"/>
    <n v="1816"/>
    <n v="2417"/>
    <n v="3197"/>
    <n v="4421"/>
    <n v="40"/>
    <n v="85"/>
    <m/>
    <n v="163"/>
    <n v="347"/>
    <n v="3082"/>
    <n v="259"/>
    <n v="112"/>
    <n v="10319"/>
    <n v="20"/>
    <n v="231"/>
    <n v="246"/>
    <n v="401"/>
    <n v="1667"/>
    <n v="249"/>
    <m/>
    <n v="10"/>
    <n v="8254"/>
    <n v="2586"/>
    <m/>
    <n v="599"/>
    <n v="32"/>
    <n v="1"/>
    <m/>
    <n v="23"/>
    <n v="2714"/>
    <n v="7994"/>
    <n v="128"/>
    <n v="3373"/>
    <n v="93"/>
    <m/>
    <n v="14302"/>
    <n v="16"/>
    <n v="13143"/>
    <n v="1143"/>
    <s v="2015"/>
    <n v="476"/>
    <n v="43"/>
    <m/>
    <m/>
    <m/>
    <n v="3"/>
  </r>
  <r>
    <n v="106331194"/>
    <s v="331194"/>
    <x v="192"/>
    <x v="31"/>
    <x v="5"/>
    <s v="General Acute Care Hospital"/>
    <s v="1117 EAST DEVONSHIRE"/>
    <s v="HEMET"/>
    <s v="92543"/>
    <s v="Beds 300-499"/>
    <m/>
    <n v="36"/>
    <x v="52"/>
    <x v="31"/>
    <s v="East Hemet/Hemet/Valle Vista"/>
    <s v="Urban"/>
    <x v="0"/>
    <x v="0"/>
    <x v="0"/>
    <n v="23351"/>
    <n v="18432"/>
    <n v="7"/>
    <n v="4871"/>
    <n v="3974"/>
    <n v="7027"/>
    <n v="5486"/>
    <n v="4773"/>
    <n v="5615"/>
    <n v="3674"/>
    <n v="2457"/>
    <n v="2838"/>
    <n v="1075"/>
    <m/>
    <n v="436"/>
    <n v="6005"/>
    <n v="14378"/>
    <n v="95"/>
    <n v="2"/>
    <n v="21"/>
    <n v="20853"/>
    <n v="901"/>
    <n v="1010"/>
    <n v="130"/>
    <m/>
    <n v="3"/>
    <n v="2"/>
    <m/>
    <n v="154"/>
    <n v="319"/>
    <n v="21"/>
    <n v="38968"/>
    <n v="196"/>
    <n v="20"/>
    <m/>
    <n v="52"/>
    <n v="25325"/>
    <n v="5471"/>
    <n v="47"/>
    <n v="8309"/>
    <n v="2638"/>
    <m/>
    <n v="41790"/>
    <n v="8"/>
    <n v="39789"/>
    <n v="1993"/>
    <n v="4273"/>
    <n v="3445"/>
    <n v="1"/>
    <n v="58"/>
    <n v="350"/>
    <n v="461"/>
    <n v="669"/>
    <n v="1351"/>
    <n v="1548"/>
    <n v="1378"/>
    <n v="1904"/>
    <m/>
    <m/>
    <m/>
    <n v="105"/>
    <n v="663"/>
    <n v="1693"/>
    <m/>
    <n v="4"/>
    <n v="5223"/>
    <n v="31"/>
    <n v="449"/>
    <n v="367"/>
    <n v="274"/>
    <n v="422"/>
    <n v="17"/>
    <m/>
    <n v="52"/>
    <n v="4104"/>
    <n v="1805"/>
    <n v="3"/>
    <n v="212"/>
    <n v="7"/>
    <m/>
    <m/>
    <n v="1"/>
    <n v="2391"/>
    <n v="4718"/>
    <m/>
    <n v="561"/>
    <n v="49"/>
    <m/>
    <n v="7719"/>
    <n v="12"/>
    <n v="7707"/>
    <m/>
    <s v="2015"/>
    <n v="417"/>
    <n v="29"/>
    <n v="14"/>
    <m/>
    <m/>
    <n v="6"/>
  </r>
  <r>
    <n v="106331216"/>
    <s v="331216"/>
    <x v="193"/>
    <x v="31"/>
    <x v="3"/>
    <s v="General Acute Care Hospital"/>
    <s v="47111 MONROE STREET"/>
    <s v="INDIO"/>
    <s v="92201"/>
    <s v="Beds 150-199"/>
    <m/>
    <n v="36"/>
    <x v="12"/>
    <x v="30"/>
    <s v="Arabia/Coachella/Desert Beach/Flowing Wells/Indio South/La Quinta East/Mecca/Oasis/Thermal"/>
    <s v="Urban"/>
    <x v="0"/>
    <x v="0"/>
    <x v="0"/>
    <n v="19231"/>
    <n v="17687"/>
    <m/>
    <n v="6355"/>
    <n v="4513"/>
    <n v="6133"/>
    <n v="4889"/>
    <n v="4165"/>
    <n v="3850"/>
    <n v="2512"/>
    <n v="1622"/>
    <n v="1231"/>
    <n v="1648"/>
    <m/>
    <n v="224"/>
    <n v="1170"/>
    <n v="27299"/>
    <n v="7"/>
    <n v="50"/>
    <n v="55"/>
    <n v="8113"/>
    <n v="527"/>
    <n v="1911"/>
    <n v="60"/>
    <n v="1"/>
    <n v="15"/>
    <m/>
    <m/>
    <m/>
    <n v="765"/>
    <m/>
    <n v="33397"/>
    <n v="239"/>
    <m/>
    <n v="3"/>
    <m/>
    <n v="13888"/>
    <n v="4870"/>
    <n v="708"/>
    <n v="13886"/>
    <n v="3566"/>
    <m/>
    <n v="36918"/>
    <n v="101"/>
    <n v="28551"/>
    <n v="8266"/>
    <n v="1962"/>
    <n v="1907"/>
    <m/>
    <n v="153"/>
    <n v="370"/>
    <n v="324"/>
    <n v="369"/>
    <n v="591"/>
    <n v="627"/>
    <n v="618"/>
    <n v="601"/>
    <n v="89"/>
    <n v="127"/>
    <m/>
    <n v="19"/>
    <n v="101"/>
    <n v="2444"/>
    <n v="6"/>
    <n v="6"/>
    <n v="1289"/>
    <n v="4"/>
    <n v="211"/>
    <n v="111"/>
    <n v="111"/>
    <n v="266"/>
    <n v="4"/>
    <m/>
    <m/>
    <n v="2405"/>
    <n v="637"/>
    <n v="15"/>
    <n v="84"/>
    <n v="25"/>
    <m/>
    <m/>
    <m/>
    <n v="1516"/>
    <n v="1210"/>
    <n v="162"/>
    <n v="904"/>
    <n v="77"/>
    <m/>
    <n v="3869"/>
    <n v="10"/>
    <n v="2875"/>
    <n v="984"/>
    <s v="2015"/>
    <n v="156"/>
    <n v="12"/>
    <m/>
    <m/>
    <m/>
    <m/>
  </r>
  <r>
    <n v="106331288"/>
    <s v="331288"/>
    <x v="194"/>
    <x v="31"/>
    <x v="2"/>
    <s v="General Acute Care Hospital"/>
    <s v="250 NORTH FIRST STREET"/>
    <s v="BLYTHE"/>
    <s v="92225"/>
    <s v="Beds 50-99"/>
    <m/>
    <n v="36"/>
    <x v="12"/>
    <x v="30"/>
    <s v="Blythe"/>
    <s v="Rural"/>
    <x v="1"/>
    <x v="0"/>
    <x v="1"/>
    <n v="4757"/>
    <n v="5076"/>
    <m/>
    <n v="1004"/>
    <n v="1020"/>
    <n v="1614"/>
    <n v="1277"/>
    <n v="1282"/>
    <n v="1443"/>
    <n v="968"/>
    <n v="622"/>
    <n v="370"/>
    <n v="233"/>
    <m/>
    <n v="47"/>
    <n v="1207"/>
    <n v="4060"/>
    <n v="30"/>
    <n v="208"/>
    <n v="7"/>
    <n v="4274"/>
    <n v="329"/>
    <n v="565"/>
    <n v="13"/>
    <m/>
    <m/>
    <m/>
    <m/>
    <n v="423"/>
    <n v="166"/>
    <n v="38"/>
    <n v="8183"/>
    <n v="31"/>
    <n v="21"/>
    <m/>
    <n v="64"/>
    <n v="4222"/>
    <n v="2142"/>
    <n v="638"/>
    <n v="2054"/>
    <n v="777"/>
    <m/>
    <n v="9833"/>
    <n v="16"/>
    <n v="9578"/>
    <n v="239"/>
    <n v="257"/>
    <n v="290"/>
    <m/>
    <n v="12"/>
    <n v="53"/>
    <n v="46"/>
    <n v="52"/>
    <n v="92"/>
    <n v="88"/>
    <n v="96"/>
    <n v="105"/>
    <m/>
    <n v="3"/>
    <m/>
    <n v="1"/>
    <n v="58"/>
    <n v="193"/>
    <n v="4"/>
    <m/>
    <n v="290"/>
    <n v="1"/>
    <n v="35"/>
    <n v="27"/>
    <n v="18"/>
    <n v="1"/>
    <n v="1"/>
    <m/>
    <n v="3"/>
    <n v="340"/>
    <n v="72"/>
    <n v="45"/>
    <n v="4"/>
    <m/>
    <m/>
    <m/>
    <n v="1"/>
    <n v="120"/>
    <n v="250"/>
    <n v="59"/>
    <n v="101"/>
    <n v="17"/>
    <m/>
    <n v="547"/>
    <m/>
    <n v="528"/>
    <n v="19"/>
    <s v="2015"/>
    <n v="51"/>
    <n v="6"/>
    <m/>
    <m/>
    <m/>
    <m/>
  </r>
  <r>
    <n v="106331293"/>
    <s v="331293"/>
    <x v="195"/>
    <x v="31"/>
    <x v="1"/>
    <s v="General Acute Care Hospital"/>
    <s v="3865 JACKSON STREET"/>
    <s v="RIVERSIDE"/>
    <s v="92503"/>
    <s v="Beds 150-199"/>
    <m/>
    <n v="41"/>
    <x v="51"/>
    <x v="29"/>
    <s v="Casablanca/Riverside Central"/>
    <s v="Urban"/>
    <x v="0"/>
    <x v="0"/>
    <x v="0"/>
    <n v="24301"/>
    <n v="19275"/>
    <n v="2"/>
    <n v="7177"/>
    <n v="5655"/>
    <n v="7545"/>
    <n v="6259"/>
    <n v="5308"/>
    <n v="5100"/>
    <n v="2663"/>
    <n v="1313"/>
    <n v="1034"/>
    <n v="1524"/>
    <m/>
    <n v="973"/>
    <n v="2903"/>
    <n v="21590"/>
    <n v="207"/>
    <n v="394"/>
    <m/>
    <n v="17511"/>
    <n v="617"/>
    <n v="3539"/>
    <n v="68"/>
    <n v="23"/>
    <n v="5"/>
    <m/>
    <m/>
    <n v="1"/>
    <n v="3"/>
    <n v="4"/>
    <n v="39252"/>
    <n v="64"/>
    <m/>
    <m/>
    <m/>
    <n v="24737"/>
    <n v="4813"/>
    <n v="782"/>
    <n v="8174"/>
    <n v="5072"/>
    <m/>
    <n v="43578"/>
    <n v="276"/>
    <n v="36224"/>
    <n v="7078"/>
    <n v="2761"/>
    <n v="2404"/>
    <m/>
    <n v="113"/>
    <n v="297"/>
    <n v="421"/>
    <n v="524"/>
    <n v="1056"/>
    <n v="989"/>
    <n v="822"/>
    <n v="819"/>
    <n v="73"/>
    <n v="51"/>
    <m/>
    <n v="162"/>
    <n v="425"/>
    <n v="1964"/>
    <n v="56"/>
    <m/>
    <n v="2545"/>
    <n v="13"/>
    <n v="304"/>
    <n v="197"/>
    <n v="191"/>
    <n v="377"/>
    <n v="3"/>
    <m/>
    <n v="7"/>
    <n v="2747"/>
    <n v="1229"/>
    <n v="2"/>
    <n v="81"/>
    <n v="25"/>
    <n v="1"/>
    <m/>
    <m/>
    <n v="1987"/>
    <n v="2326"/>
    <n v="12"/>
    <n v="714"/>
    <n v="126"/>
    <m/>
    <n v="5165"/>
    <n v="61"/>
    <n v="4305"/>
    <n v="799"/>
    <s v="2015"/>
    <n v="193"/>
    <n v="14"/>
    <n v="2"/>
    <m/>
    <m/>
    <n v="1"/>
  </r>
  <r>
    <n v="106331312"/>
    <s v="331312"/>
    <x v="196"/>
    <x v="31"/>
    <x v="4"/>
    <s v="General Acute Care Hospital"/>
    <s v="4445 MAGNOLIA AVENUE"/>
    <s v="RIVERSIDE"/>
    <s v="92501"/>
    <s v="Beds 300-499"/>
    <s v="Level II"/>
    <n v="41"/>
    <x v="53"/>
    <x v="29"/>
    <s v="Eastside/Fairmont Park/Riverside Downtown/Rubidoux/University"/>
    <s v="Urban"/>
    <x v="0"/>
    <x v="0"/>
    <x v="0"/>
    <n v="54873"/>
    <n v="40637"/>
    <n v="2"/>
    <n v="12854"/>
    <n v="10744"/>
    <n v="20155"/>
    <n v="14047"/>
    <n v="10990"/>
    <n v="10793"/>
    <n v="6152"/>
    <n v="3607"/>
    <n v="3372"/>
    <n v="2798"/>
    <m/>
    <n v="1806"/>
    <n v="10309"/>
    <n v="47626"/>
    <n v="59"/>
    <n v="10571"/>
    <n v="7"/>
    <n v="25134"/>
    <n v="337"/>
    <n v="1866"/>
    <n v="103"/>
    <n v="33"/>
    <n v="15"/>
    <n v="27"/>
    <m/>
    <n v="1085"/>
    <n v="271"/>
    <n v="2"/>
    <n v="90950"/>
    <n v="350"/>
    <n v="20"/>
    <n v="6"/>
    <n v="445"/>
    <n v="34225"/>
    <n v="12477"/>
    <n v="24025"/>
    <n v="14237"/>
    <n v="10548"/>
    <m/>
    <n v="95512"/>
    <n v="837"/>
    <n v="85239"/>
    <n v="9436"/>
    <n v="10437"/>
    <n v="7827"/>
    <m/>
    <n v="521"/>
    <n v="2477"/>
    <n v="1879"/>
    <n v="1601"/>
    <n v="2860"/>
    <n v="3104"/>
    <n v="2786"/>
    <n v="2831"/>
    <n v="138"/>
    <n v="67"/>
    <m/>
    <n v="451"/>
    <n v="1753"/>
    <n v="6955"/>
    <n v="2277"/>
    <m/>
    <n v="6820"/>
    <n v="8"/>
    <n v="322"/>
    <n v="482"/>
    <n v="574"/>
    <n v="1334"/>
    <n v="160"/>
    <m/>
    <n v="17"/>
    <n v="12036"/>
    <n v="2684"/>
    <n v="17"/>
    <n v="340"/>
    <n v="61"/>
    <n v="9"/>
    <n v="14"/>
    <n v="214"/>
    <n v="6550"/>
    <n v="7031"/>
    <n v="464"/>
    <n v="3859"/>
    <n v="360"/>
    <m/>
    <n v="18264"/>
    <n v="242"/>
    <n v="15903"/>
    <n v="2119"/>
    <s v="2015"/>
    <n v="373"/>
    <n v="50"/>
    <m/>
    <n v="2"/>
    <m/>
    <m/>
  </r>
  <r>
    <n v="106331326"/>
    <s v="331326"/>
    <x v="197"/>
    <x v="31"/>
    <x v="2"/>
    <s v="General Acute Care Hospital"/>
    <s v="600 HIGHLAND SPRINGS AVENUE"/>
    <s v="BANNING"/>
    <s v="92220"/>
    <s v="Beds 50-99"/>
    <m/>
    <n v="36"/>
    <x v="52"/>
    <x v="31"/>
    <s v="Banning/Beaumont/Cabizon/Calimesa/Cherry Valley"/>
    <s v="Urban"/>
    <x v="1"/>
    <x v="0"/>
    <x v="0"/>
    <n v="23300"/>
    <n v="17555"/>
    <n v="4"/>
    <n v="5510"/>
    <n v="4627"/>
    <n v="6488"/>
    <n v="5576"/>
    <n v="4249"/>
    <n v="4713"/>
    <n v="3288"/>
    <n v="2461"/>
    <n v="2851"/>
    <n v="1096"/>
    <m/>
    <n v="980"/>
    <n v="3927"/>
    <n v="15274"/>
    <n v="512"/>
    <n v="681"/>
    <m/>
    <n v="19485"/>
    <n v="1304"/>
    <n v="1243"/>
    <n v="60"/>
    <n v="175"/>
    <n v="24"/>
    <n v="1"/>
    <m/>
    <m/>
    <n v="244"/>
    <n v="5"/>
    <n v="37428"/>
    <n v="259"/>
    <n v="112"/>
    <m/>
    <m/>
    <n v="22136"/>
    <n v="12100"/>
    <n v="298"/>
    <n v="3502"/>
    <n v="2823"/>
    <m/>
    <n v="40859"/>
    <n v="38"/>
    <n v="40045"/>
    <n v="776"/>
    <n v="1732"/>
    <n v="1360"/>
    <m/>
    <n v="26"/>
    <n v="165"/>
    <n v="184"/>
    <n v="224"/>
    <n v="497"/>
    <n v="557"/>
    <n v="587"/>
    <n v="851"/>
    <n v="1"/>
    <m/>
    <m/>
    <n v="82"/>
    <n v="214"/>
    <n v="683"/>
    <n v="1"/>
    <m/>
    <n v="2079"/>
    <n v="33"/>
    <n v="263"/>
    <n v="145"/>
    <n v="97"/>
    <n v="629"/>
    <n v="1"/>
    <m/>
    <n v="2"/>
    <n v="1202"/>
    <n v="577"/>
    <m/>
    <n v="165"/>
    <n v="6"/>
    <n v="5"/>
    <m/>
    <m/>
    <n v="832"/>
    <n v="1289"/>
    <n v="59"/>
    <n v="891"/>
    <n v="21"/>
    <m/>
    <n v="3092"/>
    <n v="5"/>
    <n v="3022"/>
    <n v="65"/>
    <s v="2015"/>
    <n v="71"/>
    <n v="28"/>
    <n v="4"/>
    <m/>
    <m/>
    <m/>
  </r>
  <r>
    <n v="106334018"/>
    <s v="334018"/>
    <x v="198"/>
    <x v="31"/>
    <x v="5"/>
    <s v="General Acute Care Hospital"/>
    <s v="28400 MCCALL BOULEVARD"/>
    <s v="SUN CITY"/>
    <s v="92585"/>
    <s v="Beds 50-99"/>
    <m/>
    <n v="42"/>
    <x v="54"/>
    <x v="31"/>
    <s v="Canyon Lake/Perris/Quail Valley/Romoland/Sun City/Winchester"/>
    <s v="Urban"/>
    <x v="0"/>
    <x v="0"/>
    <x v="0"/>
    <n v="9018"/>
    <n v="7318"/>
    <n v="3"/>
    <n v="1657"/>
    <n v="1711"/>
    <n v="2616"/>
    <n v="2311"/>
    <n v="2010"/>
    <n v="1961"/>
    <n v="1404"/>
    <n v="1132"/>
    <n v="1274"/>
    <n v="263"/>
    <m/>
    <n v="227"/>
    <n v="1655"/>
    <n v="6566"/>
    <n v="30"/>
    <m/>
    <n v="6"/>
    <n v="7855"/>
    <n v="279"/>
    <n v="200"/>
    <n v="53"/>
    <m/>
    <n v="1"/>
    <n v="1"/>
    <m/>
    <n v="38"/>
    <n v="112"/>
    <n v="5"/>
    <n v="15509"/>
    <n v="43"/>
    <n v="41"/>
    <m/>
    <n v="56"/>
    <n v="8617"/>
    <n v="1996"/>
    <n v="23"/>
    <n v="4305"/>
    <n v="1398"/>
    <m/>
    <n v="16339"/>
    <n v="9"/>
    <n v="15027"/>
    <n v="1303"/>
    <n v="1407"/>
    <n v="1148"/>
    <m/>
    <n v="13"/>
    <n v="111"/>
    <n v="121"/>
    <n v="169"/>
    <n v="356"/>
    <n v="489"/>
    <n v="539"/>
    <n v="757"/>
    <m/>
    <m/>
    <m/>
    <n v="39"/>
    <n v="191"/>
    <n v="642"/>
    <m/>
    <n v="2"/>
    <n v="1678"/>
    <n v="3"/>
    <n v="171"/>
    <n v="99"/>
    <n v="102"/>
    <n v="78"/>
    <n v="4"/>
    <m/>
    <n v="14"/>
    <n v="1501"/>
    <n v="476"/>
    <m/>
    <n v="94"/>
    <n v="5"/>
    <m/>
    <m/>
    <n v="8"/>
    <n v="626"/>
    <n v="1666"/>
    <m/>
    <n v="241"/>
    <n v="22"/>
    <m/>
    <n v="2555"/>
    <m/>
    <n v="2339"/>
    <n v="216"/>
    <s v="2015"/>
    <n v="84"/>
    <n v="12"/>
    <n v="1"/>
    <m/>
    <m/>
    <n v="3"/>
  </r>
  <r>
    <n v="106334025"/>
    <s v="334025"/>
    <x v="199"/>
    <x v="31"/>
    <x v="1"/>
    <s v="General Acute Care Hospital"/>
    <s v="10800 MAGNOLIA AVENUE"/>
    <s v="RIVERSIDE"/>
    <s v="92505"/>
    <s v="Beds 200-299"/>
    <m/>
    <n v="41"/>
    <x v="51"/>
    <x v="29"/>
    <s v="Arlington/Corona East/Home Gardens/La Sierra/Riverside Southwest"/>
    <s v="Urban"/>
    <x v="0"/>
    <x v="0"/>
    <x v="0"/>
    <n v="22696"/>
    <n v="18504"/>
    <m/>
    <n v="4520"/>
    <n v="4145"/>
    <n v="6188"/>
    <n v="4891"/>
    <n v="4773"/>
    <n v="5132"/>
    <n v="4320"/>
    <n v="3403"/>
    <n v="2808"/>
    <n v="1020"/>
    <m/>
    <n v="1931"/>
    <n v="5154"/>
    <n v="15369"/>
    <n v="148"/>
    <n v="395"/>
    <n v="1757"/>
    <n v="16446"/>
    <n v="333"/>
    <n v="258"/>
    <n v="40"/>
    <n v="165"/>
    <n v="32"/>
    <n v="139"/>
    <m/>
    <n v="3"/>
    <n v="537"/>
    <n v="4"/>
    <n v="39367"/>
    <n v="163"/>
    <n v="1"/>
    <n v="3"/>
    <n v="144"/>
    <n v="8641"/>
    <n v="8817"/>
    <n v="222"/>
    <n v="20023"/>
    <n v="3491"/>
    <n v="6"/>
    <n v="41200"/>
    <n v="605"/>
    <n v="36853"/>
    <n v="3742"/>
    <n v="2388"/>
    <n v="2242"/>
    <m/>
    <n v="87"/>
    <n v="196"/>
    <n v="229"/>
    <n v="374"/>
    <n v="698"/>
    <n v="921"/>
    <n v="1026"/>
    <n v="1004"/>
    <n v="28"/>
    <n v="67"/>
    <m/>
    <n v="231"/>
    <n v="567"/>
    <n v="1131"/>
    <n v="8"/>
    <n v="24"/>
    <n v="2656"/>
    <n v="13"/>
    <n v="191"/>
    <n v="47"/>
    <n v="200"/>
    <n v="656"/>
    <n v="5"/>
    <n v="1"/>
    <n v="4"/>
    <n v="2842"/>
    <n v="514"/>
    <m/>
    <n v="136"/>
    <n v="15"/>
    <n v="2"/>
    <n v="2"/>
    <n v="12"/>
    <n v="316"/>
    <n v="2650"/>
    <n v="12"/>
    <n v="1559"/>
    <n v="93"/>
    <m/>
    <n v="4630"/>
    <n v="63"/>
    <n v="4230"/>
    <n v="337"/>
    <s v="2015"/>
    <n v="226"/>
    <n v="42"/>
    <n v="11"/>
    <m/>
    <n v="3"/>
    <m/>
  </r>
  <r>
    <n v="106334048"/>
    <s v="334048"/>
    <x v="200"/>
    <x v="31"/>
    <x v="1"/>
    <s v="General Acute Care Hospital"/>
    <s v="27300 IRIS AVENUE"/>
    <s v="MORENO VALLEY"/>
    <s v="92555"/>
    <s v="Beds 100-149"/>
    <m/>
    <n v="41"/>
    <x v="53"/>
    <x v="29"/>
    <s v="Banning/Beaumont/Cabizon/Calimesa/Cherry Valley"/>
    <s v="Urban"/>
    <x v="0"/>
    <x v="0"/>
    <x v="0"/>
    <n v="20601"/>
    <n v="14233"/>
    <n v="1"/>
    <n v="5267"/>
    <n v="4358"/>
    <n v="6182"/>
    <n v="4547"/>
    <n v="3816"/>
    <n v="3450"/>
    <n v="2685"/>
    <n v="2028"/>
    <n v="1442"/>
    <n v="1060"/>
    <m/>
    <n v="1065"/>
    <n v="10355"/>
    <n v="15421"/>
    <n v="82"/>
    <n v="343"/>
    <n v="229"/>
    <n v="7340"/>
    <n v="524"/>
    <n v="203"/>
    <n v="14"/>
    <n v="88"/>
    <n v="18"/>
    <n v="16"/>
    <m/>
    <n v="1"/>
    <n v="124"/>
    <m/>
    <n v="33708"/>
    <n v="47"/>
    <m/>
    <n v="2"/>
    <n v="85"/>
    <n v="14372"/>
    <n v="5540"/>
    <n v="334"/>
    <n v="11901"/>
    <n v="2685"/>
    <n v="3"/>
    <n v="34835"/>
    <n v="167"/>
    <n v="31304"/>
    <n v="3364"/>
    <n v="1228"/>
    <n v="920"/>
    <m/>
    <n v="36"/>
    <n v="146"/>
    <n v="183"/>
    <n v="190"/>
    <n v="291"/>
    <n v="433"/>
    <n v="474"/>
    <n v="377"/>
    <n v="1"/>
    <n v="17"/>
    <m/>
    <n v="91"/>
    <n v="573"/>
    <n v="637"/>
    <n v="8"/>
    <n v="5"/>
    <n v="829"/>
    <n v="5"/>
    <n v="138"/>
    <n v="33"/>
    <n v="52"/>
    <n v="314"/>
    <n v="2"/>
    <m/>
    <m/>
    <n v="1398"/>
    <n v="158"/>
    <m/>
    <n v="48"/>
    <n v="2"/>
    <m/>
    <n v="2"/>
    <n v="1"/>
    <n v="238"/>
    <n v="1171"/>
    <n v="3"/>
    <n v="706"/>
    <n v="30"/>
    <m/>
    <n v="2148"/>
    <n v="9"/>
    <n v="1911"/>
    <n v="228"/>
    <s v="2015"/>
    <n v="101"/>
    <n v="12"/>
    <n v="5"/>
    <m/>
    <m/>
    <m/>
  </r>
  <r>
    <n v="106334068"/>
    <s v="334068"/>
    <x v="201"/>
    <x v="31"/>
    <x v="3"/>
    <s v="General Acute Care Hospital"/>
    <s v="25500 MEDICAL CENTER DRIVE"/>
    <s v="MURRIETA"/>
    <s v="92562"/>
    <s v="Beds 100-149"/>
    <m/>
    <n v="42"/>
    <x v="54"/>
    <x v="30"/>
    <s v="Lake Elsinore/Murrieta West/Sedco Hills/Wildomar"/>
    <s v="Urban"/>
    <x v="0"/>
    <x v="0"/>
    <x v="0"/>
    <n v="48198"/>
    <n v="35006"/>
    <m/>
    <n v="12324"/>
    <n v="10284"/>
    <n v="14134"/>
    <n v="11808"/>
    <n v="9683"/>
    <n v="8663"/>
    <n v="5531"/>
    <n v="4031"/>
    <n v="3735"/>
    <n v="3011"/>
    <m/>
    <n v="2432"/>
    <n v="6121"/>
    <n v="23601"/>
    <n v="198"/>
    <n v="6370"/>
    <n v="210"/>
    <n v="44272"/>
    <n v="936"/>
    <n v="1160"/>
    <n v="113"/>
    <n v="313"/>
    <n v="45"/>
    <n v="24"/>
    <m/>
    <n v="389"/>
    <n v="615"/>
    <m/>
    <n v="78842"/>
    <n v="176"/>
    <n v="509"/>
    <m/>
    <n v="82"/>
    <n v="37531"/>
    <n v="8761"/>
    <n v="4641"/>
    <n v="25887"/>
    <n v="6384"/>
    <m/>
    <n v="83204"/>
    <n v="934"/>
    <n v="78124"/>
    <n v="4146"/>
    <n v="5430"/>
    <n v="4655"/>
    <m/>
    <n v="225"/>
    <n v="862"/>
    <n v="860"/>
    <n v="1067"/>
    <n v="1713"/>
    <n v="1683"/>
    <n v="1653"/>
    <n v="2018"/>
    <n v="3"/>
    <n v="1"/>
    <m/>
    <n v="332"/>
    <n v="612"/>
    <n v="1988"/>
    <n v="538"/>
    <n v="8"/>
    <n v="6592"/>
    <n v="15"/>
    <n v="566"/>
    <n v="252"/>
    <n v="255"/>
    <n v="1763"/>
    <n v="103"/>
    <m/>
    <m/>
    <n v="5584"/>
    <n v="1145"/>
    <n v="15"/>
    <n v="288"/>
    <n v="56"/>
    <n v="8"/>
    <m/>
    <n v="50"/>
    <n v="2554"/>
    <n v="4975"/>
    <n v="291"/>
    <n v="2026"/>
    <n v="239"/>
    <m/>
    <n v="10085"/>
    <n v="180"/>
    <n v="9299"/>
    <n v="606"/>
    <s v="2015"/>
    <n v="120"/>
    <n v="30"/>
    <m/>
    <m/>
    <m/>
    <m/>
  </r>
  <r>
    <n v="106334487"/>
    <s v="334487"/>
    <x v="202"/>
    <x v="31"/>
    <x v="0"/>
    <s v="General Acute Care Hospital"/>
    <s v="26520 CACTUS AVENUE"/>
    <s v="MORENO VALLEY"/>
    <s v="92555"/>
    <s v="Beds 300-499"/>
    <s v="Level II &amp; Level II - Ped"/>
    <n v="41"/>
    <x v="53"/>
    <x v="29"/>
    <s v="Banning/Beaumont/Cabizon/Calimesa/Cherry Valley"/>
    <s v="Urban"/>
    <x v="0"/>
    <x v="1"/>
    <x v="0"/>
    <n v="35794"/>
    <n v="33209"/>
    <m/>
    <n v="7363"/>
    <n v="7591"/>
    <n v="14119"/>
    <n v="11373"/>
    <n v="9840"/>
    <n v="9619"/>
    <n v="4719"/>
    <n v="1693"/>
    <n v="1003"/>
    <n v="1683"/>
    <m/>
    <n v="1260"/>
    <n v="13396"/>
    <n v="39807"/>
    <n v="77"/>
    <n v="809"/>
    <n v="351"/>
    <n v="13303"/>
    <n v="77"/>
    <n v="3220"/>
    <n v="107"/>
    <m/>
    <n v="1"/>
    <m/>
    <m/>
    <n v="1326"/>
    <n v="647"/>
    <n v="2"/>
    <n v="63425"/>
    <n v="10"/>
    <m/>
    <m/>
    <n v="188"/>
    <n v="45645"/>
    <n v="4174"/>
    <n v="3756"/>
    <n v="4472"/>
    <n v="10687"/>
    <n v="269"/>
    <n v="69003"/>
    <n v="553"/>
    <n v="56429"/>
    <n v="12021"/>
    <n v="4869"/>
    <n v="5877"/>
    <m/>
    <n v="439"/>
    <n v="1280"/>
    <n v="1228"/>
    <n v="1539"/>
    <n v="2228"/>
    <n v="1557"/>
    <n v="971"/>
    <n v="908"/>
    <n v="161"/>
    <n v="435"/>
    <m/>
    <n v="286"/>
    <n v="1865"/>
    <n v="5456"/>
    <n v="133"/>
    <n v="3"/>
    <n v="2998"/>
    <n v="5"/>
    <n v="358"/>
    <n v="268"/>
    <n v="231"/>
    <n v="830"/>
    <n v="46"/>
    <m/>
    <n v="4"/>
    <n v="6964"/>
    <n v="837"/>
    <n v="1085"/>
    <n v="1"/>
    <n v="106"/>
    <m/>
    <m/>
    <n v="16"/>
    <n v="2814"/>
    <n v="1418"/>
    <n v="1364"/>
    <n v="4789"/>
    <n v="360"/>
    <n v="1"/>
    <n v="10746"/>
    <n v="146"/>
    <n v="8723"/>
    <n v="1877"/>
    <s v="2015"/>
    <n v="439"/>
    <n v="40"/>
    <m/>
    <m/>
    <m/>
    <m/>
  </r>
  <r>
    <n v="106334564"/>
    <s v="334564"/>
    <x v="203"/>
    <x v="31"/>
    <x v="3"/>
    <s v="General Acute Care Hospital"/>
    <s v="31700 TEMECULA PKWY"/>
    <s v="TEMECULA"/>
    <s v="92592"/>
    <s v="Beds 100-149"/>
    <m/>
    <n v="50"/>
    <x v="55"/>
    <x v="30"/>
    <s v="Temecula South"/>
    <s v="Urban"/>
    <x v="0"/>
    <x v="0"/>
    <x v="0"/>
    <n v="17965"/>
    <n v="14162"/>
    <m/>
    <n v="3385"/>
    <n v="3772"/>
    <n v="5281"/>
    <n v="4563"/>
    <n v="3959"/>
    <n v="3987"/>
    <n v="2852"/>
    <n v="1982"/>
    <n v="1844"/>
    <n v="502"/>
    <m/>
    <n v="1205"/>
    <n v="1941"/>
    <n v="5802"/>
    <n v="368"/>
    <n v="1836"/>
    <n v="153"/>
    <n v="20822"/>
    <n v="363"/>
    <n v="361"/>
    <n v="53"/>
    <n v="81"/>
    <n v="17"/>
    <n v="23"/>
    <m/>
    <n v="71"/>
    <n v="261"/>
    <n v="1"/>
    <n v="30670"/>
    <n v="53"/>
    <n v="133"/>
    <m/>
    <n v="40"/>
    <n v="9824"/>
    <n v="5700"/>
    <n v="2826"/>
    <n v="11203"/>
    <n v="2574"/>
    <m/>
    <n v="32127"/>
    <n v="384"/>
    <n v="30913"/>
    <n v="830"/>
    <n v="2849"/>
    <n v="2834"/>
    <m/>
    <n v="61"/>
    <n v="291"/>
    <n v="349"/>
    <n v="542"/>
    <n v="912"/>
    <n v="1034"/>
    <n v="1056"/>
    <n v="1438"/>
    <m/>
    <m/>
    <m/>
    <n v="233"/>
    <n v="273"/>
    <n v="691"/>
    <n v="252"/>
    <n v="13"/>
    <n v="4161"/>
    <n v="60"/>
    <n v="186"/>
    <n v="137"/>
    <n v="144"/>
    <n v="962"/>
    <n v="37"/>
    <m/>
    <m/>
    <n v="3418"/>
    <n v="587"/>
    <m/>
    <n v="151"/>
    <n v="25"/>
    <n v="1"/>
    <m/>
    <n v="35"/>
    <n v="981"/>
    <n v="3239"/>
    <n v="171"/>
    <n v="1147"/>
    <n v="145"/>
    <m/>
    <n v="5683"/>
    <n v="98"/>
    <n v="5374"/>
    <n v="211"/>
    <s v="2015"/>
    <n v="140"/>
    <n v="21"/>
    <m/>
    <m/>
    <m/>
    <m/>
  </r>
  <r>
    <n v="106334589"/>
    <s v="334589"/>
    <x v="204"/>
    <x v="31"/>
    <x v="1"/>
    <s v="General Acute Care Hospital"/>
    <s v="28062 BAXTER ROAD"/>
    <s v="MURRIETA"/>
    <s v="92563"/>
    <s v="Beds 100-149"/>
    <m/>
    <n v="42"/>
    <x v="54"/>
    <x v="30"/>
    <s v="French Valley/Murrieta East/Temecula/Winchester"/>
    <s v="Urban"/>
    <x v="0"/>
    <x v="0"/>
    <x v="0"/>
    <n v="20277"/>
    <n v="15132"/>
    <n v="3"/>
    <n v="4216"/>
    <n v="3579"/>
    <n v="5000"/>
    <n v="4862"/>
    <n v="4136"/>
    <n v="4045"/>
    <n v="3517"/>
    <n v="2756"/>
    <n v="2420"/>
    <n v="881"/>
    <m/>
    <n v="1038"/>
    <n v="2832"/>
    <n v="9628"/>
    <n v="78"/>
    <n v="321"/>
    <n v="1"/>
    <n v="21514"/>
    <n v="489"/>
    <n v="418"/>
    <n v="35"/>
    <n v="37"/>
    <n v="16"/>
    <n v="8"/>
    <m/>
    <n v="155"/>
    <n v="196"/>
    <n v="15"/>
    <n v="33593"/>
    <n v="55"/>
    <n v="206"/>
    <n v="33"/>
    <n v="10"/>
    <n v="2635"/>
    <n v="7846"/>
    <n v="2339"/>
    <n v="20158"/>
    <n v="2434"/>
    <m/>
    <n v="35412"/>
    <n v="65"/>
    <n v="34294"/>
    <n v="1053"/>
    <n v="3157"/>
    <n v="3186"/>
    <m/>
    <n v="55"/>
    <n v="260"/>
    <n v="332"/>
    <n v="548"/>
    <n v="962"/>
    <n v="1285"/>
    <n v="1428"/>
    <n v="1473"/>
    <m/>
    <m/>
    <m/>
    <n v="210"/>
    <n v="355"/>
    <n v="1094"/>
    <n v="27"/>
    <n v="1"/>
    <n v="4640"/>
    <n v="16"/>
    <n v="196"/>
    <n v="84"/>
    <n v="132"/>
    <n v="909"/>
    <n v="22"/>
    <m/>
    <n v="3"/>
    <n v="3854"/>
    <n v="883"/>
    <n v="1"/>
    <n v="220"/>
    <n v="4"/>
    <n v="8"/>
    <n v="26"/>
    <m/>
    <n v="970"/>
    <n v="3880"/>
    <n v="123"/>
    <n v="1316"/>
    <n v="54"/>
    <m/>
    <n v="6343"/>
    <n v="33"/>
    <n v="6063"/>
    <n v="247"/>
    <s v="2015"/>
    <n v="106"/>
    <n v="19"/>
    <n v="146"/>
    <m/>
    <n v="1"/>
    <m/>
  </r>
  <r>
    <n v="106340913"/>
    <s v="340913"/>
    <x v="205"/>
    <x v="32"/>
    <x v="1"/>
    <s v="General Acute Care Hospital"/>
    <s v="2025 MORSE AVENUE"/>
    <s v="SACRAMENTO"/>
    <s v="95825"/>
    <s v="Beds 200-299"/>
    <m/>
    <n v="7"/>
    <x v="56"/>
    <x v="32"/>
    <s v="Arcade/Arden/Town and Country Village"/>
    <s v="Urban"/>
    <x v="0"/>
    <x v="0"/>
    <x v="0"/>
    <n v="54391"/>
    <n v="40391"/>
    <n v="4"/>
    <n v="10509"/>
    <n v="8584"/>
    <n v="18387"/>
    <n v="13859"/>
    <n v="10966"/>
    <n v="11439"/>
    <n v="8030"/>
    <n v="5131"/>
    <n v="5830"/>
    <n v="2051"/>
    <m/>
    <n v="5463"/>
    <n v="24337"/>
    <n v="16832"/>
    <n v="543"/>
    <n v="3212"/>
    <n v="468"/>
    <n v="43931"/>
    <n v="139"/>
    <n v="1606"/>
    <n v="164"/>
    <n v="175"/>
    <n v="88"/>
    <n v="47"/>
    <m/>
    <n v="148"/>
    <n v="1410"/>
    <n v="31"/>
    <n v="89674"/>
    <n v="780"/>
    <n v="5"/>
    <n v="6"/>
    <n v="512"/>
    <n v="39555"/>
    <n v="17742"/>
    <n v="1183"/>
    <n v="25392"/>
    <n v="10912"/>
    <n v="2"/>
    <n v="94786"/>
    <n v="3086"/>
    <n v="88465"/>
    <n v="3235"/>
    <n v="3146"/>
    <n v="2733"/>
    <m/>
    <n v="38"/>
    <n v="218"/>
    <n v="300"/>
    <n v="503"/>
    <n v="998"/>
    <n v="1287"/>
    <n v="1130"/>
    <n v="1403"/>
    <m/>
    <n v="2"/>
    <m/>
    <n v="374"/>
    <n v="773"/>
    <n v="654"/>
    <n v="56"/>
    <n v="26"/>
    <n v="3965"/>
    <n v="31"/>
    <n v="176"/>
    <n v="95"/>
    <n v="302"/>
    <n v="543"/>
    <n v="35"/>
    <n v="1"/>
    <n v="9"/>
    <n v="3513"/>
    <n v="966"/>
    <n v="2"/>
    <n v="173"/>
    <n v="30"/>
    <m/>
    <m/>
    <n v="34"/>
    <n v="798"/>
    <n v="3512"/>
    <n v="24"/>
    <n v="1360"/>
    <n v="185"/>
    <m/>
    <n v="5879"/>
    <n v="129"/>
    <n v="5620"/>
    <n v="130"/>
    <s v="2015"/>
    <n v="287"/>
    <n v="36"/>
    <n v="1"/>
    <m/>
    <m/>
    <m/>
  </r>
  <r>
    <n v="106340947"/>
    <s v="340947"/>
    <x v="206"/>
    <x v="32"/>
    <x v="1"/>
    <s v="General Acute Care Hospital"/>
    <s v="4001 J STREET"/>
    <s v="SACRAMENTO"/>
    <s v="95819"/>
    <s v="Beds 300-499"/>
    <m/>
    <n v="6"/>
    <x v="57"/>
    <x v="32"/>
    <s v="Greenhaven/Land Park/Midtown/Pocket/Riverside/Sutterville"/>
    <s v="Urban"/>
    <x v="0"/>
    <x v="0"/>
    <x v="0"/>
    <n v="20593"/>
    <n v="14589"/>
    <m/>
    <n v="2993"/>
    <n v="2361"/>
    <n v="5983"/>
    <n v="5097"/>
    <n v="4573"/>
    <n v="5606"/>
    <n v="3705"/>
    <n v="2107"/>
    <n v="1952"/>
    <n v="805"/>
    <m/>
    <n v="3193"/>
    <n v="7528"/>
    <n v="7968"/>
    <n v="118"/>
    <n v="654"/>
    <n v="458"/>
    <n v="15263"/>
    <n v="273"/>
    <n v="1"/>
    <n v="23"/>
    <n v="212"/>
    <n v="7"/>
    <n v="4"/>
    <m/>
    <n v="30"/>
    <n v="204"/>
    <m/>
    <n v="34288"/>
    <n v="104"/>
    <m/>
    <m/>
    <m/>
    <n v="18939"/>
    <n v="7735"/>
    <n v="684"/>
    <n v="6108"/>
    <n v="1716"/>
    <m/>
    <n v="35182"/>
    <n v="1617"/>
    <n v="31894"/>
    <n v="1671"/>
    <n v="4067"/>
    <n v="3695"/>
    <m/>
    <n v="39"/>
    <n v="392"/>
    <n v="439"/>
    <n v="719"/>
    <n v="1543"/>
    <n v="1709"/>
    <n v="1367"/>
    <n v="1550"/>
    <n v="4"/>
    <m/>
    <m/>
    <n v="948"/>
    <n v="1145"/>
    <n v="1111"/>
    <n v="143"/>
    <n v="66"/>
    <n v="4316"/>
    <n v="33"/>
    <n v="95"/>
    <n v="111"/>
    <n v="243"/>
    <n v="1107"/>
    <n v="78"/>
    <m/>
    <n v="84"/>
    <n v="4742"/>
    <n v="1128"/>
    <n v="1"/>
    <n v="148"/>
    <n v="20"/>
    <m/>
    <m/>
    <n v="5"/>
    <n v="2133"/>
    <n v="4382"/>
    <n v="72"/>
    <n v="1111"/>
    <n v="62"/>
    <n v="2"/>
    <n v="7762"/>
    <n v="761"/>
    <n v="6705"/>
    <n v="296"/>
    <s v="2015"/>
    <n v="432"/>
    <n v="16"/>
    <m/>
    <n v="36"/>
    <m/>
    <m/>
  </r>
  <r>
    <n v="106340950"/>
    <s v="340950"/>
    <x v="207"/>
    <x v="32"/>
    <x v="1"/>
    <s v="General Acute Care Hospital"/>
    <s v="6501 COYLE AVENUE"/>
    <s v="CARMICHAEL"/>
    <s v="95608"/>
    <s v="Beds 300-499"/>
    <s v="Level II"/>
    <n v="7"/>
    <x v="56"/>
    <x v="4"/>
    <s v="Carmichael/Fair Oaks/Gold River"/>
    <s v="Urban"/>
    <x v="0"/>
    <x v="0"/>
    <x v="0"/>
    <n v="32682"/>
    <n v="25296"/>
    <n v="2"/>
    <n v="6439"/>
    <n v="5665"/>
    <n v="10882"/>
    <n v="8868"/>
    <n v="7081"/>
    <n v="7438"/>
    <n v="4416"/>
    <n v="2595"/>
    <n v="3164"/>
    <n v="1431"/>
    <n v="1"/>
    <n v="2834"/>
    <n v="8583"/>
    <n v="7584"/>
    <n v="112"/>
    <n v="826"/>
    <n v="779"/>
    <n v="37262"/>
    <n v="692"/>
    <n v="544"/>
    <n v="212"/>
    <n v="105"/>
    <n v="7"/>
    <n v="2"/>
    <m/>
    <n v="314"/>
    <n v="1401"/>
    <n v="9"/>
    <n v="54228"/>
    <n v="439"/>
    <n v="8"/>
    <m/>
    <m/>
    <n v="34733"/>
    <n v="10952"/>
    <n v="1200"/>
    <n v="7563"/>
    <n v="3532"/>
    <m/>
    <n v="57980"/>
    <n v="2356"/>
    <n v="54069"/>
    <n v="1555"/>
    <n v="8601"/>
    <n v="7811"/>
    <m/>
    <n v="275"/>
    <n v="1055"/>
    <n v="1302"/>
    <n v="1692"/>
    <n v="3310"/>
    <n v="2946"/>
    <n v="2299"/>
    <n v="3205"/>
    <n v="148"/>
    <n v="180"/>
    <m/>
    <n v="903"/>
    <n v="1605"/>
    <n v="1406"/>
    <n v="198"/>
    <n v="138"/>
    <n v="12134"/>
    <n v="28"/>
    <n v="408"/>
    <n v="419"/>
    <n v="634"/>
    <n v="1645"/>
    <n v="124"/>
    <m/>
    <n v="315"/>
    <n v="9995"/>
    <n v="2288"/>
    <n v="13"/>
    <n v="369"/>
    <n v="164"/>
    <m/>
    <m/>
    <n v="38"/>
    <n v="5881"/>
    <n v="8230"/>
    <n v="312"/>
    <n v="1835"/>
    <n v="154"/>
    <m/>
    <n v="16412"/>
    <n v="1174"/>
    <n v="14875"/>
    <n v="363"/>
    <s v="2015"/>
    <n v="370"/>
    <n v="31"/>
    <m/>
    <n v="19"/>
    <m/>
    <m/>
  </r>
  <r>
    <n v="106340951"/>
    <s v="340951"/>
    <x v="208"/>
    <x v="32"/>
    <x v="1"/>
    <s v="General Acute Care Hospital"/>
    <s v="7500 HOSPITAL DRIVE"/>
    <s v="SACRAMENTO"/>
    <s v="95823"/>
    <s v="Beds 300-499"/>
    <m/>
    <n v="6"/>
    <x v="58"/>
    <x v="32"/>
    <s v="Elk Grove/Laguna/Laguna West/Lakeside"/>
    <s v="Urban"/>
    <x v="0"/>
    <x v="0"/>
    <x v="0"/>
    <n v="33913"/>
    <n v="23857"/>
    <m/>
    <n v="8123"/>
    <n v="6188"/>
    <n v="10137"/>
    <n v="8444"/>
    <n v="7042"/>
    <n v="7040"/>
    <n v="4331"/>
    <n v="2633"/>
    <n v="1985"/>
    <n v="1847"/>
    <m/>
    <n v="8970"/>
    <n v="16845"/>
    <n v="16109"/>
    <n v="126"/>
    <n v="2235"/>
    <n v="263"/>
    <n v="13222"/>
    <n v="786"/>
    <n v="5"/>
    <n v="84"/>
    <n v="234"/>
    <n v="9"/>
    <n v="8"/>
    <m/>
    <n v="96"/>
    <n v="137"/>
    <n v="1"/>
    <n v="56113"/>
    <n v="165"/>
    <m/>
    <m/>
    <m/>
    <n v="37581"/>
    <n v="9111"/>
    <n v="895"/>
    <n v="6599"/>
    <n v="3584"/>
    <m/>
    <n v="57770"/>
    <n v="5708"/>
    <n v="45430"/>
    <n v="6632"/>
    <n v="4122"/>
    <n v="3247"/>
    <m/>
    <n v="91"/>
    <n v="464"/>
    <n v="599"/>
    <n v="835"/>
    <n v="1373"/>
    <n v="1453"/>
    <n v="1259"/>
    <n v="1284"/>
    <n v="11"/>
    <m/>
    <m/>
    <n v="1752"/>
    <n v="1548"/>
    <n v="1274"/>
    <n v="265"/>
    <n v="20"/>
    <n v="2496"/>
    <n v="14"/>
    <n v="13"/>
    <n v="156"/>
    <n v="239"/>
    <n v="870"/>
    <n v="21"/>
    <m/>
    <n v="98"/>
    <n v="4517"/>
    <n v="1000"/>
    <n v="4"/>
    <n v="102"/>
    <n v="37"/>
    <n v="309"/>
    <m/>
    <n v="3"/>
    <n v="2867"/>
    <n v="3624"/>
    <n v="118"/>
    <n v="702"/>
    <n v="57"/>
    <n v="1"/>
    <n v="7369"/>
    <n v="1574"/>
    <n v="5146"/>
    <n v="649"/>
    <s v="2015"/>
    <n v="329"/>
    <n v="29"/>
    <m/>
    <n v="132"/>
    <m/>
    <m/>
  </r>
  <r>
    <n v="106341006"/>
    <s v="341006"/>
    <x v="209"/>
    <x v="32"/>
    <x v="6"/>
    <s v="General Acute Care Hospital"/>
    <s v="2315 STOCKTON BOULEVARD"/>
    <s v="SACRAMENTO"/>
    <s v="95817"/>
    <s v="Beds 500+"/>
    <s v="Level I &amp; Level I - Ped"/>
    <n v="6"/>
    <x v="57"/>
    <x v="32"/>
    <s v="Florin/Fruitridge/Oak Park/Parkway/South Sacramento"/>
    <s v="Urban"/>
    <x v="0"/>
    <x v="1"/>
    <x v="2"/>
    <n v="27765"/>
    <n v="27101"/>
    <n v="6"/>
    <n v="6766"/>
    <n v="5336"/>
    <n v="8982"/>
    <n v="8036"/>
    <n v="6916"/>
    <n v="8258"/>
    <n v="4880"/>
    <n v="2388"/>
    <n v="1696"/>
    <n v="1606"/>
    <n v="8"/>
    <n v="4016"/>
    <n v="12790"/>
    <n v="13248"/>
    <n v="420"/>
    <n v="2"/>
    <n v="4200"/>
    <n v="20196"/>
    <n v="27"/>
    <n v="71"/>
    <n v="5"/>
    <n v="35"/>
    <m/>
    <n v="1"/>
    <m/>
    <n v="24"/>
    <n v="21"/>
    <n v="11"/>
    <n v="54619"/>
    <n v="57"/>
    <m/>
    <m/>
    <m/>
    <n v="31386"/>
    <n v="9596"/>
    <n v="1512"/>
    <n v="11333"/>
    <n v="1045"/>
    <m/>
    <n v="54872"/>
    <n v="1825"/>
    <n v="50648"/>
    <n v="2399"/>
    <n v="7191"/>
    <n v="8921"/>
    <n v="1"/>
    <n v="1008"/>
    <n v="1363"/>
    <n v="1339"/>
    <n v="1670"/>
    <n v="2817"/>
    <n v="2643"/>
    <n v="1760"/>
    <n v="1550"/>
    <n v="504"/>
    <n v="1459"/>
    <m/>
    <n v="1562"/>
    <n v="2974"/>
    <n v="2754"/>
    <m/>
    <n v="396"/>
    <n v="8266"/>
    <n v="161"/>
    <n v="270"/>
    <n v="287"/>
    <n v="429"/>
    <n v="1680"/>
    <n v="254"/>
    <m/>
    <n v="201"/>
    <n v="11123"/>
    <n v="1456"/>
    <n v="104"/>
    <n v="206"/>
    <n v="96"/>
    <n v="1"/>
    <m/>
    <n v="1"/>
    <n v="6587"/>
    <n v="5809"/>
    <n v="384"/>
    <n v="3204"/>
    <n v="103"/>
    <n v="26"/>
    <n v="16113"/>
    <n v="1012"/>
    <n v="14325"/>
    <n v="776"/>
    <s v="2015"/>
    <n v="619"/>
    <n v="65"/>
    <n v="1"/>
    <m/>
    <n v="5"/>
    <m/>
  </r>
  <r>
    <n v="106341051"/>
    <s v="341051"/>
    <x v="210"/>
    <x v="32"/>
    <x v="1"/>
    <s v="General Acute Care Hospital"/>
    <s v="2801 L STREET"/>
    <s v="SACRAMENTO"/>
    <s v="95816"/>
    <s v="Beds 200-299"/>
    <m/>
    <n v="6"/>
    <x v="57"/>
    <x v="32"/>
    <s v="Greenhaven/Land Park/Midtown/Pocket/Riverside/Sutterville"/>
    <s v="Urban"/>
    <x v="0"/>
    <x v="0"/>
    <x v="0"/>
    <n v="33510"/>
    <n v="29502"/>
    <n v="1"/>
    <n v="4812"/>
    <n v="4142"/>
    <n v="11738"/>
    <n v="11334"/>
    <n v="9518"/>
    <n v="9340"/>
    <n v="5385"/>
    <n v="2612"/>
    <n v="2953"/>
    <n v="1179"/>
    <m/>
    <n v="3842"/>
    <n v="14165"/>
    <n v="12401"/>
    <n v="187"/>
    <n v="1332"/>
    <n v="773"/>
    <n v="30313"/>
    <n v="736"/>
    <n v="1883"/>
    <n v="114"/>
    <n v="649"/>
    <n v="42"/>
    <n v="25"/>
    <m/>
    <n v="386"/>
    <n v="1680"/>
    <n v="22"/>
    <n v="56708"/>
    <n v="513"/>
    <m/>
    <n v="15"/>
    <n v="33"/>
    <n v="28144"/>
    <n v="11697"/>
    <n v="2068"/>
    <n v="16563"/>
    <n v="4447"/>
    <n v="94"/>
    <n v="63013"/>
    <n v="1447"/>
    <n v="59305"/>
    <n v="2261"/>
    <n v="4773"/>
    <n v="4329"/>
    <n v="1"/>
    <n v="209"/>
    <n v="462"/>
    <n v="640"/>
    <n v="927"/>
    <n v="1601"/>
    <n v="1710"/>
    <n v="1382"/>
    <n v="1867"/>
    <n v="114"/>
    <n v="191"/>
    <m/>
    <n v="922"/>
    <n v="1365"/>
    <n v="1232"/>
    <n v="143"/>
    <n v="108"/>
    <n v="5317"/>
    <n v="16"/>
    <n v="205"/>
    <n v="167"/>
    <n v="339"/>
    <n v="1352"/>
    <n v="59"/>
    <m/>
    <n v="76"/>
    <n v="5316"/>
    <n v="1312"/>
    <n v="31"/>
    <n v="112"/>
    <n v="26"/>
    <m/>
    <m/>
    <n v="108"/>
    <n v="2688"/>
    <n v="4665"/>
    <n v="159"/>
    <n v="1501"/>
    <n v="89"/>
    <n v="1"/>
    <n v="9103"/>
    <n v="547"/>
    <n v="8217"/>
    <n v="339"/>
    <s v="2015"/>
    <n v="298"/>
    <n v="28"/>
    <n v="145"/>
    <n v="62"/>
    <m/>
    <m/>
  </r>
  <r>
    <n v="106341052"/>
    <s v="341052"/>
    <x v="211"/>
    <x v="32"/>
    <x v="1"/>
    <s v="General Acute Care Hospital"/>
    <s v="5151 F STREET"/>
    <s v="SACRAMENTO"/>
    <s v="95819"/>
    <s v="Beds 300-499"/>
    <m/>
    <n v="6"/>
    <x v="57"/>
    <x v="32"/>
    <s v="East Sacramento/La Riviera/Mather/Rancho Cordova/Rosemont"/>
    <s v="Urban"/>
    <x v="0"/>
    <x v="0"/>
    <x v="0"/>
    <n v="13149"/>
    <n v="8857"/>
    <m/>
    <n v="4746"/>
    <n v="2228"/>
    <n v="4184"/>
    <n v="3340"/>
    <n v="1947"/>
    <n v="1670"/>
    <n v="1010"/>
    <n v="572"/>
    <n v="708"/>
    <n v="1601"/>
    <m/>
    <n v="2113"/>
    <n v="3860"/>
    <n v="6773"/>
    <n v="83"/>
    <n v="84"/>
    <n v="33"/>
    <n v="9060"/>
    <n v="198"/>
    <n v="516"/>
    <n v="25"/>
    <n v="24"/>
    <m/>
    <n v="1"/>
    <m/>
    <n v="14"/>
    <n v="204"/>
    <m/>
    <n v="20975"/>
    <n v="5"/>
    <m/>
    <n v="1"/>
    <m/>
    <n v="7713"/>
    <n v="2296"/>
    <n v="419"/>
    <n v="9966"/>
    <n v="1612"/>
    <m/>
    <n v="22006"/>
    <n v="793"/>
    <n v="19177"/>
    <n v="2036"/>
    <n v="1470"/>
    <n v="1312"/>
    <m/>
    <n v="202"/>
    <n v="151"/>
    <n v="182"/>
    <n v="215"/>
    <n v="352"/>
    <n v="356"/>
    <n v="336"/>
    <n v="450"/>
    <n v="198"/>
    <n v="340"/>
    <m/>
    <n v="329"/>
    <n v="356"/>
    <n v="511"/>
    <n v="17"/>
    <n v="3"/>
    <n v="1558"/>
    <n v="8"/>
    <n v="34"/>
    <n v="42"/>
    <n v="59"/>
    <n v="287"/>
    <m/>
    <m/>
    <n v="26"/>
    <n v="2022"/>
    <n v="270"/>
    <n v="4"/>
    <m/>
    <m/>
    <m/>
    <m/>
    <n v="35"/>
    <n v="1116"/>
    <n v="1119"/>
    <n v="36"/>
    <n v="484"/>
    <n v="27"/>
    <m/>
    <n v="2782"/>
    <n v="174"/>
    <n v="2445"/>
    <n v="163"/>
    <s v="2015"/>
    <n v="348"/>
    <n v="9"/>
    <m/>
    <n v="43"/>
    <n v="3"/>
    <m/>
  </r>
  <r>
    <n v="106342344"/>
    <s v="342344"/>
    <x v="212"/>
    <x v="32"/>
    <x v="1"/>
    <s v="General Acute Care Hospital"/>
    <s v="6600 BRUCEVILLE ROAD"/>
    <s v="SACRAMENTO"/>
    <s v="95823"/>
    <s v="Beds 200-299"/>
    <s v="Level II"/>
    <n v="6"/>
    <x v="58"/>
    <x v="32"/>
    <s v="Elk Grove/Laguna/Laguna West/Lakeside"/>
    <s v="Urban"/>
    <x v="0"/>
    <x v="0"/>
    <x v="0"/>
    <n v="64142"/>
    <n v="48479"/>
    <m/>
    <n v="15375"/>
    <n v="13578"/>
    <n v="20302"/>
    <n v="15568"/>
    <n v="12649"/>
    <n v="12156"/>
    <n v="8647"/>
    <n v="5815"/>
    <n v="5597"/>
    <n v="2934"/>
    <m/>
    <n v="14969"/>
    <n v="33532"/>
    <n v="28744"/>
    <n v="625"/>
    <n v="2639"/>
    <n v="803"/>
    <n v="31309"/>
    <n v="412"/>
    <n v="692"/>
    <n v="233"/>
    <n v="329"/>
    <n v="89"/>
    <n v="10"/>
    <m/>
    <n v="268"/>
    <n v="1447"/>
    <n v="14"/>
    <n v="108620"/>
    <n v="373"/>
    <m/>
    <n v="3"/>
    <n v="129"/>
    <n v="47854"/>
    <n v="18928"/>
    <n v="1515"/>
    <n v="33741"/>
    <n v="10574"/>
    <n v="9"/>
    <n v="112621"/>
    <n v="3367"/>
    <n v="102407"/>
    <n v="6847"/>
    <n v="3740"/>
    <n v="3856"/>
    <m/>
    <n v="128"/>
    <n v="381"/>
    <n v="509"/>
    <n v="650"/>
    <n v="1203"/>
    <n v="1449"/>
    <n v="1393"/>
    <n v="1663"/>
    <n v="98"/>
    <n v="122"/>
    <m/>
    <n v="1260"/>
    <n v="1513"/>
    <n v="1204"/>
    <n v="92"/>
    <n v="27"/>
    <n v="3462"/>
    <n v="38"/>
    <n v="343"/>
    <n v="88"/>
    <n v="402"/>
    <n v="1070"/>
    <n v="55"/>
    <m/>
    <n v="2"/>
    <n v="4557"/>
    <n v="801"/>
    <n v="19"/>
    <n v="219"/>
    <n v="30"/>
    <n v="1"/>
    <n v="1"/>
    <n v="7"/>
    <n v="1247"/>
    <n v="4137"/>
    <n v="47"/>
    <n v="1883"/>
    <n v="282"/>
    <m/>
    <n v="7596"/>
    <n v="406"/>
    <n v="6892"/>
    <n v="298"/>
    <s v="2015"/>
    <n v="217"/>
    <n v="43"/>
    <n v="2"/>
    <m/>
    <m/>
    <n v="1"/>
  </r>
  <r>
    <n v="106344029"/>
    <s v="344029"/>
    <x v="213"/>
    <x v="32"/>
    <x v="1"/>
    <s v="General Acute Care Hospital"/>
    <s v="1650 CREEKSIDE DRIVE"/>
    <s v="FOLSOM"/>
    <s v="95630"/>
    <s v="Beds 100-149"/>
    <m/>
    <n v="7"/>
    <x v="50"/>
    <x v="7"/>
    <s v="Folsom/Orangevale"/>
    <s v="Urban"/>
    <x v="0"/>
    <x v="0"/>
    <x v="0"/>
    <n v="21899"/>
    <n v="16420"/>
    <m/>
    <n v="4570"/>
    <n v="4450"/>
    <n v="5873"/>
    <n v="5420"/>
    <n v="4712"/>
    <n v="4584"/>
    <n v="3050"/>
    <n v="2228"/>
    <n v="2554"/>
    <n v="878"/>
    <m/>
    <n v="2251"/>
    <n v="1467"/>
    <n v="4365"/>
    <n v="82"/>
    <n v="485"/>
    <n v="310"/>
    <n v="29359"/>
    <n v="1111"/>
    <n v="3"/>
    <n v="53"/>
    <n v="313"/>
    <n v="5"/>
    <n v="1"/>
    <m/>
    <n v="22"/>
    <n v="276"/>
    <m/>
    <n v="36440"/>
    <n v="53"/>
    <m/>
    <m/>
    <m/>
    <n v="16236"/>
    <n v="7028"/>
    <n v="1115"/>
    <n v="12059"/>
    <n v="1881"/>
    <m/>
    <n v="38319"/>
    <n v="1394"/>
    <n v="35994"/>
    <n v="931"/>
    <n v="2769"/>
    <n v="2190"/>
    <m/>
    <n v="54"/>
    <n v="267"/>
    <n v="324"/>
    <n v="488"/>
    <n v="724"/>
    <n v="843"/>
    <n v="878"/>
    <n v="1380"/>
    <m/>
    <n v="1"/>
    <m/>
    <n v="243"/>
    <n v="129"/>
    <n v="270"/>
    <n v="38"/>
    <n v="32"/>
    <n v="4236"/>
    <n v="11"/>
    <n v="283"/>
    <n v="60"/>
    <n v="134"/>
    <n v="589"/>
    <n v="22"/>
    <m/>
    <n v="47"/>
    <n v="2957"/>
    <n v="719"/>
    <n v="11"/>
    <n v="114"/>
    <n v="20"/>
    <m/>
    <n v="1"/>
    <n v="2"/>
    <n v="861"/>
    <n v="2817"/>
    <n v="108"/>
    <n v="1130"/>
    <n v="42"/>
    <n v="1"/>
    <n v="4959"/>
    <n v="205"/>
    <n v="4706"/>
    <n v="48"/>
    <s v="2015"/>
    <n v="106"/>
    <n v="25"/>
    <m/>
    <n v="42"/>
    <m/>
    <m/>
  </r>
  <r>
    <n v="106350784"/>
    <s v="350784"/>
    <x v="214"/>
    <x v="33"/>
    <x v="2"/>
    <s v="General Acute Care Hospital"/>
    <s v="911 SUNSET DRIVE"/>
    <s v="HOLLISTER"/>
    <s v="95023"/>
    <s v="Beds 100-149"/>
    <m/>
    <n v="20"/>
    <x v="42"/>
    <x v="8"/>
    <s v="Hollister/Paicines/Panoche/San Juan Bautista"/>
    <s v="Rural"/>
    <x v="1"/>
    <x v="0"/>
    <x v="0"/>
    <n v="9300"/>
    <n v="7856"/>
    <m/>
    <n v="2963"/>
    <n v="2330"/>
    <n v="2708"/>
    <n v="2355"/>
    <n v="1941"/>
    <n v="1797"/>
    <n v="1138"/>
    <n v="664"/>
    <n v="679"/>
    <n v="581"/>
    <m/>
    <n v="173"/>
    <n v="128"/>
    <n v="10614"/>
    <n v="14"/>
    <n v="85"/>
    <n v="215"/>
    <n v="5927"/>
    <n v="402"/>
    <n v="344"/>
    <n v="11"/>
    <m/>
    <m/>
    <m/>
    <m/>
    <n v="131"/>
    <n v="39"/>
    <n v="25"/>
    <n v="16203"/>
    <n v="1"/>
    <m/>
    <m/>
    <m/>
    <n v="9492"/>
    <n v="2358"/>
    <n v="396"/>
    <n v="4187"/>
    <n v="723"/>
    <m/>
    <n v="17156"/>
    <n v="12"/>
    <n v="14330"/>
    <n v="2814"/>
    <n v="707"/>
    <n v="596"/>
    <m/>
    <n v="40"/>
    <n v="67"/>
    <n v="100"/>
    <n v="117"/>
    <n v="194"/>
    <n v="210"/>
    <n v="194"/>
    <n v="335"/>
    <n v="13"/>
    <n v="33"/>
    <m/>
    <n v="17"/>
    <n v="14"/>
    <n v="606"/>
    <n v="8"/>
    <n v="8"/>
    <n v="650"/>
    <m/>
    <n v="1"/>
    <n v="40"/>
    <n v="11"/>
    <n v="13"/>
    <m/>
    <m/>
    <n v="139"/>
    <n v="1028"/>
    <n v="26"/>
    <m/>
    <m/>
    <m/>
    <n v="45"/>
    <m/>
    <m/>
    <n v="349"/>
    <n v="692"/>
    <n v="10"/>
    <n v="241"/>
    <n v="11"/>
    <m/>
    <n v="1303"/>
    <n v="1"/>
    <n v="1064"/>
    <n v="238"/>
    <s v="2015"/>
    <n v="119"/>
    <n v="18"/>
    <m/>
    <m/>
    <m/>
    <m/>
  </r>
  <r>
    <n v="106361110"/>
    <s v="361110"/>
    <x v="215"/>
    <x v="34"/>
    <x v="2"/>
    <s v="General Acute Care Hospital"/>
    <s v="41870 GARSTIN DRIVE"/>
    <s v="BIG BEAR LAKE"/>
    <s v="92315"/>
    <s v="Beds 1-49"/>
    <m/>
    <n v="8"/>
    <x v="59"/>
    <x v="31"/>
    <s v="Big Bear Lake/Fawnskin/Moorridge/Running Springs/Sugarloaf"/>
    <s v="Rural"/>
    <x v="1"/>
    <x v="0"/>
    <x v="1"/>
    <n v="5531"/>
    <n v="5029"/>
    <m/>
    <n v="1059"/>
    <n v="1343"/>
    <n v="1817"/>
    <n v="1278"/>
    <n v="1279"/>
    <n v="1407"/>
    <n v="1094"/>
    <n v="670"/>
    <n v="462"/>
    <n v="151"/>
    <m/>
    <n v="156"/>
    <n v="160"/>
    <n v="1294"/>
    <n v="6"/>
    <n v="304"/>
    <n v="189"/>
    <n v="8451"/>
    <n v="1047"/>
    <n v="171"/>
    <n v="21"/>
    <m/>
    <n v="7"/>
    <n v="1"/>
    <m/>
    <n v="108"/>
    <n v="14"/>
    <m/>
    <n v="9179"/>
    <n v="6"/>
    <m/>
    <m/>
    <m/>
    <n v="3833"/>
    <n v="1234"/>
    <n v="258"/>
    <n v="4449"/>
    <n v="786"/>
    <m/>
    <n v="10560"/>
    <n v="10"/>
    <n v="10317"/>
    <n v="233"/>
    <n v="79"/>
    <n v="57"/>
    <m/>
    <m/>
    <n v="11"/>
    <n v="5"/>
    <n v="6"/>
    <n v="25"/>
    <n v="29"/>
    <n v="22"/>
    <n v="38"/>
    <m/>
    <m/>
    <m/>
    <n v="1"/>
    <m/>
    <n v="5"/>
    <n v="2"/>
    <n v="2"/>
    <n v="126"/>
    <m/>
    <n v="16"/>
    <n v="1"/>
    <n v="2"/>
    <n v="11"/>
    <m/>
    <m/>
    <m/>
    <n v="95"/>
    <n v="5"/>
    <m/>
    <n v="5"/>
    <m/>
    <m/>
    <m/>
    <n v="1"/>
    <n v="30"/>
    <n v="71"/>
    <n v="3"/>
    <n v="31"/>
    <n v="1"/>
    <m/>
    <n v="136"/>
    <m/>
    <n v="134"/>
    <n v="2"/>
    <s v="2015"/>
    <n v="30"/>
    <n v="7"/>
    <m/>
    <n v="6"/>
    <m/>
    <m/>
  </r>
  <r>
    <n v="106361144"/>
    <s v="361144"/>
    <x v="216"/>
    <x v="34"/>
    <x v="3"/>
    <s v="General Acute Care Hospital"/>
    <s v="5451 WALNUT AVENUE"/>
    <s v="CHINO"/>
    <s v="91710"/>
    <s v="Beds 100-149"/>
    <m/>
    <n v="35"/>
    <x v="36"/>
    <x v="23"/>
    <s v="Chino Hills/Chino West Central/Los Serranos/Sleepy Hollow"/>
    <s v="Urban"/>
    <x v="0"/>
    <x v="0"/>
    <x v="0"/>
    <n v="22657"/>
    <n v="18106"/>
    <m/>
    <n v="8497"/>
    <n v="6305"/>
    <n v="7550"/>
    <n v="5910"/>
    <n v="4392"/>
    <n v="3434"/>
    <n v="1764"/>
    <n v="943"/>
    <n v="703"/>
    <n v="1265"/>
    <m/>
    <n v="1522"/>
    <n v="2296"/>
    <n v="29293"/>
    <n v="21"/>
    <n v="737"/>
    <n v="45"/>
    <n v="6849"/>
    <n v="735"/>
    <n v="476"/>
    <n v="58"/>
    <n v="109"/>
    <n v="1"/>
    <n v="3"/>
    <m/>
    <n v="424"/>
    <n v="197"/>
    <n v="2"/>
    <n v="38719"/>
    <n v="37"/>
    <m/>
    <m/>
    <m/>
    <n v="26475"/>
    <n v="3096"/>
    <n v="1127"/>
    <n v="6506"/>
    <n v="3559"/>
    <m/>
    <n v="40763"/>
    <n v="335"/>
    <n v="30932"/>
    <n v="9496"/>
    <n v="3151"/>
    <n v="2539"/>
    <m/>
    <n v="206"/>
    <n v="515"/>
    <n v="623"/>
    <n v="918"/>
    <n v="1055"/>
    <n v="899"/>
    <n v="671"/>
    <n v="793"/>
    <m/>
    <n v="10"/>
    <m/>
    <n v="365"/>
    <n v="335"/>
    <n v="3173"/>
    <n v="119"/>
    <n v="7"/>
    <n v="1686"/>
    <n v="5"/>
    <n v="209"/>
    <n v="469"/>
    <n v="85"/>
    <n v="408"/>
    <n v="39"/>
    <m/>
    <n v="65"/>
    <n v="3870"/>
    <n v="340"/>
    <n v="61"/>
    <n v="68"/>
    <n v="75"/>
    <m/>
    <n v="1"/>
    <m/>
    <n v="2461"/>
    <n v="2012"/>
    <n v="66"/>
    <n v="1111"/>
    <n v="37"/>
    <n v="3"/>
    <n v="5690"/>
    <n v="175"/>
    <n v="4220"/>
    <n v="1295"/>
    <s v="2015"/>
    <n v="126"/>
    <n v="15"/>
    <m/>
    <n v="2"/>
    <m/>
    <m/>
  </r>
  <r>
    <n v="106361166"/>
    <s v="361166"/>
    <x v="217"/>
    <x v="34"/>
    <x v="1"/>
    <s v="General Acute Care Hospital"/>
    <s v="5000 SAN BERNARDINO STREET"/>
    <s v="MONTCLAIR"/>
    <s v="91763"/>
    <s v="Beds 100-149"/>
    <m/>
    <n v="35"/>
    <x v="36"/>
    <x v="23"/>
    <s v="Montclair/Ontario Northwest/Upland South"/>
    <s v="Urban"/>
    <x v="0"/>
    <x v="0"/>
    <x v="0"/>
    <n v="11139"/>
    <n v="9098"/>
    <m/>
    <n v="3639"/>
    <n v="2914"/>
    <n v="3961"/>
    <n v="3134"/>
    <n v="2297"/>
    <n v="1968"/>
    <n v="885"/>
    <n v="414"/>
    <n v="300"/>
    <n v="725"/>
    <m/>
    <n v="459"/>
    <n v="1944"/>
    <n v="14464"/>
    <n v="9"/>
    <n v="131"/>
    <n v="36"/>
    <n v="3194"/>
    <n v="280"/>
    <n v="219"/>
    <n v="58"/>
    <n v="1"/>
    <n v="2"/>
    <m/>
    <m/>
    <n v="194"/>
    <n v="79"/>
    <n v="5"/>
    <n v="19308"/>
    <n v="85"/>
    <n v="6"/>
    <m/>
    <m/>
    <n v="4343"/>
    <n v="1489"/>
    <n v="172"/>
    <n v="12595"/>
    <n v="1638"/>
    <m/>
    <n v="20237"/>
    <n v="66"/>
    <n v="15968"/>
    <n v="4203"/>
    <n v="1229"/>
    <n v="997"/>
    <m/>
    <n v="58"/>
    <n v="178"/>
    <n v="226"/>
    <n v="289"/>
    <n v="418"/>
    <n v="412"/>
    <n v="289"/>
    <n v="308"/>
    <n v="6"/>
    <n v="42"/>
    <m/>
    <n v="129"/>
    <n v="237"/>
    <n v="1161"/>
    <n v="35"/>
    <n v="5"/>
    <n v="657"/>
    <n v="2"/>
    <n v="174"/>
    <n v="120"/>
    <n v="68"/>
    <n v="159"/>
    <n v="5"/>
    <m/>
    <n v="49"/>
    <n v="1226"/>
    <n v="389"/>
    <n v="2"/>
    <n v="17"/>
    <n v="15"/>
    <n v="2"/>
    <m/>
    <m/>
    <n v="1137"/>
    <n v="861"/>
    <n v="18"/>
    <n v="163"/>
    <n v="47"/>
    <m/>
    <n v="2226"/>
    <n v="33"/>
    <n v="1770"/>
    <n v="423"/>
    <s v="2015"/>
    <n v="102"/>
    <n v="8"/>
    <m/>
    <m/>
    <m/>
    <m/>
  </r>
  <r>
    <n v="106361223"/>
    <s v="361223"/>
    <x v="218"/>
    <x v="34"/>
    <x v="1"/>
    <s v="General Acute Care Hospital"/>
    <s v="9961 SIERRA AVENUE"/>
    <s v="FONTANA"/>
    <s v="92335"/>
    <s v="Beds 300-499"/>
    <m/>
    <n v="35"/>
    <x v="60"/>
    <x v="23"/>
    <s v="Bloomington/Colton Central and West/Fontana South/Rialto South"/>
    <s v="Urban"/>
    <x v="0"/>
    <x v="0"/>
    <x v="0"/>
    <n v="72394"/>
    <n v="55360"/>
    <n v="2"/>
    <n v="16966"/>
    <n v="13853"/>
    <n v="19849"/>
    <n v="16115"/>
    <n v="14632"/>
    <n v="14931"/>
    <n v="11993"/>
    <n v="8520"/>
    <n v="7049"/>
    <n v="3845"/>
    <n v="3"/>
    <n v="5267"/>
    <n v="17415"/>
    <n v="65248"/>
    <n v="358"/>
    <n v="1133"/>
    <n v="3133"/>
    <n v="35202"/>
    <n v="157"/>
    <n v="921"/>
    <n v="180"/>
    <n v="782"/>
    <n v="122"/>
    <n v="61"/>
    <m/>
    <n v="56"/>
    <n v="807"/>
    <n v="3"/>
    <n v="124242"/>
    <n v="212"/>
    <m/>
    <n v="14"/>
    <n v="182"/>
    <n v="33614"/>
    <n v="22674"/>
    <n v="538"/>
    <n v="53609"/>
    <n v="17307"/>
    <n v="14"/>
    <n v="127756"/>
    <n v="1055"/>
    <n v="112837"/>
    <n v="13864"/>
    <n v="7171"/>
    <n v="7063"/>
    <n v="1"/>
    <n v="374"/>
    <n v="809"/>
    <n v="919"/>
    <n v="1329"/>
    <n v="2219"/>
    <n v="2802"/>
    <n v="2728"/>
    <n v="2545"/>
    <n v="146"/>
    <n v="364"/>
    <m/>
    <n v="688"/>
    <n v="1968"/>
    <n v="5005"/>
    <n v="55"/>
    <n v="99"/>
    <n v="6375"/>
    <n v="45"/>
    <n v="262"/>
    <n v="145"/>
    <n v="538"/>
    <n v="2660"/>
    <n v="29"/>
    <m/>
    <n v="20"/>
    <n v="8813"/>
    <n v="1355"/>
    <n v="7"/>
    <n v="339"/>
    <n v="46"/>
    <n v="2"/>
    <n v="1"/>
    <n v="15"/>
    <n v="1716"/>
    <n v="7028"/>
    <n v="63"/>
    <n v="5062"/>
    <n v="366"/>
    <m/>
    <n v="14235"/>
    <n v="178"/>
    <n v="12611"/>
    <n v="1446"/>
    <s v="2015"/>
    <n v="440"/>
    <n v="52"/>
    <n v="17"/>
    <m/>
    <n v="2"/>
    <n v="1"/>
  </r>
  <r>
    <n v="106361246"/>
    <s v="361246"/>
    <x v="219"/>
    <x v="34"/>
    <x v="1"/>
    <s v="General Acute Care Hospital"/>
    <s v="11234 ANDERSON STREET"/>
    <s v="LOMA LINDA"/>
    <s v="92354"/>
    <s v="Beds 300-499"/>
    <s v="Level I &amp; Level I - Ped"/>
    <n v="31"/>
    <x v="61"/>
    <x v="31"/>
    <s v="Colton Southeast/Grand Terrace/Loma Linda/Redlands North"/>
    <s v="Urban"/>
    <x v="0"/>
    <x v="1"/>
    <x v="0"/>
    <n v="28425"/>
    <n v="25910"/>
    <n v="2"/>
    <n v="14143"/>
    <n v="8705"/>
    <n v="6411"/>
    <n v="5317"/>
    <n v="4104"/>
    <n v="4483"/>
    <n v="3129"/>
    <n v="1884"/>
    <n v="1390"/>
    <n v="4771"/>
    <m/>
    <n v="1828"/>
    <n v="6382"/>
    <n v="27475"/>
    <n v="133"/>
    <n v="38"/>
    <n v="15"/>
    <n v="18466"/>
    <n v="343"/>
    <m/>
    <n v="124"/>
    <n v="26"/>
    <n v="10"/>
    <n v="21"/>
    <m/>
    <n v="28"/>
    <n v="786"/>
    <n v="13"/>
    <n v="47051"/>
    <n v="251"/>
    <n v="5574"/>
    <n v="1"/>
    <n v="59"/>
    <n v="30788"/>
    <n v="9164"/>
    <n v="1306"/>
    <n v="8420"/>
    <n v="4659"/>
    <m/>
    <n v="54337"/>
    <n v="498"/>
    <n v="48025"/>
    <n v="5814"/>
    <n v="6129"/>
    <n v="5718"/>
    <m/>
    <n v="241"/>
    <n v="1377"/>
    <n v="1194"/>
    <n v="1372"/>
    <n v="2256"/>
    <n v="2145"/>
    <n v="1678"/>
    <n v="1584"/>
    <m/>
    <m/>
    <m/>
    <n v="497"/>
    <n v="1590"/>
    <n v="4182"/>
    <n v="57"/>
    <n v="32"/>
    <n v="5388"/>
    <n v="101"/>
    <n v="211"/>
    <n v="168"/>
    <n v="480"/>
    <n v="924"/>
    <n v="425"/>
    <m/>
    <n v="5"/>
    <n v="7937"/>
    <n v="1354"/>
    <n v="11"/>
    <n v="278"/>
    <n v="47"/>
    <n v="6"/>
    <m/>
    <n v="1"/>
    <n v="4216"/>
    <n v="5245"/>
    <n v="236"/>
    <n v="2000"/>
    <n v="150"/>
    <m/>
    <n v="11847"/>
    <n v="263"/>
    <n v="10313"/>
    <n v="1271"/>
    <s v="2015"/>
    <n v="371"/>
    <n v="77"/>
    <m/>
    <n v="50"/>
    <m/>
    <m/>
  </r>
  <r>
    <n v="106361266"/>
    <s v="361266"/>
    <x v="220"/>
    <x v="34"/>
    <x v="2"/>
    <s v="General Acute Care Hospital"/>
    <s v="29101 HOSPITAL ROAD"/>
    <s v="LAKE ARROWHEAD"/>
    <s v="92352"/>
    <s v="Beds 1-49"/>
    <m/>
    <n v="8"/>
    <x v="59"/>
    <x v="31"/>
    <s v="Blue Jay/Crestline/Lake Arrowhead/Skyforest/Twin Peaks"/>
    <s v="Rural"/>
    <x v="1"/>
    <x v="0"/>
    <x v="1"/>
    <n v="5280"/>
    <n v="4515"/>
    <n v="1"/>
    <n v="1116"/>
    <n v="1207"/>
    <n v="1589"/>
    <n v="1274"/>
    <n v="964"/>
    <n v="1480"/>
    <n v="1118"/>
    <n v="558"/>
    <n v="342"/>
    <n v="148"/>
    <m/>
    <n v="64"/>
    <n v="141"/>
    <n v="1958"/>
    <n v="67"/>
    <n v="180"/>
    <n v="98"/>
    <n v="7288"/>
    <n v="652"/>
    <n v="173"/>
    <n v="10"/>
    <m/>
    <m/>
    <m/>
    <m/>
    <n v="7"/>
    <m/>
    <n v="2"/>
    <n v="8913"/>
    <m/>
    <m/>
    <m/>
    <n v="35"/>
    <n v="5122"/>
    <n v="1614"/>
    <n v="212"/>
    <n v="2494"/>
    <n v="347"/>
    <n v="7"/>
    <n v="9796"/>
    <n v="21"/>
    <n v="9503"/>
    <n v="272"/>
    <n v="57"/>
    <n v="47"/>
    <m/>
    <n v="1"/>
    <n v="10"/>
    <n v="12"/>
    <n v="10"/>
    <n v="26"/>
    <n v="15"/>
    <n v="16"/>
    <n v="13"/>
    <m/>
    <n v="1"/>
    <m/>
    <n v="1"/>
    <m/>
    <n v="13"/>
    <n v="3"/>
    <m/>
    <n v="87"/>
    <m/>
    <n v="2"/>
    <n v="3"/>
    <m/>
    <m/>
    <n v="1"/>
    <m/>
    <n v="4"/>
    <n v="92"/>
    <n v="2"/>
    <m/>
    <m/>
    <m/>
    <m/>
    <m/>
    <m/>
    <n v="30"/>
    <n v="40"/>
    <m/>
    <n v="27"/>
    <n v="6"/>
    <n v="1"/>
    <n v="104"/>
    <m/>
    <n v="100"/>
    <n v="4"/>
    <s v="2015"/>
    <n v="37"/>
    <n v="6"/>
    <n v="4"/>
    <m/>
    <m/>
    <m/>
  </r>
  <r>
    <n v="106361308"/>
    <s v="361308"/>
    <x v="221"/>
    <x v="34"/>
    <x v="1"/>
    <s v="General Acute Care Hospital"/>
    <s v="350 TERRACINA BOULEVARD"/>
    <s v="REDLANDS"/>
    <s v="92373"/>
    <s v="Beds 200-299"/>
    <m/>
    <n v="31"/>
    <x v="61"/>
    <x v="31"/>
    <s v="Mentone/Redlands South/Yucaipa"/>
    <s v="Urban"/>
    <x v="0"/>
    <x v="0"/>
    <x v="0"/>
    <n v="23146"/>
    <n v="15986"/>
    <m/>
    <n v="3977"/>
    <n v="4191"/>
    <n v="7517"/>
    <n v="5809"/>
    <n v="4525"/>
    <n v="4658"/>
    <n v="3060"/>
    <n v="2039"/>
    <n v="2297"/>
    <n v="1059"/>
    <m/>
    <n v="665"/>
    <n v="2601"/>
    <n v="14731"/>
    <n v="47"/>
    <n v="1027"/>
    <n v="346"/>
    <n v="19715"/>
    <n v="605"/>
    <n v="1133"/>
    <n v="60"/>
    <n v="13"/>
    <n v="3"/>
    <m/>
    <m/>
    <m/>
    <n v="92"/>
    <n v="2"/>
    <n v="36925"/>
    <n v="95"/>
    <n v="2"/>
    <m/>
    <n v="172"/>
    <n v="19798"/>
    <n v="6278"/>
    <n v="320"/>
    <n v="10150"/>
    <n v="2586"/>
    <m/>
    <n v="39132"/>
    <n v="91"/>
    <n v="38154"/>
    <n v="887"/>
    <n v="2891"/>
    <n v="2284"/>
    <m/>
    <n v="56"/>
    <n v="369"/>
    <n v="414"/>
    <n v="508"/>
    <n v="736"/>
    <n v="927"/>
    <n v="907"/>
    <n v="1245"/>
    <n v="13"/>
    <m/>
    <m/>
    <n v="103"/>
    <n v="275"/>
    <n v="1023"/>
    <n v="89"/>
    <n v="11"/>
    <n v="3671"/>
    <n v="3"/>
    <n v="5"/>
    <n v="833"/>
    <n v="189"/>
    <n v="18"/>
    <m/>
    <m/>
    <n v="324"/>
    <n v="2453"/>
    <n v="24"/>
    <m/>
    <n v="1111"/>
    <m/>
    <n v="217"/>
    <m/>
    <n v="1"/>
    <n v="1089"/>
    <n v="2934"/>
    <n v="4"/>
    <n v="1118"/>
    <n v="30"/>
    <m/>
    <n v="5175"/>
    <n v="16"/>
    <n v="5039"/>
    <n v="120"/>
    <s v="2015"/>
    <n v="229"/>
    <n v="21"/>
    <m/>
    <n v="30"/>
    <m/>
    <m/>
  </r>
  <r>
    <n v="106361318"/>
    <s v="361318"/>
    <x v="222"/>
    <x v="34"/>
    <x v="1"/>
    <s v="General Acute Care Hospital"/>
    <s v="999 SAN BERNARDINO ROAD"/>
    <s v="UPLAND"/>
    <s v="91786"/>
    <s v="Beds 200-299"/>
    <m/>
    <n v="31"/>
    <x v="32"/>
    <x v="21"/>
    <s v="Montclair/Ontario Northwest/Upland South"/>
    <s v="Urban"/>
    <x v="0"/>
    <x v="0"/>
    <x v="0"/>
    <n v="37690"/>
    <n v="28131"/>
    <n v="1"/>
    <n v="7124"/>
    <n v="6810"/>
    <n v="10934"/>
    <n v="9382"/>
    <n v="8435"/>
    <n v="8323"/>
    <n v="5703"/>
    <n v="3970"/>
    <n v="3686"/>
    <n v="1455"/>
    <m/>
    <n v="1985"/>
    <n v="7322"/>
    <n v="28819"/>
    <n v="66"/>
    <n v="5281"/>
    <n v="155"/>
    <n v="22194"/>
    <n v="328"/>
    <n v="334"/>
    <n v="183"/>
    <n v="42"/>
    <n v="18"/>
    <n v="9"/>
    <m/>
    <n v="245"/>
    <n v="170"/>
    <m/>
    <n v="63653"/>
    <n v="147"/>
    <m/>
    <m/>
    <n v="365"/>
    <n v="24009"/>
    <n v="22900"/>
    <n v="1522"/>
    <n v="10953"/>
    <n v="6429"/>
    <n v="9"/>
    <n v="65822"/>
    <n v="271"/>
    <n v="63641"/>
    <n v="1910"/>
    <n v="6129"/>
    <n v="5636"/>
    <m/>
    <n v="268"/>
    <n v="622"/>
    <n v="797"/>
    <n v="1218"/>
    <n v="1960"/>
    <n v="2031"/>
    <n v="2126"/>
    <n v="2429"/>
    <n v="119"/>
    <n v="195"/>
    <m/>
    <n v="505"/>
    <n v="972"/>
    <n v="3882"/>
    <n v="1015"/>
    <n v="33"/>
    <n v="5334"/>
    <n v="24"/>
    <n v="170"/>
    <n v="941"/>
    <n v="390"/>
    <n v="1333"/>
    <n v="419"/>
    <m/>
    <m/>
    <n v="7168"/>
    <n v="691"/>
    <n v="8"/>
    <n v="282"/>
    <n v="15"/>
    <n v="147"/>
    <m/>
    <n v="169"/>
    <n v="2358"/>
    <n v="5746"/>
    <n v="218"/>
    <n v="3332"/>
    <n v="110"/>
    <n v="1"/>
    <n v="11765"/>
    <n v="147"/>
    <n v="10961"/>
    <n v="657"/>
    <s v="2015"/>
    <n v="271"/>
    <n v="31"/>
    <n v="328"/>
    <m/>
    <n v="32"/>
    <m/>
  </r>
  <r>
    <n v="106361323"/>
    <s v="361323"/>
    <x v="223"/>
    <x v="34"/>
    <x v="1"/>
    <s v="General Acute Care Hospital"/>
    <s v="1805 MEDICAL CENTER DRIVE"/>
    <s v="SAN BERNARDINO"/>
    <s v="92411"/>
    <s v="Beds 300-499"/>
    <m/>
    <n v="31"/>
    <x v="61"/>
    <x v="31"/>
    <s v="Muscoy/San Bernardino Central"/>
    <s v="Urban"/>
    <x v="0"/>
    <x v="0"/>
    <x v="0"/>
    <n v="31445"/>
    <n v="23184"/>
    <m/>
    <n v="10611"/>
    <n v="7317"/>
    <n v="10875"/>
    <n v="7523"/>
    <n v="5939"/>
    <n v="5376"/>
    <n v="2529"/>
    <n v="1069"/>
    <n v="512"/>
    <n v="2878"/>
    <m/>
    <n v="742"/>
    <n v="10756"/>
    <n v="33328"/>
    <n v="41"/>
    <n v="662"/>
    <n v="380"/>
    <n v="8720"/>
    <n v="481"/>
    <n v="4600"/>
    <n v="48"/>
    <n v="3"/>
    <m/>
    <n v="19"/>
    <m/>
    <n v="24"/>
    <n v="37"/>
    <n v="53"/>
    <n v="49271"/>
    <n v="73"/>
    <m/>
    <n v="20"/>
    <m/>
    <n v="43305"/>
    <n v="3654"/>
    <n v="651"/>
    <n v="3009"/>
    <n v="3979"/>
    <n v="31"/>
    <n v="54629"/>
    <n v="196"/>
    <n v="45317"/>
    <n v="9116"/>
    <n v="3197"/>
    <n v="3334"/>
    <m/>
    <n v="191"/>
    <n v="886"/>
    <n v="989"/>
    <n v="1072"/>
    <n v="1371"/>
    <n v="805"/>
    <n v="518"/>
    <n v="358"/>
    <n v="178"/>
    <n v="163"/>
    <m/>
    <n v="121"/>
    <n v="1489"/>
    <n v="2848"/>
    <n v="74"/>
    <n v="16"/>
    <n v="1967"/>
    <n v="16"/>
    <n v="115"/>
    <n v="355"/>
    <n v="73"/>
    <n v="252"/>
    <n v="26"/>
    <m/>
    <n v="19"/>
    <n v="5313"/>
    <n v="210"/>
    <m/>
    <n v="14"/>
    <n v="27"/>
    <n v="104"/>
    <n v="5"/>
    <m/>
    <n v="4327"/>
    <n v="1688"/>
    <n v="37"/>
    <n v="449"/>
    <n v="30"/>
    <m/>
    <n v="6531"/>
    <n v="27"/>
    <n v="5628"/>
    <n v="876"/>
    <s v="2015"/>
    <n v="347"/>
    <n v="19"/>
    <m/>
    <m/>
    <m/>
    <n v="18"/>
  </r>
  <r>
    <n v="106361339"/>
    <s v="361339"/>
    <x v="224"/>
    <x v="34"/>
    <x v="1"/>
    <s v="General Acute Care Hospital"/>
    <s v="2101 NORTH WATERMAN AVENUE"/>
    <s v="SAN BERNARDINO"/>
    <s v="92404"/>
    <s v="Beds 300-499"/>
    <m/>
    <n v="31"/>
    <x v="61"/>
    <x v="31"/>
    <s v="Highland/San Bernardino East"/>
    <s v="Urban"/>
    <x v="0"/>
    <x v="0"/>
    <x v="0"/>
    <n v="36060"/>
    <n v="28924"/>
    <n v="3"/>
    <n v="8424"/>
    <n v="6729"/>
    <n v="13062"/>
    <n v="9649"/>
    <n v="7999"/>
    <n v="8705"/>
    <n v="4617"/>
    <n v="2268"/>
    <n v="1523"/>
    <n v="2010"/>
    <n v="1"/>
    <n v="1245"/>
    <n v="17286"/>
    <n v="29369"/>
    <n v="164"/>
    <n v="614"/>
    <n v="441"/>
    <n v="15868"/>
    <n v="1032"/>
    <n v="5521"/>
    <n v="168"/>
    <n v="8"/>
    <n v="2"/>
    <n v="4"/>
    <m/>
    <n v="58"/>
    <n v="143"/>
    <n v="9"/>
    <n v="57900"/>
    <n v="133"/>
    <n v="8"/>
    <m/>
    <n v="1"/>
    <n v="44150"/>
    <n v="8233"/>
    <n v="447"/>
    <n v="5314"/>
    <n v="6833"/>
    <n v="10"/>
    <n v="64987"/>
    <n v="201"/>
    <n v="60651"/>
    <n v="4135"/>
    <n v="4927"/>
    <n v="4034"/>
    <m/>
    <n v="165"/>
    <n v="886"/>
    <n v="747"/>
    <n v="952"/>
    <n v="1831"/>
    <n v="1823"/>
    <n v="1391"/>
    <n v="1140"/>
    <n v="26"/>
    <m/>
    <m/>
    <n v="288"/>
    <n v="1709"/>
    <n v="3298"/>
    <n v="119"/>
    <n v="68"/>
    <n v="3451"/>
    <n v="28"/>
    <n v="322"/>
    <n v="335"/>
    <n v="329"/>
    <n v="1096"/>
    <n v="122"/>
    <m/>
    <n v="1"/>
    <n v="5234"/>
    <n v="1226"/>
    <n v="6"/>
    <n v="213"/>
    <n v="77"/>
    <m/>
    <m/>
    <m/>
    <n v="3894"/>
    <n v="3785"/>
    <n v="116"/>
    <n v="943"/>
    <n v="222"/>
    <n v="1"/>
    <n v="8961"/>
    <n v="56"/>
    <n v="8091"/>
    <n v="814"/>
    <s v="2015"/>
    <n v="427"/>
    <n v="24"/>
    <m/>
    <m/>
    <m/>
    <m/>
  </r>
  <r>
    <n v="106361343"/>
    <s v="361343"/>
    <x v="225"/>
    <x v="34"/>
    <x v="1"/>
    <s v="General Acute Care Hospital"/>
    <s v="18300 US HIGHWAY 18"/>
    <s v="APPLE VALLEY"/>
    <s v="92307"/>
    <s v="Beds 200-299"/>
    <m/>
    <n v="8"/>
    <x v="59"/>
    <x v="13"/>
    <s v="Apple Valley/Hesperia East"/>
    <s v="Urban"/>
    <x v="1"/>
    <x v="0"/>
    <x v="0"/>
    <n v="36802"/>
    <n v="26856"/>
    <n v="2"/>
    <n v="9110"/>
    <n v="6936"/>
    <n v="10348"/>
    <n v="8469"/>
    <n v="6950"/>
    <n v="7368"/>
    <n v="5270"/>
    <n v="3781"/>
    <n v="2965"/>
    <n v="2463"/>
    <m/>
    <n v="489"/>
    <n v="9726"/>
    <n v="16340"/>
    <n v="39"/>
    <n v="2276"/>
    <n v="502"/>
    <n v="34288"/>
    <n v="2031"/>
    <n v="3100"/>
    <n v="90"/>
    <n v="485"/>
    <n v="64"/>
    <m/>
    <m/>
    <n v="109"/>
    <n v="67"/>
    <n v="10"/>
    <n v="57439"/>
    <n v="185"/>
    <m/>
    <m/>
    <n v="80"/>
    <n v="35559"/>
    <n v="12326"/>
    <n v="1155"/>
    <n v="10973"/>
    <n v="3647"/>
    <m/>
    <n v="63660"/>
    <n v="121"/>
    <n v="60492"/>
    <n v="3047"/>
    <n v="5775"/>
    <n v="4947"/>
    <m/>
    <n v="187"/>
    <n v="675"/>
    <n v="888"/>
    <n v="1212"/>
    <n v="2197"/>
    <n v="2116"/>
    <n v="1647"/>
    <n v="1486"/>
    <n v="155"/>
    <n v="159"/>
    <m/>
    <n v="100"/>
    <n v="1464"/>
    <n v="2227"/>
    <n v="273"/>
    <n v="13"/>
    <n v="6637"/>
    <n v="8"/>
    <n v="35"/>
    <n v="322"/>
    <n v="204"/>
    <n v="1567"/>
    <n v="1"/>
    <m/>
    <n v="7"/>
    <n v="7066"/>
    <n v="952"/>
    <n v="35"/>
    <n v="213"/>
    <n v="2"/>
    <n v="310"/>
    <m/>
    <n v="8"/>
    <n v="3701"/>
    <n v="5182"/>
    <n v="213"/>
    <n v="1481"/>
    <n v="145"/>
    <m/>
    <n v="10722"/>
    <n v="44"/>
    <n v="10004"/>
    <n v="674"/>
    <s v="2015"/>
    <n v="212"/>
    <n v="34"/>
    <m/>
    <m/>
    <m/>
    <m/>
  </r>
  <r>
    <n v="106361370"/>
    <s v="361370"/>
    <x v="226"/>
    <x v="34"/>
    <x v="0"/>
    <s v="General Acute Care Hospital"/>
    <s v="15248 ELEVENTH STREET"/>
    <s v="VICTORVILLE"/>
    <s v="92395"/>
    <s v="Beds 100-149"/>
    <m/>
    <n v="8"/>
    <x v="59"/>
    <x v="13"/>
    <s v="Hesperia West/Mountain View Acres/Victorville Central and South"/>
    <s v="Urban"/>
    <x v="1"/>
    <x v="0"/>
    <x v="0"/>
    <n v="21526"/>
    <n v="16267"/>
    <n v="5"/>
    <n v="5955"/>
    <n v="4892"/>
    <n v="6903"/>
    <n v="5932"/>
    <n v="4691"/>
    <n v="4357"/>
    <n v="2157"/>
    <n v="911"/>
    <n v="620"/>
    <n v="1376"/>
    <n v="4"/>
    <n v="391"/>
    <m/>
    <n v="14143"/>
    <n v="76"/>
    <n v="9929"/>
    <n v="1176"/>
    <n v="12083"/>
    <n v="447"/>
    <n v="4471"/>
    <n v="114"/>
    <n v="1"/>
    <n v="2"/>
    <n v="3"/>
    <m/>
    <n v="191"/>
    <m/>
    <n v="290"/>
    <n v="32243"/>
    <n v="9"/>
    <n v="3"/>
    <m/>
    <m/>
    <n v="28756"/>
    <n v="2167"/>
    <n v="368"/>
    <n v="2969"/>
    <n v="3538"/>
    <m/>
    <n v="37798"/>
    <n v="93"/>
    <n v="35822"/>
    <n v="1883"/>
    <n v="2527"/>
    <n v="1401"/>
    <m/>
    <n v="193"/>
    <n v="804"/>
    <n v="610"/>
    <n v="435"/>
    <n v="615"/>
    <n v="517"/>
    <n v="339"/>
    <n v="316"/>
    <n v="31"/>
    <n v="68"/>
    <m/>
    <n v="59"/>
    <n v="825"/>
    <n v="1331"/>
    <m/>
    <n v="33"/>
    <n v="1649"/>
    <n v="31"/>
    <n v="115"/>
    <n v="177"/>
    <n v="86"/>
    <n v="2"/>
    <m/>
    <m/>
    <m/>
    <n v="3170"/>
    <n v="212"/>
    <n v="58"/>
    <n v="100"/>
    <m/>
    <n v="4"/>
    <m/>
    <m/>
    <n v="2170"/>
    <n v="1101"/>
    <n v="6"/>
    <n v="624"/>
    <n v="27"/>
    <m/>
    <n v="3928"/>
    <m/>
    <n v="3679"/>
    <n v="249"/>
    <s v="2015"/>
    <n v="101"/>
    <n v="16"/>
    <n v="24"/>
    <m/>
    <m/>
    <n v="4"/>
  </r>
  <r>
    <n v="106361458"/>
    <s v="361458"/>
    <x v="227"/>
    <x v="34"/>
    <x v="1"/>
    <s v="General Acute Care Hospital"/>
    <s v="1401 BAILEY AVENUE"/>
    <s v="NEEDLES"/>
    <s v="92363"/>
    <s v="Beds 1-49"/>
    <m/>
    <n v="8"/>
    <x v="59"/>
    <x v="11"/>
    <s v="Big River/Needles"/>
    <s v="Frontier"/>
    <x v="1"/>
    <x v="0"/>
    <x v="1"/>
    <n v="3031"/>
    <n v="2602"/>
    <m/>
    <n v="540"/>
    <n v="545"/>
    <n v="686"/>
    <n v="787"/>
    <n v="806"/>
    <n v="975"/>
    <n v="688"/>
    <n v="349"/>
    <n v="197"/>
    <n v="60"/>
    <m/>
    <n v="18"/>
    <n v="204"/>
    <n v="671"/>
    <n v="445"/>
    <n v="35"/>
    <n v="2"/>
    <n v="4258"/>
    <n v="234"/>
    <n v="201"/>
    <n v="7"/>
    <m/>
    <n v="2"/>
    <n v="1"/>
    <m/>
    <n v="56"/>
    <m/>
    <m/>
    <n v="4921"/>
    <m/>
    <n v="3"/>
    <n v="208"/>
    <m/>
    <n v="2889"/>
    <n v="1262"/>
    <n v="90"/>
    <n v="1038"/>
    <n v="354"/>
    <m/>
    <n v="5633"/>
    <n v="5"/>
    <n v="5601"/>
    <n v="27"/>
    <n v="242"/>
    <n v="233"/>
    <m/>
    <n v="10"/>
    <n v="21"/>
    <n v="30"/>
    <n v="45"/>
    <n v="121"/>
    <n v="106"/>
    <n v="79"/>
    <n v="56"/>
    <m/>
    <n v="7"/>
    <m/>
    <n v="1"/>
    <n v="11"/>
    <n v="60"/>
    <n v="3"/>
    <m/>
    <n v="359"/>
    <n v="41"/>
    <n v="32"/>
    <n v="18"/>
    <n v="1"/>
    <n v="5"/>
    <n v="3"/>
    <m/>
    <n v="2"/>
    <n v="406"/>
    <n v="4"/>
    <m/>
    <n v="2"/>
    <m/>
    <n v="1"/>
    <n v="1"/>
    <m/>
    <n v="189"/>
    <n v="226"/>
    <n v="6"/>
    <n v="47"/>
    <n v="7"/>
    <m/>
    <n v="475"/>
    <n v="1"/>
    <n v="473"/>
    <n v="1"/>
    <s v="2015"/>
    <n v="25"/>
    <n v="4"/>
    <m/>
    <m/>
    <m/>
    <m/>
  </r>
  <r>
    <n v="106362041"/>
    <s v="362041"/>
    <x v="228"/>
    <x v="34"/>
    <x v="2"/>
    <s v="General Acute Care Hospital"/>
    <s v="6601 WHITE FEATHER ROAD"/>
    <s v="JOSHUA TREE"/>
    <s v="92252"/>
    <s v="Beds 150-199"/>
    <m/>
    <n v="8"/>
    <x v="52"/>
    <x v="11"/>
    <s v="Joshua Tree/Landers/Morongo Valley/Rimrock/Yucca Valley"/>
    <s v="Rural"/>
    <x v="1"/>
    <x v="0"/>
    <x v="0"/>
    <n v="12561"/>
    <n v="9765"/>
    <m/>
    <n v="2592"/>
    <n v="2105"/>
    <n v="3655"/>
    <n v="3002"/>
    <n v="2670"/>
    <n v="3362"/>
    <n v="2197"/>
    <n v="1126"/>
    <n v="993"/>
    <n v="624"/>
    <m/>
    <n v="890"/>
    <n v="1206"/>
    <n v="3125"/>
    <n v="4135"/>
    <n v="410"/>
    <n v="29"/>
    <n v="12531"/>
    <n v="972"/>
    <n v="1048"/>
    <n v="45"/>
    <n v="11"/>
    <n v="1"/>
    <m/>
    <m/>
    <n v="29"/>
    <n v="13"/>
    <m/>
    <n v="19965"/>
    <n v="139"/>
    <m/>
    <m/>
    <n v="13"/>
    <n v="10156"/>
    <n v="4396"/>
    <n v="991"/>
    <n v="5498"/>
    <n v="1285"/>
    <m/>
    <n v="22326"/>
    <n v="39"/>
    <n v="21887"/>
    <n v="400"/>
    <n v="1134"/>
    <n v="888"/>
    <m/>
    <n v="23"/>
    <n v="75"/>
    <n v="100"/>
    <n v="173"/>
    <n v="372"/>
    <n v="427"/>
    <n v="386"/>
    <n v="451"/>
    <n v="5"/>
    <n v="10"/>
    <m/>
    <n v="40"/>
    <n v="100"/>
    <n v="167"/>
    <n v="25"/>
    <n v="1"/>
    <n v="1685"/>
    <n v="4"/>
    <n v="2"/>
    <n v="298"/>
    <n v="51"/>
    <n v="111"/>
    <m/>
    <m/>
    <n v="194"/>
    <n v="1269"/>
    <n v="4"/>
    <m/>
    <m/>
    <m/>
    <n v="93"/>
    <m/>
    <m/>
    <n v="545"/>
    <n v="631"/>
    <n v="35"/>
    <n v="801"/>
    <n v="10"/>
    <m/>
    <n v="2022"/>
    <n v="4"/>
    <n v="1979"/>
    <n v="39"/>
    <s v="2015"/>
    <n v="179"/>
    <n v="15"/>
    <m/>
    <n v="90"/>
    <m/>
    <m/>
  </r>
  <r>
    <n v="106364144"/>
    <s v="364144"/>
    <x v="229"/>
    <x v="34"/>
    <x v="3"/>
    <s v="General Acute Care Hospital"/>
    <s v="16850 BEAR VALLEY ROAD"/>
    <s v="VICTORVILLE"/>
    <s v="92395"/>
    <s v="Beds 100-149"/>
    <m/>
    <n v="8"/>
    <x v="59"/>
    <x v="13"/>
    <s v="Hesperia West/Mountain View Acres/Victorville Central and South"/>
    <s v="Urban"/>
    <x v="0"/>
    <x v="0"/>
    <x v="0"/>
    <n v="18673"/>
    <n v="14802"/>
    <m/>
    <n v="4837"/>
    <n v="4234"/>
    <n v="6161"/>
    <n v="5201"/>
    <n v="4008"/>
    <n v="3629"/>
    <n v="2209"/>
    <n v="1242"/>
    <n v="883"/>
    <n v="1071"/>
    <m/>
    <n v="556"/>
    <n v="7034"/>
    <n v="729"/>
    <n v="100"/>
    <n v="13365"/>
    <n v="50"/>
    <n v="11641"/>
    <n v="1142"/>
    <n v="3088"/>
    <n v="173"/>
    <n v="1"/>
    <n v="2"/>
    <n v="1"/>
    <m/>
    <n v="94"/>
    <n v="19"/>
    <n v="2"/>
    <n v="28934"/>
    <n v="12"/>
    <m/>
    <n v="6"/>
    <m/>
    <n v="4574"/>
    <n v="4625"/>
    <n v="1052"/>
    <n v="20544"/>
    <n v="2680"/>
    <m/>
    <n v="33475"/>
    <n v="49"/>
    <n v="33293"/>
    <n v="133"/>
    <n v="4695"/>
    <n v="3669"/>
    <m/>
    <n v="100"/>
    <n v="556"/>
    <n v="737"/>
    <n v="954"/>
    <n v="1704"/>
    <n v="1675"/>
    <n v="1190"/>
    <n v="1448"/>
    <m/>
    <m/>
    <m/>
    <n v="170"/>
    <n v="1296"/>
    <n v="291"/>
    <n v="2336"/>
    <n v="14"/>
    <n v="4220"/>
    <n v="37"/>
    <n v="329"/>
    <n v="353"/>
    <n v="164"/>
    <n v="1208"/>
    <n v="35"/>
    <m/>
    <n v="1"/>
    <n v="5428"/>
    <n v="504"/>
    <n v="73"/>
    <n v="240"/>
    <n v="28"/>
    <m/>
    <m/>
    <n v="1"/>
    <n v="3000"/>
    <n v="3847"/>
    <n v="223"/>
    <n v="1200"/>
    <n v="94"/>
    <m/>
    <n v="8364"/>
    <n v="1"/>
    <n v="8303"/>
    <n v="60"/>
    <s v="2015"/>
    <n v="148"/>
    <n v="21"/>
    <m/>
    <n v="1"/>
    <m/>
    <m/>
  </r>
  <r>
    <n v="106364231"/>
    <s v="364231"/>
    <x v="230"/>
    <x v="34"/>
    <x v="0"/>
    <s v="General Acute Care Hospital"/>
    <s v="400 N. PEPPER AVENUE"/>
    <s v="COLTON"/>
    <s v="92324-1816"/>
    <s v="Beds 300-499"/>
    <s v="Level II"/>
    <n v="31"/>
    <x v="60"/>
    <x v="23"/>
    <s v="Bloomington/Colton Central and West/Fontana South/Rialto South"/>
    <s v="Urban"/>
    <x v="0"/>
    <x v="1"/>
    <x v="0"/>
    <n v="41140"/>
    <n v="39645"/>
    <m/>
    <n v="7160"/>
    <n v="7517"/>
    <n v="18891"/>
    <n v="13829"/>
    <n v="11738"/>
    <n v="11765"/>
    <n v="5724"/>
    <n v="1502"/>
    <n v="833"/>
    <n v="1826"/>
    <m/>
    <n v="1169"/>
    <n v="12380"/>
    <n v="48792"/>
    <n v="112"/>
    <n v="1377"/>
    <n v="1125"/>
    <n v="15830"/>
    <n v="204"/>
    <n v="3494"/>
    <n v="104"/>
    <n v="20"/>
    <n v="4"/>
    <n v="12"/>
    <m/>
    <n v="1917"/>
    <n v="1127"/>
    <n v="229"/>
    <n v="73321"/>
    <n v="235"/>
    <m/>
    <m/>
    <n v="103"/>
    <n v="61922"/>
    <n v="2979"/>
    <n v="5575"/>
    <n v="3277"/>
    <n v="7032"/>
    <m/>
    <n v="80785"/>
    <n v="705"/>
    <n v="65433"/>
    <n v="14647"/>
    <n v="6710"/>
    <n v="8548"/>
    <m/>
    <n v="513"/>
    <n v="2487"/>
    <n v="2292"/>
    <n v="2412"/>
    <n v="3229"/>
    <n v="2055"/>
    <n v="950"/>
    <n v="773"/>
    <n v="216"/>
    <n v="331"/>
    <m/>
    <n v="304"/>
    <n v="2417"/>
    <n v="7519"/>
    <n v="321"/>
    <n v="287"/>
    <n v="4366"/>
    <n v="44"/>
    <n v="316"/>
    <n v="446"/>
    <n v="80"/>
    <n v="120"/>
    <n v="31"/>
    <m/>
    <n v="47"/>
    <n v="12980"/>
    <n v="1068"/>
    <n v="99"/>
    <n v="9"/>
    <n v="43"/>
    <m/>
    <m/>
    <n v="19"/>
    <n v="11613"/>
    <n v="1840"/>
    <n v="224"/>
    <n v="1035"/>
    <n v="546"/>
    <m/>
    <n v="15258"/>
    <n v="238"/>
    <n v="12358"/>
    <n v="2662"/>
    <s v="2015"/>
    <n v="456"/>
    <n v="43"/>
    <m/>
    <n v="15"/>
    <m/>
    <m/>
  </r>
  <r>
    <n v="106364430"/>
    <s v="364430"/>
    <x v="231"/>
    <x v="34"/>
    <x v="3"/>
    <s v="General Acute Care Hospital"/>
    <s v="820 EAST MOUNTAIN VIEW ST"/>
    <s v="BARSTOW"/>
    <s v="92311"/>
    <s v="Beds 1-49"/>
    <m/>
    <n v="8"/>
    <x v="59"/>
    <x v="11"/>
    <s v="Barstow/Daggett/Lenwood/Nebo Center/Oro Grande/Yermo"/>
    <s v="Rural"/>
    <x v="1"/>
    <x v="0"/>
    <x v="0"/>
    <n v="17291"/>
    <n v="13521"/>
    <m/>
    <n v="4298"/>
    <n v="3218"/>
    <n v="5587"/>
    <n v="4741"/>
    <n v="3795"/>
    <n v="3943"/>
    <n v="2170"/>
    <n v="1126"/>
    <n v="882"/>
    <n v="1052"/>
    <m/>
    <n v="185"/>
    <n v="6143"/>
    <n v="8587"/>
    <n v="45"/>
    <n v="6"/>
    <n v="2"/>
    <n v="15844"/>
    <n v="401"/>
    <n v="833"/>
    <n v="57"/>
    <n v="14"/>
    <n v="7"/>
    <n v="6"/>
    <m/>
    <n v="84"/>
    <n v="23"/>
    <n v="4"/>
    <n v="29231"/>
    <n v="60"/>
    <n v="83"/>
    <m/>
    <n v="9"/>
    <n v="9882"/>
    <n v="4032"/>
    <n v="1203"/>
    <n v="14269"/>
    <n v="1424"/>
    <n v="2"/>
    <n v="30812"/>
    <n v="33"/>
    <n v="30161"/>
    <n v="618"/>
    <n v="836"/>
    <n v="821"/>
    <m/>
    <n v="31"/>
    <n v="85"/>
    <n v="108"/>
    <n v="171"/>
    <n v="357"/>
    <n v="349"/>
    <n v="286"/>
    <n v="267"/>
    <n v="3"/>
    <m/>
    <m/>
    <n v="19"/>
    <n v="236"/>
    <n v="370"/>
    <n v="1"/>
    <m/>
    <n v="1028"/>
    <n v="3"/>
    <n v="133"/>
    <n v="68"/>
    <n v="33"/>
    <n v="263"/>
    <n v="17"/>
    <m/>
    <n v="25"/>
    <n v="871"/>
    <n v="185"/>
    <m/>
    <n v="62"/>
    <m/>
    <m/>
    <m/>
    <m/>
    <n v="543"/>
    <n v="863"/>
    <n v="28"/>
    <n v="204"/>
    <n v="19"/>
    <m/>
    <n v="1657"/>
    <n v="5"/>
    <n v="1607"/>
    <n v="45"/>
    <s v="2015"/>
    <n v="30"/>
    <n v="16"/>
    <m/>
    <m/>
    <m/>
    <m/>
  </r>
  <r>
    <n v="106370652"/>
    <s v="370652"/>
    <x v="232"/>
    <x v="35"/>
    <x v="3"/>
    <s v="General Acute Care Hospital"/>
    <s v="6655 ALVARADO ROAD"/>
    <s v="SAN DIEGO"/>
    <s v="92120-5298"/>
    <s v="Beds 200-299"/>
    <m/>
    <n v="53"/>
    <x v="62"/>
    <x v="33"/>
    <s v="College Heights/Hillcrest Southeast/Kensington/Rolando North/University Heights"/>
    <s v="Urban"/>
    <x v="0"/>
    <x v="0"/>
    <x v="0"/>
    <n v="10374"/>
    <n v="9714"/>
    <m/>
    <n v="447"/>
    <n v="1596"/>
    <n v="4503"/>
    <n v="3552"/>
    <n v="3151"/>
    <n v="3215"/>
    <n v="1893"/>
    <n v="828"/>
    <n v="857"/>
    <n v="46"/>
    <m/>
    <n v="952"/>
    <n v="4153"/>
    <n v="3523"/>
    <n v="119"/>
    <n v="8"/>
    <n v="1"/>
    <n v="11332"/>
    <n v="168"/>
    <n v="238"/>
    <n v="16"/>
    <n v="227"/>
    <n v="4"/>
    <n v="4"/>
    <m/>
    <n v="144"/>
    <n v="142"/>
    <n v="9"/>
    <n v="18976"/>
    <n v="76"/>
    <n v="1"/>
    <n v="30"/>
    <n v="13"/>
    <n v="10525"/>
    <n v="4246"/>
    <n v="989"/>
    <n v="2416"/>
    <n v="1912"/>
    <m/>
    <n v="20088"/>
    <n v="301"/>
    <n v="19443"/>
    <n v="344"/>
    <n v="2041"/>
    <n v="2552"/>
    <m/>
    <n v="33"/>
    <n v="222"/>
    <n v="341"/>
    <n v="526"/>
    <n v="1013"/>
    <n v="889"/>
    <n v="680"/>
    <n v="889"/>
    <m/>
    <m/>
    <m/>
    <n v="378"/>
    <n v="621"/>
    <n v="788"/>
    <m/>
    <m/>
    <n v="2778"/>
    <n v="28"/>
    <n v="225"/>
    <n v="223"/>
    <n v="189"/>
    <n v="289"/>
    <n v="33"/>
    <m/>
    <n v="14"/>
    <n v="2109"/>
    <n v="1012"/>
    <n v="343"/>
    <n v="40"/>
    <n v="12"/>
    <m/>
    <m/>
    <n v="104"/>
    <n v="1589"/>
    <n v="2181"/>
    <n v="395"/>
    <n v="393"/>
    <n v="34"/>
    <n v="1"/>
    <n v="4593"/>
    <n v="202"/>
    <n v="4247"/>
    <n v="144"/>
    <s v="2015"/>
    <n v="226"/>
    <n v="16"/>
    <m/>
    <n v="40"/>
    <m/>
    <m/>
  </r>
  <r>
    <n v="106370673"/>
    <s v="370673"/>
    <x v="233"/>
    <x v="35"/>
    <x v="1"/>
    <s v="General Acute Care Hospital"/>
    <s v="3020 CHILDRENS WAY"/>
    <s v="SAN DIEGO"/>
    <s v="92123"/>
    <s v="Beds 500+"/>
    <s v="Level II - Pediatric"/>
    <n v="53"/>
    <x v="62"/>
    <x v="33"/>
    <s v="Bay Park/Five Points/Hillcrest Northwest/Mission Hills/Mission Valley/Morena/Normal Heights/Old Town/Serra Mesa"/>
    <s v="Urban"/>
    <x v="0"/>
    <x v="1"/>
    <x v="0"/>
    <n v="37854"/>
    <n v="44289"/>
    <n v="1"/>
    <n v="48047"/>
    <n v="22131"/>
    <n v="232"/>
    <n v="92"/>
    <n v="50"/>
    <n v="25"/>
    <n v="13"/>
    <n v="3"/>
    <n v="6"/>
    <n v="11545"/>
    <m/>
    <n v="4500"/>
    <n v="5239"/>
    <n v="43725"/>
    <n v="142"/>
    <n v="9094"/>
    <n v="315"/>
    <n v="19129"/>
    <n v="310"/>
    <n v="773"/>
    <n v="8"/>
    <n v="12"/>
    <m/>
    <n v="2"/>
    <m/>
    <n v="3"/>
    <n v="672"/>
    <m/>
    <n v="79863"/>
    <n v="1"/>
    <n v="3"/>
    <m/>
    <m/>
    <n v="50327"/>
    <n v="28"/>
    <n v="5561"/>
    <n v="20383"/>
    <n v="5793"/>
    <n v="52"/>
    <n v="82144"/>
    <n v="1961"/>
    <n v="65619"/>
    <n v="14564"/>
    <n v="3858"/>
    <n v="4721"/>
    <n v="1"/>
    <n v="2665"/>
    <n v="84"/>
    <n v="2"/>
    <m/>
    <m/>
    <m/>
    <m/>
    <m/>
    <n v="1796"/>
    <n v="4033"/>
    <m/>
    <n v="521"/>
    <n v="550"/>
    <n v="4246"/>
    <n v="806"/>
    <n v="29"/>
    <n v="2404"/>
    <n v="24"/>
    <n v="22"/>
    <m/>
    <n v="24"/>
    <n v="161"/>
    <n v="9"/>
    <m/>
    <n v="21"/>
    <n v="8245"/>
    <n v="14"/>
    <n v="11"/>
    <n v="10"/>
    <n v="45"/>
    <m/>
    <m/>
    <m/>
    <n v="3195"/>
    <n v="26"/>
    <n v="2016"/>
    <n v="2865"/>
    <n v="478"/>
    <m/>
    <n v="8580"/>
    <n v="167"/>
    <n v="6908"/>
    <n v="1505"/>
    <s v="2015"/>
    <n v="520"/>
    <n v="35"/>
    <n v="76"/>
    <n v="421"/>
    <m/>
    <n v="18"/>
  </r>
  <r>
    <n v="106370689"/>
    <s v="370689"/>
    <x v="234"/>
    <x v="35"/>
    <x v="1"/>
    <s v="General Acute Care Hospital"/>
    <s v="250 PROSPECT PLACE"/>
    <s v="CORONADO"/>
    <s v="92118"/>
    <s v="Beds 150-199"/>
    <m/>
    <n v="52"/>
    <x v="63"/>
    <x v="33"/>
    <s v="Castle Park/Chula Vista Southwest/Imperial Beach West/Nestor East/Palm City/San Ysidro/South San Diego"/>
    <s v="Urban"/>
    <x v="0"/>
    <x v="0"/>
    <x v="0"/>
    <n v="8525"/>
    <n v="6280"/>
    <m/>
    <n v="1036"/>
    <n v="1359"/>
    <n v="2593"/>
    <n v="2291"/>
    <n v="1976"/>
    <n v="2000"/>
    <n v="1290"/>
    <n v="971"/>
    <n v="1188"/>
    <n v="101"/>
    <m/>
    <n v="474"/>
    <n v="705"/>
    <n v="5041"/>
    <n v="22"/>
    <n v="972"/>
    <n v="41"/>
    <n v="7550"/>
    <n v="230"/>
    <n v="251"/>
    <n v="6"/>
    <n v="14"/>
    <m/>
    <n v="3"/>
    <m/>
    <n v="252"/>
    <n v="39"/>
    <n v="40"/>
    <n v="13895"/>
    <n v="53"/>
    <n v="18"/>
    <n v="1"/>
    <n v="2"/>
    <n v="5452"/>
    <n v="3012"/>
    <n v="1705"/>
    <n v="3834"/>
    <n v="802"/>
    <m/>
    <n v="14805"/>
    <n v="195"/>
    <n v="13309"/>
    <n v="1301"/>
    <n v="551"/>
    <n v="534"/>
    <m/>
    <n v="7"/>
    <n v="56"/>
    <n v="96"/>
    <n v="135"/>
    <n v="180"/>
    <n v="173"/>
    <n v="164"/>
    <n v="274"/>
    <m/>
    <m/>
    <m/>
    <n v="44"/>
    <n v="34"/>
    <n v="318"/>
    <n v="55"/>
    <n v="3"/>
    <n v="630"/>
    <n v="1"/>
    <n v="48"/>
    <n v="13"/>
    <n v="34"/>
    <n v="137"/>
    <m/>
    <m/>
    <n v="7"/>
    <n v="651"/>
    <n v="161"/>
    <n v="2"/>
    <n v="24"/>
    <n v="8"/>
    <m/>
    <m/>
    <m/>
    <n v="295"/>
    <n v="539"/>
    <n v="13"/>
    <n v="221"/>
    <n v="17"/>
    <m/>
    <n v="1085"/>
    <n v="15"/>
    <n v="919"/>
    <n v="151"/>
    <s v="2015"/>
    <n v="181"/>
    <n v="8"/>
    <m/>
    <n v="1"/>
    <m/>
    <m/>
  </r>
  <r>
    <n v="106370694"/>
    <s v="370694"/>
    <x v="235"/>
    <x v="35"/>
    <x v="1"/>
    <s v="General Acute Care Hospital"/>
    <s v="7901 FROST STREET"/>
    <s v="SAN DIEGO"/>
    <s v="92123"/>
    <s v="Beds 500+"/>
    <s v="Level II"/>
    <n v="53"/>
    <x v="62"/>
    <x v="33"/>
    <s v="Bay Park/Five Points/Hillcrest Northwest/Mission Hills/Mission Valley/Morena/Normal Heights/Old Town/Serra Mesa"/>
    <s v="Urban"/>
    <x v="0"/>
    <x v="0"/>
    <x v="0"/>
    <n v="45064"/>
    <n v="29765"/>
    <m/>
    <n v="790"/>
    <n v="4025"/>
    <n v="15995"/>
    <n v="13675"/>
    <n v="10607"/>
    <n v="11081"/>
    <n v="7577"/>
    <n v="5033"/>
    <n v="5915"/>
    <n v="131"/>
    <m/>
    <n v="6700"/>
    <n v="6740"/>
    <n v="18178"/>
    <n v="174"/>
    <n v="9077"/>
    <n v="1507"/>
    <n v="32453"/>
    <n v="235"/>
    <n v="1505"/>
    <n v="89"/>
    <n v="78"/>
    <n v="1"/>
    <n v="66"/>
    <m/>
    <n v="118"/>
    <n v="865"/>
    <n v="116"/>
    <n v="70373"/>
    <n v="1044"/>
    <n v="54"/>
    <n v="1"/>
    <n v="276"/>
    <n v="24745"/>
    <n v="16580"/>
    <n v="3878"/>
    <n v="25297"/>
    <n v="4329"/>
    <m/>
    <n v="74829"/>
    <n v="3846"/>
    <n v="65617"/>
    <n v="5366"/>
    <n v="6697"/>
    <n v="6716"/>
    <m/>
    <n v="178"/>
    <n v="929"/>
    <n v="1039"/>
    <n v="1413"/>
    <n v="2289"/>
    <n v="2475"/>
    <n v="2160"/>
    <n v="2930"/>
    <m/>
    <m/>
    <m/>
    <n v="1491"/>
    <n v="749"/>
    <n v="2428"/>
    <n v="1238"/>
    <n v="214"/>
    <n v="7249"/>
    <n v="44"/>
    <n v="374"/>
    <n v="120"/>
    <n v="568"/>
    <n v="1698"/>
    <n v="113"/>
    <m/>
    <n v="68"/>
    <n v="7970"/>
    <n v="2097"/>
    <n v="11"/>
    <n v="260"/>
    <n v="116"/>
    <m/>
    <m/>
    <n v="18"/>
    <n v="2826"/>
    <n v="6641"/>
    <n v="181"/>
    <n v="3607"/>
    <n v="158"/>
    <m/>
    <n v="13413"/>
    <n v="939"/>
    <n v="11503"/>
    <n v="971"/>
    <s v="2015"/>
    <n v="656"/>
    <n v="52"/>
    <m/>
    <n v="8"/>
    <m/>
    <m/>
  </r>
  <r>
    <n v="106370695"/>
    <s v="370695"/>
    <x v="236"/>
    <x v="35"/>
    <x v="1"/>
    <s v="General Acute Care Hospital"/>
    <s v="3003 HEALTH CENTER DRIVE"/>
    <s v="SAN DIEGO"/>
    <s v="92123"/>
    <s v="Beds 200-299"/>
    <m/>
    <n v="53"/>
    <x v="62"/>
    <x v="33"/>
    <s v="Bay Park/Five Points/Hillcrest Northwest/Mission Hills/Mission Valley/Morena/Normal Heights/Old Town/Serra Mesa"/>
    <s v="Urban"/>
    <x v="0"/>
    <x v="0"/>
    <x v="3"/>
    <m/>
    <m/>
    <m/>
    <m/>
    <m/>
    <m/>
    <m/>
    <m/>
    <m/>
    <m/>
    <m/>
    <m/>
    <m/>
    <m/>
    <m/>
    <m/>
    <m/>
    <m/>
    <m/>
    <m/>
    <m/>
    <m/>
    <m/>
    <m/>
    <m/>
    <m/>
    <m/>
    <m/>
    <m/>
    <m/>
    <m/>
    <m/>
    <m/>
    <m/>
    <m/>
    <m/>
    <m/>
    <m/>
    <m/>
    <m/>
    <m/>
    <m/>
    <m/>
    <m/>
    <m/>
    <m/>
    <n v="98"/>
    <m/>
    <m/>
    <n v="2"/>
    <n v="45"/>
    <n v="40"/>
    <n v="10"/>
    <n v="1"/>
    <m/>
    <m/>
    <m/>
    <m/>
    <m/>
    <m/>
    <n v="16"/>
    <n v="8"/>
    <n v="36"/>
    <n v="11"/>
    <m/>
    <n v="26"/>
    <n v="1"/>
    <m/>
    <m/>
    <m/>
    <n v="1"/>
    <m/>
    <m/>
    <m/>
    <n v="97"/>
    <m/>
    <m/>
    <m/>
    <m/>
    <m/>
    <m/>
    <m/>
    <n v="44"/>
    <m/>
    <n v="3"/>
    <n v="41"/>
    <n v="10"/>
    <m/>
    <n v="98"/>
    <n v="4"/>
    <n v="85"/>
    <n v="9"/>
    <s v="2015"/>
    <n v="206"/>
    <n v="0"/>
    <m/>
    <m/>
    <m/>
    <m/>
  </r>
  <r>
    <n v="106370714"/>
    <s v="370714"/>
    <x v="237"/>
    <x v="35"/>
    <x v="1"/>
    <s v="General Acute Care Hospital"/>
    <s v="5555 GROSSMONT CENTER DRIVE"/>
    <s v="LA MESA"/>
    <s v="91942"/>
    <s v="Beds 500+"/>
    <m/>
    <n v="53"/>
    <x v="62"/>
    <x v="34"/>
    <s v="La Mesa/Rolando South"/>
    <s v="Urban"/>
    <x v="0"/>
    <x v="0"/>
    <x v="0"/>
    <n v="47860"/>
    <n v="37234"/>
    <m/>
    <n v="5029"/>
    <n v="6918"/>
    <n v="17484"/>
    <n v="14036"/>
    <n v="11416"/>
    <n v="12498"/>
    <n v="7604"/>
    <n v="4294"/>
    <n v="4775"/>
    <n v="1040"/>
    <m/>
    <n v="1660"/>
    <n v="9048"/>
    <n v="18619"/>
    <n v="256"/>
    <n v="18445"/>
    <n v="871"/>
    <n v="36195"/>
    <n v="1080"/>
    <n v="6981"/>
    <n v="176"/>
    <n v="28"/>
    <m/>
    <n v="57"/>
    <m/>
    <n v="370"/>
    <n v="1596"/>
    <n v="229"/>
    <n v="73070"/>
    <n v="1197"/>
    <n v="278"/>
    <m/>
    <n v="30"/>
    <n v="45742"/>
    <n v="15717"/>
    <n v="3044"/>
    <n v="15075"/>
    <n v="5516"/>
    <m/>
    <n v="85094"/>
    <n v="5485"/>
    <n v="74773"/>
    <n v="4836"/>
    <n v="10451"/>
    <n v="9877"/>
    <m/>
    <n v="162"/>
    <n v="1334"/>
    <n v="1608"/>
    <n v="2101"/>
    <n v="3974"/>
    <n v="3810"/>
    <n v="3117"/>
    <n v="4221"/>
    <n v="1"/>
    <m/>
    <m/>
    <n v="457"/>
    <n v="1566"/>
    <n v="3244"/>
    <n v="3152"/>
    <n v="163"/>
    <n v="11675"/>
    <n v="71"/>
    <n v="390"/>
    <n v="425"/>
    <n v="770"/>
    <n v="1729"/>
    <n v="179"/>
    <m/>
    <n v="164"/>
    <n v="12442"/>
    <n v="3618"/>
    <n v="27"/>
    <n v="397"/>
    <n v="181"/>
    <m/>
    <m/>
    <n v="6"/>
    <n v="7069"/>
    <n v="10335"/>
    <n v="144"/>
    <n v="2498"/>
    <n v="282"/>
    <m/>
    <n v="20328"/>
    <n v="1101"/>
    <n v="18010"/>
    <n v="1217"/>
    <s v="2015"/>
    <n v="536"/>
    <n v="62"/>
    <m/>
    <n v="2"/>
    <m/>
    <m/>
  </r>
  <r>
    <n v="106370730"/>
    <s v="370730"/>
    <x v="238"/>
    <x v="35"/>
    <x v="1"/>
    <s v="General Acute Care Hospital"/>
    <s v="4647 ZION AVENUE"/>
    <s v="SAN DIEGO"/>
    <s v="92120"/>
    <s v="Beds 300-499"/>
    <m/>
    <n v="53"/>
    <x v="62"/>
    <x v="33"/>
    <s v="Allied Gardens/Del Cerro/Grantville/Miramar/Tierrasanta"/>
    <s v="Urban"/>
    <x v="0"/>
    <x v="0"/>
    <x v="0"/>
    <n v="52136"/>
    <n v="39153"/>
    <n v="2"/>
    <n v="6844"/>
    <n v="7558"/>
    <n v="12053"/>
    <n v="10711"/>
    <n v="10343"/>
    <n v="12191"/>
    <n v="11595"/>
    <n v="9000"/>
    <n v="9579"/>
    <n v="1417"/>
    <m/>
    <n v="7640"/>
    <n v="8458"/>
    <n v="25358"/>
    <n v="291"/>
    <n v="531"/>
    <n v="815"/>
    <n v="48198"/>
    <n v="908"/>
    <n v="521"/>
    <n v="40"/>
    <n v="684"/>
    <n v="80"/>
    <n v="9"/>
    <m/>
    <n v="9"/>
    <n v="724"/>
    <n v="10"/>
    <n v="87180"/>
    <n v="723"/>
    <n v="2"/>
    <n v="1"/>
    <n v="399"/>
    <n v="11122"/>
    <n v="24368"/>
    <n v="149"/>
    <n v="51737"/>
    <n v="3915"/>
    <m/>
    <n v="91291"/>
    <n v="1066"/>
    <n v="83669"/>
    <n v="6556"/>
    <n v="6440"/>
    <n v="6177"/>
    <n v="1"/>
    <n v="197"/>
    <n v="468"/>
    <n v="608"/>
    <n v="886"/>
    <n v="1649"/>
    <n v="2615"/>
    <n v="2708"/>
    <n v="3249"/>
    <n v="69"/>
    <n v="169"/>
    <m/>
    <n v="860"/>
    <n v="1038"/>
    <n v="2563"/>
    <n v="23"/>
    <n v="36"/>
    <n v="8066"/>
    <n v="32"/>
    <n v="321"/>
    <n v="97"/>
    <n v="521"/>
    <n v="3141"/>
    <n v="11"/>
    <m/>
    <n v="13"/>
    <n v="6311"/>
    <n v="1626"/>
    <m/>
    <n v="357"/>
    <n v="61"/>
    <n v="3"/>
    <n v="3"/>
    <n v="153"/>
    <n v="693"/>
    <n v="7432"/>
    <n v="26"/>
    <n v="4329"/>
    <n v="137"/>
    <n v="1"/>
    <n v="12618"/>
    <n v="161"/>
    <n v="11599"/>
    <n v="858"/>
    <s v="2015"/>
    <n v="414"/>
    <n v="76"/>
    <n v="1"/>
    <m/>
    <m/>
    <m/>
  </r>
  <r>
    <n v="106370744"/>
    <s v="370744"/>
    <x v="239"/>
    <x v="35"/>
    <x v="1"/>
    <s v="General Acute Care Hospital"/>
    <s v="4077 FIFTH AVENUE"/>
    <s v="SAN DIEGO"/>
    <s v="92103-2180"/>
    <s v="Beds 500+"/>
    <s v="Level I"/>
    <n v="53"/>
    <x v="63"/>
    <x v="33"/>
    <s v="Bay Park/Five Points/Hillcrest Northwest/Mission Hills/Mission Valley/Morena/Normal Heights/Old Town/Serra Mesa"/>
    <s v="Urban"/>
    <x v="0"/>
    <x v="1"/>
    <x v="0"/>
    <n v="51377"/>
    <n v="47223"/>
    <n v="1"/>
    <n v="5104"/>
    <n v="6792"/>
    <n v="19407"/>
    <n v="15558"/>
    <n v="13733"/>
    <n v="15498"/>
    <n v="10148"/>
    <n v="6077"/>
    <n v="5225"/>
    <n v="1059"/>
    <m/>
    <n v="3962"/>
    <n v="11564"/>
    <n v="46680"/>
    <n v="152"/>
    <n v="2203"/>
    <n v="107"/>
    <n v="33933"/>
    <n v="1521"/>
    <n v="3981"/>
    <n v="126"/>
    <n v="66"/>
    <n v="8"/>
    <n v="9"/>
    <m/>
    <m/>
    <n v="316"/>
    <n v="2"/>
    <n v="91776"/>
    <n v="392"/>
    <n v="12"/>
    <m/>
    <m/>
    <n v="51654"/>
    <n v="18345"/>
    <n v="2347"/>
    <n v="16267"/>
    <n v="9988"/>
    <m/>
    <n v="98601"/>
    <n v="1148"/>
    <n v="80702"/>
    <n v="16751"/>
    <n v="9960"/>
    <n v="11031"/>
    <m/>
    <n v="289"/>
    <n v="1696"/>
    <n v="1889"/>
    <n v="2391"/>
    <n v="3756"/>
    <n v="3771"/>
    <n v="3146"/>
    <n v="4049"/>
    <n v="4"/>
    <m/>
    <m/>
    <n v="1154"/>
    <n v="2300"/>
    <n v="8159"/>
    <n v="393"/>
    <n v="29"/>
    <n v="8935"/>
    <n v="21"/>
    <n v="603"/>
    <n v="506"/>
    <n v="598"/>
    <n v="2757"/>
    <n v="90"/>
    <m/>
    <n v="14"/>
    <n v="12320"/>
    <n v="3549"/>
    <n v="53"/>
    <n v="315"/>
    <n v="167"/>
    <m/>
    <m/>
    <n v="17"/>
    <n v="7562"/>
    <n v="9904"/>
    <n v="279"/>
    <n v="2577"/>
    <n v="669"/>
    <m/>
    <n v="20991"/>
    <n v="426"/>
    <n v="16088"/>
    <n v="4477"/>
    <s v="2015"/>
    <n v="501"/>
    <n v="52"/>
    <m/>
    <n v="392"/>
    <m/>
    <n v="2"/>
  </r>
  <r>
    <n v="106370755"/>
    <s v="370755"/>
    <x v="240"/>
    <x v="35"/>
    <x v="2"/>
    <s v="General Acute Care Hospital"/>
    <s v="555 E. VALLEY PARKWAY"/>
    <s v="ESCONDIDO"/>
    <s v="92025"/>
    <s v="Beds 200-299"/>
    <s v="Level II"/>
    <n v="50"/>
    <x v="55"/>
    <x v="34"/>
    <s v="Escondido Central and South/San Marcos Central and East"/>
    <s v="Urban"/>
    <x v="0"/>
    <x v="0"/>
    <x v="1"/>
    <n v="54348"/>
    <n v="41607"/>
    <n v="9"/>
    <n v="10182"/>
    <n v="9949"/>
    <n v="15814"/>
    <n v="12667"/>
    <n v="11393"/>
    <n v="11684"/>
    <n v="8597"/>
    <n v="6068"/>
    <n v="7365"/>
    <n v="2245"/>
    <m/>
    <n v="3185"/>
    <n v="3796"/>
    <n v="34771"/>
    <n v="882"/>
    <n v="3068"/>
    <n v="513"/>
    <n v="49749"/>
    <n v="1842"/>
    <m/>
    <n v="127"/>
    <n v="454"/>
    <n v="63"/>
    <n v="56"/>
    <m/>
    <n v="282"/>
    <n v="802"/>
    <n v="92"/>
    <n v="90494"/>
    <n v="1062"/>
    <n v="487"/>
    <m/>
    <n v="53"/>
    <n v="39705"/>
    <n v="18942"/>
    <n v="2389"/>
    <n v="28866"/>
    <n v="6062"/>
    <m/>
    <n v="95964"/>
    <n v="1228"/>
    <n v="83056"/>
    <n v="11680"/>
    <n v="7687"/>
    <n v="7338"/>
    <n v="2"/>
    <n v="288"/>
    <n v="1244"/>
    <n v="1232"/>
    <n v="1466"/>
    <n v="2300"/>
    <n v="2566"/>
    <n v="2307"/>
    <n v="3620"/>
    <n v="4"/>
    <m/>
    <m/>
    <n v="651"/>
    <n v="460"/>
    <n v="3155"/>
    <n v="406"/>
    <n v="45"/>
    <n v="10145"/>
    <n v="165"/>
    <n v="389"/>
    <n v="178"/>
    <n v="615"/>
    <n v="2310"/>
    <n v="392"/>
    <m/>
    <n v="230"/>
    <n v="7830"/>
    <n v="2605"/>
    <n v="12"/>
    <n v="349"/>
    <n v="54"/>
    <m/>
    <m/>
    <n v="18"/>
    <n v="3741"/>
    <n v="7506"/>
    <n v="184"/>
    <n v="3253"/>
    <n v="342"/>
    <n v="1"/>
    <n v="15027"/>
    <n v="319"/>
    <n v="13284"/>
    <n v="1424"/>
    <s v="2015"/>
    <n v="294"/>
    <n v="20"/>
    <m/>
    <n v="150"/>
    <m/>
    <n v="45"/>
  </r>
  <r>
    <n v="106370759"/>
    <s v="370759"/>
    <x v="241"/>
    <x v="35"/>
    <x v="5"/>
    <s v="General Acute Care Hospital"/>
    <s v="2400 EAST FOURTH STREET"/>
    <s v="NATIONAL CITY"/>
    <s v="91950"/>
    <s v="Beds 200-299"/>
    <m/>
    <n v="51"/>
    <x v="62"/>
    <x v="10"/>
    <s v="Encanto/Lemon Grove Northwest/Lincoln Acres/National City East/Paradise Hills Southwest"/>
    <s v="Urban"/>
    <x v="0"/>
    <x v="0"/>
    <x v="0"/>
    <n v="14493"/>
    <n v="12159"/>
    <m/>
    <n v="1844"/>
    <n v="2650"/>
    <n v="5371"/>
    <n v="3991"/>
    <n v="3778"/>
    <n v="4193"/>
    <n v="2339"/>
    <n v="1155"/>
    <n v="1049"/>
    <n v="281"/>
    <n v="1"/>
    <n v="2737"/>
    <n v="6630"/>
    <n v="10482"/>
    <n v="24"/>
    <n v="205"/>
    <n v="50"/>
    <n v="6524"/>
    <n v="317"/>
    <n v="199"/>
    <n v="56"/>
    <m/>
    <m/>
    <m/>
    <m/>
    <m/>
    <n v="72"/>
    <m/>
    <n v="25891"/>
    <m/>
    <n v="117"/>
    <m/>
    <m/>
    <n v="16602"/>
    <n v="4858"/>
    <n v="1019"/>
    <n v="1851"/>
    <n v="2322"/>
    <m/>
    <n v="26652"/>
    <n v="459"/>
    <n v="22983"/>
    <n v="3210"/>
    <n v="3224"/>
    <n v="3663"/>
    <m/>
    <n v="135"/>
    <n v="924"/>
    <n v="806"/>
    <n v="991"/>
    <n v="1469"/>
    <n v="983"/>
    <n v="727"/>
    <n v="851"/>
    <n v="1"/>
    <m/>
    <m/>
    <n v="1005"/>
    <n v="1426"/>
    <n v="1841"/>
    <n v="21"/>
    <n v="5"/>
    <n v="2585"/>
    <n v="4"/>
    <n v="264"/>
    <n v="218"/>
    <n v="149"/>
    <n v="143"/>
    <n v="39"/>
    <m/>
    <m/>
    <n v="5175"/>
    <n v="748"/>
    <n v="3"/>
    <n v="14"/>
    <n v="102"/>
    <m/>
    <m/>
    <n v="32"/>
    <n v="3412"/>
    <n v="2793"/>
    <n v="66"/>
    <n v="511"/>
    <n v="105"/>
    <m/>
    <n v="6887"/>
    <n v="314"/>
    <n v="5959"/>
    <n v="614"/>
    <s v="2015"/>
    <n v="291"/>
    <n v="20"/>
    <m/>
    <m/>
    <m/>
    <m/>
  </r>
  <r>
    <n v="106370771"/>
    <s v="370771"/>
    <x v="242"/>
    <x v="35"/>
    <x v="1"/>
    <s v="General Acute Care Hospital"/>
    <s v="9888 GENESEE AVENUE"/>
    <s v="LA JOLLA"/>
    <s v="92037"/>
    <s v="Beds 300-499"/>
    <s v="Level II"/>
    <n v="52"/>
    <x v="63"/>
    <x v="33"/>
    <s v="Crown Point/Del Mar/La Jolla/Pacific Beach"/>
    <s v="Urban"/>
    <x v="0"/>
    <x v="0"/>
    <x v="0"/>
    <n v="15389"/>
    <n v="13017"/>
    <m/>
    <n v="756"/>
    <n v="1771"/>
    <n v="5002"/>
    <n v="4403"/>
    <n v="3751"/>
    <n v="3985"/>
    <n v="3004"/>
    <n v="2355"/>
    <n v="3240"/>
    <n v="139"/>
    <m/>
    <n v="2499"/>
    <n v="1108"/>
    <n v="2776"/>
    <n v="28"/>
    <n v="1692"/>
    <n v="68"/>
    <n v="20235"/>
    <n v="382"/>
    <n v="344"/>
    <n v="69"/>
    <n v="5"/>
    <n v="20"/>
    <n v="2"/>
    <m/>
    <m/>
    <n v="121"/>
    <n v="4"/>
    <n v="27167"/>
    <n v="237"/>
    <n v="3"/>
    <m/>
    <m/>
    <n v="6163"/>
    <n v="7260"/>
    <n v="1370"/>
    <n v="11790"/>
    <n v="1823"/>
    <m/>
    <n v="28406"/>
    <n v="679"/>
    <n v="27296"/>
    <n v="431"/>
    <n v="3865"/>
    <n v="3846"/>
    <m/>
    <n v="124"/>
    <n v="569"/>
    <n v="529"/>
    <n v="691"/>
    <n v="1009"/>
    <n v="1155"/>
    <n v="1270"/>
    <n v="2364"/>
    <m/>
    <m/>
    <m/>
    <n v="605"/>
    <n v="191"/>
    <n v="654"/>
    <n v="271"/>
    <n v="15"/>
    <n v="5965"/>
    <n v="10"/>
    <n v="273"/>
    <n v="101"/>
    <n v="308"/>
    <n v="1002"/>
    <n v="141"/>
    <m/>
    <n v="12"/>
    <n v="4143"/>
    <n v="1495"/>
    <n v="2"/>
    <n v="166"/>
    <n v="51"/>
    <m/>
    <m/>
    <n v="17"/>
    <n v="1019"/>
    <n v="4228"/>
    <n v="233"/>
    <n v="2063"/>
    <n v="168"/>
    <m/>
    <n v="7711"/>
    <n v="268"/>
    <n v="7261"/>
    <n v="182"/>
    <s v="2015"/>
    <n v="318"/>
    <n v="19"/>
    <m/>
    <n v="52"/>
    <m/>
    <m/>
  </r>
  <r>
    <n v="106370780"/>
    <s v="370780"/>
    <x v="243"/>
    <x v="35"/>
    <x v="2"/>
    <s v="General Acute Care Hospital"/>
    <s v="4002 VISTA WAY"/>
    <s v="OCEANSIDE"/>
    <s v="92056"/>
    <s v="Beds 300-499"/>
    <m/>
    <n v="49"/>
    <x v="64"/>
    <x v="28"/>
    <s v="Oceanside East/San Marcos West/Vista"/>
    <s v="Urban"/>
    <x v="0"/>
    <x v="0"/>
    <x v="0"/>
    <n v="31406"/>
    <n v="26781"/>
    <m/>
    <n v="5534"/>
    <n v="5373"/>
    <n v="10129"/>
    <n v="7957"/>
    <n v="7220"/>
    <n v="7667"/>
    <n v="4941"/>
    <n v="3366"/>
    <n v="4821"/>
    <n v="1179"/>
    <m/>
    <n v="2289"/>
    <n v="3931"/>
    <n v="17160"/>
    <n v="83"/>
    <n v="3204"/>
    <n v="1048"/>
    <n v="30472"/>
    <n v="1516"/>
    <n v="787"/>
    <n v="106"/>
    <n v="196"/>
    <n v="51"/>
    <n v="8"/>
    <m/>
    <n v="213"/>
    <n v="258"/>
    <n v="21"/>
    <n v="54657"/>
    <n v="322"/>
    <n v="9"/>
    <m/>
    <m/>
    <n v="24679"/>
    <n v="12325"/>
    <n v="2498"/>
    <n v="10939"/>
    <n v="7746"/>
    <m/>
    <n v="58187"/>
    <n v="360"/>
    <n v="51718"/>
    <n v="6109"/>
    <n v="4259"/>
    <n v="4305"/>
    <m/>
    <n v="105"/>
    <n v="647"/>
    <n v="664"/>
    <n v="876"/>
    <n v="1385"/>
    <n v="1434"/>
    <n v="1294"/>
    <n v="2149"/>
    <n v="10"/>
    <m/>
    <m/>
    <n v="442"/>
    <n v="405"/>
    <n v="1408"/>
    <n v="326"/>
    <n v="24"/>
    <n v="5947"/>
    <n v="12"/>
    <n v="259"/>
    <n v="145"/>
    <n v="374"/>
    <n v="1273"/>
    <n v="115"/>
    <m/>
    <n v="42"/>
    <n v="4474"/>
    <n v="1434"/>
    <n v="198"/>
    <n v="195"/>
    <n v="48"/>
    <m/>
    <n v="1"/>
    <n v="6"/>
    <n v="2291"/>
    <n v="4679"/>
    <n v="278"/>
    <n v="1141"/>
    <n v="175"/>
    <m/>
    <n v="8564"/>
    <n v="80"/>
    <n v="7832"/>
    <n v="652"/>
    <s v="2015"/>
    <n v="397"/>
    <n v="47"/>
    <n v="40"/>
    <n v="3"/>
    <m/>
    <m/>
  </r>
  <r>
    <n v="106370782"/>
    <s v="370782"/>
    <x v="244"/>
    <x v="35"/>
    <x v="6"/>
    <s v="General Acute Care Hospital"/>
    <s v="200 WEST ARBOR DRIVE"/>
    <s v="SAN DIEGO"/>
    <s v="92103"/>
    <s v="Beds 300-499"/>
    <s v="Level I"/>
    <n v="53"/>
    <x v="63"/>
    <x v="33"/>
    <s v="Bay Park/Five Points/Hillcrest Northwest/Mission Hills/Mission Valley/Morena/Normal Heights/Old Town/Serra Mesa"/>
    <s v="Urban"/>
    <x v="0"/>
    <x v="1"/>
    <x v="2"/>
    <n v="27056"/>
    <n v="28710"/>
    <n v="24"/>
    <n v="690"/>
    <n v="2373"/>
    <n v="10344"/>
    <n v="9335"/>
    <n v="9199"/>
    <n v="10845"/>
    <n v="7160"/>
    <n v="3282"/>
    <n v="2393"/>
    <n v="147"/>
    <n v="22"/>
    <n v="2708"/>
    <n v="7575"/>
    <n v="11566"/>
    <n v="161"/>
    <n v="5140"/>
    <n v="397"/>
    <n v="28243"/>
    <n v="214"/>
    <m/>
    <n v="52"/>
    <n v="92"/>
    <n v="8"/>
    <n v="21"/>
    <m/>
    <n v="739"/>
    <n v="819"/>
    <n v="17"/>
    <n v="53551"/>
    <n v="267"/>
    <n v="10"/>
    <m/>
    <m/>
    <n v="22273"/>
    <n v="11046"/>
    <n v="1766"/>
    <n v="12307"/>
    <n v="8398"/>
    <m/>
    <n v="55790"/>
    <n v="1696"/>
    <n v="50830"/>
    <n v="3264"/>
    <n v="6713"/>
    <n v="8560"/>
    <n v="1"/>
    <n v="205"/>
    <n v="1479"/>
    <n v="1592"/>
    <n v="1977"/>
    <n v="3392"/>
    <n v="3011"/>
    <n v="1888"/>
    <n v="1702"/>
    <n v="12"/>
    <n v="14"/>
    <n v="2"/>
    <n v="620"/>
    <n v="1704"/>
    <n v="3631"/>
    <n v="1293"/>
    <n v="105"/>
    <n v="7879"/>
    <n v="42"/>
    <n v="266"/>
    <m/>
    <n v="385"/>
    <n v="1862"/>
    <n v="147"/>
    <m/>
    <n v="57"/>
    <n v="10186"/>
    <n v="1817"/>
    <n v="151"/>
    <n v="307"/>
    <n v="90"/>
    <n v="3"/>
    <m/>
    <n v="3"/>
    <n v="4799"/>
    <n v="6201"/>
    <n v="833"/>
    <n v="2243"/>
    <n v="1198"/>
    <m/>
    <n v="15274"/>
    <n v="657"/>
    <n v="13058"/>
    <n v="1559"/>
    <s v="2015"/>
    <n v="390"/>
    <n v="36"/>
    <m/>
    <m/>
    <m/>
    <m/>
  </r>
  <r>
    <n v="106370875"/>
    <s v="370875"/>
    <x v="245"/>
    <x v="35"/>
    <x v="1"/>
    <s v="General Acute Care Hospital"/>
    <s v="751 MEDICAL CENTER COURT"/>
    <s v="CHULA VISTA"/>
    <s v="91911"/>
    <s v="Beds 300-499"/>
    <m/>
    <n v="53"/>
    <x v="62"/>
    <x v="10"/>
    <s v="Cockatoo Grove/Eastlake Greens/Otay Mesa"/>
    <s v="Urban"/>
    <x v="0"/>
    <x v="0"/>
    <x v="0"/>
    <n v="34278"/>
    <n v="23152"/>
    <m/>
    <n v="5112"/>
    <n v="5778"/>
    <n v="10673"/>
    <n v="8672"/>
    <n v="7319"/>
    <n v="6934"/>
    <n v="4855"/>
    <n v="3362"/>
    <n v="3695"/>
    <n v="1030"/>
    <m/>
    <n v="4272"/>
    <n v="3123"/>
    <n v="36429"/>
    <n v="62"/>
    <n v="4722"/>
    <n v="345"/>
    <n v="8477"/>
    <n v="1330"/>
    <n v="1725"/>
    <n v="81"/>
    <n v="96"/>
    <n v="1"/>
    <n v="3"/>
    <m/>
    <n v="522"/>
    <n v="305"/>
    <n v="64"/>
    <n v="52846"/>
    <n v="334"/>
    <n v="105"/>
    <m/>
    <n v="16"/>
    <n v="28078"/>
    <n v="10681"/>
    <n v="3824"/>
    <n v="12268"/>
    <n v="2579"/>
    <m/>
    <n v="57430"/>
    <n v="930"/>
    <n v="43909"/>
    <n v="12591"/>
    <n v="5635"/>
    <n v="5011"/>
    <m/>
    <n v="96"/>
    <n v="587"/>
    <n v="700"/>
    <n v="1020"/>
    <n v="1537"/>
    <n v="1914"/>
    <n v="1973"/>
    <n v="2819"/>
    <m/>
    <m/>
    <m/>
    <n v="1158"/>
    <n v="480"/>
    <n v="5837"/>
    <n v="711"/>
    <n v="38"/>
    <n v="2409"/>
    <n v="13"/>
    <n v="234"/>
    <n v="195"/>
    <n v="364"/>
    <n v="1172"/>
    <n v="30"/>
    <m/>
    <n v="46"/>
    <n v="6469"/>
    <n v="1889"/>
    <n v="33"/>
    <n v="177"/>
    <n v="21"/>
    <m/>
    <m/>
    <n v="16"/>
    <n v="3385"/>
    <n v="5790"/>
    <n v="119"/>
    <n v="1217"/>
    <n v="135"/>
    <m/>
    <n v="10646"/>
    <n v="426"/>
    <n v="6643"/>
    <n v="3577"/>
    <s v="2015"/>
    <n v="343"/>
    <n v="44"/>
    <n v="2"/>
    <m/>
    <m/>
    <m/>
  </r>
  <r>
    <n v="106370977"/>
    <s v="370977"/>
    <x v="246"/>
    <x v="35"/>
    <x v="2"/>
    <s v="General Acute Care Hospital"/>
    <s v="15615 POMERADO ROAD"/>
    <s v="POWAY"/>
    <s v="92064"/>
    <s v="Beds 200-299"/>
    <m/>
    <n v="52"/>
    <x v="65"/>
    <x v="34"/>
    <s v="Poway Central/Poway Grove/Rancho Bernardo Southwest/Sabre Springs"/>
    <s v="Urban"/>
    <x v="0"/>
    <x v="0"/>
    <x v="0"/>
    <n v="16286"/>
    <n v="11976"/>
    <n v="7"/>
    <n v="2305"/>
    <n v="2942"/>
    <n v="4255"/>
    <n v="3760"/>
    <n v="3392"/>
    <n v="3608"/>
    <n v="2503"/>
    <n v="2151"/>
    <n v="3034"/>
    <n v="319"/>
    <m/>
    <n v="2212"/>
    <n v="1022"/>
    <n v="3938"/>
    <n v="158"/>
    <n v="2066"/>
    <n v="88"/>
    <n v="18785"/>
    <n v="882"/>
    <m/>
    <n v="52"/>
    <n v="79"/>
    <n v="25"/>
    <n v="36"/>
    <m/>
    <n v="35"/>
    <n v="360"/>
    <n v="26"/>
    <n v="26000"/>
    <n v="522"/>
    <n v="90"/>
    <n v="1"/>
    <n v="48"/>
    <n v="9715"/>
    <n v="6643"/>
    <n v="1727"/>
    <n v="8738"/>
    <n v="1446"/>
    <m/>
    <n v="28269"/>
    <n v="1323"/>
    <n v="25745"/>
    <n v="1201"/>
    <n v="2060"/>
    <n v="1555"/>
    <m/>
    <n v="24"/>
    <n v="169"/>
    <n v="237"/>
    <n v="255"/>
    <n v="516"/>
    <n v="514"/>
    <n v="683"/>
    <n v="1215"/>
    <n v="2"/>
    <m/>
    <m/>
    <n v="351"/>
    <n v="92"/>
    <n v="319"/>
    <n v="112"/>
    <n v="13"/>
    <n v="2706"/>
    <n v="22"/>
    <n v="165"/>
    <n v="39"/>
    <n v="219"/>
    <n v="551"/>
    <n v="59"/>
    <m/>
    <n v="47"/>
    <n v="1548"/>
    <n v="860"/>
    <m/>
    <n v="102"/>
    <n v="15"/>
    <n v="1"/>
    <m/>
    <n v="5"/>
    <n v="653"/>
    <n v="2180"/>
    <n v="58"/>
    <n v="647"/>
    <n v="77"/>
    <m/>
    <n v="3615"/>
    <n v="239"/>
    <n v="3230"/>
    <n v="146"/>
    <s v="2015"/>
    <n v="236"/>
    <n v="17"/>
    <m/>
    <n v="113"/>
    <m/>
    <n v="4"/>
  </r>
  <r>
    <n v="106371256"/>
    <s v="371256"/>
    <x v="247"/>
    <x v="35"/>
    <x v="1"/>
    <s v="General Acute Care Hospital"/>
    <s v="10666 NORTH TORREY PINES ROAD"/>
    <s v="LA JOLLA"/>
    <s v="92037"/>
    <s v="Beds 150-199"/>
    <m/>
    <n v="49"/>
    <x v="63"/>
    <x v="33"/>
    <s v="Crown Point/Del Mar/La Jolla/Pacific Beach"/>
    <s v="Urban"/>
    <x v="0"/>
    <x v="0"/>
    <x v="3"/>
    <m/>
    <m/>
    <m/>
    <m/>
    <m/>
    <m/>
    <m/>
    <m/>
    <m/>
    <m/>
    <m/>
    <m/>
    <m/>
    <m/>
    <m/>
    <m/>
    <m/>
    <m/>
    <m/>
    <m/>
    <m/>
    <m/>
    <m/>
    <m/>
    <m/>
    <m/>
    <m/>
    <m/>
    <m/>
    <m/>
    <m/>
    <m/>
    <m/>
    <m/>
    <m/>
    <m/>
    <m/>
    <m/>
    <m/>
    <m/>
    <m/>
    <m/>
    <m/>
    <m/>
    <m/>
    <m/>
    <n v="1"/>
    <n v="2"/>
    <m/>
    <m/>
    <m/>
    <m/>
    <m/>
    <m/>
    <n v="1"/>
    <n v="1"/>
    <n v="1"/>
    <m/>
    <m/>
    <m/>
    <m/>
    <m/>
    <m/>
    <m/>
    <m/>
    <n v="3"/>
    <m/>
    <m/>
    <m/>
    <m/>
    <m/>
    <m/>
    <m/>
    <m/>
    <n v="2"/>
    <n v="1"/>
    <m/>
    <m/>
    <m/>
    <m/>
    <m/>
    <m/>
    <m/>
    <n v="2"/>
    <m/>
    <n v="1"/>
    <m/>
    <m/>
    <n v="3"/>
    <m/>
    <n v="3"/>
    <m/>
    <s v="2015"/>
    <n v="173"/>
    <n v="0"/>
    <m/>
    <m/>
    <m/>
    <m/>
  </r>
  <r>
    <n v="106371394"/>
    <s v="371394"/>
    <x v="248"/>
    <x v="35"/>
    <x v="1"/>
    <s v="General Acute Care Hospital"/>
    <s v="354 SANTA FE DRIVE"/>
    <s v="ENCINITAS"/>
    <s v="92024"/>
    <s v="Beds 150-199"/>
    <m/>
    <n v="49"/>
    <x v="64"/>
    <x v="28"/>
    <s v="Encinitas Central/Leucadia/Oceanside North and West/San Luis Rey/South Oceanside"/>
    <s v="Urban"/>
    <x v="0"/>
    <x v="0"/>
    <x v="0"/>
    <n v="22008"/>
    <n v="17589"/>
    <m/>
    <n v="3256"/>
    <n v="3504"/>
    <n v="4981"/>
    <n v="4986"/>
    <n v="4794"/>
    <n v="5052"/>
    <n v="4447"/>
    <n v="3369"/>
    <n v="4705"/>
    <n v="503"/>
    <m/>
    <n v="1092"/>
    <n v="1074"/>
    <n v="7291"/>
    <n v="51"/>
    <n v="1388"/>
    <n v="174"/>
    <n v="28527"/>
    <n v="1267"/>
    <n v="1325"/>
    <n v="37"/>
    <n v="88"/>
    <n v="13"/>
    <n v="10"/>
    <m/>
    <m/>
    <n v="122"/>
    <n v="4"/>
    <n v="36532"/>
    <n v="182"/>
    <n v="3"/>
    <m/>
    <m/>
    <n v="9385"/>
    <n v="10474"/>
    <n v="1086"/>
    <n v="16169"/>
    <n v="2483"/>
    <m/>
    <n v="39597"/>
    <n v="206"/>
    <n v="37495"/>
    <n v="1896"/>
    <n v="3725"/>
    <n v="3165"/>
    <m/>
    <n v="66"/>
    <n v="274"/>
    <n v="415"/>
    <n v="540"/>
    <n v="876"/>
    <n v="1131"/>
    <n v="1263"/>
    <n v="2325"/>
    <m/>
    <m/>
    <m/>
    <n v="227"/>
    <n v="160"/>
    <n v="808"/>
    <n v="174"/>
    <n v="31"/>
    <n v="5483"/>
    <n v="7"/>
    <n v="204"/>
    <n v="97"/>
    <n v="193"/>
    <n v="1283"/>
    <n v="124"/>
    <m/>
    <n v="18"/>
    <n v="3454"/>
    <n v="1218"/>
    <n v="1"/>
    <n v="256"/>
    <n v="37"/>
    <m/>
    <m/>
    <n v="5"/>
    <n v="970"/>
    <n v="4262"/>
    <n v="59"/>
    <n v="1496"/>
    <n v="103"/>
    <m/>
    <n v="6890"/>
    <n v="55"/>
    <n v="6506"/>
    <n v="329"/>
    <s v="2015"/>
    <n v="194"/>
    <n v="38"/>
    <m/>
    <n v="14"/>
    <m/>
    <m/>
  </r>
  <r>
    <n v="106380857"/>
    <s v="380857"/>
    <x v="249"/>
    <x v="36"/>
    <x v="1"/>
    <s v="General Acute Care Hospital"/>
    <s v="2425 GEARY BOULEVARD"/>
    <s v="SAN FRANCISCO"/>
    <s v="94115"/>
    <s v="Beds 200-299"/>
    <m/>
    <n v="12"/>
    <x v="66"/>
    <x v="35"/>
    <s v="Laurel Heights/Ocean Beach North/Richmond/Sutro Heights"/>
    <s v="Urban"/>
    <x v="0"/>
    <x v="1"/>
    <x v="0"/>
    <n v="15688"/>
    <n v="15984"/>
    <m/>
    <n v="2140"/>
    <n v="1784"/>
    <n v="5320"/>
    <n v="4852"/>
    <n v="4086"/>
    <n v="3995"/>
    <n v="3612"/>
    <n v="2605"/>
    <n v="2845"/>
    <n v="433"/>
    <m/>
    <n v="6843"/>
    <n v="4768"/>
    <n v="5449"/>
    <n v="81"/>
    <n v="1323"/>
    <n v="686"/>
    <n v="12522"/>
    <n v="41"/>
    <n v="180"/>
    <n v="37"/>
    <n v="139"/>
    <n v="57"/>
    <n v="43"/>
    <m/>
    <n v="3"/>
    <n v="299"/>
    <m/>
    <n v="30609"/>
    <n v="175"/>
    <m/>
    <n v="1"/>
    <n v="88"/>
    <n v="3066"/>
    <n v="7195"/>
    <n v="938"/>
    <n v="18187"/>
    <n v="2285"/>
    <n v="1"/>
    <n v="31672"/>
    <n v="2138"/>
    <n v="27455"/>
    <n v="2079"/>
    <n v="2158"/>
    <n v="2180"/>
    <n v="1"/>
    <n v="69"/>
    <n v="210"/>
    <n v="393"/>
    <n v="332"/>
    <n v="486"/>
    <n v="798"/>
    <n v="794"/>
    <n v="1129"/>
    <n v="43"/>
    <n v="85"/>
    <m/>
    <n v="1331"/>
    <n v="595"/>
    <n v="521"/>
    <n v="80"/>
    <n v="18"/>
    <n v="1785"/>
    <n v="9"/>
    <n v="51"/>
    <n v="47"/>
    <n v="151"/>
    <n v="562"/>
    <n v="16"/>
    <n v="1"/>
    <n v="1"/>
    <n v="2947"/>
    <n v="410"/>
    <m/>
    <n v="141"/>
    <n v="9"/>
    <m/>
    <m/>
    <n v="3"/>
    <n v="183"/>
    <n v="2408"/>
    <n v="18"/>
    <n v="1667"/>
    <n v="63"/>
    <m/>
    <n v="4339"/>
    <n v="495"/>
    <n v="3640"/>
    <n v="204"/>
    <s v="2015"/>
    <n v="247"/>
    <n v="24"/>
    <m/>
    <m/>
    <m/>
    <m/>
  </r>
  <r>
    <n v="106380929"/>
    <s v="380929"/>
    <x v="250"/>
    <x v="36"/>
    <x v="1"/>
    <s v="General Acute Care Hospital"/>
    <s v="2333 BUCHANAN STREET"/>
    <s v="SAN FRANCISCO"/>
    <s v="94115"/>
    <s v="Beds 300-499"/>
    <m/>
    <n v="12"/>
    <x v="66"/>
    <x v="35"/>
    <s v="Cow Hollow/Financial District/Marina/Nob Hill/Pacific Heights/Russian Hill/Seacliff"/>
    <s v="Urban"/>
    <x v="0"/>
    <x v="1"/>
    <x v="0"/>
    <n v="15616"/>
    <n v="14634"/>
    <n v="2"/>
    <n v="6514"/>
    <n v="2438"/>
    <n v="2743"/>
    <n v="3218"/>
    <n v="3016"/>
    <n v="3142"/>
    <n v="3035"/>
    <n v="2257"/>
    <n v="2620"/>
    <n v="1268"/>
    <n v="1"/>
    <n v="7830"/>
    <n v="3027"/>
    <n v="2249"/>
    <n v="144"/>
    <n v="1577"/>
    <n v="324"/>
    <n v="15101"/>
    <n v="180"/>
    <n v="252"/>
    <n v="34"/>
    <n v="143"/>
    <n v="12"/>
    <n v="3"/>
    <m/>
    <n v="1"/>
    <n v="38"/>
    <n v="3"/>
    <n v="29209"/>
    <n v="88"/>
    <m/>
    <n v="5"/>
    <n v="118"/>
    <n v="7239"/>
    <n v="5648"/>
    <n v="406"/>
    <n v="15225"/>
    <n v="1664"/>
    <n v="70"/>
    <n v="30252"/>
    <n v="4225"/>
    <n v="25539"/>
    <n v="488"/>
    <n v="4403"/>
    <n v="4240"/>
    <m/>
    <n v="173"/>
    <n v="306"/>
    <n v="507"/>
    <n v="649"/>
    <n v="1056"/>
    <n v="1421"/>
    <n v="1441"/>
    <n v="2613"/>
    <n v="155"/>
    <n v="322"/>
    <m/>
    <n v="2433"/>
    <n v="831"/>
    <n v="615"/>
    <n v="325"/>
    <n v="67"/>
    <n v="4328"/>
    <n v="44"/>
    <n v="186"/>
    <n v="180"/>
    <n v="334"/>
    <n v="1187"/>
    <n v="62"/>
    <m/>
    <n v="33"/>
    <n v="5293"/>
    <n v="1127"/>
    <m/>
    <n v="191"/>
    <n v="36"/>
    <n v="2"/>
    <n v="2"/>
    <n v="7"/>
    <n v="1288"/>
    <n v="4064"/>
    <n v="107"/>
    <n v="3063"/>
    <n v="121"/>
    <m/>
    <n v="8643"/>
    <n v="1832"/>
    <n v="6619"/>
    <n v="192"/>
    <s v="2015"/>
    <n v="309"/>
    <n v="19"/>
    <n v="133"/>
    <n v="33"/>
    <n v="3"/>
    <m/>
  </r>
  <r>
    <n v="106380933"/>
    <s v="380933"/>
    <x v="251"/>
    <x v="36"/>
    <x v="1"/>
    <s v="General Acute Care Hospital"/>
    <s v="601 DUBOCE AVENUE"/>
    <s v="SAN FRANCISCO"/>
    <s v="94117"/>
    <s v="Beds 200-299"/>
    <m/>
    <n v="12"/>
    <x v="67"/>
    <x v="35"/>
    <s v="Buena Vista/Castro/Eureka Valley/Forest Hill/Haight-Ashbury/Noe Valley/West of Twin Peaks"/>
    <s v="Urban"/>
    <x v="0"/>
    <x v="0"/>
    <x v="0"/>
    <n v="5288"/>
    <n v="8445"/>
    <n v="2"/>
    <n v="130"/>
    <n v="310"/>
    <n v="2272"/>
    <n v="2668"/>
    <n v="2830"/>
    <n v="2454"/>
    <n v="1547"/>
    <n v="870"/>
    <n v="640"/>
    <n v="14"/>
    <m/>
    <n v="1093"/>
    <n v="2090"/>
    <n v="1235"/>
    <n v="46"/>
    <n v="373"/>
    <n v="508"/>
    <n v="8390"/>
    <n v="135"/>
    <n v="188"/>
    <n v="5"/>
    <n v="42"/>
    <n v="5"/>
    <n v="2"/>
    <m/>
    <n v="1"/>
    <n v="64"/>
    <n v="2"/>
    <n v="13022"/>
    <n v="20"/>
    <m/>
    <n v="15"/>
    <n v="125"/>
    <n v="3730"/>
    <n v="2644"/>
    <n v="407"/>
    <n v="5181"/>
    <n v="1750"/>
    <n v="23"/>
    <n v="13735"/>
    <n v="364"/>
    <n v="13041"/>
    <n v="330"/>
    <n v="688"/>
    <n v="1116"/>
    <m/>
    <n v="14"/>
    <n v="104"/>
    <n v="158"/>
    <n v="251"/>
    <n v="291"/>
    <n v="343"/>
    <n v="284"/>
    <n v="359"/>
    <m/>
    <m/>
    <m/>
    <n v="221"/>
    <n v="246"/>
    <n v="179"/>
    <n v="43"/>
    <n v="28"/>
    <n v="1080"/>
    <n v="7"/>
    <n v="65"/>
    <n v="72"/>
    <n v="44"/>
    <n v="175"/>
    <n v="31"/>
    <m/>
    <n v="5"/>
    <n v="1102"/>
    <n v="254"/>
    <m/>
    <n v="38"/>
    <n v="3"/>
    <n v="1"/>
    <n v="5"/>
    <n v="9"/>
    <n v="377"/>
    <n v="772"/>
    <n v="55"/>
    <n v="551"/>
    <n v="49"/>
    <m/>
    <n v="1804"/>
    <n v="135"/>
    <n v="1581"/>
    <n v="88"/>
    <s v="2015"/>
    <n v="227"/>
    <n v="11"/>
    <n v="80"/>
    <n v="29"/>
    <m/>
    <m/>
  </r>
  <r>
    <n v="106380939"/>
    <s v="380939"/>
    <x v="252"/>
    <x v="36"/>
    <x v="0"/>
    <s v="General Acute Care Hospital"/>
    <s v="1001 POTRERO AVENUE"/>
    <s v="SAN FRANCISCO"/>
    <s v="94110"/>
    <s v="Beds 500+"/>
    <s v="Level I"/>
    <n v="12"/>
    <x v="67"/>
    <x v="35"/>
    <s v="Bernal Heights/Mission District/Potrero Hill"/>
    <s v="Urban"/>
    <x v="0"/>
    <x v="1"/>
    <x v="2"/>
    <n v="22060"/>
    <n v="33877"/>
    <m/>
    <n v="2017"/>
    <n v="2312"/>
    <n v="11323"/>
    <n v="10955"/>
    <n v="10226"/>
    <n v="10327"/>
    <n v="5571"/>
    <n v="1655"/>
    <n v="1000"/>
    <n v="545"/>
    <n v="6"/>
    <n v="6614"/>
    <n v="13717"/>
    <n v="16570"/>
    <n v="734"/>
    <n v="1815"/>
    <n v="1644"/>
    <n v="14843"/>
    <n v="1522"/>
    <n v="23"/>
    <n v="1"/>
    <m/>
    <m/>
    <m/>
    <n v="1"/>
    <n v="76"/>
    <n v="181"/>
    <n v="28"/>
    <n v="54097"/>
    <n v="2"/>
    <m/>
    <m/>
    <m/>
    <n v="35035"/>
    <n v="11106"/>
    <n v="585"/>
    <n v="8464"/>
    <n v="747"/>
    <m/>
    <n v="55937"/>
    <n v="3023"/>
    <n v="42753"/>
    <n v="10161"/>
    <n v="3956"/>
    <n v="6968"/>
    <m/>
    <n v="233"/>
    <n v="1163"/>
    <n v="1384"/>
    <n v="1917"/>
    <n v="2505"/>
    <n v="1911"/>
    <n v="816"/>
    <n v="824"/>
    <n v="45"/>
    <n v="125"/>
    <n v="1"/>
    <n v="1838"/>
    <n v="2524"/>
    <n v="2700"/>
    <n v="343"/>
    <n v="212"/>
    <n v="3307"/>
    <m/>
    <n v="125"/>
    <n v="461"/>
    <n v="293"/>
    <n v="380"/>
    <m/>
    <m/>
    <n v="305"/>
    <n v="7900"/>
    <n v="1034"/>
    <n v="157"/>
    <n v="29"/>
    <n v="161"/>
    <m/>
    <m/>
    <n v="77"/>
    <n v="6377"/>
    <n v="3026"/>
    <n v="245"/>
    <n v="979"/>
    <n v="297"/>
    <m/>
    <n v="10924"/>
    <n v="909"/>
    <n v="8695"/>
    <n v="1320"/>
    <s v="2015"/>
    <n v="539"/>
    <n v="24"/>
    <m/>
    <n v="6"/>
    <m/>
    <n v="2"/>
  </r>
  <r>
    <n v="106380960"/>
    <s v="380960"/>
    <x v="253"/>
    <x v="36"/>
    <x v="1"/>
    <s v="General Acute Care Hospital"/>
    <s v="900 HYDE STREET"/>
    <s v="SAN FRANCISCO"/>
    <s v="94109"/>
    <s v="Beds 200-299"/>
    <m/>
    <n v="12"/>
    <x v="67"/>
    <x v="35"/>
    <s v="Cow Hollow/Financial District/Marina/Nob Hill/Pacific Heights/Russian Hill/Seacliff"/>
    <s v="Urban"/>
    <x v="0"/>
    <x v="0"/>
    <x v="0"/>
    <n v="12374"/>
    <n v="19700"/>
    <n v="2"/>
    <n v="380"/>
    <n v="713"/>
    <n v="6070"/>
    <n v="5784"/>
    <n v="6204"/>
    <n v="6346"/>
    <n v="4025"/>
    <n v="1277"/>
    <n v="1222"/>
    <n v="55"/>
    <m/>
    <n v="3390"/>
    <n v="7326"/>
    <n v="3781"/>
    <n v="66"/>
    <n v="945"/>
    <n v="529"/>
    <n v="16039"/>
    <n v="255"/>
    <n v="602"/>
    <n v="11"/>
    <n v="22"/>
    <n v="7"/>
    <n v="2"/>
    <m/>
    <n v="13"/>
    <n v="26"/>
    <n v="7"/>
    <n v="31044"/>
    <n v="77"/>
    <m/>
    <m/>
    <n v="10"/>
    <n v="11248"/>
    <n v="6526"/>
    <n v="3676"/>
    <n v="5942"/>
    <n v="4684"/>
    <m/>
    <n v="32076"/>
    <n v="1394"/>
    <n v="29854"/>
    <n v="828"/>
    <n v="1379"/>
    <n v="2112"/>
    <m/>
    <n v="26"/>
    <n v="238"/>
    <n v="334"/>
    <n v="432"/>
    <n v="639"/>
    <n v="652"/>
    <n v="425"/>
    <n v="741"/>
    <m/>
    <n v="4"/>
    <m/>
    <n v="875"/>
    <n v="644"/>
    <n v="255"/>
    <n v="73"/>
    <n v="50"/>
    <n v="1589"/>
    <n v="5"/>
    <n v="51"/>
    <n v="567"/>
    <n v="135"/>
    <n v="355"/>
    <n v="106"/>
    <m/>
    <n v="21"/>
    <n v="1869"/>
    <n v="228"/>
    <n v="1"/>
    <n v="17"/>
    <n v="35"/>
    <n v="64"/>
    <m/>
    <n v="3"/>
    <n v="1216"/>
    <n v="1488"/>
    <n v="120"/>
    <n v="582"/>
    <n v="85"/>
    <m/>
    <n v="3491"/>
    <n v="563"/>
    <n v="2859"/>
    <n v="69"/>
    <s v="2015"/>
    <n v="288"/>
    <n v="19"/>
    <m/>
    <m/>
    <m/>
    <n v="39"/>
  </r>
  <r>
    <n v="106380964"/>
    <s v="380964"/>
    <x v="254"/>
    <x v="36"/>
    <x v="1"/>
    <s v="General Acute Care Hospital"/>
    <s v="3555 CESAR CHAVEZ STREET"/>
    <s v="SAN FRANCISCO"/>
    <s v="94110"/>
    <s v="Beds 200-299"/>
    <m/>
    <n v="12"/>
    <x v="67"/>
    <x v="35"/>
    <s v="Bernal Heights/Mission District/Potrero Hill"/>
    <s v="Urban"/>
    <x v="0"/>
    <x v="0"/>
    <x v="0"/>
    <n v="12422"/>
    <n v="10941"/>
    <n v="1"/>
    <n v="2324"/>
    <n v="1779"/>
    <n v="4153"/>
    <n v="3831"/>
    <n v="3600"/>
    <n v="3277"/>
    <n v="1839"/>
    <n v="1032"/>
    <n v="1015"/>
    <n v="513"/>
    <n v="1"/>
    <n v="2201"/>
    <n v="6352"/>
    <n v="8947"/>
    <n v="61"/>
    <n v="571"/>
    <n v="124"/>
    <n v="5108"/>
    <n v="188"/>
    <n v="239"/>
    <n v="7"/>
    <n v="25"/>
    <n v="4"/>
    <n v="3"/>
    <m/>
    <n v="6"/>
    <n v="138"/>
    <n v="4"/>
    <n v="22437"/>
    <n v="12"/>
    <n v="6"/>
    <n v="16"/>
    <n v="114"/>
    <n v="12697"/>
    <n v="3504"/>
    <n v="293"/>
    <n v="3851"/>
    <n v="2981"/>
    <n v="38"/>
    <n v="23364"/>
    <n v="623"/>
    <n v="17873"/>
    <n v="4868"/>
    <n v="1181"/>
    <n v="986"/>
    <m/>
    <n v="16"/>
    <n v="92"/>
    <n v="157"/>
    <n v="233"/>
    <n v="381"/>
    <n v="360"/>
    <n v="365"/>
    <n v="535"/>
    <n v="16"/>
    <n v="12"/>
    <m/>
    <n v="431"/>
    <n v="487"/>
    <n v="659"/>
    <n v="47"/>
    <n v="9"/>
    <n v="523"/>
    <n v="11"/>
    <n v="97"/>
    <n v="68"/>
    <n v="49"/>
    <n v="368"/>
    <n v="5"/>
    <m/>
    <n v="3"/>
    <n v="1222"/>
    <n v="302"/>
    <m/>
    <n v="37"/>
    <n v="7"/>
    <m/>
    <n v="3"/>
    <n v="6"/>
    <n v="677"/>
    <n v="1061"/>
    <n v="12"/>
    <n v="367"/>
    <n v="48"/>
    <n v="2"/>
    <n v="2167"/>
    <n v="252"/>
    <n v="1472"/>
    <n v="443"/>
    <s v="2015"/>
    <n v="228"/>
    <n v="10"/>
    <n v="128"/>
    <n v="37"/>
    <m/>
    <m/>
  </r>
  <r>
    <n v="106380965"/>
    <s v="380965"/>
    <x v="255"/>
    <x v="36"/>
    <x v="1"/>
    <s v="General Acute Care Hospital"/>
    <s v="450 STANYAN STREET"/>
    <s v="SAN FRANCISCO"/>
    <s v="94117"/>
    <s v="Beds 300-499"/>
    <m/>
    <n v="12"/>
    <x v="67"/>
    <x v="35"/>
    <s v="Buena Vista/Castro/Eureka Valley/Forest Hill/Haight-Ashbury/Noe Valley/West of Twin Peaks"/>
    <s v="Urban"/>
    <x v="0"/>
    <x v="1"/>
    <x v="0"/>
    <n v="7399"/>
    <n v="8811"/>
    <n v="1"/>
    <n v="119"/>
    <n v="688"/>
    <n v="2983"/>
    <n v="2366"/>
    <n v="2443"/>
    <n v="2512"/>
    <n v="1871"/>
    <n v="1332"/>
    <n v="1883"/>
    <n v="14"/>
    <m/>
    <n v="2849"/>
    <n v="2371"/>
    <n v="1269"/>
    <n v="24"/>
    <n v="106"/>
    <n v="258"/>
    <n v="9334"/>
    <n v="119"/>
    <n v="402"/>
    <n v="30"/>
    <n v="84"/>
    <n v="8"/>
    <n v="4"/>
    <m/>
    <n v="4"/>
    <n v="79"/>
    <n v="51"/>
    <n v="15255"/>
    <n v="172"/>
    <m/>
    <m/>
    <n v="3"/>
    <n v="4492"/>
    <n v="4762"/>
    <n v="353"/>
    <n v="4438"/>
    <n v="2166"/>
    <m/>
    <n v="16211"/>
    <n v="1381"/>
    <n v="14639"/>
    <n v="191"/>
    <n v="1292"/>
    <n v="1347"/>
    <m/>
    <n v="30"/>
    <n v="79"/>
    <n v="98"/>
    <n v="140"/>
    <n v="272"/>
    <n v="414"/>
    <n v="448"/>
    <n v="1158"/>
    <m/>
    <m/>
    <m/>
    <n v="798"/>
    <n v="251"/>
    <n v="140"/>
    <n v="15"/>
    <n v="29"/>
    <n v="1404"/>
    <n v="2"/>
    <n v="20"/>
    <n v="272"/>
    <n v="133"/>
    <n v="512"/>
    <n v="41"/>
    <m/>
    <n v="47"/>
    <n v="1190"/>
    <n v="321"/>
    <m/>
    <n v="71"/>
    <n v="7"/>
    <n v="22"/>
    <m/>
    <n v="2"/>
    <n v="409"/>
    <n v="1639"/>
    <n v="53"/>
    <n v="525"/>
    <n v="13"/>
    <m/>
    <n v="2639"/>
    <n v="616"/>
    <n v="1980"/>
    <n v="43"/>
    <s v="2015"/>
    <n v="403"/>
    <n v="13"/>
    <m/>
    <m/>
    <m/>
    <n v="1"/>
  </r>
  <r>
    <n v="106381154"/>
    <s v="381154"/>
    <x v="256"/>
    <x v="36"/>
    <x v="6"/>
    <s v="General Acute Care Hospital"/>
    <s v="505 PARNASSUS AVENUE"/>
    <s v="SAN FRANCISCO"/>
    <s v="94143"/>
    <s v="Beds 500+"/>
    <m/>
    <n v="12"/>
    <x v="66"/>
    <x v="35"/>
    <s v="Buena Vista/Castro/Eureka Valley/Forest Hill/Haight-Ashbury/Noe Valley/West of Twin Peaks"/>
    <s v="Urban"/>
    <x v="0"/>
    <x v="1"/>
    <x v="0"/>
    <n v="19105"/>
    <n v="18496"/>
    <n v="10"/>
    <n v="6348"/>
    <n v="3308"/>
    <n v="5744"/>
    <n v="5156"/>
    <n v="4448"/>
    <n v="4364"/>
    <n v="3365"/>
    <n v="1806"/>
    <n v="1552"/>
    <n v="1518"/>
    <n v="2"/>
    <n v="6484"/>
    <n v="6245"/>
    <n v="5663"/>
    <n v="161"/>
    <n v="3212"/>
    <n v="1229"/>
    <n v="14617"/>
    <n v="205"/>
    <m/>
    <n v="36"/>
    <n v="32"/>
    <n v="9"/>
    <n v="19"/>
    <m/>
    <n v="11"/>
    <n v="666"/>
    <n v="19"/>
    <n v="36533"/>
    <n v="71"/>
    <n v="1"/>
    <n v="2"/>
    <m/>
    <n v="13019"/>
    <n v="6449"/>
    <n v="558"/>
    <n v="13150"/>
    <n v="4435"/>
    <m/>
    <n v="37611"/>
    <n v="3041"/>
    <n v="33131"/>
    <n v="1439"/>
    <n v="4727"/>
    <n v="5012"/>
    <n v="1"/>
    <n v="457"/>
    <n v="668"/>
    <n v="712"/>
    <n v="1029"/>
    <n v="1511"/>
    <n v="1781"/>
    <n v="1175"/>
    <n v="1605"/>
    <n v="225"/>
    <n v="577"/>
    <m/>
    <n v="2106"/>
    <n v="1337"/>
    <n v="1263"/>
    <n v="614"/>
    <n v="194"/>
    <n v="4186"/>
    <n v="40"/>
    <n v="126"/>
    <n v="88"/>
    <n v="372"/>
    <n v="1834"/>
    <n v="159"/>
    <m/>
    <n v="76"/>
    <n v="5561"/>
    <n v="1222"/>
    <n v="5"/>
    <n v="201"/>
    <n v="91"/>
    <n v="4"/>
    <n v="1"/>
    <m/>
    <n v="2759"/>
    <n v="4261"/>
    <n v="21"/>
    <n v="2588"/>
    <n v="111"/>
    <m/>
    <n v="9740"/>
    <n v="1538"/>
    <n v="7692"/>
    <n v="510"/>
    <s v="2015"/>
    <n v="580"/>
    <n v="33"/>
    <n v="7"/>
    <m/>
    <m/>
    <m/>
  </r>
  <r>
    <n v="106382715"/>
    <s v="382715"/>
    <x v="257"/>
    <x v="36"/>
    <x v="1"/>
    <s v="General Acute Care Hospital"/>
    <s v="845 JACKSON STREET"/>
    <s v="SAN FRANCISCO"/>
    <s v="94133"/>
    <s v="Beds 50-99"/>
    <m/>
    <n v="12"/>
    <x v="67"/>
    <x v="35"/>
    <s v="Chinatown/Civic Center/Inner Mission/North Beach/South of Market/Tenderloin/Western Addition"/>
    <s v="Urban"/>
    <x v="0"/>
    <x v="0"/>
    <x v="1"/>
    <n v="2714"/>
    <n v="2199"/>
    <m/>
    <n v="136"/>
    <n v="168"/>
    <n v="376"/>
    <n v="255"/>
    <n v="412"/>
    <n v="589"/>
    <n v="811"/>
    <n v="890"/>
    <n v="1270"/>
    <n v="6"/>
    <m/>
    <n v="4382"/>
    <n v="157"/>
    <n v="74"/>
    <m/>
    <n v="25"/>
    <n v="20"/>
    <n v="255"/>
    <n v="78"/>
    <n v="58"/>
    <n v="2"/>
    <n v="2"/>
    <m/>
    <m/>
    <m/>
    <m/>
    <m/>
    <m/>
    <n v="4773"/>
    <m/>
    <m/>
    <m/>
    <m/>
    <n v="1232"/>
    <n v="1338"/>
    <n v="58"/>
    <n v="2064"/>
    <n v="221"/>
    <m/>
    <n v="4913"/>
    <n v="4167"/>
    <n v="734"/>
    <n v="12"/>
    <n v="722"/>
    <n v="657"/>
    <m/>
    <n v="1"/>
    <n v="16"/>
    <n v="15"/>
    <n v="44"/>
    <n v="68"/>
    <n v="132"/>
    <n v="317"/>
    <n v="786"/>
    <m/>
    <m/>
    <m/>
    <n v="1346"/>
    <n v="9"/>
    <n v="3"/>
    <m/>
    <m/>
    <n v="21"/>
    <m/>
    <n v="24"/>
    <n v="14"/>
    <n v="39"/>
    <n v="524"/>
    <m/>
    <m/>
    <m/>
    <n v="585"/>
    <n v="192"/>
    <m/>
    <m/>
    <m/>
    <n v="1"/>
    <m/>
    <m/>
    <n v="99"/>
    <n v="1177"/>
    <n v="2"/>
    <n v="98"/>
    <n v="3"/>
    <m/>
    <n v="1379"/>
    <n v="1296"/>
    <n v="83"/>
    <m/>
    <s v="2015"/>
    <n v="54"/>
    <n v="5"/>
    <m/>
    <m/>
    <m/>
    <m/>
  </r>
  <r>
    <n v="106390846"/>
    <s v="390846"/>
    <x v="258"/>
    <x v="37"/>
    <x v="1"/>
    <s v="General Acute Care Hospital"/>
    <s v="525 WEST ACACIA"/>
    <s v="STOCKTON"/>
    <s v="95203"/>
    <s v="Beds 200-299"/>
    <m/>
    <n v="9"/>
    <x v="68"/>
    <x v="36"/>
    <s v="French Camp/Stockton South/Stockton Southeast"/>
    <s v="Urban"/>
    <x v="0"/>
    <x v="0"/>
    <x v="0"/>
    <n v="23240"/>
    <n v="17565"/>
    <n v="1"/>
    <n v="5461"/>
    <n v="4219"/>
    <n v="7288"/>
    <n v="5695"/>
    <n v="4842"/>
    <n v="4919"/>
    <n v="3313"/>
    <n v="1992"/>
    <n v="1918"/>
    <n v="1159"/>
    <m/>
    <n v="2919"/>
    <n v="10764"/>
    <n v="14139"/>
    <n v="56"/>
    <n v="1236"/>
    <n v="96"/>
    <n v="11596"/>
    <n v="530"/>
    <n v="2092"/>
    <n v="75"/>
    <n v="64"/>
    <n v="9"/>
    <n v="1"/>
    <m/>
    <m/>
    <n v="201"/>
    <n v="5"/>
    <n v="37494"/>
    <n v="335"/>
    <m/>
    <m/>
    <m/>
    <n v="22479"/>
    <n v="6113"/>
    <n v="814"/>
    <n v="9591"/>
    <n v="1809"/>
    <m/>
    <n v="40806"/>
    <n v="470"/>
    <n v="38407"/>
    <n v="1929"/>
    <n v="2455"/>
    <n v="2127"/>
    <m/>
    <n v="92"/>
    <n v="233"/>
    <n v="300"/>
    <n v="434"/>
    <n v="810"/>
    <n v="893"/>
    <n v="781"/>
    <n v="916"/>
    <n v="41"/>
    <n v="82"/>
    <m/>
    <n v="494"/>
    <n v="845"/>
    <n v="1091"/>
    <n v="143"/>
    <n v="12"/>
    <n v="1990"/>
    <n v="7"/>
    <n v="121"/>
    <n v="1010"/>
    <n v="207"/>
    <n v="489"/>
    <m/>
    <m/>
    <n v="11"/>
    <n v="2644"/>
    <m/>
    <n v="2"/>
    <n v="77"/>
    <n v="16"/>
    <n v="2"/>
    <m/>
    <n v="1"/>
    <n v="1400"/>
    <n v="2299"/>
    <n v="49"/>
    <n v="809"/>
    <n v="25"/>
    <m/>
    <n v="4582"/>
    <n v="161"/>
    <n v="4231"/>
    <n v="190"/>
    <s v="2015"/>
    <n v="202"/>
    <n v="13"/>
    <m/>
    <m/>
    <m/>
    <n v="2"/>
  </r>
  <r>
    <n v="106390923"/>
    <s v="390923"/>
    <x v="259"/>
    <x v="37"/>
    <x v="1"/>
    <s v="General Acute Care Hospital"/>
    <s v="975 SOUTH FAIRMONT AVENUE"/>
    <s v="LODI"/>
    <s v="95240-5179"/>
    <s v="Beds 150-199"/>
    <m/>
    <n v="9"/>
    <x v="58"/>
    <x v="36"/>
    <s v="Lodi"/>
    <s v="Urban"/>
    <x v="0"/>
    <x v="0"/>
    <x v="0"/>
    <n v="21041"/>
    <n v="16766"/>
    <n v="2"/>
    <n v="5536"/>
    <n v="4191"/>
    <n v="5919"/>
    <n v="5027"/>
    <n v="4236"/>
    <n v="4150"/>
    <n v="3028"/>
    <n v="2106"/>
    <n v="2310"/>
    <n v="1306"/>
    <m/>
    <n v="1552"/>
    <n v="1283"/>
    <n v="12234"/>
    <n v="29"/>
    <n v="872"/>
    <n v="115"/>
    <n v="21724"/>
    <n v="1097"/>
    <n v="1733"/>
    <n v="38"/>
    <n v="25"/>
    <n v="10"/>
    <m/>
    <m/>
    <n v="155"/>
    <n v="116"/>
    <m/>
    <n v="34386"/>
    <n v="242"/>
    <n v="7"/>
    <m/>
    <m/>
    <n v="20849"/>
    <n v="7165"/>
    <n v="1161"/>
    <n v="7294"/>
    <n v="1340"/>
    <m/>
    <n v="37809"/>
    <n v="508"/>
    <n v="31921"/>
    <n v="5380"/>
    <n v="3368"/>
    <n v="2987"/>
    <m/>
    <n v="95"/>
    <n v="298"/>
    <n v="378"/>
    <n v="523"/>
    <n v="959"/>
    <n v="1092"/>
    <n v="1134"/>
    <n v="1733"/>
    <n v="44"/>
    <n v="99"/>
    <m/>
    <n v="251"/>
    <n v="160"/>
    <n v="1132"/>
    <n v="50"/>
    <n v="11"/>
    <n v="4744"/>
    <n v="7"/>
    <n v="509"/>
    <n v="137"/>
    <n v="185"/>
    <n v="742"/>
    <n v="7"/>
    <m/>
    <m/>
    <n v="3580"/>
    <n v="992"/>
    <n v="2"/>
    <n v="176"/>
    <n v="21"/>
    <m/>
    <m/>
    <m/>
    <n v="1785"/>
    <n v="3769"/>
    <n v="70"/>
    <n v="682"/>
    <n v="49"/>
    <m/>
    <n v="6355"/>
    <n v="167"/>
    <n v="5608"/>
    <n v="580"/>
    <s v="2015"/>
    <n v="190"/>
    <n v="28"/>
    <m/>
    <m/>
    <m/>
    <n v="4"/>
  </r>
  <r>
    <n v="106391010"/>
    <s v="391010"/>
    <x v="260"/>
    <x v="37"/>
    <x v="0"/>
    <s v="General Acute Care Hospital"/>
    <s v="500 WEST HOSPITAL ROAD"/>
    <s v="FRENCH CAMP"/>
    <s v="95231"/>
    <s v="Beds 150-199"/>
    <s v="Level III"/>
    <n v="9"/>
    <x v="68"/>
    <x v="36"/>
    <s v="French Camp/Stockton South/Stockton Southeast"/>
    <s v="Urban"/>
    <x v="0"/>
    <x v="1"/>
    <x v="0"/>
    <n v="15129"/>
    <n v="18223"/>
    <n v="1"/>
    <n v="3228"/>
    <n v="3100"/>
    <n v="6494"/>
    <n v="5614"/>
    <n v="4813"/>
    <n v="5003"/>
    <n v="2820"/>
    <n v="916"/>
    <n v="523"/>
    <n v="842"/>
    <m/>
    <n v="2505"/>
    <n v="6943"/>
    <n v="14472"/>
    <n v="71"/>
    <n v="975"/>
    <n v="128"/>
    <n v="8259"/>
    <n v="334"/>
    <n v="438"/>
    <n v="51"/>
    <n v="1"/>
    <m/>
    <m/>
    <m/>
    <n v="1636"/>
    <n v="69"/>
    <n v="363"/>
    <n v="30352"/>
    <n v="73"/>
    <n v="35"/>
    <n v="1"/>
    <m/>
    <n v="22033"/>
    <n v="3229"/>
    <n v="1878"/>
    <n v="2170"/>
    <n v="4043"/>
    <m/>
    <n v="33353"/>
    <n v="1129"/>
    <n v="26674"/>
    <n v="5550"/>
    <n v="1759"/>
    <n v="3545"/>
    <n v="2"/>
    <n v="155"/>
    <n v="582"/>
    <n v="709"/>
    <n v="795"/>
    <n v="1270"/>
    <n v="945"/>
    <n v="438"/>
    <n v="298"/>
    <n v="57"/>
    <n v="57"/>
    <m/>
    <n v="496"/>
    <n v="1002"/>
    <n v="1963"/>
    <n v="74"/>
    <n v="23"/>
    <n v="1732"/>
    <n v="16"/>
    <n v="1"/>
    <n v="1220"/>
    <n v="137"/>
    <n v="312"/>
    <m/>
    <m/>
    <m/>
    <n v="2982"/>
    <m/>
    <n v="409"/>
    <m/>
    <m/>
    <n v="224"/>
    <m/>
    <m/>
    <n v="2476"/>
    <n v="1103"/>
    <n v="1056"/>
    <n v="355"/>
    <n v="316"/>
    <m/>
    <n v="5306"/>
    <n v="254"/>
    <n v="4298"/>
    <n v="754"/>
    <s v="2015"/>
    <n v="196"/>
    <n v="19"/>
    <m/>
    <m/>
    <n v="21"/>
    <m/>
  </r>
  <r>
    <n v="106391042"/>
    <s v="391042"/>
    <x v="261"/>
    <x v="37"/>
    <x v="1"/>
    <s v="General Acute Care Hospital"/>
    <s v="1800 NORTH CALIFORNIA STREET"/>
    <s v="STOCKTON"/>
    <s v="95204"/>
    <s v="Beds 300-499"/>
    <m/>
    <n v="9"/>
    <x v="68"/>
    <x v="36"/>
    <s v="Stockton North Central/Stockton Northeast"/>
    <s v="Urban"/>
    <x v="0"/>
    <x v="0"/>
    <x v="0"/>
    <n v="33103"/>
    <n v="26100"/>
    <n v="2"/>
    <n v="8566"/>
    <n v="5490"/>
    <n v="10417"/>
    <n v="8344"/>
    <n v="6934"/>
    <n v="7555"/>
    <n v="4598"/>
    <n v="2768"/>
    <n v="2478"/>
    <n v="2055"/>
    <m/>
    <n v="4750"/>
    <n v="11940"/>
    <n v="24274"/>
    <n v="350"/>
    <n v="1170"/>
    <n v="807"/>
    <n v="15914"/>
    <n v="556"/>
    <n v="5624"/>
    <n v="144"/>
    <n v="70"/>
    <n v="4"/>
    <n v="3"/>
    <m/>
    <n v="40"/>
    <n v="538"/>
    <n v="28"/>
    <n v="51966"/>
    <n v="187"/>
    <n v="25"/>
    <m/>
    <n v="19"/>
    <n v="37433"/>
    <n v="10771"/>
    <n v="753"/>
    <n v="6605"/>
    <n v="3643"/>
    <m/>
    <n v="59205"/>
    <n v="1808"/>
    <n v="50822"/>
    <n v="6575"/>
    <n v="5688"/>
    <n v="5105"/>
    <m/>
    <n v="160"/>
    <n v="544"/>
    <n v="665"/>
    <n v="988"/>
    <n v="1883"/>
    <n v="2221"/>
    <n v="1971"/>
    <n v="2101"/>
    <n v="115"/>
    <n v="145"/>
    <m/>
    <n v="1330"/>
    <n v="1607"/>
    <n v="2936"/>
    <n v="215"/>
    <n v="37"/>
    <n v="4610"/>
    <n v="58"/>
    <n v="82"/>
    <n v="1173"/>
    <n v="152"/>
    <n v="835"/>
    <n v="13"/>
    <m/>
    <n v="56"/>
    <n v="6002"/>
    <n v="940"/>
    <n v="11"/>
    <n v="49"/>
    <n v="6"/>
    <n v="79"/>
    <n v="2"/>
    <n v="9"/>
    <n v="3785"/>
    <n v="5740"/>
    <n v="117"/>
    <n v="1079"/>
    <n v="72"/>
    <m/>
    <n v="10793"/>
    <n v="899"/>
    <n v="8913"/>
    <n v="981"/>
    <s v="2015"/>
    <n v="366"/>
    <n v="36"/>
    <m/>
    <n v="1"/>
    <n v="1383"/>
    <n v="1"/>
  </r>
  <r>
    <n v="106391056"/>
    <s v="391056"/>
    <x v="262"/>
    <x v="37"/>
    <x v="1"/>
    <s v="General Acute Care Hospital"/>
    <s v="1420 NORTH TRACY BOULEVARD"/>
    <s v="TRACY"/>
    <s v="95376"/>
    <s v="Beds 50-99"/>
    <m/>
    <n v="10"/>
    <x v="68"/>
    <x v="36"/>
    <s v="Tracy"/>
    <s v="Urban"/>
    <x v="0"/>
    <x v="0"/>
    <x v="0"/>
    <n v="19412"/>
    <n v="15291"/>
    <n v="1"/>
    <n v="5846"/>
    <n v="4342"/>
    <n v="5774"/>
    <n v="5342"/>
    <n v="4136"/>
    <n v="3683"/>
    <n v="2071"/>
    <n v="1306"/>
    <n v="1082"/>
    <n v="1122"/>
    <m/>
    <n v="3264"/>
    <n v="3272"/>
    <n v="14446"/>
    <n v="164"/>
    <n v="2167"/>
    <n v="55"/>
    <n v="11336"/>
    <n v="259"/>
    <n v="187"/>
    <n v="16"/>
    <n v="470"/>
    <n v="15"/>
    <m/>
    <m/>
    <n v="32"/>
    <n v="58"/>
    <n v="1"/>
    <n v="32978"/>
    <n v="122"/>
    <n v="2"/>
    <n v="17"/>
    <n v="367"/>
    <n v="18803"/>
    <n v="3832"/>
    <n v="1182"/>
    <n v="8207"/>
    <n v="2640"/>
    <n v="40"/>
    <n v="34704"/>
    <n v="1697"/>
    <n v="28995"/>
    <n v="4012"/>
    <n v="1545"/>
    <n v="1295"/>
    <m/>
    <n v="57"/>
    <n v="185"/>
    <n v="244"/>
    <n v="320"/>
    <n v="437"/>
    <n v="504"/>
    <n v="470"/>
    <n v="575"/>
    <n v="11"/>
    <n v="37"/>
    <m/>
    <n v="341"/>
    <n v="211"/>
    <n v="803"/>
    <n v="128"/>
    <n v="1"/>
    <n v="1351"/>
    <n v="5"/>
    <n v="185"/>
    <n v="47"/>
    <n v="67"/>
    <n v="240"/>
    <n v="12"/>
    <m/>
    <n v="9"/>
    <n v="1835"/>
    <n v="362"/>
    <m/>
    <n v="66"/>
    <n v="9"/>
    <m/>
    <n v="3"/>
    <n v="4"/>
    <n v="724"/>
    <n v="1339"/>
    <n v="70"/>
    <n v="648"/>
    <n v="59"/>
    <m/>
    <n v="2840"/>
    <n v="208"/>
    <n v="2327"/>
    <n v="305"/>
    <s v="2015"/>
    <n v="81"/>
    <n v="14"/>
    <n v="125"/>
    <n v="55"/>
    <n v="1"/>
    <m/>
  </r>
  <r>
    <n v="106392287"/>
    <s v="392287"/>
    <x v="263"/>
    <x v="37"/>
    <x v="3"/>
    <s v="General Acute Care Hospital"/>
    <s v="1205 EAST NORTH STREET"/>
    <s v="MANTECA"/>
    <s v="95336"/>
    <s v="Beds 50-99"/>
    <m/>
    <n v="10"/>
    <x v="69"/>
    <x v="36"/>
    <s v="Lathrop/Manteca"/>
    <s v="Urban"/>
    <x v="0"/>
    <x v="0"/>
    <x v="0"/>
    <n v="18666"/>
    <n v="12857"/>
    <m/>
    <n v="5392"/>
    <n v="3769"/>
    <n v="5379"/>
    <n v="4487"/>
    <n v="3493"/>
    <n v="3264"/>
    <n v="2053"/>
    <n v="1422"/>
    <n v="1302"/>
    <n v="962"/>
    <m/>
    <n v="581"/>
    <n v="1658"/>
    <n v="11466"/>
    <n v="33"/>
    <n v="2892"/>
    <n v="296"/>
    <n v="14597"/>
    <n v="389"/>
    <n v="658"/>
    <n v="10"/>
    <n v="41"/>
    <n v="2"/>
    <m/>
    <m/>
    <m/>
    <n v="46"/>
    <m/>
    <n v="30339"/>
    <n v="33"/>
    <n v="1"/>
    <m/>
    <m/>
    <n v="10296"/>
    <n v="4668"/>
    <n v="809"/>
    <n v="14346"/>
    <n v="1404"/>
    <m/>
    <n v="31523"/>
    <n v="227"/>
    <n v="30231"/>
    <n v="1065"/>
    <n v="1426"/>
    <n v="1121"/>
    <m/>
    <n v="19"/>
    <n v="115"/>
    <n v="148"/>
    <n v="220"/>
    <n v="301"/>
    <n v="499"/>
    <n v="533"/>
    <n v="704"/>
    <n v="1"/>
    <n v="7"/>
    <m/>
    <n v="65"/>
    <n v="105"/>
    <n v="523"/>
    <n v="163"/>
    <n v="17"/>
    <n v="1672"/>
    <n v="2"/>
    <n v="114"/>
    <n v="44"/>
    <n v="74"/>
    <n v="368"/>
    <n v="5"/>
    <m/>
    <n v="13"/>
    <n v="1359"/>
    <n v="466"/>
    <n v="1"/>
    <n v="92"/>
    <n v="5"/>
    <m/>
    <m/>
    <n v="6"/>
    <n v="207"/>
    <n v="1485"/>
    <n v="211"/>
    <n v="622"/>
    <n v="22"/>
    <m/>
    <n v="2547"/>
    <n v="30"/>
    <n v="2432"/>
    <n v="85"/>
    <s v="2015"/>
    <n v="73"/>
    <n v="11"/>
    <n v="4"/>
    <m/>
    <m/>
    <m/>
  </r>
  <r>
    <n v="106394009"/>
    <s v="394009"/>
    <x v="264"/>
    <x v="37"/>
    <x v="1"/>
    <s v="General Acute Care Hospital"/>
    <s v="1777 WEST YOSEMITE AVENUE"/>
    <s v="MANTECA"/>
    <s v="95336"/>
    <s v="Beds 50-99"/>
    <m/>
    <n v="10"/>
    <x v="69"/>
    <x v="36"/>
    <s v="Banta/Escalon/Ripon/Vernalis"/>
    <s v="Rural"/>
    <x v="0"/>
    <x v="0"/>
    <x v="0"/>
    <n v="37782"/>
    <n v="30820"/>
    <m/>
    <n v="8255"/>
    <n v="7990"/>
    <n v="9545"/>
    <n v="8566"/>
    <n v="8246"/>
    <n v="8702"/>
    <n v="6763"/>
    <n v="4946"/>
    <n v="4167"/>
    <n v="1421"/>
    <n v="1"/>
    <n v="4798"/>
    <n v="5872"/>
    <n v="23599"/>
    <n v="341"/>
    <n v="1425"/>
    <n v="362"/>
    <n v="32205"/>
    <n v="1268"/>
    <n v="902"/>
    <n v="41"/>
    <n v="22"/>
    <n v="81"/>
    <n v="67"/>
    <m/>
    <n v="5"/>
    <n v="352"/>
    <n v="23"/>
    <n v="64802"/>
    <n v="350"/>
    <n v="2"/>
    <n v="8"/>
    <n v="679"/>
    <n v="9071"/>
    <n v="13791"/>
    <n v="1151"/>
    <n v="40540"/>
    <n v="4049"/>
    <m/>
    <n v="68602"/>
    <n v="602"/>
    <n v="63343"/>
    <n v="4657"/>
    <n v="2737"/>
    <n v="2686"/>
    <m/>
    <n v="122"/>
    <n v="222"/>
    <n v="286"/>
    <n v="433"/>
    <n v="850"/>
    <n v="1146"/>
    <n v="1108"/>
    <n v="1066"/>
    <n v="80"/>
    <n v="110"/>
    <m/>
    <n v="384"/>
    <n v="447"/>
    <n v="1190"/>
    <n v="38"/>
    <n v="1"/>
    <n v="3342"/>
    <n v="21"/>
    <n v="235"/>
    <n v="37"/>
    <n v="185"/>
    <n v="370"/>
    <n v="7"/>
    <m/>
    <n v="50"/>
    <n v="3795"/>
    <n v="605"/>
    <m/>
    <n v="116"/>
    <n v="15"/>
    <n v="1"/>
    <n v="2"/>
    <n v="4"/>
    <n v="165"/>
    <n v="3055"/>
    <n v="15"/>
    <n v="2130"/>
    <n v="58"/>
    <m/>
    <n v="5423"/>
    <n v="71"/>
    <n v="5098"/>
    <n v="254"/>
    <s v="2015"/>
    <n v="99"/>
    <n v="10"/>
    <m/>
    <m/>
    <n v="1"/>
    <m/>
  </r>
  <r>
    <n v="106400466"/>
    <s v="400466"/>
    <x v="265"/>
    <x v="38"/>
    <x v="1"/>
    <s v="General Acute Care Hospital"/>
    <s v="345 SOUTH HALCYON ROAD"/>
    <s v="ARROYO GRANDE"/>
    <s v="93420"/>
    <s v="Beds 50-99"/>
    <m/>
    <n v="24"/>
    <x v="70"/>
    <x v="24"/>
    <s v="Arroyo Grande/Nipomo/Oceano/Pismo Beach"/>
    <s v="Rural"/>
    <x v="0"/>
    <x v="0"/>
    <x v="0"/>
    <n v="12931"/>
    <n v="10401"/>
    <m/>
    <n v="2284"/>
    <n v="2370"/>
    <n v="3094"/>
    <n v="3009"/>
    <n v="2577"/>
    <n v="2916"/>
    <n v="2589"/>
    <n v="2093"/>
    <n v="2086"/>
    <n v="314"/>
    <m/>
    <n v="278"/>
    <n v="253"/>
    <n v="5381"/>
    <n v="62"/>
    <n v="563"/>
    <n v="248"/>
    <n v="16547"/>
    <n v="322"/>
    <n v="72"/>
    <n v="21"/>
    <n v="18"/>
    <n v="1"/>
    <n v="10"/>
    <m/>
    <n v="39"/>
    <n v="45"/>
    <n v="16"/>
    <n v="22728"/>
    <n v="24"/>
    <n v="3"/>
    <n v="8"/>
    <n v="25"/>
    <n v="7184"/>
    <n v="6315"/>
    <n v="731"/>
    <n v="7370"/>
    <n v="1680"/>
    <n v="52"/>
    <n v="23332"/>
    <n v="109"/>
    <n v="22158"/>
    <n v="1065"/>
    <n v="1039"/>
    <n v="813"/>
    <m/>
    <n v="15"/>
    <n v="74"/>
    <n v="111"/>
    <n v="114"/>
    <n v="231"/>
    <n v="337"/>
    <n v="405"/>
    <n v="563"/>
    <m/>
    <n v="2"/>
    <m/>
    <n v="31"/>
    <n v="10"/>
    <n v="202"/>
    <n v="27"/>
    <n v="9"/>
    <n v="1569"/>
    <n v="4"/>
    <n v="113"/>
    <n v="33"/>
    <n v="59"/>
    <n v="229"/>
    <n v="70"/>
    <m/>
    <n v="13"/>
    <n v="986"/>
    <n v="273"/>
    <m/>
    <n v="67"/>
    <n v="9"/>
    <m/>
    <m/>
    <m/>
    <n v="331"/>
    <n v="1199"/>
    <n v="37"/>
    <n v="273"/>
    <n v="12"/>
    <m/>
    <n v="1852"/>
    <n v="4"/>
    <n v="1786"/>
    <n v="62"/>
    <s v="2015"/>
    <n v="67"/>
    <n v="12"/>
    <m/>
    <m/>
    <m/>
    <m/>
  </r>
  <r>
    <n v="106400480"/>
    <s v="400480"/>
    <x v="266"/>
    <x v="38"/>
    <x v="1"/>
    <s v="General Acute Care Hospital"/>
    <s v="1911 JOHNSON AVENUE"/>
    <s v="SAN LUIS OBISPO"/>
    <s v="93401"/>
    <s v="Beds 100-149"/>
    <m/>
    <n v="24"/>
    <x v="70"/>
    <x v="24"/>
    <s v="San Luis Obispo"/>
    <s v="Rural"/>
    <x v="0"/>
    <x v="0"/>
    <x v="0"/>
    <n v="9262"/>
    <n v="7811"/>
    <n v="1"/>
    <n v="793"/>
    <n v="1117"/>
    <n v="2324"/>
    <n v="2030"/>
    <n v="1690"/>
    <n v="2384"/>
    <n v="2461"/>
    <n v="1943"/>
    <n v="2204"/>
    <n v="128"/>
    <m/>
    <n v="299"/>
    <n v="270"/>
    <n v="1922"/>
    <n v="41"/>
    <n v="288"/>
    <n v="210"/>
    <n v="14044"/>
    <n v="130"/>
    <n v="51"/>
    <n v="23"/>
    <n v="42"/>
    <n v="29"/>
    <n v="4"/>
    <m/>
    <n v="35"/>
    <n v="97"/>
    <n v="3"/>
    <n v="16553"/>
    <n v="74"/>
    <m/>
    <m/>
    <n v="33"/>
    <n v="3565"/>
    <n v="6201"/>
    <n v="735"/>
    <n v="5583"/>
    <n v="838"/>
    <n v="152"/>
    <n v="17074"/>
    <n v="111"/>
    <n v="16425"/>
    <n v="538"/>
    <n v="1121"/>
    <n v="1213"/>
    <m/>
    <n v="10"/>
    <n v="70"/>
    <n v="71"/>
    <n v="116"/>
    <n v="293"/>
    <n v="495"/>
    <n v="526"/>
    <n v="753"/>
    <m/>
    <m/>
    <m/>
    <n v="35"/>
    <n v="22"/>
    <n v="109"/>
    <n v="33"/>
    <n v="29"/>
    <n v="2102"/>
    <n v="4"/>
    <n v="39"/>
    <n v="28"/>
    <n v="78"/>
    <n v="398"/>
    <n v="61"/>
    <m/>
    <n v="41"/>
    <n v="1058"/>
    <n v="512"/>
    <n v="7"/>
    <n v="103"/>
    <n v="5"/>
    <m/>
    <m/>
    <n v="1"/>
    <n v="278"/>
    <n v="1571"/>
    <n v="70"/>
    <n v="400"/>
    <n v="15"/>
    <m/>
    <n v="2334"/>
    <n v="17"/>
    <n v="2288"/>
    <n v="29"/>
    <s v="2015"/>
    <n v="103"/>
    <n v="14"/>
    <m/>
    <m/>
    <m/>
    <n v="3"/>
  </r>
  <r>
    <n v="106400524"/>
    <s v="400524"/>
    <x v="267"/>
    <x v="38"/>
    <x v="3"/>
    <s v="General Acute Care Hospital"/>
    <s v="1010 MURRAY STREET"/>
    <s v="SAN LUIS OBISPO"/>
    <s v="93405"/>
    <s v="Beds 150-199"/>
    <s v="Level III"/>
    <n v="24"/>
    <x v="70"/>
    <x v="24"/>
    <s v="San Luis Obispo"/>
    <s v="Rural"/>
    <x v="0"/>
    <x v="0"/>
    <x v="0"/>
    <n v="11580"/>
    <n v="10386"/>
    <m/>
    <n v="2179"/>
    <n v="2785"/>
    <n v="4506"/>
    <n v="2670"/>
    <n v="2122"/>
    <n v="2611"/>
    <n v="2009"/>
    <n v="1222"/>
    <n v="1332"/>
    <n v="530"/>
    <m/>
    <n v="387"/>
    <n v="403"/>
    <n v="3006"/>
    <n v="22"/>
    <n v="1602"/>
    <n v="231"/>
    <n v="16315"/>
    <n v="179"/>
    <n v="83"/>
    <n v="39"/>
    <n v="65"/>
    <n v="16"/>
    <n v="1"/>
    <m/>
    <m/>
    <n v="67"/>
    <n v="1"/>
    <n v="21441"/>
    <n v="73"/>
    <m/>
    <m/>
    <m/>
    <n v="4129"/>
    <n v="4169"/>
    <n v="996"/>
    <n v="10954"/>
    <n v="1718"/>
    <m/>
    <n v="21966"/>
    <n v="108"/>
    <n v="21194"/>
    <n v="664"/>
    <n v="1161"/>
    <n v="1265"/>
    <m/>
    <n v="107"/>
    <n v="196"/>
    <n v="166"/>
    <n v="191"/>
    <n v="347"/>
    <n v="475"/>
    <n v="318"/>
    <n v="494"/>
    <n v="56"/>
    <n v="76"/>
    <m/>
    <n v="51"/>
    <n v="37"/>
    <n v="242"/>
    <n v="92"/>
    <n v="18"/>
    <n v="1980"/>
    <n v="6"/>
    <n v="79"/>
    <n v="42"/>
    <n v="66"/>
    <n v="286"/>
    <n v="46"/>
    <m/>
    <n v="25"/>
    <n v="1352"/>
    <n v="420"/>
    <n v="52"/>
    <n v="43"/>
    <n v="6"/>
    <n v="3"/>
    <m/>
    <n v="6"/>
    <n v="480"/>
    <n v="1057"/>
    <n v="301"/>
    <n v="550"/>
    <n v="38"/>
    <m/>
    <n v="2426"/>
    <n v="10"/>
    <n v="2362"/>
    <n v="54"/>
    <s v="2015"/>
    <n v="164"/>
    <n v="11"/>
    <m/>
    <n v="1"/>
    <m/>
    <m/>
  </r>
  <r>
    <n v="106400548"/>
    <s v="400548"/>
    <x v="268"/>
    <x v="38"/>
    <x v="3"/>
    <s v="General Acute Care Hospital"/>
    <s v="1100 LAS TABLAS ROAD"/>
    <s v="TEMPLETON"/>
    <s v="93465"/>
    <s v="Beds 100-149"/>
    <m/>
    <n v="24"/>
    <x v="70"/>
    <x v="24"/>
    <s v="Atascadero/Templeton"/>
    <s v="Urban"/>
    <x v="1"/>
    <x v="0"/>
    <x v="0"/>
    <n v="18437"/>
    <n v="14884"/>
    <n v="4"/>
    <n v="4043"/>
    <n v="3524"/>
    <n v="5207"/>
    <n v="4434"/>
    <n v="3668"/>
    <n v="4032"/>
    <n v="3193"/>
    <n v="2198"/>
    <n v="2357"/>
    <n v="669"/>
    <m/>
    <n v="253"/>
    <n v="736"/>
    <n v="6581"/>
    <n v="33"/>
    <n v="587"/>
    <n v="282"/>
    <n v="24853"/>
    <n v="469"/>
    <n v="103"/>
    <n v="48"/>
    <n v="206"/>
    <n v="16"/>
    <n v="3"/>
    <m/>
    <m/>
    <n v="84"/>
    <n v="2"/>
    <n v="32257"/>
    <n v="118"/>
    <n v="19"/>
    <m/>
    <m/>
    <n v="10664"/>
    <n v="7305"/>
    <n v="1550"/>
    <n v="11892"/>
    <n v="1914"/>
    <m/>
    <n v="33325"/>
    <n v="134"/>
    <n v="30998"/>
    <n v="2193"/>
    <n v="1582"/>
    <n v="1576"/>
    <m/>
    <n v="32"/>
    <n v="134"/>
    <n v="214"/>
    <n v="301"/>
    <n v="475"/>
    <n v="578"/>
    <n v="534"/>
    <n v="885"/>
    <m/>
    <n v="5"/>
    <m/>
    <n v="33"/>
    <n v="91"/>
    <n v="330"/>
    <n v="32"/>
    <n v="30"/>
    <n v="2640"/>
    <n v="2"/>
    <n v="98"/>
    <n v="32"/>
    <n v="107"/>
    <n v="764"/>
    <n v="20"/>
    <m/>
    <n v="14"/>
    <n v="1358"/>
    <n v="538"/>
    <n v="117"/>
    <n v="67"/>
    <n v="40"/>
    <m/>
    <m/>
    <n v="3"/>
    <n v="542"/>
    <n v="1806"/>
    <n v="280"/>
    <n v="481"/>
    <n v="49"/>
    <m/>
    <n v="3158"/>
    <n v="14"/>
    <n v="3042"/>
    <n v="102"/>
    <s v="2015"/>
    <n v="122"/>
    <n v="23"/>
    <m/>
    <m/>
    <m/>
    <m/>
  </r>
  <r>
    <n v="106410782"/>
    <s v="410782"/>
    <x v="269"/>
    <x v="39"/>
    <x v="0"/>
    <s v="General Acute Care Hospital"/>
    <s v="222 WEST 39TH AVENUE"/>
    <s v="SAN MATEO"/>
    <s v="94403"/>
    <s v="Beds 500+"/>
    <m/>
    <n v="14"/>
    <x v="71"/>
    <x v="37"/>
    <s v="Burlingame Hills/Burlingame Southwest/Hillsborough/Hillsdale/Millbrae West/San Bruno Central/San Mateo West"/>
    <s v="Urban"/>
    <x v="0"/>
    <x v="0"/>
    <x v="0"/>
    <n v="18896"/>
    <n v="19128"/>
    <m/>
    <n v="2361"/>
    <n v="2656"/>
    <n v="6754"/>
    <n v="7624"/>
    <n v="6553"/>
    <n v="6235"/>
    <n v="3576"/>
    <n v="1274"/>
    <n v="555"/>
    <n v="436"/>
    <m/>
    <n v="1578"/>
    <n v="609"/>
    <n v="24824"/>
    <n v="192"/>
    <n v="2863"/>
    <n v="89"/>
    <n v="7869"/>
    <n v="477"/>
    <n v="142"/>
    <n v="20"/>
    <n v="1"/>
    <n v="1"/>
    <n v="3"/>
    <m/>
    <n v="462"/>
    <n v="804"/>
    <m/>
    <n v="35718"/>
    <n v="25"/>
    <m/>
    <n v="53"/>
    <n v="223"/>
    <n v="28019"/>
    <n v="3432"/>
    <n v="2447"/>
    <n v="1676"/>
    <n v="2450"/>
    <m/>
    <n v="38024"/>
    <n v="1116"/>
    <n v="19838"/>
    <n v="17070"/>
    <n v="1316"/>
    <n v="1707"/>
    <m/>
    <n v="65"/>
    <n v="326"/>
    <n v="410"/>
    <n v="452"/>
    <n v="683"/>
    <n v="533"/>
    <n v="312"/>
    <n v="226"/>
    <n v="2"/>
    <n v="14"/>
    <m/>
    <n v="184"/>
    <n v="78"/>
    <n v="2110"/>
    <n v="108"/>
    <n v="6"/>
    <n v="527"/>
    <n v="10"/>
    <n v="116"/>
    <n v="62"/>
    <n v="55"/>
    <n v="45"/>
    <n v="2"/>
    <m/>
    <n v="1"/>
    <n v="2391"/>
    <n v="232"/>
    <n v="48"/>
    <n v="20"/>
    <n v="38"/>
    <n v="1"/>
    <n v="3"/>
    <n v="1"/>
    <n v="1884"/>
    <n v="806"/>
    <n v="54"/>
    <n v="108"/>
    <n v="171"/>
    <m/>
    <n v="3023"/>
    <n v="163"/>
    <n v="1966"/>
    <n v="894"/>
    <s v="2015"/>
    <n v="509"/>
    <n v="15"/>
    <m/>
    <n v="95"/>
    <m/>
    <n v="8"/>
  </r>
  <r>
    <n v="106410806"/>
    <s v="410806"/>
    <x v="270"/>
    <x v="39"/>
    <x v="1"/>
    <s v="General Acute Care Hospital"/>
    <s v="1200 EL CAMINO REAL"/>
    <s v="SOUTH SAN FRANCISCO"/>
    <s v="94080"/>
    <s v="Beds 100-149"/>
    <m/>
    <n v="14"/>
    <x v="66"/>
    <x v="37"/>
    <s v="Brisbane/Burlingame Northeast/Colma/Daly City East/Millbrae East/San Bruno/South San Francisco"/>
    <s v="Urban"/>
    <x v="0"/>
    <x v="0"/>
    <x v="0"/>
    <n v="17663"/>
    <n v="16875"/>
    <m/>
    <n v="3200"/>
    <n v="2797"/>
    <n v="4482"/>
    <n v="4085"/>
    <n v="3848"/>
    <n v="4578"/>
    <n v="3996"/>
    <n v="3316"/>
    <n v="3779"/>
    <n v="457"/>
    <m/>
    <n v="10069"/>
    <n v="2338"/>
    <n v="9359"/>
    <n v="86"/>
    <n v="1062"/>
    <n v="498"/>
    <n v="11126"/>
    <n v="279"/>
    <n v="196"/>
    <n v="27"/>
    <n v="369"/>
    <n v="57"/>
    <n v="8"/>
    <m/>
    <n v="66"/>
    <n v="152"/>
    <m/>
    <n v="33114"/>
    <n v="156"/>
    <n v="3"/>
    <m/>
    <n v="111"/>
    <n v="2425"/>
    <n v="8504"/>
    <n v="878"/>
    <n v="19468"/>
    <n v="3263"/>
    <m/>
    <n v="34538"/>
    <n v="1248"/>
    <n v="30428"/>
    <n v="2862"/>
    <n v="1922"/>
    <n v="2002"/>
    <m/>
    <n v="12"/>
    <n v="118"/>
    <n v="159"/>
    <n v="215"/>
    <n v="438"/>
    <n v="783"/>
    <n v="931"/>
    <n v="1268"/>
    <m/>
    <m/>
    <m/>
    <n v="1180"/>
    <n v="281"/>
    <n v="608"/>
    <n v="22"/>
    <n v="6"/>
    <n v="1815"/>
    <n v="12"/>
    <n v="230"/>
    <n v="22"/>
    <n v="144"/>
    <n v="904"/>
    <n v="23"/>
    <m/>
    <n v="1"/>
    <n v="2007"/>
    <n v="411"/>
    <n v="1"/>
    <n v="166"/>
    <n v="2"/>
    <m/>
    <m/>
    <n v="13"/>
    <n v="94"/>
    <n v="2650"/>
    <n v="9"/>
    <n v="1116"/>
    <n v="55"/>
    <m/>
    <n v="3924"/>
    <n v="173"/>
    <n v="3532"/>
    <n v="219"/>
    <s v="2015"/>
    <n v="120"/>
    <n v="19"/>
    <m/>
    <m/>
    <m/>
    <m/>
  </r>
  <r>
    <n v="106410817"/>
    <s v="410817"/>
    <x v="271"/>
    <x v="39"/>
    <x v="1"/>
    <s v="General Acute Care Hospital"/>
    <s v="1900 SULLIVAN AVENUE"/>
    <s v="DALY CITY"/>
    <s v="94015"/>
    <s v="Beds 300-499"/>
    <m/>
    <n v="14"/>
    <x v="66"/>
    <x v="35"/>
    <s v="Broadmoor Village/Daly City West/San Bruno Northwest/Serramonte/Westborough"/>
    <s v="Urban"/>
    <x v="0"/>
    <x v="0"/>
    <x v="0"/>
    <n v="13386"/>
    <n v="10887"/>
    <m/>
    <n v="2402"/>
    <n v="2185"/>
    <n v="4096"/>
    <n v="3459"/>
    <n v="3003"/>
    <n v="2951"/>
    <n v="2306"/>
    <n v="1642"/>
    <n v="1877"/>
    <n v="352"/>
    <m/>
    <n v="891"/>
    <n v="193"/>
    <n v="16097"/>
    <n v="16"/>
    <n v="595"/>
    <n v="2175"/>
    <n v="4306"/>
    <n v="253"/>
    <n v="772"/>
    <n v="56"/>
    <n v="3"/>
    <n v="5"/>
    <n v="1"/>
    <m/>
    <n v="11"/>
    <n v="23"/>
    <m/>
    <n v="22992"/>
    <n v="141"/>
    <m/>
    <m/>
    <m/>
    <n v="10479"/>
    <n v="5117"/>
    <n v="668"/>
    <n v="6211"/>
    <n v="1654"/>
    <n v="144"/>
    <n v="24273"/>
    <n v="3530"/>
    <n v="18545"/>
    <n v="2198"/>
    <n v="2587"/>
    <n v="2189"/>
    <m/>
    <n v="18"/>
    <n v="130"/>
    <n v="185"/>
    <n v="303"/>
    <n v="568"/>
    <n v="780"/>
    <n v="1052"/>
    <n v="1740"/>
    <m/>
    <m/>
    <m/>
    <n v="2078"/>
    <n v="257"/>
    <n v="685"/>
    <n v="46"/>
    <n v="17"/>
    <n v="1685"/>
    <n v="8"/>
    <n v="102"/>
    <n v="74"/>
    <n v="221"/>
    <n v="708"/>
    <n v="4"/>
    <m/>
    <n v="7"/>
    <n v="2526"/>
    <n v="1055"/>
    <n v="1"/>
    <n v="50"/>
    <m/>
    <m/>
    <m/>
    <m/>
    <n v="697"/>
    <n v="3456"/>
    <n v="213"/>
    <n v="370"/>
    <n v="40"/>
    <m/>
    <n v="4776"/>
    <n v="1505"/>
    <n v="2908"/>
    <n v="363"/>
    <s v="2015"/>
    <n v="357"/>
    <n v="18"/>
    <m/>
    <n v="16"/>
    <n v="1"/>
    <n v="27"/>
  </r>
  <r>
    <n v="106410828"/>
    <s v="410828"/>
    <x v="272"/>
    <x v="39"/>
    <x v="1"/>
    <s v="General Acute Care Hospital"/>
    <s v="600 MARINE BOULEVARD"/>
    <s v="MOSS BEACH"/>
    <s v="94038"/>
    <s v="Beds 100-149"/>
    <m/>
    <n v="14"/>
    <x v="71"/>
    <x v="37"/>
    <s v="El Granada/Half Moon Bay/Miramar/Montara/Moss Beach/Princeton by the Sea/Skyline"/>
    <s v="Rural"/>
    <x v="0"/>
    <x v="0"/>
    <x v="1"/>
    <n v="1716"/>
    <n v="1552"/>
    <m/>
    <n v="507"/>
    <n v="411"/>
    <n v="426"/>
    <n v="402"/>
    <n v="370"/>
    <n v="468"/>
    <n v="347"/>
    <n v="167"/>
    <n v="113"/>
    <n v="57"/>
    <m/>
    <n v="5"/>
    <m/>
    <n v="2175"/>
    <m/>
    <n v="17"/>
    <n v="326"/>
    <n v="745"/>
    <n v="187"/>
    <n v="48"/>
    <n v="1"/>
    <m/>
    <m/>
    <m/>
    <m/>
    <m/>
    <m/>
    <m/>
    <n v="3001"/>
    <n v="31"/>
    <m/>
    <m/>
    <m/>
    <n v="1451"/>
    <n v="492"/>
    <n v="119"/>
    <n v="969"/>
    <n v="234"/>
    <n v="3"/>
    <n v="3268"/>
    <n v="64"/>
    <n v="2361"/>
    <n v="843"/>
    <n v="1"/>
    <n v="1"/>
    <m/>
    <m/>
    <m/>
    <m/>
    <n v="1"/>
    <m/>
    <n v="1"/>
    <m/>
    <m/>
    <m/>
    <m/>
    <m/>
    <m/>
    <m/>
    <m/>
    <m/>
    <m/>
    <n v="2"/>
    <m/>
    <m/>
    <m/>
    <n v="2"/>
    <m/>
    <m/>
    <m/>
    <m/>
    <m/>
    <m/>
    <m/>
    <m/>
    <m/>
    <m/>
    <m/>
    <m/>
    <n v="1"/>
    <n v="1"/>
    <m/>
    <m/>
    <m/>
    <m/>
    <n v="2"/>
    <n v="1"/>
    <n v="1"/>
    <m/>
    <s v="2015"/>
    <n v="121"/>
    <n v="7"/>
    <m/>
    <m/>
    <m/>
    <m/>
  </r>
  <r>
    <n v="106410852"/>
    <s v="410852"/>
    <x v="273"/>
    <x v="39"/>
    <x v="1"/>
    <s v="General Acute Care Hospital"/>
    <s v="1501 TROUSDALE DRIVE"/>
    <s v="BURLINGAME"/>
    <s v="94010"/>
    <s v="Beds 200-299"/>
    <m/>
    <n v="14"/>
    <x v="71"/>
    <x v="37"/>
    <s v="Burlingame Hills/Burlingame Southwest/Hillsborough/Hillsdale/Millbrae West/San Bruno Central/San Mateo West"/>
    <s v="Urban"/>
    <x v="0"/>
    <x v="0"/>
    <x v="0"/>
    <n v="22225"/>
    <n v="18965"/>
    <n v="1"/>
    <n v="4701"/>
    <n v="3577"/>
    <n v="5301"/>
    <n v="5523"/>
    <n v="4963"/>
    <n v="5209"/>
    <n v="3789"/>
    <n v="3153"/>
    <n v="4115"/>
    <n v="860"/>
    <m/>
    <n v="6662"/>
    <n v="1790"/>
    <n v="10625"/>
    <n v="45"/>
    <n v="1771"/>
    <n v="403"/>
    <n v="19895"/>
    <n v="218"/>
    <n v="192"/>
    <n v="55"/>
    <n v="147"/>
    <n v="24"/>
    <n v="2"/>
    <m/>
    <n v="30"/>
    <n v="303"/>
    <n v="16"/>
    <n v="39682"/>
    <n v="135"/>
    <n v="7"/>
    <n v="15"/>
    <n v="133"/>
    <n v="11936"/>
    <n v="9795"/>
    <n v="1411"/>
    <n v="15296"/>
    <n v="2666"/>
    <n v="87"/>
    <n v="41191"/>
    <n v="1530"/>
    <n v="36855"/>
    <n v="2806"/>
    <n v="4082"/>
    <n v="3642"/>
    <m/>
    <n v="295"/>
    <n v="395"/>
    <n v="479"/>
    <n v="550"/>
    <n v="1004"/>
    <n v="1121"/>
    <n v="1332"/>
    <n v="2526"/>
    <n v="15"/>
    <n v="7"/>
    <m/>
    <n v="1321"/>
    <n v="334"/>
    <n v="1010"/>
    <n v="230"/>
    <n v="25"/>
    <n v="4793"/>
    <n v="11"/>
    <n v="152"/>
    <n v="65"/>
    <n v="301"/>
    <n v="1411"/>
    <n v="48"/>
    <m/>
    <n v="46"/>
    <n v="4255"/>
    <n v="1111"/>
    <m/>
    <n v="267"/>
    <n v="57"/>
    <m/>
    <n v="1"/>
    <n v="7"/>
    <n v="1011"/>
    <n v="4674"/>
    <n v="78"/>
    <n v="1772"/>
    <n v="189"/>
    <m/>
    <n v="7724"/>
    <n v="482"/>
    <n v="6976"/>
    <n v="266"/>
    <s v="2015"/>
    <n v="241"/>
    <n v="23"/>
    <n v="134"/>
    <n v="98"/>
    <n v="3"/>
    <m/>
  </r>
  <r>
    <n v="106410891"/>
    <s v="410891"/>
    <x v="274"/>
    <x v="39"/>
    <x v="1"/>
    <s v="General Acute Care Hospital"/>
    <s v="170 ALAMEDA DE LAS PULGAS"/>
    <s v="REDWOOD CITY"/>
    <s v="94062"/>
    <s v="Beds 200-299"/>
    <m/>
    <n v="18"/>
    <x v="71"/>
    <x v="37"/>
    <s v="Belmont/Devonshire/Emerald Lake/Farm Hills/Palomar Park/San Carlos West/The Highlands"/>
    <s v="Urban"/>
    <x v="0"/>
    <x v="0"/>
    <x v="0"/>
    <n v="11031"/>
    <n v="8314"/>
    <n v="2"/>
    <n v="2129"/>
    <n v="1882"/>
    <n v="2568"/>
    <n v="2399"/>
    <n v="2332"/>
    <n v="2512"/>
    <n v="1834"/>
    <n v="1428"/>
    <n v="1924"/>
    <n v="339"/>
    <m/>
    <n v="1362"/>
    <n v="664"/>
    <n v="5413"/>
    <n v="3"/>
    <n v="550"/>
    <n v="438"/>
    <n v="10917"/>
    <n v="2"/>
    <n v="340"/>
    <n v="14"/>
    <n v="6"/>
    <n v="16"/>
    <m/>
    <m/>
    <n v="9"/>
    <n v="15"/>
    <n v="186"/>
    <n v="18507"/>
    <n v="143"/>
    <n v="53"/>
    <n v="43"/>
    <n v="4"/>
    <n v="5866"/>
    <n v="4496"/>
    <n v="721"/>
    <n v="6892"/>
    <n v="1372"/>
    <m/>
    <n v="19347"/>
    <n v="106"/>
    <n v="17469"/>
    <n v="1772"/>
    <n v="1247"/>
    <n v="1024"/>
    <m/>
    <n v="8"/>
    <n v="46"/>
    <n v="87"/>
    <n v="141"/>
    <n v="228"/>
    <n v="343"/>
    <n v="431"/>
    <n v="987"/>
    <m/>
    <m/>
    <m/>
    <n v="167"/>
    <n v="74"/>
    <n v="211"/>
    <n v="44"/>
    <n v="30"/>
    <n v="1745"/>
    <m/>
    <n v="10"/>
    <n v="210"/>
    <n v="38"/>
    <n v="185"/>
    <n v="4"/>
    <m/>
    <n v="11"/>
    <n v="1220"/>
    <n v="227"/>
    <m/>
    <n v="34"/>
    <n v="2"/>
    <n v="5"/>
    <m/>
    <m/>
    <n v="160"/>
    <n v="1603"/>
    <n v="7"/>
    <n v="470"/>
    <n v="31"/>
    <m/>
    <n v="2271"/>
    <n v="30"/>
    <n v="2133"/>
    <n v="108"/>
    <s v="2015"/>
    <n v="208"/>
    <n v="12"/>
    <m/>
    <n v="9"/>
    <n v="325"/>
    <m/>
  </r>
  <r>
    <n v="106414139"/>
    <s v="414139"/>
    <x v="275"/>
    <x v="39"/>
    <x v="1"/>
    <s v="General Acute Care Hospital"/>
    <s v="1100 VETERANS BLVD."/>
    <s v="REDWOOD CITY"/>
    <s v="94063"/>
    <s v="Beds 100-149"/>
    <m/>
    <n v="14"/>
    <x v="71"/>
    <x v="37"/>
    <s v="Atherton/Lindenwood/Menlo Oaks/Menlo Park/Redwood City Central/Sharon Heights/West Menlo Park/Woodside/Woodside Hills"/>
    <s v="Urban"/>
    <x v="0"/>
    <x v="0"/>
    <x v="0"/>
    <n v="14104"/>
    <n v="12872"/>
    <m/>
    <n v="2465"/>
    <n v="2183"/>
    <n v="3569"/>
    <n v="3480"/>
    <n v="3166"/>
    <n v="3642"/>
    <n v="2855"/>
    <n v="2297"/>
    <n v="2877"/>
    <n v="442"/>
    <m/>
    <n v="3582"/>
    <n v="1681"/>
    <n v="7859"/>
    <n v="83"/>
    <n v="445"/>
    <n v="340"/>
    <n v="12986"/>
    <n v="110"/>
    <n v="263"/>
    <n v="37"/>
    <n v="128"/>
    <n v="59"/>
    <n v="18"/>
    <m/>
    <n v="61"/>
    <n v="200"/>
    <n v="3"/>
    <n v="25882"/>
    <n v="100"/>
    <n v="4"/>
    <n v="13"/>
    <n v="98"/>
    <n v="2446"/>
    <n v="6463"/>
    <n v="776"/>
    <n v="14760"/>
    <n v="2531"/>
    <m/>
    <n v="26976"/>
    <n v="453"/>
    <n v="23714"/>
    <n v="2809"/>
    <n v="1510"/>
    <n v="1374"/>
    <m/>
    <n v="29"/>
    <n v="79"/>
    <n v="131"/>
    <n v="163"/>
    <n v="392"/>
    <n v="451"/>
    <n v="575"/>
    <n v="1059"/>
    <n v="3"/>
    <n v="1"/>
    <n v="1"/>
    <n v="407"/>
    <n v="172"/>
    <n v="401"/>
    <n v="24"/>
    <n v="11"/>
    <n v="1868"/>
    <n v="1"/>
    <n v="153"/>
    <n v="24"/>
    <n v="158"/>
    <n v="486"/>
    <n v="22"/>
    <m/>
    <m/>
    <n v="1458"/>
    <n v="423"/>
    <n v="1"/>
    <n v="148"/>
    <n v="9"/>
    <m/>
    <m/>
    <n v="2"/>
    <n v="105"/>
    <n v="1857"/>
    <n v="9"/>
    <n v="855"/>
    <n v="58"/>
    <m/>
    <n v="2884"/>
    <n v="92"/>
    <n v="2633"/>
    <n v="159"/>
    <s v="2015"/>
    <n v="149"/>
    <n v="24"/>
    <m/>
    <m/>
    <m/>
    <m/>
  </r>
  <r>
    <n v="106420483"/>
    <s v="420483"/>
    <x v="276"/>
    <x v="40"/>
    <x v="1"/>
    <s v="General Acute Care Hospital"/>
    <s v="351 SOUTH PATTERSON AVENUE"/>
    <s v="SANTA BARBARA"/>
    <s v="93111"/>
    <s v="Beds 100-149"/>
    <m/>
    <n v="24"/>
    <x v="72"/>
    <x v="38"/>
    <s v="Goleta South/Isla Vista/Santa Barbara South"/>
    <s v="Urban"/>
    <x v="0"/>
    <x v="0"/>
    <x v="0"/>
    <n v="10271"/>
    <n v="9649"/>
    <m/>
    <n v="1678"/>
    <n v="3087"/>
    <n v="4575"/>
    <n v="1877"/>
    <n v="1756"/>
    <n v="2075"/>
    <n v="1694"/>
    <n v="1195"/>
    <n v="1745"/>
    <n v="238"/>
    <m/>
    <n v="1008"/>
    <n v="576"/>
    <n v="5669"/>
    <n v="33"/>
    <n v="35"/>
    <n v="100"/>
    <n v="12499"/>
    <n v="750"/>
    <n v="418"/>
    <n v="6"/>
    <m/>
    <n v="4"/>
    <m/>
    <m/>
    <n v="468"/>
    <n v="19"/>
    <n v="51"/>
    <n v="17877"/>
    <n v="80"/>
    <n v="1"/>
    <m/>
    <n v="246"/>
    <n v="4679"/>
    <n v="3953"/>
    <n v="1031"/>
    <n v="8580"/>
    <n v="1677"/>
    <m/>
    <n v="19920"/>
    <n v="166"/>
    <n v="18145"/>
    <n v="1609"/>
    <n v="288"/>
    <n v="229"/>
    <m/>
    <n v="29"/>
    <n v="64"/>
    <n v="21"/>
    <n v="50"/>
    <n v="60"/>
    <n v="66"/>
    <n v="49"/>
    <n v="178"/>
    <m/>
    <m/>
    <m/>
    <n v="25"/>
    <n v="4"/>
    <n v="103"/>
    <m/>
    <n v="1"/>
    <n v="384"/>
    <m/>
    <n v="9"/>
    <n v="7"/>
    <n v="4"/>
    <n v="28"/>
    <n v="12"/>
    <m/>
    <n v="11"/>
    <n v="318"/>
    <n v="99"/>
    <n v="13"/>
    <n v="7"/>
    <m/>
    <m/>
    <n v="1"/>
    <n v="8"/>
    <n v="61"/>
    <n v="275"/>
    <n v="62"/>
    <n v="101"/>
    <n v="18"/>
    <m/>
    <n v="517"/>
    <n v="5"/>
    <n v="465"/>
    <n v="47"/>
    <s v="2015"/>
    <n v="122"/>
    <n v="9"/>
    <m/>
    <m/>
    <m/>
    <m/>
  </r>
  <r>
    <n v="106420491"/>
    <s v="420491"/>
    <x v="277"/>
    <x v="40"/>
    <x v="2"/>
    <s v="General Acute Care Hospital"/>
    <s v="1515 E. OCEAN AVENUE"/>
    <s v="LOMPOC"/>
    <s v="93436"/>
    <s v="Beds 150-199"/>
    <m/>
    <n v="24"/>
    <x v="70"/>
    <x v="38"/>
    <s v="Lompoc/Mission Hills/Vandenberg"/>
    <s v="Rural"/>
    <x v="1"/>
    <x v="0"/>
    <x v="0"/>
    <n v="12918"/>
    <n v="10165"/>
    <m/>
    <n v="3227"/>
    <n v="2431"/>
    <n v="4622"/>
    <n v="3336"/>
    <n v="2435"/>
    <n v="2482"/>
    <n v="1657"/>
    <n v="1081"/>
    <n v="1139"/>
    <n v="673"/>
    <m/>
    <n v="341"/>
    <n v="1739"/>
    <n v="9508"/>
    <n v="45"/>
    <n v="820"/>
    <n v="172"/>
    <n v="10458"/>
    <n v="575"/>
    <n v="1228"/>
    <n v="17"/>
    <n v="37"/>
    <n v="6"/>
    <n v="11"/>
    <m/>
    <n v="223"/>
    <n v="166"/>
    <n v="1"/>
    <n v="20712"/>
    <n v="56"/>
    <n v="50"/>
    <m/>
    <n v="1"/>
    <n v="12271"/>
    <n v="4892"/>
    <n v="2004"/>
    <n v="2676"/>
    <n v="1240"/>
    <m/>
    <n v="23083"/>
    <n v="57"/>
    <n v="20866"/>
    <n v="2160"/>
    <n v="943"/>
    <n v="769"/>
    <m/>
    <n v="38"/>
    <n v="161"/>
    <n v="153"/>
    <n v="147"/>
    <n v="255"/>
    <n v="262"/>
    <n v="266"/>
    <n v="389"/>
    <n v="12"/>
    <n v="29"/>
    <m/>
    <n v="44"/>
    <n v="115"/>
    <n v="517"/>
    <n v="30"/>
    <n v="15"/>
    <n v="988"/>
    <n v="3"/>
    <n v="8"/>
    <n v="142"/>
    <n v="29"/>
    <n v="66"/>
    <n v="5"/>
    <m/>
    <n v="124"/>
    <n v="1183"/>
    <n v="13"/>
    <n v="38"/>
    <n v="14"/>
    <n v="7"/>
    <n v="83"/>
    <m/>
    <m/>
    <n v="453"/>
    <n v="885"/>
    <n v="86"/>
    <n v="271"/>
    <n v="17"/>
    <m/>
    <n v="1712"/>
    <n v="1"/>
    <n v="1576"/>
    <n v="135"/>
    <s v="2015"/>
    <n v="170"/>
    <n v="12"/>
    <m/>
    <m/>
    <m/>
    <m/>
  </r>
  <r>
    <n v="106420493"/>
    <s v="420493"/>
    <x v="278"/>
    <x v="40"/>
    <x v="1"/>
    <s v="General Acute Care Hospital"/>
    <s v="1400 EAST CHURCH STREET"/>
    <s v="SANTA MARIA"/>
    <s v="93454"/>
    <s v="Beds 300-499"/>
    <s v="Level III"/>
    <n v="24"/>
    <x v="70"/>
    <x v="38"/>
    <s v="Orcutt/Santa Maria"/>
    <s v="Urban"/>
    <x v="0"/>
    <x v="0"/>
    <x v="0"/>
    <n v="37804"/>
    <n v="30705"/>
    <n v="1"/>
    <n v="12225"/>
    <n v="8203"/>
    <n v="10755"/>
    <n v="8694"/>
    <n v="6643"/>
    <n v="6769"/>
    <n v="4657"/>
    <n v="3471"/>
    <n v="3924"/>
    <n v="3169"/>
    <m/>
    <n v="1311"/>
    <n v="1438"/>
    <n v="42566"/>
    <n v="62"/>
    <n v="364"/>
    <n v="804"/>
    <n v="21965"/>
    <n v="214"/>
    <n v="280"/>
    <n v="51"/>
    <n v="22"/>
    <n v="10"/>
    <n v="14"/>
    <m/>
    <n v="821"/>
    <n v="260"/>
    <n v="16"/>
    <n v="66639"/>
    <n v="105"/>
    <n v="1"/>
    <n v="41"/>
    <n v="36"/>
    <n v="34546"/>
    <n v="11957"/>
    <n v="1969"/>
    <n v="16074"/>
    <n v="3718"/>
    <n v="246"/>
    <n v="68510"/>
    <n v="408"/>
    <n v="50574"/>
    <n v="17528"/>
    <n v="3703"/>
    <n v="3455"/>
    <m/>
    <n v="219"/>
    <n v="528"/>
    <n v="540"/>
    <n v="606"/>
    <n v="1028"/>
    <n v="1114"/>
    <n v="1042"/>
    <n v="1726"/>
    <n v="150"/>
    <n v="205"/>
    <m/>
    <n v="246"/>
    <n v="163"/>
    <n v="2862"/>
    <n v="57"/>
    <n v="83"/>
    <n v="3741"/>
    <n v="6"/>
    <n v="143"/>
    <n v="55"/>
    <n v="280"/>
    <n v="686"/>
    <n v="162"/>
    <m/>
    <n v="43"/>
    <n v="4650"/>
    <n v="965"/>
    <n v="14"/>
    <n v="134"/>
    <n v="17"/>
    <m/>
    <n v="1"/>
    <n v="8"/>
    <n v="2089"/>
    <n v="3485"/>
    <n v="192"/>
    <n v="1286"/>
    <n v="99"/>
    <n v="7"/>
    <n v="7158"/>
    <n v="65"/>
    <n v="5863"/>
    <n v="1230"/>
    <s v="2015"/>
    <n v="435"/>
    <n v="32"/>
    <m/>
    <m/>
    <m/>
    <m/>
  </r>
  <r>
    <n v="106420514"/>
    <s v="420514"/>
    <x v="279"/>
    <x v="40"/>
    <x v="1"/>
    <s v="General Acute Care Hospital"/>
    <s v="400 W. PUEBLO STREET"/>
    <s v="SANTA BARBARA"/>
    <s v="93102"/>
    <s v="Beds 300-499"/>
    <s v="Level II &amp; Level II - Ped"/>
    <n v="24"/>
    <x v="72"/>
    <x v="38"/>
    <s v="Goleta North/Mission Canyon/Montecito/Riviera/Santa Barbara North"/>
    <s v="Urban"/>
    <x v="0"/>
    <x v="1"/>
    <x v="0"/>
    <n v="20308"/>
    <n v="19621"/>
    <m/>
    <n v="3916"/>
    <n v="3566"/>
    <n v="6826"/>
    <n v="4911"/>
    <n v="4467"/>
    <n v="5124"/>
    <n v="4187"/>
    <n v="2556"/>
    <n v="3440"/>
    <n v="936"/>
    <m/>
    <n v="777"/>
    <n v="1223"/>
    <n v="13579"/>
    <n v="29"/>
    <n v="70"/>
    <n v="256"/>
    <n v="23995"/>
    <n v="201"/>
    <n v="1262"/>
    <n v="64"/>
    <n v="16"/>
    <n v="13"/>
    <n v="5"/>
    <m/>
    <n v="489"/>
    <n v="776"/>
    <n v="54"/>
    <n v="36765"/>
    <n v="274"/>
    <n v="1"/>
    <m/>
    <n v="9"/>
    <n v="12937"/>
    <n v="9166"/>
    <n v="1510"/>
    <n v="12554"/>
    <n v="3762"/>
    <m/>
    <n v="39929"/>
    <n v="314"/>
    <n v="34510"/>
    <n v="5105"/>
    <n v="4100"/>
    <n v="4140"/>
    <m/>
    <n v="232"/>
    <n v="583"/>
    <n v="574"/>
    <n v="743"/>
    <n v="1206"/>
    <n v="1424"/>
    <n v="1156"/>
    <n v="2001"/>
    <n v="110"/>
    <n v="211"/>
    <m/>
    <n v="150"/>
    <n v="182"/>
    <n v="1695"/>
    <n v="7"/>
    <n v="40"/>
    <n v="6160"/>
    <n v="6"/>
    <n v="55"/>
    <n v="126"/>
    <n v="262"/>
    <n v="381"/>
    <n v="277"/>
    <n v="1"/>
    <n v="55"/>
    <n v="5596"/>
    <n v="1210"/>
    <n v="14"/>
    <n v="163"/>
    <n v="45"/>
    <m/>
    <m/>
    <n v="55"/>
    <n v="999"/>
    <n v="4308"/>
    <n v="828"/>
    <n v="1857"/>
    <n v="248"/>
    <m/>
    <n v="8240"/>
    <n v="49"/>
    <n v="7496"/>
    <n v="695"/>
    <s v="2015"/>
    <n v="412"/>
    <n v="20"/>
    <m/>
    <m/>
    <m/>
    <m/>
  </r>
  <r>
    <n v="106420522"/>
    <s v="420522"/>
    <x v="280"/>
    <x v="40"/>
    <x v="1"/>
    <s v="General Acute Care Hospital"/>
    <s v="2050 VIBORG ROAD"/>
    <s v="SOLVANG"/>
    <s v="93463"/>
    <s v="Beds 1-49"/>
    <m/>
    <n v="24"/>
    <x v="72"/>
    <x v="38"/>
    <s v="Buellton/Los Olivos/Santa Ynez/Solvang"/>
    <s v="Rural"/>
    <x v="1"/>
    <x v="0"/>
    <x v="1"/>
    <n v="4302"/>
    <n v="3484"/>
    <m/>
    <n v="677"/>
    <n v="719"/>
    <n v="831"/>
    <n v="771"/>
    <n v="738"/>
    <n v="984"/>
    <n v="995"/>
    <n v="857"/>
    <n v="1103"/>
    <n v="111"/>
    <m/>
    <n v="104"/>
    <n v="79"/>
    <n v="1570"/>
    <n v="61"/>
    <n v="15"/>
    <n v="44"/>
    <n v="5913"/>
    <n v="369"/>
    <n v="41"/>
    <n v="8"/>
    <n v="5"/>
    <n v="2"/>
    <m/>
    <m/>
    <n v="80"/>
    <n v="15"/>
    <n v="19"/>
    <n v="7045"/>
    <n v="19"/>
    <m/>
    <m/>
    <n v="183"/>
    <n v="1689"/>
    <n v="2544"/>
    <n v="438"/>
    <n v="2659"/>
    <n v="456"/>
    <m/>
    <n v="7786"/>
    <n v="54"/>
    <n v="7280"/>
    <n v="452"/>
    <n v="120"/>
    <n v="70"/>
    <m/>
    <m/>
    <n v="6"/>
    <n v="2"/>
    <n v="4"/>
    <n v="11"/>
    <n v="21"/>
    <n v="37"/>
    <n v="109"/>
    <m/>
    <m/>
    <m/>
    <n v="2"/>
    <n v="1"/>
    <n v="10"/>
    <m/>
    <m/>
    <n v="176"/>
    <n v="1"/>
    <n v="14"/>
    <n v="2"/>
    <n v="9"/>
    <n v="20"/>
    <n v="1"/>
    <m/>
    <n v="3"/>
    <n v="116"/>
    <n v="23"/>
    <m/>
    <n v="1"/>
    <m/>
    <m/>
    <m/>
    <n v="1"/>
    <n v="6"/>
    <n v="160"/>
    <n v="8"/>
    <n v="11"/>
    <n v="5"/>
    <m/>
    <n v="190"/>
    <n v="2"/>
    <n v="186"/>
    <n v="2"/>
    <s v="2015"/>
    <n v="11"/>
    <n v="6"/>
    <m/>
    <m/>
    <m/>
    <m/>
  </r>
  <r>
    <n v="106430705"/>
    <s v="430705"/>
    <x v="281"/>
    <x v="41"/>
    <x v="3"/>
    <s v="General Acute Care Hospital"/>
    <s v="225 NORTH JACKSON AVENUE"/>
    <s v="SAN JOSE"/>
    <s v="95116"/>
    <s v="Beds 200-299"/>
    <s v="Level II"/>
    <n v="19"/>
    <x v="73"/>
    <x v="39"/>
    <s v="Berryessa/East San Jose/Milpitas East"/>
    <s v="Urban"/>
    <x v="0"/>
    <x v="0"/>
    <x v="0"/>
    <n v="41060"/>
    <n v="35440"/>
    <m/>
    <n v="12312"/>
    <n v="9660"/>
    <n v="13517"/>
    <n v="11091"/>
    <n v="9628"/>
    <n v="7914"/>
    <n v="4757"/>
    <n v="2784"/>
    <n v="2459"/>
    <n v="2378"/>
    <m/>
    <n v="13628"/>
    <n v="3424"/>
    <n v="47051"/>
    <n v="21"/>
    <n v="457"/>
    <n v="2"/>
    <n v="11917"/>
    <n v="888"/>
    <n v="1718"/>
    <n v="161"/>
    <n v="1"/>
    <m/>
    <m/>
    <m/>
    <n v="357"/>
    <n v="231"/>
    <n v="4"/>
    <n v="73072"/>
    <n v="44"/>
    <n v="1"/>
    <n v="1"/>
    <n v="14"/>
    <n v="22312"/>
    <n v="8864"/>
    <n v="24602"/>
    <n v="10637"/>
    <n v="10085"/>
    <m/>
    <n v="76500"/>
    <n v="4928"/>
    <n v="55399"/>
    <n v="16173"/>
    <n v="6761"/>
    <n v="6512"/>
    <m/>
    <n v="257"/>
    <n v="876"/>
    <n v="955"/>
    <n v="1285"/>
    <n v="1980"/>
    <n v="2187"/>
    <n v="2297"/>
    <n v="3272"/>
    <n v="62"/>
    <n v="102"/>
    <m/>
    <n v="4865"/>
    <n v="540"/>
    <n v="4898"/>
    <n v="169"/>
    <m/>
    <n v="2796"/>
    <n v="5"/>
    <n v="354"/>
    <n v="375"/>
    <n v="443"/>
    <n v="710"/>
    <n v="143"/>
    <m/>
    <n v="68"/>
    <n v="8840"/>
    <n v="2086"/>
    <n v="13"/>
    <n v="189"/>
    <n v="14"/>
    <m/>
    <n v="14"/>
    <n v="21"/>
    <n v="4049"/>
    <n v="6305"/>
    <n v="346"/>
    <n v="2275"/>
    <n v="298"/>
    <m/>
    <n v="13273"/>
    <n v="3079"/>
    <n v="8419"/>
    <n v="1775"/>
    <s v="2015"/>
    <n v="249"/>
    <n v="27"/>
    <m/>
    <n v="8"/>
    <n v="3"/>
    <m/>
  </r>
  <r>
    <n v="106430763"/>
    <s v="430763"/>
    <x v="282"/>
    <x v="41"/>
    <x v="2"/>
    <s v="General Acute Care Hospital"/>
    <s v="2500 GRANT ROAD"/>
    <s v="MOUNTAIN VIEW"/>
    <s v="94040"/>
    <s v="Beds 300-499"/>
    <m/>
    <n v="18"/>
    <x v="74"/>
    <x v="37"/>
    <s v="Los Altos/Los Altos Hills/Palo Alto Central/Stanford"/>
    <s v="Urban"/>
    <x v="0"/>
    <x v="0"/>
    <x v="0"/>
    <n v="28417"/>
    <n v="23814"/>
    <m/>
    <n v="6485"/>
    <n v="4868"/>
    <n v="7033"/>
    <n v="7491"/>
    <n v="6302"/>
    <n v="6245"/>
    <n v="4296"/>
    <n v="3417"/>
    <n v="4866"/>
    <n v="1224"/>
    <n v="4"/>
    <n v="8513"/>
    <n v="1404"/>
    <n v="18499"/>
    <n v="17"/>
    <n v="5709"/>
    <n v="344"/>
    <n v="17745"/>
    <n v="903"/>
    <n v="880"/>
    <n v="76"/>
    <n v="159"/>
    <n v="42"/>
    <n v="41"/>
    <m/>
    <n v="31"/>
    <n v="150"/>
    <m/>
    <n v="49550"/>
    <n v="312"/>
    <n v="5"/>
    <n v="1"/>
    <n v="72"/>
    <n v="13546"/>
    <n v="10025"/>
    <n v="2583"/>
    <n v="21498"/>
    <n v="4579"/>
    <m/>
    <n v="52231"/>
    <n v="3659"/>
    <n v="43269"/>
    <n v="5303"/>
    <n v="4658"/>
    <n v="3953"/>
    <m/>
    <n v="84"/>
    <n v="450"/>
    <n v="575"/>
    <n v="681"/>
    <n v="1045"/>
    <n v="1236"/>
    <n v="1465"/>
    <n v="3041"/>
    <n v="29"/>
    <n v="5"/>
    <m/>
    <n v="1287"/>
    <n v="155"/>
    <n v="2917"/>
    <n v="566"/>
    <n v="13"/>
    <n v="3672"/>
    <n v="1"/>
    <n v="1704"/>
    <n v="137"/>
    <n v="332"/>
    <n v="1117"/>
    <n v="165"/>
    <m/>
    <n v="1"/>
    <n v="4657"/>
    <n v="240"/>
    <m/>
    <n v="204"/>
    <n v="45"/>
    <m/>
    <m/>
    <n v="2"/>
    <n v="880"/>
    <n v="5077"/>
    <n v="284"/>
    <n v="2294"/>
    <n v="70"/>
    <n v="6"/>
    <n v="8611"/>
    <n v="966"/>
    <n v="7340"/>
    <n v="305"/>
    <s v="2015"/>
    <n v="300"/>
    <n v="28"/>
    <n v="9"/>
    <m/>
    <n v="7"/>
    <m/>
  </r>
  <r>
    <n v="106430779"/>
    <s v="430779"/>
    <x v="283"/>
    <x v="41"/>
    <x v="3"/>
    <s v="General Acute Care Hospital"/>
    <s v="2425 SAMARITAN DRIVE"/>
    <s v="SAN JOSE"/>
    <s v="95124"/>
    <s v="Beds 300-499"/>
    <m/>
    <n v="18"/>
    <x v="75"/>
    <x v="39"/>
    <s v="Cambrian Village West/Campbell South/Los Gatos/Monte Sereno/San Tomas"/>
    <s v="Urban"/>
    <x v="0"/>
    <x v="0"/>
    <x v="0"/>
    <n v="26090"/>
    <n v="19575"/>
    <m/>
    <n v="6140"/>
    <n v="4662"/>
    <n v="6066"/>
    <n v="6399"/>
    <n v="5682"/>
    <n v="5440"/>
    <n v="3657"/>
    <n v="2956"/>
    <n v="3589"/>
    <n v="1074"/>
    <m/>
    <n v="5196"/>
    <n v="1518"/>
    <n v="9870"/>
    <n v="24"/>
    <n v="4736"/>
    <n v="73"/>
    <n v="24248"/>
    <n v="203"/>
    <n v="313"/>
    <n v="63"/>
    <n v="1"/>
    <n v="8"/>
    <n v="18"/>
    <m/>
    <n v="10"/>
    <n v="175"/>
    <n v="7"/>
    <n v="44728"/>
    <n v="86"/>
    <n v="3"/>
    <n v="1"/>
    <n v="24"/>
    <n v="4893"/>
    <n v="8839"/>
    <n v="6769"/>
    <n v="22156"/>
    <n v="3008"/>
    <m/>
    <n v="45665"/>
    <n v="1190"/>
    <n v="43126"/>
    <n v="1349"/>
    <n v="6693"/>
    <n v="3820"/>
    <m/>
    <n v="198"/>
    <n v="804"/>
    <n v="1844"/>
    <n v="751"/>
    <n v="1047"/>
    <n v="1289"/>
    <n v="1561"/>
    <n v="2627"/>
    <n v="115"/>
    <n v="277"/>
    <m/>
    <n v="1780"/>
    <n v="200"/>
    <n v="1290"/>
    <n v="944"/>
    <n v="17"/>
    <n v="6280"/>
    <n v="2"/>
    <n v="99"/>
    <n v="103"/>
    <n v="364"/>
    <n v="653"/>
    <n v="196"/>
    <n v="1"/>
    <n v="35"/>
    <n v="7182"/>
    <n v="1619"/>
    <m/>
    <n v="180"/>
    <n v="42"/>
    <n v="6"/>
    <n v="7"/>
    <n v="21"/>
    <n v="795"/>
    <n v="4750"/>
    <n v="371"/>
    <n v="4379"/>
    <n v="218"/>
    <m/>
    <n v="10513"/>
    <n v="662"/>
    <n v="9601"/>
    <n v="250"/>
    <s v="2015"/>
    <n v="404"/>
    <n v="25"/>
    <m/>
    <n v="25"/>
    <n v="5"/>
    <m/>
  </r>
  <r>
    <n v="106430837"/>
    <s v="430837"/>
    <x v="284"/>
    <x v="41"/>
    <x v="1"/>
    <s v="General Acute Care Hospital"/>
    <s v="2105 FOREST AVENUE"/>
    <s v="SAN JOSE"/>
    <s v="95128"/>
    <s v="Beds 300-499"/>
    <m/>
    <n v="18"/>
    <x v="75"/>
    <x v="1"/>
    <s v="San Jose Northwest"/>
    <s v="Urban"/>
    <x v="0"/>
    <x v="0"/>
    <x v="0"/>
    <n v="27494"/>
    <n v="21137"/>
    <m/>
    <n v="9456"/>
    <n v="5282"/>
    <n v="8381"/>
    <n v="6896"/>
    <n v="5052"/>
    <n v="4363"/>
    <n v="2817"/>
    <n v="2062"/>
    <n v="2436"/>
    <n v="1886"/>
    <m/>
    <n v="6767"/>
    <n v="2238"/>
    <n v="27447"/>
    <n v="54"/>
    <n v="640"/>
    <n v="180"/>
    <n v="11305"/>
    <n v="409"/>
    <n v="1910"/>
    <n v="39"/>
    <m/>
    <n v="1"/>
    <m/>
    <m/>
    <m/>
    <n v="99"/>
    <n v="2"/>
    <n v="45965"/>
    <n v="18"/>
    <m/>
    <m/>
    <m/>
    <n v="27633"/>
    <n v="6284"/>
    <n v="1789"/>
    <n v="9552"/>
    <n v="3373"/>
    <m/>
    <n v="48631"/>
    <n v="1411"/>
    <n v="39440"/>
    <n v="7780"/>
    <n v="3384"/>
    <n v="2755"/>
    <m/>
    <n v="71"/>
    <n v="244"/>
    <n v="342"/>
    <n v="445"/>
    <n v="760"/>
    <n v="894"/>
    <n v="1147"/>
    <n v="2089"/>
    <n v="61"/>
    <n v="86"/>
    <m/>
    <n v="1516"/>
    <n v="224"/>
    <n v="1678"/>
    <n v="50"/>
    <n v="4"/>
    <n v="2666"/>
    <n v="1"/>
    <n v="34"/>
    <n v="795"/>
    <n v="216"/>
    <n v="624"/>
    <n v="15"/>
    <m/>
    <n v="3"/>
    <n v="3615"/>
    <n v="706"/>
    <m/>
    <n v="48"/>
    <n v="3"/>
    <n v="52"/>
    <m/>
    <m/>
    <n v="1021"/>
    <n v="3295"/>
    <n v="383"/>
    <n v="1278"/>
    <n v="162"/>
    <m/>
    <n v="6139"/>
    <n v="700"/>
    <n v="4924"/>
    <n v="515"/>
    <s v="2015"/>
    <n v="358"/>
    <n v="23"/>
    <m/>
    <n v="188"/>
    <n v="27"/>
    <n v="1"/>
  </r>
  <r>
    <n v="106430883"/>
    <s v="430883"/>
    <x v="285"/>
    <x v="41"/>
    <x v="0"/>
    <s v="General Acute Care Hospital"/>
    <s v="751 SOUTH BASCOM AVENUE"/>
    <s v="SAN JOSE"/>
    <s v="95128-2699"/>
    <s v="Beds 500+"/>
    <s v="Level I &amp; Level II - Ped"/>
    <n v="18"/>
    <x v="75"/>
    <x v="39"/>
    <s v="San Jose Northwest"/>
    <s v="Urban"/>
    <x v="0"/>
    <x v="1"/>
    <x v="2"/>
    <n v="40508"/>
    <n v="41976"/>
    <n v="13"/>
    <n v="3533"/>
    <n v="5026"/>
    <n v="15991"/>
    <n v="14918"/>
    <n v="14449"/>
    <n v="15434"/>
    <n v="8797"/>
    <n v="2504"/>
    <n v="1030"/>
    <n v="815"/>
    <m/>
    <n v="9246"/>
    <n v="6308"/>
    <n v="39916"/>
    <n v="144"/>
    <n v="5320"/>
    <n v="209"/>
    <n v="21354"/>
    <n v="119"/>
    <n v="6026"/>
    <n v="84"/>
    <n v="35"/>
    <n v="6"/>
    <n v="14"/>
    <m/>
    <n v="589"/>
    <n v="644"/>
    <n v="367"/>
    <n v="72239"/>
    <n v="190"/>
    <n v="1"/>
    <n v="1"/>
    <n v="2125"/>
    <n v="46819"/>
    <n v="5975"/>
    <n v="6442"/>
    <n v="14072"/>
    <n v="9189"/>
    <m/>
    <n v="82497"/>
    <n v="4976"/>
    <n v="62281"/>
    <n v="15240"/>
    <n v="6323"/>
    <n v="8334"/>
    <n v="2"/>
    <n v="385"/>
    <n v="1324"/>
    <n v="1598"/>
    <n v="2147"/>
    <n v="3508"/>
    <n v="2861"/>
    <n v="1410"/>
    <n v="994"/>
    <n v="121"/>
    <n v="311"/>
    <m/>
    <n v="2695"/>
    <n v="978"/>
    <n v="5662"/>
    <n v="433"/>
    <n v="49"/>
    <n v="4825"/>
    <n v="17"/>
    <n v="164"/>
    <n v="403"/>
    <n v="298"/>
    <n v="43"/>
    <n v="129"/>
    <m/>
    <n v="201"/>
    <n v="11107"/>
    <n v="1474"/>
    <n v="138"/>
    <n v="190"/>
    <n v="171"/>
    <n v="1"/>
    <n v="1"/>
    <n v="231"/>
    <n v="7805"/>
    <n v="2032"/>
    <n v="1034"/>
    <n v="1602"/>
    <n v="2186"/>
    <m/>
    <n v="14659"/>
    <n v="1662"/>
    <n v="10668"/>
    <n v="2329"/>
    <s v="2015"/>
    <n v="574"/>
    <n v="24"/>
    <m/>
    <n v="57"/>
    <m/>
    <n v="108"/>
  </r>
  <r>
    <n v="106430905"/>
    <s v="430905"/>
    <x v="286"/>
    <x v="41"/>
    <x v="1"/>
    <s v="General Acute Care Hospital"/>
    <s v="300 PASTEUR DRIVE"/>
    <s v="PALO ALTO"/>
    <s v="94305"/>
    <s v="Beds 500+"/>
    <s v="Level I &amp; Level II - Ped"/>
    <n v="18"/>
    <x v="74"/>
    <x v="37"/>
    <s v="Los Altos/Los Altos Hills/Palo Alto Central/Stanford"/>
    <s v="Urban"/>
    <x v="0"/>
    <x v="1"/>
    <x v="0"/>
    <n v="27036"/>
    <n v="24044"/>
    <n v="12"/>
    <n v="9930"/>
    <n v="6613"/>
    <n v="7997"/>
    <n v="6323"/>
    <n v="4972"/>
    <n v="4853"/>
    <n v="3588"/>
    <n v="2173"/>
    <n v="2049"/>
    <n v="2594"/>
    <m/>
    <n v="7139"/>
    <n v="3851"/>
    <n v="18231"/>
    <n v="86"/>
    <n v="4318"/>
    <n v="638"/>
    <n v="16829"/>
    <n v="261"/>
    <m/>
    <n v="71"/>
    <n v="72"/>
    <n v="7"/>
    <n v="4"/>
    <m/>
    <n v="51"/>
    <n v="184"/>
    <m/>
    <n v="47066"/>
    <n v="156"/>
    <n v="2954"/>
    <m/>
    <n v="160"/>
    <n v="8199"/>
    <n v="4716"/>
    <n v="14198"/>
    <n v="16727"/>
    <n v="7251"/>
    <n v="1"/>
    <n v="51092"/>
    <n v="1767"/>
    <n v="40425"/>
    <n v="8900"/>
    <n v="5692"/>
    <n v="5716"/>
    <n v="2"/>
    <n v="136"/>
    <n v="925"/>
    <n v="1064"/>
    <n v="1259"/>
    <n v="1897"/>
    <n v="2133"/>
    <n v="1828"/>
    <n v="2168"/>
    <m/>
    <m/>
    <m/>
    <n v="1849"/>
    <n v="835"/>
    <n v="1959"/>
    <n v="788"/>
    <n v="123"/>
    <n v="5821"/>
    <n v="35"/>
    <n v="192"/>
    <m/>
    <n v="397"/>
    <n v="1894"/>
    <n v="152"/>
    <m/>
    <n v="5"/>
    <n v="6789"/>
    <n v="1505"/>
    <n v="1"/>
    <n v="375"/>
    <n v="83"/>
    <n v="6"/>
    <m/>
    <n v="2"/>
    <n v="1952"/>
    <n v="5544"/>
    <n v="603"/>
    <n v="2902"/>
    <n v="409"/>
    <m/>
    <n v="11410"/>
    <n v="909"/>
    <n v="9646"/>
    <n v="855"/>
    <s v="2015"/>
    <n v="613"/>
    <n v="54"/>
    <n v="106"/>
    <m/>
    <m/>
    <n v="9"/>
  </r>
  <r>
    <n v="106431506"/>
    <s v="431506"/>
    <x v="287"/>
    <x v="41"/>
    <x v="1"/>
    <s v="General Acute Care Hospital"/>
    <s v="250 HOSPITAL PARKWAY"/>
    <s v="SAN JOSE"/>
    <s v="95119"/>
    <s v="Beds 200-299"/>
    <m/>
    <n v="19"/>
    <x v="41"/>
    <x v="24"/>
    <s v="New Almaden/San Jose Southwest"/>
    <s v="Urban"/>
    <x v="0"/>
    <x v="0"/>
    <x v="0"/>
    <n v="28841"/>
    <n v="25070"/>
    <n v="3"/>
    <n v="6496"/>
    <n v="5688"/>
    <n v="7958"/>
    <n v="6787"/>
    <n v="6242"/>
    <n v="6508"/>
    <n v="4889"/>
    <n v="4134"/>
    <n v="4035"/>
    <n v="1177"/>
    <m/>
    <n v="6572"/>
    <n v="2907"/>
    <n v="22662"/>
    <n v="170"/>
    <n v="1206"/>
    <n v="578"/>
    <n v="19819"/>
    <n v="232"/>
    <n v="728"/>
    <n v="79"/>
    <n v="259"/>
    <n v="86"/>
    <n v="17"/>
    <m/>
    <n v="8"/>
    <n v="484"/>
    <n v="9"/>
    <n v="51476"/>
    <n v="214"/>
    <m/>
    <n v="24"/>
    <n v="298"/>
    <n v="7869"/>
    <n v="10972"/>
    <n v="878"/>
    <n v="29029"/>
    <n v="5166"/>
    <m/>
    <n v="53914"/>
    <n v="954"/>
    <n v="48784"/>
    <n v="4176"/>
    <n v="2817"/>
    <n v="2952"/>
    <m/>
    <n v="67"/>
    <n v="252"/>
    <n v="322"/>
    <n v="482"/>
    <n v="811"/>
    <n v="1087"/>
    <n v="1250"/>
    <n v="1483"/>
    <n v="14"/>
    <n v="1"/>
    <m/>
    <n v="777"/>
    <n v="248"/>
    <n v="1539"/>
    <n v="59"/>
    <n v="14"/>
    <n v="3115"/>
    <n v="17"/>
    <n v="300"/>
    <n v="75"/>
    <n v="250"/>
    <n v="771"/>
    <n v="20"/>
    <m/>
    <n v="19"/>
    <n v="3551"/>
    <n v="584"/>
    <n v="1"/>
    <n v="144"/>
    <n v="16"/>
    <m/>
    <n v="2"/>
    <n v="36"/>
    <n v="302"/>
    <n v="3402"/>
    <n v="16"/>
    <n v="1950"/>
    <n v="99"/>
    <m/>
    <n v="5769"/>
    <n v="162"/>
    <n v="5316"/>
    <n v="291"/>
    <s v="2015"/>
    <n v="242"/>
    <n v="28"/>
    <m/>
    <m/>
    <m/>
    <m/>
  </r>
  <r>
    <n v="106434138"/>
    <s v="434138"/>
    <x v="288"/>
    <x v="41"/>
    <x v="1"/>
    <s v="General Acute Care Hospital"/>
    <s v="9400 NO NAME UNO"/>
    <s v="GILROY"/>
    <s v="95020"/>
    <s v="Beds 50-99"/>
    <m/>
    <n v="20"/>
    <x v="42"/>
    <x v="24"/>
    <s v="Gilroy/Morgan Hill/Rucker/San Martin"/>
    <s v="Rural"/>
    <x v="0"/>
    <x v="0"/>
    <x v="0"/>
    <n v="13916"/>
    <n v="11886"/>
    <m/>
    <n v="4217"/>
    <n v="3317"/>
    <n v="4024"/>
    <n v="3493"/>
    <n v="3003"/>
    <n v="2767"/>
    <n v="1850"/>
    <n v="1211"/>
    <n v="1069"/>
    <n v="851"/>
    <m/>
    <n v="423"/>
    <n v="469"/>
    <n v="15135"/>
    <n v="12"/>
    <n v="692"/>
    <n v="13"/>
    <n v="9058"/>
    <n v="838"/>
    <n v="855"/>
    <n v="38"/>
    <m/>
    <m/>
    <m/>
    <m/>
    <n v="111"/>
    <m/>
    <m/>
    <n v="23782"/>
    <n v="116"/>
    <n v="3"/>
    <m/>
    <m/>
    <n v="14465"/>
    <n v="3126"/>
    <n v="914"/>
    <n v="6126"/>
    <n v="1171"/>
    <m/>
    <n v="25802"/>
    <n v="82"/>
    <n v="21183"/>
    <n v="4537"/>
    <n v="1112"/>
    <n v="953"/>
    <m/>
    <n v="31"/>
    <n v="92"/>
    <n v="142"/>
    <n v="180"/>
    <n v="298"/>
    <n v="357"/>
    <n v="394"/>
    <n v="542"/>
    <n v="7"/>
    <n v="22"/>
    <m/>
    <n v="93"/>
    <n v="22"/>
    <n v="791"/>
    <n v="27"/>
    <n v="1"/>
    <n v="1129"/>
    <n v="2"/>
    <n v="3"/>
    <n v="254"/>
    <n v="47"/>
    <n v="140"/>
    <n v="4"/>
    <m/>
    <m/>
    <n v="1298"/>
    <n v="160"/>
    <m/>
    <n v="22"/>
    <n v="2"/>
    <n v="135"/>
    <m/>
    <m/>
    <n v="473"/>
    <n v="1113"/>
    <n v="68"/>
    <n v="405"/>
    <n v="6"/>
    <m/>
    <n v="2065"/>
    <n v="29"/>
    <n v="1775"/>
    <n v="261"/>
    <s v="2015"/>
    <n v="93"/>
    <n v="8"/>
    <m/>
    <n v="59"/>
    <m/>
    <m/>
  </r>
  <r>
    <n v="106434153"/>
    <s v="434153"/>
    <x v="289"/>
    <x v="41"/>
    <x v="1"/>
    <s v="General Acute Care Hospital"/>
    <s v="700 LAWRENCE EXPRESSWAY"/>
    <s v="SANTA CLARA"/>
    <s v="95051"/>
    <s v="Beds 300-499"/>
    <m/>
    <n v="17"/>
    <x v="4"/>
    <x v="1"/>
    <s v="Cupertino/Rancho Rinconada/San Jose West/Saratoga"/>
    <s v="Urban"/>
    <x v="0"/>
    <x v="1"/>
    <x v="0"/>
    <n v="33678"/>
    <n v="29667"/>
    <n v="4"/>
    <n v="7377"/>
    <n v="5450"/>
    <n v="8386"/>
    <n v="8470"/>
    <n v="6946"/>
    <n v="7531"/>
    <n v="6189"/>
    <n v="5436"/>
    <n v="6122"/>
    <n v="1442"/>
    <m/>
    <n v="15304"/>
    <n v="2767"/>
    <n v="16351"/>
    <n v="159"/>
    <n v="988"/>
    <n v="475"/>
    <n v="27305"/>
    <n v="88"/>
    <n v="625"/>
    <n v="121"/>
    <n v="552"/>
    <n v="108"/>
    <n v="22"/>
    <m/>
    <n v="7"/>
    <n v="616"/>
    <n v="13"/>
    <n v="60566"/>
    <n v="462"/>
    <n v="1"/>
    <n v="17"/>
    <n v="151"/>
    <n v="5978"/>
    <n v="14306"/>
    <n v="1162"/>
    <n v="38297"/>
    <n v="3606"/>
    <m/>
    <n v="63349"/>
    <n v="1656"/>
    <n v="58465"/>
    <n v="3228"/>
    <n v="4065"/>
    <n v="3801"/>
    <m/>
    <n v="123"/>
    <n v="221"/>
    <n v="361"/>
    <n v="509"/>
    <n v="965"/>
    <n v="1379"/>
    <n v="1646"/>
    <n v="2446"/>
    <n v="76"/>
    <n v="140"/>
    <m/>
    <n v="1640"/>
    <n v="272"/>
    <n v="1265"/>
    <n v="51"/>
    <n v="16"/>
    <n v="4610"/>
    <n v="12"/>
    <n v="79"/>
    <n v="60"/>
    <n v="385"/>
    <n v="2244"/>
    <n v="14"/>
    <m/>
    <n v="3"/>
    <n v="3597"/>
    <n v="1215"/>
    <m/>
    <n v="229"/>
    <n v="16"/>
    <m/>
    <n v="4"/>
    <n v="20"/>
    <n v="312"/>
    <n v="4894"/>
    <n v="10"/>
    <n v="2547"/>
    <n v="103"/>
    <m/>
    <n v="7866"/>
    <n v="311"/>
    <n v="7324"/>
    <n v="231"/>
    <s v="2015"/>
    <n v="327"/>
    <n v="32"/>
    <m/>
    <m/>
    <m/>
    <m/>
  </r>
  <r>
    <n v="106440755"/>
    <s v="440755"/>
    <x v="290"/>
    <x v="42"/>
    <x v="1"/>
    <s v="General Acute Care Hospital"/>
    <s v="1555 SOQUEL DRIVE"/>
    <s v="SANTA CRUZ"/>
    <s v="95065"/>
    <s v="Beds 200-299"/>
    <m/>
    <n v="20"/>
    <x v="41"/>
    <x v="24"/>
    <s v="Aptos/Capitola/Live Oak/Rio del Mar/Santa Cruz"/>
    <s v="Urban"/>
    <x v="0"/>
    <x v="0"/>
    <x v="0"/>
    <n v="22257"/>
    <n v="20833"/>
    <m/>
    <n v="3491"/>
    <n v="4093"/>
    <n v="7648"/>
    <n v="6080"/>
    <n v="5306"/>
    <n v="5849"/>
    <n v="4761"/>
    <n v="2607"/>
    <n v="2561"/>
    <n v="694"/>
    <m/>
    <n v="578"/>
    <n v="924"/>
    <n v="8340"/>
    <n v="9"/>
    <n v="1894"/>
    <n v="160"/>
    <n v="31185"/>
    <n v="252"/>
    <n v="596"/>
    <n v="35"/>
    <n v="75"/>
    <n v="2"/>
    <n v="6"/>
    <m/>
    <n v="435"/>
    <n v="671"/>
    <n v="192"/>
    <n v="40503"/>
    <n v="263"/>
    <n v="44"/>
    <m/>
    <n v="4"/>
    <n v="17576"/>
    <n v="8396"/>
    <n v="904"/>
    <n v="9237"/>
    <n v="6977"/>
    <m/>
    <n v="43090"/>
    <n v="76"/>
    <n v="40000"/>
    <n v="3014"/>
    <n v="3515"/>
    <n v="3652"/>
    <m/>
    <n v="128"/>
    <n v="359"/>
    <n v="479"/>
    <n v="627"/>
    <n v="1067"/>
    <n v="1559"/>
    <n v="1137"/>
    <n v="1662"/>
    <n v="61"/>
    <n v="88"/>
    <m/>
    <n v="118"/>
    <n v="111"/>
    <n v="990"/>
    <n v="180"/>
    <n v="9"/>
    <n v="5759"/>
    <m/>
    <n v="125"/>
    <n v="186"/>
    <n v="229"/>
    <n v="1238"/>
    <n v="301"/>
    <m/>
    <n v="29"/>
    <n v="3802"/>
    <n v="1052"/>
    <n v="8"/>
    <n v="119"/>
    <n v="72"/>
    <n v="2"/>
    <n v="1"/>
    <n v="3"/>
    <n v="1602"/>
    <n v="3887"/>
    <n v="108"/>
    <n v="1442"/>
    <n v="115"/>
    <n v="13"/>
    <n v="7167"/>
    <n v="16"/>
    <n v="6699"/>
    <n v="452"/>
    <s v="2015"/>
    <n v="223"/>
    <n v="24"/>
    <n v="12"/>
    <m/>
    <m/>
    <m/>
  </r>
  <r>
    <n v="106444013"/>
    <s v="444013"/>
    <x v="291"/>
    <x v="42"/>
    <x v="3"/>
    <s v="General Acute Care Hospital"/>
    <s v="75 NIELSON STREET"/>
    <s v="WATSONVILLE"/>
    <s v="95076"/>
    <s v="Beds 100-149"/>
    <m/>
    <n v="20"/>
    <x v="42"/>
    <x v="24"/>
    <s v="Freedom/Watsonville"/>
    <s v="Urban"/>
    <x v="0"/>
    <x v="0"/>
    <x v="0"/>
    <n v="16085"/>
    <n v="13504"/>
    <n v="1"/>
    <n v="6199"/>
    <n v="3804"/>
    <n v="4908"/>
    <n v="3877"/>
    <n v="3048"/>
    <n v="2719"/>
    <n v="1741"/>
    <n v="1016"/>
    <n v="959"/>
    <n v="1319"/>
    <m/>
    <n v="144"/>
    <n v="154"/>
    <n v="22449"/>
    <n v="3"/>
    <n v="8"/>
    <n v="5"/>
    <n v="6827"/>
    <n v="320"/>
    <n v="598"/>
    <n v="21"/>
    <n v="4"/>
    <n v="7"/>
    <n v="18"/>
    <m/>
    <n v="78"/>
    <n v="145"/>
    <m/>
    <n v="28269"/>
    <n v="64"/>
    <n v="10"/>
    <m/>
    <n v="56"/>
    <n v="19503"/>
    <n v="3580"/>
    <n v="606"/>
    <n v="4574"/>
    <n v="1327"/>
    <m/>
    <n v="29590"/>
    <n v="74"/>
    <n v="16557"/>
    <n v="12959"/>
    <n v="2159"/>
    <n v="1376"/>
    <m/>
    <n v="149"/>
    <n v="588"/>
    <n v="439"/>
    <n v="310"/>
    <n v="428"/>
    <n v="451"/>
    <n v="438"/>
    <n v="571"/>
    <n v="81"/>
    <n v="80"/>
    <m/>
    <n v="36"/>
    <n v="13"/>
    <n v="2208"/>
    <m/>
    <n v="1"/>
    <n v="1277"/>
    <m/>
    <n v="121"/>
    <n v="47"/>
    <n v="76"/>
    <n v="236"/>
    <n v="15"/>
    <m/>
    <m/>
    <n v="2549"/>
    <n v="432"/>
    <m/>
    <n v="31"/>
    <n v="19"/>
    <n v="9"/>
    <m/>
    <m/>
    <n v="1568"/>
    <n v="1396"/>
    <n v="29"/>
    <n v="524"/>
    <n v="18"/>
    <m/>
    <n v="3535"/>
    <n v="2"/>
    <n v="2112"/>
    <n v="1421"/>
    <s v="2015"/>
    <n v="106"/>
    <n v="14"/>
    <m/>
    <m/>
    <m/>
    <m/>
  </r>
  <r>
    <n v="106450936"/>
    <s v="450936"/>
    <x v="292"/>
    <x v="43"/>
    <x v="2"/>
    <s v="General Acute Care Hospital"/>
    <s v="43563 STATE HWY. 299 E"/>
    <s v="FALL RIVER MILLS"/>
    <s v="96028"/>
    <s v="Beds 100-149"/>
    <m/>
    <n v="1"/>
    <x v="17"/>
    <x v="7"/>
    <s v="Burney/Cassel/Fall River Mills/Hat Creek/McArthur"/>
    <s v="Frontier"/>
    <x v="1"/>
    <x v="0"/>
    <x v="1"/>
    <n v="2078"/>
    <n v="1777"/>
    <m/>
    <n v="388"/>
    <n v="355"/>
    <n v="472"/>
    <n v="405"/>
    <n v="398"/>
    <n v="485"/>
    <n v="501"/>
    <n v="484"/>
    <n v="297"/>
    <n v="70"/>
    <m/>
    <n v="8"/>
    <n v="14"/>
    <n v="377"/>
    <n v="242"/>
    <n v="14"/>
    <m/>
    <n v="3200"/>
    <n v="114"/>
    <n v="41"/>
    <n v="4"/>
    <m/>
    <n v="4"/>
    <n v="1"/>
    <m/>
    <m/>
    <n v="4"/>
    <n v="4"/>
    <n v="3493"/>
    <n v="15"/>
    <m/>
    <n v="141"/>
    <n v="27"/>
    <n v="1585"/>
    <n v="1180"/>
    <n v="98"/>
    <n v="777"/>
    <n v="215"/>
    <m/>
    <n v="3855"/>
    <n v="8"/>
    <n v="3728"/>
    <n v="119"/>
    <n v="175"/>
    <n v="130"/>
    <m/>
    <n v="5"/>
    <n v="36"/>
    <n v="26"/>
    <n v="17"/>
    <n v="34"/>
    <n v="59"/>
    <n v="59"/>
    <n v="62"/>
    <n v="1"/>
    <n v="6"/>
    <m/>
    <m/>
    <n v="2"/>
    <n v="24"/>
    <m/>
    <m/>
    <n v="252"/>
    <n v="27"/>
    <n v="10"/>
    <n v="3"/>
    <n v="13"/>
    <m/>
    <m/>
    <m/>
    <n v="1"/>
    <n v="216"/>
    <n v="57"/>
    <n v="1"/>
    <n v="2"/>
    <m/>
    <m/>
    <n v="1"/>
    <m/>
    <n v="88"/>
    <n v="161"/>
    <n v="2"/>
    <n v="45"/>
    <n v="9"/>
    <m/>
    <n v="305"/>
    <m/>
    <n v="301"/>
    <n v="4"/>
    <s v="2015"/>
    <n v="121"/>
    <n v="4"/>
    <m/>
    <n v="7"/>
    <m/>
    <n v="1"/>
  </r>
  <r>
    <n v="106450940"/>
    <s v="450940"/>
    <x v="293"/>
    <x v="43"/>
    <x v="5"/>
    <s v="General Acute Care Hospital"/>
    <s v="1100 BUTTE STREET"/>
    <s v="REDDING"/>
    <s v="96001"/>
    <s v="Beds 200-299"/>
    <s v="Level III"/>
    <n v="1"/>
    <x v="17"/>
    <x v="7"/>
    <s v="Redding"/>
    <s v="Urban"/>
    <x v="0"/>
    <x v="0"/>
    <x v="0"/>
    <n v="22844"/>
    <n v="19301"/>
    <m/>
    <n v="3128"/>
    <n v="3857"/>
    <n v="7864"/>
    <n v="6945"/>
    <n v="5685"/>
    <n v="6162"/>
    <n v="3754"/>
    <n v="2405"/>
    <n v="1985"/>
    <n v="360"/>
    <m/>
    <n v="616"/>
    <n v="992"/>
    <n v="1262"/>
    <n v="880"/>
    <n v="1433"/>
    <n v="429"/>
    <n v="36533"/>
    <n v="272"/>
    <n v="2119"/>
    <n v="44"/>
    <n v="24"/>
    <n v="4"/>
    <m/>
    <m/>
    <n v="213"/>
    <n v="577"/>
    <m/>
    <n v="38820"/>
    <n v="71"/>
    <m/>
    <m/>
    <m/>
    <n v="23134"/>
    <n v="10178"/>
    <n v="1030"/>
    <n v="5226"/>
    <n v="2575"/>
    <n v="2"/>
    <n v="42145"/>
    <n v="171"/>
    <n v="41834"/>
    <n v="140"/>
    <n v="2679"/>
    <n v="2679"/>
    <m/>
    <n v="42"/>
    <n v="198"/>
    <n v="251"/>
    <n v="460"/>
    <n v="932"/>
    <n v="1088"/>
    <n v="1136"/>
    <n v="1250"/>
    <m/>
    <n v="1"/>
    <m/>
    <n v="51"/>
    <n v="68"/>
    <n v="117"/>
    <n v="96"/>
    <n v="17"/>
    <n v="4913"/>
    <n v="96"/>
    <n v="221"/>
    <n v="201"/>
    <n v="228"/>
    <n v="777"/>
    <m/>
    <m/>
    <m/>
    <n v="3059"/>
    <n v="798"/>
    <n v="5"/>
    <n v="58"/>
    <n v="7"/>
    <m/>
    <m/>
    <m/>
    <n v="1306"/>
    <n v="3608"/>
    <n v="38"/>
    <n v="365"/>
    <n v="41"/>
    <m/>
    <n v="5358"/>
    <n v="22"/>
    <n v="5316"/>
    <n v="20"/>
    <s v="2015"/>
    <n v="246"/>
    <n v="26"/>
    <m/>
    <n v="1"/>
    <m/>
    <n v="4"/>
  </r>
  <r>
    <n v="106450949"/>
    <s v="450949"/>
    <x v="294"/>
    <x v="43"/>
    <x v="1"/>
    <s v="General Acute Care Hospital"/>
    <s v="2175 ROSALINE AVENUE"/>
    <s v="REDDING"/>
    <s v="96001"/>
    <s v="Beds 200-299"/>
    <s v="Level II"/>
    <n v="1"/>
    <x v="17"/>
    <x v="7"/>
    <s v="Redding"/>
    <s v="Urban"/>
    <x v="0"/>
    <x v="0"/>
    <x v="0"/>
    <n v="26710"/>
    <n v="21671"/>
    <n v="2"/>
    <n v="6208"/>
    <n v="4538"/>
    <n v="8165"/>
    <n v="6974"/>
    <n v="5083"/>
    <n v="5670"/>
    <n v="4344"/>
    <n v="3006"/>
    <n v="2845"/>
    <n v="1550"/>
    <m/>
    <n v="801"/>
    <n v="912"/>
    <n v="2410"/>
    <n v="751"/>
    <n v="304"/>
    <n v="559"/>
    <n v="42646"/>
    <n v="295"/>
    <n v="1952"/>
    <n v="75"/>
    <n v="61"/>
    <n v="16"/>
    <n v="7"/>
    <m/>
    <n v="74"/>
    <n v="231"/>
    <n v="1"/>
    <n v="45469"/>
    <n v="181"/>
    <n v="5"/>
    <n v="2"/>
    <n v="14"/>
    <n v="25061"/>
    <n v="11375"/>
    <n v="1322"/>
    <n v="8456"/>
    <n v="2166"/>
    <n v="3"/>
    <n v="48383"/>
    <n v="391"/>
    <n v="47668"/>
    <n v="324"/>
    <n v="3566"/>
    <n v="4044"/>
    <m/>
    <n v="172"/>
    <n v="473"/>
    <n v="445"/>
    <n v="593"/>
    <n v="1176"/>
    <n v="1469"/>
    <n v="1433"/>
    <n v="1511"/>
    <n v="128"/>
    <n v="210"/>
    <m/>
    <n v="106"/>
    <n v="102"/>
    <n v="213"/>
    <n v="20"/>
    <n v="117"/>
    <n v="6962"/>
    <n v="90"/>
    <n v="314"/>
    <n v="133"/>
    <n v="362"/>
    <n v="1203"/>
    <n v="15"/>
    <m/>
    <m/>
    <n v="4162"/>
    <n v="1187"/>
    <n v="6"/>
    <n v="212"/>
    <n v="15"/>
    <n v="1"/>
    <m/>
    <m/>
    <n v="1963"/>
    <n v="4249"/>
    <n v="281"/>
    <n v="1044"/>
    <n v="73"/>
    <m/>
    <n v="7610"/>
    <n v="29"/>
    <n v="7541"/>
    <n v="40"/>
    <s v="2015"/>
    <n v="267"/>
    <n v="25"/>
    <m/>
    <m/>
    <m/>
    <m/>
  </r>
  <r>
    <n v="106470871"/>
    <s v="470871"/>
    <x v="295"/>
    <x v="44"/>
    <x v="1"/>
    <s v="General Acute Care Hospital"/>
    <s v="914 PINE STREET, BOX 239"/>
    <s v="MOUNT SHASTA"/>
    <s v="96067"/>
    <s v="Beds 1-49"/>
    <s v="Level III"/>
    <n v="1"/>
    <x v="17"/>
    <x v="7"/>
    <s v="Carrick/Edgewood/Mount Shasta/Weed"/>
    <s v="Rural"/>
    <x v="1"/>
    <x v="0"/>
    <x v="0"/>
    <n v="4301"/>
    <n v="4048"/>
    <m/>
    <n v="622"/>
    <n v="767"/>
    <n v="1183"/>
    <n v="1045"/>
    <n v="1030"/>
    <n v="1178"/>
    <n v="1108"/>
    <n v="744"/>
    <n v="550"/>
    <n v="122"/>
    <m/>
    <n v="102"/>
    <n v="300"/>
    <n v="356"/>
    <n v="94"/>
    <n v="185"/>
    <n v="453"/>
    <n v="6859"/>
    <n v="279"/>
    <n v="194"/>
    <n v="21"/>
    <n v="4"/>
    <n v="3"/>
    <m/>
    <m/>
    <n v="58"/>
    <n v="58"/>
    <m/>
    <n v="7700"/>
    <n v="31"/>
    <m/>
    <m/>
    <n v="1"/>
    <n v="3681"/>
    <n v="2537"/>
    <n v="234"/>
    <n v="1503"/>
    <n v="394"/>
    <m/>
    <n v="8349"/>
    <n v="54"/>
    <n v="8246"/>
    <n v="49"/>
    <n v="374"/>
    <n v="301"/>
    <m/>
    <n v="6"/>
    <n v="47"/>
    <n v="31"/>
    <n v="60"/>
    <n v="99"/>
    <n v="149"/>
    <n v="144"/>
    <n v="121"/>
    <n v="7"/>
    <n v="11"/>
    <m/>
    <n v="8"/>
    <n v="26"/>
    <n v="15"/>
    <n v="9"/>
    <n v="23"/>
    <n v="584"/>
    <n v="10"/>
    <n v="39"/>
    <n v="6"/>
    <n v="26"/>
    <n v="20"/>
    <n v="5"/>
    <m/>
    <n v="4"/>
    <n v="514"/>
    <n v="37"/>
    <m/>
    <n v="20"/>
    <n v="1"/>
    <m/>
    <m/>
    <n v="3"/>
    <n v="177"/>
    <n v="393"/>
    <n v="7"/>
    <n v="87"/>
    <n v="11"/>
    <m/>
    <n v="675"/>
    <n v="4"/>
    <n v="664"/>
    <n v="7"/>
    <s v="2015"/>
    <n v="33"/>
    <n v="8"/>
    <m/>
    <m/>
    <m/>
    <m/>
  </r>
  <r>
    <n v="106474007"/>
    <s v="474007"/>
    <x v="296"/>
    <x v="44"/>
    <x v="1"/>
    <s v="General Acute Care Hospital"/>
    <s v="444 BRUCE STREET"/>
    <s v="YREKA"/>
    <s v="96097"/>
    <s v="Beds 1-49"/>
    <s v="Level IV"/>
    <n v="1"/>
    <x v="17"/>
    <x v="7"/>
    <s v="Gazelle/Grenada/Hilt/Hornbrook/Yreka"/>
    <s v="Rural"/>
    <x v="1"/>
    <x v="0"/>
    <x v="0"/>
    <n v="6762"/>
    <n v="6239"/>
    <m/>
    <n v="1143"/>
    <n v="1214"/>
    <n v="1980"/>
    <n v="1594"/>
    <n v="1301"/>
    <n v="1828"/>
    <n v="1457"/>
    <n v="1084"/>
    <n v="1155"/>
    <n v="245"/>
    <m/>
    <n v="106"/>
    <n v="202"/>
    <n v="835"/>
    <n v="728"/>
    <n v="53"/>
    <n v="247"/>
    <n v="10830"/>
    <n v="852"/>
    <n v="71"/>
    <n v="22"/>
    <m/>
    <n v="20"/>
    <m/>
    <m/>
    <n v="56"/>
    <n v="26"/>
    <n v="4"/>
    <n v="11936"/>
    <n v="9"/>
    <n v="1"/>
    <n v="1"/>
    <m/>
    <n v="5653"/>
    <n v="3883"/>
    <n v="957"/>
    <n v="1358"/>
    <n v="1150"/>
    <m/>
    <n v="13001"/>
    <n v="28"/>
    <n v="12896"/>
    <n v="77"/>
    <n v="517"/>
    <n v="459"/>
    <m/>
    <n v="15"/>
    <n v="34"/>
    <n v="44"/>
    <n v="71"/>
    <n v="157"/>
    <n v="194"/>
    <n v="184"/>
    <n v="245"/>
    <n v="8"/>
    <n v="24"/>
    <m/>
    <n v="14"/>
    <n v="8"/>
    <n v="36"/>
    <n v="4"/>
    <n v="7"/>
    <n v="852"/>
    <n v="55"/>
    <n v="54"/>
    <n v="15"/>
    <n v="22"/>
    <n v="79"/>
    <n v="3"/>
    <m/>
    <n v="3"/>
    <n v="655"/>
    <n v="97"/>
    <m/>
    <n v="46"/>
    <n v="2"/>
    <m/>
    <m/>
    <m/>
    <n v="230"/>
    <n v="609"/>
    <n v="22"/>
    <n v="92"/>
    <n v="23"/>
    <m/>
    <n v="976"/>
    <n v="5"/>
    <n v="963"/>
    <n v="8"/>
    <s v="2015"/>
    <n v="28"/>
    <n v="8"/>
    <m/>
    <n v="3"/>
    <m/>
    <m/>
  </r>
  <r>
    <n v="106480989"/>
    <s v="480989"/>
    <x v="297"/>
    <x v="45"/>
    <x v="1"/>
    <s v="General Acute Care Hospital"/>
    <s v="975 SERENO DRIVE"/>
    <s v="VALLEJO"/>
    <s v="94589"/>
    <s v="Beds 200-299"/>
    <m/>
    <n v="5"/>
    <x v="7"/>
    <x v="5"/>
    <s v="Vallejo"/>
    <s v="Urban"/>
    <x v="0"/>
    <x v="0"/>
    <x v="0"/>
    <n v="29111"/>
    <n v="23176"/>
    <n v="3"/>
    <n v="6148"/>
    <n v="5456"/>
    <n v="7732"/>
    <n v="6490"/>
    <n v="5823"/>
    <n v="6550"/>
    <n v="5366"/>
    <n v="3698"/>
    <n v="3963"/>
    <n v="1064"/>
    <m/>
    <n v="6741"/>
    <n v="15218"/>
    <n v="9515"/>
    <n v="222"/>
    <n v="1192"/>
    <n v="949"/>
    <n v="18453"/>
    <n v="251"/>
    <n v="930"/>
    <n v="105"/>
    <n v="235"/>
    <n v="44"/>
    <n v="13"/>
    <m/>
    <n v="73"/>
    <n v="378"/>
    <n v="5"/>
    <n v="49883"/>
    <n v="197"/>
    <n v="126"/>
    <n v="3"/>
    <n v="46"/>
    <n v="13851"/>
    <n v="10652"/>
    <n v="689"/>
    <n v="20884"/>
    <n v="6214"/>
    <m/>
    <n v="52290"/>
    <n v="454"/>
    <n v="49431"/>
    <n v="2405"/>
    <n v="3020"/>
    <n v="2679"/>
    <m/>
    <n v="57"/>
    <n v="204"/>
    <n v="262"/>
    <n v="404"/>
    <n v="853"/>
    <n v="1193"/>
    <n v="1170"/>
    <n v="1552"/>
    <n v="1"/>
    <n v="3"/>
    <m/>
    <n v="878"/>
    <n v="1156"/>
    <n v="548"/>
    <n v="39"/>
    <n v="15"/>
    <n v="3039"/>
    <n v="24"/>
    <n v="322"/>
    <n v="67"/>
    <n v="257"/>
    <n v="1167"/>
    <n v="48"/>
    <m/>
    <n v="1"/>
    <n v="2989"/>
    <n v="672"/>
    <n v="4"/>
    <n v="154"/>
    <n v="15"/>
    <n v="1"/>
    <m/>
    <n v="2"/>
    <n v="576"/>
    <n v="3519"/>
    <n v="18"/>
    <n v="1415"/>
    <n v="171"/>
    <m/>
    <n v="5699"/>
    <n v="82"/>
    <n v="5476"/>
    <n v="141"/>
    <s v="2015"/>
    <n v="248"/>
    <n v="48"/>
    <n v="1"/>
    <m/>
    <m/>
    <m/>
  </r>
  <r>
    <n v="106481094"/>
    <s v="481094"/>
    <x v="298"/>
    <x v="45"/>
    <x v="1"/>
    <s v="General Acute Care Hospital"/>
    <s v="300 HOSPITAL DRIVE"/>
    <s v="VALLEJO"/>
    <s v="94590"/>
    <s v="Beds 100-149"/>
    <m/>
    <n v="5"/>
    <x v="7"/>
    <x v="5"/>
    <s v="Vallejo"/>
    <s v="Urban"/>
    <x v="0"/>
    <x v="0"/>
    <x v="0"/>
    <n v="20987"/>
    <n v="15666"/>
    <n v="2"/>
    <n v="4355"/>
    <n v="3137"/>
    <n v="6424"/>
    <n v="5469"/>
    <n v="4896"/>
    <n v="5352"/>
    <n v="3417"/>
    <n v="1517"/>
    <n v="1241"/>
    <n v="847"/>
    <m/>
    <n v="3845"/>
    <n v="12920"/>
    <n v="8374"/>
    <n v="102"/>
    <n v="975"/>
    <n v="571"/>
    <n v="9868"/>
    <n v="207"/>
    <n v="292"/>
    <n v="29"/>
    <n v="177"/>
    <n v="37"/>
    <n v="6"/>
    <m/>
    <n v="43"/>
    <n v="230"/>
    <n v="10"/>
    <n v="34955"/>
    <n v="110"/>
    <n v="35"/>
    <n v="73"/>
    <n v="244"/>
    <n v="22092"/>
    <n v="6059"/>
    <n v="640"/>
    <n v="4592"/>
    <n v="3230"/>
    <n v="42"/>
    <n v="36655"/>
    <n v="1023"/>
    <n v="32401"/>
    <n v="3231"/>
    <n v="1524"/>
    <n v="1312"/>
    <m/>
    <n v="13"/>
    <n v="125"/>
    <n v="180"/>
    <n v="290"/>
    <n v="623"/>
    <n v="632"/>
    <n v="437"/>
    <n v="535"/>
    <n v="1"/>
    <m/>
    <m/>
    <n v="546"/>
    <n v="816"/>
    <n v="338"/>
    <n v="55"/>
    <n v="56"/>
    <n v="1018"/>
    <n v="7"/>
    <n v="128"/>
    <n v="95"/>
    <n v="74"/>
    <n v="458"/>
    <n v="9"/>
    <m/>
    <n v="11"/>
    <n v="1493"/>
    <n v="456"/>
    <m/>
    <n v="84"/>
    <n v="13"/>
    <n v="9"/>
    <m/>
    <n v="6"/>
    <n v="961"/>
    <n v="1480"/>
    <n v="34"/>
    <n v="289"/>
    <n v="72"/>
    <m/>
    <n v="2836"/>
    <n v="193"/>
    <n v="2483"/>
    <n v="160"/>
    <s v="2015"/>
    <n v="102"/>
    <n v="13"/>
    <n v="124"/>
    <n v="83"/>
    <m/>
    <m/>
  </r>
  <r>
    <n v="106481357"/>
    <s v="481357"/>
    <x v="299"/>
    <x v="45"/>
    <x v="1"/>
    <s v="General Acute Care Hospital"/>
    <s v="1200 B. GALE WILSON BLVD."/>
    <s v="FAIRFIELD"/>
    <s v="94533"/>
    <s v="Beds 100-149"/>
    <s v="Level III"/>
    <n v="3"/>
    <x v="8"/>
    <x v="5"/>
    <s v="Fairfield"/>
    <s v="Urban"/>
    <x v="0"/>
    <x v="0"/>
    <x v="0"/>
    <n v="35954"/>
    <n v="27753"/>
    <n v="3"/>
    <n v="7667"/>
    <n v="5830"/>
    <n v="11472"/>
    <n v="10323"/>
    <n v="8060"/>
    <n v="8206"/>
    <n v="4979"/>
    <n v="2804"/>
    <n v="2817"/>
    <n v="1552"/>
    <m/>
    <n v="3127"/>
    <n v="15064"/>
    <n v="14972"/>
    <n v="118"/>
    <n v="2105"/>
    <n v="150"/>
    <n v="28174"/>
    <n v="824"/>
    <n v="1257"/>
    <n v="105"/>
    <n v="340"/>
    <n v="15"/>
    <n v="10"/>
    <m/>
    <n v="589"/>
    <n v="139"/>
    <n v="8"/>
    <n v="59564"/>
    <n v="368"/>
    <n v="103"/>
    <n v="16"/>
    <n v="157"/>
    <n v="35277"/>
    <n v="11334"/>
    <n v="2071"/>
    <n v="9225"/>
    <n v="5802"/>
    <n v="1"/>
    <n v="63710"/>
    <n v="1175"/>
    <n v="56881"/>
    <n v="5654"/>
    <n v="3006"/>
    <n v="2770"/>
    <m/>
    <n v="59"/>
    <n v="286"/>
    <n v="411"/>
    <n v="589"/>
    <n v="1041"/>
    <n v="1095"/>
    <n v="1021"/>
    <n v="1238"/>
    <n v="20"/>
    <n v="16"/>
    <m/>
    <n v="477"/>
    <n v="1045"/>
    <n v="844"/>
    <n v="175"/>
    <n v="5"/>
    <n v="3220"/>
    <n v="10"/>
    <n v="260"/>
    <n v="144"/>
    <n v="295"/>
    <n v="974"/>
    <n v="29"/>
    <m/>
    <m/>
    <n v="3062"/>
    <n v="903"/>
    <n v="29"/>
    <n v="65"/>
    <n v="4"/>
    <n v="3"/>
    <n v="1"/>
    <n v="7"/>
    <n v="1561"/>
    <n v="3185"/>
    <n v="131"/>
    <n v="642"/>
    <n v="256"/>
    <n v="1"/>
    <n v="5776"/>
    <n v="265"/>
    <n v="5142"/>
    <n v="369"/>
    <s v="2015"/>
    <n v="132"/>
    <n v="19"/>
    <n v="4"/>
    <n v="211"/>
    <m/>
    <m/>
  </r>
  <r>
    <n v="106484044"/>
    <s v="484044"/>
    <x v="300"/>
    <x v="45"/>
    <x v="1"/>
    <s v="General Acute Care Hospital"/>
    <s v="1 QUALITY DRIVE"/>
    <s v="VACAVILLE"/>
    <s v="95688"/>
    <s v="Beds 100-149"/>
    <s v="Level II"/>
    <n v="3"/>
    <x v="8"/>
    <x v="5"/>
    <s v="Vacaville"/>
    <s v="Urban"/>
    <x v="0"/>
    <x v="0"/>
    <x v="0"/>
    <n v="21407"/>
    <n v="17115"/>
    <m/>
    <n v="4640"/>
    <n v="4604"/>
    <n v="5568"/>
    <n v="4408"/>
    <n v="4260"/>
    <n v="4653"/>
    <n v="3867"/>
    <n v="2857"/>
    <n v="2907"/>
    <n v="758"/>
    <m/>
    <n v="3160"/>
    <n v="5417"/>
    <n v="7995"/>
    <n v="190"/>
    <n v="708"/>
    <n v="239"/>
    <n v="20813"/>
    <n v="167"/>
    <n v="580"/>
    <n v="26"/>
    <n v="78"/>
    <n v="34"/>
    <n v="7"/>
    <m/>
    <n v="22"/>
    <n v="321"/>
    <m/>
    <n v="37004"/>
    <n v="123"/>
    <n v="109"/>
    <n v="2"/>
    <n v="49"/>
    <n v="6758"/>
    <n v="7624"/>
    <n v="833"/>
    <n v="21032"/>
    <n v="2275"/>
    <m/>
    <n v="38522"/>
    <n v="180"/>
    <n v="37159"/>
    <n v="1183"/>
    <n v="1912"/>
    <n v="1862"/>
    <m/>
    <n v="45"/>
    <n v="199"/>
    <n v="214"/>
    <n v="296"/>
    <n v="595"/>
    <n v="737"/>
    <n v="755"/>
    <n v="927"/>
    <m/>
    <n v="6"/>
    <m/>
    <n v="335"/>
    <n v="411"/>
    <n v="425"/>
    <n v="50"/>
    <n v="14"/>
    <n v="2520"/>
    <n v="19"/>
    <n v="175"/>
    <n v="28"/>
    <n v="178"/>
    <n v="433"/>
    <n v="55"/>
    <m/>
    <m/>
    <n v="2347"/>
    <n v="430"/>
    <n v="7"/>
    <n v="99"/>
    <n v="13"/>
    <n v="2"/>
    <n v="1"/>
    <n v="6"/>
    <n v="244"/>
    <n v="2145"/>
    <n v="22"/>
    <n v="1246"/>
    <n v="117"/>
    <m/>
    <n v="3774"/>
    <n v="26"/>
    <n v="3663"/>
    <n v="85"/>
    <s v="2015"/>
    <n v="140"/>
    <n v="27"/>
    <m/>
    <m/>
    <m/>
    <m/>
  </r>
  <r>
    <n v="106490964"/>
    <s v="490964"/>
    <x v="301"/>
    <x v="46"/>
    <x v="2"/>
    <s v="General Acute Care Hospital"/>
    <s v="1375 UNIVERSITY STREET"/>
    <s v="HEALDSBURG"/>
    <s v="95448"/>
    <s v="Beds 1-49"/>
    <m/>
    <n v="2"/>
    <x v="9"/>
    <x v="6"/>
    <s v="Geyserville/Healdsburg"/>
    <s v="Rural"/>
    <x v="0"/>
    <x v="0"/>
    <x v="1"/>
    <n v="4689"/>
    <n v="4309"/>
    <m/>
    <n v="1119"/>
    <n v="885"/>
    <n v="1334"/>
    <n v="1209"/>
    <n v="915"/>
    <n v="1190"/>
    <n v="867"/>
    <n v="613"/>
    <n v="738"/>
    <n v="128"/>
    <m/>
    <n v="104"/>
    <n v="82"/>
    <n v="3207"/>
    <n v="1529"/>
    <n v="1"/>
    <n v="15"/>
    <n v="4060"/>
    <n v="205"/>
    <n v="42"/>
    <n v="6"/>
    <m/>
    <n v="1"/>
    <m/>
    <m/>
    <n v="6"/>
    <n v="14"/>
    <n v="3"/>
    <n v="8703"/>
    <n v="8"/>
    <m/>
    <m/>
    <n v="10"/>
    <n v="3757"/>
    <n v="2200"/>
    <n v="589"/>
    <n v="1833"/>
    <n v="605"/>
    <n v="14"/>
    <n v="8998"/>
    <n v="3"/>
    <n v="7086"/>
    <n v="1909"/>
    <n v="390"/>
    <n v="283"/>
    <m/>
    <n v="9"/>
    <n v="21"/>
    <n v="39"/>
    <n v="45"/>
    <n v="88"/>
    <n v="120"/>
    <n v="95"/>
    <n v="256"/>
    <m/>
    <m/>
    <m/>
    <n v="8"/>
    <n v="4"/>
    <n v="95"/>
    <m/>
    <m/>
    <n v="559"/>
    <n v="7"/>
    <n v="36"/>
    <n v="17"/>
    <n v="42"/>
    <n v="27"/>
    <n v="1"/>
    <m/>
    <m/>
    <n v="396"/>
    <n v="150"/>
    <m/>
    <n v="1"/>
    <n v="2"/>
    <m/>
    <m/>
    <n v="1"/>
    <n v="121"/>
    <n v="431"/>
    <n v="19"/>
    <n v="81"/>
    <n v="21"/>
    <m/>
    <n v="673"/>
    <n v="1"/>
    <n v="616"/>
    <n v="56"/>
    <s v="2015"/>
    <n v="43"/>
    <n v="8"/>
    <m/>
    <m/>
    <m/>
    <m/>
  </r>
  <r>
    <n v="106491001"/>
    <s v="491001"/>
    <x v="302"/>
    <x v="46"/>
    <x v="1"/>
    <s v="General Acute Care Hospital"/>
    <s v="400 NORTH MCDOWELL BOULEVARD"/>
    <s v="PETALUMA"/>
    <s v="94954"/>
    <s v="Beds 50-99"/>
    <m/>
    <n v="2"/>
    <x v="39"/>
    <x v="5"/>
    <s v="Petaluma"/>
    <s v="Urban"/>
    <x v="0"/>
    <x v="0"/>
    <x v="0"/>
    <n v="9305"/>
    <n v="7731"/>
    <m/>
    <n v="1840"/>
    <n v="1679"/>
    <n v="2338"/>
    <n v="2223"/>
    <n v="1997"/>
    <n v="2202"/>
    <n v="1860"/>
    <n v="1117"/>
    <n v="1496"/>
    <n v="284"/>
    <m/>
    <n v="327"/>
    <n v="354"/>
    <n v="3496"/>
    <n v="20"/>
    <n v="259"/>
    <n v="102"/>
    <n v="12478"/>
    <n v="839"/>
    <n v="152"/>
    <n v="25"/>
    <n v="11"/>
    <n v="1"/>
    <m/>
    <m/>
    <n v="89"/>
    <n v="85"/>
    <n v="2"/>
    <n v="15709"/>
    <n v="69"/>
    <n v="22"/>
    <m/>
    <n v="25"/>
    <n v="5981"/>
    <n v="4021"/>
    <n v="1020"/>
    <n v="4365"/>
    <n v="1649"/>
    <m/>
    <n v="17036"/>
    <n v="111"/>
    <n v="15215"/>
    <n v="1710"/>
    <n v="951"/>
    <n v="766"/>
    <m/>
    <n v="20"/>
    <n v="93"/>
    <n v="107"/>
    <n v="136"/>
    <n v="257"/>
    <n v="323"/>
    <n v="268"/>
    <n v="499"/>
    <n v="1"/>
    <n v="13"/>
    <m/>
    <n v="43"/>
    <n v="28"/>
    <n v="201"/>
    <n v="37"/>
    <n v="22"/>
    <n v="1386"/>
    <m/>
    <n v="57"/>
    <n v="28"/>
    <n v="53"/>
    <n v="141"/>
    <n v="5"/>
    <m/>
    <n v="7"/>
    <n v="1014"/>
    <n v="302"/>
    <n v="1"/>
    <n v="33"/>
    <n v="7"/>
    <n v="67"/>
    <m/>
    <n v="2"/>
    <n v="400"/>
    <n v="1012"/>
    <n v="46"/>
    <n v="237"/>
    <n v="22"/>
    <m/>
    <n v="1717"/>
    <n v="16"/>
    <n v="1575"/>
    <n v="126"/>
    <s v="2015"/>
    <n v="80"/>
    <n v="15"/>
    <n v="7"/>
    <m/>
    <m/>
    <m/>
  </r>
  <r>
    <n v="106491064"/>
    <s v="491064"/>
    <x v="303"/>
    <x v="46"/>
    <x v="1"/>
    <s v="General Acute Care Hospital"/>
    <s v="1165 MONTGOMERY DRIVE"/>
    <s v="SANTA ROSA"/>
    <s v="95405"/>
    <s v="Beds 200-299"/>
    <s v="Level II"/>
    <n v="5"/>
    <x v="39"/>
    <x v="6"/>
    <s v="Santa Rosa"/>
    <s v="Urban"/>
    <x v="0"/>
    <x v="0"/>
    <x v="0"/>
    <n v="18712"/>
    <n v="17840"/>
    <n v="2"/>
    <n v="3234"/>
    <n v="2859"/>
    <n v="5502"/>
    <n v="4983"/>
    <n v="4342"/>
    <n v="5190"/>
    <n v="4145"/>
    <n v="2358"/>
    <n v="3243"/>
    <n v="694"/>
    <n v="4"/>
    <n v="660"/>
    <n v="1503"/>
    <n v="6914"/>
    <n v="97"/>
    <n v="448"/>
    <n v="186"/>
    <n v="26746"/>
    <n v="612"/>
    <n v="415"/>
    <n v="75"/>
    <n v="25"/>
    <n v="1"/>
    <n v="2"/>
    <m/>
    <n v="111"/>
    <n v="176"/>
    <n v="6"/>
    <n v="34831"/>
    <n v="155"/>
    <n v="46"/>
    <m/>
    <n v="44"/>
    <n v="15964"/>
    <n v="9391"/>
    <n v="1435"/>
    <n v="5904"/>
    <n v="3860"/>
    <m/>
    <n v="36554"/>
    <n v="137"/>
    <n v="33601"/>
    <n v="2816"/>
    <n v="3913"/>
    <n v="4201"/>
    <n v="1"/>
    <n v="170"/>
    <n v="472"/>
    <n v="502"/>
    <n v="662"/>
    <n v="1322"/>
    <n v="1502"/>
    <n v="1277"/>
    <n v="1995"/>
    <n v="56"/>
    <n v="157"/>
    <m/>
    <n v="165"/>
    <n v="213"/>
    <n v="895"/>
    <n v="118"/>
    <n v="72"/>
    <n v="6619"/>
    <n v="33"/>
    <n v="164"/>
    <n v="195"/>
    <n v="372"/>
    <n v="827"/>
    <n v="108"/>
    <m/>
    <n v="41"/>
    <n v="4433"/>
    <n v="1560"/>
    <n v="14"/>
    <n v="156"/>
    <n v="63"/>
    <n v="152"/>
    <m/>
    <n v="30"/>
    <n v="2336"/>
    <n v="4424"/>
    <n v="161"/>
    <n v="1137"/>
    <n v="57"/>
    <m/>
    <n v="8115"/>
    <n v="50"/>
    <n v="7527"/>
    <n v="538"/>
    <s v="2015"/>
    <n v="278"/>
    <n v="33"/>
    <n v="55"/>
    <m/>
    <m/>
    <m/>
  </r>
  <r>
    <n v="106491076"/>
    <s v="491076"/>
    <x v="304"/>
    <x v="46"/>
    <x v="2"/>
    <s v="General Acute Care Hospital"/>
    <s v="347 ANDRIEUX STREET"/>
    <s v="SONOMA"/>
    <s v="95476"/>
    <s v="Beds 50-99"/>
    <m/>
    <n v="5"/>
    <x v="39"/>
    <x v="5"/>
    <s v="Boyes Hot Springs/Glen Ellen/Kenwood/Sonoma/Vineburg"/>
    <s v="Urban"/>
    <x v="0"/>
    <x v="0"/>
    <x v="0"/>
    <n v="5026"/>
    <n v="4366"/>
    <m/>
    <n v="936"/>
    <n v="819"/>
    <n v="1026"/>
    <n v="1057"/>
    <n v="887"/>
    <n v="1102"/>
    <n v="1172"/>
    <n v="1034"/>
    <n v="1142"/>
    <n v="217"/>
    <m/>
    <n v="77"/>
    <n v="94"/>
    <n v="2359"/>
    <n v="10"/>
    <n v="5"/>
    <n v="62"/>
    <n v="6785"/>
    <n v="454"/>
    <n v="89"/>
    <n v="15"/>
    <m/>
    <n v="2"/>
    <m/>
    <m/>
    <n v="30"/>
    <n v="32"/>
    <n v="52"/>
    <n v="8636"/>
    <n v="15"/>
    <n v="9"/>
    <m/>
    <m/>
    <n v="3252"/>
    <n v="2811"/>
    <n v="404"/>
    <n v="2530"/>
    <n v="395"/>
    <m/>
    <n v="9392"/>
    <n v="48"/>
    <n v="7917"/>
    <n v="1427"/>
    <n v="439"/>
    <n v="380"/>
    <m/>
    <n v="7"/>
    <n v="35"/>
    <n v="32"/>
    <n v="56"/>
    <n v="105"/>
    <n v="141"/>
    <n v="146"/>
    <n v="296"/>
    <m/>
    <n v="1"/>
    <m/>
    <n v="3"/>
    <n v="10"/>
    <n v="81"/>
    <m/>
    <n v="6"/>
    <n v="719"/>
    <m/>
    <n v="65"/>
    <n v="8"/>
    <n v="22"/>
    <n v="93"/>
    <m/>
    <m/>
    <n v="10"/>
    <n v="313"/>
    <n v="280"/>
    <m/>
    <n v="10"/>
    <n v="16"/>
    <n v="1"/>
    <m/>
    <m/>
    <n v="151"/>
    <n v="537"/>
    <n v="26"/>
    <n v="102"/>
    <n v="3"/>
    <m/>
    <n v="819"/>
    <n v="5"/>
    <n v="765"/>
    <n v="49"/>
    <s v="2015"/>
    <n v="83"/>
    <n v="9"/>
    <m/>
    <n v="58"/>
    <m/>
    <n v="1"/>
  </r>
  <r>
    <n v="106491338"/>
    <s v="491338"/>
    <x v="305"/>
    <x v="46"/>
    <x v="2"/>
    <s v="General Acute Care Hospital"/>
    <s v="501 PETALUMA AVENUE"/>
    <s v="SEBASTOPOL"/>
    <s v="95472"/>
    <s v="Beds 1-49"/>
    <m/>
    <n v="2"/>
    <x v="39"/>
    <x v="6"/>
    <s v="Bodega/Sebastopol"/>
    <s v="Rural"/>
    <x v="0"/>
    <x v="0"/>
    <x v="1"/>
    <n v="379"/>
    <n v="343"/>
    <m/>
    <n v="47"/>
    <n v="47"/>
    <n v="91"/>
    <n v="78"/>
    <n v="73"/>
    <n v="109"/>
    <n v="113"/>
    <n v="82"/>
    <n v="78"/>
    <n v="4"/>
    <m/>
    <n v="3"/>
    <n v="1"/>
    <m/>
    <m/>
    <n v="7"/>
    <n v="657"/>
    <n v="54"/>
    <n v="21"/>
    <n v="4"/>
    <n v="1"/>
    <m/>
    <m/>
    <n v="1"/>
    <m/>
    <n v="2"/>
    <m/>
    <n v="4"/>
    <n v="683"/>
    <n v="1"/>
    <n v="3"/>
    <n v="1"/>
    <n v="1"/>
    <n v="28"/>
    <n v="199"/>
    <n v="15"/>
    <n v="438"/>
    <n v="40"/>
    <n v="2"/>
    <n v="722"/>
    <n v="722"/>
    <m/>
    <m/>
    <n v="38"/>
    <n v="31"/>
    <m/>
    <n v="2"/>
    <n v="3"/>
    <n v="8"/>
    <n v="3"/>
    <n v="8"/>
    <n v="11"/>
    <n v="9"/>
    <n v="25"/>
    <m/>
    <m/>
    <m/>
    <m/>
    <m/>
    <m/>
    <m/>
    <n v="69"/>
    <m/>
    <m/>
    <m/>
    <n v="1"/>
    <n v="2"/>
    <n v="2"/>
    <m/>
    <m/>
    <m/>
    <n v="54"/>
    <n v="10"/>
    <m/>
    <m/>
    <m/>
    <m/>
    <m/>
    <m/>
    <n v="1"/>
    <n v="31"/>
    <n v="1"/>
    <n v="28"/>
    <n v="8"/>
    <m/>
    <n v="69"/>
    <n v="69"/>
    <m/>
    <m/>
    <s v="2015"/>
    <n v="37"/>
    <n v="5"/>
    <m/>
    <m/>
    <m/>
    <m/>
  </r>
  <r>
    <n v="106494019"/>
    <s v="494019"/>
    <x v="306"/>
    <x v="46"/>
    <x v="1"/>
    <s v="General Acute Care Hospital"/>
    <s v="401 BICENTENNIAL WAY"/>
    <s v="SANTA ROSA"/>
    <s v="95403"/>
    <s v="Beds 150-199"/>
    <m/>
    <n v="5"/>
    <x v="9"/>
    <x v="6"/>
    <s v="Santa Rosa"/>
    <s v="Urban"/>
    <x v="0"/>
    <x v="0"/>
    <x v="0"/>
    <n v="27779"/>
    <n v="23715"/>
    <n v="5"/>
    <n v="5394"/>
    <n v="6002"/>
    <n v="6854"/>
    <n v="5812"/>
    <n v="5192"/>
    <n v="5888"/>
    <n v="5985"/>
    <n v="4505"/>
    <n v="5008"/>
    <n v="858"/>
    <n v="1"/>
    <n v="1506"/>
    <n v="1681"/>
    <n v="11783"/>
    <n v="340"/>
    <n v="671"/>
    <n v="631"/>
    <n v="34887"/>
    <n v="326"/>
    <n v="352"/>
    <n v="68"/>
    <n v="71"/>
    <n v="71"/>
    <n v="38"/>
    <m/>
    <n v="42"/>
    <n v="613"/>
    <n v="26"/>
    <n v="49532"/>
    <n v="209"/>
    <n v="4"/>
    <n v="9"/>
    <n v="138"/>
    <n v="9936"/>
    <n v="13386"/>
    <n v="1217"/>
    <n v="24704"/>
    <n v="2255"/>
    <n v="1"/>
    <n v="51499"/>
    <n v="318"/>
    <n v="46939"/>
    <n v="4242"/>
    <n v="2467"/>
    <n v="2316"/>
    <m/>
    <n v="86"/>
    <n v="174"/>
    <n v="220"/>
    <n v="302"/>
    <n v="588"/>
    <n v="1014"/>
    <n v="963"/>
    <n v="1311"/>
    <n v="41"/>
    <n v="84"/>
    <m/>
    <n v="131"/>
    <n v="110"/>
    <n v="533"/>
    <n v="18"/>
    <n v="14"/>
    <n v="3941"/>
    <n v="36"/>
    <n v="179"/>
    <n v="30"/>
    <n v="170"/>
    <n v="396"/>
    <n v="14"/>
    <m/>
    <n v="53"/>
    <n v="3243"/>
    <n v="506"/>
    <m/>
    <n v="164"/>
    <n v="17"/>
    <n v="1"/>
    <n v="3"/>
    <n v="7"/>
    <n v="270"/>
    <n v="3001"/>
    <n v="13"/>
    <n v="1435"/>
    <n v="64"/>
    <m/>
    <n v="4783"/>
    <n v="30"/>
    <n v="4560"/>
    <n v="193"/>
    <s v="2015"/>
    <n v="173"/>
    <n v="34"/>
    <m/>
    <m/>
    <m/>
    <m/>
  </r>
  <r>
    <n v="106494106"/>
    <s v="494106"/>
    <x v="307"/>
    <x v="46"/>
    <x v="1"/>
    <s v="General Acute Care Hospital"/>
    <s v="30 MARK WEST SPRINGS RD."/>
    <s v="SANTA ROSA"/>
    <s v="95403"/>
    <s v="Beds 50-99"/>
    <m/>
    <n v="2"/>
    <x v="9"/>
    <x v="6"/>
    <s v="Santa Rosa"/>
    <s v="Urban"/>
    <x v="0"/>
    <x v="0"/>
    <x v="0"/>
    <n v="15122"/>
    <n v="12772"/>
    <n v="3"/>
    <n v="2999"/>
    <n v="2418"/>
    <n v="4588"/>
    <n v="4013"/>
    <n v="3375"/>
    <n v="3781"/>
    <n v="3088"/>
    <n v="1593"/>
    <n v="1306"/>
    <n v="736"/>
    <m/>
    <n v="657"/>
    <n v="845"/>
    <n v="8125"/>
    <n v="341"/>
    <n v="663"/>
    <n v="854"/>
    <n v="16412"/>
    <n v="548"/>
    <n v="207"/>
    <n v="20"/>
    <n v="127"/>
    <n v="6"/>
    <n v="9"/>
    <m/>
    <n v="191"/>
    <n v="987"/>
    <n v="13"/>
    <n v="25362"/>
    <n v="52"/>
    <n v="4"/>
    <n v="61"/>
    <n v="110"/>
    <n v="12769"/>
    <n v="4968"/>
    <n v="1018"/>
    <n v="6324"/>
    <n v="2671"/>
    <n v="147"/>
    <n v="27897"/>
    <n v="312"/>
    <n v="23700"/>
    <n v="3885"/>
    <n v="1379"/>
    <n v="1414"/>
    <m/>
    <n v="21"/>
    <n v="121"/>
    <n v="175"/>
    <n v="241"/>
    <n v="483"/>
    <n v="659"/>
    <n v="515"/>
    <n v="564"/>
    <n v="13"/>
    <n v="1"/>
    <m/>
    <n v="57"/>
    <n v="66"/>
    <n v="369"/>
    <n v="87"/>
    <n v="57"/>
    <n v="2116"/>
    <n v="41"/>
    <n v="100"/>
    <n v="38"/>
    <n v="104"/>
    <n v="427"/>
    <n v="6"/>
    <m/>
    <n v="3"/>
    <n v="1578"/>
    <n v="419"/>
    <m/>
    <n v="88"/>
    <n v="21"/>
    <m/>
    <n v="3"/>
    <n v="4"/>
    <n v="654"/>
    <n v="1362"/>
    <n v="103"/>
    <n v="624"/>
    <n v="50"/>
    <m/>
    <n v="2793"/>
    <n v="43"/>
    <n v="2559"/>
    <n v="191"/>
    <s v="2015"/>
    <n v="84"/>
    <n v="12"/>
    <n v="94"/>
    <n v="106"/>
    <n v="2"/>
    <m/>
  </r>
  <r>
    <n v="106500852"/>
    <s v="500852"/>
    <x v="308"/>
    <x v="47"/>
    <x v="3"/>
    <s v="General Acute Care Hospital"/>
    <s v="1441 FLORIDA AVENUE"/>
    <s v="MODESTO"/>
    <s v="95350"/>
    <s v="Beds 300-499"/>
    <s v="Level II"/>
    <n v="10"/>
    <x v="40"/>
    <x v="36"/>
    <s v="Modesto West"/>
    <s v="Urban"/>
    <x v="0"/>
    <x v="0"/>
    <x v="0"/>
    <n v="47468"/>
    <n v="40987"/>
    <m/>
    <n v="12755"/>
    <n v="9410"/>
    <n v="15723"/>
    <n v="14156"/>
    <n v="11113"/>
    <n v="10929"/>
    <n v="5982"/>
    <n v="3068"/>
    <n v="2232"/>
    <n v="3087"/>
    <m/>
    <n v="1843"/>
    <n v="5241"/>
    <n v="33654"/>
    <n v="126"/>
    <n v="4101"/>
    <n v="1892"/>
    <n v="41598"/>
    <n v="396"/>
    <n v="4478"/>
    <n v="106"/>
    <n v="51"/>
    <n v="13"/>
    <n v="26"/>
    <m/>
    <m/>
    <n v="4619"/>
    <n v="35"/>
    <n v="78370"/>
    <n v="339"/>
    <n v="6"/>
    <n v="1"/>
    <m/>
    <n v="47971"/>
    <n v="11934"/>
    <n v="1431"/>
    <n v="22091"/>
    <n v="5028"/>
    <m/>
    <n v="88455"/>
    <n v="439"/>
    <n v="81229"/>
    <n v="6787"/>
    <n v="6507"/>
    <n v="7325"/>
    <m/>
    <n v="352"/>
    <n v="803"/>
    <n v="1062"/>
    <n v="1560"/>
    <n v="2679"/>
    <n v="2737"/>
    <n v="2084"/>
    <n v="1940"/>
    <n v="270"/>
    <n v="345"/>
    <m/>
    <n v="399"/>
    <n v="599"/>
    <n v="3600"/>
    <n v="606"/>
    <n v="160"/>
    <n v="8446"/>
    <n v="22"/>
    <n v="288"/>
    <n v="365"/>
    <n v="516"/>
    <n v="1109"/>
    <n v="150"/>
    <n v="1"/>
    <n v="88"/>
    <n v="8908"/>
    <n v="1869"/>
    <n v="30"/>
    <n v="338"/>
    <n v="140"/>
    <n v="25"/>
    <m/>
    <n v="5"/>
    <n v="5237"/>
    <n v="4623"/>
    <n v="1576"/>
    <n v="2270"/>
    <n v="126"/>
    <m/>
    <n v="13832"/>
    <n v="134"/>
    <n v="12777"/>
    <n v="921"/>
    <s v="2015"/>
    <n v="394"/>
    <n v="33"/>
    <n v="15"/>
    <m/>
    <m/>
    <m/>
  </r>
  <r>
    <n v="106500867"/>
    <s v="500867"/>
    <x v="309"/>
    <x v="47"/>
    <x v="3"/>
    <s v="General Acute Care Hospital"/>
    <s v="825 DELBON AVENUE"/>
    <s v="TURLOCK"/>
    <s v="95382"/>
    <s v="Beds 200-299"/>
    <m/>
    <n v="10"/>
    <x v="69"/>
    <x v="3"/>
    <s v="Denair/Turlock"/>
    <s v="Urban"/>
    <x v="0"/>
    <x v="0"/>
    <x v="0"/>
    <n v="34703"/>
    <n v="27322"/>
    <m/>
    <n v="12292"/>
    <n v="8662"/>
    <n v="10740"/>
    <n v="8507"/>
    <n v="6358"/>
    <n v="5770"/>
    <n v="3167"/>
    <n v="2165"/>
    <n v="1922"/>
    <n v="2442"/>
    <m/>
    <n v="403"/>
    <n v="1506"/>
    <n v="32310"/>
    <n v="39"/>
    <n v="4247"/>
    <n v="206"/>
    <n v="23314"/>
    <n v="1345"/>
    <n v="3968"/>
    <n v="84"/>
    <n v="16"/>
    <n v="10"/>
    <m/>
    <m/>
    <m/>
    <n v="81"/>
    <m/>
    <n v="56514"/>
    <n v="5"/>
    <m/>
    <m/>
    <m/>
    <n v="42835"/>
    <n v="7236"/>
    <n v="830"/>
    <n v="8552"/>
    <n v="2571"/>
    <n v="1"/>
    <n v="62025"/>
    <n v="1729"/>
    <n v="49010"/>
    <n v="11286"/>
    <n v="3889"/>
    <n v="3247"/>
    <m/>
    <n v="126"/>
    <n v="376"/>
    <n v="514"/>
    <n v="701"/>
    <n v="1273"/>
    <n v="1199"/>
    <n v="1277"/>
    <n v="1530"/>
    <n v="49"/>
    <n v="91"/>
    <m/>
    <n v="98"/>
    <n v="168"/>
    <n v="2315"/>
    <n v="782"/>
    <n v="22"/>
    <n v="3746"/>
    <n v="5"/>
    <n v="5"/>
    <n v="1007"/>
    <n v="178"/>
    <n v="848"/>
    <m/>
    <m/>
    <n v="111"/>
    <n v="4615"/>
    <n v="13"/>
    <n v="12"/>
    <n v="126"/>
    <m/>
    <n v="220"/>
    <m/>
    <n v="1"/>
    <n v="2563"/>
    <n v="3534"/>
    <n v="40"/>
    <n v="924"/>
    <n v="75"/>
    <m/>
    <n v="7136"/>
    <n v="558"/>
    <n v="5453"/>
    <n v="1125"/>
    <s v="2015"/>
    <n v="209"/>
    <n v="32"/>
    <m/>
    <n v="2"/>
    <m/>
    <m/>
  </r>
  <r>
    <n v="106500939"/>
    <s v="500939"/>
    <x v="310"/>
    <x v="47"/>
    <x v="1"/>
    <s v="General Acute Care Hospital"/>
    <s v="1700 COFFEE ROAD"/>
    <s v="MODESTO"/>
    <s v="95355"/>
    <s v="Beds 300-499"/>
    <s v="Level II"/>
    <n v="10"/>
    <x v="69"/>
    <x v="36"/>
    <s v="Modesto East"/>
    <s v="Urban"/>
    <x v="0"/>
    <x v="0"/>
    <x v="0"/>
    <n v="36940"/>
    <n v="27728"/>
    <n v="1"/>
    <n v="8151"/>
    <n v="6490"/>
    <n v="11042"/>
    <n v="9077"/>
    <n v="7417"/>
    <n v="7593"/>
    <n v="5041"/>
    <n v="3840"/>
    <n v="4151"/>
    <n v="1866"/>
    <n v="1"/>
    <n v="1558"/>
    <n v="4268"/>
    <n v="22780"/>
    <n v="166"/>
    <n v="1793"/>
    <n v="296"/>
    <n v="33808"/>
    <n v="562"/>
    <n v="621"/>
    <n v="79"/>
    <n v="202"/>
    <n v="54"/>
    <n v="24"/>
    <m/>
    <n v="10"/>
    <n v="203"/>
    <n v="10"/>
    <n v="61605"/>
    <n v="423"/>
    <n v="5"/>
    <n v="15"/>
    <n v="405"/>
    <n v="33058"/>
    <n v="13236"/>
    <n v="1811"/>
    <n v="12851"/>
    <n v="3601"/>
    <n v="112"/>
    <n v="64669"/>
    <n v="1151"/>
    <n v="58928"/>
    <n v="4590"/>
    <n v="6112"/>
    <n v="5657"/>
    <m/>
    <n v="223"/>
    <n v="583"/>
    <n v="735"/>
    <n v="1032"/>
    <n v="1848"/>
    <n v="2151"/>
    <n v="2286"/>
    <n v="2757"/>
    <n v="51"/>
    <n v="103"/>
    <m/>
    <n v="351"/>
    <n v="475"/>
    <n v="2662"/>
    <n v="347"/>
    <n v="40"/>
    <n v="7865"/>
    <n v="29"/>
    <n v="340"/>
    <n v="199"/>
    <n v="418"/>
    <n v="2222"/>
    <n v="168"/>
    <m/>
    <n v="20"/>
    <n v="6245"/>
    <n v="1853"/>
    <n v="1"/>
    <n v="281"/>
    <n v="13"/>
    <n v="1"/>
    <n v="2"/>
    <n v="3"/>
    <n v="2377"/>
    <n v="7096"/>
    <n v="307"/>
    <n v="1812"/>
    <n v="177"/>
    <m/>
    <n v="11769"/>
    <n v="411"/>
    <n v="10550"/>
    <n v="808"/>
    <s v="2015"/>
    <n v="423"/>
    <n v="44"/>
    <n v="368"/>
    <n v="83"/>
    <n v="3"/>
    <m/>
  </r>
  <r>
    <n v="106500967"/>
    <s v="500967"/>
    <x v="311"/>
    <x v="47"/>
    <x v="2"/>
    <s v="General Acute Care Hospital"/>
    <s v="350 SOUTH OAK STREET"/>
    <s v="OAKDALE"/>
    <s v="95361"/>
    <s v="Beds 150-199"/>
    <m/>
    <n v="10"/>
    <x v="69"/>
    <x v="3"/>
    <s v="Oakdale/Riverbank"/>
    <s v="Rural"/>
    <x v="1"/>
    <x v="0"/>
    <x v="0"/>
    <n v="14348"/>
    <n v="9873"/>
    <m/>
    <n v="4011"/>
    <n v="2909"/>
    <n v="3831"/>
    <n v="3766"/>
    <n v="3301"/>
    <n v="2456"/>
    <n v="1489"/>
    <n v="989"/>
    <n v="796"/>
    <n v="673"/>
    <m/>
    <n v="61"/>
    <n v="370"/>
    <n v="7230"/>
    <n v="5"/>
    <n v="369"/>
    <n v="326"/>
    <n v="15860"/>
    <n v="689"/>
    <n v="298"/>
    <n v="21"/>
    <n v="1"/>
    <n v="1"/>
    <m/>
    <m/>
    <m/>
    <n v="28"/>
    <m/>
    <n v="23126"/>
    <n v="24"/>
    <n v="30"/>
    <m/>
    <m/>
    <n v="14879"/>
    <n v="3477"/>
    <n v="338"/>
    <n v="3372"/>
    <n v="2155"/>
    <m/>
    <n v="24221"/>
    <n v="34"/>
    <n v="22488"/>
    <n v="1699"/>
    <n v="462"/>
    <n v="339"/>
    <m/>
    <n v="22"/>
    <n v="43"/>
    <n v="49"/>
    <n v="71"/>
    <n v="121"/>
    <n v="127"/>
    <n v="125"/>
    <n v="201"/>
    <n v="6"/>
    <n v="36"/>
    <m/>
    <n v="4"/>
    <n v="10"/>
    <n v="84"/>
    <n v="13"/>
    <n v="13"/>
    <n v="677"/>
    <m/>
    <n v="45"/>
    <n v="13"/>
    <n v="18"/>
    <n v="25"/>
    <n v="3"/>
    <m/>
    <n v="2"/>
    <n v="558"/>
    <n v="128"/>
    <n v="1"/>
    <n v="5"/>
    <n v="1"/>
    <n v="1"/>
    <m/>
    <m/>
    <n v="253"/>
    <n v="436"/>
    <n v="1"/>
    <n v="93"/>
    <n v="17"/>
    <n v="1"/>
    <n v="801"/>
    <n v="4"/>
    <n v="754"/>
    <n v="43"/>
    <s v="2015"/>
    <n v="150"/>
    <n v="12"/>
    <m/>
    <n v="3"/>
    <m/>
    <n v="1"/>
  </r>
  <r>
    <n v="106521041"/>
    <s v="521041"/>
    <x v="312"/>
    <x v="48"/>
    <x v="1"/>
    <s v="General Acute Care Hospital"/>
    <s v="2550 SISTER MARY COLUMBA DRIVE"/>
    <s v="RED BLUFF"/>
    <s v="96080"/>
    <s v="Beds 50-99"/>
    <s v="Level III"/>
    <n v="1"/>
    <x v="6"/>
    <x v="4"/>
    <s v="Gerber/Los Flores/Proberta/Red Bluff"/>
    <s v="Rural"/>
    <x v="1"/>
    <x v="0"/>
    <x v="0"/>
    <n v="16933"/>
    <n v="13635"/>
    <m/>
    <n v="3948"/>
    <n v="3208"/>
    <n v="4865"/>
    <n v="4298"/>
    <n v="3295"/>
    <n v="3900"/>
    <n v="2613"/>
    <n v="1907"/>
    <n v="1759"/>
    <n v="775"/>
    <m/>
    <n v="304"/>
    <n v="322"/>
    <n v="4717"/>
    <n v="246"/>
    <n v="258"/>
    <n v="217"/>
    <n v="24504"/>
    <n v="587"/>
    <n v="908"/>
    <n v="28"/>
    <n v="36"/>
    <n v="10"/>
    <n v="3"/>
    <m/>
    <n v="288"/>
    <n v="345"/>
    <m/>
    <n v="28322"/>
    <n v="37"/>
    <m/>
    <n v="2"/>
    <n v="2"/>
    <n v="16689"/>
    <n v="7089"/>
    <n v="828"/>
    <n v="3983"/>
    <n v="1978"/>
    <n v="1"/>
    <n v="30568"/>
    <n v="150"/>
    <n v="28653"/>
    <n v="1765"/>
    <n v="1066"/>
    <n v="855"/>
    <m/>
    <n v="26"/>
    <n v="93"/>
    <n v="109"/>
    <n v="126"/>
    <n v="278"/>
    <n v="370"/>
    <n v="363"/>
    <n v="474"/>
    <n v="31"/>
    <n v="51"/>
    <m/>
    <n v="24"/>
    <n v="11"/>
    <n v="140"/>
    <n v="12"/>
    <n v="10"/>
    <n v="1711"/>
    <n v="13"/>
    <n v="95"/>
    <n v="35"/>
    <n v="51"/>
    <n v="216"/>
    <n v="21"/>
    <m/>
    <m/>
    <n v="1181"/>
    <n v="247"/>
    <m/>
    <n v="45"/>
    <n v="30"/>
    <m/>
    <m/>
    <m/>
    <n v="517"/>
    <n v="1157"/>
    <n v="26"/>
    <n v="195"/>
    <n v="26"/>
    <m/>
    <n v="1921"/>
    <n v="7"/>
    <n v="1848"/>
    <n v="66"/>
    <s v="2015"/>
    <n v="76"/>
    <n v="15"/>
    <m/>
    <m/>
    <m/>
    <m/>
  </r>
  <r>
    <n v="106531059"/>
    <s v="531059"/>
    <x v="313"/>
    <x v="49"/>
    <x v="2"/>
    <s v="General Acute Care Hospital"/>
    <s v="60  EASTER AVENUE"/>
    <s v="WEAVERVILLE"/>
    <s v="96093"/>
    <s v="Beds 50-99"/>
    <m/>
    <n v="2"/>
    <x v="9"/>
    <x v="6"/>
    <s v="Douglas City/Lewiston/Trinity Center/Weaverville"/>
    <s v="Frontier"/>
    <x v="1"/>
    <x v="0"/>
    <x v="1"/>
    <n v="2398"/>
    <n v="2649"/>
    <n v="1"/>
    <n v="353"/>
    <n v="514"/>
    <n v="814"/>
    <n v="667"/>
    <n v="698"/>
    <n v="649"/>
    <n v="566"/>
    <n v="467"/>
    <n v="253"/>
    <n v="67"/>
    <m/>
    <n v="46"/>
    <n v="30"/>
    <n v="191"/>
    <n v="80"/>
    <n v="45"/>
    <n v="31"/>
    <n v="4625"/>
    <n v="189"/>
    <n v="26"/>
    <n v="3"/>
    <m/>
    <m/>
    <m/>
    <m/>
    <m/>
    <m/>
    <n v="1"/>
    <n v="4560"/>
    <n v="1"/>
    <m/>
    <n v="229"/>
    <n v="27"/>
    <n v="289"/>
    <n v="1231"/>
    <n v="154"/>
    <n v="2989"/>
    <n v="385"/>
    <m/>
    <n v="5048"/>
    <n v="14"/>
    <n v="5020"/>
    <n v="14"/>
    <n v="150"/>
    <n v="157"/>
    <m/>
    <n v="1"/>
    <n v="13"/>
    <n v="12"/>
    <n v="28"/>
    <n v="48"/>
    <n v="58"/>
    <n v="75"/>
    <n v="72"/>
    <m/>
    <m/>
    <m/>
    <n v="1"/>
    <n v="1"/>
    <n v="4"/>
    <n v="1"/>
    <n v="1"/>
    <n v="297"/>
    <n v="2"/>
    <n v="38"/>
    <n v="7"/>
    <n v="14"/>
    <m/>
    <m/>
    <m/>
    <m/>
    <n v="203"/>
    <n v="41"/>
    <m/>
    <m/>
    <m/>
    <m/>
    <n v="4"/>
    <m/>
    <n v="21"/>
    <n v="193"/>
    <n v="7"/>
    <n v="23"/>
    <n v="62"/>
    <n v="1"/>
    <n v="307"/>
    <n v="1"/>
    <n v="305"/>
    <n v="1"/>
    <s v="2015"/>
    <n v="51"/>
    <n v="4"/>
    <m/>
    <n v="12"/>
    <m/>
    <m/>
  </r>
  <r>
    <n v="106540734"/>
    <s v="540734"/>
    <x v="314"/>
    <x v="50"/>
    <x v="2"/>
    <s v="General Acute Care Hospital"/>
    <s v="400 WEST MINERAL KING"/>
    <s v="VISALIA"/>
    <s v="93291"/>
    <s v="Beds 500+"/>
    <s v="Level III"/>
    <n v="22"/>
    <x v="13"/>
    <x v="11"/>
    <s v="Farmersville/Goshen/Visalia"/>
    <s v="Urban"/>
    <x v="0"/>
    <x v="0"/>
    <x v="0"/>
    <n v="40135"/>
    <n v="32312"/>
    <m/>
    <n v="10608"/>
    <n v="8589"/>
    <n v="12893"/>
    <n v="10906"/>
    <n v="8154"/>
    <n v="7359"/>
    <n v="4921"/>
    <n v="3324"/>
    <n v="2914"/>
    <n v="2779"/>
    <m/>
    <n v="323"/>
    <n v="513"/>
    <n v="11235"/>
    <n v="31"/>
    <n v="1380"/>
    <n v="52648"/>
    <n v="6317"/>
    <n v="782"/>
    <n v="2078"/>
    <n v="112"/>
    <n v="4"/>
    <n v="63"/>
    <n v="21"/>
    <m/>
    <n v="562"/>
    <n v="679"/>
    <n v="1"/>
    <n v="67506"/>
    <n v="173"/>
    <n v="308"/>
    <n v="11"/>
    <n v="147"/>
    <n v="7040"/>
    <n v="9480"/>
    <n v="1529"/>
    <n v="54387"/>
    <m/>
    <n v="11"/>
    <n v="72447"/>
    <n v="382"/>
    <n v="63032"/>
    <n v="9033"/>
    <n v="6482"/>
    <n v="6805"/>
    <m/>
    <n v="229"/>
    <n v="771"/>
    <n v="1072"/>
    <n v="1354"/>
    <n v="2308"/>
    <n v="2504"/>
    <n v="2164"/>
    <n v="2477"/>
    <n v="200"/>
    <n v="208"/>
    <m/>
    <n v="272"/>
    <n v="296"/>
    <n v="5420"/>
    <n v="819"/>
    <n v="64"/>
    <n v="6391"/>
    <n v="25"/>
    <n v="238"/>
    <n v="140"/>
    <n v="570"/>
    <n v="1205"/>
    <n v="405"/>
    <m/>
    <m/>
    <n v="8741"/>
    <n v="1629"/>
    <n v="34"/>
    <n v="195"/>
    <n v="94"/>
    <n v="19"/>
    <m/>
    <n v="17"/>
    <n v="4264"/>
    <n v="7044"/>
    <n v="76"/>
    <n v="1772"/>
    <n v="131"/>
    <m/>
    <n v="13287"/>
    <n v="144"/>
    <n v="11510"/>
    <n v="1633"/>
    <s v="2015"/>
    <n v="581"/>
    <n v="34"/>
    <m/>
    <m/>
    <m/>
    <m/>
  </r>
  <r>
    <n v="106540798"/>
    <s v="540798"/>
    <x v="315"/>
    <x v="50"/>
    <x v="2"/>
    <s v="General Acute Care Hospital"/>
    <s v="465 WEST PUTNAM AVENUE"/>
    <s v="PORTERVILLE"/>
    <s v="93257"/>
    <s v="Beds 150-199"/>
    <m/>
    <n v="23"/>
    <x v="13"/>
    <x v="9"/>
    <s v="Alpaugh/Earlimart/Pixley/Porterville/Rich Grove/Terra Bella"/>
    <s v="Rural"/>
    <x v="0"/>
    <x v="0"/>
    <x v="0"/>
    <n v="23556"/>
    <n v="18816"/>
    <n v="1"/>
    <n v="7812"/>
    <n v="5684"/>
    <n v="6764"/>
    <n v="5824"/>
    <n v="4414"/>
    <n v="4235"/>
    <n v="2802"/>
    <n v="1651"/>
    <n v="1431"/>
    <n v="1756"/>
    <m/>
    <n v="532"/>
    <n v="449"/>
    <n v="25495"/>
    <n v="701"/>
    <n v="1105"/>
    <n v="86"/>
    <n v="14005"/>
    <n v="298"/>
    <n v="2815"/>
    <n v="63"/>
    <n v="17"/>
    <n v="4"/>
    <n v="5"/>
    <m/>
    <n v="180"/>
    <n v="102"/>
    <n v="3"/>
    <n v="38614"/>
    <n v="113"/>
    <n v="107"/>
    <n v="6"/>
    <n v="46"/>
    <n v="28553"/>
    <n v="5795"/>
    <n v="595"/>
    <n v="5324"/>
    <n v="2106"/>
    <m/>
    <n v="42373"/>
    <n v="189"/>
    <n v="34089"/>
    <n v="8095"/>
    <n v="1984"/>
    <n v="1963"/>
    <m/>
    <n v="71"/>
    <n v="212"/>
    <n v="269"/>
    <n v="375"/>
    <n v="596"/>
    <n v="745"/>
    <n v="703"/>
    <n v="777"/>
    <n v="103"/>
    <n v="96"/>
    <m/>
    <n v="69"/>
    <n v="33"/>
    <n v="1699"/>
    <n v="31"/>
    <n v="3"/>
    <n v="2035"/>
    <n v="77"/>
    <n v="133"/>
    <n v="74"/>
    <n v="173"/>
    <n v="185"/>
    <m/>
    <m/>
    <n v="8"/>
    <n v="2584"/>
    <n v="729"/>
    <m/>
    <n v="54"/>
    <m/>
    <n v="4"/>
    <m/>
    <n v="3"/>
    <n v="1346"/>
    <n v="2198"/>
    <n v="27"/>
    <n v="358"/>
    <n v="18"/>
    <m/>
    <n v="3947"/>
    <n v="36"/>
    <n v="3222"/>
    <n v="689"/>
    <s v="2015"/>
    <n v="167"/>
    <n v="22"/>
    <m/>
    <m/>
    <m/>
    <m/>
  </r>
  <r>
    <n v="106540816"/>
    <s v="540816"/>
    <x v="316"/>
    <x v="50"/>
    <x v="2"/>
    <s v="General Acute Care Hospital"/>
    <s v="869 CHERRY AVENUE"/>
    <s v="TULARE"/>
    <s v="93274"/>
    <s v="Beds 100-149"/>
    <m/>
    <n v="22"/>
    <x v="13"/>
    <x v="11"/>
    <s v="Tipton/Tulare/Woodville"/>
    <s v="Rural"/>
    <x v="0"/>
    <x v="0"/>
    <x v="0"/>
    <n v="16816"/>
    <n v="12563"/>
    <m/>
    <n v="4823"/>
    <n v="4113"/>
    <n v="5354"/>
    <n v="4512"/>
    <n v="3556"/>
    <n v="2944"/>
    <n v="1554"/>
    <n v="806"/>
    <n v="736"/>
    <n v="981"/>
    <m/>
    <n v="215"/>
    <n v="1289"/>
    <n v="17604"/>
    <n v="881"/>
    <n v="294"/>
    <n v="27"/>
    <n v="9069"/>
    <n v="243"/>
    <n v="188"/>
    <n v="58"/>
    <m/>
    <m/>
    <n v="1"/>
    <m/>
    <m/>
    <n v="37"/>
    <n v="76"/>
    <n v="28484"/>
    <n v="147"/>
    <m/>
    <m/>
    <n v="145"/>
    <n v="20547"/>
    <n v="3101"/>
    <n v="474"/>
    <n v="3396"/>
    <n v="1861"/>
    <m/>
    <n v="29379"/>
    <n v="181"/>
    <n v="25884"/>
    <n v="3314"/>
    <n v="1211"/>
    <n v="1027"/>
    <m/>
    <n v="47"/>
    <n v="142"/>
    <n v="211"/>
    <n v="254"/>
    <n v="406"/>
    <n v="388"/>
    <n v="299"/>
    <n v="449"/>
    <n v="21"/>
    <n v="21"/>
    <m/>
    <n v="30"/>
    <n v="74"/>
    <n v="1024"/>
    <n v="28"/>
    <m/>
    <n v="1007"/>
    <n v="75"/>
    <n v="119"/>
    <n v="47"/>
    <n v="79"/>
    <n v="105"/>
    <n v="7"/>
    <m/>
    <m/>
    <n v="1478"/>
    <n v="367"/>
    <m/>
    <n v="32"/>
    <n v="2"/>
    <m/>
    <m/>
    <n v="2"/>
    <n v="869"/>
    <n v="1095"/>
    <n v="12"/>
    <n v="228"/>
    <n v="34"/>
    <m/>
    <n v="2238"/>
    <n v="60"/>
    <n v="1907"/>
    <n v="271"/>
    <s v="2015"/>
    <n v="112"/>
    <n v="12"/>
    <m/>
    <m/>
    <m/>
    <m/>
  </r>
  <r>
    <n v="106554011"/>
    <s v="554011"/>
    <x v="317"/>
    <x v="51"/>
    <x v="1"/>
    <s v="General Acute Care Hospital"/>
    <s v="1000 Greenley Road"/>
    <s v="Sonora"/>
    <s v="95370"/>
    <s v="Beds 100-149"/>
    <m/>
    <n v="4"/>
    <x v="5"/>
    <x v="3"/>
    <s v="Columbia/Jamestown/Sonora"/>
    <s v="Rural"/>
    <x v="1"/>
    <x v="0"/>
    <x v="0"/>
    <n v="16664"/>
    <n v="13482"/>
    <m/>
    <n v="2412"/>
    <n v="2622"/>
    <n v="4243"/>
    <n v="3541"/>
    <n v="3165"/>
    <n v="4184"/>
    <n v="3847"/>
    <n v="2974"/>
    <n v="2691"/>
    <n v="467"/>
    <m/>
    <n v="141"/>
    <n v="241"/>
    <n v="1618"/>
    <n v="72"/>
    <n v="364"/>
    <n v="114"/>
    <n v="27596"/>
    <n v="1002"/>
    <n v="483"/>
    <n v="39"/>
    <n v="79"/>
    <n v="7"/>
    <n v="1"/>
    <m/>
    <n v="196"/>
    <n v="148"/>
    <m/>
    <n v="28143"/>
    <n v="38"/>
    <m/>
    <m/>
    <n v="7"/>
    <n v="11748"/>
    <n v="9404"/>
    <n v="1354"/>
    <n v="6424"/>
    <n v="1216"/>
    <m/>
    <n v="30146"/>
    <n v="54"/>
    <n v="29929"/>
    <n v="163"/>
    <n v="1784"/>
    <n v="1613"/>
    <m/>
    <n v="33"/>
    <n v="138"/>
    <n v="139"/>
    <n v="221"/>
    <n v="508"/>
    <n v="688"/>
    <n v="729"/>
    <n v="919"/>
    <n v="5"/>
    <n v="17"/>
    <m/>
    <n v="11"/>
    <n v="16"/>
    <n v="67"/>
    <n v="21"/>
    <n v="6"/>
    <n v="3270"/>
    <n v="6"/>
    <n v="159"/>
    <n v="74"/>
    <n v="114"/>
    <n v="680"/>
    <n v="5"/>
    <m/>
    <m/>
    <n v="1833"/>
    <n v="497"/>
    <n v="6"/>
    <n v="19"/>
    <n v="3"/>
    <m/>
    <m/>
    <m/>
    <n v="623"/>
    <n v="2256"/>
    <n v="100"/>
    <n v="407"/>
    <n v="11"/>
    <m/>
    <n v="3397"/>
    <n v="3"/>
    <n v="3381"/>
    <n v="13"/>
    <s v="2015"/>
    <n v="140"/>
    <n v="14"/>
    <n v="2"/>
    <n v="1"/>
    <m/>
    <n v="7"/>
  </r>
  <r>
    <n v="106560473"/>
    <s v="560473"/>
    <x v="318"/>
    <x v="52"/>
    <x v="1"/>
    <s v="General Acute Care Hospital"/>
    <s v="147 N. BRENT STREET"/>
    <s v="VENTURA"/>
    <s v="93003"/>
    <s v="Beds 200-299"/>
    <m/>
    <n v="26"/>
    <x v="72"/>
    <x v="38"/>
    <s v="Ventura"/>
    <s v="Urban"/>
    <x v="0"/>
    <x v="0"/>
    <x v="0"/>
    <n v="23386"/>
    <n v="17243"/>
    <n v="2"/>
    <n v="5634"/>
    <n v="4097"/>
    <n v="6270"/>
    <n v="5377"/>
    <n v="4497"/>
    <n v="4613"/>
    <n v="3286"/>
    <n v="2479"/>
    <n v="2892"/>
    <n v="1486"/>
    <m/>
    <n v="547"/>
    <n v="981"/>
    <n v="16224"/>
    <n v="10"/>
    <n v="140"/>
    <n v="23"/>
    <n v="22706"/>
    <n v="188"/>
    <n v="1605"/>
    <n v="53"/>
    <n v="202"/>
    <n v="50"/>
    <n v="1"/>
    <m/>
    <n v="1"/>
    <n v="102"/>
    <n v="8"/>
    <n v="38282"/>
    <n v="133"/>
    <n v="3"/>
    <m/>
    <m/>
    <n v="14654"/>
    <n v="7379"/>
    <n v="1336"/>
    <n v="15023"/>
    <n v="2239"/>
    <m/>
    <n v="40631"/>
    <n v="50"/>
    <n v="37533"/>
    <n v="3048"/>
    <n v="3102"/>
    <n v="2857"/>
    <m/>
    <n v="62"/>
    <n v="282"/>
    <n v="311"/>
    <n v="497"/>
    <n v="783"/>
    <n v="1049"/>
    <n v="1144"/>
    <n v="1703"/>
    <n v="57"/>
    <n v="71"/>
    <m/>
    <n v="95"/>
    <n v="124"/>
    <n v="1519"/>
    <n v="16"/>
    <m/>
    <n v="4205"/>
    <m/>
    <n v="61"/>
    <n v="950"/>
    <n v="106"/>
    <n v="912"/>
    <m/>
    <m/>
    <m/>
    <n v="3075"/>
    <m/>
    <m/>
    <m/>
    <m/>
    <n v="53"/>
    <m/>
    <m/>
    <n v="776"/>
    <n v="3550"/>
    <n v="43"/>
    <n v="1534"/>
    <n v="55"/>
    <n v="1"/>
    <n v="5959"/>
    <n v="10"/>
    <n v="5590"/>
    <n v="359"/>
    <s v="2015"/>
    <n v="242"/>
    <n v="22"/>
    <m/>
    <n v="3"/>
    <n v="802"/>
    <m/>
  </r>
  <r>
    <n v="106560481"/>
    <s v="560481"/>
    <x v="319"/>
    <x v="52"/>
    <x v="0"/>
    <s v="General Acute Care Hospital"/>
    <s v="3291 LOMA VISTA ROAD"/>
    <s v="VENTURA"/>
    <s v="93003"/>
    <s v="Beds 200-299"/>
    <s v="Level II"/>
    <n v="26"/>
    <x v="72"/>
    <x v="38"/>
    <s v="Ventura"/>
    <s v="Urban"/>
    <x v="0"/>
    <x v="1"/>
    <x v="0"/>
    <n v="23346"/>
    <n v="22509"/>
    <n v="13"/>
    <n v="6313"/>
    <n v="5143"/>
    <n v="8067"/>
    <n v="7222"/>
    <n v="6070"/>
    <n v="5851"/>
    <n v="3436"/>
    <n v="1340"/>
    <n v="966"/>
    <n v="1454"/>
    <n v="6"/>
    <n v="536"/>
    <n v="1143"/>
    <n v="28923"/>
    <n v="85"/>
    <n v="1373"/>
    <n v="183"/>
    <n v="13625"/>
    <n v="107"/>
    <n v="969"/>
    <n v="31"/>
    <n v="86"/>
    <n v="6"/>
    <n v="40"/>
    <m/>
    <n v="1287"/>
    <n v="1389"/>
    <n v="32"/>
    <n v="40810"/>
    <n v="792"/>
    <m/>
    <n v="91"/>
    <n v="226"/>
    <n v="26323"/>
    <n v="4638"/>
    <n v="1238"/>
    <n v="8430"/>
    <n v="5239"/>
    <m/>
    <n v="45868"/>
    <n v="200"/>
    <n v="34466"/>
    <n v="11202"/>
    <n v="2081"/>
    <n v="2357"/>
    <m/>
    <n v="158"/>
    <n v="462"/>
    <n v="491"/>
    <n v="589"/>
    <n v="894"/>
    <n v="714"/>
    <n v="434"/>
    <n v="480"/>
    <n v="94"/>
    <n v="122"/>
    <m/>
    <n v="96"/>
    <n v="97"/>
    <n v="2353"/>
    <n v="67"/>
    <n v="11"/>
    <n v="1799"/>
    <n v="15"/>
    <n v="49"/>
    <n v="75"/>
    <n v="108"/>
    <n v="136"/>
    <n v="37"/>
    <m/>
    <n v="20"/>
    <n v="3281"/>
    <n v="491"/>
    <n v="40"/>
    <n v="47"/>
    <n v="38"/>
    <m/>
    <n v="12"/>
    <n v="104"/>
    <n v="2198"/>
    <n v="1294"/>
    <n v="127"/>
    <n v="698"/>
    <n v="121"/>
    <m/>
    <n v="4438"/>
    <n v="26"/>
    <n v="3348"/>
    <n v="1064"/>
    <s v="2015"/>
    <n v="223"/>
    <n v="20"/>
    <n v="2"/>
    <m/>
    <m/>
    <m/>
  </r>
  <r>
    <n v="106560492"/>
    <s v="560492"/>
    <x v="320"/>
    <x v="52"/>
    <x v="3"/>
    <s v="General Acute Care Hospital"/>
    <s v="215 WEST JANSS ROAD"/>
    <s v="THOUSAND OAKS"/>
    <s v="91360"/>
    <s v="Beds 300-499"/>
    <s v="Level II"/>
    <n v="26"/>
    <x v="76"/>
    <x v="20"/>
    <s v="Thousand Oaks Central and West"/>
    <s v="Urban"/>
    <x v="0"/>
    <x v="0"/>
    <x v="0"/>
    <n v="20809"/>
    <n v="17299"/>
    <m/>
    <n v="3952"/>
    <n v="4382"/>
    <n v="5580"/>
    <n v="4514"/>
    <n v="4538"/>
    <n v="4727"/>
    <n v="3435"/>
    <n v="2758"/>
    <n v="3474"/>
    <n v="748"/>
    <m/>
    <n v="1122"/>
    <n v="743"/>
    <n v="7599"/>
    <n v="3"/>
    <n v="3722"/>
    <n v="26"/>
    <n v="24893"/>
    <n v="307"/>
    <n v="363"/>
    <n v="47"/>
    <n v="2"/>
    <n v="3"/>
    <n v="9"/>
    <m/>
    <n v="380"/>
    <n v="132"/>
    <n v="4"/>
    <n v="36344"/>
    <n v="45"/>
    <n v="3"/>
    <m/>
    <n v="464"/>
    <n v="3645"/>
    <n v="8215"/>
    <n v="5763"/>
    <n v="17620"/>
    <n v="2865"/>
    <m/>
    <n v="38108"/>
    <n v="371"/>
    <n v="35929"/>
    <n v="1808"/>
    <n v="5989"/>
    <n v="4553"/>
    <n v="9"/>
    <n v="172"/>
    <n v="764"/>
    <n v="1059"/>
    <n v="832"/>
    <n v="1260"/>
    <n v="1498"/>
    <n v="1763"/>
    <n v="3065"/>
    <n v="47"/>
    <n v="91"/>
    <m/>
    <n v="436"/>
    <n v="139"/>
    <n v="1173"/>
    <n v="1050"/>
    <n v="3"/>
    <n v="7749"/>
    <n v="1"/>
    <n v="231"/>
    <n v="115"/>
    <n v="344"/>
    <n v="890"/>
    <n v="415"/>
    <m/>
    <n v="26"/>
    <n v="6941"/>
    <n v="1263"/>
    <n v="3"/>
    <n v="206"/>
    <n v="28"/>
    <n v="1"/>
    <n v="12"/>
    <n v="74"/>
    <n v="1282"/>
    <n v="5673"/>
    <n v="392"/>
    <n v="3019"/>
    <n v="185"/>
    <m/>
    <n v="10551"/>
    <n v="210"/>
    <n v="9944"/>
    <n v="397"/>
    <s v="2015"/>
    <n v="321"/>
    <n v="23"/>
    <m/>
    <n v="5"/>
    <n v="2"/>
    <m/>
  </r>
  <r>
    <n v="106560501"/>
    <s v="560501"/>
    <x v="321"/>
    <x v="52"/>
    <x v="1"/>
    <s v="General Acute Care Hospital"/>
    <s v="1306 MARICOPA HIGHWAY"/>
    <s v="OJAI"/>
    <s v="93023"/>
    <s v="Beds 50-99"/>
    <m/>
    <n v="26"/>
    <x v="72"/>
    <x v="38"/>
    <s v="Meiners Oaks/Oak View/Ojai"/>
    <s v="Rural"/>
    <x v="1"/>
    <x v="0"/>
    <x v="1"/>
    <n v="4496"/>
    <n v="3828"/>
    <m/>
    <n v="798"/>
    <n v="832"/>
    <n v="920"/>
    <n v="907"/>
    <n v="907"/>
    <n v="1176"/>
    <n v="1063"/>
    <n v="798"/>
    <n v="821"/>
    <n v="102"/>
    <m/>
    <n v="62"/>
    <n v="50"/>
    <n v="1027"/>
    <n v="3"/>
    <n v="124"/>
    <n v="4"/>
    <n v="7054"/>
    <n v="286"/>
    <n v="238"/>
    <n v="10"/>
    <n v="15"/>
    <n v="1"/>
    <m/>
    <m/>
    <m/>
    <n v="12"/>
    <n v="2"/>
    <n v="7680"/>
    <n v="80"/>
    <m/>
    <m/>
    <m/>
    <n v="2625"/>
    <n v="2199"/>
    <n v="281"/>
    <n v="2587"/>
    <n v="632"/>
    <m/>
    <n v="8324"/>
    <n v="7"/>
    <n v="7922"/>
    <n v="395"/>
    <n v="333"/>
    <n v="271"/>
    <m/>
    <n v="3"/>
    <n v="23"/>
    <n v="30"/>
    <n v="34"/>
    <n v="58"/>
    <n v="112"/>
    <n v="134"/>
    <n v="208"/>
    <m/>
    <n v="2"/>
    <m/>
    <n v="3"/>
    <n v="3"/>
    <n v="29"/>
    <n v="9"/>
    <m/>
    <n v="559"/>
    <n v="1"/>
    <n v="32"/>
    <n v="56"/>
    <n v="26"/>
    <n v="110"/>
    <m/>
    <m/>
    <n v="72"/>
    <n v="302"/>
    <n v="1"/>
    <m/>
    <n v="1"/>
    <m/>
    <n v="4"/>
    <m/>
    <m/>
    <n v="86"/>
    <n v="401"/>
    <m/>
    <n v="108"/>
    <n v="9"/>
    <m/>
    <n v="604"/>
    <m/>
    <n v="586"/>
    <n v="18"/>
    <s v="2015"/>
    <n v="91"/>
    <n v="6"/>
    <m/>
    <m/>
    <m/>
    <m/>
  </r>
  <r>
    <n v="106560508"/>
    <s v="560508"/>
    <x v="322"/>
    <x v="52"/>
    <x v="1"/>
    <s v="General Acute Care Hospital"/>
    <s v="2309 ANTONIO AVENUE"/>
    <s v="CAMARILLO"/>
    <s v="93010"/>
    <s v="Beds 150-199"/>
    <m/>
    <n v="26"/>
    <x v="76"/>
    <x v="38"/>
    <s v="Camarillo/Moorpark"/>
    <s v="Urban"/>
    <x v="0"/>
    <x v="0"/>
    <x v="0"/>
    <n v="12433"/>
    <n v="9403"/>
    <m/>
    <n v="2586"/>
    <n v="2353"/>
    <n v="3026"/>
    <n v="2672"/>
    <n v="2227"/>
    <n v="2322"/>
    <n v="1898"/>
    <n v="1771"/>
    <n v="2605"/>
    <n v="376"/>
    <m/>
    <n v="659"/>
    <n v="728"/>
    <n v="5677"/>
    <n v="14"/>
    <n v="1564"/>
    <m/>
    <n v="13194"/>
    <n v="411"/>
    <n v="506"/>
    <n v="18"/>
    <n v="40"/>
    <n v="5"/>
    <n v="1"/>
    <m/>
    <n v="8"/>
    <n v="28"/>
    <n v="2"/>
    <n v="20759"/>
    <n v="10"/>
    <m/>
    <n v="3"/>
    <n v="35"/>
    <n v="5910"/>
    <n v="5837"/>
    <n v="2399"/>
    <n v="6281"/>
    <n v="1409"/>
    <m/>
    <n v="21836"/>
    <n v="95"/>
    <n v="20814"/>
    <n v="927"/>
    <n v="1533"/>
    <n v="1272"/>
    <m/>
    <n v="17"/>
    <n v="78"/>
    <n v="100"/>
    <n v="141"/>
    <n v="255"/>
    <n v="420"/>
    <n v="606"/>
    <n v="1183"/>
    <m/>
    <n v="5"/>
    <m/>
    <n v="130"/>
    <n v="67"/>
    <n v="416"/>
    <n v="119"/>
    <m/>
    <n v="2071"/>
    <n v="2"/>
    <n v="169"/>
    <n v="34"/>
    <n v="107"/>
    <n v="520"/>
    <n v="37"/>
    <m/>
    <n v="90"/>
    <n v="1255"/>
    <n v="473"/>
    <n v="1"/>
    <n v="109"/>
    <n v="10"/>
    <m/>
    <m/>
    <m/>
    <n v="238"/>
    <n v="2056"/>
    <n v="38"/>
    <n v="453"/>
    <n v="20"/>
    <m/>
    <n v="2805"/>
    <n v="17"/>
    <n v="2689"/>
    <n v="99"/>
    <s v="2015"/>
    <n v="180"/>
    <n v="14"/>
    <m/>
    <n v="10"/>
    <m/>
    <m/>
  </r>
  <r>
    <n v="106560525"/>
    <s v="560525"/>
    <x v="323"/>
    <x v="52"/>
    <x v="1"/>
    <s v="General Acute Care Hospital"/>
    <s v="2975 NORTH SYCAMORE DRIVE"/>
    <s v="SIMI VALLEY"/>
    <s v="93065"/>
    <s v="Beds 100-149"/>
    <m/>
    <n v="25"/>
    <x v="37"/>
    <x v="20"/>
    <s v="Simi Valley East"/>
    <s v="Urban"/>
    <x v="0"/>
    <x v="0"/>
    <x v="0"/>
    <n v="16725"/>
    <n v="13401"/>
    <n v="4"/>
    <n v="4223"/>
    <n v="3753"/>
    <n v="4532"/>
    <n v="3996"/>
    <n v="3821"/>
    <n v="3776"/>
    <n v="2189"/>
    <n v="1634"/>
    <n v="1539"/>
    <n v="667"/>
    <m/>
    <n v="915"/>
    <n v="354"/>
    <n v="7745"/>
    <n v="21"/>
    <n v="983"/>
    <n v="150"/>
    <n v="19962"/>
    <n v="992"/>
    <n v="604"/>
    <n v="26"/>
    <n v="12"/>
    <n v="7"/>
    <n v="2"/>
    <m/>
    <n v="300"/>
    <n v="110"/>
    <n v="2"/>
    <n v="28041"/>
    <n v="24"/>
    <n v="1"/>
    <m/>
    <n v="7"/>
    <n v="12254"/>
    <n v="5019"/>
    <n v="651"/>
    <n v="9706"/>
    <n v="2500"/>
    <m/>
    <n v="30130"/>
    <n v="100"/>
    <n v="28405"/>
    <n v="1625"/>
    <n v="2931"/>
    <n v="2400"/>
    <m/>
    <n v="108"/>
    <n v="287"/>
    <n v="384"/>
    <n v="586"/>
    <n v="913"/>
    <n v="893"/>
    <n v="881"/>
    <n v="1225"/>
    <n v="20"/>
    <n v="34"/>
    <m/>
    <n v="224"/>
    <n v="63"/>
    <n v="812"/>
    <n v="153"/>
    <n v="25"/>
    <n v="4048"/>
    <n v="6"/>
    <n v="204"/>
    <n v="135"/>
    <n v="126"/>
    <n v="614"/>
    <n v="16"/>
    <m/>
    <n v="76"/>
    <n v="3394"/>
    <n v="635"/>
    <n v="1"/>
    <n v="108"/>
    <n v="16"/>
    <m/>
    <m/>
    <m/>
    <n v="998"/>
    <n v="2792"/>
    <n v="66"/>
    <n v="1330"/>
    <n v="144"/>
    <n v="1"/>
    <n v="5331"/>
    <n v="47"/>
    <n v="5022"/>
    <n v="262"/>
    <s v="2015"/>
    <n v="144"/>
    <n v="10"/>
    <n v="1"/>
    <n v="1"/>
    <n v="1"/>
    <n v="5"/>
  </r>
  <r>
    <n v="106560529"/>
    <s v="560529"/>
    <x v="324"/>
    <x v="52"/>
    <x v="1"/>
    <s v="General Acute Care Hospital"/>
    <s v="1600 NORTH ROSE AVENUE"/>
    <s v="OXNARD"/>
    <s v="93030"/>
    <s v="Beds 200-299"/>
    <m/>
    <n v="26"/>
    <x v="76"/>
    <x v="38"/>
    <s v="Oxnard North Central"/>
    <s v="Urban"/>
    <x v="0"/>
    <x v="0"/>
    <x v="0"/>
    <n v="28223"/>
    <n v="23997"/>
    <m/>
    <n v="8589"/>
    <n v="5710"/>
    <n v="9076"/>
    <n v="6753"/>
    <n v="6002"/>
    <n v="5381"/>
    <n v="3601"/>
    <n v="2612"/>
    <n v="2511"/>
    <n v="1985"/>
    <m/>
    <n v="1738"/>
    <n v="2015"/>
    <n v="35489"/>
    <n v="4"/>
    <n v="785"/>
    <m/>
    <n v="12189"/>
    <n v="560"/>
    <n v="3071"/>
    <n v="40"/>
    <n v="70"/>
    <n v="5"/>
    <n v="3"/>
    <m/>
    <n v="168"/>
    <n v="199"/>
    <n v="4"/>
    <n v="48039"/>
    <n v="37"/>
    <n v="2"/>
    <n v="6"/>
    <n v="8"/>
    <n v="24892"/>
    <n v="9018"/>
    <n v="3397"/>
    <n v="8026"/>
    <n v="6887"/>
    <m/>
    <n v="52220"/>
    <n v="227"/>
    <n v="39391"/>
    <n v="12602"/>
    <n v="3186"/>
    <n v="3164"/>
    <m/>
    <n v="72"/>
    <n v="292"/>
    <n v="365"/>
    <n v="545"/>
    <n v="978"/>
    <n v="1163"/>
    <n v="1207"/>
    <n v="1599"/>
    <n v="61"/>
    <n v="68"/>
    <m/>
    <n v="442"/>
    <n v="285"/>
    <n v="3305"/>
    <n v="87"/>
    <m/>
    <n v="2230"/>
    <n v="1"/>
    <n v="163"/>
    <n v="113"/>
    <n v="248"/>
    <n v="1144"/>
    <n v="131"/>
    <m/>
    <n v="45"/>
    <n v="3445"/>
    <n v="896"/>
    <n v="4"/>
    <n v="147"/>
    <n v="12"/>
    <n v="1"/>
    <m/>
    <n v="1"/>
    <n v="1483"/>
    <n v="3855"/>
    <n v="150"/>
    <n v="823"/>
    <n v="39"/>
    <m/>
    <n v="6350"/>
    <n v="70"/>
    <n v="4829"/>
    <n v="1451"/>
    <s v="2015"/>
    <n v="265"/>
    <n v="20"/>
    <m/>
    <n v="8"/>
    <m/>
    <m/>
  </r>
  <r>
    <n v="106571086"/>
    <s v="571086"/>
    <x v="325"/>
    <x v="53"/>
    <x v="1"/>
    <s v="General Acute Care Hospital"/>
    <s v="1325 COTTONWOOD STREET"/>
    <s v="WOODLAND"/>
    <s v="95695"/>
    <s v="Beds 100-149"/>
    <m/>
    <n v="3"/>
    <x v="16"/>
    <x v="5"/>
    <s v="Woodland"/>
    <s v="Urban"/>
    <x v="0"/>
    <x v="0"/>
    <x v="0"/>
    <n v="11819"/>
    <n v="10008"/>
    <m/>
    <n v="2931"/>
    <n v="2449"/>
    <n v="3500"/>
    <n v="3072"/>
    <n v="2369"/>
    <n v="2607"/>
    <n v="1741"/>
    <n v="1196"/>
    <n v="1349"/>
    <n v="613"/>
    <m/>
    <n v="359"/>
    <n v="887"/>
    <n v="8994"/>
    <n v="75"/>
    <n v="685"/>
    <n v="94"/>
    <n v="10733"/>
    <n v="355"/>
    <n v="1"/>
    <n v="30"/>
    <n v="84"/>
    <n v="4"/>
    <n v="1"/>
    <m/>
    <n v="329"/>
    <n v="47"/>
    <m/>
    <n v="20762"/>
    <n v="143"/>
    <m/>
    <m/>
    <m/>
    <n v="11401"/>
    <n v="4216"/>
    <n v="719"/>
    <n v="4454"/>
    <n v="1037"/>
    <m/>
    <n v="21827"/>
    <n v="397"/>
    <n v="18561"/>
    <n v="2869"/>
    <n v="1249"/>
    <n v="1188"/>
    <m/>
    <n v="48"/>
    <n v="280"/>
    <n v="277"/>
    <n v="255"/>
    <n v="399"/>
    <n v="410"/>
    <n v="324"/>
    <n v="411"/>
    <n v="9"/>
    <n v="24"/>
    <m/>
    <n v="40"/>
    <n v="119"/>
    <n v="680"/>
    <n v="76"/>
    <n v="5"/>
    <n v="1514"/>
    <n v="3"/>
    <n v="89"/>
    <n v="21"/>
    <n v="88"/>
    <n v="122"/>
    <n v="16"/>
    <m/>
    <n v="49"/>
    <n v="1626"/>
    <n v="318"/>
    <n v="13"/>
    <n v="32"/>
    <n v="51"/>
    <m/>
    <m/>
    <n v="12"/>
    <n v="810"/>
    <n v="1146"/>
    <n v="44"/>
    <n v="406"/>
    <n v="26"/>
    <n v="5"/>
    <n v="2437"/>
    <n v="55"/>
    <n v="2154"/>
    <n v="228"/>
    <s v="2015"/>
    <n v="108"/>
    <n v="17"/>
    <m/>
    <n v="71"/>
    <m/>
    <m/>
  </r>
  <r>
    <n v="106574010"/>
    <s v="574010"/>
    <x v="326"/>
    <x v="53"/>
    <x v="1"/>
    <s v="General Acute Care Hospital"/>
    <s v="2000 SUTTER PLACE"/>
    <s v="DAVIS"/>
    <s v="95616"/>
    <s v="Beds 1-49"/>
    <m/>
    <n v="3"/>
    <x v="16"/>
    <x v="5"/>
    <s v="Davis"/>
    <s v="Urban"/>
    <x v="0"/>
    <x v="0"/>
    <x v="0"/>
    <n v="14751"/>
    <n v="11151"/>
    <n v="1"/>
    <n v="3205"/>
    <n v="3308"/>
    <n v="5578"/>
    <n v="3382"/>
    <n v="2474"/>
    <n v="2574"/>
    <n v="1869"/>
    <n v="1308"/>
    <n v="1621"/>
    <n v="584"/>
    <m/>
    <n v="1839"/>
    <n v="1022"/>
    <n v="8164"/>
    <n v="85"/>
    <n v="1359"/>
    <n v="418"/>
    <n v="13016"/>
    <n v="242"/>
    <n v="105"/>
    <n v="7"/>
    <n v="106"/>
    <n v="36"/>
    <n v="3"/>
    <m/>
    <n v="53"/>
    <n v="227"/>
    <n v="1"/>
    <n v="24540"/>
    <n v="124"/>
    <n v="2"/>
    <n v="74"/>
    <n v="238"/>
    <n v="10317"/>
    <n v="4177"/>
    <n v="751"/>
    <n v="8800"/>
    <n v="1833"/>
    <n v="25"/>
    <n v="25903"/>
    <n v="825"/>
    <n v="21984"/>
    <n v="3094"/>
    <n v="905"/>
    <n v="781"/>
    <m/>
    <n v="32"/>
    <n v="129"/>
    <n v="104"/>
    <n v="139"/>
    <n v="224"/>
    <n v="264"/>
    <n v="303"/>
    <n v="490"/>
    <n v="1"/>
    <m/>
    <m/>
    <n v="91"/>
    <n v="47"/>
    <n v="341"/>
    <n v="59"/>
    <n v="30"/>
    <n v="1103"/>
    <n v="15"/>
    <n v="78"/>
    <n v="51"/>
    <n v="36"/>
    <n v="280"/>
    <n v="8"/>
    <m/>
    <n v="5"/>
    <n v="864"/>
    <n v="288"/>
    <m/>
    <n v="55"/>
    <n v="7"/>
    <n v="6"/>
    <n v="5"/>
    <n v="3"/>
    <n v="323"/>
    <n v="990"/>
    <n v="17"/>
    <n v="326"/>
    <n v="30"/>
    <m/>
    <n v="1686"/>
    <n v="56"/>
    <n v="1446"/>
    <n v="184"/>
    <s v="2015"/>
    <n v="48"/>
    <n v="8"/>
    <n v="88"/>
    <n v="57"/>
    <m/>
    <m/>
  </r>
  <r>
    <n v="106580996"/>
    <s v="580996"/>
    <x v="327"/>
    <x v="54"/>
    <x v="1"/>
    <s v="General Acute Care Hospital"/>
    <s v="726 FOURTH ST"/>
    <s v="MARYSVILLE"/>
    <s v="95901"/>
    <s v="Beds 150-199"/>
    <s v="Level III"/>
    <n v="3"/>
    <x v="6"/>
    <x v="4"/>
    <s v="Marysville"/>
    <s v="Rural"/>
    <x v="0"/>
    <x v="0"/>
    <x v="0"/>
    <n v="28994"/>
    <n v="23143"/>
    <n v="9"/>
    <n v="6411"/>
    <n v="5398"/>
    <n v="10023"/>
    <n v="8060"/>
    <n v="6385"/>
    <n v="6112"/>
    <n v="4109"/>
    <n v="2253"/>
    <n v="1990"/>
    <n v="1405"/>
    <m/>
    <n v="2842"/>
    <n v="2383"/>
    <n v="12587"/>
    <n v="266"/>
    <n v="1183"/>
    <n v="204"/>
    <n v="32681"/>
    <m/>
    <n v="2830"/>
    <n v="84"/>
    <n v="544"/>
    <n v="1"/>
    <m/>
    <m/>
    <n v="527"/>
    <m/>
    <n v="16"/>
    <n v="47484"/>
    <n v="12"/>
    <n v="442"/>
    <m/>
    <n v="148"/>
    <n v="30032"/>
    <n v="8865"/>
    <n v="2281"/>
    <n v="7335"/>
    <n v="3627"/>
    <n v="6"/>
    <n v="52146"/>
    <n v="2106"/>
    <n v="45882"/>
    <n v="4158"/>
    <n v="3885"/>
    <n v="3657"/>
    <n v="1"/>
    <n v="69"/>
    <n v="333"/>
    <n v="472"/>
    <n v="703"/>
    <n v="1288"/>
    <n v="1581"/>
    <n v="1478"/>
    <n v="1618"/>
    <n v="1"/>
    <m/>
    <m/>
    <n v="636"/>
    <n v="203"/>
    <n v="1036"/>
    <n v="120"/>
    <n v="17"/>
    <n v="5491"/>
    <n v="40"/>
    <n v="13"/>
    <n v="251"/>
    <n v="367"/>
    <n v="1048"/>
    <n v="94"/>
    <m/>
    <n v="95"/>
    <n v="4023"/>
    <n v="1281"/>
    <n v="17"/>
    <n v="100"/>
    <n v="40"/>
    <n v="4"/>
    <n v="2"/>
    <n v="195"/>
    <n v="2124"/>
    <n v="4357"/>
    <n v="200"/>
    <n v="779"/>
    <n v="76"/>
    <n v="7"/>
    <n v="7543"/>
    <n v="472"/>
    <n v="6647"/>
    <n v="424"/>
    <s v="2015"/>
    <n v="173"/>
    <n v="22"/>
    <n v="58"/>
    <m/>
    <n v="1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6" minRefreshableVersion="3" rowGrandTotals="0" colGrandTotals="0" itemPrintTitles="1" createdVersion="4" indent="0" compact="0" compactData="0" multipleFieldFilters="0">
  <location ref="A10:B106" firstHeaderRow="1" firstDataRow="1" firstDataCol="1" rowPageCount="8" colPageCount="1"/>
  <pivotFields count="118">
    <pivotField dataField="1" compact="0" numFmtId="1" outline="0" showAll="0" defaultSubtotal="0"/>
    <pivotField dataField="1" compact="0" outline="0" showAll="0" defaultSubtotal="0"/>
    <pivotField axis="axisPage" compact="0" outline="0" showAll="0" sortType="ascending" defaultSubtotal="0">
      <items count="329">
        <item x="56"/>
        <item x="34"/>
        <item x="161"/>
        <item x="0"/>
        <item x="60"/>
        <item x="1"/>
        <item x="4"/>
        <item x="232"/>
        <item x="61"/>
        <item x="230"/>
        <item x="54"/>
        <item x="47"/>
        <item x="59"/>
        <item x="231"/>
        <item x="29"/>
        <item x="215"/>
        <item x="65"/>
        <item x="14"/>
        <item x="67"/>
        <item x="251"/>
        <item x="250"/>
        <item x="254"/>
        <item x="62"/>
        <item x="104"/>
        <item x="68"/>
        <item x="55"/>
        <item x="162"/>
        <item x="2"/>
        <item x="180"/>
        <item x="137"/>
        <item x="70"/>
        <item x="159"/>
        <item x="257"/>
        <item x="216"/>
        <item x="87"/>
        <item x="110"/>
        <item x="31"/>
        <item x="32"/>
        <item x="120"/>
        <item x="169"/>
        <item x="107"/>
        <item x="227"/>
        <item x="19"/>
        <item x="94"/>
        <item x="71"/>
        <item x="223"/>
        <item x="151"/>
        <item x="318"/>
        <item x="33"/>
        <item x="21"/>
        <item x="189"/>
        <item x="258"/>
        <item x="46"/>
        <item x="190"/>
        <item x="229"/>
        <item x="263"/>
        <item x="308"/>
        <item x="20"/>
        <item x="290"/>
        <item x="76"/>
        <item x="186"/>
        <item x="10"/>
        <item x="191"/>
        <item x="282"/>
        <item x="42"/>
        <item x="309"/>
        <item x="77"/>
        <item x="17"/>
        <item x="296"/>
        <item x="15"/>
        <item x="78"/>
        <item x="163"/>
        <item x="142"/>
        <item x="145"/>
        <item x="266"/>
        <item x="172"/>
        <item x="69"/>
        <item x="79"/>
        <item x="152"/>
        <item x="80"/>
        <item x="98"/>
        <item x="81"/>
        <item x="37"/>
        <item x="276"/>
        <item x="85"/>
        <item x="283"/>
        <item x="82"/>
        <item x="237"/>
        <item x="214"/>
        <item x="301"/>
        <item x="192"/>
        <item x="127"/>
        <item x="228"/>
        <item x="3"/>
        <item x="165"/>
        <item x="182"/>
        <item x="83"/>
        <item x="166"/>
        <item x="86"/>
        <item x="39"/>
        <item x="141"/>
        <item x="193"/>
        <item x="25"/>
        <item x="23"/>
        <item x="133"/>
        <item x="218"/>
        <item x="9"/>
        <item x="36"/>
        <item x="89"/>
        <item x="11"/>
        <item x="181"/>
        <item x="91"/>
        <item x="275"/>
        <item m="1" x="328"/>
        <item x="297"/>
        <item x="199"/>
        <item x="185"/>
        <item x="205"/>
        <item x="238"/>
        <item x="249"/>
        <item x="287"/>
        <item x="12"/>
        <item x="138"/>
        <item x="289"/>
        <item x="306"/>
        <item x="90"/>
        <item x="212"/>
        <item x="270"/>
        <item x="24"/>
        <item x="92"/>
        <item x="132"/>
        <item x="200"/>
        <item x="264"/>
        <item x="27"/>
        <item x="134"/>
        <item x="300"/>
        <item x="314"/>
        <item x="48"/>
        <item x="49"/>
        <item x="167"/>
        <item x="128"/>
        <item x="129"/>
        <item x="74"/>
        <item x="259"/>
        <item x="219"/>
        <item x="204"/>
        <item x="277"/>
        <item x="100"/>
        <item x="168"/>
        <item x="72"/>
        <item x="64"/>
        <item x="131"/>
        <item x="320"/>
        <item x="38"/>
        <item x="136"/>
        <item x="150"/>
        <item x="278"/>
        <item x="265"/>
        <item x="139"/>
        <item x="95"/>
        <item x="18"/>
        <item x="30"/>
        <item x="130"/>
        <item x="292"/>
        <item x="146"/>
        <item x="310"/>
        <item x="97"/>
        <item x="143"/>
        <item x="198"/>
        <item x="206"/>
        <item x="50"/>
        <item x="213"/>
        <item x="147"/>
        <item x="294"/>
        <item x="295"/>
        <item x="207"/>
        <item x="208"/>
        <item x="101"/>
        <item x="273"/>
        <item x="99"/>
        <item x="175"/>
        <item x="170"/>
        <item x="149"/>
        <item x="217"/>
        <item x="103"/>
        <item x="220"/>
        <item x="154"/>
        <item x="299"/>
        <item x="44"/>
        <item x="105"/>
        <item x="106"/>
        <item x="140"/>
        <item x="311"/>
        <item x="284"/>
        <item x="321"/>
        <item x="102"/>
        <item x="160"/>
        <item x="16"/>
        <item x="114"/>
        <item x="305"/>
        <item x="135"/>
        <item x="194"/>
        <item x="240"/>
        <item x="241"/>
        <item x="195"/>
        <item x="302"/>
        <item x="75"/>
        <item x="43"/>
        <item x="173"/>
        <item x="187"/>
        <item x="246"/>
        <item x="108"/>
        <item x="109"/>
        <item x="84"/>
        <item x="112"/>
        <item x="93"/>
        <item x="117"/>
        <item x="118"/>
        <item x="96"/>
        <item x="155"/>
        <item x="233"/>
        <item x="221"/>
        <item x="40"/>
        <item x="281"/>
        <item x="327"/>
        <item x="51"/>
        <item x="196"/>
        <item x="202"/>
        <item x="121"/>
        <item x="174"/>
        <item x="153"/>
        <item x="222"/>
        <item x="111"/>
        <item x="252"/>
        <item x="73"/>
        <item x="197"/>
        <item x="52"/>
        <item x="260"/>
        <item x="7"/>
        <item x="269"/>
        <item x="26"/>
        <item x="279"/>
        <item x="285"/>
        <item x="113"/>
        <item x="303"/>
        <item x="280"/>
        <item x="247"/>
        <item x="248"/>
        <item x="242"/>
        <item x="239"/>
        <item x="188"/>
        <item x="274"/>
        <item x="272"/>
        <item x="271"/>
        <item x="245"/>
        <item x="234"/>
        <item x="236"/>
        <item x="235"/>
        <item x="293"/>
        <item x="115"/>
        <item x="157"/>
        <item x="315"/>
        <item x="267"/>
        <item x="323"/>
        <item x="304"/>
        <item x="317"/>
        <item x="66"/>
        <item x="45"/>
        <item x="201"/>
        <item x="35"/>
        <item x="224"/>
        <item x="312"/>
        <item x="116"/>
        <item x="253"/>
        <item x="156"/>
        <item x="57"/>
        <item x="322"/>
        <item x="324"/>
        <item x="41"/>
        <item x="176"/>
        <item x="261"/>
        <item x="177"/>
        <item x="288"/>
        <item x="225"/>
        <item x="63"/>
        <item x="255"/>
        <item x="5"/>
        <item x="119"/>
        <item x="286"/>
        <item x="148"/>
        <item x="13"/>
        <item x="183"/>
        <item x="28"/>
        <item x="326"/>
        <item x="22"/>
        <item x="210"/>
        <item x="58"/>
        <item x="211"/>
        <item x="184"/>
        <item x="307"/>
        <item x="298"/>
        <item x="262"/>
        <item x="158"/>
        <item x="53"/>
        <item x="203"/>
        <item x="88"/>
        <item x="243"/>
        <item x="313"/>
        <item x="316"/>
        <item x="268"/>
        <item x="256"/>
        <item x="144"/>
        <item x="209"/>
        <item x="171"/>
        <item x="244"/>
        <item x="123"/>
        <item x="122"/>
        <item x="8"/>
        <item x="319"/>
        <item x="226"/>
        <item x="6"/>
        <item x="291"/>
        <item x="178"/>
        <item x="124"/>
        <item x="179"/>
        <item x="164"/>
        <item x="125"/>
        <item x="126"/>
        <item x="325"/>
      </items>
    </pivotField>
    <pivotField name="FACILITY COUNTY" axis="axisPage" compact="0" outline="0" showAll="0" defaultSubtota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pivotField>
    <pivotField name="TYPE OF CONTROL" axis="axisPage" compact="0" outline="0" showAll="0" defaultSubtotal="0">
      <items count="7">
        <item x="3"/>
        <item x="5"/>
        <item x="4"/>
        <item x="1"/>
        <item x="0"/>
        <item x="2"/>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ASSEMBLY DISTRICT" axis="axisPage" compact="0" numFmtId="1" outline="0" showAll="0" defaultSubtotal="0">
      <items count="77">
        <item x="17"/>
        <item x="9"/>
        <item x="6"/>
        <item x="16"/>
        <item x="5"/>
        <item x="50"/>
        <item x="57"/>
        <item x="56"/>
        <item x="58"/>
        <item x="39"/>
        <item x="8"/>
        <item x="69"/>
        <item x="68"/>
        <item x="7"/>
        <item x="1"/>
        <item x="3"/>
        <item x="67"/>
        <item x="0"/>
        <item x="66"/>
        <item x="2"/>
        <item x="40"/>
        <item x="71"/>
        <item x="10"/>
        <item x="74"/>
        <item x="4"/>
        <item x="13"/>
        <item x="73"/>
        <item x="75"/>
        <item x="41"/>
        <item x="42"/>
        <item x="11"/>
        <item x="14"/>
        <item x="59"/>
        <item x="15"/>
        <item x="70"/>
        <item x="19"/>
        <item x="72"/>
        <item x="37"/>
        <item x="31"/>
        <item x="61"/>
        <item x="32"/>
        <item x="52"/>
        <item x="26"/>
        <item x="76"/>
        <item x="28"/>
        <item x="34"/>
        <item x="60"/>
        <item x="29"/>
        <item x="18"/>
        <item x="35"/>
        <item x="27"/>
        <item x="36"/>
        <item x="23"/>
        <item x="22"/>
        <item x="49"/>
        <item x="12"/>
        <item x="30"/>
        <item x="21"/>
        <item x="51"/>
        <item x="53"/>
        <item x="24"/>
        <item x="25"/>
        <item x="38"/>
        <item x="47"/>
        <item x="33"/>
        <item x="54"/>
        <item x="43"/>
        <item x="45"/>
        <item x="20"/>
        <item x="44"/>
        <item x="48"/>
        <item x="46"/>
        <item x="55"/>
        <item x="64"/>
        <item x="65"/>
        <item x="63"/>
        <item x="62"/>
      </items>
    </pivotField>
    <pivotField name="SENATE DISTRICT" axis="axisPage" compact="0" outline="0" showAll="0" defaultSubtotal="0">
      <items count="40">
        <item x="7"/>
        <item x="6"/>
        <item x="5"/>
        <item x="4"/>
        <item x="36"/>
        <item x="32"/>
        <item x="2"/>
        <item x="3"/>
        <item x="0"/>
        <item x="1"/>
        <item x="35"/>
        <item x="8"/>
        <item x="37"/>
        <item x="9"/>
        <item x="39"/>
        <item x="11"/>
        <item x="24"/>
        <item x="22"/>
        <item x="38"/>
        <item x="23"/>
        <item x="13"/>
        <item x="12"/>
        <item x="31"/>
        <item x="19"/>
        <item x="21"/>
        <item x="14"/>
        <item x="20"/>
        <item x="30"/>
        <item x="27"/>
        <item x="17"/>
        <item x="29"/>
        <item x="16"/>
        <item x="15"/>
        <item x="26"/>
        <item x="18"/>
        <item x="28"/>
        <item x="25"/>
        <item x="34"/>
        <item x="33"/>
        <item x="10"/>
      </items>
    </pivotField>
    <pivotField compact="0" outline="0" showAll="0" defaultSubtotal="0"/>
    <pivotField compact="0" outline="0" showAll="0" defaultSubtotal="0"/>
    <pivotField name="RURAL HOSPITAL" axis="axisPage" compact="0" outline="0" showAll="0" defaultSubtotal="0">
      <items count="2">
        <item x="1"/>
        <item x="0"/>
      </items>
    </pivotField>
    <pivotField name="TEACHING HOSPITAL" axis="axisPage" compact="0" outline="0" showAll="0" defaultSubtotal="0">
      <items count="2">
        <item x="1"/>
        <item x="0"/>
      </items>
    </pivotField>
    <pivotField name="ER SERVICE LEVEL" axis="axisPage" compact="0" outline="0" showAll="0" defaultSubtotal="0">
      <items count="4">
        <item x="0"/>
        <item x="2"/>
        <item x="1"/>
        <item x="3"/>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1">
    <field x="-2"/>
  </rowFields>
  <rowItems count="9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rowItems>
  <colItems count="1">
    <i/>
  </colItems>
  <pageFields count="8">
    <pageField fld="2" hier="-1"/>
    <pageField fld="18" hier="-1"/>
    <pageField fld="3" hier="-1"/>
    <pageField fld="17" hier="-1"/>
    <pageField fld="16" hier="-1"/>
    <pageField fld="12" hier="-1"/>
    <pageField fld="13" hier="-1"/>
    <pageField fld="4" hier="-1"/>
  </pageFields>
  <dataFields count="96">
    <dataField name="Count of oshpd_id" fld="1" subtotal="count" baseField="0" baseItem="4190856" numFmtId="3"/>
    <dataField name="Sum of oshpd_id2" fld="0" baseField="0" baseItem="3797800"/>
    <dataField name="Sum of Sex_Female" fld="19" baseField="0" baseItem="3338200" numFmtId="3"/>
    <dataField name="Sum of a_Sex_Female" fld="65" baseField="0" baseItem="3338200" numFmtId="3"/>
    <dataField name="Sum of Sex_Male" fld="20" baseField="0" baseItem="3338200" numFmtId="3"/>
    <dataField name="Sum of a_Sex_Male" fld="66" baseField="0" baseItem="2682264" numFmtId="3"/>
    <dataField name="Sum of a_Sex_Other_Unk" fld="67" baseField="0" baseItem="1826992" numFmtId="41"/>
    <dataField name="Sum of Sex_Unk" fld="21" baseField="0" baseItem="1762896"/>
    <dataField name="Sum of Age_Under_1" fld="31" baseField="0" baseItem="0" numFmtId="3"/>
    <dataField name="Sum of a_Age_Under_1" fld="76" baseField="0" baseItem="0" numFmtId="3"/>
    <dataField name="Sum of Age_01_09" fld="22" baseField="0" baseItem="0" numFmtId="3"/>
    <dataField name="Sum of a_Age_01_09" fld="77" baseField="0" baseItem="0" numFmtId="3"/>
    <dataField name="Sum of Age_10_19" fld="23" baseField="0" baseItem="0" numFmtId="3"/>
    <dataField name="Sum of a_Age_10_19" fld="68" baseField="0" baseItem="0" numFmtId="3"/>
    <dataField name="Sum of Age_20_29" fld="24" baseField="0" baseItem="0" numFmtId="3"/>
    <dataField name="Sum of a_Age_20_29" fld="69" baseField="0" baseItem="0" numFmtId="3"/>
    <dataField name="Sum of Age_30_39" fld="25" baseField="0" baseItem="0" numFmtId="3"/>
    <dataField name="Sum of a_Age_30_39" fld="70" baseField="0" baseItem="0" numFmtId="3"/>
    <dataField name="Sum of Age_40_49" fld="26" baseField="0" baseItem="0" numFmtId="3"/>
    <dataField name="Sum of a_Age_40_49" fld="71" baseField="0" baseItem="0" numFmtId="3"/>
    <dataField name="Sum of Age_50_59" fld="27" baseField="0" baseItem="0" numFmtId="3"/>
    <dataField name="Sum of a_Age_50_59" fld="72" baseField="0" baseItem="0" numFmtId="3"/>
    <dataField name="Sum of Age_60_69" fld="28" baseField="0" baseItem="0" numFmtId="3"/>
    <dataField name="Sum of a_Age_60_69" fld="73" baseField="0" baseItem="0" numFmtId="3"/>
    <dataField name="Sum of Age_70_79" fld="29" baseField="0" baseItem="0" numFmtId="3"/>
    <dataField name="Sum of a_Age_70_79" fld="74" baseField="0" baseItem="0" numFmtId="3"/>
    <dataField name="Sum of Age_80_" fld="30" baseField="0" baseItem="0" numFmtId="3"/>
    <dataField name="Sum of a_Age_80_" fld="75" baseField="0" baseItem="0" numFmtId="3"/>
    <dataField name="Sum of Age_Unknown" fld="32" baseField="0" baseItem="0" numFmtId="3"/>
    <dataField name="Sum of a_Age_Unknown" fld="78" baseField="0" baseItem="0" numFmtId="3"/>
    <dataField name="Sum of Asian_Pacific_Island" fld="33" baseField="0" baseItem="3731560"/>
    <dataField name="Sum of a_Asian_Pacific_Isla" fld="79" baseField="0" baseItem="3731560"/>
    <dataField name="Sum of Black" fld="34" baseField="0" baseItem="0" numFmtId="3"/>
    <dataField name="Sum of a_Black" fld="80" baseField="0" baseItem="0" numFmtId="3"/>
    <dataField name="Sum of Unknown_Race" fld="38" baseField="0" baseItem="3731560"/>
    <dataField name="Sum of a_Unknown_Race" fld="83" baseField="0" baseItem="3731560"/>
    <dataField name="Sum of Other_Race" fld="37" baseField="0" baseItem="3731560"/>
    <dataField name="Sum of a_Other_Race" fld="82" baseField="0" baseItem="3731560"/>
    <dataField name="Sum of Native_American_Eski" fld="36" baseField="0" baseItem="3731560"/>
    <dataField name="Sum of a_Native_American_Es" fld="85" baseField="0" baseItem="3731560"/>
    <dataField name="Sum of Hispanic" fld="35" baseField="0" baseItem="0" numFmtId="3"/>
    <dataField name="Sum of a_Hispanic" fld="81" baseField="0" baseItem="0" numFmtId="3"/>
    <dataField name="Sum of White" fld="39" baseField="0" baseItem="0" numFmtId="3"/>
    <dataField name="Sum of a_White" fld="84" baseField="0" baseItem="0" numFmtId="3"/>
    <dataField name="Sum of Hospice_Care" fld="44" baseField="0" baseItem="3731560"/>
    <dataField name="Sum of a_Hospice_Care" fld="96" baseField="0" baseItem="3731560"/>
    <dataField name="Sum of Psychiatric_Care" fld="48" baseField="0" baseItem="3731560"/>
    <dataField name="Sum of a_Psychiatric_Care" fld="97" baseField="0" baseItem="3731560"/>
    <dataField name="Sum of Not_Defined_Elsewhere" fld="54" baseField="0" baseItem="3731560"/>
    <dataField name="Sum of a_Not_Defined_Elsewhere" fld="100" baseField="0" baseItem="3731560"/>
    <dataField name="Sum of Prison_Jail" fld="47" baseField="0" baseItem="3731560"/>
    <dataField name="Sum of a_Prison_Jail" fld="95" baseField="0" baseItem="3731560"/>
    <dataField name="Sum of Childrens_or_Cancer" fld="52" baseField="0" baseItem="442008952"/>
    <dataField name="Sum of a_Childrens_or_Cancer" fld="98" baseField="0" baseItem="126640960"/>
    <dataField name="Sum of CAH" fld="53" baseField="0" baseItem="445199648"/>
    <dataField name="Sum of a_CAH" fld="99" baseField="0" baseItem="126643776"/>
    <dataField name="Sum of Residential_Care" fld="49" baseField="0" baseItem="442009304"/>
    <dataField name="Sum of a_Residential_Care" fld="92" baseField="0" baseItem="126644304"/>
    <dataField name="Sum of Rehab" fld="45" baseField="0" baseItem="442008776"/>
    <dataField name="Sum of a_Rehab" fld="90" baseField="0" baseItem="445198240"/>
    <dataField name="Sum of SN_IC_Care" fld="51" baseField="0" baseItem="3731560"/>
    <dataField name="Sum of a_SN_IC_Care" fld="94" baseField="0" baseItem="3731560"/>
    <dataField name="Sum of Home_Health_Service" fld="43" baseField="0" baseItem="3731560"/>
    <dataField name="Sum of a_Home_Health_Service" fld="89" baseField="0" baseItem="3731560"/>
    <dataField name="Sum of Against_Medical_Advice" fld="41" baseField="0" baseItem="3731560"/>
    <dataField name="Sum of a_Against_Medical_Advice" fld="87" baseField="0" baseItem="3731560"/>
    <dataField name="Sum of Disaster_Care_Site" fld="46" baseField="0" baseItem="447257728"/>
    <dataField name="Sum of a_Disaster_Care_Site" fld="91" baseField="0" baseItem="126641136"/>
    <dataField name="Sum of Died" fld="42" baseField="0" baseItem="0" numFmtId="3"/>
    <dataField name="Sum of a_Died" fld="88" baseField="0" baseItem="0" numFmtId="3"/>
    <dataField name="Sum of Routine" fld="50" baseField="0" baseItem="3731560"/>
    <dataField name="Sum of a_Routine" fld="93" baseField="0" baseItem="3731560"/>
    <dataField name="Sum of Acute_Care" fld="40" baseField="0" baseItem="3731560"/>
    <dataField name="Sum of a_Acute_Care" fld="86" baseField="0" baseItem="3731560"/>
    <dataField name="Sum of Invalid_Blank_Disp" fld="114" baseField="0" baseItem="439723504"/>
    <dataField name="Sum of a_Invalid_Blank_Disp" fld="116" baseField="0" baseItem="448330200"/>
    <dataField name="Sum of Other_Disp" fld="115" baseField="0" baseItem="448328088"/>
    <dataField name="Sum of a_Other_Disp" fld="117" baseField="0" baseItem="481033008"/>
    <dataField name="Sum of Medicare" fld="56" baseField="0" baseItem="0" numFmtId="3"/>
    <dataField name="Sum of a_Medicare" fld="102" baseField="0" baseItem="0" numFmtId="3"/>
    <dataField name="Sum of Other_Payer" fld="57" baseField="0" baseItem="3731560"/>
    <dataField name="Sum of SelfPay" fld="59" baseField="0" baseItem="2876032"/>
    <dataField name="Sum of a_SelfPay" fld="105" baseField="0" baseItem="2876032"/>
    <dataField name="Sum of Unknown_Payer" fld="60" baseField="0" baseItem="2876032"/>
    <dataField name="Sum of a_Unknown_Payer" fld="106" baseField="0" baseItem="2876032"/>
    <dataField name="Sum of a_Other_Payer" fld="103" baseField="0" baseItem="3731560"/>
    <dataField name="Sum of Private_Coverage" fld="58" baseField="0" baseItem="3731560"/>
    <dataField name="Sum of a_Private_Coverage" fld="104" baseField="0" baseItem="3731560"/>
    <dataField name="Sum of Medi_Cal" fld="55" baseField="0" baseItem="3731560"/>
    <dataField name="Sum of a_Medi_Cal" fld="101" baseField="0" baseItem="3731560"/>
    <dataField name="Sum of All_Other" fld="62" baseField="0" baseItem="2945672"/>
    <dataField name="Sum of English" fld="63" baseField="0" baseItem="2945672"/>
    <dataField name="Sum of Spanish" fld="64" baseField="0" baseItem="2945672"/>
    <dataField name="Sum of a_All_Other" fld="108" baseField="0" baseItem="2945672"/>
    <dataField name="Sum of a_English" fld="109" baseField="0" baseItem="2945672"/>
    <dataField name="Sum of a_Spanish" fld="110" baseField="0" baseItem="2945672"/>
  </dataFields>
  <formats count="14">
    <format dxfId="13">
      <pivotArea outline="0" collapsedLevelsAreSubtotals="1" fieldPosition="0">
        <references count="1">
          <reference field="4294967294" count="1" selected="0">
            <x v="6"/>
          </reference>
        </references>
      </pivotArea>
    </format>
    <format dxfId="12">
      <pivotArea outline="0" collapsedLevelsAreSubtotals="1" fieldPosition="0">
        <references count="1">
          <reference field="4294967294" count="1" selected="0">
            <x v="6"/>
          </reference>
        </references>
      </pivotArea>
    </format>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outline="0" fieldPosition="0">
        <references count="1">
          <reference field="429496729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
      <pivotArea dataOnly="0" labelOnly="1" outline="0" fieldPosition="0">
        <references count="1">
          <reference field="4294967294" count="46">
            <x v="50"/>
            <x v="51"/>
            <x v="52"/>
            <x v="53"/>
            <x v="54"/>
            <x v="55"/>
            <x v="56"/>
            <x v="57"/>
            <x v="58"/>
            <x v="59"/>
            <x v="60"/>
            <x v="61"/>
            <x v="62"/>
            <x v="63"/>
            <x v="64"/>
            <x v="65"/>
            <x v="66"/>
            <x v="67"/>
            <x v="68"/>
            <x v="69"/>
            <x v="70"/>
            <x v="71"/>
            <x v="72"/>
            <x v="73"/>
            <x v="74"/>
            <x v="75"/>
            <x v="76"/>
            <x v="77"/>
            <x v="78"/>
            <x v="79"/>
            <x v="80"/>
            <x v="81"/>
            <x v="82"/>
            <x v="83"/>
            <x v="84"/>
            <x v="85"/>
            <x v="86"/>
            <x v="87"/>
            <x v="88"/>
            <x v="89"/>
            <x v="90"/>
            <x v="91"/>
            <x v="92"/>
            <x v="93"/>
            <x v="94"/>
            <x v="95"/>
          </reference>
        </references>
      </pivotArea>
    </format>
    <format dxfId="6">
      <pivotArea dataOnly="0" labelOnly="1" grandCol="1" outline="0" axis="axisCol"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outline="0" fieldPosition="0">
        <references count="1">
          <reference field="429496729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
      <pivotArea dataOnly="0" labelOnly="1" outline="0" fieldPosition="0">
        <references count="1">
          <reference field="4294967294" count="46">
            <x v="50"/>
            <x v="51"/>
            <x v="52"/>
            <x v="53"/>
            <x v="54"/>
            <x v="55"/>
            <x v="56"/>
            <x v="57"/>
            <x v="58"/>
            <x v="59"/>
            <x v="60"/>
            <x v="61"/>
            <x v="62"/>
            <x v="63"/>
            <x v="64"/>
            <x v="65"/>
            <x v="66"/>
            <x v="67"/>
            <x v="68"/>
            <x v="69"/>
            <x v="70"/>
            <x v="71"/>
            <x v="72"/>
            <x v="73"/>
            <x v="74"/>
            <x v="75"/>
            <x v="76"/>
            <x v="77"/>
            <x v="78"/>
            <x v="79"/>
            <x v="80"/>
            <x v="81"/>
            <x v="82"/>
            <x v="83"/>
            <x v="84"/>
            <x v="85"/>
            <x v="86"/>
            <x v="87"/>
            <x v="88"/>
            <x v="89"/>
            <x v="90"/>
            <x v="91"/>
            <x v="92"/>
            <x v="93"/>
            <x v="94"/>
            <x v="95"/>
          </reference>
        </references>
      </pivotArea>
    </format>
    <format dxfId="0">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oshpd.ca.gov/HID/MIRCal/ManualsGuid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2546"/>
  <sheetViews>
    <sheetView showGridLines="0" tabSelected="1" zoomScaleNormal="100" workbookViewId="0">
      <selection activeCell="D17" sqref="D17"/>
    </sheetView>
  </sheetViews>
  <sheetFormatPr defaultColWidth="8.88671875" defaultRowHeight="13.8" x14ac:dyDescent="0.25"/>
  <cols>
    <col min="1" max="1" width="33.109375" style="42" customWidth="1"/>
    <col min="2" max="2" width="13.77734375" style="67" bestFit="1" customWidth="1"/>
    <col min="3" max="3" width="11.21875" style="42" bestFit="1" customWidth="1"/>
    <col min="4" max="4" width="12.6640625" style="67" bestFit="1" customWidth="1"/>
    <col min="5" max="5" width="9" style="42" bestFit="1" customWidth="1"/>
    <col min="6" max="6" width="13.77734375" style="67" bestFit="1" customWidth="1"/>
    <col min="7" max="7" width="9" style="42" bestFit="1" customWidth="1"/>
    <col min="8" max="8" width="4.6640625" style="42" customWidth="1"/>
    <col min="9" max="9" width="34" style="42" bestFit="1" customWidth="1"/>
    <col min="10" max="10" width="13.6640625" style="42" bestFit="1" customWidth="1"/>
    <col min="11" max="11" width="8.88671875" style="42"/>
    <col min="12" max="12" width="12.5546875" style="42" bestFit="1" customWidth="1"/>
    <col min="13" max="13" width="8.88671875" style="42"/>
    <col min="14" max="14" width="13.6640625" style="42" bestFit="1" customWidth="1"/>
    <col min="15" max="16384" width="8.88671875" style="42"/>
  </cols>
  <sheetData>
    <row r="1" spans="1:15" ht="9" customHeight="1" x14ac:dyDescent="0.25"/>
    <row r="2" spans="1:15" ht="15.6" x14ac:dyDescent="0.3">
      <c r="A2" s="84" t="s">
        <v>2214</v>
      </c>
      <c r="B2" s="84"/>
      <c r="C2" s="84"/>
      <c r="D2" s="84"/>
      <c r="E2" s="84"/>
      <c r="F2" s="84"/>
      <c r="G2" s="84"/>
      <c r="H2" s="84"/>
      <c r="I2" s="43"/>
      <c r="J2" s="43"/>
      <c r="K2" s="43"/>
      <c r="L2" s="43"/>
      <c r="M2" s="43"/>
      <c r="N2" s="43"/>
      <c r="O2" s="43"/>
    </row>
    <row r="4" spans="1:15" x14ac:dyDescent="0.25">
      <c r="A4" s="58" t="s">
        <v>1529</v>
      </c>
    </row>
    <row r="6" spans="1:15" x14ac:dyDescent="0.25">
      <c r="A6" s="1" t="s">
        <v>1530</v>
      </c>
      <c r="B6" s="77" t="str">
        <f>IF($H$19=1,Pivot!B12,"")</f>
        <v/>
      </c>
    </row>
    <row r="7" spans="1:15" x14ac:dyDescent="0.25">
      <c r="A7" s="1" t="s">
        <v>1531</v>
      </c>
      <c r="B7" s="67" t="str">
        <f>IF($H$19=1,VLOOKUP($B$6,Data!$A$1:$GG$334,3,FALSE),IF(Pivot!B1="(All)","",Pivot!B1))</f>
        <v/>
      </c>
    </row>
    <row r="8" spans="1:15" x14ac:dyDescent="0.25">
      <c r="A8" s="1" t="s">
        <v>1532</v>
      </c>
      <c r="B8" s="67" t="str">
        <f>IF($H$19=1,VLOOKUP($B$6,Data!$A$1:$GG$334,4,FALSE),IF(Pivot!B1="(All)","",Pivot!B1))</f>
        <v/>
      </c>
    </row>
    <row r="9" spans="1:15" x14ac:dyDescent="0.25">
      <c r="A9" s="1" t="s">
        <v>1533</v>
      </c>
      <c r="B9" s="67" t="str">
        <f>IF($H$19=1,VLOOKUP($B$6,Data!$A$1:$GG$334,7,FALSE),IF(Pivot!B1="(All)","",Pivot!B1))</f>
        <v/>
      </c>
    </row>
    <row r="10" spans="1:15" x14ac:dyDescent="0.25">
      <c r="A10" s="1" t="s">
        <v>1534</v>
      </c>
      <c r="B10" s="67" t="str">
        <f>IF($H$19=1,VLOOKUP($B$6,Data!$A$1:$GG$334,8,FALSE),IF(Pivot!B1="(All)","",Pivot!B1))</f>
        <v/>
      </c>
      <c r="H10" s="44" t="s">
        <v>2215</v>
      </c>
    </row>
    <row r="11" spans="1:15" x14ac:dyDescent="0.25">
      <c r="A11" s="1" t="s">
        <v>1535</v>
      </c>
      <c r="B11" s="67" t="str">
        <f>IF($H$19=1,VLOOKUP($B$6,Data!$A$1:$GG$334,9,FALSE),IF(Pivot!B1="(All)","",Pivot!B1))</f>
        <v/>
      </c>
      <c r="H11" s="44" t="s">
        <v>2216</v>
      </c>
    </row>
    <row r="12" spans="1:15" x14ac:dyDescent="0.25">
      <c r="A12" s="1" t="s">
        <v>1540</v>
      </c>
      <c r="B12" s="67" t="str">
        <f>IF($H$19=1,VLOOKUP($B$6,Data!$A$1:$GG$334,19,FALSE),IF(Pivot!B1="(All)","",Pivot!B1))</f>
        <v/>
      </c>
    </row>
    <row r="13" spans="1:15" x14ac:dyDescent="0.25">
      <c r="A13" s="1" t="s">
        <v>1536</v>
      </c>
      <c r="B13" s="67" t="str">
        <f>IF($H$19=1,VLOOKUP($B$6,Data!$A$1:$GG$334,5,FALSE),IF(Pivot!B8="(All)","",Pivot!B1))</f>
        <v/>
      </c>
    </row>
    <row r="14" spans="1:15" x14ac:dyDescent="0.25">
      <c r="A14" s="1" t="s">
        <v>83</v>
      </c>
      <c r="B14" s="67" t="str">
        <f>IF($H$19=1,VLOOKUP($B$6,Data!$A$1:$GG$334,18,FALSE),IF(Pivot!B1="(All)"," ",Pivot!B1))</f>
        <v xml:space="preserve"> </v>
      </c>
    </row>
    <row r="15" spans="1:15" x14ac:dyDescent="0.25">
      <c r="A15" s="1" t="s">
        <v>120</v>
      </c>
      <c r="B15" s="67" t="str">
        <f>IF($H$19=1,VLOOKUP($B$6,Data!$A$1:$GG$334,17,FALSE),IF(Pivot!B1="(All)","",Pivot!B1))</f>
        <v/>
      </c>
    </row>
    <row r="16" spans="1:15" x14ac:dyDescent="0.25">
      <c r="A16" s="1" t="s">
        <v>1537</v>
      </c>
      <c r="B16" s="67" t="str">
        <f>IF($H$19=1,VLOOKUP($B$6,Data!$A$1:$GG$334,10,FALSE),IF(Pivot!B1="(All)","",""))</f>
        <v/>
      </c>
    </row>
    <row r="17" spans="1:8" x14ac:dyDescent="0.25">
      <c r="A17" s="1" t="s">
        <v>2136</v>
      </c>
      <c r="B17" s="68" t="str">
        <f>IF($H$19=1,VLOOKUP($B$6,Data!$A$1:$GG$334,114,FALSE),IF(Pivot!B2="(All)","",""))</f>
        <v/>
      </c>
    </row>
    <row r="18" spans="1:8" x14ac:dyDescent="0.25">
      <c r="A18" s="1" t="s">
        <v>1538</v>
      </c>
      <c r="B18" s="68" t="str">
        <f>IF($H$19=1,VLOOKUP($B$6,Data!$A$1:$GG$334,14,FALSE),IF(Pivot!B1="(All)","",""))</f>
        <v/>
      </c>
    </row>
    <row r="19" spans="1:8" x14ac:dyDescent="0.25">
      <c r="A19" s="1" t="s">
        <v>1539</v>
      </c>
      <c r="B19" s="68" t="str">
        <f>IF($H$19=1,VLOOKUP($B$6,Data!$A$1:$GG$334,13,FALSE),IF(Pivot!B1="(All)","",""))</f>
        <v/>
      </c>
      <c r="F19" s="67" t="s">
        <v>1652</v>
      </c>
      <c r="H19" s="42">
        <f>GETPIVOTDATA("Count of oshpd_id",Pivot!$A$4)</f>
        <v>328</v>
      </c>
    </row>
    <row r="20" spans="1:8" x14ac:dyDescent="0.25">
      <c r="A20" s="1" t="s">
        <v>2118</v>
      </c>
      <c r="B20" s="67" t="str">
        <f>IF($H$19=1,VLOOKUP($B$6,Data!$A$1:$GG$334,16,FALSE),IF(Pivot!B1="(All)","",""))</f>
        <v/>
      </c>
    </row>
    <row r="21" spans="1:8" x14ac:dyDescent="0.25">
      <c r="A21" s="1" t="s">
        <v>2119</v>
      </c>
      <c r="B21" s="86" t="str">
        <f>IF($H$19=1,VLOOKUP($B$6,Data!$A$1:$GG$330,15,FALSE),IF(Pivot!B1="(All)","",""))</f>
        <v/>
      </c>
      <c r="C21" s="86"/>
      <c r="D21" s="86"/>
      <c r="E21" s="86"/>
      <c r="F21" s="86"/>
      <c r="G21" s="86"/>
      <c r="H21" s="86"/>
    </row>
    <row r="22" spans="1:8" x14ac:dyDescent="0.25">
      <c r="B22" s="86"/>
      <c r="C22" s="86"/>
      <c r="D22" s="86"/>
      <c r="E22" s="86"/>
      <c r="F22" s="86"/>
      <c r="G22" s="86"/>
      <c r="H22" s="86"/>
    </row>
    <row r="23" spans="1:8" x14ac:dyDescent="0.25">
      <c r="A23" s="83" t="s">
        <v>1543</v>
      </c>
      <c r="B23" s="83"/>
      <c r="C23" s="83"/>
      <c r="D23" s="83"/>
      <c r="E23" s="83"/>
      <c r="F23" s="83"/>
      <c r="G23" s="83"/>
      <c r="H23" s="83"/>
    </row>
    <row r="24" spans="1:8" x14ac:dyDescent="0.25">
      <c r="B24" s="85" t="s">
        <v>33</v>
      </c>
      <c r="C24" s="85"/>
      <c r="D24" s="85" t="s">
        <v>1541</v>
      </c>
      <c r="E24" s="85"/>
      <c r="F24" s="85" t="s">
        <v>1542</v>
      </c>
      <c r="G24" s="85"/>
    </row>
    <row r="25" spans="1:8" x14ac:dyDescent="0.25">
      <c r="A25" s="45" t="s">
        <v>31</v>
      </c>
      <c r="B25" s="69">
        <f>GETPIVOTDATA("Sum of Medicare",Pivot!$A$4)</f>
        <v>2116800</v>
      </c>
      <c r="C25" s="46">
        <f t="shared" ref="C25:C30" si="0">B25/$F$31</f>
        <v>0.14851516408020998</v>
      </c>
      <c r="D25" s="69">
        <f>GETPIVOTDATA("Sum of a_Medicare",Pivot!$A$4)</f>
        <v>898864</v>
      </c>
      <c r="E25" s="46">
        <f t="shared" ref="E25:E30" si="1">D25/$F$31</f>
        <v>6.3064500399562476E-2</v>
      </c>
      <c r="F25" s="69">
        <f>B25+D25</f>
        <v>3015664</v>
      </c>
      <c r="G25" s="46">
        <f t="shared" ref="G25:G30" si="2">F25/$F$31</f>
        <v>0.21157966447977244</v>
      </c>
    </row>
    <row r="26" spans="1:8" x14ac:dyDescent="0.25">
      <c r="A26" s="45" t="s">
        <v>30</v>
      </c>
      <c r="B26" s="69">
        <f>GETPIVOTDATA("Sum of Medi_Cal",Pivot!$A$4)</f>
        <v>5313454</v>
      </c>
      <c r="C26" s="46">
        <f t="shared" si="0"/>
        <v>0.37279312766565004</v>
      </c>
      <c r="D26" s="69">
        <f>GETPIVOTDATA("Sum of a_Medi_Cal",Pivot!$A$4)</f>
        <v>543149</v>
      </c>
      <c r="E26" s="46">
        <f t="shared" si="1"/>
        <v>3.8107455997260946E-2</v>
      </c>
      <c r="F26" s="69">
        <f t="shared" ref="F26:F30" si="3">B26+D26</f>
        <v>5856603</v>
      </c>
      <c r="G26" s="46">
        <f t="shared" si="2"/>
        <v>0.41090058366291099</v>
      </c>
    </row>
    <row r="27" spans="1:8" x14ac:dyDescent="0.25">
      <c r="A27" s="45" t="s">
        <v>32</v>
      </c>
      <c r="B27" s="69">
        <f>GETPIVOTDATA("Sum of Private_Coverage",Pivot!$A$4)</f>
        <v>3432622</v>
      </c>
      <c r="C27" s="46">
        <f t="shared" si="0"/>
        <v>0.2408335315359687</v>
      </c>
      <c r="D27" s="69">
        <f>GETPIVOTDATA("Sum of a_Private_Coverage",Pivot!$A$4)</f>
        <v>359812</v>
      </c>
      <c r="E27" s="46">
        <f t="shared" si="1"/>
        <v>2.524449084373985E-2</v>
      </c>
      <c r="F27" s="69">
        <f t="shared" si="3"/>
        <v>3792434</v>
      </c>
      <c r="G27" s="46">
        <f t="shared" si="2"/>
        <v>0.26607802237970857</v>
      </c>
    </row>
    <row r="28" spans="1:8" x14ac:dyDescent="0.25">
      <c r="A28" s="45" t="s">
        <v>2149</v>
      </c>
      <c r="B28" s="69">
        <f>GETPIVOTDATA("Sum of SelfPay",Pivot!$A$10)</f>
        <v>1052663</v>
      </c>
      <c r="C28" s="46">
        <f t="shared" si="0"/>
        <v>7.3855072829821469E-2</v>
      </c>
      <c r="D28" s="69">
        <f>GETPIVOTDATA("Sum of a_SelfPay",Pivot!$A$10)</f>
        <v>41559</v>
      </c>
      <c r="E28" s="46">
        <f t="shared" si="1"/>
        <v>2.9157887868525353E-3</v>
      </c>
      <c r="F28" s="69">
        <f t="shared" si="3"/>
        <v>1094222</v>
      </c>
      <c r="G28" s="46">
        <f t="shared" si="2"/>
        <v>7.6770861616673999E-2</v>
      </c>
    </row>
    <row r="29" spans="1:8" x14ac:dyDescent="0.25">
      <c r="A29" s="45" t="s">
        <v>16</v>
      </c>
      <c r="B29" s="69">
        <f>GETPIVOTDATA("Sum of Other_Payer",Pivot!$A$10)</f>
        <v>447627</v>
      </c>
      <c r="C29" s="46">
        <f t="shared" si="0"/>
        <v>3.1405610993826605E-2</v>
      </c>
      <c r="D29" s="69">
        <f>GETPIVOTDATA("Sum of a_Other_Payer",Pivot!$A$10)</f>
        <v>41677</v>
      </c>
      <c r="E29" s="46">
        <f t="shared" si="1"/>
        <v>2.9240676933913979E-3</v>
      </c>
      <c r="F29" s="69">
        <f t="shared" ref="F29" si="4">B29+D29</f>
        <v>489304</v>
      </c>
      <c r="G29" s="46">
        <f t="shared" si="2"/>
        <v>3.4329678687218E-2</v>
      </c>
    </row>
    <row r="30" spans="1:8" x14ac:dyDescent="0.25">
      <c r="A30" s="45" t="s">
        <v>1621</v>
      </c>
      <c r="B30" s="70">
        <f>GETPIVOTDATA("Sum of Unknown_Payer",Pivot!$A$10)</f>
        <v>4550</v>
      </c>
      <c r="C30" s="47">
        <f t="shared" si="0"/>
        <v>3.1922902332055716E-4</v>
      </c>
      <c r="D30" s="70">
        <f>GETPIVOTDATA("Sum of a_Unknown_Payer",Pivot!$A$10)</f>
        <v>313</v>
      </c>
      <c r="E30" s="47">
        <f t="shared" si="1"/>
        <v>2.1960150395458108E-5</v>
      </c>
      <c r="F30" s="70">
        <f t="shared" si="3"/>
        <v>4863</v>
      </c>
      <c r="G30" s="47">
        <f t="shared" si="2"/>
        <v>3.4118917371601525E-4</v>
      </c>
    </row>
    <row r="31" spans="1:8" x14ac:dyDescent="0.25">
      <c r="B31" s="69">
        <f>SUM(B25:B30)</f>
        <v>12367716</v>
      </c>
      <c r="C31" s="46">
        <f>SUM(C25:C30)</f>
        <v>0.86772173612879733</v>
      </c>
      <c r="D31" s="69">
        <f>SUM(D25:D30)</f>
        <v>1885374</v>
      </c>
      <c r="E31" s="46">
        <f t="shared" ref="E31:G31" si="5">SUM(E25:E30)</f>
        <v>0.13227826387120267</v>
      </c>
      <c r="F31" s="69">
        <f t="shared" si="5"/>
        <v>14253090</v>
      </c>
      <c r="G31" s="46">
        <f t="shared" si="5"/>
        <v>1</v>
      </c>
    </row>
    <row r="32" spans="1:8" x14ac:dyDescent="0.25">
      <c r="B32" s="69"/>
      <c r="C32" s="46"/>
      <c r="D32" s="69"/>
      <c r="E32" s="46"/>
      <c r="F32" s="69"/>
      <c r="G32" s="46"/>
    </row>
    <row r="33" spans="2:7" x14ac:dyDescent="0.25">
      <c r="B33" s="69"/>
      <c r="C33" s="46"/>
      <c r="D33" s="69"/>
      <c r="E33" s="46"/>
      <c r="F33" s="69"/>
      <c r="G33" s="46"/>
    </row>
    <row r="34" spans="2:7" x14ac:dyDescent="0.25">
      <c r="B34" s="69"/>
      <c r="C34" s="46"/>
      <c r="D34" s="69"/>
      <c r="E34" s="46"/>
      <c r="F34" s="69"/>
      <c r="G34" s="46"/>
    </row>
    <row r="35" spans="2:7" x14ac:dyDescent="0.25">
      <c r="B35" s="69"/>
      <c r="C35" s="46"/>
      <c r="D35" s="69"/>
      <c r="E35" s="46"/>
      <c r="F35" s="69"/>
      <c r="G35" s="46"/>
    </row>
    <row r="36" spans="2:7" x14ac:dyDescent="0.25">
      <c r="B36" s="69"/>
      <c r="C36" s="46"/>
      <c r="D36" s="69"/>
      <c r="E36" s="46"/>
      <c r="F36" s="69"/>
      <c r="G36" s="46"/>
    </row>
    <row r="37" spans="2:7" x14ac:dyDescent="0.25">
      <c r="B37" s="69"/>
      <c r="C37" s="46"/>
      <c r="D37" s="69"/>
      <c r="E37" s="46"/>
      <c r="F37" s="69"/>
      <c r="G37" s="46"/>
    </row>
    <row r="38" spans="2:7" x14ac:dyDescent="0.25">
      <c r="B38" s="69"/>
      <c r="C38" s="46"/>
      <c r="D38" s="69"/>
      <c r="E38" s="46"/>
      <c r="F38" s="69"/>
      <c r="G38" s="46"/>
    </row>
    <row r="39" spans="2:7" x14ac:dyDescent="0.25">
      <c r="B39" s="69"/>
      <c r="C39" s="46"/>
      <c r="D39" s="69"/>
      <c r="E39" s="46"/>
      <c r="F39" s="69"/>
      <c r="G39" s="46"/>
    </row>
    <row r="40" spans="2:7" x14ac:dyDescent="0.25">
      <c r="B40" s="69"/>
      <c r="C40" s="46"/>
      <c r="D40" s="69"/>
      <c r="E40" s="46"/>
      <c r="F40" s="69"/>
      <c r="G40" s="46"/>
    </row>
    <row r="41" spans="2:7" x14ac:dyDescent="0.25">
      <c r="B41" s="69"/>
      <c r="C41" s="46"/>
      <c r="D41" s="69"/>
      <c r="E41" s="46"/>
      <c r="F41" s="69"/>
      <c r="G41" s="46"/>
    </row>
    <row r="42" spans="2:7" x14ac:dyDescent="0.25">
      <c r="B42" s="69"/>
      <c r="C42" s="46"/>
      <c r="D42" s="69"/>
      <c r="E42" s="46"/>
      <c r="F42" s="69"/>
      <c r="G42" s="46"/>
    </row>
    <row r="43" spans="2:7" x14ac:dyDescent="0.25">
      <c r="B43" s="69"/>
      <c r="C43" s="46"/>
      <c r="D43" s="69"/>
      <c r="E43" s="46"/>
      <c r="F43" s="69"/>
      <c r="G43" s="46"/>
    </row>
    <row r="44" spans="2:7" x14ac:dyDescent="0.25">
      <c r="B44" s="69"/>
      <c r="C44" s="46"/>
      <c r="D44" s="69"/>
      <c r="E44" s="46"/>
      <c r="F44" s="69"/>
      <c r="G44" s="46"/>
    </row>
    <row r="45" spans="2:7" x14ac:dyDescent="0.25">
      <c r="B45" s="69"/>
      <c r="C45" s="46"/>
      <c r="D45" s="69"/>
      <c r="E45" s="46"/>
      <c r="F45" s="69"/>
      <c r="G45" s="46"/>
    </row>
    <row r="46" spans="2:7" x14ac:dyDescent="0.25">
      <c r="B46" s="69"/>
      <c r="C46" s="46"/>
      <c r="D46" s="69"/>
      <c r="E46" s="46"/>
      <c r="F46" s="69"/>
      <c r="G46" s="46"/>
    </row>
    <row r="47" spans="2:7" x14ac:dyDescent="0.25">
      <c r="B47" s="69"/>
      <c r="C47" s="46"/>
      <c r="D47" s="69"/>
      <c r="E47" s="46"/>
      <c r="F47" s="69"/>
      <c r="G47" s="46"/>
    </row>
    <row r="48" spans="2:7" x14ac:dyDescent="0.25">
      <c r="B48" s="69"/>
      <c r="C48" s="46"/>
      <c r="D48" s="69"/>
      <c r="E48" s="46"/>
      <c r="F48" s="69"/>
      <c r="G48" s="46"/>
    </row>
    <row r="49" spans="1:8" x14ac:dyDescent="0.25">
      <c r="B49" s="69"/>
      <c r="C49" s="46"/>
      <c r="D49" s="69"/>
      <c r="E49" s="46"/>
      <c r="F49" s="69"/>
      <c r="G49" s="46"/>
    </row>
    <row r="50" spans="1:8" x14ac:dyDescent="0.25">
      <c r="B50" s="69"/>
      <c r="C50" s="46"/>
      <c r="D50" s="69"/>
      <c r="E50" s="46"/>
      <c r="F50" s="69"/>
      <c r="G50" s="46"/>
    </row>
    <row r="51" spans="1:8" x14ac:dyDescent="0.25">
      <c r="A51" s="83" t="s">
        <v>1608</v>
      </c>
      <c r="B51" s="83"/>
      <c r="C51" s="83"/>
      <c r="D51" s="83"/>
      <c r="E51" s="83"/>
      <c r="F51" s="83"/>
      <c r="G51" s="83"/>
      <c r="H51" s="83"/>
    </row>
    <row r="52" spans="1:8" x14ac:dyDescent="0.25">
      <c r="B52" s="85" t="s">
        <v>33</v>
      </c>
      <c r="C52" s="85"/>
      <c r="D52" s="85" t="s">
        <v>1541</v>
      </c>
      <c r="E52" s="85"/>
      <c r="F52" s="85" t="s">
        <v>1542</v>
      </c>
      <c r="G52" s="85"/>
    </row>
    <row r="53" spans="1:8" x14ac:dyDescent="0.25">
      <c r="A53" s="45" t="s">
        <v>26</v>
      </c>
      <c r="B53" s="69">
        <f>GETPIVOTDATA("Sum of Routine",Pivot!$A$10)</f>
        <v>11516472</v>
      </c>
      <c r="C53" s="46">
        <f t="shared" ref="C53:C69" si="6">B53/$F$70</f>
        <v>0.80799826563924038</v>
      </c>
      <c r="D53" s="69">
        <f>GETPIVOTDATA("Sum of a_Routine",Pivot!$A$4)</f>
        <v>1149522</v>
      </c>
      <c r="E53" s="46">
        <f t="shared" ref="E53:E69" si="7">D53/$F$70</f>
        <v>8.0650722053954613E-2</v>
      </c>
      <c r="F53" s="69">
        <f t="shared" ref="F53:F69" si="8">B53+D53</f>
        <v>12665994</v>
      </c>
      <c r="G53" s="46">
        <f t="shared" ref="G53:G69" si="9">F53/$F$70</f>
        <v>0.888648987693195</v>
      </c>
    </row>
    <row r="54" spans="1:8" x14ac:dyDescent="0.25">
      <c r="A54" s="45" t="s">
        <v>21</v>
      </c>
      <c r="B54" s="69">
        <f>GETPIVOTDATA("Sum of Home_Health_Service",Pivot!$A$10)</f>
        <v>56446</v>
      </c>
      <c r="C54" s="46">
        <f t="shared" si="6"/>
        <v>3.9602640550224551E-3</v>
      </c>
      <c r="D54" s="69">
        <f>GETPIVOTDATA("Sum of a_Home_Health_Service",Pivot!$A$4)</f>
        <v>221180</v>
      </c>
      <c r="E54" s="46">
        <f t="shared" si="7"/>
        <v>1.5518038544624359E-2</v>
      </c>
      <c r="F54" s="69">
        <f t="shared" si="8"/>
        <v>277626</v>
      </c>
      <c r="G54" s="46">
        <f t="shared" si="9"/>
        <v>1.9478302599646814E-2</v>
      </c>
    </row>
    <row r="55" spans="1:8" x14ac:dyDescent="0.25">
      <c r="A55" s="45" t="s">
        <v>18</v>
      </c>
      <c r="B55" s="69">
        <f>GETPIVOTDATA("Sum of Acute_Care",Pivot!$A$4)</f>
        <v>164507</v>
      </c>
      <c r="C55" s="46">
        <f t="shared" si="6"/>
        <v>1.154184811854833E-2</v>
      </c>
      <c r="D55" s="69">
        <f>GETPIVOTDATA("Sum of a_Acute_Care",Pivot!$A$4)</f>
        <v>54086</v>
      </c>
      <c r="E55" s="46">
        <f t="shared" si="7"/>
        <v>3.7946859242451989E-3</v>
      </c>
      <c r="F55" s="69">
        <f t="shared" si="8"/>
        <v>218593</v>
      </c>
      <c r="G55" s="46">
        <f t="shared" si="9"/>
        <v>1.5336534042793528E-2</v>
      </c>
    </row>
    <row r="56" spans="1:8" x14ac:dyDescent="0.25">
      <c r="A56" s="45" t="s">
        <v>2125</v>
      </c>
      <c r="B56" s="69">
        <f>GETPIVOTDATA("Sum of SN_IC_Care",Pivot!$A$4)</f>
        <v>50268</v>
      </c>
      <c r="C56" s="46">
        <f t="shared" si="6"/>
        <v>3.5268141855555532E-3</v>
      </c>
      <c r="D56" s="69">
        <f>GETPIVOTDATA("Sum of a_SN_IC_Care",Pivot!$A$4)</f>
        <v>242974</v>
      </c>
      <c r="E56" s="46">
        <f t="shared" si="7"/>
        <v>1.7047110486217376E-2</v>
      </c>
      <c r="F56" s="69">
        <f t="shared" si="8"/>
        <v>293242</v>
      </c>
      <c r="G56" s="46">
        <f t="shared" si="9"/>
        <v>2.0573924671772929E-2</v>
      </c>
    </row>
    <row r="57" spans="1:8" x14ac:dyDescent="0.25">
      <c r="A57" s="45" t="s">
        <v>25</v>
      </c>
      <c r="B57" s="69">
        <f>GETPIVOTDATA("Sum of Residential_Care",Pivot!$A$10)</f>
        <v>6563</v>
      </c>
      <c r="C57" s="46">
        <f t="shared" si="6"/>
        <v>4.6046155605556407E-4</v>
      </c>
      <c r="D57" s="69">
        <f>GETPIVOTDATA("Sum of a_Residential_Care",Pivot!$A$10)</f>
        <v>11292</v>
      </c>
      <c r="E57" s="46">
        <f t="shared" si="7"/>
        <v>7.9224925963422663E-4</v>
      </c>
      <c r="F57" s="69">
        <f t="shared" si="8"/>
        <v>17855</v>
      </c>
      <c r="G57" s="46">
        <f t="shared" si="9"/>
        <v>1.2527108156897909E-3</v>
      </c>
    </row>
    <row r="58" spans="1:8" x14ac:dyDescent="0.25">
      <c r="A58" s="45" t="s">
        <v>23</v>
      </c>
      <c r="B58" s="69">
        <f>GETPIVOTDATA("Sum of Prison_Jail",Pivot!$A$4)</f>
        <v>57579</v>
      </c>
      <c r="C58" s="46">
        <f t="shared" si="6"/>
        <v>4.0397555898405192E-3</v>
      </c>
      <c r="D58" s="69">
        <f>GETPIVOTDATA("Sum of a_Prison_Jail",Pivot!$A$4)</f>
        <v>8083</v>
      </c>
      <c r="E58" s="46">
        <f t="shared" si="7"/>
        <v>5.6710509791210186E-4</v>
      </c>
      <c r="F58" s="69">
        <f t="shared" si="8"/>
        <v>65662</v>
      </c>
      <c r="G58" s="46">
        <f t="shared" si="9"/>
        <v>4.6068606877526204E-3</v>
      </c>
    </row>
    <row r="59" spans="1:8" x14ac:dyDescent="0.25">
      <c r="A59" s="45" t="s">
        <v>19</v>
      </c>
      <c r="B59" s="69">
        <f>GETPIVOTDATA("Sum of Against_Medical_Advice",Pivot!$A$4)</f>
        <v>315335</v>
      </c>
      <c r="C59" s="46">
        <f t="shared" si="6"/>
        <v>2.2123974520612724E-2</v>
      </c>
      <c r="D59" s="69">
        <f>GETPIVOTDATA("Sum of a_Against_Medical_Advice",Pivot!$A$4)</f>
        <v>56443</v>
      </c>
      <c r="E59" s="46">
        <f t="shared" si="7"/>
        <v>3.9600535743477376E-3</v>
      </c>
      <c r="F59" s="69">
        <f t="shared" si="8"/>
        <v>371778</v>
      </c>
      <c r="G59" s="46">
        <f t="shared" si="9"/>
        <v>2.6084028094960462E-2</v>
      </c>
    </row>
    <row r="60" spans="1:8" x14ac:dyDescent="0.25">
      <c r="A60" s="45" t="s">
        <v>27</v>
      </c>
      <c r="B60" s="69">
        <f>GETPIVOTDATA("Sum of Childrens_or_Cancer",Pivot!$A$10)</f>
        <v>23807</v>
      </c>
      <c r="C60" s="46">
        <f t="shared" si="6"/>
        <v>1.6703044743280229E-3</v>
      </c>
      <c r="D60" s="71">
        <f>GETPIVOTDATA("Sum of a_Childrens_or_Cancer",Pivot!$A$10)</f>
        <v>7334</v>
      </c>
      <c r="E60" s="46">
        <f t="shared" si="7"/>
        <v>5.1455508945779478E-4</v>
      </c>
      <c r="F60" s="69">
        <f t="shared" si="8"/>
        <v>31141</v>
      </c>
      <c r="G60" s="46">
        <f t="shared" si="9"/>
        <v>2.1848595637858179E-3</v>
      </c>
    </row>
    <row r="61" spans="1:8" x14ac:dyDescent="0.25">
      <c r="A61" s="45" t="s">
        <v>22</v>
      </c>
      <c r="B61" s="69">
        <f>GETPIVOTDATA("Sum of Hospice_Care",Pivot!$A$4)</f>
        <v>5273</v>
      </c>
      <c r="C61" s="46">
        <f t="shared" si="6"/>
        <v>3.6995486592731821E-4</v>
      </c>
      <c r="D61" s="72">
        <f>GETPIVOTDATA("Sum of a_Hospice_Care",Pivot!$A$4)</f>
        <v>37455</v>
      </c>
      <c r="E61" s="46">
        <f t="shared" si="7"/>
        <v>2.6278512238398833E-3</v>
      </c>
      <c r="F61" s="69">
        <f t="shared" si="8"/>
        <v>42728</v>
      </c>
      <c r="G61" s="46">
        <f t="shared" si="9"/>
        <v>2.9978060897672015E-3</v>
      </c>
    </row>
    <row r="62" spans="1:8" x14ac:dyDescent="0.25">
      <c r="A62" s="45" t="s">
        <v>24</v>
      </c>
      <c r="B62" s="69">
        <f>GETPIVOTDATA("Sum of Psychiatric_Care",Pivot!$A$4)</f>
        <v>95863</v>
      </c>
      <c r="C62" s="46">
        <f t="shared" si="6"/>
        <v>6.7257696401271582E-3</v>
      </c>
      <c r="D62" s="72">
        <f>GETPIVOTDATA("Sum of a_Psychiatric_Care",Pivot!$A$4)</f>
        <v>8918</v>
      </c>
      <c r="E62" s="46">
        <f t="shared" si="7"/>
        <v>6.2568888570829198E-4</v>
      </c>
      <c r="F62" s="69">
        <f t="shared" si="8"/>
        <v>104781</v>
      </c>
      <c r="G62" s="46">
        <f t="shared" si="9"/>
        <v>7.3514585258354507E-3</v>
      </c>
    </row>
    <row r="63" spans="1:8" x14ac:dyDescent="0.25">
      <c r="A63" s="45" t="s">
        <v>28</v>
      </c>
      <c r="B63" s="69">
        <f>GETPIVOTDATA("Sum of CAH",Pivot!$A$10)</f>
        <v>3271</v>
      </c>
      <c r="C63" s="46">
        <f t="shared" si="6"/>
        <v>2.2949409566627306E-4</v>
      </c>
      <c r="D63" s="72">
        <f>GETPIVOTDATA("Sum of a_CAH",Pivot!$A$10)</f>
        <v>330</v>
      </c>
      <c r="E63" s="46">
        <f t="shared" si="7"/>
        <v>2.3152874218853597E-5</v>
      </c>
      <c r="F63" s="69">
        <f t="shared" si="8"/>
        <v>3601</v>
      </c>
      <c r="G63" s="46">
        <f t="shared" si="9"/>
        <v>2.5264696988512667E-4</v>
      </c>
    </row>
    <row r="64" spans="1:8" x14ac:dyDescent="0.25">
      <c r="A64" s="45" t="s">
        <v>20</v>
      </c>
      <c r="B64" s="69">
        <f>GETPIVOTDATA("Sum of Died",Pivot!$A$4)</f>
        <v>16544</v>
      </c>
      <c r="C64" s="46">
        <f t="shared" si="6"/>
        <v>1.160730760838527E-3</v>
      </c>
      <c r="D64" s="69">
        <f>GETPIVOTDATA("Sum of a_Died",Pivot!$A$4)</f>
        <v>59185</v>
      </c>
      <c r="E64" s="46">
        <f t="shared" si="7"/>
        <v>4.1524329110389398E-3</v>
      </c>
      <c r="F64" s="69">
        <f t="shared" si="8"/>
        <v>75729</v>
      </c>
      <c r="G64" s="46">
        <f t="shared" si="9"/>
        <v>5.3131636718774669E-3</v>
      </c>
    </row>
    <row r="65" spans="1:8" x14ac:dyDescent="0.25">
      <c r="A65" s="45" t="s">
        <v>2233</v>
      </c>
      <c r="B65" s="69">
        <f>GETPIVOTDATA("Sum of Rehab",Pivot!$A$10)</f>
        <v>2824</v>
      </c>
      <c r="C65" s="46">
        <f t="shared" si="6"/>
        <v>1.9813247513346228E-4</v>
      </c>
      <c r="D65" s="69">
        <f>GETPIVOTDATA("Sum of a_Rehab",Pivot!$A$10)</f>
        <v>21050</v>
      </c>
      <c r="E65" s="46">
        <f t="shared" si="7"/>
        <v>1.476872734263237E-3</v>
      </c>
      <c r="F65" s="69">
        <f t="shared" si="8"/>
        <v>23874</v>
      </c>
      <c r="G65" s="46">
        <f t="shared" si="9"/>
        <v>1.6750052093966992E-3</v>
      </c>
    </row>
    <row r="66" spans="1:8" x14ac:dyDescent="0.25">
      <c r="A66" s="45" t="s">
        <v>2232</v>
      </c>
      <c r="B66" s="69">
        <f>GETPIVOTDATA("Sum of Disaster_Care_Site",Pivot!$A$10)</f>
        <v>9</v>
      </c>
      <c r="C66" s="46">
        <f t="shared" si="6"/>
        <v>6.3144202415055257E-7</v>
      </c>
      <c r="D66" s="69">
        <f>GETPIVOTDATA("Sum of a_Disaster_Care_Site",Pivot!$A$10)</f>
        <v>15</v>
      </c>
      <c r="E66" s="46">
        <f t="shared" si="7"/>
        <v>1.0524033735842545E-6</v>
      </c>
      <c r="F66" s="69">
        <f t="shared" si="8"/>
        <v>24</v>
      </c>
      <c r="G66" s="46">
        <f t="shared" si="9"/>
        <v>1.6838453977348069E-6</v>
      </c>
    </row>
    <row r="67" spans="1:8" x14ac:dyDescent="0.25">
      <c r="A67" s="45" t="s">
        <v>29</v>
      </c>
      <c r="B67" s="73">
        <f>GETPIVOTDATA("Sum of Not_Defined_Elsewhere",Pivot!$A$4)</f>
        <v>33954</v>
      </c>
      <c r="C67" s="48">
        <f t="shared" si="6"/>
        <v>2.382220276445318E-3</v>
      </c>
      <c r="D67" s="72">
        <f>GETPIVOTDATA("Sum of a_Not_Defined_Elsewhere",Pivot!$A$4)</f>
        <v>3894</v>
      </c>
      <c r="E67" s="48">
        <f t="shared" si="7"/>
        <v>2.7320391578247244E-4</v>
      </c>
      <c r="F67" s="73">
        <f>B67+D67</f>
        <v>37848</v>
      </c>
      <c r="G67" s="48">
        <f t="shared" si="9"/>
        <v>2.6554241922277905E-3</v>
      </c>
    </row>
    <row r="68" spans="1:8" x14ac:dyDescent="0.25">
      <c r="A68" s="45" t="s">
        <v>16</v>
      </c>
      <c r="B68" s="69">
        <f>GETPIVOTDATA("Sum of Other_Disp",Pivot!$A$10)</f>
        <v>13965</v>
      </c>
      <c r="C68" s="46">
        <f t="shared" si="6"/>
        <v>9.7978754080694087E-4</v>
      </c>
      <c r="D68" s="69">
        <f>GETPIVOTDATA("Sum of a_Other_Disp",Pivot!$A$10)</f>
        <v>799</v>
      </c>
      <c r="E68" s="46">
        <f t="shared" si="7"/>
        <v>5.6058019699587946E-5</v>
      </c>
      <c r="F68" s="69">
        <f t="shared" si="8"/>
        <v>14764</v>
      </c>
      <c r="G68" s="46">
        <f t="shared" si="9"/>
        <v>1.0358455605065289E-3</v>
      </c>
    </row>
    <row r="69" spans="1:8" x14ac:dyDescent="0.25">
      <c r="A69" s="45" t="s">
        <v>2231</v>
      </c>
      <c r="B69" s="70">
        <f>GETPIVOTDATA("Sum of Invalid_Blank_Disp",Pivot!$A$10)</f>
        <v>5036</v>
      </c>
      <c r="C69" s="47">
        <f t="shared" si="6"/>
        <v>3.53326892624687E-4</v>
      </c>
      <c r="D69" s="70">
        <f>GETPIVOTDATA("Sum of a_Invalid_Blank_Disp",Pivot!$A$10)</f>
        <v>2814</v>
      </c>
      <c r="E69" s="47">
        <f t="shared" si="7"/>
        <v>1.9743087288440613E-4</v>
      </c>
      <c r="F69" s="70">
        <f t="shared" si="8"/>
        <v>7850</v>
      </c>
      <c r="G69" s="47">
        <f t="shared" si="9"/>
        <v>5.507577655090931E-4</v>
      </c>
    </row>
    <row r="70" spans="1:8" x14ac:dyDescent="0.25">
      <c r="B70" s="69">
        <f t="shared" ref="B70:G70" si="10">SUM(B53:B69)</f>
        <v>12367716</v>
      </c>
      <c r="C70" s="49">
        <f t="shared" si="10"/>
        <v>0.86772173612879744</v>
      </c>
      <c r="D70" s="69">
        <f t="shared" si="10"/>
        <v>1885374</v>
      </c>
      <c r="E70" s="46">
        <f t="shared" si="10"/>
        <v>0.1322782638712027</v>
      </c>
      <c r="F70" s="69">
        <f t="shared" si="10"/>
        <v>14253090</v>
      </c>
      <c r="G70" s="46">
        <f t="shared" si="10"/>
        <v>0.99999999999999989</v>
      </c>
    </row>
    <row r="71" spans="1:8" ht="11.4" customHeight="1" x14ac:dyDescent="0.25"/>
    <row r="72" spans="1:8" x14ac:dyDescent="0.25">
      <c r="A72" s="83" t="s">
        <v>1610</v>
      </c>
      <c r="B72" s="83"/>
      <c r="C72" s="83"/>
      <c r="D72" s="83"/>
      <c r="E72" s="83"/>
      <c r="F72" s="83"/>
      <c r="G72" s="83"/>
      <c r="H72" s="83"/>
    </row>
    <row r="73" spans="1:8" x14ac:dyDescent="0.25">
      <c r="B73" s="85" t="s">
        <v>33</v>
      </c>
      <c r="C73" s="85"/>
      <c r="D73" s="85" t="s">
        <v>1541</v>
      </c>
      <c r="E73" s="85"/>
      <c r="F73" s="85" t="s">
        <v>1542</v>
      </c>
      <c r="G73" s="85"/>
    </row>
    <row r="74" spans="1:8" x14ac:dyDescent="0.25">
      <c r="A74" s="50" t="s">
        <v>1611</v>
      </c>
      <c r="B74" s="69">
        <f>GETPIVOTDATA("Sum of Age_Under_1",Pivot!$A$4)</f>
        <v>357766</v>
      </c>
      <c r="C74" s="46">
        <f>B74/$F$85</f>
        <v>2.5100943023582956E-2</v>
      </c>
      <c r="D74" s="67">
        <f>GETPIVOTDATA("Sum of a_Age_Under_1",Pivot!$A$4)</f>
        <v>22493</v>
      </c>
      <c r="E74" s="46">
        <f>D74/$F$85</f>
        <v>1.5781139388020423E-3</v>
      </c>
      <c r="F74" s="67">
        <f>B74+D74</f>
        <v>380259</v>
      </c>
      <c r="G74" s="46">
        <f>F74/$F$85</f>
        <v>2.6679056962384998E-2</v>
      </c>
    </row>
    <row r="75" spans="1:8" x14ac:dyDescent="0.25">
      <c r="A75" s="50" t="s">
        <v>1612</v>
      </c>
      <c r="B75" s="69">
        <f>GETPIVOTDATA("Sum of Age_01_09",Pivot!$A$4)</f>
        <v>1647882</v>
      </c>
      <c r="C75" s="46">
        <f t="shared" ref="C75:E84" si="11">B75/$F$85</f>
        <v>0.11561577173791789</v>
      </c>
      <c r="D75" s="67">
        <f>GETPIVOTDATA("Sum of a_Age_01_09",Pivot!$A$4)</f>
        <v>40904</v>
      </c>
      <c r="E75" s="46">
        <f t="shared" si="11"/>
        <v>2.869833839539356E-3</v>
      </c>
      <c r="F75" s="67">
        <f t="shared" ref="F75:F84" si="12">B75+D75</f>
        <v>1688786</v>
      </c>
      <c r="G75" s="46">
        <f t="shared" ref="G75" si="13">F75/$F$85</f>
        <v>0.11848560557745724</v>
      </c>
    </row>
    <row r="76" spans="1:8" x14ac:dyDescent="0.25">
      <c r="A76" s="50" t="s">
        <v>1613</v>
      </c>
      <c r="B76" s="69">
        <f>GETPIVOTDATA("Sum of Age_10_19",Pivot!$A$4)</f>
        <v>1307161</v>
      </c>
      <c r="C76" s="46">
        <f t="shared" si="11"/>
        <v>9.1710709747851171E-2</v>
      </c>
      <c r="D76" s="67">
        <f>GETPIVOTDATA("Sum of a_Age_10_19",Pivot!$A$4)</f>
        <v>46301</v>
      </c>
      <c r="E76" s="46">
        <f t="shared" si="11"/>
        <v>3.2484885733549706E-3</v>
      </c>
      <c r="F76" s="67">
        <f t="shared" si="12"/>
        <v>1353462</v>
      </c>
      <c r="G76" s="46">
        <f t="shared" ref="G76" si="14">F76/$F$85</f>
        <v>9.495919832120614E-2</v>
      </c>
    </row>
    <row r="77" spans="1:8" x14ac:dyDescent="0.25">
      <c r="A77" s="50" t="s">
        <v>1614</v>
      </c>
      <c r="B77" s="69">
        <f>GETPIVOTDATA("Sum of Age_20_29",Pivot!$A$4)</f>
        <v>2047162</v>
      </c>
      <c r="C77" s="46">
        <f t="shared" si="11"/>
        <v>0.14362934633823263</v>
      </c>
      <c r="D77" s="67">
        <f>GETPIVOTDATA("Sum of a_Age_20_29",Pivot!$A$4)</f>
        <v>125108</v>
      </c>
      <c r="E77" s="46">
        <f t="shared" si="11"/>
        <v>8.7776054174919255E-3</v>
      </c>
      <c r="F77" s="67">
        <f t="shared" si="12"/>
        <v>2172270</v>
      </c>
      <c r="G77" s="46">
        <f t="shared" ref="G77" si="15">F77/$F$85</f>
        <v>0.15240695175572455</v>
      </c>
    </row>
    <row r="78" spans="1:8" x14ac:dyDescent="0.25">
      <c r="A78" s="50" t="s">
        <v>1615</v>
      </c>
      <c r="B78" s="69">
        <f>GETPIVOTDATA("Sum of Age_30_39",Pivot!$A$4)</f>
        <v>1703958</v>
      </c>
      <c r="C78" s="46">
        <f t="shared" si="11"/>
        <v>0.11955007650972525</v>
      </c>
      <c r="D78" s="67">
        <f>GETPIVOTDATA("Sum of a_Age_30_39",Pivot!$A$4)</f>
        <v>143051</v>
      </c>
      <c r="E78" s="46">
        <f t="shared" si="11"/>
        <v>1.0036490332973411E-2</v>
      </c>
      <c r="F78" s="67">
        <f t="shared" si="12"/>
        <v>1847009</v>
      </c>
      <c r="G78" s="46">
        <f t="shared" ref="G78" si="16">F78/$F$85</f>
        <v>0.12958656684269867</v>
      </c>
    </row>
    <row r="79" spans="1:8" x14ac:dyDescent="0.25">
      <c r="A79" s="50" t="s">
        <v>1616</v>
      </c>
      <c r="B79" s="69">
        <f>GETPIVOTDATA("Sum of Age_40_49",Pivot!$A$4)</f>
        <v>1465737</v>
      </c>
      <c r="C79" s="46">
        <f t="shared" si="11"/>
        <v>0.10283643757248428</v>
      </c>
      <c r="D79" s="67">
        <f>GETPIVOTDATA("Sum of a_Age_40_49",Pivot!$A$4)</f>
        <v>186164</v>
      </c>
      <c r="E79" s="46">
        <f t="shared" si="11"/>
        <v>1.3061308109329275E-2</v>
      </c>
      <c r="F79" s="67">
        <f t="shared" si="12"/>
        <v>1651901</v>
      </c>
      <c r="G79" s="46">
        <f t="shared" ref="G79" si="17">F79/$F$85</f>
        <v>0.11589774568181356</v>
      </c>
    </row>
    <row r="80" spans="1:8" x14ac:dyDescent="0.25">
      <c r="A80" s="50" t="s">
        <v>1617</v>
      </c>
      <c r="B80" s="69">
        <f>GETPIVOTDATA("Sum of Age_50_59",Pivot!$A$4)</f>
        <v>1494838</v>
      </c>
      <c r="C80" s="46">
        <f t="shared" si="11"/>
        <v>0.10487817027746264</v>
      </c>
      <c r="D80" s="67">
        <f>GETPIVOTDATA("Sum of a_Age_50_59",Pivot!$A$4)</f>
        <v>302782</v>
      </c>
      <c r="E80" s="46">
        <f t="shared" si="11"/>
        <v>2.1243253217372512E-2</v>
      </c>
      <c r="F80" s="67">
        <f t="shared" si="12"/>
        <v>1797620</v>
      </c>
      <c r="G80" s="46">
        <f t="shared" ref="G80" si="18">F80/$F$85</f>
        <v>0.12612142349483516</v>
      </c>
    </row>
    <row r="81" spans="1:8" x14ac:dyDescent="0.25">
      <c r="A81" s="50" t="s">
        <v>1618</v>
      </c>
      <c r="B81" s="69">
        <f>GETPIVOTDATA("Sum of Age_60_69",Pivot!$A$4)</f>
        <v>1028992</v>
      </c>
      <c r="C81" s="46">
        <f t="shared" si="11"/>
        <v>7.2194310146080604E-2</v>
      </c>
      <c r="D81" s="67">
        <f>GETPIVOTDATA("Sum of a_Age_60_69",Pivot!$A$4)</f>
        <v>326910</v>
      </c>
      <c r="E81" s="46">
        <f t="shared" si="11"/>
        <v>2.2936079123895239E-2</v>
      </c>
      <c r="F81" s="67">
        <f t="shared" si="12"/>
        <v>1355902</v>
      </c>
      <c r="G81" s="46">
        <f t="shared" ref="G81" si="19">F81/$F$85</f>
        <v>9.5130389269975843E-2</v>
      </c>
    </row>
    <row r="82" spans="1:8" x14ac:dyDescent="0.25">
      <c r="A82" s="50" t="s">
        <v>1619</v>
      </c>
      <c r="B82" s="69">
        <f>GETPIVOTDATA("Sum of Age_70_79",Pivot!$A$4)</f>
        <v>660997</v>
      </c>
      <c r="C82" s="46">
        <f t="shared" si="11"/>
        <v>4.637569818193809E-2</v>
      </c>
      <c r="D82" s="67">
        <f>GETPIVOTDATA("Sum of a_Age_70_79",Pivot!$A$4)</f>
        <v>298430</v>
      </c>
      <c r="E82" s="46">
        <f t="shared" si="11"/>
        <v>2.093791591858327E-2</v>
      </c>
      <c r="F82" s="67">
        <f t="shared" si="12"/>
        <v>959427</v>
      </c>
      <c r="G82" s="46">
        <f t="shared" ref="G82" si="20">F82/$F$85</f>
        <v>6.7313614100521363E-2</v>
      </c>
    </row>
    <row r="83" spans="1:8" x14ac:dyDescent="0.25">
      <c r="A83" s="50" t="s">
        <v>1620</v>
      </c>
      <c r="B83" s="69">
        <f>GETPIVOTDATA("Sum of Age_80_",Pivot!$A$4)</f>
        <v>653101</v>
      </c>
      <c r="C83" s="46">
        <f t="shared" si="11"/>
        <v>4.5821713046083339E-2</v>
      </c>
      <c r="D83" s="67">
        <f>GETPIVOTDATA("Sum of a_Age_80_",Pivot!$A$4)</f>
        <v>393225</v>
      </c>
      <c r="E83" s="46">
        <f t="shared" si="11"/>
        <v>2.7588754438511227E-2</v>
      </c>
      <c r="F83" s="67">
        <f t="shared" si="12"/>
        <v>1046326</v>
      </c>
      <c r="G83" s="46">
        <f t="shared" ref="G83" si="21">F83/$F$85</f>
        <v>7.3410467484594566E-2</v>
      </c>
    </row>
    <row r="84" spans="1:8" x14ac:dyDescent="0.25">
      <c r="A84" s="50" t="s">
        <v>1621</v>
      </c>
      <c r="B84" s="70">
        <f>GETPIVOTDATA("Sum of Age_Unknown",Pivot!$A$4)</f>
        <v>122</v>
      </c>
      <c r="C84" s="47">
        <f t="shared" si="11"/>
        <v>8.5595474384852689E-6</v>
      </c>
      <c r="D84" s="74">
        <f>GETPIVOTDATA("Sum of a_Age_Unknown",Pivot!$A$4)</f>
        <v>6</v>
      </c>
      <c r="E84" s="47">
        <f t="shared" si="11"/>
        <v>4.2096134943370173E-7</v>
      </c>
      <c r="F84" s="74">
        <f t="shared" si="12"/>
        <v>128</v>
      </c>
      <c r="G84" s="47">
        <f t="shared" ref="G84" si="22">F84/$F$85</f>
        <v>8.9805087879189702E-6</v>
      </c>
    </row>
    <row r="85" spans="1:8" x14ac:dyDescent="0.25">
      <c r="B85" s="69">
        <f t="shared" ref="B85:G85" si="23">SUM(B74:B84)</f>
        <v>12367716</v>
      </c>
      <c r="C85" s="46">
        <f t="shared" si="23"/>
        <v>0.86772173612879722</v>
      </c>
      <c r="D85" s="67">
        <f t="shared" si="23"/>
        <v>1885374</v>
      </c>
      <c r="E85" s="46">
        <f t="shared" si="23"/>
        <v>0.13227826387120267</v>
      </c>
      <c r="F85" s="67">
        <f t="shared" si="23"/>
        <v>14253090</v>
      </c>
      <c r="G85" s="46">
        <f t="shared" si="23"/>
        <v>1</v>
      </c>
    </row>
    <row r="86" spans="1:8" ht="6.6" customHeight="1" x14ac:dyDescent="0.25">
      <c r="B86" s="69"/>
      <c r="C86" s="46"/>
      <c r="E86" s="46"/>
      <c r="G86" s="46"/>
    </row>
    <row r="87" spans="1:8" x14ac:dyDescent="0.25">
      <c r="A87" s="83" t="s">
        <v>2152</v>
      </c>
      <c r="B87" s="83"/>
      <c r="C87" s="83"/>
      <c r="D87" s="83"/>
      <c r="E87" s="83"/>
      <c r="F87" s="83"/>
      <c r="G87" s="83"/>
      <c r="H87" s="83"/>
    </row>
    <row r="88" spans="1:8" x14ac:dyDescent="0.25">
      <c r="B88" s="85" t="s">
        <v>33</v>
      </c>
      <c r="C88" s="85"/>
      <c r="D88" s="85" t="s">
        <v>1541</v>
      </c>
      <c r="E88" s="85"/>
      <c r="F88" s="85" t="s">
        <v>1542</v>
      </c>
      <c r="G88" s="85"/>
    </row>
    <row r="89" spans="1:8" x14ac:dyDescent="0.25">
      <c r="A89" s="45" t="s">
        <v>1622</v>
      </c>
      <c r="B89" s="69">
        <f>GETPIVOTDATA("Sum of Sex_Male",Pivot!$A$4)</f>
        <v>5617171</v>
      </c>
      <c r="C89" s="46">
        <f>B89/$F$92</f>
        <v>0.39410198069330932</v>
      </c>
      <c r="D89" s="69">
        <f>GETPIVOTDATA("Sum of a_Sex_Male",Pivot!$A$4)</f>
        <v>928936</v>
      </c>
      <c r="E89" s="46">
        <f>D89/$F$92</f>
        <v>6.5174358682924191E-2</v>
      </c>
      <c r="F89" s="69">
        <f>B89+D89</f>
        <v>6546107</v>
      </c>
      <c r="G89" s="46">
        <f>F89/$F$92</f>
        <v>0.45927633937623352</v>
      </c>
    </row>
    <row r="90" spans="1:8" x14ac:dyDescent="0.25">
      <c r="A90" s="45" t="s">
        <v>1623</v>
      </c>
      <c r="B90" s="69">
        <f>GETPIVOTDATA("Sum of Sex_Female",Pivot!$A$4)</f>
        <v>6750069</v>
      </c>
      <c r="C90" s="46">
        <f>B90/$F$92</f>
        <v>0.47358635916843295</v>
      </c>
      <c r="D90" s="69">
        <f>GETPIVOTDATA("Sum of a_Sex_Female",Pivot!$A$4)</f>
        <v>956381</v>
      </c>
      <c r="E90" s="46">
        <f>D90/$F$92</f>
        <v>6.7099906055458847E-2</v>
      </c>
      <c r="F90" s="69">
        <f t="shared" ref="F90" si="24">B90+D90</f>
        <v>7706450</v>
      </c>
      <c r="G90" s="46">
        <f>F90/$F$92</f>
        <v>0.54068626522389185</v>
      </c>
    </row>
    <row r="91" spans="1:8" x14ac:dyDescent="0.25">
      <c r="A91" s="45" t="s">
        <v>2163</v>
      </c>
      <c r="B91" s="75">
        <f>GETPIVOTDATA("Sum of Sex_Unk",Pivot!$A$10)</f>
        <v>476</v>
      </c>
      <c r="C91" s="66">
        <f>B91/$F$92</f>
        <v>3.3396267055073669E-5</v>
      </c>
      <c r="D91" s="75">
        <f>GETPIVOTDATA("Sum of a_Sex_Other_Unk",Pivot!$A$10)</f>
        <v>57</v>
      </c>
      <c r="E91" s="66">
        <f>D91/$F$92</f>
        <v>3.9991328196201663E-6</v>
      </c>
      <c r="F91" s="75">
        <f>B91+D91</f>
        <v>533</v>
      </c>
      <c r="G91" s="47">
        <f>F91/$F$92</f>
        <v>3.739539987469384E-5</v>
      </c>
    </row>
    <row r="92" spans="1:8" x14ac:dyDescent="0.25">
      <c r="B92" s="69">
        <f t="shared" ref="B92:G92" si="25">SUM(B89:B91)</f>
        <v>12367716</v>
      </c>
      <c r="C92" s="49">
        <f t="shared" si="25"/>
        <v>0.86772173612879744</v>
      </c>
      <c r="D92" s="69">
        <f t="shared" si="25"/>
        <v>1885374</v>
      </c>
      <c r="E92" s="49">
        <f t="shared" si="25"/>
        <v>0.13227826387120267</v>
      </c>
      <c r="F92" s="69">
        <f t="shared" si="25"/>
        <v>14253090</v>
      </c>
      <c r="G92" s="49">
        <f t="shared" si="25"/>
        <v>1</v>
      </c>
    </row>
    <row r="93" spans="1:8" x14ac:dyDescent="0.25">
      <c r="B93" s="69"/>
      <c r="C93" s="49"/>
      <c r="D93" s="69"/>
      <c r="E93" s="49"/>
      <c r="F93" s="69"/>
      <c r="G93" s="49"/>
    </row>
    <row r="94" spans="1:8" x14ac:dyDescent="0.25">
      <c r="A94" s="83" t="s">
        <v>2169</v>
      </c>
      <c r="B94" s="83"/>
      <c r="C94" s="83"/>
      <c r="D94" s="83"/>
      <c r="E94" s="83"/>
      <c r="F94" s="83"/>
      <c r="G94" s="83"/>
      <c r="H94" s="83"/>
    </row>
    <row r="95" spans="1:8" x14ac:dyDescent="0.25">
      <c r="B95" s="85" t="s">
        <v>33</v>
      </c>
      <c r="C95" s="85"/>
      <c r="D95" s="85" t="s">
        <v>1541</v>
      </c>
      <c r="E95" s="85"/>
      <c r="F95" s="85" t="s">
        <v>1542</v>
      </c>
      <c r="G95" s="85"/>
    </row>
    <row r="96" spans="1:8" x14ac:dyDescent="0.25">
      <c r="A96" s="42" t="s">
        <v>1728</v>
      </c>
      <c r="B96" s="69">
        <f>GETPIVOTDATA("Sum of English",Pivot!$A$4)</f>
        <v>10614371</v>
      </c>
      <c r="C96" s="46">
        <f>B96/$F$99</f>
        <v>0.74470665659165836</v>
      </c>
      <c r="D96" s="67">
        <f>GETPIVOTDATA("Sum of a_English",Pivot!$A$4)</f>
        <v>1586718</v>
      </c>
      <c r="E96" s="46">
        <f>D96/$F$99</f>
        <v>0.11132449174179072</v>
      </c>
      <c r="F96" s="67">
        <f>B96+D96</f>
        <v>12201089</v>
      </c>
      <c r="G96" s="46">
        <f>F96/$F$99</f>
        <v>0.85603114833344907</v>
      </c>
    </row>
    <row r="97" spans="1:8" x14ac:dyDescent="0.25">
      <c r="A97" s="42" t="s">
        <v>1729</v>
      </c>
      <c r="B97" s="69">
        <f>GETPIVOTDATA("Sum of Spanish",Pivot!$A$4)</f>
        <v>1505831</v>
      </c>
      <c r="C97" s="46">
        <f t="shared" ref="C97:E98" si="26">B97/$F$99</f>
        <v>0.10564944162985009</v>
      </c>
      <c r="D97" s="67">
        <f>GETPIVOTDATA("Sum of a_Spanish",Pivot!$A$4)</f>
        <v>207508</v>
      </c>
      <c r="E97" s="46">
        <f t="shared" si="26"/>
        <v>1.4558807949714763E-2</v>
      </c>
      <c r="F97" s="67">
        <f t="shared" ref="F97:F98" si="27">B97+D97</f>
        <v>1713339</v>
      </c>
      <c r="G97" s="46">
        <f t="shared" ref="G97" si="28">F97/$F$99</f>
        <v>0.12020824957956486</v>
      </c>
    </row>
    <row r="98" spans="1:8" x14ac:dyDescent="0.25">
      <c r="A98" s="42" t="s">
        <v>1739</v>
      </c>
      <c r="B98" s="70">
        <f>GETPIVOTDATA("Sum of All_Other",Pivot!$A$4)</f>
        <v>247514</v>
      </c>
      <c r="C98" s="47">
        <f t="shared" si="26"/>
        <v>1.7365637907288876E-2</v>
      </c>
      <c r="D98" s="74">
        <f>GETPIVOTDATA("Sum of a_All_Other",Pivot!$A$4)</f>
        <v>91148</v>
      </c>
      <c r="E98" s="47">
        <f t="shared" si="26"/>
        <v>6.3949641796971742E-3</v>
      </c>
      <c r="F98" s="74">
        <f t="shared" si="27"/>
        <v>338662</v>
      </c>
      <c r="G98" s="47">
        <f t="shared" ref="G98" si="29">F98/$F$99</f>
        <v>2.3760602086986049E-2</v>
      </c>
    </row>
    <row r="99" spans="1:8" x14ac:dyDescent="0.25">
      <c r="B99" s="69">
        <f>SUM(B96:B98)</f>
        <v>12367716</v>
      </c>
      <c r="C99" s="46">
        <f t="shared" ref="C99:G99" si="30">SUM(C96:C98)</f>
        <v>0.86772173612879733</v>
      </c>
      <c r="D99" s="69">
        <f t="shared" si="30"/>
        <v>1885374</v>
      </c>
      <c r="E99" s="46">
        <f t="shared" si="30"/>
        <v>0.13227826387120267</v>
      </c>
      <c r="F99" s="69">
        <f t="shared" si="30"/>
        <v>14253090</v>
      </c>
      <c r="G99" s="46">
        <f t="shared" si="30"/>
        <v>1</v>
      </c>
    </row>
    <row r="100" spans="1:8" ht="8.4" customHeight="1" x14ac:dyDescent="0.25"/>
    <row r="101" spans="1:8" x14ac:dyDescent="0.25">
      <c r="B101" s="69"/>
      <c r="C101" s="49"/>
      <c r="D101" s="69"/>
      <c r="E101" s="49"/>
      <c r="F101" s="69"/>
      <c r="G101" s="49"/>
    </row>
    <row r="102" spans="1:8" x14ac:dyDescent="0.25">
      <c r="A102" s="83" t="s">
        <v>1609</v>
      </c>
      <c r="B102" s="83"/>
      <c r="C102" s="83"/>
      <c r="D102" s="83"/>
      <c r="E102" s="83"/>
      <c r="F102" s="83"/>
      <c r="G102" s="83"/>
      <c r="H102" s="83"/>
    </row>
    <row r="103" spans="1:8" x14ac:dyDescent="0.25">
      <c r="B103" s="85" t="s">
        <v>33</v>
      </c>
      <c r="C103" s="85"/>
      <c r="D103" s="85" t="s">
        <v>1541</v>
      </c>
      <c r="E103" s="85"/>
      <c r="F103" s="85" t="s">
        <v>1542</v>
      </c>
      <c r="G103" s="85"/>
    </row>
    <row r="104" spans="1:8" x14ac:dyDescent="0.25">
      <c r="A104" s="45" t="s">
        <v>1710</v>
      </c>
      <c r="B104" s="69">
        <f>GETPIVOTDATA("Sum of Asian_Pacific_Island",Pivot!$A$4)</f>
        <v>691015</v>
      </c>
      <c r="C104" s="46">
        <f t="shared" ref="C104:C111" si="31">B104/$F$111</f>
        <v>4.84817678131549E-2</v>
      </c>
      <c r="D104" s="67">
        <f>GETPIVOTDATA("Sum of a_Asian_Pacific_Isla",Pivot!$A$4)</f>
        <v>159237</v>
      </c>
      <c r="E104" s="46">
        <f t="shared" ref="E104:E111" si="32">D104/$F$111</f>
        <v>1.1172103733295727E-2</v>
      </c>
      <c r="F104" s="67">
        <f>B104+D104</f>
        <v>850252</v>
      </c>
      <c r="G104" s="46">
        <f t="shared" ref="G104:G111" si="33">F104/$F$111</f>
        <v>5.9653871546450632E-2</v>
      </c>
    </row>
    <row r="105" spans="1:8" x14ac:dyDescent="0.25">
      <c r="A105" s="45" t="s">
        <v>14</v>
      </c>
      <c r="B105" s="69">
        <f>GETPIVOTDATA("Sum of Black",Pivot!$A$4)</f>
        <v>1378263</v>
      </c>
      <c r="C105" s="46">
        <f t="shared" si="31"/>
        <v>9.6699242059090348E-2</v>
      </c>
      <c r="D105" s="67">
        <f>GETPIVOTDATA("Sum of a_Black",Pivot!$A$4)</f>
        <v>190820</v>
      </c>
      <c r="E105" s="46">
        <f t="shared" si="32"/>
        <v>1.3387974116489829E-2</v>
      </c>
      <c r="F105" s="67">
        <f t="shared" ref="F105:F110" si="34">B105+D105</f>
        <v>1569083</v>
      </c>
      <c r="G105" s="46">
        <f t="shared" si="33"/>
        <v>0.11008721617558018</v>
      </c>
    </row>
    <row r="106" spans="1:8" x14ac:dyDescent="0.25">
      <c r="A106" s="45" t="s">
        <v>15</v>
      </c>
      <c r="B106" s="69">
        <f>GETPIVOTDATA("Sum of Hispanic",Pivot!$A$4)</f>
        <v>4842250</v>
      </c>
      <c r="C106" s="46">
        <f t="shared" si="31"/>
        <v>0.3397333490492237</v>
      </c>
      <c r="D106" s="67">
        <f>GETPIVOTDATA("Sum of a_Hispanic",Pivot!$A$4)</f>
        <v>522261</v>
      </c>
      <c r="E106" s="46">
        <f t="shared" si="32"/>
        <v>3.6641949219432417E-2</v>
      </c>
      <c r="F106" s="67">
        <f t="shared" si="34"/>
        <v>5364511</v>
      </c>
      <c r="G106" s="46">
        <f t="shared" si="33"/>
        <v>0.37637529826865612</v>
      </c>
    </row>
    <row r="107" spans="1:8" x14ac:dyDescent="0.25">
      <c r="A107" s="45" t="s">
        <v>2140</v>
      </c>
      <c r="B107" s="69">
        <f>GETPIVOTDATA("Sum of Native_American_Eski",Pivot!$A$4)</f>
        <v>63039</v>
      </c>
      <c r="C107" s="46">
        <f t="shared" si="31"/>
        <v>4.4228304178251876E-3</v>
      </c>
      <c r="D107" s="67">
        <f>GETPIVOTDATA("Sum of a_Native_American_Es",Pivot!$A$4)</f>
        <v>5727</v>
      </c>
      <c r="E107" s="46">
        <f t="shared" si="32"/>
        <v>4.0180760803446833E-4</v>
      </c>
      <c r="F107" s="67">
        <f t="shared" si="34"/>
        <v>68766</v>
      </c>
      <c r="G107" s="46">
        <f t="shared" si="33"/>
        <v>4.8246380258596556E-3</v>
      </c>
    </row>
    <row r="108" spans="1:8" x14ac:dyDescent="0.25">
      <c r="A108" s="45" t="s">
        <v>17</v>
      </c>
      <c r="B108" s="69">
        <f>GETPIVOTDATA("Sum of White",Pivot!$A$4)</f>
        <v>4750400</v>
      </c>
      <c r="C108" s="46">
        <f t="shared" si="31"/>
        <v>0.33328913239164282</v>
      </c>
      <c r="D108" s="67">
        <f>GETPIVOTDATA("Sum of a_White",Pivot!$A$4)</f>
        <v>932781</v>
      </c>
      <c r="E108" s="46">
        <f t="shared" si="32"/>
        <v>6.5444124747686294E-2</v>
      </c>
      <c r="F108" s="67">
        <f t="shared" si="34"/>
        <v>5683181</v>
      </c>
      <c r="G108" s="46">
        <f t="shared" si="33"/>
        <v>0.39873325713932911</v>
      </c>
    </row>
    <row r="109" spans="1:8" x14ac:dyDescent="0.25">
      <c r="A109" s="45" t="s">
        <v>16</v>
      </c>
      <c r="B109" s="73">
        <f>GETPIVOTDATA("Sum of Other_Race",Pivot!$A$4)</f>
        <v>465611</v>
      </c>
      <c r="C109" s="48">
        <f t="shared" si="31"/>
        <v>3.2667372478529216E-2</v>
      </c>
      <c r="D109" s="76">
        <f>GETPIVOTDATA("Sum of a_Other_Race",Pivot!$A$4)</f>
        <v>65590</v>
      </c>
      <c r="E109" s="48">
        <f t="shared" si="32"/>
        <v>4.6018091515594162E-3</v>
      </c>
      <c r="F109" s="76">
        <f t="shared" ref="F109" si="35">B109+D109</f>
        <v>531201</v>
      </c>
      <c r="G109" s="48">
        <f t="shared" si="33"/>
        <v>3.7269181630088632E-2</v>
      </c>
    </row>
    <row r="110" spans="1:8" x14ac:dyDescent="0.25">
      <c r="A110" s="45" t="s">
        <v>2153</v>
      </c>
      <c r="B110" s="70">
        <f>GETPIVOTDATA("Sum of Unknown_Race",Pivot!$A$4)</f>
        <v>177138</v>
      </c>
      <c r="C110" s="47">
        <f t="shared" si="31"/>
        <v>1.2428041919331176E-2</v>
      </c>
      <c r="D110" s="74">
        <f>GETPIVOTDATA("Sum of a_Unknown_Race",Pivot!$A$4)</f>
        <v>8958</v>
      </c>
      <c r="E110" s="47">
        <f t="shared" si="32"/>
        <v>6.2849529470451672E-4</v>
      </c>
      <c r="F110" s="74">
        <f t="shared" si="34"/>
        <v>186096</v>
      </c>
      <c r="G110" s="47">
        <f t="shared" si="33"/>
        <v>1.3056537214035694E-2</v>
      </c>
    </row>
    <row r="111" spans="1:8" x14ac:dyDescent="0.25">
      <c r="B111" s="69">
        <f>SUM(B104:B110)</f>
        <v>12367716</v>
      </c>
      <c r="C111" s="46">
        <f t="shared" si="31"/>
        <v>0.86772173612879733</v>
      </c>
      <c r="D111" s="67">
        <f>SUM(D104:D110)</f>
        <v>1885374</v>
      </c>
      <c r="E111" s="46">
        <f t="shared" si="32"/>
        <v>0.13227826387120267</v>
      </c>
      <c r="F111" s="67">
        <f>SUM(F104:F110)</f>
        <v>14253090</v>
      </c>
      <c r="G111" s="46">
        <f t="shared" si="33"/>
        <v>1</v>
      </c>
    </row>
    <row r="112" spans="1:8" ht="4.95" customHeight="1" x14ac:dyDescent="0.25">
      <c r="B112" s="69"/>
      <c r="C112" s="46"/>
      <c r="E112" s="46"/>
      <c r="G112" s="46"/>
    </row>
    <row r="113" spans="2:7" x14ac:dyDescent="0.25">
      <c r="B113" s="69"/>
      <c r="C113" s="49"/>
      <c r="D113" s="69"/>
      <c r="E113" s="49"/>
      <c r="F113" s="69"/>
      <c r="G113" s="49"/>
    </row>
    <row r="114" spans="2:7" x14ac:dyDescent="0.25">
      <c r="B114" s="69"/>
      <c r="C114" s="49"/>
      <c r="D114" s="69"/>
      <c r="E114" s="49"/>
      <c r="F114" s="69"/>
      <c r="G114" s="49"/>
    </row>
    <row r="115" spans="2:7" x14ac:dyDescent="0.25">
      <c r="B115" s="69"/>
      <c r="C115" s="49"/>
      <c r="D115" s="69"/>
      <c r="E115" s="49"/>
      <c r="F115" s="69"/>
      <c r="G115" s="49"/>
    </row>
    <row r="116" spans="2:7" x14ac:dyDescent="0.25">
      <c r="B116" s="69"/>
      <c r="C116" s="49"/>
      <c r="D116" s="69"/>
      <c r="E116" s="49"/>
      <c r="F116" s="69"/>
      <c r="G116" s="49"/>
    </row>
    <row r="117" spans="2:7" x14ac:dyDescent="0.25">
      <c r="B117" s="69"/>
      <c r="C117" s="49"/>
      <c r="D117" s="69"/>
      <c r="E117" s="49"/>
      <c r="F117" s="69"/>
      <c r="G117" s="49"/>
    </row>
    <row r="118" spans="2:7" x14ac:dyDescent="0.25">
      <c r="B118" s="69"/>
      <c r="C118" s="49"/>
      <c r="D118" s="69"/>
      <c r="E118" s="49"/>
      <c r="F118" s="69"/>
      <c r="G118" s="49"/>
    </row>
    <row r="119" spans="2:7" x14ac:dyDescent="0.25">
      <c r="B119" s="69"/>
      <c r="C119" s="49"/>
      <c r="D119" s="69"/>
      <c r="E119" s="49"/>
      <c r="F119" s="69"/>
      <c r="G119" s="49"/>
    </row>
    <row r="120" spans="2:7" x14ac:dyDescent="0.25">
      <c r="B120" s="69"/>
      <c r="C120" s="49"/>
      <c r="D120" s="69"/>
      <c r="E120" s="49"/>
      <c r="F120" s="69"/>
      <c r="G120" s="49"/>
    </row>
    <row r="121" spans="2:7" x14ac:dyDescent="0.25">
      <c r="B121" s="69"/>
      <c r="C121" s="49"/>
      <c r="D121" s="69"/>
      <c r="E121" s="49"/>
      <c r="F121" s="69"/>
      <c r="G121" s="49"/>
    </row>
    <row r="122" spans="2:7" x14ac:dyDescent="0.25">
      <c r="B122" s="69"/>
      <c r="C122" s="49"/>
      <c r="D122" s="69"/>
      <c r="E122" s="49"/>
      <c r="F122" s="69"/>
      <c r="G122" s="49"/>
    </row>
    <row r="123" spans="2:7" x14ac:dyDescent="0.25">
      <c r="B123" s="69"/>
      <c r="C123" s="49"/>
      <c r="D123" s="69"/>
      <c r="E123" s="49"/>
      <c r="F123" s="69"/>
      <c r="G123" s="49"/>
    </row>
    <row r="124" spans="2:7" x14ac:dyDescent="0.25">
      <c r="B124" s="69"/>
      <c r="C124" s="49"/>
      <c r="D124" s="69"/>
      <c r="E124" s="49"/>
      <c r="F124" s="69"/>
      <c r="G124" s="49"/>
    </row>
    <row r="125" spans="2:7" x14ac:dyDescent="0.25">
      <c r="B125" s="69"/>
      <c r="C125" s="49"/>
      <c r="D125" s="69"/>
      <c r="E125" s="49"/>
      <c r="F125" s="69"/>
      <c r="G125" s="49"/>
    </row>
    <row r="126" spans="2:7" x14ac:dyDescent="0.25">
      <c r="B126" s="69"/>
      <c r="C126" s="49"/>
      <c r="D126" s="69"/>
      <c r="E126" s="49"/>
      <c r="F126" s="69"/>
      <c r="G126" s="49"/>
    </row>
    <row r="127" spans="2:7" x14ac:dyDescent="0.25">
      <c r="B127" s="69"/>
      <c r="C127" s="49"/>
      <c r="D127" s="69"/>
      <c r="E127" s="49"/>
      <c r="F127" s="69"/>
      <c r="G127" s="49"/>
    </row>
    <row r="128" spans="2:7" x14ac:dyDescent="0.25">
      <c r="B128" s="69"/>
      <c r="C128" s="49"/>
      <c r="D128" s="69"/>
      <c r="E128" s="49"/>
      <c r="F128" s="69"/>
      <c r="G128" s="49"/>
    </row>
    <row r="129" spans="1:8" x14ac:dyDescent="0.25">
      <c r="B129" s="69"/>
      <c r="C129" s="49"/>
      <c r="D129" s="69"/>
      <c r="E129" s="49"/>
      <c r="F129" s="69"/>
      <c r="G129" s="49"/>
    </row>
    <row r="131" spans="1:8" x14ac:dyDescent="0.25">
      <c r="A131" s="83" t="s">
        <v>1624</v>
      </c>
      <c r="B131" s="83"/>
      <c r="C131" s="83"/>
      <c r="D131" s="83"/>
      <c r="E131" s="83"/>
      <c r="F131" s="83"/>
      <c r="G131" s="83"/>
      <c r="H131" s="83"/>
    </row>
    <row r="132" spans="1:8" x14ac:dyDescent="0.25">
      <c r="B132" s="85" t="s">
        <v>33</v>
      </c>
      <c r="C132" s="85"/>
      <c r="D132" s="85" t="s">
        <v>1541</v>
      </c>
      <c r="E132" s="85"/>
      <c r="F132" s="85" t="s">
        <v>1542</v>
      </c>
      <c r="G132" s="85"/>
    </row>
    <row r="133" spans="1:8" x14ac:dyDescent="0.25">
      <c r="A133" s="87" t="s">
        <v>2255</v>
      </c>
      <c r="B133" s="87"/>
      <c r="C133" s="87"/>
      <c r="D133" s="87"/>
      <c r="E133" s="87"/>
      <c r="F133" s="87"/>
      <c r="G133" s="87"/>
    </row>
    <row r="134" spans="1:8" x14ac:dyDescent="0.25">
      <c r="A134" s="87"/>
      <c r="B134" s="87"/>
      <c r="C134" s="87"/>
      <c r="D134" s="87"/>
      <c r="E134" s="87"/>
      <c r="F134" s="87"/>
      <c r="G134" s="87"/>
    </row>
    <row r="135" spans="1:8" x14ac:dyDescent="0.25">
      <c r="A135" s="87"/>
      <c r="B135" s="87"/>
      <c r="C135" s="87"/>
      <c r="D135" s="87"/>
      <c r="E135" s="87"/>
      <c r="F135" s="87"/>
      <c r="G135" s="87"/>
    </row>
    <row r="136" spans="1:8" x14ac:dyDescent="0.25">
      <c r="A136" s="87"/>
      <c r="B136" s="87"/>
      <c r="C136" s="87"/>
      <c r="D136" s="87"/>
      <c r="E136" s="87"/>
      <c r="F136" s="87"/>
      <c r="G136" s="87"/>
    </row>
    <row r="137" spans="1:8" x14ac:dyDescent="0.25">
      <c r="A137" s="87"/>
      <c r="B137" s="87"/>
      <c r="C137" s="87"/>
      <c r="D137" s="87"/>
      <c r="E137" s="87"/>
      <c r="F137" s="87"/>
      <c r="G137" s="87"/>
    </row>
    <row r="138" spans="1:8" x14ac:dyDescent="0.25">
      <c r="A138" s="87"/>
      <c r="B138" s="87"/>
      <c r="C138" s="87"/>
      <c r="D138" s="87"/>
      <c r="E138" s="87"/>
      <c r="F138" s="87"/>
      <c r="G138" s="87"/>
    </row>
    <row r="139" spans="1:8" x14ac:dyDescent="0.25">
      <c r="A139" s="87"/>
      <c r="B139" s="87"/>
      <c r="C139" s="87"/>
      <c r="D139" s="87"/>
      <c r="E139" s="87"/>
      <c r="F139" s="87"/>
      <c r="G139" s="87"/>
    </row>
    <row r="140" spans="1:8" x14ac:dyDescent="0.25">
      <c r="A140" s="87"/>
      <c r="B140" s="87"/>
      <c r="C140" s="87"/>
      <c r="D140" s="87"/>
      <c r="E140" s="87"/>
      <c r="F140" s="87"/>
      <c r="G140" s="87"/>
    </row>
    <row r="141" spans="1:8" x14ac:dyDescent="0.25">
      <c r="A141" s="87"/>
      <c r="B141" s="87"/>
      <c r="C141" s="87"/>
      <c r="D141" s="87"/>
      <c r="E141" s="87"/>
      <c r="F141" s="87"/>
      <c r="G141" s="87"/>
    </row>
    <row r="142" spans="1:8" x14ac:dyDescent="0.25">
      <c r="A142" s="87"/>
      <c r="B142" s="87"/>
      <c r="C142" s="87"/>
      <c r="D142" s="87"/>
      <c r="E142" s="87"/>
      <c r="F142" s="87"/>
      <c r="G142" s="87"/>
    </row>
    <row r="143" spans="1:8" x14ac:dyDescent="0.25">
      <c r="A143" s="87"/>
      <c r="B143" s="87"/>
      <c r="C143" s="87"/>
      <c r="D143" s="87"/>
      <c r="E143" s="87"/>
      <c r="F143" s="87"/>
      <c r="G143" s="87"/>
    </row>
    <row r="144" spans="1:8" x14ac:dyDescent="0.25">
      <c r="A144" s="87"/>
      <c r="B144" s="87"/>
      <c r="C144" s="87"/>
      <c r="D144" s="87"/>
      <c r="E144" s="87"/>
      <c r="F144" s="87"/>
      <c r="G144" s="87"/>
    </row>
    <row r="145" spans="1:8" x14ac:dyDescent="0.25">
      <c r="A145" s="87"/>
      <c r="B145" s="87"/>
      <c r="C145" s="87"/>
      <c r="D145" s="87"/>
      <c r="E145" s="87"/>
      <c r="F145" s="87"/>
      <c r="G145" s="87"/>
    </row>
    <row r="146" spans="1:8" x14ac:dyDescent="0.25">
      <c r="A146" s="87"/>
      <c r="B146" s="87"/>
      <c r="C146" s="87"/>
      <c r="D146" s="87"/>
      <c r="E146" s="87"/>
      <c r="F146" s="87"/>
      <c r="G146" s="87"/>
    </row>
    <row r="147" spans="1:8" x14ac:dyDescent="0.25">
      <c r="A147" s="87"/>
      <c r="B147" s="87"/>
      <c r="C147" s="87"/>
      <c r="D147" s="87"/>
      <c r="E147" s="87"/>
      <c r="F147" s="87"/>
      <c r="G147" s="87"/>
    </row>
    <row r="148" spans="1:8" x14ac:dyDescent="0.25">
      <c r="A148" s="87"/>
      <c r="B148" s="87"/>
      <c r="C148" s="87"/>
      <c r="D148" s="87"/>
      <c r="E148" s="87"/>
      <c r="F148" s="87"/>
      <c r="G148" s="87"/>
    </row>
    <row r="149" spans="1:8" x14ac:dyDescent="0.25">
      <c r="A149" s="87"/>
      <c r="B149" s="87"/>
      <c r="C149" s="87"/>
      <c r="D149" s="87"/>
      <c r="E149" s="87"/>
      <c r="F149" s="87"/>
      <c r="G149" s="87"/>
    </row>
    <row r="150" spans="1:8" x14ac:dyDescent="0.25">
      <c r="A150" s="87"/>
      <c r="B150" s="87"/>
      <c r="C150" s="87"/>
      <c r="D150" s="87"/>
      <c r="E150" s="87"/>
      <c r="F150" s="87"/>
      <c r="G150" s="87"/>
    </row>
    <row r="151" spans="1:8" x14ac:dyDescent="0.25">
      <c r="A151" s="87"/>
      <c r="B151" s="87"/>
      <c r="C151" s="87"/>
      <c r="D151" s="87"/>
      <c r="E151" s="87"/>
      <c r="F151" s="87"/>
      <c r="G151" s="87"/>
    </row>
    <row r="152" spans="1:8" x14ac:dyDescent="0.25">
      <c r="A152" s="87"/>
      <c r="B152" s="87"/>
      <c r="C152" s="87"/>
      <c r="D152" s="87"/>
      <c r="E152" s="87"/>
      <c r="F152" s="87"/>
      <c r="G152" s="87"/>
    </row>
    <row r="153" spans="1:8" x14ac:dyDescent="0.25">
      <c r="A153" s="87"/>
      <c r="B153" s="87"/>
      <c r="C153" s="87"/>
      <c r="D153" s="87"/>
      <c r="E153" s="87"/>
      <c r="F153" s="87"/>
      <c r="G153" s="87"/>
    </row>
    <row r="154" spans="1:8" x14ac:dyDescent="0.25">
      <c r="A154" s="52"/>
    </row>
    <row r="155" spans="1:8" x14ac:dyDescent="0.25">
      <c r="A155" s="83" t="s">
        <v>1651</v>
      </c>
      <c r="B155" s="83"/>
      <c r="C155" s="83"/>
      <c r="D155" s="83"/>
      <c r="E155" s="83"/>
      <c r="F155" s="83"/>
      <c r="G155" s="83"/>
      <c r="H155" s="83"/>
    </row>
    <row r="156" spans="1:8" x14ac:dyDescent="0.25">
      <c r="B156" s="85" t="s">
        <v>33</v>
      </c>
      <c r="C156" s="85"/>
      <c r="D156" s="85" t="s">
        <v>1541</v>
      </c>
      <c r="E156" s="85"/>
      <c r="F156" s="85" t="s">
        <v>1542</v>
      </c>
      <c r="G156" s="85"/>
    </row>
    <row r="157" spans="1:8" x14ac:dyDescent="0.25">
      <c r="A157" s="87" t="s">
        <v>2255</v>
      </c>
      <c r="B157" s="87"/>
      <c r="C157" s="87"/>
      <c r="D157" s="87"/>
      <c r="E157" s="87"/>
      <c r="F157" s="87"/>
      <c r="G157" s="87"/>
    </row>
    <row r="158" spans="1:8" x14ac:dyDescent="0.25">
      <c r="A158" s="87"/>
      <c r="B158" s="87"/>
      <c r="C158" s="87"/>
      <c r="D158" s="87"/>
      <c r="E158" s="87"/>
      <c r="F158" s="87"/>
      <c r="G158" s="87"/>
    </row>
    <row r="159" spans="1:8" x14ac:dyDescent="0.25">
      <c r="A159" s="87"/>
      <c r="B159" s="87"/>
      <c r="C159" s="87"/>
      <c r="D159" s="87"/>
      <c r="E159" s="87"/>
      <c r="F159" s="87"/>
      <c r="G159" s="87"/>
    </row>
    <row r="160" spans="1:8" x14ac:dyDescent="0.25">
      <c r="A160" s="87"/>
      <c r="B160" s="87"/>
      <c r="C160" s="87"/>
      <c r="D160" s="87"/>
      <c r="E160" s="87"/>
      <c r="F160" s="87"/>
      <c r="G160" s="87"/>
    </row>
    <row r="161" spans="1:7" x14ac:dyDescent="0.25">
      <c r="A161" s="87"/>
      <c r="B161" s="87"/>
      <c r="C161" s="87"/>
      <c r="D161" s="87"/>
      <c r="E161" s="87"/>
      <c r="F161" s="87"/>
      <c r="G161" s="87"/>
    </row>
    <row r="162" spans="1:7" x14ac:dyDescent="0.25">
      <c r="A162" s="87"/>
      <c r="B162" s="87"/>
      <c r="C162" s="87"/>
      <c r="D162" s="87"/>
      <c r="E162" s="87"/>
      <c r="F162" s="87"/>
      <c r="G162" s="87"/>
    </row>
    <row r="163" spans="1:7" x14ac:dyDescent="0.25">
      <c r="A163" s="87"/>
      <c r="B163" s="87"/>
      <c r="C163" s="87"/>
      <c r="D163" s="87"/>
      <c r="E163" s="87"/>
      <c r="F163" s="87"/>
      <c r="G163" s="87"/>
    </row>
    <row r="164" spans="1:7" x14ac:dyDescent="0.25">
      <c r="A164" s="87"/>
      <c r="B164" s="87"/>
      <c r="C164" s="87"/>
      <c r="D164" s="87"/>
      <c r="E164" s="87"/>
      <c r="F164" s="87"/>
      <c r="G164" s="87"/>
    </row>
    <row r="165" spans="1:7" x14ac:dyDescent="0.25">
      <c r="A165" s="87"/>
      <c r="B165" s="87"/>
      <c r="C165" s="87"/>
      <c r="D165" s="87"/>
      <c r="E165" s="87"/>
      <c r="F165" s="87"/>
      <c r="G165" s="87"/>
    </row>
    <row r="166" spans="1:7" x14ac:dyDescent="0.25">
      <c r="A166" s="87"/>
      <c r="B166" s="87"/>
      <c r="C166" s="87"/>
      <c r="D166" s="87"/>
      <c r="E166" s="87"/>
      <c r="F166" s="87"/>
      <c r="G166" s="87"/>
    </row>
    <row r="167" spans="1:7" x14ac:dyDescent="0.25">
      <c r="A167" s="87"/>
      <c r="B167" s="87"/>
      <c r="C167" s="87"/>
      <c r="D167" s="87"/>
      <c r="E167" s="87"/>
      <c r="F167" s="87"/>
      <c r="G167" s="87"/>
    </row>
    <row r="168" spans="1:7" x14ac:dyDescent="0.25">
      <c r="A168" s="87"/>
      <c r="B168" s="87"/>
      <c r="C168" s="87"/>
      <c r="D168" s="87"/>
      <c r="E168" s="87"/>
      <c r="F168" s="87"/>
      <c r="G168" s="87"/>
    </row>
    <row r="169" spans="1:7" x14ac:dyDescent="0.25">
      <c r="A169" s="87"/>
      <c r="B169" s="87"/>
      <c r="C169" s="87"/>
      <c r="D169" s="87"/>
      <c r="E169" s="87"/>
      <c r="F169" s="87"/>
      <c r="G169" s="87"/>
    </row>
    <row r="170" spans="1:7" x14ac:dyDescent="0.25">
      <c r="A170" s="87"/>
      <c r="B170" s="87"/>
      <c r="C170" s="87"/>
      <c r="D170" s="87"/>
      <c r="E170" s="87"/>
      <c r="F170" s="87"/>
      <c r="G170" s="87"/>
    </row>
    <row r="171" spans="1:7" x14ac:dyDescent="0.25">
      <c r="A171" s="87"/>
      <c r="B171" s="87"/>
      <c r="C171" s="87"/>
      <c r="D171" s="87"/>
      <c r="E171" s="87"/>
      <c r="F171" s="87"/>
      <c r="G171" s="87"/>
    </row>
    <row r="172" spans="1:7" x14ac:dyDescent="0.25">
      <c r="A172" s="87"/>
      <c r="B172" s="87"/>
      <c r="C172" s="87"/>
      <c r="D172" s="87"/>
      <c r="E172" s="87"/>
      <c r="F172" s="87"/>
      <c r="G172" s="87"/>
    </row>
    <row r="173" spans="1:7" x14ac:dyDescent="0.25">
      <c r="A173" s="87"/>
      <c r="B173" s="87"/>
      <c r="C173" s="87"/>
      <c r="D173" s="87"/>
      <c r="E173" s="87"/>
      <c r="F173" s="87"/>
      <c r="G173" s="87"/>
    </row>
    <row r="176" spans="1:7" x14ac:dyDescent="0.25">
      <c r="A176" s="53"/>
    </row>
    <row r="177" spans="1:5" x14ac:dyDescent="0.25">
      <c r="A177" s="53"/>
    </row>
    <row r="178" spans="1:5" x14ac:dyDescent="0.25">
      <c r="A178" s="53"/>
    </row>
    <row r="179" spans="1:5" x14ac:dyDescent="0.25">
      <c r="A179" s="53"/>
    </row>
    <row r="180" spans="1:5" x14ac:dyDescent="0.25">
      <c r="A180" s="53"/>
    </row>
    <row r="181" spans="1:5" x14ac:dyDescent="0.25">
      <c r="A181" s="53"/>
      <c r="E181" s="54"/>
    </row>
    <row r="182" spans="1:5" x14ac:dyDescent="0.25">
      <c r="A182" s="53"/>
      <c r="E182" s="55"/>
    </row>
    <row r="183" spans="1:5" x14ac:dyDescent="0.25">
      <c r="A183" s="53"/>
      <c r="E183" s="55"/>
    </row>
    <row r="184" spans="1:5" x14ac:dyDescent="0.25">
      <c r="A184" s="53"/>
      <c r="E184" s="55"/>
    </row>
    <row r="185" spans="1:5" x14ac:dyDescent="0.25">
      <c r="A185" s="53"/>
      <c r="E185" s="55"/>
    </row>
    <row r="186" spans="1:5" x14ac:dyDescent="0.25">
      <c r="A186" s="53"/>
      <c r="E186" s="55"/>
    </row>
    <row r="187" spans="1:5" x14ac:dyDescent="0.25">
      <c r="A187" s="53"/>
      <c r="E187" s="55"/>
    </row>
    <row r="188" spans="1:5" x14ac:dyDescent="0.25">
      <c r="A188" s="53"/>
      <c r="E188" s="55"/>
    </row>
    <row r="189" spans="1:5" x14ac:dyDescent="0.25">
      <c r="A189" s="53"/>
      <c r="E189" s="55"/>
    </row>
    <row r="190" spans="1:5" x14ac:dyDescent="0.25">
      <c r="A190" s="53"/>
      <c r="E190" s="55"/>
    </row>
    <row r="191" spans="1:5" x14ac:dyDescent="0.25">
      <c r="A191" s="53"/>
      <c r="E191" s="55"/>
    </row>
    <row r="192" spans="1:5" x14ac:dyDescent="0.25">
      <c r="A192" s="53"/>
      <c r="E192" s="55"/>
    </row>
    <row r="193" spans="1:1" x14ac:dyDescent="0.25">
      <c r="A193" s="53"/>
    </row>
    <row r="194" spans="1:1" x14ac:dyDescent="0.25">
      <c r="A194" s="53"/>
    </row>
    <row r="195" spans="1:1" x14ac:dyDescent="0.25">
      <c r="A195" s="53"/>
    </row>
    <row r="196" spans="1:1" x14ac:dyDescent="0.25">
      <c r="A196" s="53"/>
    </row>
    <row r="197" spans="1:1" x14ac:dyDescent="0.25">
      <c r="A197" s="53"/>
    </row>
    <row r="198" spans="1:1" x14ac:dyDescent="0.25">
      <c r="A198" s="53"/>
    </row>
    <row r="199" spans="1:1" x14ac:dyDescent="0.25">
      <c r="A199" s="53"/>
    </row>
    <row r="200" spans="1:1" x14ac:dyDescent="0.25">
      <c r="A200" s="53"/>
    </row>
    <row r="201" spans="1:1" x14ac:dyDescent="0.25">
      <c r="A201" s="53"/>
    </row>
    <row r="202" spans="1:1" x14ac:dyDescent="0.25">
      <c r="A202" s="53"/>
    </row>
    <row r="203" spans="1:1" x14ac:dyDescent="0.25">
      <c r="A203" s="53"/>
    </row>
    <row r="204" spans="1:1" x14ac:dyDescent="0.25">
      <c r="A204" s="53"/>
    </row>
    <row r="205" spans="1:1" x14ac:dyDescent="0.25">
      <c r="A205" s="53"/>
    </row>
    <row r="206" spans="1:1" x14ac:dyDescent="0.25">
      <c r="A206" s="53"/>
    </row>
    <row r="207" spans="1:1" x14ac:dyDescent="0.25">
      <c r="A207" s="53"/>
    </row>
    <row r="208" spans="1:1" x14ac:dyDescent="0.25">
      <c r="A208" s="53"/>
    </row>
    <row r="209" spans="1:3" x14ac:dyDescent="0.25">
      <c r="A209" s="53"/>
    </row>
    <row r="210" spans="1:3" x14ac:dyDescent="0.25">
      <c r="A210" s="53"/>
    </row>
    <row r="211" spans="1:3" x14ac:dyDescent="0.25">
      <c r="A211" s="53"/>
    </row>
    <row r="212" spans="1:3" x14ac:dyDescent="0.25">
      <c r="A212" s="53"/>
    </row>
    <row r="213" spans="1:3" x14ac:dyDescent="0.25">
      <c r="A213" s="53" t="s">
        <v>2137</v>
      </c>
    </row>
    <row r="214" spans="1:3" x14ac:dyDescent="0.25">
      <c r="A214" s="56" t="str">
        <f t="shared" ref="A214:A219" si="36">A25</f>
        <v>Medicare</v>
      </c>
      <c r="B214" s="67">
        <f t="shared" ref="B214:B219" si="37">F25</f>
        <v>3015664</v>
      </c>
    </row>
    <row r="215" spans="1:3" x14ac:dyDescent="0.25">
      <c r="A215" s="56" t="str">
        <f t="shared" si="36"/>
        <v>Medi-Cal</v>
      </c>
      <c r="B215" s="67">
        <f t="shared" si="37"/>
        <v>5856603</v>
      </c>
    </row>
    <row r="216" spans="1:3" x14ac:dyDescent="0.25">
      <c r="A216" s="56" t="str">
        <f t="shared" si="36"/>
        <v>Private Coverage</v>
      </c>
      <c r="B216" s="67">
        <f t="shared" si="37"/>
        <v>3792434</v>
      </c>
    </row>
    <row r="217" spans="1:3" x14ac:dyDescent="0.25">
      <c r="A217" s="56" t="str">
        <f t="shared" si="36"/>
        <v>Self-Pay/Uninsured</v>
      </c>
      <c r="B217" s="67">
        <f t="shared" si="37"/>
        <v>1094222</v>
      </c>
    </row>
    <row r="218" spans="1:3" x14ac:dyDescent="0.25">
      <c r="A218" s="56" t="str">
        <f t="shared" si="36"/>
        <v>Other</v>
      </c>
      <c r="B218" s="67">
        <f t="shared" si="37"/>
        <v>489304</v>
      </c>
    </row>
    <row r="219" spans="1:3" x14ac:dyDescent="0.25">
      <c r="A219" s="56" t="str">
        <f t="shared" si="36"/>
        <v>Unknown</v>
      </c>
      <c r="B219" s="67">
        <f t="shared" si="37"/>
        <v>4863</v>
      </c>
    </row>
    <row r="220" spans="1:3" x14ac:dyDescent="0.25">
      <c r="A220" s="56"/>
      <c r="B220" s="67">
        <f>SUM(B214:B219)</f>
        <v>14253090</v>
      </c>
    </row>
    <row r="221" spans="1:3" x14ac:dyDescent="0.25">
      <c r="A221" s="56"/>
    </row>
    <row r="222" spans="1:3" x14ac:dyDescent="0.25">
      <c r="A222" s="56"/>
      <c r="B222" s="67" t="str">
        <f t="shared" ref="B222:B229" si="38">B103</f>
        <v>ED Visit</v>
      </c>
      <c r="C222" s="42" t="str">
        <f t="shared" ref="C222:C229" si="39">D103</f>
        <v>ED Admit</v>
      </c>
    </row>
    <row r="223" spans="1:3" x14ac:dyDescent="0.25">
      <c r="A223" s="56" t="str">
        <f t="shared" ref="A223:A229" si="40">A104</f>
        <v>Asian/Pacific Islander</v>
      </c>
      <c r="B223" s="67">
        <f t="shared" si="38"/>
        <v>691015</v>
      </c>
      <c r="C223" s="42">
        <f t="shared" si="39"/>
        <v>159237</v>
      </c>
    </row>
    <row r="224" spans="1:3" x14ac:dyDescent="0.25">
      <c r="A224" s="56" t="str">
        <f t="shared" si="40"/>
        <v>Black</v>
      </c>
      <c r="B224" s="67">
        <f t="shared" si="38"/>
        <v>1378263</v>
      </c>
      <c r="C224" s="42">
        <f t="shared" si="39"/>
        <v>190820</v>
      </c>
    </row>
    <row r="225" spans="1:4" x14ac:dyDescent="0.25">
      <c r="A225" s="56" t="str">
        <f t="shared" si="40"/>
        <v>Hispanic</v>
      </c>
      <c r="B225" s="67">
        <f t="shared" si="38"/>
        <v>4842250</v>
      </c>
      <c r="C225" s="42">
        <f t="shared" si="39"/>
        <v>522261</v>
      </c>
    </row>
    <row r="226" spans="1:4" x14ac:dyDescent="0.25">
      <c r="A226" s="56" t="str">
        <f t="shared" si="40"/>
        <v>American Indian/Alaska Native</v>
      </c>
      <c r="B226" s="67">
        <f t="shared" si="38"/>
        <v>63039</v>
      </c>
      <c r="C226" s="42">
        <f t="shared" si="39"/>
        <v>5727</v>
      </c>
    </row>
    <row r="227" spans="1:4" x14ac:dyDescent="0.25">
      <c r="A227" s="56" t="str">
        <f t="shared" si="40"/>
        <v>White</v>
      </c>
      <c r="B227" s="67">
        <f t="shared" si="38"/>
        <v>4750400</v>
      </c>
      <c r="C227" s="42">
        <f t="shared" si="39"/>
        <v>932781</v>
      </c>
    </row>
    <row r="228" spans="1:4" x14ac:dyDescent="0.25">
      <c r="A228" s="56" t="str">
        <f t="shared" si="40"/>
        <v>Other</v>
      </c>
      <c r="B228" s="67">
        <f t="shared" si="38"/>
        <v>465611</v>
      </c>
      <c r="C228" s="42">
        <f t="shared" si="39"/>
        <v>65590</v>
      </c>
    </row>
    <row r="229" spans="1:4" x14ac:dyDescent="0.25">
      <c r="A229" s="56" t="str">
        <f t="shared" si="40"/>
        <v>Unknown/Invalid/Blank</v>
      </c>
      <c r="B229" s="67">
        <f t="shared" si="38"/>
        <v>177138</v>
      </c>
      <c r="C229" s="42">
        <f t="shared" si="39"/>
        <v>8958</v>
      </c>
    </row>
    <row r="230" spans="1:4" x14ac:dyDescent="0.25">
      <c r="A230" s="56"/>
      <c r="B230" s="67">
        <f>SUM(B223:B229)</f>
        <v>12367716</v>
      </c>
      <c r="C230" s="51">
        <f>SUM(C223:C229)</f>
        <v>1885374</v>
      </c>
      <c r="D230" s="67">
        <f>SUM(B230:C230)</f>
        <v>14253090</v>
      </c>
    </row>
    <row r="231" spans="1:4" x14ac:dyDescent="0.25">
      <c r="A231" s="56"/>
    </row>
    <row r="232" spans="1:4" x14ac:dyDescent="0.25">
      <c r="A232" s="53"/>
    </row>
    <row r="233" spans="1:4" x14ac:dyDescent="0.25">
      <c r="A233" s="53"/>
    </row>
    <row r="234" spans="1:4" x14ac:dyDescent="0.25">
      <c r="A234" s="53"/>
    </row>
    <row r="235" spans="1:4" x14ac:dyDescent="0.25">
      <c r="A235" s="53"/>
    </row>
    <row r="236" spans="1:4" x14ac:dyDescent="0.25">
      <c r="A236" s="53"/>
    </row>
    <row r="237" spans="1:4" x14ac:dyDescent="0.25">
      <c r="A237" s="53"/>
    </row>
    <row r="238" spans="1:4" x14ac:dyDescent="0.25">
      <c r="A238" s="53"/>
    </row>
    <row r="239" spans="1:4" x14ac:dyDescent="0.25">
      <c r="A239" s="53"/>
    </row>
    <row r="240" spans="1:4" x14ac:dyDescent="0.25">
      <c r="A240" s="53"/>
    </row>
    <row r="241" spans="1:1" x14ac:dyDescent="0.25">
      <c r="A241" s="53"/>
    </row>
    <row r="242" spans="1:1" x14ac:dyDescent="0.25">
      <c r="A242" s="53"/>
    </row>
    <row r="243" spans="1:1" x14ac:dyDescent="0.25">
      <c r="A243" s="53"/>
    </row>
    <row r="244" spans="1:1" x14ac:dyDescent="0.25">
      <c r="A244" s="53"/>
    </row>
    <row r="245" spans="1:1" x14ac:dyDescent="0.25">
      <c r="A245" s="53"/>
    </row>
    <row r="246" spans="1:1" x14ac:dyDescent="0.25">
      <c r="A246" s="53"/>
    </row>
    <row r="247" spans="1:1" x14ac:dyDescent="0.25">
      <c r="A247" s="53"/>
    </row>
    <row r="248" spans="1:1" x14ac:dyDescent="0.25">
      <c r="A248" s="53"/>
    </row>
    <row r="249" spans="1:1" x14ac:dyDescent="0.25">
      <c r="A249" s="53"/>
    </row>
    <row r="250" spans="1:1" x14ac:dyDescent="0.25">
      <c r="A250" s="53"/>
    </row>
    <row r="251" spans="1:1" x14ac:dyDescent="0.25">
      <c r="A251" s="53"/>
    </row>
    <row r="252" spans="1:1" x14ac:dyDescent="0.25">
      <c r="A252" s="53"/>
    </row>
    <row r="253" spans="1:1" x14ac:dyDescent="0.25">
      <c r="A253" s="53"/>
    </row>
    <row r="254" spans="1:1" x14ac:dyDescent="0.25">
      <c r="A254" s="53"/>
    </row>
    <row r="255" spans="1:1" x14ac:dyDescent="0.25">
      <c r="A255" s="53"/>
    </row>
    <row r="256" spans="1:1" x14ac:dyDescent="0.25">
      <c r="A256" s="53"/>
    </row>
    <row r="257" spans="1:1" x14ac:dyDescent="0.25">
      <c r="A257" s="53"/>
    </row>
    <row r="258" spans="1:1" x14ac:dyDescent="0.25">
      <c r="A258" s="53"/>
    </row>
    <row r="259" spans="1:1" x14ac:dyDescent="0.25">
      <c r="A259" s="53"/>
    </row>
    <row r="260" spans="1:1" x14ac:dyDescent="0.25">
      <c r="A260" s="53"/>
    </row>
    <row r="261" spans="1:1" x14ac:dyDescent="0.25">
      <c r="A261" s="53"/>
    </row>
    <row r="262" spans="1:1" x14ac:dyDescent="0.25">
      <c r="A262" s="53"/>
    </row>
    <row r="263" spans="1:1" x14ac:dyDescent="0.25">
      <c r="A263" s="53"/>
    </row>
    <row r="264" spans="1:1" x14ac:dyDescent="0.25">
      <c r="A264" s="53"/>
    </row>
    <row r="265" spans="1:1" x14ac:dyDescent="0.25">
      <c r="A265" s="53"/>
    </row>
    <row r="266" spans="1:1" x14ac:dyDescent="0.25">
      <c r="A266" s="53"/>
    </row>
    <row r="267" spans="1:1" x14ac:dyDescent="0.25">
      <c r="A267" s="53"/>
    </row>
    <row r="268" spans="1:1" x14ac:dyDescent="0.25">
      <c r="A268" s="53"/>
    </row>
    <row r="269" spans="1:1" x14ac:dyDescent="0.25">
      <c r="A269" s="53"/>
    </row>
    <row r="270" spans="1:1" x14ac:dyDescent="0.25">
      <c r="A270" s="53"/>
    </row>
    <row r="271" spans="1:1" x14ac:dyDescent="0.25">
      <c r="A271" s="53"/>
    </row>
    <row r="272" spans="1:1" x14ac:dyDescent="0.25">
      <c r="A272" s="53"/>
    </row>
    <row r="273" spans="1:1" x14ac:dyDescent="0.25">
      <c r="A273" s="53"/>
    </row>
    <row r="274" spans="1:1" x14ac:dyDescent="0.25">
      <c r="A274" s="53"/>
    </row>
    <row r="275" spans="1:1" x14ac:dyDescent="0.25">
      <c r="A275" s="53"/>
    </row>
    <row r="276" spans="1:1" x14ac:dyDescent="0.25">
      <c r="A276" s="53"/>
    </row>
    <row r="277" spans="1:1" x14ac:dyDescent="0.25">
      <c r="A277" s="53"/>
    </row>
    <row r="278" spans="1:1" x14ac:dyDescent="0.25">
      <c r="A278" s="53"/>
    </row>
    <row r="279" spans="1:1" x14ac:dyDescent="0.25">
      <c r="A279" s="53"/>
    </row>
    <row r="280" spans="1:1" x14ac:dyDescent="0.25">
      <c r="A280" s="53"/>
    </row>
    <row r="281" spans="1:1" x14ac:dyDescent="0.25">
      <c r="A281" s="53"/>
    </row>
    <row r="282" spans="1:1" x14ac:dyDescent="0.25">
      <c r="A282" s="53"/>
    </row>
    <row r="283" spans="1:1" x14ac:dyDescent="0.25">
      <c r="A283" s="53"/>
    </row>
    <row r="284" spans="1:1" x14ac:dyDescent="0.25">
      <c r="A284" s="53"/>
    </row>
    <row r="285" spans="1:1" x14ac:dyDescent="0.25">
      <c r="A285" s="53"/>
    </row>
    <row r="286" spans="1:1" x14ac:dyDescent="0.25">
      <c r="A286" s="53"/>
    </row>
    <row r="287" spans="1:1" x14ac:dyDescent="0.25">
      <c r="A287" s="53"/>
    </row>
    <row r="288" spans="1:1" x14ac:dyDescent="0.25">
      <c r="A288" s="53"/>
    </row>
    <row r="289" spans="1:1" x14ac:dyDescent="0.25">
      <c r="A289" s="53"/>
    </row>
    <row r="290" spans="1:1" x14ac:dyDescent="0.25">
      <c r="A290" s="53"/>
    </row>
    <row r="291" spans="1:1" x14ac:dyDescent="0.25">
      <c r="A291" s="53"/>
    </row>
    <row r="292" spans="1:1" x14ac:dyDescent="0.25">
      <c r="A292" s="53"/>
    </row>
    <row r="293" spans="1:1" x14ac:dyDescent="0.25">
      <c r="A293" s="53"/>
    </row>
    <row r="294" spans="1:1" x14ac:dyDescent="0.25">
      <c r="A294" s="53"/>
    </row>
    <row r="295" spans="1:1" x14ac:dyDescent="0.25">
      <c r="A295" s="53"/>
    </row>
    <row r="296" spans="1:1" x14ac:dyDescent="0.25">
      <c r="A296" s="53"/>
    </row>
    <row r="297" spans="1:1" x14ac:dyDescent="0.25">
      <c r="A297" s="53"/>
    </row>
    <row r="298" spans="1:1" x14ac:dyDescent="0.25">
      <c r="A298" s="53"/>
    </row>
    <row r="299" spans="1:1" x14ac:dyDescent="0.25">
      <c r="A299" s="53"/>
    </row>
    <row r="300" spans="1:1" x14ac:dyDescent="0.25">
      <c r="A300" s="53"/>
    </row>
    <row r="301" spans="1:1" x14ac:dyDescent="0.25">
      <c r="A301" s="53"/>
    </row>
    <row r="302" spans="1:1" x14ac:dyDescent="0.25">
      <c r="A302" s="53"/>
    </row>
    <row r="303" spans="1:1" x14ac:dyDescent="0.25">
      <c r="A303" s="53"/>
    </row>
    <row r="304" spans="1:1" x14ac:dyDescent="0.25">
      <c r="A304" s="53"/>
    </row>
    <row r="305" spans="1:1" x14ac:dyDescent="0.25">
      <c r="A305" s="53"/>
    </row>
    <row r="306" spans="1:1" x14ac:dyDescent="0.25">
      <c r="A306" s="53"/>
    </row>
    <row r="307" spans="1:1" x14ac:dyDescent="0.25">
      <c r="A307" s="53"/>
    </row>
    <row r="308" spans="1:1" x14ac:dyDescent="0.25">
      <c r="A308" s="53"/>
    </row>
    <row r="309" spans="1:1" x14ac:dyDescent="0.25">
      <c r="A309" s="53"/>
    </row>
    <row r="310" spans="1:1" x14ac:dyDescent="0.25">
      <c r="A310" s="53"/>
    </row>
    <row r="311" spans="1:1" x14ac:dyDescent="0.25">
      <c r="A311" s="53"/>
    </row>
    <row r="312" spans="1:1" x14ac:dyDescent="0.25">
      <c r="A312" s="53"/>
    </row>
    <row r="313" spans="1:1" x14ac:dyDescent="0.25">
      <c r="A313" s="53"/>
    </row>
    <row r="314" spans="1:1" x14ac:dyDescent="0.25">
      <c r="A314" s="53"/>
    </row>
    <row r="315" spans="1:1" x14ac:dyDescent="0.25">
      <c r="A315" s="53"/>
    </row>
    <row r="316" spans="1:1" x14ac:dyDescent="0.25">
      <c r="A316" s="53"/>
    </row>
    <row r="317" spans="1:1" x14ac:dyDescent="0.25">
      <c r="A317" s="53"/>
    </row>
    <row r="318" spans="1:1" x14ac:dyDescent="0.25">
      <c r="A318" s="53"/>
    </row>
    <row r="319" spans="1:1" x14ac:dyDescent="0.25">
      <c r="A319" s="53"/>
    </row>
    <row r="320" spans="1:1" x14ac:dyDescent="0.25">
      <c r="A320" s="53"/>
    </row>
    <row r="321" spans="1:1" x14ac:dyDescent="0.25">
      <c r="A321" s="53"/>
    </row>
    <row r="322" spans="1:1" x14ac:dyDescent="0.25">
      <c r="A322" s="53"/>
    </row>
    <row r="323" spans="1:1" x14ac:dyDescent="0.25">
      <c r="A323" s="53"/>
    </row>
    <row r="324" spans="1:1" x14ac:dyDescent="0.25">
      <c r="A324" s="53"/>
    </row>
    <row r="325" spans="1:1" x14ac:dyDescent="0.25">
      <c r="A325" s="53"/>
    </row>
    <row r="326" spans="1:1" x14ac:dyDescent="0.25">
      <c r="A326" s="53"/>
    </row>
    <row r="327" spans="1:1" x14ac:dyDescent="0.25">
      <c r="A327" s="53"/>
    </row>
    <row r="328" spans="1:1" x14ac:dyDescent="0.25">
      <c r="A328" s="53"/>
    </row>
    <row r="329" spans="1:1" x14ac:dyDescent="0.25">
      <c r="A329" s="53"/>
    </row>
    <row r="330" spans="1:1" x14ac:dyDescent="0.25">
      <c r="A330" s="53"/>
    </row>
    <row r="331" spans="1:1" x14ac:dyDescent="0.25">
      <c r="A331" s="53"/>
    </row>
    <row r="332" spans="1:1" x14ac:dyDescent="0.25">
      <c r="A332" s="53"/>
    </row>
    <row r="333" spans="1:1" x14ac:dyDescent="0.25">
      <c r="A333" s="53"/>
    </row>
    <row r="334" spans="1:1" x14ac:dyDescent="0.25">
      <c r="A334" s="53"/>
    </row>
    <row r="335" spans="1:1" x14ac:dyDescent="0.25">
      <c r="A335" s="53"/>
    </row>
    <row r="336" spans="1:1" x14ac:dyDescent="0.25">
      <c r="A336" s="53"/>
    </row>
    <row r="337" spans="1:1" x14ac:dyDescent="0.25">
      <c r="A337" s="53"/>
    </row>
    <row r="338" spans="1:1" x14ac:dyDescent="0.25">
      <c r="A338" s="53"/>
    </row>
    <row r="339" spans="1:1" x14ac:dyDescent="0.25">
      <c r="A339" s="53"/>
    </row>
    <row r="340" spans="1:1" x14ac:dyDescent="0.25">
      <c r="A340" s="53"/>
    </row>
    <row r="341" spans="1:1" x14ac:dyDescent="0.25">
      <c r="A341" s="53"/>
    </row>
    <row r="342" spans="1:1" x14ac:dyDescent="0.25">
      <c r="A342" s="53"/>
    </row>
    <row r="343" spans="1:1" x14ac:dyDescent="0.25">
      <c r="A343" s="53"/>
    </row>
    <row r="344" spans="1:1" x14ac:dyDescent="0.25">
      <c r="A344" s="53"/>
    </row>
    <row r="345" spans="1:1" x14ac:dyDescent="0.25">
      <c r="A345" s="53"/>
    </row>
    <row r="346" spans="1:1" x14ac:dyDescent="0.25">
      <c r="A346" s="53"/>
    </row>
    <row r="347" spans="1:1" x14ac:dyDescent="0.25">
      <c r="A347" s="53"/>
    </row>
    <row r="348" spans="1:1" x14ac:dyDescent="0.25">
      <c r="A348" s="53"/>
    </row>
    <row r="349" spans="1:1" x14ac:dyDescent="0.25">
      <c r="A349" s="53"/>
    </row>
    <row r="350" spans="1:1" x14ac:dyDescent="0.25">
      <c r="A350" s="53"/>
    </row>
    <row r="351" spans="1:1" x14ac:dyDescent="0.25">
      <c r="A351" s="53"/>
    </row>
    <row r="352" spans="1:1" x14ac:dyDescent="0.25">
      <c r="A352" s="53"/>
    </row>
    <row r="353" spans="1:1" x14ac:dyDescent="0.25">
      <c r="A353" s="53"/>
    </row>
    <row r="354" spans="1:1" x14ac:dyDescent="0.25">
      <c r="A354" s="53"/>
    </row>
    <row r="355" spans="1:1" x14ac:dyDescent="0.25">
      <c r="A355" s="53"/>
    </row>
    <row r="356" spans="1:1" x14ac:dyDescent="0.25">
      <c r="A356" s="53"/>
    </row>
    <row r="357" spans="1:1" x14ac:dyDescent="0.25">
      <c r="A357" s="53"/>
    </row>
    <row r="358" spans="1:1" x14ac:dyDescent="0.25">
      <c r="A358" s="53"/>
    </row>
    <row r="359" spans="1:1" x14ac:dyDescent="0.25">
      <c r="A359" s="53"/>
    </row>
    <row r="360" spans="1:1" x14ac:dyDescent="0.25">
      <c r="A360" s="53"/>
    </row>
    <row r="361" spans="1:1" x14ac:dyDescent="0.25">
      <c r="A361" s="53"/>
    </row>
    <row r="362" spans="1:1" x14ac:dyDescent="0.25">
      <c r="A362" s="53"/>
    </row>
    <row r="363" spans="1:1" x14ac:dyDescent="0.25">
      <c r="A363" s="53"/>
    </row>
    <row r="364" spans="1:1" x14ac:dyDescent="0.25">
      <c r="A364" s="53"/>
    </row>
    <row r="365" spans="1:1" x14ac:dyDescent="0.25">
      <c r="A365" s="53"/>
    </row>
    <row r="366" spans="1:1" x14ac:dyDescent="0.25">
      <c r="A366" s="53"/>
    </row>
    <row r="367" spans="1:1" x14ac:dyDescent="0.25">
      <c r="A367" s="53"/>
    </row>
    <row r="368" spans="1:1" x14ac:dyDescent="0.25">
      <c r="A368" s="53"/>
    </row>
    <row r="369" spans="1:1" x14ac:dyDescent="0.25">
      <c r="A369" s="53"/>
    </row>
    <row r="370" spans="1:1" x14ac:dyDescent="0.25">
      <c r="A370" s="53"/>
    </row>
    <row r="371" spans="1:1" x14ac:dyDescent="0.25">
      <c r="A371" s="53"/>
    </row>
    <row r="372" spans="1:1" x14ac:dyDescent="0.25">
      <c r="A372" s="53"/>
    </row>
    <row r="373" spans="1:1" x14ac:dyDescent="0.25">
      <c r="A373" s="53"/>
    </row>
    <row r="374" spans="1:1" x14ac:dyDescent="0.25">
      <c r="A374" s="53"/>
    </row>
    <row r="375" spans="1:1" x14ac:dyDescent="0.25">
      <c r="A375" s="53"/>
    </row>
    <row r="376" spans="1:1" x14ac:dyDescent="0.25">
      <c r="A376" s="53"/>
    </row>
    <row r="377" spans="1:1" x14ac:dyDescent="0.25">
      <c r="A377" s="53"/>
    </row>
    <row r="378" spans="1:1" x14ac:dyDescent="0.25">
      <c r="A378" s="53"/>
    </row>
    <row r="379" spans="1:1" x14ac:dyDescent="0.25">
      <c r="A379" s="53"/>
    </row>
    <row r="380" spans="1:1" x14ac:dyDescent="0.25">
      <c r="A380" s="53"/>
    </row>
    <row r="381" spans="1:1" x14ac:dyDescent="0.25">
      <c r="A381" s="53"/>
    </row>
    <row r="382" spans="1:1" x14ac:dyDescent="0.25">
      <c r="A382" s="53"/>
    </row>
    <row r="383" spans="1:1" x14ac:dyDescent="0.25">
      <c r="A383" s="53"/>
    </row>
    <row r="384" spans="1:1" x14ac:dyDescent="0.25">
      <c r="A384" s="53"/>
    </row>
    <row r="385" spans="1:1" x14ac:dyDescent="0.25">
      <c r="A385" s="53"/>
    </row>
    <row r="386" spans="1:1" x14ac:dyDescent="0.25">
      <c r="A386" s="53"/>
    </row>
    <row r="387" spans="1:1" x14ac:dyDescent="0.25">
      <c r="A387" s="53"/>
    </row>
    <row r="388" spans="1:1" x14ac:dyDescent="0.25">
      <c r="A388" s="53"/>
    </row>
    <row r="389" spans="1:1" x14ac:dyDescent="0.25">
      <c r="A389" s="53"/>
    </row>
    <row r="390" spans="1:1" x14ac:dyDescent="0.25">
      <c r="A390" s="53"/>
    </row>
    <row r="391" spans="1:1" x14ac:dyDescent="0.25">
      <c r="A391" s="53"/>
    </row>
    <row r="392" spans="1:1" x14ac:dyDescent="0.25">
      <c r="A392" s="53"/>
    </row>
    <row r="393" spans="1:1" x14ac:dyDescent="0.25">
      <c r="A393" s="53"/>
    </row>
    <row r="394" spans="1:1" x14ac:dyDescent="0.25">
      <c r="A394" s="53"/>
    </row>
    <row r="395" spans="1:1" x14ac:dyDescent="0.25">
      <c r="A395" s="53"/>
    </row>
    <row r="396" spans="1:1" x14ac:dyDescent="0.25">
      <c r="A396" s="53"/>
    </row>
    <row r="397" spans="1:1" x14ac:dyDescent="0.25">
      <c r="A397" s="53"/>
    </row>
    <row r="398" spans="1:1" x14ac:dyDescent="0.25">
      <c r="A398" s="53"/>
    </row>
    <row r="399" spans="1:1" x14ac:dyDescent="0.25">
      <c r="A399" s="53"/>
    </row>
    <row r="400" spans="1:1" x14ac:dyDescent="0.25">
      <c r="A400" s="53"/>
    </row>
    <row r="401" spans="1:1" x14ac:dyDescent="0.25">
      <c r="A401" s="53"/>
    </row>
    <row r="402" spans="1:1" x14ac:dyDescent="0.25">
      <c r="A402" s="53"/>
    </row>
    <row r="403" spans="1:1" x14ac:dyDescent="0.25">
      <c r="A403" s="53"/>
    </row>
    <row r="404" spans="1:1" x14ac:dyDescent="0.25">
      <c r="A404" s="53"/>
    </row>
    <row r="405" spans="1:1" x14ac:dyDescent="0.25">
      <c r="A405" s="53"/>
    </row>
    <row r="406" spans="1:1" x14ac:dyDescent="0.25">
      <c r="A406" s="53"/>
    </row>
    <row r="407" spans="1:1" x14ac:dyDescent="0.25">
      <c r="A407" s="53"/>
    </row>
    <row r="408" spans="1:1" x14ac:dyDescent="0.25">
      <c r="A408" s="53"/>
    </row>
    <row r="409" spans="1:1" x14ac:dyDescent="0.25">
      <c r="A409" s="53"/>
    </row>
    <row r="410" spans="1:1" x14ac:dyDescent="0.25">
      <c r="A410" s="53"/>
    </row>
    <row r="411" spans="1:1" x14ac:dyDescent="0.25">
      <c r="A411" s="53"/>
    </row>
    <row r="412" spans="1:1" x14ac:dyDescent="0.25">
      <c r="A412" s="53"/>
    </row>
    <row r="413" spans="1:1" x14ac:dyDescent="0.25">
      <c r="A413" s="53"/>
    </row>
    <row r="414" spans="1:1" x14ac:dyDescent="0.25">
      <c r="A414" s="53"/>
    </row>
    <row r="415" spans="1:1" x14ac:dyDescent="0.25">
      <c r="A415" s="53"/>
    </row>
    <row r="416" spans="1:1" x14ac:dyDescent="0.25">
      <c r="A416" s="53"/>
    </row>
    <row r="417" spans="1:1" x14ac:dyDescent="0.25">
      <c r="A417" s="53"/>
    </row>
    <row r="418" spans="1:1" x14ac:dyDescent="0.25">
      <c r="A418" s="53"/>
    </row>
    <row r="419" spans="1:1" x14ac:dyDescent="0.25">
      <c r="A419" s="53"/>
    </row>
    <row r="420" spans="1:1" x14ac:dyDescent="0.25">
      <c r="A420" s="53"/>
    </row>
    <row r="421" spans="1:1" x14ac:dyDescent="0.25">
      <c r="A421" s="53"/>
    </row>
    <row r="422" spans="1:1" x14ac:dyDescent="0.25">
      <c r="A422" s="53"/>
    </row>
    <row r="423" spans="1:1" x14ac:dyDescent="0.25">
      <c r="A423" s="53"/>
    </row>
    <row r="424" spans="1:1" x14ac:dyDescent="0.25">
      <c r="A424" s="53"/>
    </row>
    <row r="425" spans="1:1" x14ac:dyDescent="0.25">
      <c r="A425" s="53"/>
    </row>
    <row r="426" spans="1:1" x14ac:dyDescent="0.25">
      <c r="A426" s="53"/>
    </row>
    <row r="427" spans="1:1" x14ac:dyDescent="0.25">
      <c r="A427" s="53"/>
    </row>
    <row r="428" spans="1:1" x14ac:dyDescent="0.25">
      <c r="A428" s="53"/>
    </row>
    <row r="429" spans="1:1" x14ac:dyDescent="0.25">
      <c r="A429" s="53"/>
    </row>
    <row r="430" spans="1:1" x14ac:dyDescent="0.25">
      <c r="A430" s="53"/>
    </row>
    <row r="431" spans="1:1" x14ac:dyDescent="0.25">
      <c r="A431" s="53"/>
    </row>
    <row r="432" spans="1:1" x14ac:dyDescent="0.25">
      <c r="A432" s="53"/>
    </row>
    <row r="433" spans="1:1" x14ac:dyDescent="0.25">
      <c r="A433" s="53"/>
    </row>
    <row r="434" spans="1:1" x14ac:dyDescent="0.25">
      <c r="A434" s="53"/>
    </row>
    <row r="435" spans="1:1" x14ac:dyDescent="0.25">
      <c r="A435" s="53"/>
    </row>
    <row r="436" spans="1:1" x14ac:dyDescent="0.25">
      <c r="A436" s="53"/>
    </row>
    <row r="437" spans="1:1" x14ac:dyDescent="0.25">
      <c r="A437" s="53"/>
    </row>
    <row r="438" spans="1:1" x14ac:dyDescent="0.25">
      <c r="A438" s="53"/>
    </row>
    <row r="439" spans="1:1" x14ac:dyDescent="0.25">
      <c r="A439" s="53"/>
    </row>
    <row r="440" spans="1:1" x14ac:dyDescent="0.25">
      <c r="A440" s="53"/>
    </row>
    <row r="441" spans="1:1" x14ac:dyDescent="0.25">
      <c r="A441" s="53"/>
    </row>
    <row r="442" spans="1:1" x14ac:dyDescent="0.25">
      <c r="A442" s="53"/>
    </row>
    <row r="443" spans="1:1" x14ac:dyDescent="0.25">
      <c r="A443" s="53"/>
    </row>
    <row r="444" spans="1:1" x14ac:dyDescent="0.25">
      <c r="A444" s="53"/>
    </row>
    <row r="445" spans="1:1" x14ac:dyDescent="0.25">
      <c r="A445" s="53"/>
    </row>
    <row r="446" spans="1:1" x14ac:dyDescent="0.25">
      <c r="A446" s="53"/>
    </row>
    <row r="447" spans="1:1" x14ac:dyDescent="0.25">
      <c r="A447" s="53"/>
    </row>
    <row r="448" spans="1:1" x14ac:dyDescent="0.25">
      <c r="A448" s="53"/>
    </row>
    <row r="449" spans="1:1" x14ac:dyDescent="0.25">
      <c r="A449" s="53"/>
    </row>
    <row r="450" spans="1:1" x14ac:dyDescent="0.25">
      <c r="A450" s="53"/>
    </row>
    <row r="451" spans="1:1" x14ac:dyDescent="0.25">
      <c r="A451" s="53"/>
    </row>
    <row r="452" spans="1:1" x14ac:dyDescent="0.25">
      <c r="A452" s="53"/>
    </row>
    <row r="453" spans="1:1" x14ac:dyDescent="0.25">
      <c r="A453" s="53"/>
    </row>
    <row r="454" spans="1:1" x14ac:dyDescent="0.25">
      <c r="A454" s="53"/>
    </row>
    <row r="455" spans="1:1" x14ac:dyDescent="0.25">
      <c r="A455" s="53"/>
    </row>
    <row r="456" spans="1:1" x14ac:dyDescent="0.25">
      <c r="A456" s="53"/>
    </row>
    <row r="457" spans="1:1" x14ac:dyDescent="0.25">
      <c r="A457" s="53"/>
    </row>
    <row r="458" spans="1:1" x14ac:dyDescent="0.25">
      <c r="A458" s="53"/>
    </row>
    <row r="459" spans="1:1" x14ac:dyDescent="0.25">
      <c r="A459" s="53"/>
    </row>
    <row r="460" spans="1:1" x14ac:dyDescent="0.25">
      <c r="A460" s="53"/>
    </row>
    <row r="461" spans="1:1" x14ac:dyDescent="0.25">
      <c r="A461" s="53"/>
    </row>
    <row r="462" spans="1:1" x14ac:dyDescent="0.25">
      <c r="A462" s="53"/>
    </row>
    <row r="463" spans="1:1" x14ac:dyDescent="0.25">
      <c r="A463" s="53"/>
    </row>
    <row r="464" spans="1:1" x14ac:dyDescent="0.25">
      <c r="A464" s="53"/>
    </row>
    <row r="465" spans="1:1" x14ac:dyDescent="0.25">
      <c r="A465" s="53"/>
    </row>
    <row r="466" spans="1:1" x14ac:dyDescent="0.25">
      <c r="A466" s="53"/>
    </row>
    <row r="467" spans="1:1" x14ac:dyDescent="0.25">
      <c r="A467" s="53"/>
    </row>
    <row r="468" spans="1:1" x14ac:dyDescent="0.25">
      <c r="A468" s="57"/>
    </row>
    <row r="469" spans="1:1" x14ac:dyDescent="0.25">
      <c r="A469" s="57"/>
    </row>
    <row r="470" spans="1:1" x14ac:dyDescent="0.25">
      <c r="A470" s="57"/>
    </row>
    <row r="471" spans="1:1" x14ac:dyDescent="0.25">
      <c r="A471" s="57"/>
    </row>
    <row r="472" spans="1:1" x14ac:dyDescent="0.25">
      <c r="A472" s="57"/>
    </row>
    <row r="473" spans="1:1" x14ac:dyDescent="0.25">
      <c r="A473" s="57"/>
    </row>
    <row r="474" spans="1:1" x14ac:dyDescent="0.25">
      <c r="A474" s="57"/>
    </row>
    <row r="475" spans="1:1" x14ac:dyDescent="0.25">
      <c r="A475" s="57"/>
    </row>
    <row r="476" spans="1:1" x14ac:dyDescent="0.25">
      <c r="A476" s="57"/>
    </row>
    <row r="477" spans="1:1" x14ac:dyDescent="0.25">
      <c r="A477" s="57"/>
    </row>
    <row r="478" spans="1:1" x14ac:dyDescent="0.25">
      <c r="A478" s="57"/>
    </row>
    <row r="479" spans="1:1" x14ac:dyDescent="0.25">
      <c r="A479" s="57"/>
    </row>
    <row r="480" spans="1:1" x14ac:dyDescent="0.25">
      <c r="A480" s="57"/>
    </row>
    <row r="481" spans="1:1" x14ac:dyDescent="0.25">
      <c r="A481" s="57"/>
    </row>
    <row r="482" spans="1:1" x14ac:dyDescent="0.25">
      <c r="A482" s="57"/>
    </row>
    <row r="483" spans="1:1" x14ac:dyDescent="0.25">
      <c r="A483" s="57"/>
    </row>
    <row r="484" spans="1:1" x14ac:dyDescent="0.25">
      <c r="A484" s="57"/>
    </row>
    <row r="485" spans="1:1" x14ac:dyDescent="0.25">
      <c r="A485" s="57"/>
    </row>
    <row r="486" spans="1:1" x14ac:dyDescent="0.25">
      <c r="A486" s="57"/>
    </row>
    <row r="487" spans="1:1" x14ac:dyDescent="0.25">
      <c r="A487" s="57"/>
    </row>
    <row r="488" spans="1:1" x14ac:dyDescent="0.25">
      <c r="A488" s="57"/>
    </row>
    <row r="489" spans="1:1" x14ac:dyDescent="0.25">
      <c r="A489" s="57"/>
    </row>
    <row r="490" spans="1:1" x14ac:dyDescent="0.25">
      <c r="A490" s="57"/>
    </row>
    <row r="491" spans="1:1" x14ac:dyDescent="0.25">
      <c r="A491" s="57"/>
    </row>
    <row r="492" spans="1:1" x14ac:dyDescent="0.25">
      <c r="A492" s="57"/>
    </row>
    <row r="493" spans="1:1" x14ac:dyDescent="0.25">
      <c r="A493" s="57"/>
    </row>
    <row r="494" spans="1:1" x14ac:dyDescent="0.25">
      <c r="A494" s="57"/>
    </row>
    <row r="495" spans="1:1" x14ac:dyDescent="0.25">
      <c r="A495" s="57"/>
    </row>
    <row r="496" spans="1:1" x14ac:dyDescent="0.25">
      <c r="A496" s="57"/>
    </row>
    <row r="497" spans="1:1" x14ac:dyDescent="0.25">
      <c r="A497" s="57"/>
    </row>
    <row r="498" spans="1:1" x14ac:dyDescent="0.25">
      <c r="A498" s="57"/>
    </row>
    <row r="499" spans="1:1" x14ac:dyDescent="0.25">
      <c r="A499" s="57"/>
    </row>
    <row r="500" spans="1:1" x14ac:dyDescent="0.25">
      <c r="A500" s="57"/>
    </row>
    <row r="501" spans="1:1" x14ac:dyDescent="0.25">
      <c r="A501" s="57"/>
    </row>
    <row r="502" spans="1:1" x14ac:dyDescent="0.25">
      <c r="A502" s="57"/>
    </row>
    <row r="503" spans="1:1" x14ac:dyDescent="0.25">
      <c r="A503" s="57"/>
    </row>
    <row r="504" spans="1:1" x14ac:dyDescent="0.25">
      <c r="A504" s="57"/>
    </row>
    <row r="505" spans="1:1" x14ac:dyDescent="0.25">
      <c r="A505" s="57"/>
    </row>
    <row r="506" spans="1:1" x14ac:dyDescent="0.25">
      <c r="A506" s="57"/>
    </row>
    <row r="507" spans="1:1" x14ac:dyDescent="0.25">
      <c r="A507" s="57"/>
    </row>
    <row r="508" spans="1:1" x14ac:dyDescent="0.25">
      <c r="A508" s="57"/>
    </row>
    <row r="509" spans="1:1" x14ac:dyDescent="0.25">
      <c r="A509" s="57"/>
    </row>
    <row r="510" spans="1:1" x14ac:dyDescent="0.25">
      <c r="A510" s="57"/>
    </row>
    <row r="511" spans="1:1" x14ac:dyDescent="0.25">
      <c r="A511" s="57"/>
    </row>
    <row r="512" spans="1:1" x14ac:dyDescent="0.25">
      <c r="A512" s="57"/>
    </row>
    <row r="513" spans="1:1" x14ac:dyDescent="0.25">
      <c r="A513" s="57"/>
    </row>
    <row r="514" spans="1:1" x14ac:dyDescent="0.25">
      <c r="A514" s="57"/>
    </row>
    <row r="515" spans="1:1" x14ac:dyDescent="0.25">
      <c r="A515" s="57"/>
    </row>
    <row r="516" spans="1:1" x14ac:dyDescent="0.25">
      <c r="A516" s="57"/>
    </row>
    <row r="517" spans="1:1" x14ac:dyDescent="0.25">
      <c r="A517" s="57"/>
    </row>
    <row r="518" spans="1:1" x14ac:dyDescent="0.25">
      <c r="A518" s="57"/>
    </row>
    <row r="519" spans="1:1" x14ac:dyDescent="0.25">
      <c r="A519" s="57"/>
    </row>
    <row r="520" spans="1:1" x14ac:dyDescent="0.25">
      <c r="A520" s="57"/>
    </row>
    <row r="521" spans="1:1" x14ac:dyDescent="0.25">
      <c r="A521" s="57"/>
    </row>
    <row r="522" spans="1:1" x14ac:dyDescent="0.25">
      <c r="A522" s="57"/>
    </row>
    <row r="523" spans="1:1" x14ac:dyDescent="0.25">
      <c r="A523" s="57"/>
    </row>
    <row r="524" spans="1:1" x14ac:dyDescent="0.25">
      <c r="A524" s="57"/>
    </row>
    <row r="525" spans="1:1" x14ac:dyDescent="0.25">
      <c r="A525" s="57"/>
    </row>
    <row r="526" spans="1:1" x14ac:dyDescent="0.25">
      <c r="A526" s="57"/>
    </row>
    <row r="527" spans="1:1" x14ac:dyDescent="0.25">
      <c r="A527" s="57"/>
    </row>
    <row r="528" spans="1:1" x14ac:dyDescent="0.25">
      <c r="A528" s="57"/>
    </row>
    <row r="529" spans="1:1" x14ac:dyDescent="0.25">
      <c r="A529" s="57"/>
    </row>
    <row r="530" spans="1:1" x14ac:dyDescent="0.25">
      <c r="A530" s="57"/>
    </row>
    <row r="531" spans="1:1" x14ac:dyDescent="0.25">
      <c r="A531" s="57"/>
    </row>
    <row r="532" spans="1:1" x14ac:dyDescent="0.25">
      <c r="A532" s="57"/>
    </row>
    <row r="533" spans="1:1" x14ac:dyDescent="0.25">
      <c r="A533" s="57"/>
    </row>
    <row r="534" spans="1:1" x14ac:dyDescent="0.25">
      <c r="A534" s="57"/>
    </row>
    <row r="535" spans="1:1" x14ac:dyDescent="0.25">
      <c r="A535" s="57"/>
    </row>
    <row r="536" spans="1:1" x14ac:dyDescent="0.25">
      <c r="A536" s="57"/>
    </row>
    <row r="537" spans="1:1" x14ac:dyDescent="0.25">
      <c r="A537" s="57"/>
    </row>
    <row r="538" spans="1:1" x14ac:dyDescent="0.25">
      <c r="A538" s="57"/>
    </row>
    <row r="539" spans="1:1" x14ac:dyDescent="0.25">
      <c r="A539" s="57"/>
    </row>
    <row r="540" spans="1:1" x14ac:dyDescent="0.25">
      <c r="A540" s="57"/>
    </row>
    <row r="541" spans="1:1" x14ac:dyDescent="0.25">
      <c r="A541" s="57"/>
    </row>
    <row r="542" spans="1:1" x14ac:dyDescent="0.25">
      <c r="A542" s="57"/>
    </row>
    <row r="543" spans="1:1" x14ac:dyDescent="0.25">
      <c r="A543" s="57"/>
    </row>
    <row r="544" spans="1:1" x14ac:dyDescent="0.25">
      <c r="A544" s="57"/>
    </row>
    <row r="545" spans="1:1" x14ac:dyDescent="0.25">
      <c r="A545" s="57"/>
    </row>
    <row r="546" spans="1:1" x14ac:dyDescent="0.25">
      <c r="A546" s="57"/>
    </row>
    <row r="547" spans="1:1" x14ac:dyDescent="0.25">
      <c r="A547" s="57"/>
    </row>
    <row r="548" spans="1:1" x14ac:dyDescent="0.25">
      <c r="A548" s="57"/>
    </row>
    <row r="549" spans="1:1" x14ac:dyDescent="0.25">
      <c r="A549" s="57"/>
    </row>
    <row r="550" spans="1:1" x14ac:dyDescent="0.25">
      <c r="A550" s="57"/>
    </row>
    <row r="551" spans="1:1" x14ac:dyDescent="0.25">
      <c r="A551" s="57"/>
    </row>
    <row r="552" spans="1:1" x14ac:dyDescent="0.25">
      <c r="A552" s="57"/>
    </row>
    <row r="553" spans="1:1" x14ac:dyDescent="0.25">
      <c r="A553" s="57"/>
    </row>
    <row r="554" spans="1:1" x14ac:dyDescent="0.25">
      <c r="A554" s="57"/>
    </row>
    <row r="555" spans="1:1" x14ac:dyDescent="0.25">
      <c r="A555" s="57"/>
    </row>
    <row r="556" spans="1:1" x14ac:dyDescent="0.25">
      <c r="A556" s="57"/>
    </row>
    <row r="557" spans="1:1" x14ac:dyDescent="0.25">
      <c r="A557" s="57"/>
    </row>
    <row r="558" spans="1:1" x14ac:dyDescent="0.25">
      <c r="A558" s="57"/>
    </row>
    <row r="559" spans="1:1" x14ac:dyDescent="0.25">
      <c r="A559" s="57"/>
    </row>
    <row r="560" spans="1:1" x14ac:dyDescent="0.25">
      <c r="A560" s="57"/>
    </row>
    <row r="561" spans="1:1" x14ac:dyDescent="0.25">
      <c r="A561" s="57"/>
    </row>
    <row r="562" spans="1:1" x14ac:dyDescent="0.25">
      <c r="A562" s="57"/>
    </row>
    <row r="563" spans="1:1" x14ac:dyDescent="0.25">
      <c r="A563" s="57"/>
    </row>
    <row r="564" spans="1:1" x14ac:dyDescent="0.25">
      <c r="A564" s="57"/>
    </row>
    <row r="565" spans="1:1" x14ac:dyDescent="0.25">
      <c r="A565" s="57"/>
    </row>
    <row r="566" spans="1:1" x14ac:dyDescent="0.25">
      <c r="A566" s="57"/>
    </row>
    <row r="567" spans="1:1" x14ac:dyDescent="0.25">
      <c r="A567" s="57"/>
    </row>
    <row r="568" spans="1:1" x14ac:dyDescent="0.25">
      <c r="A568" s="57"/>
    </row>
    <row r="569" spans="1:1" x14ac:dyDescent="0.25">
      <c r="A569" s="57"/>
    </row>
    <row r="570" spans="1:1" x14ac:dyDescent="0.25">
      <c r="A570" s="57"/>
    </row>
    <row r="571" spans="1:1" x14ac:dyDescent="0.25">
      <c r="A571" s="57"/>
    </row>
    <row r="572" spans="1:1" x14ac:dyDescent="0.25">
      <c r="A572" s="57"/>
    </row>
    <row r="573" spans="1:1" x14ac:dyDescent="0.25">
      <c r="A573" s="57"/>
    </row>
    <row r="574" spans="1:1" x14ac:dyDescent="0.25">
      <c r="A574" s="57"/>
    </row>
    <row r="575" spans="1:1" x14ac:dyDescent="0.25">
      <c r="A575" s="57"/>
    </row>
    <row r="576" spans="1:1" x14ac:dyDescent="0.25">
      <c r="A576" s="57"/>
    </row>
    <row r="577" spans="1:1" x14ac:dyDescent="0.25">
      <c r="A577" s="57"/>
    </row>
    <row r="578" spans="1:1" x14ac:dyDescent="0.25">
      <c r="A578" s="57"/>
    </row>
    <row r="579" spans="1:1" x14ac:dyDescent="0.25">
      <c r="A579" s="57"/>
    </row>
    <row r="580" spans="1:1" x14ac:dyDescent="0.25">
      <c r="A580" s="57"/>
    </row>
    <row r="581" spans="1:1" x14ac:dyDescent="0.25">
      <c r="A581" s="57"/>
    </row>
    <row r="582" spans="1:1" x14ac:dyDescent="0.25">
      <c r="A582" s="57"/>
    </row>
    <row r="583" spans="1:1" x14ac:dyDescent="0.25">
      <c r="A583" s="57"/>
    </row>
    <row r="584" spans="1:1" x14ac:dyDescent="0.25">
      <c r="A584" s="57"/>
    </row>
    <row r="585" spans="1:1" x14ac:dyDescent="0.25">
      <c r="A585" s="57"/>
    </row>
    <row r="586" spans="1:1" x14ac:dyDescent="0.25">
      <c r="A586" s="57"/>
    </row>
    <row r="587" spans="1:1" x14ac:dyDescent="0.25">
      <c r="A587" s="57"/>
    </row>
    <row r="588" spans="1:1" x14ac:dyDescent="0.25">
      <c r="A588" s="57"/>
    </row>
    <row r="589" spans="1:1" x14ac:dyDescent="0.25">
      <c r="A589" s="57"/>
    </row>
    <row r="590" spans="1:1" x14ac:dyDescent="0.25">
      <c r="A590" s="57"/>
    </row>
    <row r="591" spans="1:1" x14ac:dyDescent="0.25">
      <c r="A591" s="57"/>
    </row>
    <row r="592" spans="1:1" x14ac:dyDescent="0.25">
      <c r="A592" s="57"/>
    </row>
    <row r="593" spans="1:1" x14ac:dyDescent="0.25">
      <c r="A593" s="57"/>
    </row>
    <row r="594" spans="1:1" x14ac:dyDescent="0.25">
      <c r="A594" s="57"/>
    </row>
    <row r="595" spans="1:1" x14ac:dyDescent="0.25">
      <c r="A595" s="57"/>
    </row>
    <row r="596" spans="1:1" x14ac:dyDescent="0.25">
      <c r="A596" s="57"/>
    </row>
    <row r="597" spans="1:1" x14ac:dyDescent="0.25">
      <c r="A597" s="57"/>
    </row>
    <row r="598" spans="1:1" x14ac:dyDescent="0.25">
      <c r="A598" s="57"/>
    </row>
    <row r="599" spans="1:1" x14ac:dyDescent="0.25">
      <c r="A599" s="57"/>
    </row>
    <row r="600" spans="1:1" x14ac:dyDescent="0.25">
      <c r="A600" s="57"/>
    </row>
    <row r="601" spans="1:1" x14ac:dyDescent="0.25">
      <c r="A601" s="57"/>
    </row>
    <row r="602" spans="1:1" x14ac:dyDescent="0.25">
      <c r="A602" s="57"/>
    </row>
    <row r="603" spans="1:1" x14ac:dyDescent="0.25">
      <c r="A603" s="57"/>
    </row>
    <row r="604" spans="1:1" x14ac:dyDescent="0.25">
      <c r="A604" s="57"/>
    </row>
    <row r="605" spans="1:1" x14ac:dyDescent="0.25">
      <c r="A605" s="57"/>
    </row>
    <row r="606" spans="1:1" x14ac:dyDescent="0.25">
      <c r="A606" s="57"/>
    </row>
    <row r="607" spans="1:1" x14ac:dyDescent="0.25">
      <c r="A607" s="57"/>
    </row>
    <row r="608" spans="1:1" x14ac:dyDescent="0.25">
      <c r="A608" s="57"/>
    </row>
    <row r="609" spans="1:1" x14ac:dyDescent="0.25">
      <c r="A609" s="57"/>
    </row>
    <row r="610" spans="1:1" x14ac:dyDescent="0.25">
      <c r="A610" s="57"/>
    </row>
    <row r="611" spans="1:1" x14ac:dyDescent="0.25">
      <c r="A611" s="57"/>
    </row>
    <row r="612" spans="1:1" x14ac:dyDescent="0.25">
      <c r="A612" s="57"/>
    </row>
    <row r="613" spans="1:1" x14ac:dyDescent="0.25">
      <c r="A613" s="57"/>
    </row>
    <row r="614" spans="1:1" x14ac:dyDescent="0.25">
      <c r="A614" s="57"/>
    </row>
    <row r="615" spans="1:1" x14ac:dyDescent="0.25">
      <c r="A615" s="57"/>
    </row>
    <row r="616" spans="1:1" x14ac:dyDescent="0.25">
      <c r="A616" s="57"/>
    </row>
    <row r="617" spans="1:1" x14ac:dyDescent="0.25">
      <c r="A617" s="57"/>
    </row>
    <row r="618" spans="1:1" x14ac:dyDescent="0.25">
      <c r="A618" s="57"/>
    </row>
    <row r="619" spans="1:1" x14ac:dyDescent="0.25">
      <c r="A619" s="57"/>
    </row>
    <row r="620" spans="1:1" x14ac:dyDescent="0.25">
      <c r="A620" s="57"/>
    </row>
    <row r="621" spans="1:1" x14ac:dyDescent="0.25">
      <c r="A621" s="57"/>
    </row>
    <row r="622" spans="1:1" x14ac:dyDescent="0.25">
      <c r="A622" s="57"/>
    </row>
    <row r="623" spans="1:1" x14ac:dyDescent="0.25">
      <c r="A623" s="57"/>
    </row>
    <row r="624" spans="1:1" x14ac:dyDescent="0.25">
      <c r="A624" s="57"/>
    </row>
    <row r="625" spans="1:1" x14ac:dyDescent="0.25">
      <c r="A625" s="57"/>
    </row>
    <row r="626" spans="1:1" x14ac:dyDescent="0.25">
      <c r="A626" s="57"/>
    </row>
    <row r="627" spans="1:1" x14ac:dyDescent="0.25">
      <c r="A627" s="57"/>
    </row>
    <row r="628" spans="1:1" x14ac:dyDescent="0.25">
      <c r="A628" s="57"/>
    </row>
    <row r="629" spans="1:1" x14ac:dyDescent="0.25">
      <c r="A629" s="57"/>
    </row>
    <row r="630" spans="1:1" x14ac:dyDescent="0.25">
      <c r="A630" s="57"/>
    </row>
    <row r="631" spans="1:1" x14ac:dyDescent="0.25">
      <c r="A631" s="57"/>
    </row>
    <row r="632" spans="1:1" x14ac:dyDescent="0.25">
      <c r="A632" s="57"/>
    </row>
    <row r="633" spans="1:1" x14ac:dyDescent="0.25">
      <c r="A633" s="57"/>
    </row>
    <row r="634" spans="1:1" x14ac:dyDescent="0.25">
      <c r="A634" s="57"/>
    </row>
    <row r="635" spans="1:1" x14ac:dyDescent="0.25">
      <c r="A635" s="57"/>
    </row>
    <row r="636" spans="1:1" x14ac:dyDescent="0.25">
      <c r="A636" s="57"/>
    </row>
    <row r="637" spans="1:1" x14ac:dyDescent="0.25">
      <c r="A637" s="57"/>
    </row>
    <row r="638" spans="1:1" x14ac:dyDescent="0.25">
      <c r="A638" s="57"/>
    </row>
    <row r="639" spans="1:1" x14ac:dyDescent="0.25">
      <c r="A639" s="57"/>
    </row>
    <row r="640" spans="1:1" x14ac:dyDescent="0.25">
      <c r="A640" s="57"/>
    </row>
    <row r="641" spans="1:1" x14ac:dyDescent="0.25">
      <c r="A641" s="57"/>
    </row>
    <row r="642" spans="1:1" x14ac:dyDescent="0.25">
      <c r="A642" s="57"/>
    </row>
    <row r="643" spans="1:1" x14ac:dyDescent="0.25">
      <c r="A643" s="57"/>
    </row>
    <row r="644" spans="1:1" x14ac:dyDescent="0.25">
      <c r="A644" s="57"/>
    </row>
    <row r="645" spans="1:1" x14ac:dyDescent="0.25">
      <c r="A645" s="57"/>
    </row>
    <row r="646" spans="1:1" x14ac:dyDescent="0.25">
      <c r="A646" s="57"/>
    </row>
    <row r="647" spans="1:1" x14ac:dyDescent="0.25">
      <c r="A647" s="57"/>
    </row>
    <row r="648" spans="1:1" x14ac:dyDescent="0.25">
      <c r="A648" s="57"/>
    </row>
    <row r="649" spans="1:1" x14ac:dyDescent="0.25">
      <c r="A649" s="57"/>
    </row>
    <row r="650" spans="1:1" x14ac:dyDescent="0.25">
      <c r="A650" s="57"/>
    </row>
    <row r="651" spans="1:1" x14ac:dyDescent="0.25">
      <c r="A651" s="57"/>
    </row>
    <row r="652" spans="1:1" x14ac:dyDescent="0.25">
      <c r="A652" s="57"/>
    </row>
    <row r="653" spans="1:1" x14ac:dyDescent="0.25">
      <c r="A653" s="57"/>
    </row>
    <row r="654" spans="1:1" x14ac:dyDescent="0.25">
      <c r="A654" s="57"/>
    </row>
    <row r="655" spans="1:1" x14ac:dyDescent="0.25">
      <c r="A655" s="57"/>
    </row>
    <row r="656" spans="1:1" x14ac:dyDescent="0.25">
      <c r="A656" s="57"/>
    </row>
    <row r="657" spans="1:1" x14ac:dyDescent="0.25">
      <c r="A657" s="57"/>
    </row>
    <row r="658" spans="1:1" x14ac:dyDescent="0.25">
      <c r="A658" s="57"/>
    </row>
    <row r="659" spans="1:1" x14ac:dyDescent="0.25">
      <c r="A659" s="57"/>
    </row>
    <row r="660" spans="1:1" x14ac:dyDescent="0.25">
      <c r="A660" s="57"/>
    </row>
    <row r="661" spans="1:1" x14ac:dyDescent="0.25">
      <c r="A661" s="57"/>
    </row>
    <row r="662" spans="1:1" x14ac:dyDescent="0.25">
      <c r="A662" s="57"/>
    </row>
    <row r="663" spans="1:1" x14ac:dyDescent="0.25">
      <c r="A663" s="57"/>
    </row>
    <row r="664" spans="1:1" x14ac:dyDescent="0.25">
      <c r="A664" s="57"/>
    </row>
    <row r="665" spans="1:1" x14ac:dyDescent="0.25">
      <c r="A665" s="57"/>
    </row>
    <row r="666" spans="1:1" x14ac:dyDescent="0.25">
      <c r="A666" s="57"/>
    </row>
    <row r="667" spans="1:1" x14ac:dyDescent="0.25">
      <c r="A667" s="57"/>
    </row>
    <row r="668" spans="1:1" x14ac:dyDescent="0.25">
      <c r="A668" s="57"/>
    </row>
    <row r="669" spans="1:1" x14ac:dyDescent="0.25">
      <c r="A669" s="57"/>
    </row>
    <row r="670" spans="1:1" x14ac:dyDescent="0.25">
      <c r="A670" s="57"/>
    </row>
    <row r="671" spans="1:1" x14ac:dyDescent="0.25">
      <c r="A671" s="57"/>
    </row>
    <row r="672" spans="1:1" x14ac:dyDescent="0.25">
      <c r="A672" s="57"/>
    </row>
    <row r="673" spans="1:1" x14ac:dyDescent="0.25">
      <c r="A673" s="57"/>
    </row>
    <row r="674" spans="1:1" x14ac:dyDescent="0.25">
      <c r="A674" s="57"/>
    </row>
    <row r="675" spans="1:1" x14ac:dyDescent="0.25">
      <c r="A675" s="57"/>
    </row>
    <row r="676" spans="1:1" x14ac:dyDescent="0.25">
      <c r="A676" s="57"/>
    </row>
    <row r="677" spans="1:1" x14ac:dyDescent="0.25">
      <c r="A677" s="57"/>
    </row>
    <row r="678" spans="1:1" x14ac:dyDescent="0.25">
      <c r="A678" s="57"/>
    </row>
    <row r="679" spans="1:1" x14ac:dyDescent="0.25">
      <c r="A679" s="57"/>
    </row>
    <row r="680" spans="1:1" x14ac:dyDescent="0.25">
      <c r="A680" s="57"/>
    </row>
    <row r="681" spans="1:1" x14ac:dyDescent="0.25">
      <c r="A681" s="57"/>
    </row>
    <row r="682" spans="1:1" x14ac:dyDescent="0.25">
      <c r="A682" s="57"/>
    </row>
    <row r="683" spans="1:1" x14ac:dyDescent="0.25">
      <c r="A683" s="57"/>
    </row>
    <row r="684" spans="1:1" x14ac:dyDescent="0.25">
      <c r="A684" s="57"/>
    </row>
    <row r="685" spans="1:1" x14ac:dyDescent="0.25">
      <c r="A685" s="57"/>
    </row>
    <row r="686" spans="1:1" x14ac:dyDescent="0.25">
      <c r="A686" s="57"/>
    </row>
    <row r="687" spans="1:1" x14ac:dyDescent="0.25">
      <c r="A687" s="57"/>
    </row>
    <row r="688" spans="1:1" x14ac:dyDescent="0.25">
      <c r="A688" s="57"/>
    </row>
    <row r="689" spans="1:1" x14ac:dyDescent="0.25">
      <c r="A689" s="57"/>
    </row>
    <row r="690" spans="1:1" x14ac:dyDescent="0.25">
      <c r="A690" s="57"/>
    </row>
    <row r="691" spans="1:1" x14ac:dyDescent="0.25">
      <c r="A691" s="57"/>
    </row>
    <row r="692" spans="1:1" x14ac:dyDescent="0.25">
      <c r="A692" s="57"/>
    </row>
    <row r="693" spans="1:1" x14ac:dyDescent="0.25">
      <c r="A693" s="57"/>
    </row>
    <row r="694" spans="1:1" x14ac:dyDescent="0.25">
      <c r="A694" s="57"/>
    </row>
    <row r="695" spans="1:1" x14ac:dyDescent="0.25">
      <c r="A695" s="57"/>
    </row>
    <row r="696" spans="1:1" x14ac:dyDescent="0.25">
      <c r="A696" s="57"/>
    </row>
    <row r="697" spans="1:1" x14ac:dyDescent="0.25">
      <c r="A697" s="57"/>
    </row>
    <row r="698" spans="1:1" x14ac:dyDescent="0.25">
      <c r="A698" s="57"/>
    </row>
    <row r="699" spans="1:1" x14ac:dyDescent="0.25">
      <c r="A699" s="57"/>
    </row>
    <row r="700" spans="1:1" x14ac:dyDescent="0.25">
      <c r="A700" s="57"/>
    </row>
    <row r="701" spans="1:1" x14ac:dyDescent="0.25">
      <c r="A701" s="57"/>
    </row>
    <row r="702" spans="1:1" x14ac:dyDescent="0.25">
      <c r="A702" s="57"/>
    </row>
    <row r="703" spans="1:1" x14ac:dyDescent="0.25">
      <c r="A703" s="57"/>
    </row>
    <row r="704" spans="1:1" x14ac:dyDescent="0.25">
      <c r="A704" s="57"/>
    </row>
    <row r="705" spans="1:1" x14ac:dyDescent="0.25">
      <c r="A705" s="57"/>
    </row>
    <row r="706" spans="1:1" x14ac:dyDescent="0.25">
      <c r="A706" s="57"/>
    </row>
    <row r="707" spans="1:1" x14ac:dyDescent="0.25">
      <c r="A707" s="57"/>
    </row>
    <row r="708" spans="1:1" x14ac:dyDescent="0.25">
      <c r="A708" s="57"/>
    </row>
    <row r="709" spans="1:1" x14ac:dyDescent="0.25">
      <c r="A709" s="57"/>
    </row>
    <row r="710" spans="1:1" x14ac:dyDescent="0.25">
      <c r="A710" s="57"/>
    </row>
    <row r="711" spans="1:1" x14ac:dyDescent="0.25">
      <c r="A711" s="57"/>
    </row>
    <row r="712" spans="1:1" x14ac:dyDescent="0.25">
      <c r="A712" s="57"/>
    </row>
    <row r="713" spans="1:1" x14ac:dyDescent="0.25">
      <c r="A713" s="57"/>
    </row>
    <row r="714" spans="1:1" x14ac:dyDescent="0.25">
      <c r="A714" s="57"/>
    </row>
    <row r="715" spans="1:1" x14ac:dyDescent="0.25">
      <c r="A715" s="57"/>
    </row>
    <row r="716" spans="1:1" x14ac:dyDescent="0.25">
      <c r="A716" s="57"/>
    </row>
    <row r="717" spans="1:1" x14ac:dyDescent="0.25">
      <c r="A717" s="57"/>
    </row>
    <row r="718" spans="1:1" x14ac:dyDescent="0.25">
      <c r="A718" s="57"/>
    </row>
    <row r="719" spans="1:1" x14ac:dyDescent="0.25">
      <c r="A719" s="57"/>
    </row>
    <row r="720" spans="1:1" x14ac:dyDescent="0.25">
      <c r="A720" s="57"/>
    </row>
    <row r="721" spans="1:1" x14ac:dyDescent="0.25">
      <c r="A721" s="57"/>
    </row>
    <row r="722" spans="1:1" x14ac:dyDescent="0.25">
      <c r="A722" s="57"/>
    </row>
    <row r="723" spans="1:1" x14ac:dyDescent="0.25">
      <c r="A723" s="57"/>
    </row>
    <row r="724" spans="1:1" x14ac:dyDescent="0.25">
      <c r="A724" s="57"/>
    </row>
    <row r="725" spans="1:1" x14ac:dyDescent="0.25">
      <c r="A725" s="57"/>
    </row>
    <row r="726" spans="1:1" x14ac:dyDescent="0.25">
      <c r="A726" s="57"/>
    </row>
    <row r="727" spans="1:1" x14ac:dyDescent="0.25">
      <c r="A727" s="57"/>
    </row>
    <row r="728" spans="1:1" x14ac:dyDescent="0.25">
      <c r="A728" s="57"/>
    </row>
    <row r="729" spans="1:1" x14ac:dyDescent="0.25">
      <c r="A729" s="57"/>
    </row>
    <row r="730" spans="1:1" x14ac:dyDescent="0.25">
      <c r="A730" s="57"/>
    </row>
    <row r="731" spans="1:1" x14ac:dyDescent="0.25">
      <c r="A731" s="57"/>
    </row>
    <row r="732" spans="1:1" x14ac:dyDescent="0.25">
      <c r="A732" s="57"/>
    </row>
    <row r="733" spans="1:1" x14ac:dyDescent="0.25">
      <c r="A733" s="57"/>
    </row>
    <row r="734" spans="1:1" x14ac:dyDescent="0.25">
      <c r="A734" s="57"/>
    </row>
    <row r="735" spans="1:1" x14ac:dyDescent="0.25">
      <c r="A735" s="57"/>
    </row>
    <row r="736" spans="1:1" x14ac:dyDescent="0.25">
      <c r="A736" s="57"/>
    </row>
    <row r="737" spans="1:1" x14ac:dyDescent="0.25">
      <c r="A737" s="57"/>
    </row>
    <row r="738" spans="1:1" x14ac:dyDescent="0.25">
      <c r="A738" s="57"/>
    </row>
    <row r="739" spans="1:1" x14ac:dyDescent="0.25">
      <c r="A739" s="57"/>
    </row>
    <row r="740" spans="1:1" x14ac:dyDescent="0.25">
      <c r="A740" s="57"/>
    </row>
    <row r="741" spans="1:1" x14ac:dyDescent="0.25">
      <c r="A741" s="57"/>
    </row>
    <row r="742" spans="1:1" x14ac:dyDescent="0.25">
      <c r="A742" s="57"/>
    </row>
    <row r="743" spans="1:1" x14ac:dyDescent="0.25">
      <c r="A743" s="57"/>
    </row>
    <row r="744" spans="1:1" x14ac:dyDescent="0.25">
      <c r="A744" s="57"/>
    </row>
    <row r="745" spans="1:1" x14ac:dyDescent="0.25">
      <c r="A745" s="57"/>
    </row>
    <row r="746" spans="1:1" x14ac:dyDescent="0.25">
      <c r="A746" s="57"/>
    </row>
    <row r="747" spans="1:1" x14ac:dyDescent="0.25">
      <c r="A747" s="57"/>
    </row>
    <row r="748" spans="1:1" x14ac:dyDescent="0.25">
      <c r="A748" s="57"/>
    </row>
    <row r="749" spans="1:1" x14ac:dyDescent="0.25">
      <c r="A749" s="57"/>
    </row>
    <row r="750" spans="1:1" x14ac:dyDescent="0.25">
      <c r="A750" s="57"/>
    </row>
    <row r="751" spans="1:1" x14ac:dyDescent="0.25">
      <c r="A751" s="57"/>
    </row>
    <row r="752" spans="1:1" x14ac:dyDescent="0.25">
      <c r="A752" s="57"/>
    </row>
    <row r="753" spans="1:1" x14ac:dyDescent="0.25">
      <c r="A753" s="57"/>
    </row>
    <row r="754" spans="1:1" x14ac:dyDescent="0.25">
      <c r="A754" s="57"/>
    </row>
    <row r="755" spans="1:1" x14ac:dyDescent="0.25">
      <c r="A755" s="57"/>
    </row>
    <row r="756" spans="1:1" x14ac:dyDescent="0.25">
      <c r="A756" s="57"/>
    </row>
    <row r="757" spans="1:1" x14ac:dyDescent="0.25">
      <c r="A757" s="57"/>
    </row>
    <row r="758" spans="1:1" x14ac:dyDescent="0.25">
      <c r="A758" s="57"/>
    </row>
    <row r="759" spans="1:1" x14ac:dyDescent="0.25">
      <c r="A759" s="57"/>
    </row>
    <row r="760" spans="1:1" x14ac:dyDescent="0.25">
      <c r="A760" s="57"/>
    </row>
    <row r="761" spans="1:1" x14ac:dyDescent="0.25">
      <c r="A761" s="57"/>
    </row>
    <row r="762" spans="1:1" x14ac:dyDescent="0.25">
      <c r="A762" s="57"/>
    </row>
    <row r="763" spans="1:1" x14ac:dyDescent="0.25">
      <c r="A763" s="57"/>
    </row>
    <row r="764" spans="1:1" x14ac:dyDescent="0.25">
      <c r="A764" s="57"/>
    </row>
    <row r="765" spans="1:1" x14ac:dyDescent="0.25">
      <c r="A765" s="57"/>
    </row>
    <row r="766" spans="1:1" x14ac:dyDescent="0.25">
      <c r="A766" s="57"/>
    </row>
    <row r="767" spans="1:1" x14ac:dyDescent="0.25">
      <c r="A767" s="57"/>
    </row>
    <row r="768" spans="1:1" x14ac:dyDescent="0.25">
      <c r="A768" s="57"/>
    </row>
    <row r="769" spans="1:1" x14ac:dyDescent="0.25">
      <c r="A769" s="57"/>
    </row>
    <row r="770" spans="1:1" x14ac:dyDescent="0.25">
      <c r="A770" s="57"/>
    </row>
    <row r="771" spans="1:1" x14ac:dyDescent="0.25">
      <c r="A771" s="57"/>
    </row>
    <row r="772" spans="1:1" x14ac:dyDescent="0.25">
      <c r="A772" s="57"/>
    </row>
    <row r="773" spans="1:1" x14ac:dyDescent="0.25">
      <c r="A773" s="57"/>
    </row>
    <row r="774" spans="1:1" x14ac:dyDescent="0.25">
      <c r="A774" s="57"/>
    </row>
    <row r="775" spans="1:1" x14ac:dyDescent="0.25">
      <c r="A775" s="57"/>
    </row>
    <row r="776" spans="1:1" x14ac:dyDescent="0.25">
      <c r="A776" s="57"/>
    </row>
    <row r="777" spans="1:1" x14ac:dyDescent="0.25">
      <c r="A777" s="57"/>
    </row>
    <row r="778" spans="1:1" x14ac:dyDescent="0.25">
      <c r="A778" s="57"/>
    </row>
    <row r="779" spans="1:1" x14ac:dyDescent="0.25">
      <c r="A779" s="57"/>
    </row>
    <row r="780" spans="1:1" x14ac:dyDescent="0.25">
      <c r="A780" s="57"/>
    </row>
    <row r="781" spans="1:1" x14ac:dyDescent="0.25">
      <c r="A781" s="57"/>
    </row>
    <row r="782" spans="1:1" x14ac:dyDescent="0.25">
      <c r="A782" s="57"/>
    </row>
    <row r="783" spans="1:1" x14ac:dyDescent="0.25">
      <c r="A783" s="57"/>
    </row>
    <row r="784" spans="1:1" x14ac:dyDescent="0.25">
      <c r="A784" s="57"/>
    </row>
    <row r="785" spans="1:1" x14ac:dyDescent="0.25">
      <c r="A785" s="57"/>
    </row>
    <row r="786" spans="1:1" x14ac:dyDescent="0.25">
      <c r="A786" s="57"/>
    </row>
    <row r="787" spans="1:1" x14ac:dyDescent="0.25">
      <c r="A787" s="57"/>
    </row>
    <row r="788" spans="1:1" x14ac:dyDescent="0.25">
      <c r="A788" s="57"/>
    </row>
    <row r="789" spans="1:1" x14ac:dyDescent="0.25">
      <c r="A789" s="57"/>
    </row>
    <row r="790" spans="1:1" x14ac:dyDescent="0.25">
      <c r="A790" s="57"/>
    </row>
    <row r="791" spans="1:1" x14ac:dyDescent="0.25">
      <c r="A791" s="57"/>
    </row>
    <row r="792" spans="1:1" x14ac:dyDescent="0.25">
      <c r="A792" s="57"/>
    </row>
    <row r="793" spans="1:1" x14ac:dyDescent="0.25">
      <c r="A793" s="57"/>
    </row>
    <row r="794" spans="1:1" x14ac:dyDescent="0.25">
      <c r="A794" s="57"/>
    </row>
    <row r="795" spans="1:1" x14ac:dyDescent="0.25">
      <c r="A795" s="57"/>
    </row>
    <row r="796" spans="1:1" x14ac:dyDescent="0.25">
      <c r="A796" s="57"/>
    </row>
    <row r="797" spans="1:1" x14ac:dyDescent="0.25">
      <c r="A797" s="57"/>
    </row>
    <row r="798" spans="1:1" x14ac:dyDescent="0.25">
      <c r="A798" s="57"/>
    </row>
    <row r="799" spans="1:1" x14ac:dyDescent="0.25">
      <c r="A799" s="57"/>
    </row>
    <row r="800" spans="1:1" x14ac:dyDescent="0.25">
      <c r="A800" s="57"/>
    </row>
    <row r="801" spans="1:1" x14ac:dyDescent="0.25">
      <c r="A801" s="57"/>
    </row>
    <row r="802" spans="1:1" x14ac:dyDescent="0.25">
      <c r="A802" s="57"/>
    </row>
    <row r="803" spans="1:1" x14ac:dyDescent="0.25">
      <c r="A803" s="57"/>
    </row>
    <row r="804" spans="1:1" x14ac:dyDescent="0.25">
      <c r="A804" s="57"/>
    </row>
    <row r="805" spans="1:1" x14ac:dyDescent="0.25">
      <c r="A805" s="57"/>
    </row>
    <row r="806" spans="1:1" x14ac:dyDescent="0.25">
      <c r="A806" s="57"/>
    </row>
    <row r="807" spans="1:1" x14ac:dyDescent="0.25">
      <c r="A807" s="57"/>
    </row>
    <row r="808" spans="1:1" x14ac:dyDescent="0.25">
      <c r="A808" s="57"/>
    </row>
    <row r="809" spans="1:1" x14ac:dyDescent="0.25">
      <c r="A809" s="57"/>
    </row>
    <row r="810" spans="1:1" x14ac:dyDescent="0.25">
      <c r="A810" s="57"/>
    </row>
    <row r="811" spans="1:1" x14ac:dyDescent="0.25">
      <c r="A811" s="57"/>
    </row>
    <row r="812" spans="1:1" x14ac:dyDescent="0.25">
      <c r="A812" s="57"/>
    </row>
    <row r="813" spans="1:1" x14ac:dyDescent="0.25">
      <c r="A813" s="57"/>
    </row>
    <row r="814" spans="1:1" x14ac:dyDescent="0.25">
      <c r="A814" s="57"/>
    </row>
    <row r="815" spans="1:1" x14ac:dyDescent="0.25">
      <c r="A815" s="57"/>
    </row>
    <row r="816" spans="1:1" x14ac:dyDescent="0.25">
      <c r="A816" s="57"/>
    </row>
    <row r="817" spans="1:1" x14ac:dyDescent="0.25">
      <c r="A817" s="57"/>
    </row>
    <row r="818" spans="1:1" x14ac:dyDescent="0.25">
      <c r="A818" s="57"/>
    </row>
    <row r="819" spans="1:1" x14ac:dyDescent="0.25">
      <c r="A819" s="57"/>
    </row>
    <row r="820" spans="1:1" x14ac:dyDescent="0.25">
      <c r="A820" s="57"/>
    </row>
    <row r="821" spans="1:1" x14ac:dyDescent="0.25">
      <c r="A821" s="57"/>
    </row>
    <row r="822" spans="1:1" x14ac:dyDescent="0.25">
      <c r="A822" s="57"/>
    </row>
    <row r="823" spans="1:1" x14ac:dyDescent="0.25">
      <c r="A823" s="57"/>
    </row>
    <row r="824" spans="1:1" x14ac:dyDescent="0.25">
      <c r="A824" s="57"/>
    </row>
    <row r="825" spans="1:1" x14ac:dyDescent="0.25">
      <c r="A825" s="57"/>
    </row>
    <row r="826" spans="1:1" x14ac:dyDescent="0.25">
      <c r="A826" s="57"/>
    </row>
    <row r="827" spans="1:1" x14ac:dyDescent="0.25">
      <c r="A827" s="57"/>
    </row>
    <row r="828" spans="1:1" x14ac:dyDescent="0.25">
      <c r="A828" s="57"/>
    </row>
    <row r="829" spans="1:1" x14ac:dyDescent="0.25">
      <c r="A829" s="57"/>
    </row>
    <row r="830" spans="1:1" x14ac:dyDescent="0.25">
      <c r="A830" s="57"/>
    </row>
    <row r="831" spans="1:1" x14ac:dyDescent="0.25">
      <c r="A831" s="57"/>
    </row>
    <row r="832" spans="1:1" x14ac:dyDescent="0.25">
      <c r="A832" s="57"/>
    </row>
    <row r="833" spans="1:1" x14ac:dyDescent="0.25">
      <c r="A833" s="57"/>
    </row>
    <row r="834" spans="1:1" x14ac:dyDescent="0.25">
      <c r="A834" s="57"/>
    </row>
    <row r="835" spans="1:1" x14ac:dyDescent="0.25">
      <c r="A835" s="57"/>
    </row>
    <row r="836" spans="1:1" x14ac:dyDescent="0.25">
      <c r="A836" s="57"/>
    </row>
    <row r="837" spans="1:1" x14ac:dyDescent="0.25">
      <c r="A837" s="57"/>
    </row>
    <row r="838" spans="1:1" x14ac:dyDescent="0.25">
      <c r="A838" s="57"/>
    </row>
    <row r="839" spans="1:1" x14ac:dyDescent="0.25">
      <c r="A839" s="57"/>
    </row>
    <row r="840" spans="1:1" x14ac:dyDescent="0.25">
      <c r="A840" s="57"/>
    </row>
    <row r="841" spans="1:1" x14ac:dyDescent="0.25">
      <c r="A841" s="57"/>
    </row>
    <row r="842" spans="1:1" x14ac:dyDescent="0.25">
      <c r="A842" s="57"/>
    </row>
    <row r="843" spans="1:1" x14ac:dyDescent="0.25">
      <c r="A843" s="57"/>
    </row>
    <row r="844" spans="1:1" x14ac:dyDescent="0.25">
      <c r="A844" s="57"/>
    </row>
    <row r="845" spans="1:1" x14ac:dyDescent="0.25">
      <c r="A845" s="57"/>
    </row>
    <row r="846" spans="1:1" x14ac:dyDescent="0.25">
      <c r="A846" s="57"/>
    </row>
    <row r="847" spans="1:1" x14ac:dyDescent="0.25">
      <c r="A847" s="57"/>
    </row>
    <row r="848" spans="1:1" x14ac:dyDescent="0.25">
      <c r="A848" s="57"/>
    </row>
    <row r="849" spans="1:1" x14ac:dyDescent="0.25">
      <c r="A849" s="57"/>
    </row>
    <row r="850" spans="1:1" x14ac:dyDescent="0.25">
      <c r="A850" s="57"/>
    </row>
    <row r="851" spans="1:1" x14ac:dyDescent="0.25">
      <c r="A851" s="57"/>
    </row>
    <row r="852" spans="1:1" x14ac:dyDescent="0.25">
      <c r="A852" s="57"/>
    </row>
    <row r="853" spans="1:1" x14ac:dyDescent="0.25">
      <c r="A853" s="57"/>
    </row>
    <row r="854" spans="1:1" x14ac:dyDescent="0.25">
      <c r="A854" s="57"/>
    </row>
    <row r="855" spans="1:1" x14ac:dyDescent="0.25">
      <c r="A855" s="57"/>
    </row>
    <row r="856" spans="1:1" x14ac:dyDescent="0.25">
      <c r="A856" s="57"/>
    </row>
    <row r="857" spans="1:1" x14ac:dyDescent="0.25">
      <c r="A857" s="57"/>
    </row>
    <row r="858" spans="1:1" x14ac:dyDescent="0.25">
      <c r="A858" s="57"/>
    </row>
    <row r="859" spans="1:1" x14ac:dyDescent="0.25">
      <c r="A859" s="57"/>
    </row>
    <row r="860" spans="1:1" x14ac:dyDescent="0.25">
      <c r="A860" s="57"/>
    </row>
    <row r="861" spans="1:1" x14ac:dyDescent="0.25">
      <c r="A861" s="57"/>
    </row>
    <row r="862" spans="1:1" x14ac:dyDescent="0.25">
      <c r="A862" s="57"/>
    </row>
    <row r="863" spans="1:1" x14ac:dyDescent="0.25">
      <c r="A863" s="57"/>
    </row>
    <row r="864" spans="1:1" x14ac:dyDescent="0.25">
      <c r="A864" s="57"/>
    </row>
    <row r="865" spans="1:1" x14ac:dyDescent="0.25">
      <c r="A865" s="57"/>
    </row>
    <row r="866" spans="1:1" x14ac:dyDescent="0.25">
      <c r="A866" s="57"/>
    </row>
    <row r="867" spans="1:1" x14ac:dyDescent="0.25">
      <c r="A867" s="57"/>
    </row>
    <row r="868" spans="1:1" x14ac:dyDescent="0.25">
      <c r="A868" s="57"/>
    </row>
    <row r="869" spans="1:1" x14ac:dyDescent="0.25">
      <c r="A869" s="57"/>
    </row>
    <row r="870" spans="1:1" x14ac:dyDescent="0.25">
      <c r="A870" s="57"/>
    </row>
    <row r="871" spans="1:1" x14ac:dyDescent="0.25">
      <c r="A871" s="57"/>
    </row>
    <row r="872" spans="1:1" x14ac:dyDescent="0.25">
      <c r="A872" s="57"/>
    </row>
    <row r="873" spans="1:1" x14ac:dyDescent="0.25">
      <c r="A873" s="57"/>
    </row>
    <row r="874" spans="1:1" x14ac:dyDescent="0.25">
      <c r="A874" s="57"/>
    </row>
    <row r="875" spans="1:1" x14ac:dyDescent="0.25">
      <c r="A875" s="57"/>
    </row>
    <row r="876" spans="1:1" x14ac:dyDescent="0.25">
      <c r="A876" s="57"/>
    </row>
    <row r="877" spans="1:1" x14ac:dyDescent="0.25">
      <c r="A877" s="57"/>
    </row>
    <row r="878" spans="1:1" x14ac:dyDescent="0.25">
      <c r="A878" s="57"/>
    </row>
    <row r="879" spans="1:1" x14ac:dyDescent="0.25">
      <c r="A879" s="57"/>
    </row>
    <row r="880" spans="1:1" x14ac:dyDescent="0.25">
      <c r="A880" s="57"/>
    </row>
    <row r="881" spans="1:1" x14ac:dyDescent="0.25">
      <c r="A881" s="57"/>
    </row>
    <row r="882" spans="1:1" x14ac:dyDescent="0.25">
      <c r="A882" s="57"/>
    </row>
    <row r="883" spans="1:1" x14ac:dyDescent="0.25">
      <c r="A883" s="57"/>
    </row>
    <row r="884" spans="1:1" x14ac:dyDescent="0.25">
      <c r="A884" s="57"/>
    </row>
    <row r="885" spans="1:1" x14ac:dyDescent="0.25">
      <c r="A885" s="57"/>
    </row>
    <row r="886" spans="1:1" x14ac:dyDescent="0.25">
      <c r="A886" s="57"/>
    </row>
    <row r="887" spans="1:1" x14ac:dyDescent="0.25">
      <c r="A887" s="57"/>
    </row>
    <row r="888" spans="1:1" x14ac:dyDescent="0.25">
      <c r="A888" s="57"/>
    </row>
    <row r="889" spans="1:1" x14ac:dyDescent="0.25">
      <c r="A889" s="57"/>
    </row>
    <row r="890" spans="1:1" x14ac:dyDescent="0.25">
      <c r="A890" s="57"/>
    </row>
    <row r="891" spans="1:1" x14ac:dyDescent="0.25">
      <c r="A891" s="57"/>
    </row>
    <row r="892" spans="1:1" x14ac:dyDescent="0.25">
      <c r="A892" s="57"/>
    </row>
    <row r="893" spans="1:1" x14ac:dyDescent="0.25">
      <c r="A893" s="57"/>
    </row>
    <row r="894" spans="1:1" x14ac:dyDescent="0.25">
      <c r="A894" s="57"/>
    </row>
    <row r="895" spans="1:1" x14ac:dyDescent="0.25">
      <c r="A895" s="57"/>
    </row>
    <row r="896" spans="1:1" x14ac:dyDescent="0.25">
      <c r="A896" s="57"/>
    </row>
    <row r="897" spans="1:1" x14ac:dyDescent="0.25">
      <c r="A897" s="57"/>
    </row>
    <row r="898" spans="1:1" x14ac:dyDescent="0.25">
      <c r="A898" s="57"/>
    </row>
    <row r="899" spans="1:1" x14ac:dyDescent="0.25">
      <c r="A899" s="57"/>
    </row>
    <row r="900" spans="1:1" x14ac:dyDescent="0.25">
      <c r="A900" s="57"/>
    </row>
    <row r="901" spans="1:1" x14ac:dyDescent="0.25">
      <c r="A901" s="57"/>
    </row>
    <row r="902" spans="1:1" x14ac:dyDescent="0.25">
      <c r="A902" s="57"/>
    </row>
    <row r="903" spans="1:1" x14ac:dyDescent="0.25">
      <c r="A903" s="57"/>
    </row>
    <row r="904" spans="1:1" x14ac:dyDescent="0.25">
      <c r="A904" s="57"/>
    </row>
    <row r="905" spans="1:1" x14ac:dyDescent="0.25">
      <c r="A905" s="57"/>
    </row>
    <row r="906" spans="1:1" x14ac:dyDescent="0.25">
      <c r="A906" s="57"/>
    </row>
    <row r="907" spans="1:1" x14ac:dyDescent="0.25">
      <c r="A907" s="57"/>
    </row>
    <row r="908" spans="1:1" x14ac:dyDescent="0.25">
      <c r="A908" s="57"/>
    </row>
    <row r="909" spans="1:1" x14ac:dyDescent="0.25">
      <c r="A909" s="57"/>
    </row>
    <row r="910" spans="1:1" x14ac:dyDescent="0.25">
      <c r="A910" s="57"/>
    </row>
    <row r="911" spans="1:1" x14ac:dyDescent="0.25">
      <c r="A911" s="57"/>
    </row>
    <row r="912" spans="1:1" x14ac:dyDescent="0.25">
      <c r="A912" s="57"/>
    </row>
    <row r="913" spans="1:1" x14ac:dyDescent="0.25">
      <c r="A913" s="57"/>
    </row>
    <row r="914" spans="1:1" x14ac:dyDescent="0.25">
      <c r="A914" s="57"/>
    </row>
    <row r="915" spans="1:1" x14ac:dyDescent="0.25">
      <c r="A915" s="57"/>
    </row>
    <row r="916" spans="1:1" x14ac:dyDescent="0.25">
      <c r="A916" s="57"/>
    </row>
    <row r="917" spans="1:1" x14ac:dyDescent="0.25">
      <c r="A917" s="57"/>
    </row>
    <row r="918" spans="1:1" x14ac:dyDescent="0.25">
      <c r="A918" s="57"/>
    </row>
    <row r="919" spans="1:1" x14ac:dyDescent="0.25">
      <c r="A919" s="57"/>
    </row>
    <row r="920" spans="1:1" x14ac:dyDescent="0.25">
      <c r="A920" s="57"/>
    </row>
    <row r="921" spans="1:1" x14ac:dyDescent="0.25">
      <c r="A921" s="57"/>
    </row>
    <row r="922" spans="1:1" x14ac:dyDescent="0.25">
      <c r="A922" s="57"/>
    </row>
    <row r="923" spans="1:1" x14ac:dyDescent="0.25">
      <c r="A923" s="57"/>
    </row>
    <row r="924" spans="1:1" x14ac:dyDescent="0.25">
      <c r="A924" s="57"/>
    </row>
    <row r="925" spans="1:1" x14ac:dyDescent="0.25">
      <c r="A925" s="57"/>
    </row>
    <row r="926" spans="1:1" x14ac:dyDescent="0.25">
      <c r="A926" s="57"/>
    </row>
    <row r="927" spans="1:1" x14ac:dyDescent="0.25">
      <c r="A927" s="57"/>
    </row>
    <row r="928" spans="1:1" x14ac:dyDescent="0.25">
      <c r="A928" s="57"/>
    </row>
    <row r="929" spans="1:1" x14ac:dyDescent="0.25">
      <c r="A929" s="57"/>
    </row>
    <row r="930" spans="1:1" x14ac:dyDescent="0.25">
      <c r="A930" s="57"/>
    </row>
    <row r="931" spans="1:1" x14ac:dyDescent="0.25">
      <c r="A931" s="57"/>
    </row>
    <row r="932" spans="1:1" x14ac:dyDescent="0.25">
      <c r="A932" s="57"/>
    </row>
    <row r="933" spans="1:1" x14ac:dyDescent="0.25">
      <c r="A933" s="57"/>
    </row>
    <row r="934" spans="1:1" x14ac:dyDescent="0.25">
      <c r="A934" s="57"/>
    </row>
    <row r="935" spans="1:1" x14ac:dyDescent="0.25">
      <c r="A935" s="57"/>
    </row>
    <row r="936" spans="1:1" x14ac:dyDescent="0.25">
      <c r="A936" s="57"/>
    </row>
    <row r="937" spans="1:1" x14ac:dyDescent="0.25">
      <c r="A937" s="57"/>
    </row>
    <row r="938" spans="1:1" x14ac:dyDescent="0.25">
      <c r="A938" s="57"/>
    </row>
    <row r="939" spans="1:1" x14ac:dyDescent="0.25">
      <c r="A939" s="57"/>
    </row>
    <row r="940" spans="1:1" x14ac:dyDescent="0.25">
      <c r="A940" s="57"/>
    </row>
    <row r="941" spans="1:1" x14ac:dyDescent="0.25">
      <c r="A941" s="57"/>
    </row>
    <row r="942" spans="1:1" x14ac:dyDescent="0.25">
      <c r="A942" s="57"/>
    </row>
    <row r="943" spans="1:1" x14ac:dyDescent="0.25">
      <c r="A943" s="57"/>
    </row>
    <row r="944" spans="1:1" x14ac:dyDescent="0.25">
      <c r="A944" s="57"/>
    </row>
    <row r="945" spans="1:1" x14ac:dyDescent="0.25">
      <c r="A945" s="57"/>
    </row>
    <row r="946" spans="1:1" x14ac:dyDescent="0.25">
      <c r="A946" s="57"/>
    </row>
    <row r="947" spans="1:1" x14ac:dyDescent="0.25">
      <c r="A947" s="57"/>
    </row>
    <row r="948" spans="1:1" x14ac:dyDescent="0.25">
      <c r="A948" s="57"/>
    </row>
    <row r="949" spans="1:1" x14ac:dyDescent="0.25">
      <c r="A949" s="57"/>
    </row>
    <row r="950" spans="1:1" x14ac:dyDescent="0.25">
      <c r="A950" s="57"/>
    </row>
    <row r="951" spans="1:1" x14ac:dyDescent="0.25">
      <c r="A951" s="57"/>
    </row>
    <row r="952" spans="1:1" x14ac:dyDescent="0.25">
      <c r="A952" s="57"/>
    </row>
    <row r="953" spans="1:1" x14ac:dyDescent="0.25">
      <c r="A953" s="57"/>
    </row>
    <row r="954" spans="1:1" x14ac:dyDescent="0.25">
      <c r="A954" s="57"/>
    </row>
    <row r="955" spans="1:1" x14ac:dyDescent="0.25">
      <c r="A955" s="57"/>
    </row>
    <row r="956" spans="1:1" x14ac:dyDescent="0.25">
      <c r="A956" s="57"/>
    </row>
    <row r="957" spans="1:1" x14ac:dyDescent="0.25">
      <c r="A957" s="57"/>
    </row>
    <row r="958" spans="1:1" x14ac:dyDescent="0.25">
      <c r="A958" s="57"/>
    </row>
    <row r="959" spans="1:1" x14ac:dyDescent="0.25">
      <c r="A959" s="57"/>
    </row>
    <row r="960" spans="1:1" x14ac:dyDescent="0.25">
      <c r="A960" s="57"/>
    </row>
    <row r="961" spans="1:1" x14ac:dyDescent="0.25">
      <c r="A961" s="57"/>
    </row>
    <row r="962" spans="1:1" x14ac:dyDescent="0.25">
      <c r="A962" s="57"/>
    </row>
    <row r="963" spans="1:1" x14ac:dyDescent="0.25">
      <c r="A963" s="57"/>
    </row>
    <row r="964" spans="1:1" x14ac:dyDescent="0.25">
      <c r="A964" s="57"/>
    </row>
    <row r="965" spans="1:1" x14ac:dyDescent="0.25">
      <c r="A965" s="57"/>
    </row>
    <row r="966" spans="1:1" x14ac:dyDescent="0.25">
      <c r="A966" s="57"/>
    </row>
    <row r="967" spans="1:1" x14ac:dyDescent="0.25">
      <c r="A967" s="57"/>
    </row>
    <row r="968" spans="1:1" x14ac:dyDescent="0.25">
      <c r="A968" s="57"/>
    </row>
    <row r="969" spans="1:1" x14ac:dyDescent="0.25">
      <c r="A969" s="57"/>
    </row>
    <row r="970" spans="1:1" x14ac:dyDescent="0.25">
      <c r="A970" s="57"/>
    </row>
    <row r="971" spans="1:1" x14ac:dyDescent="0.25">
      <c r="A971" s="57"/>
    </row>
    <row r="972" spans="1:1" x14ac:dyDescent="0.25">
      <c r="A972" s="57"/>
    </row>
    <row r="973" spans="1:1" x14ac:dyDescent="0.25">
      <c r="A973" s="57"/>
    </row>
    <row r="974" spans="1:1" x14ac:dyDescent="0.25">
      <c r="A974" s="57"/>
    </row>
    <row r="975" spans="1:1" x14ac:dyDescent="0.25">
      <c r="A975" s="57"/>
    </row>
    <row r="976" spans="1:1" x14ac:dyDescent="0.25">
      <c r="A976" s="57"/>
    </row>
    <row r="977" spans="1:1" x14ac:dyDescent="0.25">
      <c r="A977" s="57"/>
    </row>
    <row r="978" spans="1:1" x14ac:dyDescent="0.25">
      <c r="A978" s="57"/>
    </row>
    <row r="979" spans="1:1" x14ac:dyDescent="0.25">
      <c r="A979" s="57"/>
    </row>
    <row r="980" spans="1:1" x14ac:dyDescent="0.25">
      <c r="A980" s="57"/>
    </row>
    <row r="981" spans="1:1" x14ac:dyDescent="0.25">
      <c r="A981" s="57"/>
    </row>
    <row r="982" spans="1:1" x14ac:dyDescent="0.25">
      <c r="A982" s="57"/>
    </row>
    <row r="983" spans="1:1" x14ac:dyDescent="0.25">
      <c r="A983" s="57"/>
    </row>
    <row r="984" spans="1:1" x14ac:dyDescent="0.25">
      <c r="A984" s="57"/>
    </row>
    <row r="985" spans="1:1" x14ac:dyDescent="0.25">
      <c r="A985" s="57"/>
    </row>
    <row r="986" spans="1:1" x14ac:dyDescent="0.25">
      <c r="A986" s="57"/>
    </row>
    <row r="987" spans="1:1" x14ac:dyDescent="0.25">
      <c r="A987" s="57"/>
    </row>
    <row r="988" spans="1:1" x14ac:dyDescent="0.25">
      <c r="A988" s="57"/>
    </row>
    <row r="989" spans="1:1" x14ac:dyDescent="0.25">
      <c r="A989" s="57"/>
    </row>
    <row r="990" spans="1:1" x14ac:dyDescent="0.25">
      <c r="A990" s="57"/>
    </row>
    <row r="991" spans="1:1" x14ac:dyDescent="0.25">
      <c r="A991" s="57"/>
    </row>
    <row r="992" spans="1:1" x14ac:dyDescent="0.25">
      <c r="A992" s="57"/>
    </row>
    <row r="993" spans="1:1" x14ac:dyDescent="0.25">
      <c r="A993" s="57"/>
    </row>
    <row r="994" spans="1:1" x14ac:dyDescent="0.25">
      <c r="A994" s="57"/>
    </row>
    <row r="995" spans="1:1" x14ac:dyDescent="0.25">
      <c r="A995" s="57"/>
    </row>
    <row r="996" spans="1:1" x14ac:dyDescent="0.25">
      <c r="A996" s="57"/>
    </row>
    <row r="997" spans="1:1" x14ac:dyDescent="0.25">
      <c r="A997" s="57"/>
    </row>
    <row r="998" spans="1:1" x14ac:dyDescent="0.25">
      <c r="A998" s="57"/>
    </row>
    <row r="999" spans="1:1" x14ac:dyDescent="0.25">
      <c r="A999" s="57"/>
    </row>
    <row r="1000" spans="1:1" x14ac:dyDescent="0.25">
      <c r="A1000" s="57"/>
    </row>
    <row r="1001" spans="1:1" x14ac:dyDescent="0.25">
      <c r="A1001" s="57"/>
    </row>
    <row r="1002" spans="1:1" x14ac:dyDescent="0.25">
      <c r="A1002" s="57"/>
    </row>
    <row r="1003" spans="1:1" x14ac:dyDescent="0.25">
      <c r="A1003" s="57"/>
    </row>
    <row r="1004" spans="1:1" x14ac:dyDescent="0.25">
      <c r="A1004" s="57"/>
    </row>
    <row r="1005" spans="1:1" x14ac:dyDescent="0.25">
      <c r="A1005" s="57"/>
    </row>
    <row r="1006" spans="1:1" x14ac:dyDescent="0.25">
      <c r="A1006" s="57"/>
    </row>
    <row r="1007" spans="1:1" x14ac:dyDescent="0.25">
      <c r="A1007" s="57"/>
    </row>
    <row r="1008" spans="1:1" x14ac:dyDescent="0.25">
      <c r="A1008" s="57"/>
    </row>
    <row r="1009" spans="1:1" x14ac:dyDescent="0.25">
      <c r="A1009" s="57"/>
    </row>
    <row r="1010" spans="1:1" x14ac:dyDescent="0.25">
      <c r="A1010" s="57"/>
    </row>
    <row r="1011" spans="1:1" x14ac:dyDescent="0.25">
      <c r="A1011" s="57"/>
    </row>
    <row r="1012" spans="1:1" x14ac:dyDescent="0.25">
      <c r="A1012" s="57"/>
    </row>
    <row r="1013" spans="1:1" x14ac:dyDescent="0.25">
      <c r="A1013" s="57"/>
    </row>
    <row r="1014" spans="1:1" x14ac:dyDescent="0.25">
      <c r="A1014" s="57"/>
    </row>
    <row r="1015" spans="1:1" x14ac:dyDescent="0.25">
      <c r="A1015" s="57"/>
    </row>
    <row r="1016" spans="1:1" x14ac:dyDescent="0.25">
      <c r="A1016" s="57"/>
    </row>
    <row r="1017" spans="1:1" x14ac:dyDescent="0.25">
      <c r="A1017" s="57"/>
    </row>
    <row r="1018" spans="1:1" x14ac:dyDescent="0.25">
      <c r="A1018" s="57"/>
    </row>
    <row r="1019" spans="1:1" x14ac:dyDescent="0.25">
      <c r="A1019" s="57"/>
    </row>
    <row r="1020" spans="1:1" x14ac:dyDescent="0.25">
      <c r="A1020" s="57"/>
    </row>
    <row r="1021" spans="1:1" x14ac:dyDescent="0.25">
      <c r="A1021" s="57"/>
    </row>
    <row r="1022" spans="1:1" x14ac:dyDescent="0.25">
      <c r="A1022" s="57"/>
    </row>
    <row r="1023" spans="1:1" x14ac:dyDescent="0.25">
      <c r="A1023" s="57"/>
    </row>
    <row r="1024" spans="1:1" x14ac:dyDescent="0.25">
      <c r="A1024" s="57"/>
    </row>
    <row r="1025" spans="1:1" x14ac:dyDescent="0.25">
      <c r="A1025" s="57"/>
    </row>
    <row r="1026" spans="1:1" x14ac:dyDescent="0.25">
      <c r="A1026" s="57"/>
    </row>
    <row r="1027" spans="1:1" x14ac:dyDescent="0.25">
      <c r="A1027" s="57"/>
    </row>
    <row r="1028" spans="1:1" x14ac:dyDescent="0.25">
      <c r="A1028" s="57"/>
    </row>
    <row r="1029" spans="1:1" x14ac:dyDescent="0.25">
      <c r="A1029" s="57"/>
    </row>
    <row r="1030" spans="1:1" x14ac:dyDescent="0.25">
      <c r="A1030" s="57"/>
    </row>
    <row r="1031" spans="1:1" x14ac:dyDescent="0.25">
      <c r="A1031" s="57"/>
    </row>
    <row r="1032" spans="1:1" x14ac:dyDescent="0.25">
      <c r="A1032" s="57"/>
    </row>
    <row r="1033" spans="1:1" x14ac:dyDescent="0.25">
      <c r="A1033" s="57"/>
    </row>
    <row r="1034" spans="1:1" x14ac:dyDescent="0.25">
      <c r="A1034" s="57"/>
    </row>
    <row r="1035" spans="1:1" x14ac:dyDescent="0.25">
      <c r="A1035" s="57"/>
    </row>
    <row r="1036" spans="1:1" x14ac:dyDescent="0.25">
      <c r="A1036" s="57"/>
    </row>
    <row r="1037" spans="1:1" x14ac:dyDescent="0.25">
      <c r="A1037" s="57"/>
    </row>
    <row r="1038" spans="1:1" x14ac:dyDescent="0.25">
      <c r="A1038" s="57"/>
    </row>
    <row r="1039" spans="1:1" x14ac:dyDescent="0.25">
      <c r="A1039" s="57"/>
    </row>
    <row r="1040" spans="1:1" x14ac:dyDescent="0.25">
      <c r="A1040" s="57"/>
    </row>
    <row r="1041" spans="1:1" x14ac:dyDescent="0.25">
      <c r="A1041" s="57"/>
    </row>
    <row r="1042" spans="1:1" x14ac:dyDescent="0.25">
      <c r="A1042" s="57"/>
    </row>
    <row r="1043" spans="1:1" x14ac:dyDescent="0.25">
      <c r="A1043" s="57"/>
    </row>
    <row r="1044" spans="1:1" x14ac:dyDescent="0.25">
      <c r="A1044" s="57"/>
    </row>
    <row r="1045" spans="1:1" x14ac:dyDescent="0.25">
      <c r="A1045" s="57"/>
    </row>
    <row r="1046" spans="1:1" x14ac:dyDescent="0.25">
      <c r="A1046" s="57"/>
    </row>
    <row r="1047" spans="1:1" x14ac:dyDescent="0.25">
      <c r="A1047" s="57"/>
    </row>
    <row r="1048" spans="1:1" x14ac:dyDescent="0.25">
      <c r="A1048" s="57"/>
    </row>
    <row r="1049" spans="1:1" x14ac:dyDescent="0.25">
      <c r="A1049" s="57"/>
    </row>
    <row r="1050" spans="1:1" x14ac:dyDescent="0.25">
      <c r="A1050" s="57"/>
    </row>
    <row r="1051" spans="1:1" x14ac:dyDescent="0.25">
      <c r="A1051" s="57"/>
    </row>
    <row r="1052" spans="1:1" x14ac:dyDescent="0.25">
      <c r="A1052" s="57"/>
    </row>
    <row r="1053" spans="1:1" x14ac:dyDescent="0.25">
      <c r="A1053" s="57"/>
    </row>
    <row r="1054" spans="1:1" x14ac:dyDescent="0.25">
      <c r="A1054" s="57"/>
    </row>
    <row r="1055" spans="1:1" x14ac:dyDescent="0.25">
      <c r="A1055" s="57"/>
    </row>
    <row r="1056" spans="1:1" x14ac:dyDescent="0.25">
      <c r="A1056" s="57"/>
    </row>
    <row r="1057" spans="1:1" x14ac:dyDescent="0.25">
      <c r="A1057" s="57"/>
    </row>
    <row r="1058" spans="1:1" x14ac:dyDescent="0.25">
      <c r="A1058" s="57"/>
    </row>
    <row r="1059" spans="1:1" x14ac:dyDescent="0.25">
      <c r="A1059" s="57"/>
    </row>
    <row r="1060" spans="1:1" x14ac:dyDescent="0.25">
      <c r="A1060" s="57"/>
    </row>
    <row r="1061" spans="1:1" x14ac:dyDescent="0.25">
      <c r="A1061" s="57"/>
    </row>
    <row r="1062" spans="1:1" x14ac:dyDescent="0.25">
      <c r="A1062" s="57"/>
    </row>
    <row r="1063" spans="1:1" x14ac:dyDescent="0.25">
      <c r="A1063" s="57"/>
    </row>
    <row r="1064" spans="1:1" x14ac:dyDescent="0.25">
      <c r="A1064" s="57"/>
    </row>
    <row r="1065" spans="1:1" x14ac:dyDescent="0.25">
      <c r="A1065" s="57"/>
    </row>
    <row r="1066" spans="1:1" x14ac:dyDescent="0.25">
      <c r="A1066" s="57"/>
    </row>
    <row r="1067" spans="1:1" x14ac:dyDescent="0.25">
      <c r="A1067" s="57"/>
    </row>
    <row r="1068" spans="1:1" x14ac:dyDescent="0.25">
      <c r="A1068" s="57"/>
    </row>
    <row r="1069" spans="1:1" x14ac:dyDescent="0.25">
      <c r="A1069" s="57"/>
    </row>
    <row r="1070" spans="1:1" x14ac:dyDescent="0.25">
      <c r="A1070" s="57"/>
    </row>
    <row r="1071" spans="1:1" x14ac:dyDescent="0.25">
      <c r="A1071" s="57"/>
    </row>
    <row r="1072" spans="1:1" x14ac:dyDescent="0.25">
      <c r="A1072" s="57"/>
    </row>
    <row r="1073" spans="1:1" x14ac:dyDescent="0.25">
      <c r="A1073" s="57"/>
    </row>
    <row r="1074" spans="1:1" x14ac:dyDescent="0.25">
      <c r="A1074" s="57"/>
    </row>
    <row r="1075" spans="1:1" x14ac:dyDescent="0.25">
      <c r="A1075" s="57"/>
    </row>
    <row r="1076" spans="1:1" x14ac:dyDescent="0.25">
      <c r="A1076" s="57"/>
    </row>
    <row r="1077" spans="1:1" x14ac:dyDescent="0.25">
      <c r="A1077" s="57"/>
    </row>
    <row r="1078" spans="1:1" x14ac:dyDescent="0.25">
      <c r="A1078" s="57"/>
    </row>
    <row r="1079" spans="1:1" x14ac:dyDescent="0.25">
      <c r="A1079" s="57"/>
    </row>
    <row r="1080" spans="1:1" x14ac:dyDescent="0.25">
      <c r="A1080" s="57"/>
    </row>
    <row r="1081" spans="1:1" x14ac:dyDescent="0.25">
      <c r="A1081" s="57"/>
    </row>
    <row r="1082" spans="1:1" x14ac:dyDescent="0.25">
      <c r="A1082" s="57"/>
    </row>
    <row r="1083" spans="1:1" x14ac:dyDescent="0.25">
      <c r="A1083" s="57"/>
    </row>
    <row r="1084" spans="1:1" x14ac:dyDescent="0.25">
      <c r="A1084" s="57"/>
    </row>
    <row r="1085" spans="1:1" x14ac:dyDescent="0.25">
      <c r="A1085" s="57"/>
    </row>
    <row r="1086" spans="1:1" x14ac:dyDescent="0.25">
      <c r="A1086" s="57"/>
    </row>
    <row r="1087" spans="1:1" x14ac:dyDescent="0.25">
      <c r="A1087" s="57"/>
    </row>
    <row r="1088" spans="1:1" x14ac:dyDescent="0.25">
      <c r="A1088" s="57"/>
    </row>
    <row r="1089" spans="1:1" x14ac:dyDescent="0.25">
      <c r="A1089" s="57"/>
    </row>
    <row r="1090" spans="1:1" x14ac:dyDescent="0.25">
      <c r="A1090" s="57"/>
    </row>
    <row r="1091" spans="1:1" x14ac:dyDescent="0.25">
      <c r="A1091" s="57"/>
    </row>
    <row r="1092" spans="1:1" x14ac:dyDescent="0.25">
      <c r="A1092" s="57"/>
    </row>
    <row r="1093" spans="1:1" x14ac:dyDescent="0.25">
      <c r="A1093" s="57"/>
    </row>
    <row r="1094" spans="1:1" x14ac:dyDescent="0.25">
      <c r="A1094" s="57"/>
    </row>
    <row r="1095" spans="1:1" x14ac:dyDescent="0.25">
      <c r="A1095" s="57"/>
    </row>
    <row r="1096" spans="1:1" x14ac:dyDescent="0.25">
      <c r="A1096" s="57"/>
    </row>
    <row r="1097" spans="1:1" x14ac:dyDescent="0.25">
      <c r="A1097" s="57"/>
    </row>
    <row r="1098" spans="1:1" x14ac:dyDescent="0.25">
      <c r="A1098" s="57"/>
    </row>
    <row r="1099" spans="1:1" x14ac:dyDescent="0.25">
      <c r="A1099" s="57"/>
    </row>
    <row r="1100" spans="1:1" x14ac:dyDescent="0.25">
      <c r="A1100" s="57"/>
    </row>
    <row r="1101" spans="1:1" x14ac:dyDescent="0.25">
      <c r="A1101" s="57"/>
    </row>
    <row r="1102" spans="1:1" x14ac:dyDescent="0.25">
      <c r="A1102" s="57"/>
    </row>
    <row r="1103" spans="1:1" x14ac:dyDescent="0.25">
      <c r="A1103" s="57"/>
    </row>
    <row r="1104" spans="1:1" x14ac:dyDescent="0.25">
      <c r="A1104" s="57"/>
    </row>
    <row r="1105" spans="1:1" x14ac:dyDescent="0.25">
      <c r="A1105" s="57"/>
    </row>
    <row r="1106" spans="1:1" x14ac:dyDescent="0.25">
      <c r="A1106" s="57"/>
    </row>
    <row r="1107" spans="1:1" x14ac:dyDescent="0.25">
      <c r="A1107" s="57"/>
    </row>
    <row r="1108" spans="1:1" x14ac:dyDescent="0.25">
      <c r="A1108" s="57"/>
    </row>
    <row r="1109" spans="1:1" x14ac:dyDescent="0.25">
      <c r="A1109" s="57"/>
    </row>
    <row r="1110" spans="1:1" x14ac:dyDescent="0.25">
      <c r="A1110" s="57"/>
    </row>
    <row r="1111" spans="1:1" x14ac:dyDescent="0.25">
      <c r="A1111" s="57"/>
    </row>
    <row r="1112" spans="1:1" x14ac:dyDescent="0.25">
      <c r="A1112" s="57"/>
    </row>
    <row r="1113" spans="1:1" x14ac:dyDescent="0.25">
      <c r="A1113" s="57"/>
    </row>
    <row r="1114" spans="1:1" x14ac:dyDescent="0.25">
      <c r="A1114" s="57"/>
    </row>
    <row r="1115" spans="1:1" x14ac:dyDescent="0.25">
      <c r="A1115" s="57"/>
    </row>
    <row r="1116" spans="1:1" x14ac:dyDescent="0.25">
      <c r="A1116" s="57"/>
    </row>
    <row r="1117" spans="1:1" x14ac:dyDescent="0.25">
      <c r="A1117" s="57"/>
    </row>
    <row r="1118" spans="1:1" x14ac:dyDescent="0.25">
      <c r="A1118" s="57"/>
    </row>
    <row r="1119" spans="1:1" x14ac:dyDescent="0.25">
      <c r="A1119" s="57"/>
    </row>
    <row r="1120" spans="1:1" x14ac:dyDescent="0.25">
      <c r="A1120" s="57"/>
    </row>
    <row r="1121" spans="1:1" x14ac:dyDescent="0.25">
      <c r="A1121" s="57"/>
    </row>
    <row r="1122" spans="1:1" x14ac:dyDescent="0.25">
      <c r="A1122" s="57"/>
    </row>
    <row r="1123" spans="1:1" x14ac:dyDescent="0.25">
      <c r="A1123" s="57"/>
    </row>
    <row r="1124" spans="1:1" x14ac:dyDescent="0.25">
      <c r="A1124" s="57"/>
    </row>
    <row r="1125" spans="1:1" x14ac:dyDescent="0.25">
      <c r="A1125" s="57"/>
    </row>
    <row r="1126" spans="1:1" x14ac:dyDescent="0.25">
      <c r="A1126" s="57"/>
    </row>
    <row r="1127" spans="1:1" x14ac:dyDescent="0.25">
      <c r="A1127" s="57"/>
    </row>
    <row r="1128" spans="1:1" x14ac:dyDescent="0.25">
      <c r="A1128" s="57"/>
    </row>
    <row r="1129" spans="1:1" x14ac:dyDescent="0.25">
      <c r="A1129" s="57"/>
    </row>
    <row r="1130" spans="1:1" x14ac:dyDescent="0.25">
      <c r="A1130" s="57"/>
    </row>
    <row r="1131" spans="1:1" x14ac:dyDescent="0.25">
      <c r="A1131" s="57"/>
    </row>
    <row r="1132" spans="1:1" x14ac:dyDescent="0.25">
      <c r="A1132" s="57"/>
    </row>
    <row r="1133" spans="1:1" x14ac:dyDescent="0.25">
      <c r="A1133" s="57"/>
    </row>
    <row r="1134" spans="1:1" x14ac:dyDescent="0.25">
      <c r="A1134" s="57"/>
    </row>
    <row r="1135" spans="1:1" x14ac:dyDescent="0.25">
      <c r="A1135" s="57"/>
    </row>
    <row r="1136" spans="1:1" x14ac:dyDescent="0.25">
      <c r="A1136" s="57"/>
    </row>
    <row r="1137" spans="1:1" x14ac:dyDescent="0.25">
      <c r="A1137" s="57"/>
    </row>
    <row r="1138" spans="1:1" x14ac:dyDescent="0.25">
      <c r="A1138" s="57"/>
    </row>
    <row r="1139" spans="1:1" x14ac:dyDescent="0.25">
      <c r="A1139" s="57"/>
    </row>
    <row r="1140" spans="1:1" x14ac:dyDescent="0.25">
      <c r="A1140" s="57"/>
    </row>
    <row r="1141" spans="1:1" x14ac:dyDescent="0.25">
      <c r="A1141" s="57"/>
    </row>
    <row r="1142" spans="1:1" x14ac:dyDescent="0.25">
      <c r="A1142" s="57"/>
    </row>
    <row r="1143" spans="1:1" x14ac:dyDescent="0.25">
      <c r="A1143" s="57"/>
    </row>
    <row r="1144" spans="1:1" x14ac:dyDescent="0.25">
      <c r="A1144" s="57"/>
    </row>
    <row r="1145" spans="1:1" x14ac:dyDescent="0.25">
      <c r="A1145" s="57"/>
    </row>
    <row r="1146" spans="1:1" x14ac:dyDescent="0.25">
      <c r="A1146" s="57"/>
    </row>
    <row r="1147" spans="1:1" x14ac:dyDescent="0.25">
      <c r="A1147" s="57"/>
    </row>
    <row r="1148" spans="1:1" x14ac:dyDescent="0.25">
      <c r="A1148" s="57"/>
    </row>
    <row r="1149" spans="1:1" x14ac:dyDescent="0.25">
      <c r="A1149" s="57"/>
    </row>
    <row r="1150" spans="1:1" x14ac:dyDescent="0.25">
      <c r="A1150" s="57"/>
    </row>
    <row r="1151" spans="1:1" x14ac:dyDescent="0.25">
      <c r="A1151" s="57"/>
    </row>
    <row r="1152" spans="1:1" x14ac:dyDescent="0.25">
      <c r="A1152" s="57"/>
    </row>
    <row r="1153" spans="1:1" x14ac:dyDescent="0.25">
      <c r="A1153" s="57"/>
    </row>
    <row r="1154" spans="1:1" x14ac:dyDescent="0.25">
      <c r="A1154" s="57"/>
    </row>
    <row r="1155" spans="1:1" x14ac:dyDescent="0.25">
      <c r="A1155" s="57"/>
    </row>
    <row r="1156" spans="1:1" x14ac:dyDescent="0.25">
      <c r="A1156" s="57"/>
    </row>
    <row r="1157" spans="1:1" x14ac:dyDescent="0.25">
      <c r="A1157" s="57"/>
    </row>
    <row r="1158" spans="1:1" x14ac:dyDescent="0.25">
      <c r="A1158" s="57"/>
    </row>
    <row r="1159" spans="1:1" x14ac:dyDescent="0.25">
      <c r="A1159" s="57"/>
    </row>
    <row r="1160" spans="1:1" x14ac:dyDescent="0.25">
      <c r="A1160" s="57"/>
    </row>
    <row r="1161" spans="1:1" x14ac:dyDescent="0.25">
      <c r="A1161" s="57"/>
    </row>
    <row r="1162" spans="1:1" x14ac:dyDescent="0.25">
      <c r="A1162" s="57"/>
    </row>
    <row r="1163" spans="1:1" x14ac:dyDescent="0.25">
      <c r="A1163" s="57"/>
    </row>
    <row r="1164" spans="1:1" x14ac:dyDescent="0.25">
      <c r="A1164" s="57"/>
    </row>
    <row r="1165" spans="1:1" x14ac:dyDescent="0.25">
      <c r="A1165" s="57"/>
    </row>
    <row r="1166" spans="1:1" x14ac:dyDescent="0.25">
      <c r="A1166" s="57"/>
    </row>
    <row r="1167" spans="1:1" x14ac:dyDescent="0.25">
      <c r="A1167" s="57"/>
    </row>
    <row r="1168" spans="1:1" x14ac:dyDescent="0.25">
      <c r="A1168" s="57"/>
    </row>
    <row r="1169" spans="1:1" x14ac:dyDescent="0.25">
      <c r="A1169" s="57"/>
    </row>
    <row r="1170" spans="1:1" x14ac:dyDescent="0.25">
      <c r="A1170" s="57"/>
    </row>
    <row r="1171" spans="1:1" x14ac:dyDescent="0.25">
      <c r="A1171" s="57"/>
    </row>
    <row r="1172" spans="1:1" x14ac:dyDescent="0.25">
      <c r="A1172" s="57"/>
    </row>
    <row r="1173" spans="1:1" x14ac:dyDescent="0.25">
      <c r="A1173" s="57"/>
    </row>
    <row r="1174" spans="1:1" x14ac:dyDescent="0.25">
      <c r="A1174" s="57"/>
    </row>
    <row r="1175" spans="1:1" x14ac:dyDescent="0.25">
      <c r="A1175" s="57"/>
    </row>
    <row r="1176" spans="1:1" x14ac:dyDescent="0.25">
      <c r="A1176" s="57"/>
    </row>
    <row r="1177" spans="1:1" x14ac:dyDescent="0.25">
      <c r="A1177" s="57"/>
    </row>
    <row r="1178" spans="1:1" x14ac:dyDescent="0.25">
      <c r="A1178" s="57"/>
    </row>
    <row r="1179" spans="1:1" x14ac:dyDescent="0.25">
      <c r="A1179" s="57"/>
    </row>
    <row r="1180" spans="1:1" x14ac:dyDescent="0.25">
      <c r="A1180" s="57"/>
    </row>
    <row r="1181" spans="1:1" x14ac:dyDescent="0.25">
      <c r="A1181" s="57"/>
    </row>
    <row r="1182" spans="1:1" x14ac:dyDescent="0.25">
      <c r="A1182" s="57"/>
    </row>
    <row r="1183" spans="1:1" x14ac:dyDescent="0.25">
      <c r="A1183" s="57"/>
    </row>
    <row r="1184" spans="1:1" x14ac:dyDescent="0.25">
      <c r="A1184" s="57"/>
    </row>
    <row r="1185" spans="1:1" x14ac:dyDescent="0.25">
      <c r="A1185" s="57"/>
    </row>
    <row r="1186" spans="1:1" x14ac:dyDescent="0.25">
      <c r="A1186" s="57"/>
    </row>
    <row r="1187" spans="1:1" x14ac:dyDescent="0.25">
      <c r="A1187" s="57"/>
    </row>
    <row r="1188" spans="1:1" x14ac:dyDescent="0.25">
      <c r="A1188" s="57"/>
    </row>
    <row r="1189" spans="1:1" x14ac:dyDescent="0.25">
      <c r="A1189" s="57"/>
    </row>
    <row r="1190" spans="1:1" x14ac:dyDescent="0.25">
      <c r="A1190" s="57"/>
    </row>
    <row r="1191" spans="1:1" x14ac:dyDescent="0.25">
      <c r="A1191" s="57"/>
    </row>
    <row r="1192" spans="1:1" x14ac:dyDescent="0.25">
      <c r="A1192" s="57"/>
    </row>
    <row r="1193" spans="1:1" x14ac:dyDescent="0.25">
      <c r="A1193" s="57"/>
    </row>
    <row r="1194" spans="1:1" x14ac:dyDescent="0.25">
      <c r="A1194" s="57"/>
    </row>
    <row r="1195" spans="1:1" x14ac:dyDescent="0.25">
      <c r="A1195" s="57"/>
    </row>
    <row r="1196" spans="1:1" x14ac:dyDescent="0.25">
      <c r="A1196" s="57"/>
    </row>
    <row r="1197" spans="1:1" x14ac:dyDescent="0.25">
      <c r="A1197" s="57"/>
    </row>
    <row r="1198" spans="1:1" x14ac:dyDescent="0.25">
      <c r="A1198" s="57"/>
    </row>
    <row r="1199" spans="1:1" x14ac:dyDescent="0.25">
      <c r="A1199" s="57"/>
    </row>
    <row r="1200" spans="1:1" x14ac:dyDescent="0.25">
      <c r="A1200" s="57"/>
    </row>
    <row r="1201" spans="1:1" x14ac:dyDescent="0.25">
      <c r="A1201" s="57"/>
    </row>
    <row r="1202" spans="1:1" x14ac:dyDescent="0.25">
      <c r="A1202" s="57"/>
    </row>
    <row r="1203" spans="1:1" x14ac:dyDescent="0.25">
      <c r="A1203" s="57"/>
    </row>
    <row r="1204" spans="1:1" x14ac:dyDescent="0.25">
      <c r="A1204" s="57"/>
    </row>
    <row r="1205" spans="1:1" x14ac:dyDescent="0.25">
      <c r="A1205" s="57"/>
    </row>
    <row r="1206" spans="1:1" x14ac:dyDescent="0.25">
      <c r="A1206" s="57"/>
    </row>
    <row r="1207" spans="1:1" x14ac:dyDescent="0.25">
      <c r="A1207" s="57"/>
    </row>
    <row r="1208" spans="1:1" x14ac:dyDescent="0.25">
      <c r="A1208" s="57"/>
    </row>
    <row r="1209" spans="1:1" x14ac:dyDescent="0.25">
      <c r="A1209" s="57"/>
    </row>
    <row r="1210" spans="1:1" x14ac:dyDescent="0.25">
      <c r="A1210" s="57"/>
    </row>
    <row r="1211" spans="1:1" x14ac:dyDescent="0.25">
      <c r="A1211" s="57"/>
    </row>
    <row r="1212" spans="1:1" x14ac:dyDescent="0.25">
      <c r="A1212" s="57"/>
    </row>
    <row r="1213" spans="1:1" x14ac:dyDescent="0.25">
      <c r="A1213" s="57"/>
    </row>
    <row r="1214" spans="1:1" x14ac:dyDescent="0.25">
      <c r="A1214" s="57"/>
    </row>
    <row r="1215" spans="1:1" x14ac:dyDescent="0.25">
      <c r="A1215" s="57"/>
    </row>
    <row r="1216" spans="1:1" x14ac:dyDescent="0.25">
      <c r="A1216" s="57"/>
    </row>
    <row r="1217" spans="1:1" x14ac:dyDescent="0.25">
      <c r="A1217" s="57"/>
    </row>
    <row r="1218" spans="1:1" x14ac:dyDescent="0.25">
      <c r="A1218" s="57"/>
    </row>
    <row r="1219" spans="1:1" x14ac:dyDescent="0.25">
      <c r="A1219" s="57"/>
    </row>
    <row r="1220" spans="1:1" x14ac:dyDescent="0.25">
      <c r="A1220" s="57"/>
    </row>
    <row r="1221" spans="1:1" x14ac:dyDescent="0.25">
      <c r="A1221" s="57"/>
    </row>
    <row r="1222" spans="1:1" x14ac:dyDescent="0.25">
      <c r="A1222" s="57"/>
    </row>
    <row r="1223" spans="1:1" x14ac:dyDescent="0.25">
      <c r="A1223" s="57"/>
    </row>
    <row r="1224" spans="1:1" x14ac:dyDescent="0.25">
      <c r="A1224" s="57"/>
    </row>
    <row r="1225" spans="1:1" x14ac:dyDescent="0.25">
      <c r="A1225" s="57"/>
    </row>
    <row r="1226" spans="1:1" x14ac:dyDescent="0.25">
      <c r="A1226" s="57"/>
    </row>
    <row r="1227" spans="1:1" x14ac:dyDescent="0.25">
      <c r="A1227" s="57"/>
    </row>
    <row r="1228" spans="1:1" x14ac:dyDescent="0.25">
      <c r="A1228" s="57"/>
    </row>
    <row r="1229" spans="1:1" x14ac:dyDescent="0.25">
      <c r="A1229" s="57"/>
    </row>
    <row r="1230" spans="1:1" x14ac:dyDescent="0.25">
      <c r="A1230" s="57"/>
    </row>
    <row r="1231" spans="1:1" x14ac:dyDescent="0.25">
      <c r="A1231" s="57"/>
    </row>
    <row r="1232" spans="1:1" x14ac:dyDescent="0.25">
      <c r="A1232" s="57"/>
    </row>
    <row r="1233" spans="1:1" x14ac:dyDescent="0.25">
      <c r="A1233" s="57"/>
    </row>
    <row r="1234" spans="1:1" x14ac:dyDescent="0.25">
      <c r="A1234" s="57"/>
    </row>
    <row r="1235" spans="1:1" x14ac:dyDescent="0.25">
      <c r="A1235" s="57"/>
    </row>
    <row r="1236" spans="1:1" x14ac:dyDescent="0.25">
      <c r="A1236" s="57"/>
    </row>
    <row r="1237" spans="1:1" x14ac:dyDescent="0.25">
      <c r="A1237" s="57"/>
    </row>
    <row r="1238" spans="1:1" x14ac:dyDescent="0.25">
      <c r="A1238" s="57"/>
    </row>
    <row r="1239" spans="1:1" x14ac:dyDescent="0.25">
      <c r="A1239" s="57"/>
    </row>
    <row r="1240" spans="1:1" x14ac:dyDescent="0.25">
      <c r="A1240" s="57"/>
    </row>
    <row r="1241" spans="1:1" x14ac:dyDescent="0.25">
      <c r="A1241" s="57"/>
    </row>
    <row r="1242" spans="1:1" x14ac:dyDescent="0.25">
      <c r="A1242" s="57"/>
    </row>
    <row r="1243" spans="1:1" x14ac:dyDescent="0.25">
      <c r="A1243" s="57"/>
    </row>
    <row r="1244" spans="1:1" x14ac:dyDescent="0.25">
      <c r="A1244" s="57"/>
    </row>
    <row r="1245" spans="1:1" x14ac:dyDescent="0.25">
      <c r="A1245" s="57"/>
    </row>
    <row r="1246" spans="1:1" x14ac:dyDescent="0.25">
      <c r="A1246" s="57"/>
    </row>
    <row r="1247" spans="1:1" x14ac:dyDescent="0.25">
      <c r="A1247" s="57"/>
    </row>
    <row r="1248" spans="1:1" x14ac:dyDescent="0.25">
      <c r="A1248" s="57"/>
    </row>
    <row r="1249" spans="1:1" x14ac:dyDescent="0.25">
      <c r="A1249" s="57"/>
    </row>
    <row r="1250" spans="1:1" x14ac:dyDescent="0.25">
      <c r="A1250" s="57"/>
    </row>
    <row r="1251" spans="1:1" x14ac:dyDescent="0.25">
      <c r="A1251" s="57"/>
    </row>
    <row r="1252" spans="1:1" x14ac:dyDescent="0.25">
      <c r="A1252" s="57"/>
    </row>
    <row r="1253" spans="1:1" x14ac:dyDescent="0.25">
      <c r="A1253" s="57"/>
    </row>
    <row r="1254" spans="1:1" x14ac:dyDescent="0.25">
      <c r="A1254" s="57"/>
    </row>
    <row r="1255" spans="1:1" x14ac:dyDescent="0.25">
      <c r="A1255" s="57"/>
    </row>
    <row r="1256" spans="1:1" x14ac:dyDescent="0.25">
      <c r="A1256" s="57"/>
    </row>
    <row r="1257" spans="1:1" x14ac:dyDescent="0.25">
      <c r="A1257" s="57"/>
    </row>
    <row r="1258" spans="1:1" x14ac:dyDescent="0.25">
      <c r="A1258" s="57"/>
    </row>
    <row r="1259" spans="1:1" x14ac:dyDescent="0.25">
      <c r="A1259" s="57"/>
    </row>
    <row r="1260" spans="1:1" x14ac:dyDescent="0.25">
      <c r="A1260" s="57"/>
    </row>
    <row r="1261" spans="1:1" x14ac:dyDescent="0.25">
      <c r="A1261" s="57"/>
    </row>
    <row r="1262" spans="1:1" x14ac:dyDescent="0.25">
      <c r="A1262" s="57"/>
    </row>
    <row r="1263" spans="1:1" x14ac:dyDescent="0.25">
      <c r="A1263" s="57"/>
    </row>
    <row r="1264" spans="1:1" x14ac:dyDescent="0.25">
      <c r="A1264" s="57"/>
    </row>
    <row r="1265" spans="1:1" x14ac:dyDescent="0.25">
      <c r="A1265" s="57"/>
    </row>
    <row r="1266" spans="1:1" x14ac:dyDescent="0.25">
      <c r="A1266" s="57"/>
    </row>
    <row r="1267" spans="1:1" x14ac:dyDescent="0.25">
      <c r="A1267" s="57"/>
    </row>
    <row r="1268" spans="1:1" x14ac:dyDescent="0.25">
      <c r="A1268" s="57"/>
    </row>
    <row r="1269" spans="1:1" x14ac:dyDescent="0.25">
      <c r="A1269" s="57"/>
    </row>
    <row r="1270" spans="1:1" x14ac:dyDescent="0.25">
      <c r="A1270" s="57"/>
    </row>
    <row r="1271" spans="1:1" x14ac:dyDescent="0.25">
      <c r="A1271" s="57"/>
    </row>
    <row r="1272" spans="1:1" x14ac:dyDescent="0.25">
      <c r="A1272" s="57"/>
    </row>
    <row r="1273" spans="1:1" x14ac:dyDescent="0.25">
      <c r="A1273" s="57"/>
    </row>
    <row r="1274" spans="1:1" x14ac:dyDescent="0.25">
      <c r="A1274" s="57"/>
    </row>
    <row r="1275" spans="1:1" x14ac:dyDescent="0.25">
      <c r="A1275" s="57"/>
    </row>
    <row r="1276" spans="1:1" x14ac:dyDescent="0.25">
      <c r="A1276" s="57"/>
    </row>
    <row r="1277" spans="1:1" x14ac:dyDescent="0.25">
      <c r="A1277" s="57"/>
    </row>
    <row r="1278" spans="1:1" x14ac:dyDescent="0.25">
      <c r="A1278" s="57"/>
    </row>
    <row r="1279" spans="1:1" x14ac:dyDescent="0.25">
      <c r="A1279" s="57"/>
    </row>
    <row r="1280" spans="1:1" x14ac:dyDescent="0.25">
      <c r="A1280" s="57"/>
    </row>
    <row r="1281" spans="1:1" x14ac:dyDescent="0.25">
      <c r="A1281" s="57"/>
    </row>
    <row r="1282" spans="1:1" x14ac:dyDescent="0.25">
      <c r="A1282" s="57"/>
    </row>
    <row r="1283" spans="1:1" x14ac:dyDescent="0.25">
      <c r="A1283" s="57"/>
    </row>
    <row r="1284" spans="1:1" x14ac:dyDescent="0.25">
      <c r="A1284" s="57"/>
    </row>
    <row r="1285" spans="1:1" x14ac:dyDescent="0.25">
      <c r="A1285" s="57"/>
    </row>
    <row r="1286" spans="1:1" x14ac:dyDescent="0.25">
      <c r="A1286" s="57"/>
    </row>
    <row r="1287" spans="1:1" x14ac:dyDescent="0.25">
      <c r="A1287" s="57"/>
    </row>
    <row r="1288" spans="1:1" x14ac:dyDescent="0.25">
      <c r="A1288" s="57"/>
    </row>
    <row r="1289" spans="1:1" x14ac:dyDescent="0.25">
      <c r="A1289" s="57"/>
    </row>
    <row r="1290" spans="1:1" x14ac:dyDescent="0.25">
      <c r="A1290" s="57"/>
    </row>
    <row r="1291" spans="1:1" x14ac:dyDescent="0.25">
      <c r="A1291" s="57"/>
    </row>
    <row r="1292" spans="1:1" x14ac:dyDescent="0.25">
      <c r="A1292" s="57"/>
    </row>
    <row r="1293" spans="1:1" x14ac:dyDescent="0.25">
      <c r="A1293" s="57"/>
    </row>
    <row r="1294" spans="1:1" x14ac:dyDescent="0.25">
      <c r="A1294" s="57"/>
    </row>
    <row r="1295" spans="1:1" x14ac:dyDescent="0.25">
      <c r="A1295" s="57"/>
    </row>
    <row r="1296" spans="1:1" x14ac:dyDescent="0.25">
      <c r="A1296" s="57"/>
    </row>
    <row r="1297" spans="1:1" x14ac:dyDescent="0.25">
      <c r="A1297" s="57"/>
    </row>
    <row r="1298" spans="1:1" x14ac:dyDescent="0.25">
      <c r="A1298" s="57"/>
    </row>
    <row r="1299" spans="1:1" x14ac:dyDescent="0.25">
      <c r="A1299" s="57"/>
    </row>
    <row r="1300" spans="1:1" x14ac:dyDescent="0.25">
      <c r="A1300" s="57"/>
    </row>
    <row r="1301" spans="1:1" x14ac:dyDescent="0.25">
      <c r="A1301" s="57"/>
    </row>
    <row r="1302" spans="1:1" x14ac:dyDescent="0.25">
      <c r="A1302" s="57"/>
    </row>
    <row r="1303" spans="1:1" x14ac:dyDescent="0.25">
      <c r="A1303" s="57"/>
    </row>
    <row r="1304" spans="1:1" x14ac:dyDescent="0.25">
      <c r="A1304" s="57"/>
    </row>
    <row r="1305" spans="1:1" x14ac:dyDescent="0.25">
      <c r="A1305" s="57"/>
    </row>
    <row r="1306" spans="1:1" x14ac:dyDescent="0.25">
      <c r="A1306" s="57"/>
    </row>
    <row r="1307" spans="1:1" x14ac:dyDescent="0.25">
      <c r="A1307" s="57"/>
    </row>
    <row r="1308" spans="1:1" x14ac:dyDescent="0.25">
      <c r="A1308" s="57"/>
    </row>
    <row r="1309" spans="1:1" x14ac:dyDescent="0.25">
      <c r="A1309" s="57"/>
    </row>
    <row r="1310" spans="1:1" x14ac:dyDescent="0.25">
      <c r="A1310" s="57"/>
    </row>
    <row r="1311" spans="1:1" x14ac:dyDescent="0.25">
      <c r="A1311" s="57"/>
    </row>
    <row r="1312" spans="1:1" x14ac:dyDescent="0.25">
      <c r="A1312" s="57"/>
    </row>
    <row r="1313" spans="1:1" x14ac:dyDescent="0.25">
      <c r="A1313" s="57"/>
    </row>
    <row r="1314" spans="1:1" x14ac:dyDescent="0.25">
      <c r="A1314" s="57"/>
    </row>
    <row r="1315" spans="1:1" x14ac:dyDescent="0.25">
      <c r="A1315" s="57"/>
    </row>
    <row r="1316" spans="1:1" x14ac:dyDescent="0.25">
      <c r="A1316" s="57"/>
    </row>
    <row r="1317" spans="1:1" x14ac:dyDescent="0.25">
      <c r="A1317" s="57"/>
    </row>
    <row r="1318" spans="1:1" x14ac:dyDescent="0.25">
      <c r="A1318" s="57"/>
    </row>
    <row r="1319" spans="1:1" x14ac:dyDescent="0.25">
      <c r="A1319" s="57"/>
    </row>
    <row r="1320" spans="1:1" x14ac:dyDescent="0.25">
      <c r="A1320" s="57"/>
    </row>
    <row r="1321" spans="1:1" x14ac:dyDescent="0.25">
      <c r="A1321" s="57"/>
    </row>
    <row r="1322" spans="1:1" x14ac:dyDescent="0.25">
      <c r="A1322" s="57"/>
    </row>
    <row r="1323" spans="1:1" x14ac:dyDescent="0.25">
      <c r="A1323" s="57"/>
    </row>
    <row r="1324" spans="1:1" x14ac:dyDescent="0.25">
      <c r="A1324" s="57"/>
    </row>
    <row r="1325" spans="1:1" x14ac:dyDescent="0.25">
      <c r="A1325" s="57"/>
    </row>
    <row r="1326" spans="1:1" x14ac:dyDescent="0.25">
      <c r="A1326" s="57"/>
    </row>
    <row r="1327" spans="1:1" x14ac:dyDescent="0.25">
      <c r="A1327" s="57"/>
    </row>
    <row r="1328" spans="1:1" x14ac:dyDescent="0.25">
      <c r="A1328" s="57"/>
    </row>
    <row r="1329" spans="1:1" x14ac:dyDescent="0.25">
      <c r="A1329" s="57"/>
    </row>
    <row r="1330" spans="1:1" x14ac:dyDescent="0.25">
      <c r="A1330" s="57"/>
    </row>
    <row r="1331" spans="1:1" x14ac:dyDescent="0.25">
      <c r="A1331" s="57"/>
    </row>
    <row r="1332" spans="1:1" x14ac:dyDescent="0.25">
      <c r="A1332" s="57"/>
    </row>
    <row r="1333" spans="1:1" x14ac:dyDescent="0.25">
      <c r="A1333" s="57"/>
    </row>
    <row r="1334" spans="1:1" x14ac:dyDescent="0.25">
      <c r="A1334" s="57"/>
    </row>
    <row r="1335" spans="1:1" x14ac:dyDescent="0.25">
      <c r="A1335" s="57"/>
    </row>
    <row r="1336" spans="1:1" x14ac:dyDescent="0.25">
      <c r="A1336" s="57"/>
    </row>
    <row r="1337" spans="1:1" x14ac:dyDescent="0.25">
      <c r="A1337" s="57"/>
    </row>
    <row r="1338" spans="1:1" x14ac:dyDescent="0.25">
      <c r="A1338" s="57"/>
    </row>
    <row r="1339" spans="1:1" x14ac:dyDescent="0.25">
      <c r="A1339" s="57"/>
    </row>
    <row r="1340" spans="1:1" x14ac:dyDescent="0.25">
      <c r="A1340" s="57"/>
    </row>
    <row r="1341" spans="1:1" x14ac:dyDescent="0.25">
      <c r="A1341" s="57"/>
    </row>
    <row r="1342" spans="1:1" x14ac:dyDescent="0.25">
      <c r="A1342" s="57"/>
    </row>
    <row r="1343" spans="1:1" x14ac:dyDescent="0.25">
      <c r="A1343" s="57"/>
    </row>
    <row r="1344" spans="1:1" x14ac:dyDescent="0.25">
      <c r="A1344" s="57"/>
    </row>
    <row r="1345" spans="1:1" x14ac:dyDescent="0.25">
      <c r="A1345" s="57"/>
    </row>
    <row r="1346" spans="1:1" x14ac:dyDescent="0.25">
      <c r="A1346" s="57"/>
    </row>
    <row r="1347" spans="1:1" x14ac:dyDescent="0.25">
      <c r="A1347" s="57"/>
    </row>
    <row r="1348" spans="1:1" x14ac:dyDescent="0.25">
      <c r="A1348" s="57"/>
    </row>
    <row r="1349" spans="1:1" x14ac:dyDescent="0.25">
      <c r="A1349" s="57"/>
    </row>
    <row r="1350" spans="1:1" x14ac:dyDescent="0.25">
      <c r="A1350" s="57"/>
    </row>
    <row r="1351" spans="1:1" x14ac:dyDescent="0.25">
      <c r="A1351" s="57"/>
    </row>
    <row r="1352" spans="1:1" x14ac:dyDescent="0.25">
      <c r="A1352" s="57"/>
    </row>
    <row r="1353" spans="1:1" x14ac:dyDescent="0.25">
      <c r="A1353" s="57"/>
    </row>
    <row r="1354" spans="1:1" x14ac:dyDescent="0.25">
      <c r="A1354" s="57"/>
    </row>
    <row r="1355" spans="1:1" x14ac:dyDescent="0.25">
      <c r="A1355" s="57"/>
    </row>
    <row r="1356" spans="1:1" x14ac:dyDescent="0.25">
      <c r="A1356" s="57"/>
    </row>
    <row r="1357" spans="1:1" x14ac:dyDescent="0.25">
      <c r="A1357" s="57"/>
    </row>
    <row r="1358" spans="1:1" x14ac:dyDescent="0.25">
      <c r="A1358" s="57"/>
    </row>
    <row r="1359" spans="1:1" x14ac:dyDescent="0.25">
      <c r="A1359" s="57"/>
    </row>
    <row r="1360" spans="1:1" x14ac:dyDescent="0.25">
      <c r="A1360" s="57"/>
    </row>
    <row r="1361" spans="1:1" x14ac:dyDescent="0.25">
      <c r="A1361" s="57"/>
    </row>
    <row r="1362" spans="1:1" x14ac:dyDescent="0.25">
      <c r="A1362" s="57"/>
    </row>
    <row r="1363" spans="1:1" x14ac:dyDescent="0.25">
      <c r="A1363" s="57"/>
    </row>
    <row r="1364" spans="1:1" x14ac:dyDescent="0.25">
      <c r="A1364" s="57"/>
    </row>
    <row r="1365" spans="1:1" x14ac:dyDescent="0.25">
      <c r="A1365" s="57"/>
    </row>
    <row r="1366" spans="1:1" x14ac:dyDescent="0.25">
      <c r="A1366" s="57"/>
    </row>
    <row r="1367" spans="1:1" x14ac:dyDescent="0.25">
      <c r="A1367" s="57"/>
    </row>
    <row r="1368" spans="1:1" x14ac:dyDescent="0.25">
      <c r="A1368" s="57"/>
    </row>
    <row r="1369" spans="1:1" x14ac:dyDescent="0.25">
      <c r="A1369" s="57"/>
    </row>
    <row r="1370" spans="1:1" x14ac:dyDescent="0.25">
      <c r="A1370" s="57"/>
    </row>
    <row r="1371" spans="1:1" x14ac:dyDescent="0.25">
      <c r="A1371" s="57"/>
    </row>
    <row r="1372" spans="1:1" x14ac:dyDescent="0.25">
      <c r="A1372" s="57"/>
    </row>
    <row r="1373" spans="1:1" x14ac:dyDescent="0.25">
      <c r="A1373" s="57"/>
    </row>
    <row r="1374" spans="1:1" x14ac:dyDescent="0.25">
      <c r="A1374" s="57"/>
    </row>
    <row r="1375" spans="1:1" x14ac:dyDescent="0.25">
      <c r="A1375" s="57"/>
    </row>
    <row r="1376" spans="1:1" x14ac:dyDescent="0.25">
      <c r="A1376" s="57"/>
    </row>
    <row r="1377" spans="1:1" x14ac:dyDescent="0.25">
      <c r="A1377" s="57"/>
    </row>
    <row r="1378" spans="1:1" x14ac:dyDescent="0.25">
      <c r="A1378" s="57"/>
    </row>
    <row r="1379" spans="1:1" x14ac:dyDescent="0.25">
      <c r="A1379" s="57"/>
    </row>
    <row r="1380" spans="1:1" x14ac:dyDescent="0.25">
      <c r="A1380" s="57"/>
    </row>
    <row r="1381" spans="1:1" x14ac:dyDescent="0.25">
      <c r="A1381" s="57"/>
    </row>
    <row r="1382" spans="1:1" x14ac:dyDescent="0.25">
      <c r="A1382" s="57"/>
    </row>
    <row r="1383" spans="1:1" x14ac:dyDescent="0.25">
      <c r="A1383" s="57"/>
    </row>
    <row r="1384" spans="1:1" x14ac:dyDescent="0.25">
      <c r="A1384" s="57"/>
    </row>
    <row r="1385" spans="1:1" x14ac:dyDescent="0.25">
      <c r="A1385" s="57"/>
    </row>
    <row r="1386" spans="1:1" x14ac:dyDescent="0.25">
      <c r="A1386" s="57"/>
    </row>
    <row r="1387" spans="1:1" x14ac:dyDescent="0.25">
      <c r="A1387" s="57"/>
    </row>
    <row r="1388" spans="1:1" x14ac:dyDescent="0.25">
      <c r="A1388" s="57"/>
    </row>
    <row r="1389" spans="1:1" x14ac:dyDescent="0.25">
      <c r="A1389" s="57"/>
    </row>
    <row r="1390" spans="1:1" x14ac:dyDescent="0.25">
      <c r="A1390" s="57"/>
    </row>
    <row r="1391" spans="1:1" x14ac:dyDescent="0.25">
      <c r="A1391" s="57"/>
    </row>
    <row r="1392" spans="1:1" x14ac:dyDescent="0.25">
      <c r="A1392" s="57"/>
    </row>
    <row r="1393" spans="1:1" x14ac:dyDescent="0.25">
      <c r="A1393" s="57"/>
    </row>
    <row r="1394" spans="1:1" x14ac:dyDescent="0.25">
      <c r="A1394" s="57"/>
    </row>
    <row r="1395" spans="1:1" x14ac:dyDescent="0.25">
      <c r="A1395" s="57"/>
    </row>
    <row r="1396" spans="1:1" x14ac:dyDescent="0.25">
      <c r="A1396" s="57"/>
    </row>
    <row r="1397" spans="1:1" x14ac:dyDescent="0.25">
      <c r="A1397" s="57"/>
    </row>
    <row r="1398" spans="1:1" x14ac:dyDescent="0.25">
      <c r="A1398" s="57"/>
    </row>
    <row r="1399" spans="1:1" x14ac:dyDescent="0.25">
      <c r="A1399" s="57"/>
    </row>
    <row r="1400" spans="1:1" x14ac:dyDescent="0.25">
      <c r="A1400" s="57"/>
    </row>
    <row r="1401" spans="1:1" x14ac:dyDescent="0.25">
      <c r="A1401" s="57"/>
    </row>
    <row r="1402" spans="1:1" x14ac:dyDescent="0.25">
      <c r="A1402" s="57"/>
    </row>
    <row r="1403" spans="1:1" x14ac:dyDescent="0.25">
      <c r="A1403" s="57"/>
    </row>
    <row r="1404" spans="1:1" x14ac:dyDescent="0.25">
      <c r="A1404" s="57"/>
    </row>
    <row r="1405" spans="1:1" x14ac:dyDescent="0.25">
      <c r="A1405" s="57"/>
    </row>
    <row r="1406" spans="1:1" x14ac:dyDescent="0.25">
      <c r="A1406" s="57"/>
    </row>
    <row r="1407" spans="1:1" x14ac:dyDescent="0.25">
      <c r="A1407" s="57"/>
    </row>
    <row r="1408" spans="1:1" x14ac:dyDescent="0.25">
      <c r="A1408" s="57"/>
    </row>
    <row r="1409" spans="1:1" x14ac:dyDescent="0.25">
      <c r="A1409" s="57"/>
    </row>
    <row r="1410" spans="1:1" x14ac:dyDescent="0.25">
      <c r="A1410" s="57"/>
    </row>
    <row r="1411" spans="1:1" x14ac:dyDescent="0.25">
      <c r="A1411" s="57"/>
    </row>
    <row r="1412" spans="1:1" x14ac:dyDescent="0.25">
      <c r="A1412" s="57"/>
    </row>
    <row r="1413" spans="1:1" x14ac:dyDescent="0.25">
      <c r="A1413" s="57"/>
    </row>
    <row r="1414" spans="1:1" x14ac:dyDescent="0.25">
      <c r="A1414" s="57"/>
    </row>
    <row r="1415" spans="1:1" x14ac:dyDescent="0.25">
      <c r="A1415" s="57"/>
    </row>
    <row r="1416" spans="1:1" x14ac:dyDescent="0.25">
      <c r="A1416" s="57"/>
    </row>
    <row r="1417" spans="1:1" x14ac:dyDescent="0.25">
      <c r="A1417" s="57"/>
    </row>
    <row r="1418" spans="1:1" x14ac:dyDescent="0.25">
      <c r="A1418" s="57"/>
    </row>
    <row r="1419" spans="1:1" x14ac:dyDescent="0.25">
      <c r="A1419" s="57"/>
    </row>
    <row r="1420" spans="1:1" x14ac:dyDescent="0.25">
      <c r="A1420" s="57"/>
    </row>
    <row r="1421" spans="1:1" x14ac:dyDescent="0.25">
      <c r="A1421" s="57"/>
    </row>
    <row r="1422" spans="1:1" x14ac:dyDescent="0.25">
      <c r="A1422" s="57"/>
    </row>
    <row r="1423" spans="1:1" x14ac:dyDescent="0.25">
      <c r="A1423" s="57"/>
    </row>
    <row r="1424" spans="1:1" x14ac:dyDescent="0.25">
      <c r="A1424" s="57"/>
    </row>
    <row r="1425" spans="1:1" x14ac:dyDescent="0.25">
      <c r="A1425" s="57"/>
    </row>
    <row r="1426" spans="1:1" x14ac:dyDescent="0.25">
      <c r="A1426" s="57"/>
    </row>
    <row r="1427" spans="1:1" x14ac:dyDescent="0.25">
      <c r="A1427" s="57"/>
    </row>
    <row r="1428" spans="1:1" x14ac:dyDescent="0.25">
      <c r="A1428" s="57"/>
    </row>
    <row r="1429" spans="1:1" x14ac:dyDescent="0.25">
      <c r="A1429" s="57"/>
    </row>
    <row r="1430" spans="1:1" x14ac:dyDescent="0.25">
      <c r="A1430" s="57"/>
    </row>
    <row r="1431" spans="1:1" x14ac:dyDescent="0.25">
      <c r="A1431" s="57"/>
    </row>
    <row r="1432" spans="1:1" x14ac:dyDescent="0.25">
      <c r="A1432" s="57"/>
    </row>
    <row r="1433" spans="1:1" x14ac:dyDescent="0.25">
      <c r="A1433" s="57"/>
    </row>
    <row r="1434" spans="1:1" x14ac:dyDescent="0.25">
      <c r="A1434" s="57"/>
    </row>
    <row r="1435" spans="1:1" x14ac:dyDescent="0.25">
      <c r="A1435" s="57"/>
    </row>
    <row r="1436" spans="1:1" x14ac:dyDescent="0.25">
      <c r="A1436" s="57"/>
    </row>
    <row r="1437" spans="1:1" x14ac:dyDescent="0.25">
      <c r="A1437" s="57"/>
    </row>
    <row r="1438" spans="1:1" x14ac:dyDescent="0.25">
      <c r="A1438" s="57"/>
    </row>
    <row r="1439" spans="1:1" x14ac:dyDescent="0.25">
      <c r="A1439" s="57"/>
    </row>
    <row r="1440" spans="1:1" x14ac:dyDescent="0.25">
      <c r="A1440" s="57"/>
    </row>
    <row r="1441" spans="1:1" x14ac:dyDescent="0.25">
      <c r="A1441" s="57"/>
    </row>
    <row r="1442" spans="1:1" x14ac:dyDescent="0.25">
      <c r="A1442" s="57"/>
    </row>
    <row r="1443" spans="1:1" x14ac:dyDescent="0.25">
      <c r="A1443" s="57"/>
    </row>
    <row r="1444" spans="1:1" x14ac:dyDescent="0.25">
      <c r="A1444" s="57"/>
    </row>
    <row r="1445" spans="1:1" x14ac:dyDescent="0.25">
      <c r="A1445" s="57"/>
    </row>
    <row r="1446" spans="1:1" x14ac:dyDescent="0.25">
      <c r="A1446" s="57"/>
    </row>
    <row r="1447" spans="1:1" x14ac:dyDescent="0.25">
      <c r="A1447" s="57"/>
    </row>
    <row r="1448" spans="1:1" x14ac:dyDescent="0.25">
      <c r="A1448" s="57"/>
    </row>
    <row r="1449" spans="1:1" x14ac:dyDescent="0.25">
      <c r="A1449" s="57"/>
    </row>
    <row r="1450" spans="1:1" x14ac:dyDescent="0.25">
      <c r="A1450" s="57"/>
    </row>
    <row r="1451" spans="1:1" x14ac:dyDescent="0.25">
      <c r="A1451" s="57"/>
    </row>
    <row r="1452" spans="1:1" x14ac:dyDescent="0.25">
      <c r="A1452" s="57"/>
    </row>
    <row r="1453" spans="1:1" x14ac:dyDescent="0.25">
      <c r="A1453" s="57"/>
    </row>
    <row r="1454" spans="1:1" x14ac:dyDescent="0.25">
      <c r="A1454" s="57"/>
    </row>
    <row r="1455" spans="1:1" x14ac:dyDescent="0.25">
      <c r="A1455" s="57"/>
    </row>
    <row r="1456" spans="1:1" x14ac:dyDescent="0.25">
      <c r="A1456" s="57"/>
    </row>
    <row r="1457" spans="1:1" x14ac:dyDescent="0.25">
      <c r="A1457" s="57"/>
    </row>
    <row r="1458" spans="1:1" x14ac:dyDescent="0.25">
      <c r="A1458" s="57"/>
    </row>
    <row r="1459" spans="1:1" x14ac:dyDescent="0.25">
      <c r="A1459" s="57"/>
    </row>
    <row r="1460" spans="1:1" x14ac:dyDescent="0.25">
      <c r="A1460" s="57"/>
    </row>
    <row r="1461" spans="1:1" x14ac:dyDescent="0.25">
      <c r="A1461" s="57"/>
    </row>
    <row r="1462" spans="1:1" x14ac:dyDescent="0.25">
      <c r="A1462" s="57"/>
    </row>
    <row r="1463" spans="1:1" x14ac:dyDescent="0.25">
      <c r="A1463" s="57"/>
    </row>
    <row r="1464" spans="1:1" x14ac:dyDescent="0.25">
      <c r="A1464" s="57"/>
    </row>
    <row r="1465" spans="1:1" x14ac:dyDescent="0.25">
      <c r="A1465" s="57"/>
    </row>
    <row r="1466" spans="1:1" x14ac:dyDescent="0.25">
      <c r="A1466" s="57"/>
    </row>
    <row r="1467" spans="1:1" x14ac:dyDescent="0.25">
      <c r="A1467" s="57"/>
    </row>
    <row r="1468" spans="1:1" x14ac:dyDescent="0.25">
      <c r="A1468" s="57"/>
    </row>
    <row r="1469" spans="1:1" x14ac:dyDescent="0.25">
      <c r="A1469" s="57"/>
    </row>
    <row r="1470" spans="1:1" x14ac:dyDescent="0.25">
      <c r="A1470" s="57"/>
    </row>
    <row r="1471" spans="1:1" x14ac:dyDescent="0.25">
      <c r="A1471" s="57"/>
    </row>
    <row r="1472" spans="1:1" x14ac:dyDescent="0.25">
      <c r="A1472" s="57"/>
    </row>
    <row r="1473" spans="1:1" x14ac:dyDescent="0.25">
      <c r="A1473" s="57"/>
    </row>
    <row r="1474" spans="1:1" x14ac:dyDescent="0.25">
      <c r="A1474" s="57"/>
    </row>
    <row r="1475" spans="1:1" x14ac:dyDescent="0.25">
      <c r="A1475" s="57"/>
    </row>
    <row r="1476" spans="1:1" x14ac:dyDescent="0.25">
      <c r="A1476" s="57"/>
    </row>
    <row r="1477" spans="1:1" x14ac:dyDescent="0.25">
      <c r="A1477" s="57"/>
    </row>
    <row r="1478" spans="1:1" x14ac:dyDescent="0.25">
      <c r="A1478" s="57"/>
    </row>
    <row r="1479" spans="1:1" x14ac:dyDescent="0.25">
      <c r="A1479" s="57"/>
    </row>
    <row r="1480" spans="1:1" x14ac:dyDescent="0.25">
      <c r="A1480" s="57"/>
    </row>
    <row r="1481" spans="1:1" x14ac:dyDescent="0.25">
      <c r="A1481" s="57"/>
    </row>
    <row r="1482" spans="1:1" x14ac:dyDescent="0.25">
      <c r="A1482" s="57"/>
    </row>
    <row r="1483" spans="1:1" x14ac:dyDescent="0.25">
      <c r="A1483" s="57"/>
    </row>
    <row r="1484" spans="1:1" x14ac:dyDescent="0.25">
      <c r="A1484" s="57"/>
    </row>
    <row r="1485" spans="1:1" x14ac:dyDescent="0.25">
      <c r="A1485" s="57"/>
    </row>
    <row r="1486" spans="1:1" x14ac:dyDescent="0.25">
      <c r="A1486" s="57"/>
    </row>
    <row r="1487" spans="1:1" x14ac:dyDescent="0.25">
      <c r="A1487" s="57"/>
    </row>
    <row r="1488" spans="1:1" x14ac:dyDescent="0.25">
      <c r="A1488" s="57"/>
    </row>
    <row r="1489" spans="1:1" x14ac:dyDescent="0.25">
      <c r="A1489" s="57"/>
    </row>
    <row r="1490" spans="1:1" x14ac:dyDescent="0.25">
      <c r="A1490" s="57"/>
    </row>
    <row r="1491" spans="1:1" x14ac:dyDescent="0.25">
      <c r="A1491" s="57"/>
    </row>
    <row r="1492" spans="1:1" x14ac:dyDescent="0.25">
      <c r="A1492" s="57"/>
    </row>
    <row r="1493" spans="1:1" x14ac:dyDescent="0.25">
      <c r="A1493" s="57"/>
    </row>
    <row r="1494" spans="1:1" x14ac:dyDescent="0.25">
      <c r="A1494" s="57"/>
    </row>
    <row r="1495" spans="1:1" x14ac:dyDescent="0.25">
      <c r="A1495" s="57"/>
    </row>
    <row r="1496" spans="1:1" x14ac:dyDescent="0.25">
      <c r="A1496" s="57"/>
    </row>
    <row r="1497" spans="1:1" x14ac:dyDescent="0.25">
      <c r="A1497" s="57"/>
    </row>
    <row r="1498" spans="1:1" x14ac:dyDescent="0.25">
      <c r="A1498" s="57"/>
    </row>
    <row r="1499" spans="1:1" x14ac:dyDescent="0.25">
      <c r="A1499" s="57"/>
    </row>
    <row r="1500" spans="1:1" x14ac:dyDescent="0.25">
      <c r="A1500" s="57"/>
    </row>
    <row r="1501" spans="1:1" x14ac:dyDescent="0.25">
      <c r="A1501" s="57"/>
    </row>
    <row r="1502" spans="1:1" x14ac:dyDescent="0.25">
      <c r="A1502" s="57"/>
    </row>
    <row r="1503" spans="1:1" x14ac:dyDescent="0.25">
      <c r="A1503" s="57"/>
    </row>
    <row r="1504" spans="1:1" x14ac:dyDescent="0.25">
      <c r="A1504" s="57"/>
    </row>
    <row r="1505" spans="1:1" x14ac:dyDescent="0.25">
      <c r="A1505" s="57"/>
    </row>
    <row r="1506" spans="1:1" x14ac:dyDescent="0.25">
      <c r="A1506" s="57"/>
    </row>
    <row r="1507" spans="1:1" x14ac:dyDescent="0.25">
      <c r="A1507" s="57"/>
    </row>
    <row r="1508" spans="1:1" x14ac:dyDescent="0.25">
      <c r="A1508" s="57"/>
    </row>
    <row r="1509" spans="1:1" x14ac:dyDescent="0.25">
      <c r="A1509" s="57"/>
    </row>
    <row r="1510" spans="1:1" x14ac:dyDescent="0.25">
      <c r="A1510" s="57"/>
    </row>
    <row r="1511" spans="1:1" x14ac:dyDescent="0.25">
      <c r="A1511" s="57"/>
    </row>
    <row r="1512" spans="1:1" x14ac:dyDescent="0.25">
      <c r="A1512" s="57"/>
    </row>
    <row r="1513" spans="1:1" x14ac:dyDescent="0.25">
      <c r="A1513" s="57"/>
    </row>
    <row r="1514" spans="1:1" x14ac:dyDescent="0.25">
      <c r="A1514" s="57"/>
    </row>
    <row r="1515" spans="1:1" x14ac:dyDescent="0.25">
      <c r="A1515" s="57"/>
    </row>
    <row r="1516" spans="1:1" x14ac:dyDescent="0.25">
      <c r="A1516" s="57"/>
    </row>
    <row r="1517" spans="1:1" x14ac:dyDescent="0.25">
      <c r="A1517" s="57"/>
    </row>
    <row r="1518" spans="1:1" x14ac:dyDescent="0.25">
      <c r="A1518" s="57"/>
    </row>
    <row r="1519" spans="1:1" x14ac:dyDescent="0.25">
      <c r="A1519" s="57"/>
    </row>
    <row r="1520" spans="1:1" x14ac:dyDescent="0.25">
      <c r="A1520" s="57"/>
    </row>
    <row r="1521" spans="1:1" x14ac:dyDescent="0.25">
      <c r="A1521" s="57"/>
    </row>
    <row r="1522" spans="1:1" x14ac:dyDescent="0.25">
      <c r="A1522" s="57"/>
    </row>
    <row r="1523" spans="1:1" x14ac:dyDescent="0.25">
      <c r="A1523" s="57"/>
    </row>
    <row r="1524" spans="1:1" x14ac:dyDescent="0.25">
      <c r="A1524" s="57"/>
    </row>
    <row r="1525" spans="1:1" x14ac:dyDescent="0.25">
      <c r="A1525" s="57"/>
    </row>
    <row r="1526" spans="1:1" x14ac:dyDescent="0.25">
      <c r="A1526" s="57"/>
    </row>
    <row r="1527" spans="1:1" x14ac:dyDescent="0.25">
      <c r="A1527" s="57"/>
    </row>
    <row r="1528" spans="1:1" x14ac:dyDescent="0.25">
      <c r="A1528" s="57"/>
    </row>
    <row r="1529" spans="1:1" x14ac:dyDescent="0.25">
      <c r="A1529" s="57"/>
    </row>
    <row r="1530" spans="1:1" x14ac:dyDescent="0.25">
      <c r="A1530" s="57"/>
    </row>
    <row r="1531" spans="1:1" x14ac:dyDescent="0.25">
      <c r="A1531" s="57"/>
    </row>
    <row r="1532" spans="1:1" x14ac:dyDescent="0.25">
      <c r="A1532" s="57"/>
    </row>
    <row r="1533" spans="1:1" x14ac:dyDescent="0.25">
      <c r="A1533" s="57"/>
    </row>
    <row r="1534" spans="1:1" x14ac:dyDescent="0.25">
      <c r="A1534" s="57"/>
    </row>
    <row r="1535" spans="1:1" x14ac:dyDescent="0.25">
      <c r="A1535" s="57"/>
    </row>
    <row r="1536" spans="1:1" x14ac:dyDescent="0.25">
      <c r="A1536" s="57"/>
    </row>
    <row r="1537" spans="1:1" x14ac:dyDescent="0.25">
      <c r="A1537" s="57"/>
    </row>
    <row r="1538" spans="1:1" x14ac:dyDescent="0.25">
      <c r="A1538" s="57"/>
    </row>
    <row r="1539" spans="1:1" x14ac:dyDescent="0.25">
      <c r="A1539" s="57"/>
    </row>
    <row r="1540" spans="1:1" x14ac:dyDescent="0.25">
      <c r="A1540" s="57"/>
    </row>
    <row r="1541" spans="1:1" x14ac:dyDescent="0.25">
      <c r="A1541" s="57"/>
    </row>
    <row r="1542" spans="1:1" x14ac:dyDescent="0.25">
      <c r="A1542" s="57"/>
    </row>
    <row r="1543" spans="1:1" x14ac:dyDescent="0.25">
      <c r="A1543" s="57"/>
    </row>
    <row r="1544" spans="1:1" x14ac:dyDescent="0.25">
      <c r="A1544" s="57"/>
    </row>
    <row r="1545" spans="1:1" x14ac:dyDescent="0.25">
      <c r="A1545" s="57"/>
    </row>
    <row r="1546" spans="1:1" x14ac:dyDescent="0.25">
      <c r="A1546" s="57"/>
    </row>
    <row r="1547" spans="1:1" x14ac:dyDescent="0.25">
      <c r="A1547" s="57"/>
    </row>
    <row r="1548" spans="1:1" x14ac:dyDescent="0.25">
      <c r="A1548" s="57"/>
    </row>
    <row r="1549" spans="1:1" x14ac:dyDescent="0.25">
      <c r="A1549" s="57"/>
    </row>
    <row r="1550" spans="1:1" x14ac:dyDescent="0.25">
      <c r="A1550" s="57"/>
    </row>
    <row r="1551" spans="1:1" x14ac:dyDescent="0.25">
      <c r="A1551" s="57"/>
    </row>
    <row r="1552" spans="1:1" x14ac:dyDescent="0.25">
      <c r="A1552" s="57"/>
    </row>
    <row r="1553" spans="1:1" x14ac:dyDescent="0.25">
      <c r="A1553" s="57"/>
    </row>
    <row r="1554" spans="1:1" x14ac:dyDescent="0.25">
      <c r="A1554" s="57"/>
    </row>
    <row r="1555" spans="1:1" x14ac:dyDescent="0.25">
      <c r="A1555" s="57"/>
    </row>
    <row r="1556" spans="1:1" x14ac:dyDescent="0.25">
      <c r="A1556" s="57"/>
    </row>
    <row r="1557" spans="1:1" x14ac:dyDescent="0.25">
      <c r="A1557" s="57"/>
    </row>
    <row r="1558" spans="1:1" x14ac:dyDescent="0.25">
      <c r="A1558" s="57"/>
    </row>
    <row r="1559" spans="1:1" x14ac:dyDescent="0.25">
      <c r="A1559" s="57"/>
    </row>
    <row r="1560" spans="1:1" x14ac:dyDescent="0.25">
      <c r="A1560" s="57"/>
    </row>
    <row r="1561" spans="1:1" x14ac:dyDescent="0.25">
      <c r="A1561" s="57"/>
    </row>
    <row r="1562" spans="1:1" x14ac:dyDescent="0.25">
      <c r="A1562" s="57"/>
    </row>
    <row r="1563" spans="1:1" x14ac:dyDescent="0.25">
      <c r="A1563" s="57"/>
    </row>
    <row r="1564" spans="1:1" x14ac:dyDescent="0.25">
      <c r="A1564" s="57"/>
    </row>
    <row r="1565" spans="1:1" x14ac:dyDescent="0.25">
      <c r="A1565" s="57"/>
    </row>
    <row r="1566" spans="1:1" x14ac:dyDescent="0.25">
      <c r="A1566" s="57"/>
    </row>
    <row r="1567" spans="1:1" x14ac:dyDescent="0.25">
      <c r="A1567" s="57"/>
    </row>
    <row r="1568" spans="1:1" x14ac:dyDescent="0.25">
      <c r="A1568" s="57"/>
    </row>
    <row r="1569" spans="1:1" x14ac:dyDescent="0.25">
      <c r="A1569" s="57"/>
    </row>
    <row r="1570" spans="1:1" x14ac:dyDescent="0.25">
      <c r="A1570" s="57"/>
    </row>
    <row r="1571" spans="1:1" x14ac:dyDescent="0.25">
      <c r="A1571" s="57"/>
    </row>
    <row r="1572" spans="1:1" x14ac:dyDescent="0.25">
      <c r="A1572" s="57"/>
    </row>
    <row r="1573" spans="1:1" x14ac:dyDescent="0.25">
      <c r="A1573" s="57"/>
    </row>
    <row r="1574" spans="1:1" x14ac:dyDescent="0.25">
      <c r="A1574" s="57"/>
    </row>
    <row r="1575" spans="1:1" x14ac:dyDescent="0.25">
      <c r="A1575" s="57"/>
    </row>
    <row r="1576" spans="1:1" x14ac:dyDescent="0.25">
      <c r="A1576" s="57"/>
    </row>
    <row r="1577" spans="1:1" x14ac:dyDescent="0.25">
      <c r="A1577" s="57"/>
    </row>
    <row r="1578" spans="1:1" x14ac:dyDescent="0.25">
      <c r="A1578" s="57"/>
    </row>
    <row r="1579" spans="1:1" x14ac:dyDescent="0.25">
      <c r="A1579" s="57"/>
    </row>
    <row r="1580" spans="1:1" x14ac:dyDescent="0.25">
      <c r="A1580" s="57"/>
    </row>
    <row r="1581" spans="1:1" x14ac:dyDescent="0.25">
      <c r="A1581" s="57"/>
    </row>
    <row r="1582" spans="1:1" x14ac:dyDescent="0.25">
      <c r="A1582" s="57"/>
    </row>
    <row r="1583" spans="1:1" x14ac:dyDescent="0.25">
      <c r="A1583" s="57"/>
    </row>
    <row r="1584" spans="1:1" x14ac:dyDescent="0.25">
      <c r="A1584" s="57"/>
    </row>
    <row r="1585" spans="1:1" x14ac:dyDescent="0.25">
      <c r="A1585" s="57"/>
    </row>
    <row r="1586" spans="1:1" x14ac:dyDescent="0.25">
      <c r="A1586" s="57"/>
    </row>
    <row r="1587" spans="1:1" x14ac:dyDescent="0.25">
      <c r="A1587" s="57"/>
    </row>
    <row r="1588" spans="1:1" x14ac:dyDescent="0.25">
      <c r="A1588" s="57"/>
    </row>
    <row r="1589" spans="1:1" x14ac:dyDescent="0.25">
      <c r="A1589" s="57"/>
    </row>
    <row r="1590" spans="1:1" x14ac:dyDescent="0.25">
      <c r="A1590" s="57"/>
    </row>
    <row r="1591" spans="1:1" x14ac:dyDescent="0.25">
      <c r="A1591" s="57"/>
    </row>
    <row r="1592" spans="1:1" x14ac:dyDescent="0.25">
      <c r="A1592" s="57"/>
    </row>
    <row r="1593" spans="1:1" x14ac:dyDescent="0.25">
      <c r="A1593" s="57"/>
    </row>
    <row r="1594" spans="1:1" x14ac:dyDescent="0.25">
      <c r="A1594" s="57"/>
    </row>
    <row r="1595" spans="1:1" x14ac:dyDescent="0.25">
      <c r="A1595" s="57"/>
    </row>
    <row r="1596" spans="1:1" x14ac:dyDescent="0.25">
      <c r="A1596" s="57"/>
    </row>
    <row r="1597" spans="1:1" x14ac:dyDescent="0.25">
      <c r="A1597" s="57"/>
    </row>
    <row r="1598" spans="1:1" x14ac:dyDescent="0.25">
      <c r="A1598" s="57"/>
    </row>
    <row r="1599" spans="1:1" x14ac:dyDescent="0.25">
      <c r="A1599" s="57"/>
    </row>
    <row r="1600" spans="1:1" x14ac:dyDescent="0.25">
      <c r="A1600" s="57"/>
    </row>
    <row r="1601" spans="1:1" x14ac:dyDescent="0.25">
      <c r="A1601" s="57"/>
    </row>
    <row r="1602" spans="1:1" x14ac:dyDescent="0.25">
      <c r="A1602" s="57"/>
    </row>
    <row r="1603" spans="1:1" x14ac:dyDescent="0.25">
      <c r="A1603" s="57"/>
    </row>
    <row r="1604" spans="1:1" x14ac:dyDescent="0.25">
      <c r="A1604" s="57"/>
    </row>
    <row r="1605" spans="1:1" x14ac:dyDescent="0.25">
      <c r="A1605" s="57"/>
    </row>
    <row r="1606" spans="1:1" x14ac:dyDescent="0.25">
      <c r="A1606" s="57"/>
    </row>
    <row r="1607" spans="1:1" x14ac:dyDescent="0.25">
      <c r="A1607" s="57"/>
    </row>
    <row r="1608" spans="1:1" x14ac:dyDescent="0.25">
      <c r="A1608" s="57"/>
    </row>
    <row r="1609" spans="1:1" x14ac:dyDescent="0.25">
      <c r="A1609" s="57"/>
    </row>
    <row r="1610" spans="1:1" x14ac:dyDescent="0.25">
      <c r="A1610" s="57"/>
    </row>
    <row r="1611" spans="1:1" x14ac:dyDescent="0.25">
      <c r="A1611" s="57"/>
    </row>
    <row r="1612" spans="1:1" x14ac:dyDescent="0.25">
      <c r="A1612" s="57"/>
    </row>
    <row r="1613" spans="1:1" x14ac:dyDescent="0.25">
      <c r="A1613" s="57"/>
    </row>
    <row r="1614" spans="1:1" x14ac:dyDescent="0.25">
      <c r="A1614" s="57"/>
    </row>
    <row r="1615" spans="1:1" x14ac:dyDescent="0.25">
      <c r="A1615" s="57"/>
    </row>
    <row r="1616" spans="1:1" x14ac:dyDescent="0.25">
      <c r="A1616" s="57"/>
    </row>
    <row r="1617" spans="1:1" x14ac:dyDescent="0.25">
      <c r="A1617" s="57"/>
    </row>
    <row r="1618" spans="1:1" x14ac:dyDescent="0.25">
      <c r="A1618" s="57"/>
    </row>
    <row r="1619" spans="1:1" x14ac:dyDescent="0.25">
      <c r="A1619" s="57"/>
    </row>
    <row r="1620" spans="1:1" x14ac:dyDescent="0.25">
      <c r="A1620" s="57"/>
    </row>
    <row r="1621" spans="1:1" x14ac:dyDescent="0.25">
      <c r="A1621" s="57"/>
    </row>
    <row r="1622" spans="1:1" x14ac:dyDescent="0.25">
      <c r="A1622" s="57"/>
    </row>
    <row r="1623" spans="1:1" x14ac:dyDescent="0.25">
      <c r="A1623" s="57"/>
    </row>
    <row r="1624" spans="1:1" x14ac:dyDescent="0.25">
      <c r="A1624" s="57"/>
    </row>
    <row r="1625" spans="1:1" x14ac:dyDescent="0.25">
      <c r="A1625" s="57"/>
    </row>
    <row r="1626" spans="1:1" x14ac:dyDescent="0.25">
      <c r="A1626" s="57"/>
    </row>
    <row r="1627" spans="1:1" x14ac:dyDescent="0.25">
      <c r="A1627" s="57"/>
    </row>
    <row r="1628" spans="1:1" x14ac:dyDescent="0.25">
      <c r="A1628" s="57"/>
    </row>
    <row r="1629" spans="1:1" x14ac:dyDescent="0.25">
      <c r="A1629" s="57"/>
    </row>
    <row r="1630" spans="1:1" x14ac:dyDescent="0.25">
      <c r="A1630" s="57"/>
    </row>
    <row r="1631" spans="1:1" x14ac:dyDescent="0.25">
      <c r="A1631" s="57"/>
    </row>
    <row r="1632" spans="1:1" x14ac:dyDescent="0.25">
      <c r="A1632" s="57"/>
    </row>
    <row r="1633" spans="1:1" x14ac:dyDescent="0.25">
      <c r="A1633" s="57"/>
    </row>
    <row r="1634" spans="1:1" x14ac:dyDescent="0.25">
      <c r="A1634" s="57"/>
    </row>
    <row r="1635" spans="1:1" x14ac:dyDescent="0.25">
      <c r="A1635" s="57"/>
    </row>
    <row r="1636" spans="1:1" x14ac:dyDescent="0.25">
      <c r="A1636" s="57"/>
    </row>
    <row r="1637" spans="1:1" x14ac:dyDescent="0.25">
      <c r="A1637" s="57"/>
    </row>
    <row r="1638" spans="1:1" x14ac:dyDescent="0.25">
      <c r="A1638" s="57"/>
    </row>
    <row r="1639" spans="1:1" x14ac:dyDescent="0.25">
      <c r="A1639" s="57"/>
    </row>
    <row r="1640" spans="1:1" x14ac:dyDescent="0.25">
      <c r="A1640" s="57"/>
    </row>
    <row r="1641" spans="1:1" x14ac:dyDescent="0.25">
      <c r="A1641" s="57"/>
    </row>
    <row r="1642" spans="1:1" x14ac:dyDescent="0.25">
      <c r="A1642" s="57"/>
    </row>
    <row r="1643" spans="1:1" x14ac:dyDescent="0.25">
      <c r="A1643" s="57"/>
    </row>
    <row r="1644" spans="1:1" x14ac:dyDescent="0.25">
      <c r="A1644" s="57"/>
    </row>
    <row r="1645" spans="1:1" x14ac:dyDescent="0.25">
      <c r="A1645" s="57"/>
    </row>
    <row r="1646" spans="1:1" x14ac:dyDescent="0.25">
      <c r="A1646" s="57"/>
    </row>
    <row r="1647" spans="1:1" x14ac:dyDescent="0.25">
      <c r="A1647" s="57"/>
    </row>
    <row r="1648" spans="1:1" x14ac:dyDescent="0.25">
      <c r="A1648" s="57"/>
    </row>
    <row r="1649" spans="1:1" x14ac:dyDescent="0.25">
      <c r="A1649" s="57"/>
    </row>
    <row r="1650" spans="1:1" x14ac:dyDescent="0.25">
      <c r="A1650" s="57"/>
    </row>
    <row r="1651" spans="1:1" x14ac:dyDescent="0.25">
      <c r="A1651" s="57"/>
    </row>
    <row r="1652" spans="1:1" x14ac:dyDescent="0.25">
      <c r="A1652" s="57"/>
    </row>
    <row r="1653" spans="1:1" x14ac:dyDescent="0.25">
      <c r="A1653" s="57"/>
    </row>
    <row r="1654" spans="1:1" x14ac:dyDescent="0.25">
      <c r="A1654" s="57"/>
    </row>
    <row r="1655" spans="1:1" x14ac:dyDescent="0.25">
      <c r="A1655" s="57"/>
    </row>
    <row r="1656" spans="1:1" x14ac:dyDescent="0.25">
      <c r="A1656" s="57"/>
    </row>
    <row r="1657" spans="1:1" x14ac:dyDescent="0.25">
      <c r="A1657" s="57"/>
    </row>
    <row r="1658" spans="1:1" x14ac:dyDescent="0.25">
      <c r="A1658" s="57"/>
    </row>
    <row r="1659" spans="1:1" x14ac:dyDescent="0.25">
      <c r="A1659" s="57"/>
    </row>
    <row r="1660" spans="1:1" x14ac:dyDescent="0.25">
      <c r="A1660" s="57"/>
    </row>
    <row r="1661" spans="1:1" x14ac:dyDescent="0.25">
      <c r="A1661" s="57"/>
    </row>
    <row r="1662" spans="1:1" x14ac:dyDescent="0.25">
      <c r="A1662" s="57"/>
    </row>
    <row r="1663" spans="1:1" x14ac:dyDescent="0.25">
      <c r="A1663" s="57"/>
    </row>
    <row r="1664" spans="1:1" x14ac:dyDescent="0.25">
      <c r="A1664" s="57"/>
    </row>
    <row r="1665" spans="1:1" x14ac:dyDescent="0.25">
      <c r="A1665" s="57"/>
    </row>
    <row r="1666" spans="1:1" x14ac:dyDescent="0.25">
      <c r="A1666" s="57"/>
    </row>
    <row r="1667" spans="1:1" x14ac:dyDescent="0.25">
      <c r="A1667" s="57"/>
    </row>
    <row r="1668" spans="1:1" x14ac:dyDescent="0.25">
      <c r="A1668" s="57"/>
    </row>
    <row r="1669" spans="1:1" x14ac:dyDescent="0.25">
      <c r="A1669" s="57"/>
    </row>
    <row r="1670" spans="1:1" x14ac:dyDescent="0.25">
      <c r="A1670" s="57"/>
    </row>
    <row r="1671" spans="1:1" x14ac:dyDescent="0.25">
      <c r="A1671" s="57"/>
    </row>
    <row r="1672" spans="1:1" x14ac:dyDescent="0.25">
      <c r="A1672" s="57"/>
    </row>
    <row r="1673" spans="1:1" x14ac:dyDescent="0.25">
      <c r="A1673" s="57"/>
    </row>
    <row r="1674" spans="1:1" x14ac:dyDescent="0.25">
      <c r="A1674" s="57"/>
    </row>
    <row r="1675" spans="1:1" x14ac:dyDescent="0.25">
      <c r="A1675" s="57"/>
    </row>
    <row r="1676" spans="1:1" x14ac:dyDescent="0.25">
      <c r="A1676" s="57"/>
    </row>
    <row r="1677" spans="1:1" x14ac:dyDescent="0.25">
      <c r="A1677" s="57"/>
    </row>
    <row r="1678" spans="1:1" x14ac:dyDescent="0.25">
      <c r="A1678" s="57"/>
    </row>
    <row r="1679" spans="1:1" x14ac:dyDescent="0.25">
      <c r="A1679" s="57"/>
    </row>
    <row r="1680" spans="1:1" x14ac:dyDescent="0.25">
      <c r="A1680" s="57"/>
    </row>
    <row r="1681" spans="1:1" x14ac:dyDescent="0.25">
      <c r="A1681" s="57"/>
    </row>
    <row r="1682" spans="1:1" x14ac:dyDescent="0.25">
      <c r="A1682" s="57"/>
    </row>
    <row r="1683" spans="1:1" x14ac:dyDescent="0.25">
      <c r="A1683" s="57"/>
    </row>
    <row r="1684" spans="1:1" x14ac:dyDescent="0.25">
      <c r="A1684" s="57"/>
    </row>
    <row r="1685" spans="1:1" x14ac:dyDescent="0.25">
      <c r="A1685" s="57"/>
    </row>
    <row r="1686" spans="1:1" x14ac:dyDescent="0.25">
      <c r="A1686" s="57"/>
    </row>
    <row r="1687" spans="1:1" x14ac:dyDescent="0.25">
      <c r="A1687" s="57"/>
    </row>
    <row r="1688" spans="1:1" x14ac:dyDescent="0.25">
      <c r="A1688" s="57"/>
    </row>
    <row r="1689" spans="1:1" x14ac:dyDescent="0.25">
      <c r="A1689" s="57"/>
    </row>
    <row r="1690" spans="1:1" x14ac:dyDescent="0.25">
      <c r="A1690" s="57"/>
    </row>
    <row r="1691" spans="1:1" x14ac:dyDescent="0.25">
      <c r="A1691" s="57"/>
    </row>
    <row r="1692" spans="1:1" x14ac:dyDescent="0.25">
      <c r="A1692" s="57"/>
    </row>
    <row r="1693" spans="1:1" x14ac:dyDescent="0.25">
      <c r="A1693" s="57"/>
    </row>
    <row r="1694" spans="1:1" x14ac:dyDescent="0.25">
      <c r="A1694" s="57"/>
    </row>
    <row r="1695" spans="1:1" x14ac:dyDescent="0.25">
      <c r="A1695" s="57"/>
    </row>
    <row r="1696" spans="1:1" x14ac:dyDescent="0.25">
      <c r="A1696" s="57"/>
    </row>
    <row r="1697" spans="1:1" x14ac:dyDescent="0.25">
      <c r="A1697" s="57"/>
    </row>
    <row r="1698" spans="1:1" x14ac:dyDescent="0.25">
      <c r="A1698" s="57"/>
    </row>
    <row r="1699" spans="1:1" x14ac:dyDescent="0.25">
      <c r="A1699" s="57"/>
    </row>
    <row r="1700" spans="1:1" x14ac:dyDescent="0.25">
      <c r="A1700" s="57"/>
    </row>
    <row r="1701" spans="1:1" x14ac:dyDescent="0.25">
      <c r="A1701" s="57"/>
    </row>
    <row r="1702" spans="1:1" x14ac:dyDescent="0.25">
      <c r="A1702" s="57"/>
    </row>
    <row r="1703" spans="1:1" x14ac:dyDescent="0.25">
      <c r="A1703" s="57"/>
    </row>
    <row r="1704" spans="1:1" x14ac:dyDescent="0.25">
      <c r="A1704" s="57"/>
    </row>
    <row r="1705" spans="1:1" x14ac:dyDescent="0.25">
      <c r="A1705" s="57"/>
    </row>
    <row r="1706" spans="1:1" x14ac:dyDescent="0.25">
      <c r="A1706" s="57"/>
    </row>
    <row r="1707" spans="1:1" x14ac:dyDescent="0.25">
      <c r="A1707" s="57"/>
    </row>
    <row r="1708" spans="1:1" x14ac:dyDescent="0.25">
      <c r="A1708" s="57"/>
    </row>
    <row r="1709" spans="1:1" x14ac:dyDescent="0.25">
      <c r="A1709" s="57"/>
    </row>
    <row r="1710" spans="1:1" x14ac:dyDescent="0.25">
      <c r="A1710" s="57"/>
    </row>
    <row r="1711" spans="1:1" x14ac:dyDescent="0.25">
      <c r="A1711" s="57"/>
    </row>
    <row r="1712" spans="1:1" x14ac:dyDescent="0.25">
      <c r="A1712" s="57"/>
    </row>
    <row r="1713" spans="1:1" x14ac:dyDescent="0.25">
      <c r="A1713" s="57"/>
    </row>
    <row r="1714" spans="1:1" x14ac:dyDescent="0.25">
      <c r="A1714" s="57"/>
    </row>
    <row r="1715" spans="1:1" x14ac:dyDescent="0.25">
      <c r="A1715" s="57"/>
    </row>
    <row r="1716" spans="1:1" x14ac:dyDescent="0.25">
      <c r="A1716" s="57"/>
    </row>
    <row r="1717" spans="1:1" x14ac:dyDescent="0.25">
      <c r="A1717" s="57"/>
    </row>
    <row r="1718" spans="1:1" x14ac:dyDescent="0.25">
      <c r="A1718" s="57"/>
    </row>
    <row r="1719" spans="1:1" x14ac:dyDescent="0.25">
      <c r="A1719" s="57"/>
    </row>
    <row r="1720" spans="1:1" x14ac:dyDescent="0.25">
      <c r="A1720" s="57"/>
    </row>
    <row r="1721" spans="1:1" x14ac:dyDescent="0.25">
      <c r="A1721" s="57"/>
    </row>
    <row r="1722" spans="1:1" x14ac:dyDescent="0.25">
      <c r="A1722" s="57"/>
    </row>
    <row r="1723" spans="1:1" x14ac:dyDescent="0.25">
      <c r="A1723" s="57"/>
    </row>
    <row r="1724" spans="1:1" x14ac:dyDescent="0.25">
      <c r="A1724" s="57"/>
    </row>
    <row r="1725" spans="1:1" x14ac:dyDescent="0.25">
      <c r="A1725" s="57"/>
    </row>
    <row r="1726" spans="1:1" x14ac:dyDescent="0.25">
      <c r="A1726" s="57"/>
    </row>
    <row r="1727" spans="1:1" x14ac:dyDescent="0.25">
      <c r="A1727" s="57"/>
    </row>
    <row r="1728" spans="1:1" x14ac:dyDescent="0.25">
      <c r="A1728" s="57"/>
    </row>
    <row r="1729" spans="1:1" x14ac:dyDescent="0.25">
      <c r="A1729" s="57"/>
    </row>
    <row r="1730" spans="1:1" x14ac:dyDescent="0.25">
      <c r="A1730" s="57"/>
    </row>
    <row r="1731" spans="1:1" x14ac:dyDescent="0.25">
      <c r="A1731" s="57"/>
    </row>
    <row r="1732" spans="1:1" x14ac:dyDescent="0.25">
      <c r="A1732" s="57"/>
    </row>
    <row r="1733" spans="1:1" x14ac:dyDescent="0.25">
      <c r="A1733" s="57"/>
    </row>
    <row r="1734" spans="1:1" x14ac:dyDescent="0.25">
      <c r="A1734" s="57"/>
    </row>
    <row r="1735" spans="1:1" x14ac:dyDescent="0.25">
      <c r="A1735" s="57"/>
    </row>
    <row r="1736" spans="1:1" x14ac:dyDescent="0.25">
      <c r="A1736" s="57"/>
    </row>
    <row r="1737" spans="1:1" x14ac:dyDescent="0.25">
      <c r="A1737" s="57"/>
    </row>
    <row r="1738" spans="1:1" x14ac:dyDescent="0.25">
      <c r="A1738" s="57"/>
    </row>
    <row r="1739" spans="1:1" x14ac:dyDescent="0.25">
      <c r="A1739" s="57"/>
    </row>
    <row r="1740" spans="1:1" x14ac:dyDescent="0.25">
      <c r="A1740" s="57"/>
    </row>
    <row r="1741" spans="1:1" x14ac:dyDescent="0.25">
      <c r="A1741" s="57"/>
    </row>
    <row r="1742" spans="1:1" x14ac:dyDescent="0.25">
      <c r="A1742" s="57"/>
    </row>
    <row r="1743" spans="1:1" x14ac:dyDescent="0.25">
      <c r="A1743" s="57"/>
    </row>
    <row r="1744" spans="1:1" x14ac:dyDescent="0.25">
      <c r="A1744" s="57"/>
    </row>
    <row r="1745" spans="1:1" x14ac:dyDescent="0.25">
      <c r="A1745" s="57"/>
    </row>
    <row r="1746" spans="1:1" x14ac:dyDescent="0.25">
      <c r="A1746" s="57"/>
    </row>
    <row r="1747" spans="1:1" x14ac:dyDescent="0.25">
      <c r="A1747" s="57"/>
    </row>
    <row r="1748" spans="1:1" x14ac:dyDescent="0.25">
      <c r="A1748" s="57"/>
    </row>
    <row r="1749" spans="1:1" x14ac:dyDescent="0.25">
      <c r="A1749" s="57"/>
    </row>
    <row r="1750" spans="1:1" x14ac:dyDescent="0.25">
      <c r="A1750" s="57"/>
    </row>
    <row r="1751" spans="1:1" x14ac:dyDescent="0.25">
      <c r="A1751" s="57"/>
    </row>
    <row r="1752" spans="1:1" x14ac:dyDescent="0.25">
      <c r="A1752" s="57"/>
    </row>
    <row r="1753" spans="1:1" x14ac:dyDescent="0.25">
      <c r="A1753" s="57"/>
    </row>
    <row r="1754" spans="1:1" x14ac:dyDescent="0.25">
      <c r="A1754" s="57"/>
    </row>
    <row r="1755" spans="1:1" x14ac:dyDescent="0.25">
      <c r="A1755" s="57"/>
    </row>
    <row r="1756" spans="1:1" x14ac:dyDescent="0.25">
      <c r="A1756" s="57"/>
    </row>
    <row r="1757" spans="1:1" x14ac:dyDescent="0.25">
      <c r="A1757" s="57"/>
    </row>
    <row r="1758" spans="1:1" x14ac:dyDescent="0.25">
      <c r="A1758" s="57"/>
    </row>
    <row r="1759" spans="1:1" x14ac:dyDescent="0.25">
      <c r="A1759" s="57"/>
    </row>
    <row r="1760" spans="1:1" x14ac:dyDescent="0.25">
      <c r="A1760" s="57"/>
    </row>
    <row r="1761" spans="1:1" x14ac:dyDescent="0.25">
      <c r="A1761" s="57"/>
    </row>
    <row r="1762" spans="1:1" x14ac:dyDescent="0.25">
      <c r="A1762" s="57"/>
    </row>
    <row r="1763" spans="1:1" x14ac:dyDescent="0.25">
      <c r="A1763" s="57"/>
    </row>
    <row r="1764" spans="1:1" x14ac:dyDescent="0.25">
      <c r="A1764" s="57"/>
    </row>
    <row r="1765" spans="1:1" x14ac:dyDescent="0.25">
      <c r="A1765" s="57"/>
    </row>
    <row r="1766" spans="1:1" x14ac:dyDescent="0.25">
      <c r="A1766" s="57"/>
    </row>
    <row r="1767" spans="1:1" x14ac:dyDescent="0.25">
      <c r="A1767" s="57"/>
    </row>
    <row r="1768" spans="1:1" x14ac:dyDescent="0.25">
      <c r="A1768" s="57"/>
    </row>
    <row r="1769" spans="1:1" x14ac:dyDescent="0.25">
      <c r="A1769" s="57"/>
    </row>
    <row r="1770" spans="1:1" x14ac:dyDescent="0.25">
      <c r="A1770" s="57"/>
    </row>
    <row r="1771" spans="1:1" x14ac:dyDescent="0.25">
      <c r="A1771" s="57"/>
    </row>
    <row r="1772" spans="1:1" x14ac:dyDescent="0.25">
      <c r="A1772" s="57"/>
    </row>
    <row r="1773" spans="1:1" x14ac:dyDescent="0.25">
      <c r="A1773" s="57"/>
    </row>
    <row r="1774" spans="1:1" x14ac:dyDescent="0.25">
      <c r="A1774" s="57"/>
    </row>
    <row r="1775" spans="1:1" x14ac:dyDescent="0.25">
      <c r="A1775" s="57"/>
    </row>
    <row r="1776" spans="1:1" x14ac:dyDescent="0.25">
      <c r="A1776" s="57"/>
    </row>
    <row r="1777" spans="1:1" x14ac:dyDescent="0.25">
      <c r="A1777" s="57"/>
    </row>
    <row r="1778" spans="1:1" x14ac:dyDescent="0.25">
      <c r="A1778" s="57"/>
    </row>
    <row r="1779" spans="1:1" x14ac:dyDescent="0.25">
      <c r="A1779" s="57"/>
    </row>
    <row r="1780" spans="1:1" x14ac:dyDescent="0.25">
      <c r="A1780" s="57"/>
    </row>
    <row r="1781" spans="1:1" x14ac:dyDescent="0.25">
      <c r="A1781" s="57"/>
    </row>
    <row r="1782" spans="1:1" x14ac:dyDescent="0.25">
      <c r="A1782" s="57"/>
    </row>
    <row r="1783" spans="1:1" x14ac:dyDescent="0.25">
      <c r="A1783" s="57"/>
    </row>
    <row r="1784" spans="1:1" x14ac:dyDescent="0.25">
      <c r="A1784" s="57"/>
    </row>
    <row r="1785" spans="1:1" x14ac:dyDescent="0.25">
      <c r="A1785" s="57"/>
    </row>
    <row r="1786" spans="1:1" x14ac:dyDescent="0.25">
      <c r="A1786" s="57"/>
    </row>
    <row r="1787" spans="1:1" x14ac:dyDescent="0.25">
      <c r="A1787" s="57"/>
    </row>
    <row r="1788" spans="1:1" x14ac:dyDescent="0.25">
      <c r="A1788" s="57"/>
    </row>
    <row r="1789" spans="1:1" x14ac:dyDescent="0.25">
      <c r="A1789" s="57"/>
    </row>
    <row r="1790" spans="1:1" x14ac:dyDescent="0.25">
      <c r="A1790" s="57"/>
    </row>
    <row r="1791" spans="1:1" x14ac:dyDescent="0.25">
      <c r="A1791" s="57"/>
    </row>
    <row r="1792" spans="1:1" x14ac:dyDescent="0.25">
      <c r="A1792" s="57"/>
    </row>
    <row r="1793" spans="1:1" x14ac:dyDescent="0.25">
      <c r="A1793" s="57"/>
    </row>
    <row r="1794" spans="1:1" x14ac:dyDescent="0.25">
      <c r="A1794" s="57"/>
    </row>
    <row r="1795" spans="1:1" x14ac:dyDescent="0.25">
      <c r="A1795" s="57"/>
    </row>
    <row r="1796" spans="1:1" x14ac:dyDescent="0.25">
      <c r="A1796" s="57"/>
    </row>
    <row r="1797" spans="1:1" x14ac:dyDescent="0.25">
      <c r="A1797" s="57"/>
    </row>
    <row r="1798" spans="1:1" x14ac:dyDescent="0.25">
      <c r="A1798" s="57"/>
    </row>
    <row r="1799" spans="1:1" x14ac:dyDescent="0.25">
      <c r="A1799" s="57"/>
    </row>
    <row r="1800" spans="1:1" x14ac:dyDescent="0.25">
      <c r="A1800" s="57"/>
    </row>
    <row r="1801" spans="1:1" x14ac:dyDescent="0.25">
      <c r="A1801" s="57"/>
    </row>
    <row r="1802" spans="1:1" x14ac:dyDescent="0.25">
      <c r="A1802" s="57"/>
    </row>
    <row r="1803" spans="1:1" x14ac:dyDescent="0.25">
      <c r="A1803" s="57"/>
    </row>
    <row r="1804" spans="1:1" x14ac:dyDescent="0.25">
      <c r="A1804" s="57"/>
    </row>
    <row r="1805" spans="1:1" x14ac:dyDescent="0.25">
      <c r="A1805" s="57"/>
    </row>
    <row r="1806" spans="1:1" x14ac:dyDescent="0.25">
      <c r="A1806" s="57"/>
    </row>
    <row r="1807" spans="1:1" x14ac:dyDescent="0.25">
      <c r="A1807" s="57"/>
    </row>
    <row r="1808" spans="1:1" x14ac:dyDescent="0.25">
      <c r="A1808" s="57"/>
    </row>
    <row r="1809" spans="1:1" x14ac:dyDescent="0.25">
      <c r="A1809" s="57"/>
    </row>
    <row r="1810" spans="1:1" x14ac:dyDescent="0.25">
      <c r="A1810" s="57"/>
    </row>
    <row r="1811" spans="1:1" x14ac:dyDescent="0.25">
      <c r="A1811" s="57"/>
    </row>
    <row r="1812" spans="1:1" x14ac:dyDescent="0.25">
      <c r="A1812" s="57"/>
    </row>
    <row r="1813" spans="1:1" x14ac:dyDescent="0.25">
      <c r="A1813" s="57"/>
    </row>
    <row r="1814" spans="1:1" x14ac:dyDescent="0.25">
      <c r="A1814" s="57"/>
    </row>
    <row r="1815" spans="1:1" x14ac:dyDescent="0.25">
      <c r="A1815" s="57"/>
    </row>
    <row r="1816" spans="1:1" x14ac:dyDescent="0.25">
      <c r="A1816" s="57"/>
    </row>
    <row r="1817" spans="1:1" x14ac:dyDescent="0.25">
      <c r="A1817" s="57"/>
    </row>
    <row r="1818" spans="1:1" x14ac:dyDescent="0.25">
      <c r="A1818" s="57"/>
    </row>
    <row r="1819" spans="1:1" x14ac:dyDescent="0.25">
      <c r="A1819" s="57"/>
    </row>
    <row r="1820" spans="1:1" x14ac:dyDescent="0.25">
      <c r="A1820" s="57"/>
    </row>
    <row r="1821" spans="1:1" x14ac:dyDescent="0.25">
      <c r="A1821" s="57"/>
    </row>
    <row r="1822" spans="1:1" x14ac:dyDescent="0.25">
      <c r="A1822" s="57"/>
    </row>
    <row r="1823" spans="1:1" x14ac:dyDescent="0.25">
      <c r="A1823" s="57"/>
    </row>
    <row r="1824" spans="1:1" x14ac:dyDescent="0.25">
      <c r="A1824" s="57"/>
    </row>
    <row r="1825" spans="1:1" x14ac:dyDescent="0.25">
      <c r="A1825" s="57"/>
    </row>
    <row r="1826" spans="1:1" x14ac:dyDescent="0.25">
      <c r="A1826" s="57"/>
    </row>
    <row r="1827" spans="1:1" x14ac:dyDescent="0.25">
      <c r="A1827" s="57"/>
    </row>
    <row r="1828" spans="1:1" x14ac:dyDescent="0.25">
      <c r="A1828" s="57"/>
    </row>
    <row r="1829" spans="1:1" x14ac:dyDescent="0.25">
      <c r="A1829" s="57"/>
    </row>
    <row r="1830" spans="1:1" x14ac:dyDescent="0.25">
      <c r="A1830" s="57"/>
    </row>
    <row r="1831" spans="1:1" x14ac:dyDescent="0.25">
      <c r="A1831" s="57"/>
    </row>
    <row r="1832" spans="1:1" x14ac:dyDescent="0.25">
      <c r="A1832" s="57"/>
    </row>
    <row r="1833" spans="1:1" x14ac:dyDescent="0.25">
      <c r="A1833" s="57"/>
    </row>
    <row r="1834" spans="1:1" x14ac:dyDescent="0.25">
      <c r="A1834" s="57"/>
    </row>
    <row r="1835" spans="1:1" x14ac:dyDescent="0.25">
      <c r="A1835" s="57"/>
    </row>
    <row r="1836" spans="1:1" x14ac:dyDescent="0.25">
      <c r="A1836" s="57"/>
    </row>
    <row r="1837" spans="1:1" x14ac:dyDescent="0.25">
      <c r="A1837" s="57"/>
    </row>
    <row r="1838" spans="1:1" x14ac:dyDescent="0.25">
      <c r="A1838" s="57"/>
    </row>
    <row r="1839" spans="1:1" x14ac:dyDescent="0.25">
      <c r="A1839" s="57"/>
    </row>
    <row r="1840" spans="1:1" x14ac:dyDescent="0.25">
      <c r="A1840" s="57"/>
    </row>
    <row r="1841" spans="1:1" x14ac:dyDescent="0.25">
      <c r="A1841" s="57"/>
    </row>
    <row r="1842" spans="1:1" x14ac:dyDescent="0.25">
      <c r="A1842" s="57"/>
    </row>
    <row r="1843" spans="1:1" x14ac:dyDescent="0.25">
      <c r="A1843" s="57"/>
    </row>
    <row r="1844" spans="1:1" x14ac:dyDescent="0.25">
      <c r="A1844" s="57"/>
    </row>
    <row r="1845" spans="1:1" x14ac:dyDescent="0.25">
      <c r="A1845" s="57"/>
    </row>
    <row r="1846" spans="1:1" x14ac:dyDescent="0.25">
      <c r="A1846" s="57"/>
    </row>
    <row r="1847" spans="1:1" x14ac:dyDescent="0.25">
      <c r="A1847" s="57"/>
    </row>
    <row r="1848" spans="1:1" x14ac:dyDescent="0.25">
      <c r="A1848" s="57"/>
    </row>
    <row r="1849" spans="1:1" x14ac:dyDescent="0.25">
      <c r="A1849" s="57"/>
    </row>
    <row r="1850" spans="1:1" x14ac:dyDescent="0.25">
      <c r="A1850" s="57"/>
    </row>
    <row r="1851" spans="1:1" x14ac:dyDescent="0.25">
      <c r="A1851" s="57"/>
    </row>
    <row r="1852" spans="1:1" x14ac:dyDescent="0.25">
      <c r="A1852" s="57"/>
    </row>
    <row r="1853" spans="1:1" x14ac:dyDescent="0.25">
      <c r="A1853" s="57"/>
    </row>
    <row r="1854" spans="1:1" x14ac:dyDescent="0.25">
      <c r="A1854" s="57"/>
    </row>
    <row r="1855" spans="1:1" x14ac:dyDescent="0.25">
      <c r="A1855" s="57"/>
    </row>
    <row r="1856" spans="1:1" x14ac:dyDescent="0.25">
      <c r="A1856" s="57"/>
    </row>
    <row r="1857" spans="1:1" x14ac:dyDescent="0.25">
      <c r="A1857" s="57"/>
    </row>
    <row r="1858" spans="1:1" x14ac:dyDescent="0.25">
      <c r="A1858" s="57"/>
    </row>
    <row r="1859" spans="1:1" x14ac:dyDescent="0.25">
      <c r="A1859" s="57"/>
    </row>
    <row r="1860" spans="1:1" x14ac:dyDescent="0.25">
      <c r="A1860" s="57"/>
    </row>
    <row r="1861" spans="1:1" x14ac:dyDescent="0.25">
      <c r="A1861" s="57"/>
    </row>
    <row r="1862" spans="1:1" x14ac:dyDescent="0.25">
      <c r="A1862" s="57"/>
    </row>
    <row r="1863" spans="1:1" x14ac:dyDescent="0.25">
      <c r="A1863" s="57"/>
    </row>
    <row r="1864" spans="1:1" x14ac:dyDescent="0.25">
      <c r="A1864" s="57"/>
    </row>
    <row r="1865" spans="1:1" x14ac:dyDescent="0.25">
      <c r="A1865" s="57"/>
    </row>
    <row r="1866" spans="1:1" x14ac:dyDescent="0.25">
      <c r="A1866" s="57"/>
    </row>
    <row r="1867" spans="1:1" x14ac:dyDescent="0.25">
      <c r="A1867" s="57"/>
    </row>
    <row r="1868" spans="1:1" x14ac:dyDescent="0.25">
      <c r="A1868" s="57"/>
    </row>
    <row r="1869" spans="1:1" x14ac:dyDescent="0.25">
      <c r="A1869" s="57"/>
    </row>
    <row r="1870" spans="1:1" x14ac:dyDescent="0.25">
      <c r="A1870" s="57"/>
    </row>
    <row r="1871" spans="1:1" x14ac:dyDescent="0.25">
      <c r="A1871" s="57"/>
    </row>
    <row r="1872" spans="1:1" x14ac:dyDescent="0.25">
      <c r="A1872" s="57"/>
    </row>
    <row r="1873" spans="1:1" x14ac:dyDescent="0.25">
      <c r="A1873" s="57"/>
    </row>
    <row r="1874" spans="1:1" x14ac:dyDescent="0.25">
      <c r="A1874" s="57"/>
    </row>
    <row r="1875" spans="1:1" x14ac:dyDescent="0.25">
      <c r="A1875" s="57"/>
    </row>
    <row r="1876" spans="1:1" x14ac:dyDescent="0.25">
      <c r="A1876" s="57"/>
    </row>
    <row r="1877" spans="1:1" x14ac:dyDescent="0.25">
      <c r="A1877" s="57"/>
    </row>
    <row r="1878" spans="1:1" x14ac:dyDescent="0.25">
      <c r="A1878" s="57"/>
    </row>
    <row r="1879" spans="1:1" x14ac:dyDescent="0.25">
      <c r="A1879" s="57"/>
    </row>
    <row r="1880" spans="1:1" x14ac:dyDescent="0.25">
      <c r="A1880" s="57"/>
    </row>
    <row r="1881" spans="1:1" x14ac:dyDescent="0.25">
      <c r="A1881" s="57"/>
    </row>
    <row r="1882" spans="1:1" x14ac:dyDescent="0.25">
      <c r="A1882" s="57"/>
    </row>
    <row r="1883" spans="1:1" x14ac:dyDescent="0.25">
      <c r="A1883" s="57"/>
    </row>
    <row r="1884" spans="1:1" x14ac:dyDescent="0.25">
      <c r="A1884" s="57"/>
    </row>
    <row r="1885" spans="1:1" x14ac:dyDescent="0.25">
      <c r="A1885" s="57"/>
    </row>
    <row r="1886" spans="1:1" x14ac:dyDescent="0.25">
      <c r="A1886" s="57"/>
    </row>
    <row r="1887" spans="1:1" x14ac:dyDescent="0.25">
      <c r="A1887" s="57"/>
    </row>
    <row r="1888" spans="1:1" x14ac:dyDescent="0.25">
      <c r="A1888" s="57"/>
    </row>
    <row r="1889" spans="1:1" x14ac:dyDescent="0.25">
      <c r="A1889" s="57"/>
    </row>
    <row r="1890" spans="1:1" x14ac:dyDescent="0.25">
      <c r="A1890" s="57"/>
    </row>
    <row r="1891" spans="1:1" x14ac:dyDescent="0.25">
      <c r="A1891" s="57"/>
    </row>
    <row r="1892" spans="1:1" x14ac:dyDescent="0.25">
      <c r="A1892" s="57"/>
    </row>
    <row r="1893" spans="1:1" x14ac:dyDescent="0.25">
      <c r="A1893" s="57"/>
    </row>
    <row r="1894" spans="1:1" x14ac:dyDescent="0.25">
      <c r="A1894" s="57"/>
    </row>
    <row r="1895" spans="1:1" x14ac:dyDescent="0.25">
      <c r="A1895" s="57"/>
    </row>
    <row r="1896" spans="1:1" x14ac:dyDescent="0.25">
      <c r="A1896" s="57"/>
    </row>
    <row r="1897" spans="1:1" x14ac:dyDescent="0.25">
      <c r="A1897" s="57"/>
    </row>
    <row r="1898" spans="1:1" x14ac:dyDescent="0.25">
      <c r="A1898" s="57"/>
    </row>
    <row r="1899" spans="1:1" x14ac:dyDescent="0.25">
      <c r="A1899" s="57"/>
    </row>
    <row r="1900" spans="1:1" x14ac:dyDescent="0.25">
      <c r="A1900" s="57"/>
    </row>
    <row r="1901" spans="1:1" x14ac:dyDescent="0.25">
      <c r="A1901" s="57"/>
    </row>
    <row r="1902" spans="1:1" x14ac:dyDescent="0.25">
      <c r="A1902" s="57"/>
    </row>
    <row r="1903" spans="1:1" x14ac:dyDescent="0.25">
      <c r="A1903" s="57"/>
    </row>
    <row r="1904" spans="1:1" x14ac:dyDescent="0.25">
      <c r="A1904" s="57"/>
    </row>
    <row r="1905" spans="1:1" x14ac:dyDescent="0.25">
      <c r="A1905" s="57"/>
    </row>
    <row r="1906" spans="1:1" x14ac:dyDescent="0.25">
      <c r="A1906" s="57"/>
    </row>
    <row r="1907" spans="1:1" x14ac:dyDescent="0.25">
      <c r="A1907" s="57"/>
    </row>
    <row r="1908" spans="1:1" x14ac:dyDescent="0.25">
      <c r="A1908" s="57"/>
    </row>
    <row r="1909" spans="1:1" x14ac:dyDescent="0.25">
      <c r="A1909" s="57"/>
    </row>
    <row r="1910" spans="1:1" x14ac:dyDescent="0.25">
      <c r="A1910" s="57"/>
    </row>
    <row r="1911" spans="1:1" x14ac:dyDescent="0.25">
      <c r="A1911" s="57"/>
    </row>
    <row r="1912" spans="1:1" x14ac:dyDescent="0.25">
      <c r="A1912" s="57"/>
    </row>
    <row r="1913" spans="1:1" x14ac:dyDescent="0.25">
      <c r="A1913" s="57"/>
    </row>
    <row r="1914" spans="1:1" x14ac:dyDescent="0.25">
      <c r="A1914" s="57"/>
    </row>
    <row r="1915" spans="1:1" x14ac:dyDescent="0.25">
      <c r="A1915" s="57"/>
    </row>
    <row r="1916" spans="1:1" x14ac:dyDescent="0.25">
      <c r="A1916" s="57"/>
    </row>
    <row r="1917" spans="1:1" x14ac:dyDescent="0.25">
      <c r="A1917" s="57"/>
    </row>
    <row r="1918" spans="1:1" x14ac:dyDescent="0.25">
      <c r="A1918" s="57"/>
    </row>
    <row r="1919" spans="1:1" x14ac:dyDescent="0.25">
      <c r="A1919" s="57"/>
    </row>
    <row r="1920" spans="1:1" x14ac:dyDescent="0.25">
      <c r="A1920" s="57"/>
    </row>
    <row r="1921" spans="1:1" x14ac:dyDescent="0.25">
      <c r="A1921" s="57"/>
    </row>
    <row r="1922" spans="1:1" x14ac:dyDescent="0.25">
      <c r="A1922" s="57"/>
    </row>
    <row r="1923" spans="1:1" x14ac:dyDescent="0.25">
      <c r="A1923" s="57"/>
    </row>
    <row r="1924" spans="1:1" x14ac:dyDescent="0.25">
      <c r="A1924" s="57"/>
    </row>
    <row r="1925" spans="1:1" x14ac:dyDescent="0.25">
      <c r="A1925" s="57"/>
    </row>
    <row r="1926" spans="1:1" x14ac:dyDescent="0.25">
      <c r="A1926" s="57"/>
    </row>
    <row r="1927" spans="1:1" x14ac:dyDescent="0.25">
      <c r="A1927" s="57"/>
    </row>
    <row r="1928" spans="1:1" x14ac:dyDescent="0.25">
      <c r="A1928" s="57"/>
    </row>
    <row r="1929" spans="1:1" x14ac:dyDescent="0.25">
      <c r="A1929" s="57"/>
    </row>
    <row r="1930" spans="1:1" x14ac:dyDescent="0.25">
      <c r="A1930" s="57"/>
    </row>
    <row r="1931" spans="1:1" x14ac:dyDescent="0.25">
      <c r="A1931" s="57"/>
    </row>
    <row r="1932" spans="1:1" x14ac:dyDescent="0.25">
      <c r="A1932" s="57"/>
    </row>
    <row r="1933" spans="1:1" x14ac:dyDescent="0.25">
      <c r="A1933" s="57"/>
    </row>
    <row r="1934" spans="1:1" x14ac:dyDescent="0.25">
      <c r="A1934" s="57"/>
    </row>
    <row r="1935" spans="1:1" x14ac:dyDescent="0.25">
      <c r="A1935" s="57"/>
    </row>
    <row r="1936" spans="1:1" x14ac:dyDescent="0.25">
      <c r="A1936" s="57"/>
    </row>
    <row r="1937" spans="1:1" x14ac:dyDescent="0.25">
      <c r="A1937" s="57"/>
    </row>
    <row r="1938" spans="1:1" x14ac:dyDescent="0.25">
      <c r="A1938" s="57"/>
    </row>
    <row r="1939" spans="1:1" x14ac:dyDescent="0.25">
      <c r="A1939" s="57"/>
    </row>
    <row r="1940" spans="1:1" x14ac:dyDescent="0.25">
      <c r="A1940" s="57"/>
    </row>
    <row r="1941" spans="1:1" x14ac:dyDescent="0.25">
      <c r="A1941" s="57"/>
    </row>
    <row r="1942" spans="1:1" x14ac:dyDescent="0.25">
      <c r="A1942" s="57"/>
    </row>
    <row r="1943" spans="1:1" x14ac:dyDescent="0.25">
      <c r="A1943" s="57"/>
    </row>
    <row r="1944" spans="1:1" x14ac:dyDescent="0.25">
      <c r="A1944" s="57"/>
    </row>
    <row r="1945" spans="1:1" x14ac:dyDescent="0.25">
      <c r="A1945" s="57"/>
    </row>
    <row r="1946" spans="1:1" x14ac:dyDescent="0.25">
      <c r="A1946" s="57"/>
    </row>
    <row r="1947" spans="1:1" x14ac:dyDescent="0.25">
      <c r="A1947" s="57"/>
    </row>
    <row r="1948" spans="1:1" x14ac:dyDescent="0.25">
      <c r="A1948" s="57"/>
    </row>
    <row r="1949" spans="1:1" x14ac:dyDescent="0.25">
      <c r="A1949" s="57"/>
    </row>
    <row r="1950" spans="1:1" x14ac:dyDescent="0.25">
      <c r="A1950" s="57"/>
    </row>
    <row r="1951" spans="1:1" x14ac:dyDescent="0.25">
      <c r="A1951" s="57"/>
    </row>
    <row r="1952" spans="1:1" x14ac:dyDescent="0.25">
      <c r="A1952" s="57"/>
    </row>
    <row r="1953" spans="1:1" x14ac:dyDescent="0.25">
      <c r="A1953" s="57"/>
    </row>
    <row r="1954" spans="1:1" x14ac:dyDescent="0.25">
      <c r="A1954" s="57"/>
    </row>
    <row r="1955" spans="1:1" x14ac:dyDescent="0.25">
      <c r="A1955" s="57"/>
    </row>
    <row r="1956" spans="1:1" x14ac:dyDescent="0.25">
      <c r="A1956" s="57"/>
    </row>
    <row r="1957" spans="1:1" x14ac:dyDescent="0.25">
      <c r="A1957" s="57"/>
    </row>
    <row r="1958" spans="1:1" x14ac:dyDescent="0.25">
      <c r="A1958" s="57"/>
    </row>
    <row r="1959" spans="1:1" x14ac:dyDescent="0.25">
      <c r="A1959" s="57"/>
    </row>
    <row r="1960" spans="1:1" x14ac:dyDescent="0.25">
      <c r="A1960" s="57"/>
    </row>
    <row r="1961" spans="1:1" x14ac:dyDescent="0.25">
      <c r="A1961" s="57"/>
    </row>
    <row r="1962" spans="1:1" x14ac:dyDescent="0.25">
      <c r="A1962" s="57"/>
    </row>
    <row r="1963" spans="1:1" x14ac:dyDescent="0.25">
      <c r="A1963" s="57"/>
    </row>
    <row r="1964" spans="1:1" x14ac:dyDescent="0.25">
      <c r="A1964" s="57"/>
    </row>
    <row r="1965" spans="1:1" x14ac:dyDescent="0.25">
      <c r="A1965" s="57"/>
    </row>
    <row r="1966" spans="1:1" x14ac:dyDescent="0.25">
      <c r="A1966" s="57"/>
    </row>
    <row r="1967" spans="1:1" x14ac:dyDescent="0.25">
      <c r="A1967" s="57"/>
    </row>
    <row r="1968" spans="1:1" x14ac:dyDescent="0.25">
      <c r="A1968" s="57"/>
    </row>
    <row r="1969" spans="1:1" x14ac:dyDescent="0.25">
      <c r="A1969" s="57"/>
    </row>
    <row r="1970" spans="1:1" x14ac:dyDescent="0.25">
      <c r="A1970" s="57"/>
    </row>
    <row r="1971" spans="1:1" x14ac:dyDescent="0.25">
      <c r="A1971" s="57"/>
    </row>
    <row r="1972" spans="1:1" x14ac:dyDescent="0.25">
      <c r="A1972" s="57"/>
    </row>
    <row r="1973" spans="1:1" x14ac:dyDescent="0.25">
      <c r="A1973" s="57"/>
    </row>
    <row r="1974" spans="1:1" x14ac:dyDescent="0.25">
      <c r="A1974" s="57"/>
    </row>
    <row r="1975" spans="1:1" x14ac:dyDescent="0.25">
      <c r="A1975" s="57"/>
    </row>
    <row r="1976" spans="1:1" x14ac:dyDescent="0.25">
      <c r="A1976" s="57"/>
    </row>
    <row r="1977" spans="1:1" x14ac:dyDescent="0.25">
      <c r="A1977" s="57"/>
    </row>
    <row r="1978" spans="1:1" x14ac:dyDescent="0.25">
      <c r="A1978" s="57"/>
    </row>
    <row r="1979" spans="1:1" x14ac:dyDescent="0.25">
      <c r="A1979" s="57"/>
    </row>
    <row r="1980" spans="1:1" x14ac:dyDescent="0.25">
      <c r="A1980" s="57"/>
    </row>
    <row r="1981" spans="1:1" x14ac:dyDescent="0.25">
      <c r="A1981" s="57"/>
    </row>
    <row r="1982" spans="1:1" x14ac:dyDescent="0.25">
      <c r="A1982" s="57"/>
    </row>
    <row r="1983" spans="1:1" x14ac:dyDescent="0.25">
      <c r="A1983" s="57"/>
    </row>
    <row r="1984" spans="1:1" x14ac:dyDescent="0.25">
      <c r="A1984" s="57"/>
    </row>
    <row r="1985" spans="1:1" x14ac:dyDescent="0.25">
      <c r="A1985" s="57"/>
    </row>
    <row r="1986" spans="1:1" x14ac:dyDescent="0.25">
      <c r="A1986" s="57"/>
    </row>
    <row r="1987" spans="1:1" x14ac:dyDescent="0.25">
      <c r="A1987" s="57"/>
    </row>
    <row r="1988" spans="1:1" x14ac:dyDescent="0.25">
      <c r="A1988" s="57"/>
    </row>
    <row r="1989" spans="1:1" x14ac:dyDescent="0.25">
      <c r="A1989" s="57"/>
    </row>
    <row r="1990" spans="1:1" x14ac:dyDescent="0.25">
      <c r="A1990" s="57"/>
    </row>
    <row r="1991" spans="1:1" x14ac:dyDescent="0.25">
      <c r="A1991" s="57"/>
    </row>
    <row r="1992" spans="1:1" x14ac:dyDescent="0.25">
      <c r="A1992" s="57"/>
    </row>
    <row r="1993" spans="1:1" x14ac:dyDescent="0.25">
      <c r="A1993" s="57"/>
    </row>
    <row r="1994" spans="1:1" x14ac:dyDescent="0.25">
      <c r="A1994" s="57"/>
    </row>
    <row r="1995" spans="1:1" x14ac:dyDescent="0.25">
      <c r="A1995" s="57"/>
    </row>
    <row r="1996" spans="1:1" x14ac:dyDescent="0.25">
      <c r="A1996" s="57"/>
    </row>
    <row r="1997" spans="1:1" x14ac:dyDescent="0.25">
      <c r="A1997" s="57"/>
    </row>
    <row r="1998" spans="1:1" x14ac:dyDescent="0.25">
      <c r="A1998" s="57"/>
    </row>
    <row r="1999" spans="1:1" x14ac:dyDescent="0.25">
      <c r="A1999" s="57"/>
    </row>
    <row r="2000" spans="1:1" x14ac:dyDescent="0.25">
      <c r="A2000" s="57"/>
    </row>
    <row r="2001" spans="1:1" x14ac:dyDescent="0.25">
      <c r="A2001" s="57"/>
    </row>
    <row r="2002" spans="1:1" x14ac:dyDescent="0.25">
      <c r="A2002" s="57"/>
    </row>
    <row r="2003" spans="1:1" x14ac:dyDescent="0.25">
      <c r="A2003" s="57"/>
    </row>
    <row r="2004" spans="1:1" x14ac:dyDescent="0.25">
      <c r="A2004" s="57"/>
    </row>
    <row r="2005" spans="1:1" x14ac:dyDescent="0.25">
      <c r="A2005" s="57"/>
    </row>
    <row r="2006" spans="1:1" x14ac:dyDescent="0.25">
      <c r="A2006" s="57"/>
    </row>
    <row r="2007" spans="1:1" x14ac:dyDescent="0.25">
      <c r="A2007" s="57"/>
    </row>
    <row r="2008" spans="1:1" x14ac:dyDescent="0.25">
      <c r="A2008" s="57"/>
    </row>
    <row r="2009" spans="1:1" x14ac:dyDescent="0.25">
      <c r="A2009" s="57"/>
    </row>
    <row r="2010" spans="1:1" x14ac:dyDescent="0.25">
      <c r="A2010" s="57"/>
    </row>
    <row r="2011" spans="1:1" x14ac:dyDescent="0.25">
      <c r="A2011" s="57"/>
    </row>
    <row r="2012" spans="1:1" x14ac:dyDescent="0.25">
      <c r="A2012" s="57"/>
    </row>
    <row r="2013" spans="1:1" x14ac:dyDescent="0.25">
      <c r="A2013" s="57"/>
    </row>
    <row r="2014" spans="1:1" x14ac:dyDescent="0.25">
      <c r="A2014" s="57"/>
    </row>
    <row r="2015" spans="1:1" x14ac:dyDescent="0.25">
      <c r="A2015" s="57"/>
    </row>
    <row r="2016" spans="1:1" x14ac:dyDescent="0.25">
      <c r="A2016" s="57"/>
    </row>
    <row r="2017" spans="1:1" x14ac:dyDescent="0.25">
      <c r="A2017" s="57"/>
    </row>
    <row r="2018" spans="1:1" x14ac:dyDescent="0.25">
      <c r="A2018" s="57"/>
    </row>
    <row r="2019" spans="1:1" x14ac:dyDescent="0.25">
      <c r="A2019" s="57"/>
    </row>
    <row r="2020" spans="1:1" x14ac:dyDescent="0.25">
      <c r="A2020" s="57"/>
    </row>
    <row r="2021" spans="1:1" x14ac:dyDescent="0.25">
      <c r="A2021" s="57"/>
    </row>
    <row r="2022" spans="1:1" x14ac:dyDescent="0.25">
      <c r="A2022" s="57"/>
    </row>
    <row r="2023" spans="1:1" x14ac:dyDescent="0.25">
      <c r="A2023" s="57"/>
    </row>
    <row r="2024" spans="1:1" x14ac:dyDescent="0.25">
      <c r="A2024" s="57"/>
    </row>
    <row r="2025" spans="1:1" x14ac:dyDescent="0.25">
      <c r="A2025" s="57"/>
    </row>
    <row r="2026" spans="1:1" x14ac:dyDescent="0.25">
      <c r="A2026" s="57"/>
    </row>
    <row r="2027" spans="1:1" x14ac:dyDescent="0.25">
      <c r="A2027" s="57"/>
    </row>
    <row r="2028" spans="1:1" x14ac:dyDescent="0.25">
      <c r="A2028" s="57"/>
    </row>
    <row r="2029" spans="1:1" x14ac:dyDescent="0.25">
      <c r="A2029" s="57"/>
    </row>
    <row r="2030" spans="1:1" x14ac:dyDescent="0.25">
      <c r="A2030" s="57"/>
    </row>
    <row r="2031" spans="1:1" x14ac:dyDescent="0.25">
      <c r="A2031" s="57"/>
    </row>
    <row r="2032" spans="1:1" x14ac:dyDescent="0.25">
      <c r="A2032" s="57"/>
    </row>
    <row r="2033" spans="1:1" x14ac:dyDescent="0.25">
      <c r="A2033" s="57"/>
    </row>
    <row r="2034" spans="1:1" x14ac:dyDescent="0.25">
      <c r="A2034" s="57"/>
    </row>
    <row r="2035" spans="1:1" x14ac:dyDescent="0.25">
      <c r="A2035" s="57"/>
    </row>
    <row r="2036" spans="1:1" x14ac:dyDescent="0.25">
      <c r="A2036" s="57"/>
    </row>
    <row r="2037" spans="1:1" x14ac:dyDescent="0.25">
      <c r="A2037" s="57"/>
    </row>
    <row r="2038" spans="1:1" x14ac:dyDescent="0.25">
      <c r="A2038" s="57"/>
    </row>
    <row r="2039" spans="1:1" x14ac:dyDescent="0.25">
      <c r="A2039" s="57"/>
    </row>
    <row r="2040" spans="1:1" x14ac:dyDescent="0.25">
      <c r="A2040" s="57"/>
    </row>
    <row r="2041" spans="1:1" x14ac:dyDescent="0.25">
      <c r="A2041" s="57"/>
    </row>
    <row r="2042" spans="1:1" x14ac:dyDescent="0.25">
      <c r="A2042" s="57"/>
    </row>
    <row r="2043" spans="1:1" x14ac:dyDescent="0.25">
      <c r="A2043" s="57"/>
    </row>
    <row r="2044" spans="1:1" x14ac:dyDescent="0.25">
      <c r="A2044" s="57"/>
    </row>
    <row r="2045" spans="1:1" x14ac:dyDescent="0.25">
      <c r="A2045" s="57"/>
    </row>
    <row r="2046" spans="1:1" x14ac:dyDescent="0.25">
      <c r="A2046" s="57"/>
    </row>
    <row r="2047" spans="1:1" x14ac:dyDescent="0.25">
      <c r="A2047" s="57"/>
    </row>
    <row r="2048" spans="1:1" x14ac:dyDescent="0.25">
      <c r="A2048" s="57"/>
    </row>
    <row r="2049" spans="1:1" x14ac:dyDescent="0.25">
      <c r="A2049" s="57"/>
    </row>
    <row r="2050" spans="1:1" x14ac:dyDescent="0.25">
      <c r="A2050" s="57"/>
    </row>
    <row r="2051" spans="1:1" x14ac:dyDescent="0.25">
      <c r="A2051" s="57"/>
    </row>
    <row r="2052" spans="1:1" x14ac:dyDescent="0.25">
      <c r="A2052" s="57"/>
    </row>
    <row r="2053" spans="1:1" x14ac:dyDescent="0.25">
      <c r="A2053" s="57"/>
    </row>
    <row r="2054" spans="1:1" x14ac:dyDescent="0.25">
      <c r="A2054" s="57"/>
    </row>
    <row r="2055" spans="1:1" x14ac:dyDescent="0.25">
      <c r="A2055" s="57"/>
    </row>
    <row r="2056" spans="1:1" x14ac:dyDescent="0.25">
      <c r="A2056" s="57"/>
    </row>
    <row r="2057" spans="1:1" x14ac:dyDescent="0.25">
      <c r="A2057" s="57"/>
    </row>
    <row r="2058" spans="1:1" x14ac:dyDescent="0.25">
      <c r="A2058" s="57"/>
    </row>
    <row r="2059" spans="1:1" x14ac:dyDescent="0.25">
      <c r="A2059" s="57"/>
    </row>
    <row r="2060" spans="1:1" x14ac:dyDescent="0.25">
      <c r="A2060" s="57"/>
    </row>
    <row r="2061" spans="1:1" x14ac:dyDescent="0.25">
      <c r="A2061" s="57"/>
    </row>
    <row r="2062" spans="1:1" x14ac:dyDescent="0.25">
      <c r="A2062" s="57"/>
    </row>
    <row r="2063" spans="1:1" x14ac:dyDescent="0.25">
      <c r="A2063" s="57"/>
    </row>
    <row r="2064" spans="1:1" x14ac:dyDescent="0.25">
      <c r="A2064" s="57"/>
    </row>
    <row r="2065" spans="1:1" x14ac:dyDescent="0.25">
      <c r="A2065" s="57"/>
    </row>
    <row r="2066" spans="1:1" x14ac:dyDescent="0.25">
      <c r="A2066" s="57"/>
    </row>
    <row r="2067" spans="1:1" x14ac:dyDescent="0.25">
      <c r="A2067" s="57"/>
    </row>
    <row r="2068" spans="1:1" x14ac:dyDescent="0.25">
      <c r="A2068" s="57"/>
    </row>
    <row r="2069" spans="1:1" x14ac:dyDescent="0.25">
      <c r="A2069" s="57"/>
    </row>
    <row r="2070" spans="1:1" x14ac:dyDescent="0.25">
      <c r="A2070" s="57"/>
    </row>
    <row r="2071" spans="1:1" x14ac:dyDescent="0.25">
      <c r="A2071" s="57"/>
    </row>
    <row r="2072" spans="1:1" x14ac:dyDescent="0.25">
      <c r="A2072" s="57"/>
    </row>
    <row r="2073" spans="1:1" x14ac:dyDescent="0.25">
      <c r="A2073" s="57"/>
    </row>
    <row r="2074" spans="1:1" x14ac:dyDescent="0.25">
      <c r="A2074" s="57"/>
    </row>
    <row r="2075" spans="1:1" x14ac:dyDescent="0.25">
      <c r="A2075" s="57"/>
    </row>
    <row r="2076" spans="1:1" x14ac:dyDescent="0.25">
      <c r="A2076" s="57"/>
    </row>
    <row r="2077" spans="1:1" x14ac:dyDescent="0.25">
      <c r="A2077" s="57"/>
    </row>
    <row r="2078" spans="1:1" x14ac:dyDescent="0.25">
      <c r="A2078" s="57"/>
    </row>
    <row r="2079" spans="1:1" x14ac:dyDescent="0.25">
      <c r="A2079" s="57"/>
    </row>
    <row r="2080" spans="1:1" x14ac:dyDescent="0.25">
      <c r="A2080" s="57"/>
    </row>
    <row r="2081" spans="1:1" x14ac:dyDescent="0.25">
      <c r="A2081" s="57"/>
    </row>
    <row r="2082" spans="1:1" x14ac:dyDescent="0.25">
      <c r="A2082" s="57"/>
    </row>
    <row r="2083" spans="1:1" x14ac:dyDescent="0.25">
      <c r="A2083" s="57"/>
    </row>
    <row r="2084" spans="1:1" x14ac:dyDescent="0.25">
      <c r="A2084" s="57"/>
    </row>
    <row r="2085" spans="1:1" x14ac:dyDescent="0.25">
      <c r="A2085" s="57"/>
    </row>
    <row r="2086" spans="1:1" x14ac:dyDescent="0.25">
      <c r="A2086" s="57"/>
    </row>
    <row r="2087" spans="1:1" x14ac:dyDescent="0.25">
      <c r="A2087" s="57"/>
    </row>
    <row r="2088" spans="1:1" x14ac:dyDescent="0.25">
      <c r="A2088" s="57"/>
    </row>
    <row r="2089" spans="1:1" x14ac:dyDescent="0.25">
      <c r="A2089" s="57"/>
    </row>
    <row r="2090" spans="1:1" x14ac:dyDescent="0.25">
      <c r="A2090" s="57"/>
    </row>
    <row r="2091" spans="1:1" x14ac:dyDescent="0.25">
      <c r="A2091" s="57"/>
    </row>
    <row r="2092" spans="1:1" x14ac:dyDescent="0.25">
      <c r="A2092" s="57"/>
    </row>
    <row r="2093" spans="1:1" x14ac:dyDescent="0.25">
      <c r="A2093" s="57"/>
    </row>
    <row r="2094" spans="1:1" x14ac:dyDescent="0.25">
      <c r="A2094" s="57"/>
    </row>
    <row r="2095" spans="1:1" x14ac:dyDescent="0.25">
      <c r="A2095" s="57"/>
    </row>
    <row r="2096" spans="1:1" x14ac:dyDescent="0.25">
      <c r="A2096" s="57"/>
    </row>
    <row r="2097" spans="1:1" x14ac:dyDescent="0.25">
      <c r="A2097" s="57"/>
    </row>
    <row r="2098" spans="1:1" x14ac:dyDescent="0.25">
      <c r="A2098" s="57"/>
    </row>
    <row r="2099" spans="1:1" x14ac:dyDescent="0.25">
      <c r="A2099" s="57"/>
    </row>
    <row r="2100" spans="1:1" x14ac:dyDescent="0.25">
      <c r="A2100" s="57"/>
    </row>
    <row r="2101" spans="1:1" x14ac:dyDescent="0.25">
      <c r="A2101" s="57"/>
    </row>
    <row r="2102" spans="1:1" x14ac:dyDescent="0.25">
      <c r="A2102" s="57"/>
    </row>
    <row r="2103" spans="1:1" x14ac:dyDescent="0.25">
      <c r="A2103" s="57"/>
    </row>
    <row r="2104" spans="1:1" x14ac:dyDescent="0.25">
      <c r="A2104" s="57"/>
    </row>
    <row r="2105" spans="1:1" x14ac:dyDescent="0.25">
      <c r="A2105" s="57"/>
    </row>
    <row r="2106" spans="1:1" x14ac:dyDescent="0.25">
      <c r="A2106" s="57"/>
    </row>
    <row r="2107" spans="1:1" x14ac:dyDescent="0.25">
      <c r="A2107" s="57"/>
    </row>
    <row r="2108" spans="1:1" x14ac:dyDescent="0.25">
      <c r="A2108" s="57"/>
    </row>
    <row r="2109" spans="1:1" x14ac:dyDescent="0.25">
      <c r="A2109" s="57"/>
    </row>
    <row r="2110" spans="1:1" x14ac:dyDescent="0.25">
      <c r="A2110" s="57"/>
    </row>
    <row r="2111" spans="1:1" x14ac:dyDescent="0.25">
      <c r="A2111" s="57"/>
    </row>
    <row r="2112" spans="1:1" x14ac:dyDescent="0.25">
      <c r="A2112" s="57"/>
    </row>
    <row r="2113" spans="1:1" x14ac:dyDescent="0.25">
      <c r="A2113" s="57"/>
    </row>
    <row r="2114" spans="1:1" x14ac:dyDescent="0.25">
      <c r="A2114" s="57"/>
    </row>
    <row r="2115" spans="1:1" x14ac:dyDescent="0.25">
      <c r="A2115" s="57"/>
    </row>
    <row r="2116" spans="1:1" x14ac:dyDescent="0.25">
      <c r="A2116" s="57"/>
    </row>
    <row r="2117" spans="1:1" x14ac:dyDescent="0.25">
      <c r="A2117" s="57"/>
    </row>
    <row r="2118" spans="1:1" x14ac:dyDescent="0.25">
      <c r="A2118" s="57"/>
    </row>
    <row r="2119" spans="1:1" x14ac:dyDescent="0.25">
      <c r="A2119" s="57"/>
    </row>
    <row r="2120" spans="1:1" x14ac:dyDescent="0.25">
      <c r="A2120" s="57"/>
    </row>
    <row r="2121" spans="1:1" x14ac:dyDescent="0.25">
      <c r="A2121" s="57"/>
    </row>
    <row r="2122" spans="1:1" x14ac:dyDescent="0.25">
      <c r="A2122" s="57"/>
    </row>
    <row r="2123" spans="1:1" x14ac:dyDescent="0.25">
      <c r="A2123" s="57"/>
    </row>
    <row r="2124" spans="1:1" x14ac:dyDescent="0.25">
      <c r="A2124" s="57"/>
    </row>
    <row r="2125" spans="1:1" x14ac:dyDescent="0.25">
      <c r="A2125" s="57"/>
    </row>
    <row r="2126" spans="1:1" x14ac:dyDescent="0.25">
      <c r="A2126" s="57"/>
    </row>
    <row r="2127" spans="1:1" x14ac:dyDescent="0.25">
      <c r="A2127" s="57"/>
    </row>
    <row r="2128" spans="1:1" x14ac:dyDescent="0.25">
      <c r="A2128" s="57"/>
    </row>
    <row r="2129" spans="1:1" x14ac:dyDescent="0.25">
      <c r="A2129" s="57"/>
    </row>
    <row r="2130" spans="1:1" x14ac:dyDescent="0.25">
      <c r="A2130" s="57"/>
    </row>
    <row r="2131" spans="1:1" x14ac:dyDescent="0.25">
      <c r="A2131" s="57"/>
    </row>
    <row r="2132" spans="1:1" x14ac:dyDescent="0.25">
      <c r="A2132" s="57"/>
    </row>
    <row r="2133" spans="1:1" x14ac:dyDescent="0.25">
      <c r="A2133" s="57"/>
    </row>
    <row r="2134" spans="1:1" x14ac:dyDescent="0.25">
      <c r="A2134" s="57"/>
    </row>
    <row r="2135" spans="1:1" x14ac:dyDescent="0.25">
      <c r="A2135" s="57"/>
    </row>
    <row r="2136" spans="1:1" x14ac:dyDescent="0.25">
      <c r="A2136" s="57"/>
    </row>
    <row r="2137" spans="1:1" x14ac:dyDescent="0.25">
      <c r="A2137" s="57"/>
    </row>
    <row r="2138" spans="1:1" x14ac:dyDescent="0.25">
      <c r="A2138" s="57"/>
    </row>
    <row r="2139" spans="1:1" x14ac:dyDescent="0.25">
      <c r="A2139" s="57"/>
    </row>
    <row r="2140" spans="1:1" x14ac:dyDescent="0.25">
      <c r="A2140" s="57"/>
    </row>
    <row r="2141" spans="1:1" x14ac:dyDescent="0.25">
      <c r="A2141" s="57"/>
    </row>
    <row r="2142" spans="1:1" x14ac:dyDescent="0.25">
      <c r="A2142" s="57"/>
    </row>
    <row r="2143" spans="1:1" x14ac:dyDescent="0.25">
      <c r="A2143" s="57"/>
    </row>
    <row r="2144" spans="1:1" x14ac:dyDescent="0.25">
      <c r="A2144" s="57"/>
    </row>
    <row r="2145" spans="1:1" x14ac:dyDescent="0.25">
      <c r="A2145" s="57"/>
    </row>
    <row r="2146" spans="1:1" x14ac:dyDescent="0.25">
      <c r="A2146" s="57"/>
    </row>
    <row r="2147" spans="1:1" x14ac:dyDescent="0.25">
      <c r="A2147" s="57"/>
    </row>
    <row r="2148" spans="1:1" x14ac:dyDescent="0.25">
      <c r="A2148" s="57"/>
    </row>
    <row r="2149" spans="1:1" x14ac:dyDescent="0.25">
      <c r="A2149" s="57"/>
    </row>
    <row r="2150" spans="1:1" x14ac:dyDescent="0.25">
      <c r="A2150" s="57"/>
    </row>
    <row r="2151" spans="1:1" x14ac:dyDescent="0.25">
      <c r="A2151" s="57"/>
    </row>
    <row r="2152" spans="1:1" x14ac:dyDescent="0.25">
      <c r="A2152" s="57"/>
    </row>
    <row r="2153" spans="1:1" x14ac:dyDescent="0.25">
      <c r="A2153" s="57"/>
    </row>
    <row r="2154" spans="1:1" x14ac:dyDescent="0.25">
      <c r="A2154" s="57"/>
    </row>
    <row r="2155" spans="1:1" x14ac:dyDescent="0.25">
      <c r="A2155" s="57"/>
    </row>
    <row r="2156" spans="1:1" x14ac:dyDescent="0.25">
      <c r="A2156" s="57"/>
    </row>
    <row r="2157" spans="1:1" x14ac:dyDescent="0.25">
      <c r="A2157" s="57"/>
    </row>
    <row r="2158" spans="1:1" x14ac:dyDescent="0.25">
      <c r="A2158" s="57"/>
    </row>
    <row r="2159" spans="1:1" x14ac:dyDescent="0.25">
      <c r="A2159" s="57"/>
    </row>
    <row r="2160" spans="1:1" x14ac:dyDescent="0.25">
      <c r="A2160" s="57"/>
    </row>
    <row r="2161" spans="1:1" x14ac:dyDescent="0.25">
      <c r="A2161" s="57"/>
    </row>
    <row r="2162" spans="1:1" x14ac:dyDescent="0.25">
      <c r="A2162" s="57"/>
    </row>
    <row r="2163" spans="1:1" x14ac:dyDescent="0.25">
      <c r="A2163" s="57"/>
    </row>
    <row r="2164" spans="1:1" x14ac:dyDescent="0.25">
      <c r="A2164" s="57"/>
    </row>
    <row r="2165" spans="1:1" x14ac:dyDescent="0.25">
      <c r="A2165" s="57"/>
    </row>
    <row r="2166" spans="1:1" x14ac:dyDescent="0.25">
      <c r="A2166" s="57"/>
    </row>
    <row r="2167" spans="1:1" x14ac:dyDescent="0.25">
      <c r="A2167" s="57"/>
    </row>
    <row r="2168" spans="1:1" x14ac:dyDescent="0.25">
      <c r="A2168" s="57"/>
    </row>
    <row r="2169" spans="1:1" x14ac:dyDescent="0.25">
      <c r="A2169" s="57"/>
    </row>
    <row r="2170" spans="1:1" x14ac:dyDescent="0.25">
      <c r="A2170" s="57"/>
    </row>
    <row r="2171" spans="1:1" x14ac:dyDescent="0.25">
      <c r="A2171" s="57"/>
    </row>
    <row r="2172" spans="1:1" x14ac:dyDescent="0.25">
      <c r="A2172" s="57"/>
    </row>
    <row r="2173" spans="1:1" x14ac:dyDescent="0.25">
      <c r="A2173" s="57"/>
    </row>
    <row r="2174" spans="1:1" x14ac:dyDescent="0.25">
      <c r="A2174" s="57"/>
    </row>
    <row r="2175" spans="1:1" x14ac:dyDescent="0.25">
      <c r="A2175" s="57"/>
    </row>
    <row r="2176" spans="1:1" x14ac:dyDescent="0.25">
      <c r="A2176" s="57"/>
    </row>
    <row r="2177" spans="1:1" x14ac:dyDescent="0.25">
      <c r="A2177" s="57"/>
    </row>
    <row r="2178" spans="1:1" x14ac:dyDescent="0.25">
      <c r="A2178" s="57"/>
    </row>
    <row r="2179" spans="1:1" x14ac:dyDescent="0.25">
      <c r="A2179" s="57"/>
    </row>
    <row r="2180" spans="1:1" x14ac:dyDescent="0.25">
      <c r="A2180" s="57"/>
    </row>
    <row r="2181" spans="1:1" x14ac:dyDescent="0.25">
      <c r="A2181" s="57"/>
    </row>
    <row r="2182" spans="1:1" x14ac:dyDescent="0.25">
      <c r="A2182" s="57"/>
    </row>
    <row r="2183" spans="1:1" x14ac:dyDescent="0.25">
      <c r="A2183" s="57"/>
    </row>
    <row r="2184" spans="1:1" x14ac:dyDescent="0.25">
      <c r="A2184" s="57"/>
    </row>
    <row r="2185" spans="1:1" x14ac:dyDescent="0.25">
      <c r="A2185" s="57"/>
    </row>
    <row r="2186" spans="1:1" x14ac:dyDescent="0.25">
      <c r="A2186" s="57"/>
    </row>
    <row r="2187" spans="1:1" x14ac:dyDescent="0.25">
      <c r="A2187" s="57"/>
    </row>
    <row r="2188" spans="1:1" x14ac:dyDescent="0.25">
      <c r="A2188" s="57"/>
    </row>
    <row r="2189" spans="1:1" x14ac:dyDescent="0.25">
      <c r="A2189" s="57"/>
    </row>
    <row r="2190" spans="1:1" x14ac:dyDescent="0.25">
      <c r="A2190" s="57"/>
    </row>
    <row r="2191" spans="1:1" x14ac:dyDescent="0.25">
      <c r="A2191" s="57"/>
    </row>
    <row r="2192" spans="1:1" x14ac:dyDescent="0.25">
      <c r="A2192" s="57"/>
    </row>
    <row r="2193" spans="1:1" x14ac:dyDescent="0.25">
      <c r="A2193" s="57"/>
    </row>
    <row r="2194" spans="1:1" x14ac:dyDescent="0.25">
      <c r="A2194" s="57"/>
    </row>
    <row r="2195" spans="1:1" x14ac:dyDescent="0.25">
      <c r="A2195" s="57"/>
    </row>
    <row r="2196" spans="1:1" x14ac:dyDescent="0.25">
      <c r="A2196" s="57"/>
    </row>
    <row r="2197" spans="1:1" x14ac:dyDescent="0.25">
      <c r="A2197" s="57"/>
    </row>
    <row r="2198" spans="1:1" x14ac:dyDescent="0.25">
      <c r="A2198" s="57"/>
    </row>
    <row r="2199" spans="1:1" x14ac:dyDescent="0.25">
      <c r="A2199" s="57"/>
    </row>
    <row r="2200" spans="1:1" x14ac:dyDescent="0.25">
      <c r="A2200" s="57"/>
    </row>
    <row r="2201" spans="1:1" x14ac:dyDescent="0.25">
      <c r="A2201" s="57"/>
    </row>
    <row r="2202" spans="1:1" x14ac:dyDescent="0.25">
      <c r="A2202" s="57"/>
    </row>
    <row r="2203" spans="1:1" x14ac:dyDescent="0.25">
      <c r="A2203" s="57"/>
    </row>
    <row r="2204" spans="1:1" x14ac:dyDescent="0.25">
      <c r="A2204" s="57"/>
    </row>
    <row r="2205" spans="1:1" x14ac:dyDescent="0.25">
      <c r="A2205" s="57"/>
    </row>
    <row r="2206" spans="1:1" x14ac:dyDescent="0.25">
      <c r="A2206" s="57"/>
    </row>
    <row r="2207" spans="1:1" x14ac:dyDescent="0.25">
      <c r="A2207" s="57"/>
    </row>
    <row r="2208" spans="1:1" x14ac:dyDescent="0.25">
      <c r="A2208" s="57"/>
    </row>
    <row r="2209" spans="1:1" x14ac:dyDescent="0.25">
      <c r="A2209" s="57"/>
    </row>
    <row r="2210" spans="1:1" x14ac:dyDescent="0.25">
      <c r="A2210" s="57"/>
    </row>
    <row r="2211" spans="1:1" x14ac:dyDescent="0.25">
      <c r="A2211" s="57"/>
    </row>
    <row r="2212" spans="1:1" x14ac:dyDescent="0.25">
      <c r="A2212" s="57"/>
    </row>
    <row r="2213" spans="1:1" x14ac:dyDescent="0.25">
      <c r="A2213" s="57"/>
    </row>
    <row r="2214" spans="1:1" x14ac:dyDescent="0.25">
      <c r="A2214" s="57"/>
    </row>
    <row r="2215" spans="1:1" x14ac:dyDescent="0.25">
      <c r="A2215" s="57"/>
    </row>
    <row r="2216" spans="1:1" x14ac:dyDescent="0.25">
      <c r="A2216" s="57"/>
    </row>
    <row r="2217" spans="1:1" x14ac:dyDescent="0.25">
      <c r="A2217" s="57"/>
    </row>
    <row r="2218" spans="1:1" x14ac:dyDescent="0.25">
      <c r="A2218" s="57"/>
    </row>
    <row r="2219" spans="1:1" x14ac:dyDescent="0.25">
      <c r="A2219" s="57"/>
    </row>
    <row r="2220" spans="1:1" x14ac:dyDescent="0.25">
      <c r="A2220" s="57"/>
    </row>
    <row r="2221" spans="1:1" x14ac:dyDescent="0.25">
      <c r="A2221" s="57"/>
    </row>
    <row r="2222" spans="1:1" x14ac:dyDescent="0.25">
      <c r="A2222" s="57"/>
    </row>
    <row r="2223" spans="1:1" x14ac:dyDescent="0.25">
      <c r="A2223" s="57"/>
    </row>
    <row r="2224" spans="1:1" x14ac:dyDescent="0.25">
      <c r="A2224" s="57"/>
    </row>
    <row r="2225" spans="1:1" x14ac:dyDescent="0.25">
      <c r="A2225" s="57"/>
    </row>
    <row r="2226" spans="1:1" x14ac:dyDescent="0.25">
      <c r="A2226" s="57"/>
    </row>
    <row r="2227" spans="1:1" x14ac:dyDescent="0.25">
      <c r="A2227" s="57"/>
    </row>
    <row r="2228" spans="1:1" x14ac:dyDescent="0.25">
      <c r="A2228" s="57"/>
    </row>
    <row r="2229" spans="1:1" x14ac:dyDescent="0.25">
      <c r="A2229" s="57"/>
    </row>
    <row r="2230" spans="1:1" x14ac:dyDescent="0.25">
      <c r="A2230" s="57"/>
    </row>
    <row r="2231" spans="1:1" x14ac:dyDescent="0.25">
      <c r="A2231" s="57"/>
    </row>
    <row r="2232" spans="1:1" x14ac:dyDescent="0.25">
      <c r="A2232" s="57"/>
    </row>
    <row r="2233" spans="1:1" x14ac:dyDescent="0.25">
      <c r="A2233" s="57"/>
    </row>
    <row r="2234" spans="1:1" x14ac:dyDescent="0.25">
      <c r="A2234" s="57"/>
    </row>
    <row r="2235" spans="1:1" x14ac:dyDescent="0.25">
      <c r="A2235" s="57"/>
    </row>
    <row r="2236" spans="1:1" x14ac:dyDescent="0.25">
      <c r="A2236" s="57"/>
    </row>
    <row r="2237" spans="1:1" x14ac:dyDescent="0.25">
      <c r="A2237" s="57"/>
    </row>
    <row r="2238" spans="1:1" x14ac:dyDescent="0.25">
      <c r="A2238" s="57"/>
    </row>
    <row r="2239" spans="1:1" x14ac:dyDescent="0.25">
      <c r="A2239" s="57"/>
    </row>
    <row r="2240" spans="1:1" x14ac:dyDescent="0.25">
      <c r="A2240" s="57"/>
    </row>
    <row r="2241" spans="1:1" x14ac:dyDescent="0.25">
      <c r="A2241" s="57"/>
    </row>
    <row r="2242" spans="1:1" x14ac:dyDescent="0.25">
      <c r="A2242" s="57"/>
    </row>
    <row r="2243" spans="1:1" x14ac:dyDescent="0.25">
      <c r="A2243" s="57"/>
    </row>
    <row r="2244" spans="1:1" x14ac:dyDescent="0.25">
      <c r="A2244" s="57"/>
    </row>
    <row r="2245" spans="1:1" x14ac:dyDescent="0.25">
      <c r="A2245" s="57"/>
    </row>
    <row r="2246" spans="1:1" x14ac:dyDescent="0.25">
      <c r="A2246" s="57"/>
    </row>
    <row r="2247" spans="1:1" x14ac:dyDescent="0.25">
      <c r="A2247" s="57"/>
    </row>
    <row r="2248" spans="1:1" x14ac:dyDescent="0.25">
      <c r="A2248" s="57"/>
    </row>
    <row r="2249" spans="1:1" x14ac:dyDescent="0.25">
      <c r="A2249" s="57"/>
    </row>
    <row r="2250" spans="1:1" x14ac:dyDescent="0.25">
      <c r="A2250" s="57"/>
    </row>
    <row r="2251" spans="1:1" x14ac:dyDescent="0.25">
      <c r="A2251" s="57"/>
    </row>
    <row r="2252" spans="1:1" x14ac:dyDescent="0.25">
      <c r="A2252" s="57"/>
    </row>
    <row r="2253" spans="1:1" x14ac:dyDescent="0.25">
      <c r="A2253" s="57"/>
    </row>
    <row r="2254" spans="1:1" x14ac:dyDescent="0.25">
      <c r="A2254" s="57"/>
    </row>
    <row r="2255" spans="1:1" x14ac:dyDescent="0.25">
      <c r="A2255" s="57"/>
    </row>
    <row r="2256" spans="1:1" x14ac:dyDescent="0.25">
      <c r="A2256" s="57"/>
    </row>
    <row r="2257" spans="1:1" x14ac:dyDescent="0.25">
      <c r="A2257" s="57"/>
    </row>
    <row r="2258" spans="1:1" x14ac:dyDescent="0.25">
      <c r="A2258" s="57"/>
    </row>
    <row r="2259" spans="1:1" x14ac:dyDescent="0.25">
      <c r="A2259" s="57"/>
    </row>
    <row r="2260" spans="1:1" x14ac:dyDescent="0.25">
      <c r="A2260" s="57"/>
    </row>
    <row r="2261" spans="1:1" x14ac:dyDescent="0.25">
      <c r="A2261" s="57"/>
    </row>
    <row r="2262" spans="1:1" x14ac:dyDescent="0.25">
      <c r="A2262" s="57"/>
    </row>
    <row r="2263" spans="1:1" x14ac:dyDescent="0.25">
      <c r="A2263" s="57"/>
    </row>
    <row r="2264" spans="1:1" x14ac:dyDescent="0.25">
      <c r="A2264" s="57"/>
    </row>
    <row r="2265" spans="1:1" x14ac:dyDescent="0.25">
      <c r="A2265" s="57"/>
    </row>
    <row r="2266" spans="1:1" x14ac:dyDescent="0.25">
      <c r="A2266" s="57"/>
    </row>
    <row r="2267" spans="1:1" x14ac:dyDescent="0.25">
      <c r="A2267" s="57"/>
    </row>
    <row r="2268" spans="1:1" x14ac:dyDescent="0.25">
      <c r="A2268" s="57"/>
    </row>
    <row r="2269" spans="1:1" x14ac:dyDescent="0.25">
      <c r="A2269" s="57"/>
    </row>
    <row r="2270" spans="1:1" x14ac:dyDescent="0.25">
      <c r="A2270" s="57"/>
    </row>
    <row r="2271" spans="1:1" x14ac:dyDescent="0.25">
      <c r="A2271" s="57"/>
    </row>
    <row r="2272" spans="1:1" x14ac:dyDescent="0.25">
      <c r="A2272" s="57"/>
    </row>
    <row r="2273" spans="1:1" x14ac:dyDescent="0.25">
      <c r="A2273" s="57"/>
    </row>
    <row r="2274" spans="1:1" x14ac:dyDescent="0.25">
      <c r="A2274" s="57"/>
    </row>
    <row r="2275" spans="1:1" x14ac:dyDescent="0.25">
      <c r="A2275" s="57"/>
    </row>
    <row r="2276" spans="1:1" x14ac:dyDescent="0.25">
      <c r="A2276" s="57"/>
    </row>
    <row r="2277" spans="1:1" x14ac:dyDescent="0.25">
      <c r="A2277" s="57"/>
    </row>
    <row r="2278" spans="1:1" x14ac:dyDescent="0.25">
      <c r="A2278" s="57"/>
    </row>
    <row r="2279" spans="1:1" x14ac:dyDescent="0.25">
      <c r="A2279" s="57"/>
    </row>
    <row r="2280" spans="1:1" x14ac:dyDescent="0.25">
      <c r="A2280" s="57"/>
    </row>
    <row r="2281" spans="1:1" x14ac:dyDescent="0.25">
      <c r="A2281" s="57"/>
    </row>
    <row r="2282" spans="1:1" x14ac:dyDescent="0.25">
      <c r="A2282" s="57"/>
    </row>
    <row r="2283" spans="1:1" x14ac:dyDescent="0.25">
      <c r="A2283" s="57"/>
    </row>
    <row r="2284" spans="1:1" x14ac:dyDescent="0.25">
      <c r="A2284" s="57"/>
    </row>
    <row r="2285" spans="1:1" x14ac:dyDescent="0.25">
      <c r="A2285" s="57"/>
    </row>
    <row r="2286" spans="1:1" x14ac:dyDescent="0.25">
      <c r="A2286" s="57"/>
    </row>
    <row r="2287" spans="1:1" x14ac:dyDescent="0.25">
      <c r="A2287" s="57"/>
    </row>
    <row r="2288" spans="1:1" x14ac:dyDescent="0.25">
      <c r="A2288" s="57"/>
    </row>
    <row r="2289" spans="1:1" x14ac:dyDescent="0.25">
      <c r="A2289" s="57"/>
    </row>
    <row r="2290" spans="1:1" x14ac:dyDescent="0.25">
      <c r="A2290" s="57"/>
    </row>
    <row r="2291" spans="1:1" x14ac:dyDescent="0.25">
      <c r="A2291" s="57"/>
    </row>
    <row r="2292" spans="1:1" x14ac:dyDescent="0.25">
      <c r="A2292" s="57"/>
    </row>
    <row r="2293" spans="1:1" x14ac:dyDescent="0.25">
      <c r="A2293" s="57"/>
    </row>
    <row r="2294" spans="1:1" x14ac:dyDescent="0.25">
      <c r="A2294" s="57"/>
    </row>
    <row r="2295" spans="1:1" x14ac:dyDescent="0.25">
      <c r="A2295" s="57"/>
    </row>
    <row r="2296" spans="1:1" x14ac:dyDescent="0.25">
      <c r="A2296" s="57"/>
    </row>
    <row r="2297" spans="1:1" x14ac:dyDescent="0.25">
      <c r="A2297" s="57"/>
    </row>
    <row r="2298" spans="1:1" x14ac:dyDescent="0.25">
      <c r="A2298" s="57"/>
    </row>
    <row r="2299" spans="1:1" x14ac:dyDescent="0.25">
      <c r="A2299" s="57"/>
    </row>
    <row r="2300" spans="1:1" x14ac:dyDescent="0.25">
      <c r="A2300" s="57"/>
    </row>
    <row r="2301" spans="1:1" x14ac:dyDescent="0.25">
      <c r="A2301" s="57"/>
    </row>
    <row r="2302" spans="1:1" x14ac:dyDescent="0.25">
      <c r="A2302" s="57"/>
    </row>
    <row r="2303" spans="1:1" x14ac:dyDescent="0.25">
      <c r="A2303" s="57"/>
    </row>
    <row r="2304" spans="1:1" x14ac:dyDescent="0.25">
      <c r="A2304" s="57"/>
    </row>
    <row r="2305" spans="1:1" x14ac:dyDescent="0.25">
      <c r="A2305" s="57"/>
    </row>
    <row r="2306" spans="1:1" x14ac:dyDescent="0.25">
      <c r="A2306" s="57"/>
    </row>
    <row r="2307" spans="1:1" x14ac:dyDescent="0.25">
      <c r="A2307" s="57"/>
    </row>
    <row r="2308" spans="1:1" x14ac:dyDescent="0.25">
      <c r="A2308" s="57"/>
    </row>
    <row r="2309" spans="1:1" x14ac:dyDescent="0.25">
      <c r="A2309" s="57"/>
    </row>
    <row r="2310" spans="1:1" x14ac:dyDescent="0.25">
      <c r="A2310" s="57"/>
    </row>
    <row r="2311" spans="1:1" x14ac:dyDescent="0.25">
      <c r="A2311" s="57"/>
    </row>
    <row r="2312" spans="1:1" x14ac:dyDescent="0.25">
      <c r="A2312" s="57"/>
    </row>
    <row r="2313" spans="1:1" x14ac:dyDescent="0.25">
      <c r="A2313" s="57"/>
    </row>
    <row r="2314" spans="1:1" x14ac:dyDescent="0.25">
      <c r="A2314" s="57"/>
    </row>
    <row r="2315" spans="1:1" x14ac:dyDescent="0.25">
      <c r="A2315" s="57"/>
    </row>
    <row r="2316" spans="1:1" x14ac:dyDescent="0.25">
      <c r="A2316" s="57"/>
    </row>
    <row r="2317" spans="1:1" x14ac:dyDescent="0.25">
      <c r="A2317" s="57"/>
    </row>
    <row r="2318" spans="1:1" x14ac:dyDescent="0.25">
      <c r="A2318" s="57"/>
    </row>
    <row r="2319" spans="1:1" x14ac:dyDescent="0.25">
      <c r="A2319" s="57"/>
    </row>
    <row r="2320" spans="1:1" x14ac:dyDescent="0.25">
      <c r="A2320" s="57"/>
    </row>
    <row r="2321" spans="1:1" x14ac:dyDescent="0.25">
      <c r="A2321" s="57"/>
    </row>
    <row r="2322" spans="1:1" x14ac:dyDescent="0.25">
      <c r="A2322" s="57"/>
    </row>
    <row r="2323" spans="1:1" x14ac:dyDescent="0.25">
      <c r="A2323" s="57"/>
    </row>
    <row r="2324" spans="1:1" x14ac:dyDescent="0.25">
      <c r="A2324" s="57"/>
    </row>
    <row r="2325" spans="1:1" x14ac:dyDescent="0.25">
      <c r="A2325" s="57"/>
    </row>
    <row r="2326" spans="1:1" x14ac:dyDescent="0.25">
      <c r="A2326" s="57"/>
    </row>
    <row r="2327" spans="1:1" x14ac:dyDescent="0.25">
      <c r="A2327" s="57"/>
    </row>
    <row r="2328" spans="1:1" x14ac:dyDescent="0.25">
      <c r="A2328" s="57"/>
    </row>
    <row r="2329" spans="1:1" x14ac:dyDescent="0.25">
      <c r="A2329" s="57"/>
    </row>
    <row r="2330" spans="1:1" x14ac:dyDescent="0.25">
      <c r="A2330" s="57"/>
    </row>
    <row r="2331" spans="1:1" x14ac:dyDescent="0.25">
      <c r="A2331" s="57"/>
    </row>
    <row r="2332" spans="1:1" x14ac:dyDescent="0.25">
      <c r="A2332" s="57"/>
    </row>
    <row r="2333" spans="1:1" x14ac:dyDescent="0.25">
      <c r="A2333" s="57"/>
    </row>
    <row r="2334" spans="1:1" x14ac:dyDescent="0.25">
      <c r="A2334" s="57"/>
    </row>
    <row r="2335" spans="1:1" x14ac:dyDescent="0.25">
      <c r="A2335" s="57"/>
    </row>
    <row r="2336" spans="1:1" x14ac:dyDescent="0.25">
      <c r="A2336" s="57"/>
    </row>
    <row r="2337" spans="1:1" x14ac:dyDescent="0.25">
      <c r="A2337" s="57"/>
    </row>
    <row r="2338" spans="1:1" x14ac:dyDescent="0.25">
      <c r="A2338" s="57"/>
    </row>
    <row r="2339" spans="1:1" x14ac:dyDescent="0.25">
      <c r="A2339" s="57"/>
    </row>
    <row r="2340" spans="1:1" x14ac:dyDescent="0.25">
      <c r="A2340" s="57"/>
    </row>
    <row r="2341" spans="1:1" x14ac:dyDescent="0.25">
      <c r="A2341" s="57"/>
    </row>
    <row r="2342" spans="1:1" x14ac:dyDescent="0.25">
      <c r="A2342" s="57"/>
    </row>
    <row r="2343" spans="1:1" x14ac:dyDescent="0.25">
      <c r="A2343" s="57"/>
    </row>
    <row r="2344" spans="1:1" x14ac:dyDescent="0.25">
      <c r="A2344" s="57"/>
    </row>
    <row r="2345" spans="1:1" x14ac:dyDescent="0.25">
      <c r="A2345" s="57"/>
    </row>
    <row r="2346" spans="1:1" x14ac:dyDescent="0.25">
      <c r="A2346" s="57"/>
    </row>
    <row r="2347" spans="1:1" x14ac:dyDescent="0.25">
      <c r="A2347" s="57"/>
    </row>
    <row r="2348" spans="1:1" x14ac:dyDescent="0.25">
      <c r="A2348" s="57"/>
    </row>
    <row r="2349" spans="1:1" x14ac:dyDescent="0.25">
      <c r="A2349" s="57"/>
    </row>
    <row r="2350" spans="1:1" x14ac:dyDescent="0.25">
      <c r="A2350" s="57"/>
    </row>
    <row r="2351" spans="1:1" x14ac:dyDescent="0.25">
      <c r="A2351" s="57"/>
    </row>
    <row r="2352" spans="1:1" x14ac:dyDescent="0.25">
      <c r="A2352" s="57"/>
    </row>
    <row r="2353" spans="1:1" x14ac:dyDescent="0.25">
      <c r="A2353" s="57"/>
    </row>
    <row r="2354" spans="1:1" x14ac:dyDescent="0.25">
      <c r="A2354" s="57"/>
    </row>
    <row r="2355" spans="1:1" x14ac:dyDescent="0.25">
      <c r="A2355" s="57"/>
    </row>
    <row r="2356" spans="1:1" x14ac:dyDescent="0.25">
      <c r="A2356" s="57"/>
    </row>
    <row r="2357" spans="1:1" x14ac:dyDescent="0.25">
      <c r="A2357" s="57"/>
    </row>
    <row r="2358" spans="1:1" x14ac:dyDescent="0.25">
      <c r="A2358" s="57"/>
    </row>
    <row r="2359" spans="1:1" x14ac:dyDescent="0.25">
      <c r="A2359" s="57"/>
    </row>
    <row r="2360" spans="1:1" x14ac:dyDescent="0.25">
      <c r="A2360" s="57"/>
    </row>
    <row r="2361" spans="1:1" x14ac:dyDescent="0.25">
      <c r="A2361" s="57"/>
    </row>
    <row r="2362" spans="1:1" x14ac:dyDescent="0.25">
      <c r="A2362" s="57"/>
    </row>
    <row r="2363" spans="1:1" x14ac:dyDescent="0.25">
      <c r="A2363" s="57"/>
    </row>
    <row r="2364" spans="1:1" x14ac:dyDescent="0.25">
      <c r="A2364" s="57"/>
    </row>
    <row r="2365" spans="1:1" x14ac:dyDescent="0.25">
      <c r="A2365" s="57"/>
    </row>
    <row r="2366" spans="1:1" x14ac:dyDescent="0.25">
      <c r="A2366" s="57"/>
    </row>
    <row r="2367" spans="1:1" x14ac:dyDescent="0.25">
      <c r="A2367" s="57"/>
    </row>
    <row r="2368" spans="1:1" x14ac:dyDescent="0.25">
      <c r="A2368" s="57"/>
    </row>
    <row r="2369" spans="1:1" x14ac:dyDescent="0.25">
      <c r="A2369" s="57"/>
    </row>
    <row r="2370" spans="1:1" x14ac:dyDescent="0.25">
      <c r="A2370" s="57"/>
    </row>
    <row r="2371" spans="1:1" x14ac:dyDescent="0.25">
      <c r="A2371" s="57"/>
    </row>
    <row r="2372" spans="1:1" x14ac:dyDescent="0.25">
      <c r="A2372" s="57"/>
    </row>
    <row r="2373" spans="1:1" x14ac:dyDescent="0.25">
      <c r="A2373" s="57"/>
    </row>
    <row r="2374" spans="1:1" x14ac:dyDescent="0.25">
      <c r="A2374" s="57"/>
    </row>
    <row r="2375" spans="1:1" x14ac:dyDescent="0.25">
      <c r="A2375" s="57"/>
    </row>
    <row r="2376" spans="1:1" x14ac:dyDescent="0.25">
      <c r="A2376" s="57"/>
    </row>
    <row r="2377" spans="1:1" x14ac:dyDescent="0.25">
      <c r="A2377" s="57"/>
    </row>
    <row r="2378" spans="1:1" x14ac:dyDescent="0.25">
      <c r="A2378" s="57"/>
    </row>
    <row r="2379" spans="1:1" x14ac:dyDescent="0.25">
      <c r="A2379" s="57"/>
    </row>
    <row r="2380" spans="1:1" x14ac:dyDescent="0.25">
      <c r="A2380" s="57"/>
    </row>
    <row r="2381" spans="1:1" x14ac:dyDescent="0.25">
      <c r="A2381" s="57"/>
    </row>
    <row r="2382" spans="1:1" x14ac:dyDescent="0.25">
      <c r="A2382" s="57"/>
    </row>
    <row r="2383" spans="1:1" x14ac:dyDescent="0.25">
      <c r="A2383" s="57"/>
    </row>
    <row r="2384" spans="1:1" x14ac:dyDescent="0.25">
      <c r="A2384" s="57"/>
    </row>
    <row r="2385" spans="1:1" x14ac:dyDescent="0.25">
      <c r="A2385" s="57"/>
    </row>
    <row r="2386" spans="1:1" x14ac:dyDescent="0.25">
      <c r="A2386" s="57"/>
    </row>
    <row r="2387" spans="1:1" x14ac:dyDescent="0.25">
      <c r="A2387" s="57"/>
    </row>
    <row r="2388" spans="1:1" x14ac:dyDescent="0.25">
      <c r="A2388" s="57"/>
    </row>
    <row r="2389" spans="1:1" x14ac:dyDescent="0.25">
      <c r="A2389" s="57"/>
    </row>
    <row r="2390" spans="1:1" x14ac:dyDescent="0.25">
      <c r="A2390" s="57"/>
    </row>
    <row r="2391" spans="1:1" x14ac:dyDescent="0.25">
      <c r="A2391" s="57"/>
    </row>
    <row r="2392" spans="1:1" x14ac:dyDescent="0.25">
      <c r="A2392" s="57"/>
    </row>
    <row r="2393" spans="1:1" x14ac:dyDescent="0.25">
      <c r="A2393" s="57"/>
    </row>
    <row r="2394" spans="1:1" x14ac:dyDescent="0.25">
      <c r="A2394" s="57"/>
    </row>
    <row r="2395" spans="1:1" x14ac:dyDescent="0.25">
      <c r="A2395" s="57"/>
    </row>
    <row r="2396" spans="1:1" x14ac:dyDescent="0.25">
      <c r="A2396" s="57"/>
    </row>
    <row r="2397" spans="1:1" x14ac:dyDescent="0.25">
      <c r="A2397" s="57"/>
    </row>
    <row r="2398" spans="1:1" x14ac:dyDescent="0.25">
      <c r="A2398" s="57"/>
    </row>
    <row r="2399" spans="1:1" x14ac:dyDescent="0.25">
      <c r="A2399" s="57"/>
    </row>
    <row r="2400" spans="1:1" x14ac:dyDescent="0.25">
      <c r="A2400" s="57"/>
    </row>
    <row r="2401" spans="1:1" x14ac:dyDescent="0.25">
      <c r="A2401" s="57"/>
    </row>
    <row r="2402" spans="1:1" x14ac:dyDescent="0.25">
      <c r="A2402" s="57"/>
    </row>
    <row r="2403" spans="1:1" x14ac:dyDescent="0.25">
      <c r="A2403" s="57"/>
    </row>
    <row r="2404" spans="1:1" x14ac:dyDescent="0.25">
      <c r="A2404" s="57"/>
    </row>
    <row r="2405" spans="1:1" x14ac:dyDescent="0.25">
      <c r="A2405" s="57"/>
    </row>
    <row r="2406" spans="1:1" x14ac:dyDescent="0.25">
      <c r="A2406" s="57"/>
    </row>
    <row r="2407" spans="1:1" x14ac:dyDescent="0.25">
      <c r="A2407" s="57"/>
    </row>
    <row r="2408" spans="1:1" x14ac:dyDescent="0.25">
      <c r="A2408" s="57"/>
    </row>
    <row r="2409" spans="1:1" x14ac:dyDescent="0.25">
      <c r="A2409" s="57"/>
    </row>
    <row r="2410" spans="1:1" x14ac:dyDescent="0.25">
      <c r="A2410" s="57"/>
    </row>
    <row r="2411" spans="1:1" x14ac:dyDescent="0.25">
      <c r="A2411" s="57"/>
    </row>
    <row r="2412" spans="1:1" x14ac:dyDescent="0.25">
      <c r="A2412" s="57"/>
    </row>
    <row r="2413" spans="1:1" x14ac:dyDescent="0.25">
      <c r="A2413" s="57"/>
    </row>
    <row r="2414" spans="1:1" x14ac:dyDescent="0.25">
      <c r="A2414" s="57"/>
    </row>
    <row r="2415" spans="1:1" x14ac:dyDescent="0.25">
      <c r="A2415" s="57"/>
    </row>
    <row r="2416" spans="1:1" x14ac:dyDescent="0.25">
      <c r="A2416" s="57"/>
    </row>
    <row r="2417" spans="1:1" x14ac:dyDescent="0.25">
      <c r="A2417" s="57"/>
    </row>
    <row r="2418" spans="1:1" x14ac:dyDescent="0.25">
      <c r="A2418" s="57"/>
    </row>
    <row r="2419" spans="1:1" x14ac:dyDescent="0.25">
      <c r="A2419" s="57"/>
    </row>
    <row r="2420" spans="1:1" x14ac:dyDescent="0.25">
      <c r="A2420" s="57"/>
    </row>
    <row r="2421" spans="1:1" x14ac:dyDescent="0.25">
      <c r="A2421" s="57"/>
    </row>
    <row r="2422" spans="1:1" x14ac:dyDescent="0.25">
      <c r="A2422" s="57"/>
    </row>
    <row r="2423" spans="1:1" x14ac:dyDescent="0.25">
      <c r="A2423" s="57"/>
    </row>
    <row r="2424" spans="1:1" x14ac:dyDescent="0.25">
      <c r="A2424" s="57"/>
    </row>
    <row r="2425" spans="1:1" x14ac:dyDescent="0.25">
      <c r="A2425" s="57"/>
    </row>
    <row r="2426" spans="1:1" x14ac:dyDescent="0.25">
      <c r="A2426" s="57"/>
    </row>
    <row r="2427" spans="1:1" x14ac:dyDescent="0.25">
      <c r="A2427" s="57"/>
    </row>
    <row r="2428" spans="1:1" x14ac:dyDescent="0.25">
      <c r="A2428" s="57"/>
    </row>
    <row r="2429" spans="1:1" x14ac:dyDescent="0.25">
      <c r="A2429" s="57"/>
    </row>
    <row r="2430" spans="1:1" x14ac:dyDescent="0.25">
      <c r="A2430" s="57"/>
    </row>
    <row r="2431" spans="1:1" x14ac:dyDescent="0.25">
      <c r="A2431" s="57"/>
    </row>
    <row r="2432" spans="1:1" x14ac:dyDescent="0.25">
      <c r="A2432" s="57"/>
    </row>
    <row r="2433" spans="1:1" x14ac:dyDescent="0.25">
      <c r="A2433" s="57"/>
    </row>
    <row r="2434" spans="1:1" x14ac:dyDescent="0.25">
      <c r="A2434" s="57"/>
    </row>
    <row r="2435" spans="1:1" x14ac:dyDescent="0.25">
      <c r="A2435" s="57"/>
    </row>
    <row r="2436" spans="1:1" x14ac:dyDescent="0.25">
      <c r="A2436" s="57"/>
    </row>
    <row r="2437" spans="1:1" x14ac:dyDescent="0.25">
      <c r="A2437" s="57"/>
    </row>
    <row r="2438" spans="1:1" x14ac:dyDescent="0.25">
      <c r="A2438" s="57"/>
    </row>
    <row r="2439" spans="1:1" x14ac:dyDescent="0.25">
      <c r="A2439" s="57"/>
    </row>
    <row r="2440" spans="1:1" x14ac:dyDescent="0.25">
      <c r="A2440" s="57"/>
    </row>
    <row r="2441" spans="1:1" x14ac:dyDescent="0.25">
      <c r="A2441" s="57"/>
    </row>
    <row r="2442" spans="1:1" x14ac:dyDescent="0.25">
      <c r="A2442" s="57"/>
    </row>
    <row r="2443" spans="1:1" x14ac:dyDescent="0.25">
      <c r="A2443" s="57"/>
    </row>
    <row r="2444" spans="1:1" x14ac:dyDescent="0.25">
      <c r="A2444" s="57"/>
    </row>
    <row r="2445" spans="1:1" x14ac:dyDescent="0.25">
      <c r="A2445" s="57"/>
    </row>
    <row r="2446" spans="1:1" x14ac:dyDescent="0.25">
      <c r="A2446" s="57"/>
    </row>
    <row r="2447" spans="1:1" x14ac:dyDescent="0.25">
      <c r="A2447" s="57"/>
    </row>
    <row r="2448" spans="1:1" x14ac:dyDescent="0.25">
      <c r="A2448" s="57"/>
    </row>
    <row r="2449" spans="1:1" x14ac:dyDescent="0.25">
      <c r="A2449" s="57"/>
    </row>
    <row r="2450" spans="1:1" x14ac:dyDescent="0.25">
      <c r="A2450" s="57"/>
    </row>
    <row r="2451" spans="1:1" x14ac:dyDescent="0.25">
      <c r="A2451" s="57"/>
    </row>
    <row r="2452" spans="1:1" x14ac:dyDescent="0.25">
      <c r="A2452" s="57"/>
    </row>
    <row r="2453" spans="1:1" x14ac:dyDescent="0.25">
      <c r="A2453" s="57"/>
    </row>
    <row r="2454" spans="1:1" x14ac:dyDescent="0.25">
      <c r="A2454" s="57"/>
    </row>
    <row r="2455" spans="1:1" x14ac:dyDescent="0.25">
      <c r="A2455" s="57"/>
    </row>
    <row r="2456" spans="1:1" x14ac:dyDescent="0.25">
      <c r="A2456" s="57"/>
    </row>
    <row r="2457" spans="1:1" x14ac:dyDescent="0.25">
      <c r="A2457" s="57"/>
    </row>
    <row r="2458" spans="1:1" x14ac:dyDescent="0.25">
      <c r="A2458" s="57"/>
    </row>
    <row r="2459" spans="1:1" x14ac:dyDescent="0.25">
      <c r="A2459" s="57"/>
    </row>
    <row r="2460" spans="1:1" x14ac:dyDescent="0.25">
      <c r="A2460" s="57"/>
    </row>
    <row r="2461" spans="1:1" x14ac:dyDescent="0.25">
      <c r="A2461" s="57"/>
    </row>
    <row r="2462" spans="1:1" x14ac:dyDescent="0.25">
      <c r="A2462" s="57"/>
    </row>
    <row r="2463" spans="1:1" x14ac:dyDescent="0.25">
      <c r="A2463" s="57"/>
    </row>
    <row r="2464" spans="1:1" x14ac:dyDescent="0.25">
      <c r="A2464" s="57"/>
    </row>
    <row r="2465" spans="1:1" x14ac:dyDescent="0.25">
      <c r="A2465" s="57"/>
    </row>
    <row r="2466" spans="1:1" x14ac:dyDescent="0.25">
      <c r="A2466" s="57"/>
    </row>
    <row r="2467" spans="1:1" x14ac:dyDescent="0.25">
      <c r="A2467" s="57"/>
    </row>
    <row r="2468" spans="1:1" x14ac:dyDescent="0.25">
      <c r="A2468" s="57"/>
    </row>
    <row r="2469" spans="1:1" x14ac:dyDescent="0.25">
      <c r="A2469" s="57"/>
    </row>
    <row r="2470" spans="1:1" x14ac:dyDescent="0.25">
      <c r="A2470" s="57"/>
    </row>
    <row r="2471" spans="1:1" x14ac:dyDescent="0.25">
      <c r="A2471" s="57"/>
    </row>
    <row r="2472" spans="1:1" x14ac:dyDescent="0.25">
      <c r="A2472" s="57"/>
    </row>
    <row r="2473" spans="1:1" x14ac:dyDescent="0.25">
      <c r="A2473" s="57"/>
    </row>
    <row r="2474" spans="1:1" x14ac:dyDescent="0.25">
      <c r="A2474" s="57"/>
    </row>
    <row r="2475" spans="1:1" x14ac:dyDescent="0.25">
      <c r="A2475" s="57"/>
    </row>
    <row r="2476" spans="1:1" x14ac:dyDescent="0.25">
      <c r="A2476" s="57"/>
    </row>
    <row r="2477" spans="1:1" x14ac:dyDescent="0.25">
      <c r="A2477" s="57"/>
    </row>
    <row r="2478" spans="1:1" x14ac:dyDescent="0.25">
      <c r="A2478" s="57"/>
    </row>
    <row r="2479" spans="1:1" x14ac:dyDescent="0.25">
      <c r="A2479" s="57"/>
    </row>
    <row r="2480" spans="1:1" x14ac:dyDescent="0.25">
      <c r="A2480" s="57"/>
    </row>
    <row r="2481" spans="1:1" x14ac:dyDescent="0.25">
      <c r="A2481" s="57"/>
    </row>
    <row r="2482" spans="1:1" x14ac:dyDescent="0.25">
      <c r="A2482" s="57"/>
    </row>
    <row r="2483" spans="1:1" x14ac:dyDescent="0.25">
      <c r="A2483" s="57"/>
    </row>
    <row r="2484" spans="1:1" x14ac:dyDescent="0.25">
      <c r="A2484" s="57"/>
    </row>
    <row r="2485" spans="1:1" x14ac:dyDescent="0.25">
      <c r="A2485" s="57"/>
    </row>
    <row r="2486" spans="1:1" x14ac:dyDescent="0.25">
      <c r="A2486" s="57"/>
    </row>
    <row r="2487" spans="1:1" x14ac:dyDescent="0.25">
      <c r="A2487" s="57"/>
    </row>
    <row r="2488" spans="1:1" x14ac:dyDescent="0.25">
      <c r="A2488" s="57"/>
    </row>
    <row r="2489" spans="1:1" x14ac:dyDescent="0.25">
      <c r="A2489" s="57"/>
    </row>
    <row r="2490" spans="1:1" x14ac:dyDescent="0.25">
      <c r="A2490" s="57"/>
    </row>
    <row r="2491" spans="1:1" x14ac:dyDescent="0.25">
      <c r="A2491" s="57"/>
    </row>
    <row r="2492" spans="1:1" x14ac:dyDescent="0.25">
      <c r="A2492" s="57"/>
    </row>
    <row r="2493" spans="1:1" x14ac:dyDescent="0.25">
      <c r="A2493" s="57"/>
    </row>
    <row r="2494" spans="1:1" x14ac:dyDescent="0.25">
      <c r="A2494" s="57"/>
    </row>
    <row r="2495" spans="1:1" x14ac:dyDescent="0.25">
      <c r="A2495" s="57"/>
    </row>
    <row r="2496" spans="1:1" x14ac:dyDescent="0.25">
      <c r="A2496" s="57"/>
    </row>
    <row r="2497" spans="1:1" x14ac:dyDescent="0.25">
      <c r="A2497" s="57"/>
    </row>
    <row r="2498" spans="1:1" x14ac:dyDescent="0.25">
      <c r="A2498" s="57"/>
    </row>
    <row r="2499" spans="1:1" x14ac:dyDescent="0.25">
      <c r="A2499" s="57"/>
    </row>
    <row r="2500" spans="1:1" x14ac:dyDescent="0.25">
      <c r="A2500" s="57"/>
    </row>
    <row r="2501" spans="1:1" x14ac:dyDescent="0.25">
      <c r="A2501" s="57"/>
    </row>
    <row r="2502" spans="1:1" x14ac:dyDescent="0.25">
      <c r="A2502" s="57"/>
    </row>
    <row r="2503" spans="1:1" x14ac:dyDescent="0.25">
      <c r="A2503" s="57"/>
    </row>
    <row r="2504" spans="1:1" x14ac:dyDescent="0.25">
      <c r="A2504" s="57"/>
    </row>
    <row r="2505" spans="1:1" x14ac:dyDescent="0.25">
      <c r="A2505" s="57"/>
    </row>
    <row r="2506" spans="1:1" x14ac:dyDescent="0.25">
      <c r="A2506" s="57"/>
    </row>
    <row r="2507" spans="1:1" x14ac:dyDescent="0.25">
      <c r="A2507" s="57"/>
    </row>
    <row r="2508" spans="1:1" x14ac:dyDescent="0.25">
      <c r="A2508" s="57"/>
    </row>
    <row r="2509" spans="1:1" x14ac:dyDescent="0.25">
      <c r="A2509" s="57"/>
    </row>
    <row r="2510" spans="1:1" x14ac:dyDescent="0.25">
      <c r="A2510" s="57"/>
    </row>
    <row r="2511" spans="1:1" x14ac:dyDescent="0.25">
      <c r="A2511" s="57"/>
    </row>
    <row r="2512" spans="1:1" x14ac:dyDescent="0.25">
      <c r="A2512" s="57"/>
    </row>
    <row r="2513" spans="1:1" x14ac:dyDescent="0.25">
      <c r="A2513" s="57"/>
    </row>
    <row r="2514" spans="1:1" x14ac:dyDescent="0.25">
      <c r="A2514" s="57"/>
    </row>
    <row r="2515" spans="1:1" x14ac:dyDescent="0.25">
      <c r="A2515" s="57"/>
    </row>
    <row r="2516" spans="1:1" x14ac:dyDescent="0.25">
      <c r="A2516" s="57"/>
    </row>
    <row r="2517" spans="1:1" x14ac:dyDescent="0.25">
      <c r="A2517" s="57"/>
    </row>
    <row r="2518" spans="1:1" x14ac:dyDescent="0.25">
      <c r="A2518" s="57"/>
    </row>
    <row r="2519" spans="1:1" x14ac:dyDescent="0.25">
      <c r="A2519" s="57"/>
    </row>
    <row r="2520" spans="1:1" x14ac:dyDescent="0.25">
      <c r="A2520" s="57"/>
    </row>
    <row r="2521" spans="1:1" x14ac:dyDescent="0.25">
      <c r="A2521" s="57"/>
    </row>
    <row r="2522" spans="1:1" x14ac:dyDescent="0.25">
      <c r="A2522" s="57"/>
    </row>
    <row r="2523" spans="1:1" x14ac:dyDescent="0.25">
      <c r="A2523" s="57"/>
    </row>
    <row r="2524" spans="1:1" x14ac:dyDescent="0.25">
      <c r="A2524" s="57"/>
    </row>
    <row r="2525" spans="1:1" x14ac:dyDescent="0.25">
      <c r="A2525" s="57"/>
    </row>
    <row r="2526" spans="1:1" x14ac:dyDescent="0.25">
      <c r="A2526" s="57"/>
    </row>
    <row r="2527" spans="1:1" x14ac:dyDescent="0.25">
      <c r="A2527" s="57"/>
    </row>
    <row r="2528" spans="1:1" x14ac:dyDescent="0.25">
      <c r="A2528" s="57"/>
    </row>
    <row r="2529" spans="1:1" x14ac:dyDescent="0.25">
      <c r="A2529" s="57"/>
    </row>
    <row r="2530" spans="1:1" x14ac:dyDescent="0.25">
      <c r="A2530" s="57"/>
    </row>
    <row r="2531" spans="1:1" x14ac:dyDescent="0.25">
      <c r="A2531" s="57"/>
    </row>
    <row r="2532" spans="1:1" x14ac:dyDescent="0.25">
      <c r="A2532" s="57"/>
    </row>
    <row r="2533" spans="1:1" x14ac:dyDescent="0.25">
      <c r="A2533" s="57"/>
    </row>
    <row r="2534" spans="1:1" x14ac:dyDescent="0.25">
      <c r="A2534" s="57"/>
    </row>
    <row r="2535" spans="1:1" x14ac:dyDescent="0.25">
      <c r="A2535" s="57"/>
    </row>
    <row r="2536" spans="1:1" x14ac:dyDescent="0.25">
      <c r="A2536" s="57"/>
    </row>
    <row r="2537" spans="1:1" x14ac:dyDescent="0.25">
      <c r="A2537" s="57"/>
    </row>
    <row r="2538" spans="1:1" x14ac:dyDescent="0.25">
      <c r="A2538" s="57"/>
    </row>
    <row r="2539" spans="1:1" x14ac:dyDescent="0.25">
      <c r="A2539" s="57"/>
    </row>
    <row r="2540" spans="1:1" x14ac:dyDescent="0.25">
      <c r="A2540" s="57"/>
    </row>
    <row r="2541" spans="1:1" x14ac:dyDescent="0.25">
      <c r="A2541" s="57"/>
    </row>
    <row r="2542" spans="1:1" x14ac:dyDescent="0.25">
      <c r="A2542" s="57"/>
    </row>
    <row r="2543" spans="1:1" x14ac:dyDescent="0.25">
      <c r="A2543" s="57"/>
    </row>
    <row r="2544" spans="1:1" x14ac:dyDescent="0.25">
      <c r="A2544" s="57"/>
    </row>
    <row r="2545" spans="1:1" x14ac:dyDescent="0.25">
      <c r="A2545" s="57"/>
    </row>
    <row r="2546" spans="1:1" x14ac:dyDescent="0.25">
      <c r="A2546" s="57"/>
    </row>
  </sheetData>
  <sortState ref="E137:E148">
    <sortCondition ref="E137"/>
  </sortState>
  <mergeCells count="36">
    <mergeCell ref="A157:G173"/>
    <mergeCell ref="A131:H131"/>
    <mergeCell ref="B156:C156"/>
    <mergeCell ref="D156:E156"/>
    <mergeCell ref="F156:G156"/>
    <mergeCell ref="A87:H87"/>
    <mergeCell ref="B88:C88"/>
    <mergeCell ref="D88:E88"/>
    <mergeCell ref="F88:G88"/>
    <mergeCell ref="A155:H155"/>
    <mergeCell ref="B95:C95"/>
    <mergeCell ref="D95:E95"/>
    <mergeCell ref="F95:G95"/>
    <mergeCell ref="B132:C132"/>
    <mergeCell ref="D132:E132"/>
    <mergeCell ref="F132:G132"/>
    <mergeCell ref="B103:C103"/>
    <mergeCell ref="D103:E103"/>
    <mergeCell ref="F103:G103"/>
    <mergeCell ref="A133:G153"/>
    <mergeCell ref="A72:H72"/>
    <mergeCell ref="A23:H23"/>
    <mergeCell ref="A102:H102"/>
    <mergeCell ref="A2:H2"/>
    <mergeCell ref="B52:C52"/>
    <mergeCell ref="D52:E52"/>
    <mergeCell ref="F52:G52"/>
    <mergeCell ref="A51:H51"/>
    <mergeCell ref="B24:C24"/>
    <mergeCell ref="D24:E24"/>
    <mergeCell ref="F24:G24"/>
    <mergeCell ref="B21:H22"/>
    <mergeCell ref="B73:C73"/>
    <mergeCell ref="D73:E73"/>
    <mergeCell ref="F73:G73"/>
    <mergeCell ref="A94:H94"/>
  </mergeCells>
  <conditionalFormatting sqref="B6:B21">
    <cfRule type="cellIs" dxfId="14" priority="1" operator="equal">
      <formula>0</formula>
    </cfRule>
  </conditionalFormatting>
  <pageMargins left="0.25" right="0.25" top="0.75" bottom="0.75" header="0.3" footer="0.3"/>
  <pageSetup scale="95" fitToHeight="0" orientation="portrait" r:id="rId1"/>
  <headerFooter>
    <oddFooter>Page &amp;P of &amp;N</oddFooter>
  </headerFooter>
  <rowBreaks count="3" manualBreakCount="3">
    <brk id="49" max="7" man="1"/>
    <brk id="92" max="7" man="1"/>
    <brk id="129"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191"/>
  <sheetViews>
    <sheetView workbookViewId="0"/>
  </sheetViews>
  <sheetFormatPr defaultRowHeight="13.2" x14ac:dyDescent="0.25"/>
  <cols>
    <col min="1" max="1" width="37.44140625" style="60" customWidth="1"/>
    <col min="2" max="2" width="60.5546875" style="60" customWidth="1"/>
    <col min="3" max="16384" width="8.88671875" style="60"/>
  </cols>
  <sheetData>
    <row r="1" spans="1:5" x14ac:dyDescent="0.25">
      <c r="A1" s="78" t="s">
        <v>52</v>
      </c>
      <c r="B1" s="79" t="s">
        <v>1488</v>
      </c>
    </row>
    <row r="2" spans="1:5" x14ac:dyDescent="0.25">
      <c r="A2" s="78" t="s">
        <v>1496</v>
      </c>
      <c r="B2" s="79" t="s">
        <v>1488</v>
      </c>
    </row>
    <row r="3" spans="1:5" x14ac:dyDescent="0.25">
      <c r="A3" s="78" t="s">
        <v>1495</v>
      </c>
      <c r="B3" s="79" t="s">
        <v>1488</v>
      </c>
    </row>
    <row r="4" spans="1:5" x14ac:dyDescent="0.25">
      <c r="A4" s="78" t="s">
        <v>1741</v>
      </c>
      <c r="B4" s="79" t="s">
        <v>1488</v>
      </c>
      <c r="E4" s="59" t="s">
        <v>2148</v>
      </c>
    </row>
    <row r="5" spans="1:5" x14ac:dyDescent="0.25">
      <c r="A5" s="78" t="s">
        <v>1742</v>
      </c>
      <c r="B5" s="79" t="s">
        <v>1488</v>
      </c>
    </row>
    <row r="6" spans="1:5" x14ac:dyDescent="0.25">
      <c r="A6" s="78" t="s">
        <v>1743</v>
      </c>
      <c r="B6" s="79" t="s">
        <v>1488</v>
      </c>
    </row>
    <row r="7" spans="1:5" x14ac:dyDescent="0.25">
      <c r="A7" s="78" t="s">
        <v>1744</v>
      </c>
      <c r="B7" s="79" t="s">
        <v>1488</v>
      </c>
    </row>
    <row r="8" spans="1:5" x14ac:dyDescent="0.25">
      <c r="A8" s="78" t="s">
        <v>2154</v>
      </c>
      <c r="B8" s="79" t="s">
        <v>1488</v>
      </c>
    </row>
    <row r="10" spans="1:5" x14ac:dyDescent="0.25">
      <c r="A10" s="78" t="s">
        <v>1490</v>
      </c>
      <c r="B10" s="79"/>
    </row>
    <row r="11" spans="1:5" x14ac:dyDescent="0.25">
      <c r="A11" s="79" t="s">
        <v>1489</v>
      </c>
      <c r="B11" s="80">
        <v>328</v>
      </c>
    </row>
    <row r="12" spans="1:5" hidden="1" x14ac:dyDescent="0.25">
      <c r="A12" s="79" t="s">
        <v>1653</v>
      </c>
      <c r="B12" s="81">
        <v>34859839417</v>
      </c>
    </row>
    <row r="13" spans="1:5" hidden="1" x14ac:dyDescent="0.25">
      <c r="A13" s="79" t="s">
        <v>1491</v>
      </c>
      <c r="B13" s="80">
        <v>6750069</v>
      </c>
    </row>
    <row r="14" spans="1:5" hidden="1" x14ac:dyDescent="0.25">
      <c r="A14" s="79" t="s">
        <v>1492</v>
      </c>
      <c r="B14" s="80">
        <v>956381</v>
      </c>
    </row>
    <row r="15" spans="1:5" hidden="1" x14ac:dyDescent="0.25">
      <c r="A15" s="79" t="s">
        <v>1493</v>
      </c>
      <c r="B15" s="80">
        <v>5617171</v>
      </c>
    </row>
    <row r="16" spans="1:5" hidden="1" x14ac:dyDescent="0.25">
      <c r="A16" s="79" t="s">
        <v>1494</v>
      </c>
      <c r="B16" s="80">
        <v>928936</v>
      </c>
    </row>
    <row r="17" spans="1:2" hidden="1" x14ac:dyDescent="0.25">
      <c r="A17" s="79" t="s">
        <v>2168</v>
      </c>
      <c r="B17" s="82">
        <v>57</v>
      </c>
    </row>
    <row r="18" spans="1:2" hidden="1" x14ac:dyDescent="0.25">
      <c r="A18" s="79" t="s">
        <v>2151</v>
      </c>
      <c r="B18" s="81">
        <v>476</v>
      </c>
    </row>
    <row r="19" spans="1:2" hidden="1" x14ac:dyDescent="0.25">
      <c r="A19" s="79" t="s">
        <v>1498</v>
      </c>
      <c r="B19" s="80">
        <v>357766</v>
      </c>
    </row>
    <row r="20" spans="1:2" hidden="1" x14ac:dyDescent="0.25">
      <c r="A20" s="79" t="s">
        <v>1497</v>
      </c>
      <c r="B20" s="80">
        <v>22493</v>
      </c>
    </row>
    <row r="21" spans="1:2" hidden="1" x14ac:dyDescent="0.25">
      <c r="A21" s="79" t="s">
        <v>1499</v>
      </c>
      <c r="B21" s="80">
        <v>1647882</v>
      </c>
    </row>
    <row r="22" spans="1:2" hidden="1" x14ac:dyDescent="0.25">
      <c r="A22" s="79" t="s">
        <v>1500</v>
      </c>
      <c r="B22" s="80">
        <v>40904</v>
      </c>
    </row>
    <row r="23" spans="1:2" hidden="1" x14ac:dyDescent="0.25">
      <c r="A23" s="79" t="s">
        <v>1501</v>
      </c>
      <c r="B23" s="80">
        <v>1307161</v>
      </c>
    </row>
    <row r="24" spans="1:2" hidden="1" x14ac:dyDescent="0.25">
      <c r="A24" s="79" t="s">
        <v>1502</v>
      </c>
      <c r="B24" s="80">
        <v>46301</v>
      </c>
    </row>
    <row r="25" spans="1:2" hidden="1" x14ac:dyDescent="0.25">
      <c r="A25" s="79" t="s">
        <v>1503</v>
      </c>
      <c r="B25" s="80">
        <v>2047162</v>
      </c>
    </row>
    <row r="26" spans="1:2" hidden="1" x14ac:dyDescent="0.25">
      <c r="A26" s="79" t="s">
        <v>1504</v>
      </c>
      <c r="B26" s="80">
        <v>125108</v>
      </c>
    </row>
    <row r="27" spans="1:2" hidden="1" x14ac:dyDescent="0.25">
      <c r="A27" s="79" t="s">
        <v>1505</v>
      </c>
      <c r="B27" s="80">
        <v>1703958</v>
      </c>
    </row>
    <row r="28" spans="1:2" hidden="1" x14ac:dyDescent="0.25">
      <c r="A28" s="79" t="s">
        <v>1506</v>
      </c>
      <c r="B28" s="80">
        <v>143051</v>
      </c>
    </row>
    <row r="29" spans="1:2" hidden="1" x14ac:dyDescent="0.25">
      <c r="A29" s="79" t="s">
        <v>1507</v>
      </c>
      <c r="B29" s="80">
        <v>1465737</v>
      </c>
    </row>
    <row r="30" spans="1:2" hidden="1" x14ac:dyDescent="0.25">
      <c r="A30" s="79" t="s">
        <v>1508</v>
      </c>
      <c r="B30" s="80">
        <v>186164</v>
      </c>
    </row>
    <row r="31" spans="1:2" hidden="1" x14ac:dyDescent="0.25">
      <c r="A31" s="79" t="s">
        <v>1509</v>
      </c>
      <c r="B31" s="80">
        <v>1494838</v>
      </c>
    </row>
    <row r="32" spans="1:2" hidden="1" x14ac:dyDescent="0.25">
      <c r="A32" s="79" t="s">
        <v>1510</v>
      </c>
      <c r="B32" s="80">
        <v>302782</v>
      </c>
    </row>
    <row r="33" spans="1:2" hidden="1" x14ac:dyDescent="0.25">
      <c r="A33" s="79" t="s">
        <v>1511</v>
      </c>
      <c r="B33" s="80">
        <v>1028992</v>
      </c>
    </row>
    <row r="34" spans="1:2" hidden="1" x14ac:dyDescent="0.25">
      <c r="A34" s="79" t="s">
        <v>1512</v>
      </c>
      <c r="B34" s="80">
        <v>326910</v>
      </c>
    </row>
    <row r="35" spans="1:2" hidden="1" x14ac:dyDescent="0.25">
      <c r="A35" s="79" t="s">
        <v>1513</v>
      </c>
      <c r="B35" s="80">
        <v>660997</v>
      </c>
    </row>
    <row r="36" spans="1:2" hidden="1" x14ac:dyDescent="0.25">
      <c r="A36" s="79" t="s">
        <v>1514</v>
      </c>
      <c r="B36" s="80">
        <v>298430</v>
      </c>
    </row>
    <row r="37" spans="1:2" hidden="1" x14ac:dyDescent="0.25">
      <c r="A37" s="79" t="s">
        <v>1515</v>
      </c>
      <c r="B37" s="80">
        <v>653101</v>
      </c>
    </row>
    <row r="38" spans="1:2" hidden="1" x14ac:dyDescent="0.25">
      <c r="A38" s="79" t="s">
        <v>1516</v>
      </c>
      <c r="B38" s="80">
        <v>393225</v>
      </c>
    </row>
    <row r="39" spans="1:2" hidden="1" x14ac:dyDescent="0.25">
      <c r="A39" s="79" t="s">
        <v>1517</v>
      </c>
      <c r="B39" s="80">
        <v>122</v>
      </c>
    </row>
    <row r="40" spans="1:2" hidden="1" x14ac:dyDescent="0.25">
      <c r="A40" s="79" t="s">
        <v>1518</v>
      </c>
      <c r="B40" s="80">
        <v>6</v>
      </c>
    </row>
    <row r="41" spans="1:2" hidden="1" x14ac:dyDescent="0.25">
      <c r="A41" s="79" t="s">
        <v>1576</v>
      </c>
      <c r="B41" s="81">
        <v>691015</v>
      </c>
    </row>
    <row r="42" spans="1:2" hidden="1" x14ac:dyDescent="0.25">
      <c r="A42" s="79" t="s">
        <v>1577</v>
      </c>
      <c r="B42" s="81">
        <v>159237</v>
      </c>
    </row>
    <row r="43" spans="1:2" hidden="1" x14ac:dyDescent="0.25">
      <c r="A43" s="79" t="s">
        <v>1519</v>
      </c>
      <c r="B43" s="80">
        <v>1378263</v>
      </c>
    </row>
    <row r="44" spans="1:2" hidden="1" x14ac:dyDescent="0.25">
      <c r="A44" s="79" t="s">
        <v>1520</v>
      </c>
      <c r="B44" s="80">
        <v>190820</v>
      </c>
    </row>
    <row r="45" spans="1:2" hidden="1" x14ac:dyDescent="0.25">
      <c r="A45" s="79" t="s">
        <v>1582</v>
      </c>
      <c r="B45" s="81">
        <v>177138</v>
      </c>
    </row>
    <row r="46" spans="1:2" hidden="1" x14ac:dyDescent="0.25">
      <c r="A46" s="79" t="s">
        <v>1583</v>
      </c>
      <c r="B46" s="81">
        <v>8958</v>
      </c>
    </row>
    <row r="47" spans="1:2" hidden="1" x14ac:dyDescent="0.25">
      <c r="A47" s="79" t="s">
        <v>1580</v>
      </c>
      <c r="B47" s="81">
        <v>465611</v>
      </c>
    </row>
    <row r="48" spans="1:2" hidden="1" x14ac:dyDescent="0.25">
      <c r="A48" s="79" t="s">
        <v>1581</v>
      </c>
      <c r="B48" s="81">
        <v>65590</v>
      </c>
    </row>
    <row r="49" spans="1:2" hidden="1" x14ac:dyDescent="0.25">
      <c r="A49" s="79" t="s">
        <v>1578</v>
      </c>
      <c r="B49" s="81">
        <v>63039</v>
      </c>
    </row>
    <row r="50" spans="1:2" hidden="1" x14ac:dyDescent="0.25">
      <c r="A50" s="79" t="s">
        <v>1579</v>
      </c>
      <c r="B50" s="81">
        <v>5727</v>
      </c>
    </row>
    <row r="51" spans="1:2" hidden="1" x14ac:dyDescent="0.25">
      <c r="A51" s="79" t="s">
        <v>1521</v>
      </c>
      <c r="B51" s="80">
        <v>4842250</v>
      </c>
    </row>
    <row r="52" spans="1:2" hidden="1" x14ac:dyDescent="0.25">
      <c r="A52" s="79" t="s">
        <v>1522</v>
      </c>
      <c r="B52" s="80">
        <v>522261</v>
      </c>
    </row>
    <row r="53" spans="1:2" hidden="1" x14ac:dyDescent="0.25">
      <c r="A53" s="79" t="s">
        <v>1523</v>
      </c>
      <c r="B53" s="80">
        <v>4750400</v>
      </c>
    </row>
    <row r="54" spans="1:2" hidden="1" x14ac:dyDescent="0.25">
      <c r="A54" s="79" t="s">
        <v>1524</v>
      </c>
      <c r="B54" s="80">
        <v>932781</v>
      </c>
    </row>
    <row r="55" spans="1:2" hidden="1" x14ac:dyDescent="0.25">
      <c r="A55" s="79" t="s">
        <v>1590</v>
      </c>
      <c r="B55" s="81">
        <v>5273</v>
      </c>
    </row>
    <row r="56" spans="1:2" hidden="1" x14ac:dyDescent="0.25">
      <c r="A56" s="79" t="s">
        <v>1591</v>
      </c>
      <c r="B56" s="81">
        <v>37455</v>
      </c>
    </row>
    <row r="57" spans="1:2" hidden="1" x14ac:dyDescent="0.25">
      <c r="A57" s="79" t="s">
        <v>1594</v>
      </c>
      <c r="B57" s="81">
        <v>95863</v>
      </c>
    </row>
    <row r="58" spans="1:2" hidden="1" x14ac:dyDescent="0.25">
      <c r="A58" s="79" t="s">
        <v>1595</v>
      </c>
      <c r="B58" s="81">
        <v>8918</v>
      </c>
    </row>
    <row r="59" spans="1:2" hidden="1" x14ac:dyDescent="0.25">
      <c r="A59" s="79" t="s">
        <v>1600</v>
      </c>
      <c r="B59" s="81">
        <v>33954</v>
      </c>
    </row>
    <row r="60" spans="1:2" hidden="1" x14ac:dyDescent="0.25">
      <c r="A60" s="79" t="s">
        <v>1601</v>
      </c>
      <c r="B60" s="81">
        <v>3894</v>
      </c>
    </row>
    <row r="61" spans="1:2" hidden="1" x14ac:dyDescent="0.25">
      <c r="A61" s="79" t="s">
        <v>1592</v>
      </c>
      <c r="B61" s="81">
        <v>57579</v>
      </c>
    </row>
    <row r="62" spans="1:2" hidden="1" x14ac:dyDescent="0.25">
      <c r="A62" s="79" t="s">
        <v>1593</v>
      </c>
      <c r="B62" s="81">
        <v>8083</v>
      </c>
    </row>
    <row r="63" spans="1:2" hidden="1" x14ac:dyDescent="0.25">
      <c r="A63" s="79" t="s">
        <v>2220</v>
      </c>
      <c r="B63" s="81">
        <v>23807</v>
      </c>
    </row>
    <row r="64" spans="1:2" hidden="1" x14ac:dyDescent="0.25">
      <c r="A64" s="79" t="s">
        <v>2225</v>
      </c>
      <c r="B64" s="81">
        <v>7334</v>
      </c>
    </row>
    <row r="65" spans="1:2" hidden="1" x14ac:dyDescent="0.25">
      <c r="A65" s="79" t="s">
        <v>2221</v>
      </c>
      <c r="B65" s="81">
        <v>3271</v>
      </c>
    </row>
    <row r="66" spans="1:2" hidden="1" x14ac:dyDescent="0.25">
      <c r="A66" s="79" t="s">
        <v>2226</v>
      </c>
      <c r="B66" s="81">
        <v>330</v>
      </c>
    </row>
    <row r="67" spans="1:2" hidden="1" x14ac:dyDescent="0.25">
      <c r="A67" s="79" t="s">
        <v>2219</v>
      </c>
      <c r="B67" s="81">
        <v>6563</v>
      </c>
    </row>
    <row r="68" spans="1:2" hidden="1" x14ac:dyDescent="0.25">
      <c r="A68" s="79" t="s">
        <v>2224</v>
      </c>
      <c r="B68" s="81">
        <v>11292</v>
      </c>
    </row>
    <row r="69" spans="1:2" hidden="1" x14ac:dyDescent="0.25">
      <c r="A69" s="79" t="s">
        <v>2217</v>
      </c>
      <c r="B69" s="81">
        <v>2824</v>
      </c>
    </row>
    <row r="70" spans="1:2" hidden="1" x14ac:dyDescent="0.25">
      <c r="A70" s="79" t="s">
        <v>2222</v>
      </c>
      <c r="B70" s="81">
        <v>21050</v>
      </c>
    </row>
    <row r="71" spans="1:2" hidden="1" x14ac:dyDescent="0.25">
      <c r="A71" s="79" t="s">
        <v>1598</v>
      </c>
      <c r="B71" s="81">
        <v>50268</v>
      </c>
    </row>
    <row r="72" spans="1:2" hidden="1" x14ac:dyDescent="0.25">
      <c r="A72" s="79" t="s">
        <v>1599</v>
      </c>
      <c r="B72" s="81">
        <v>242974</v>
      </c>
    </row>
    <row r="73" spans="1:2" hidden="1" x14ac:dyDescent="0.25">
      <c r="A73" s="79" t="s">
        <v>1588</v>
      </c>
      <c r="B73" s="81">
        <v>56446</v>
      </c>
    </row>
    <row r="74" spans="1:2" hidden="1" x14ac:dyDescent="0.25">
      <c r="A74" s="79" t="s">
        <v>1589</v>
      </c>
      <c r="B74" s="81">
        <v>221180</v>
      </c>
    </row>
    <row r="75" spans="1:2" hidden="1" x14ac:dyDescent="0.25">
      <c r="A75" s="79" t="s">
        <v>1586</v>
      </c>
      <c r="B75" s="81">
        <v>315335</v>
      </c>
    </row>
    <row r="76" spans="1:2" hidden="1" x14ac:dyDescent="0.25">
      <c r="A76" s="79" t="s">
        <v>1587</v>
      </c>
      <c r="B76" s="81">
        <v>56443</v>
      </c>
    </row>
    <row r="77" spans="1:2" hidden="1" x14ac:dyDescent="0.25">
      <c r="A77" s="79" t="s">
        <v>2218</v>
      </c>
      <c r="B77" s="81">
        <v>9</v>
      </c>
    </row>
    <row r="78" spans="1:2" hidden="1" x14ac:dyDescent="0.25">
      <c r="A78" s="79" t="s">
        <v>2223</v>
      </c>
      <c r="B78" s="81">
        <v>15</v>
      </c>
    </row>
    <row r="79" spans="1:2" hidden="1" x14ac:dyDescent="0.25">
      <c r="A79" s="79" t="s">
        <v>1525</v>
      </c>
      <c r="B79" s="80">
        <v>16544</v>
      </c>
    </row>
    <row r="80" spans="1:2" hidden="1" x14ac:dyDescent="0.25">
      <c r="A80" s="79" t="s">
        <v>1526</v>
      </c>
      <c r="B80" s="80">
        <v>59185</v>
      </c>
    </row>
    <row r="81" spans="1:2" hidden="1" x14ac:dyDescent="0.25">
      <c r="A81" s="79" t="s">
        <v>1596</v>
      </c>
      <c r="B81" s="81">
        <v>11516472</v>
      </c>
    </row>
    <row r="82" spans="1:2" hidden="1" x14ac:dyDescent="0.25">
      <c r="A82" s="79" t="s">
        <v>1597</v>
      </c>
      <c r="B82" s="81">
        <v>1149522</v>
      </c>
    </row>
    <row r="83" spans="1:2" hidden="1" x14ac:dyDescent="0.25">
      <c r="A83" s="79" t="s">
        <v>1584</v>
      </c>
      <c r="B83" s="81">
        <v>164507</v>
      </c>
    </row>
    <row r="84" spans="1:2" hidden="1" x14ac:dyDescent="0.25">
      <c r="A84" s="79" t="s">
        <v>1585</v>
      </c>
      <c r="B84" s="81">
        <v>54086</v>
      </c>
    </row>
    <row r="85" spans="1:2" hidden="1" x14ac:dyDescent="0.25">
      <c r="A85" s="79" t="s">
        <v>2227</v>
      </c>
      <c r="B85" s="81">
        <v>5036</v>
      </c>
    </row>
    <row r="86" spans="1:2" hidden="1" x14ac:dyDescent="0.25">
      <c r="A86" s="79" t="s">
        <v>2228</v>
      </c>
      <c r="B86" s="81">
        <v>2814</v>
      </c>
    </row>
    <row r="87" spans="1:2" hidden="1" x14ac:dyDescent="0.25">
      <c r="A87" s="79" t="s">
        <v>2229</v>
      </c>
      <c r="B87" s="81">
        <v>13965</v>
      </c>
    </row>
    <row r="88" spans="1:2" hidden="1" x14ac:dyDescent="0.25">
      <c r="A88" s="79" t="s">
        <v>2230</v>
      </c>
      <c r="B88" s="81">
        <v>799</v>
      </c>
    </row>
    <row r="89" spans="1:2" hidden="1" x14ac:dyDescent="0.25">
      <c r="A89" s="79" t="s">
        <v>1527</v>
      </c>
      <c r="B89" s="80">
        <v>2116800</v>
      </c>
    </row>
    <row r="90" spans="1:2" hidden="1" x14ac:dyDescent="0.25">
      <c r="A90" s="79" t="s">
        <v>1528</v>
      </c>
      <c r="B90" s="80">
        <v>898864</v>
      </c>
    </row>
    <row r="91" spans="1:2" hidden="1" x14ac:dyDescent="0.25">
      <c r="A91" s="79" t="s">
        <v>1604</v>
      </c>
      <c r="B91" s="81">
        <v>447627</v>
      </c>
    </row>
    <row r="92" spans="1:2" hidden="1" x14ac:dyDescent="0.25">
      <c r="A92" s="79" t="s">
        <v>2132</v>
      </c>
      <c r="B92" s="81">
        <v>1052663</v>
      </c>
    </row>
    <row r="93" spans="1:2" hidden="1" x14ac:dyDescent="0.25">
      <c r="A93" s="79" t="s">
        <v>2134</v>
      </c>
      <c r="B93" s="81">
        <v>41559</v>
      </c>
    </row>
    <row r="94" spans="1:2" hidden="1" x14ac:dyDescent="0.25">
      <c r="A94" s="79" t="s">
        <v>2133</v>
      </c>
      <c r="B94" s="81">
        <v>4550</v>
      </c>
    </row>
    <row r="95" spans="1:2" hidden="1" x14ac:dyDescent="0.25">
      <c r="A95" s="79" t="s">
        <v>2135</v>
      </c>
      <c r="B95" s="81">
        <v>313</v>
      </c>
    </row>
    <row r="96" spans="1:2" hidden="1" x14ac:dyDescent="0.25">
      <c r="A96" s="79" t="s">
        <v>1605</v>
      </c>
      <c r="B96" s="81">
        <v>41677</v>
      </c>
    </row>
    <row r="97" spans="1:2" hidden="1" x14ac:dyDescent="0.25">
      <c r="A97" s="79" t="s">
        <v>1606</v>
      </c>
      <c r="B97" s="81">
        <v>3432622</v>
      </c>
    </row>
    <row r="98" spans="1:2" hidden="1" x14ac:dyDescent="0.25">
      <c r="A98" s="79" t="s">
        <v>1607</v>
      </c>
      <c r="B98" s="81">
        <v>359812</v>
      </c>
    </row>
    <row r="99" spans="1:2" hidden="1" x14ac:dyDescent="0.25">
      <c r="A99" s="79" t="s">
        <v>1602</v>
      </c>
      <c r="B99" s="81">
        <v>5313454</v>
      </c>
    </row>
    <row r="100" spans="1:2" hidden="1" x14ac:dyDescent="0.25">
      <c r="A100" s="79" t="s">
        <v>1603</v>
      </c>
      <c r="B100" s="81">
        <v>543149</v>
      </c>
    </row>
    <row r="101" spans="1:2" hidden="1" x14ac:dyDescent="0.25">
      <c r="A101" s="79" t="s">
        <v>1734</v>
      </c>
      <c r="B101" s="81">
        <v>247514</v>
      </c>
    </row>
    <row r="102" spans="1:2" hidden="1" x14ac:dyDescent="0.25">
      <c r="A102" s="79" t="s">
        <v>1735</v>
      </c>
      <c r="B102" s="81">
        <v>10614371</v>
      </c>
    </row>
    <row r="103" spans="1:2" hidden="1" x14ac:dyDescent="0.25">
      <c r="A103" s="79" t="s">
        <v>1736</v>
      </c>
      <c r="B103" s="81">
        <v>1505831</v>
      </c>
    </row>
    <row r="104" spans="1:2" hidden="1" x14ac:dyDescent="0.25">
      <c r="A104" s="79" t="s">
        <v>1737</v>
      </c>
      <c r="B104" s="81">
        <v>91148</v>
      </c>
    </row>
    <row r="105" spans="1:2" hidden="1" x14ac:dyDescent="0.25">
      <c r="A105" s="79" t="s">
        <v>1738</v>
      </c>
      <c r="B105" s="81">
        <v>1586718</v>
      </c>
    </row>
    <row r="106" spans="1:2" hidden="1" x14ac:dyDescent="0.25">
      <c r="A106" s="79" t="s">
        <v>1740</v>
      </c>
      <c r="B106" s="81">
        <v>207508</v>
      </c>
    </row>
    <row r="107" spans="1:2" ht="14.4" hidden="1" x14ac:dyDescent="0.3">
      <c r="A107"/>
      <c r="B107"/>
    </row>
    <row r="108" spans="1:2" hidden="1" x14ac:dyDescent="0.25"/>
    <row r="109" spans="1:2" hidden="1" x14ac:dyDescent="0.25"/>
    <row r="110" spans="1:2" hidden="1" x14ac:dyDescent="0.25"/>
    <row r="111" spans="1:2" hidden="1" x14ac:dyDescent="0.25"/>
    <row r="112" spans="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spans="4:10" hidden="1" x14ac:dyDescent="0.25"/>
    <row r="162" spans="4:10" hidden="1" x14ac:dyDescent="0.25"/>
    <row r="163" spans="4:10" hidden="1" x14ac:dyDescent="0.25"/>
    <row r="164" spans="4:10" hidden="1" x14ac:dyDescent="0.25"/>
    <row r="165" spans="4:10" hidden="1" x14ac:dyDescent="0.25"/>
    <row r="166" spans="4:10" hidden="1" x14ac:dyDescent="0.25"/>
    <row r="167" spans="4:10" hidden="1" x14ac:dyDescent="0.25"/>
    <row r="168" spans="4:10" hidden="1" x14ac:dyDescent="0.25"/>
    <row r="169" spans="4:10" hidden="1" x14ac:dyDescent="0.25"/>
    <row r="170" spans="4:10" hidden="1" x14ac:dyDescent="0.25"/>
    <row r="171" spans="4:10" hidden="1" x14ac:dyDescent="0.25"/>
    <row r="172" spans="4:10" hidden="1" x14ac:dyDescent="0.25"/>
    <row r="173" spans="4:10" hidden="1" x14ac:dyDescent="0.25"/>
    <row r="175" spans="4:10" x14ac:dyDescent="0.25">
      <c r="D175" s="88" t="s">
        <v>2253</v>
      </c>
      <c r="E175" s="88"/>
      <c r="F175" s="88"/>
      <c r="G175" s="88"/>
      <c r="H175" s="88"/>
      <c r="I175" s="88"/>
      <c r="J175" s="88"/>
    </row>
    <row r="176" spans="4:10" x14ac:dyDescent="0.25">
      <c r="D176" s="88"/>
      <c r="E176" s="88"/>
      <c r="F176" s="88"/>
      <c r="G176" s="88"/>
      <c r="H176" s="88"/>
      <c r="I176" s="88"/>
      <c r="J176" s="88"/>
    </row>
    <row r="177" spans="4:10" x14ac:dyDescent="0.25">
      <c r="D177" s="88"/>
      <c r="E177" s="88"/>
      <c r="F177" s="88"/>
      <c r="G177" s="88"/>
      <c r="H177" s="88"/>
      <c r="I177" s="88"/>
      <c r="J177" s="88"/>
    </row>
    <row r="178" spans="4:10" ht="10.199999999999999" customHeight="1" x14ac:dyDescent="0.25">
      <c r="D178" s="36"/>
      <c r="E178" s="36"/>
      <c r="F178" s="36"/>
      <c r="G178" s="36"/>
      <c r="H178" s="36"/>
      <c r="I178" s="36"/>
      <c r="J178" s="36"/>
    </row>
    <row r="179" spans="4:10" x14ac:dyDescent="0.25">
      <c r="D179" s="88" t="s">
        <v>2145</v>
      </c>
      <c r="E179" s="88"/>
      <c r="F179" s="88"/>
      <c r="G179" s="88"/>
      <c r="H179" s="88"/>
      <c r="I179" s="88"/>
      <c r="J179" s="88"/>
    </row>
    <row r="180" spans="4:10" x14ac:dyDescent="0.25">
      <c r="D180" s="88"/>
      <c r="E180" s="88"/>
      <c r="F180" s="88"/>
      <c r="G180" s="88"/>
      <c r="H180" s="88"/>
      <c r="I180" s="88"/>
      <c r="J180" s="88"/>
    </row>
    <row r="181" spans="4:10" x14ac:dyDescent="0.25">
      <c r="D181" s="88"/>
      <c r="E181" s="88"/>
      <c r="F181" s="88"/>
      <c r="G181" s="88"/>
      <c r="H181" s="88"/>
      <c r="I181" s="88"/>
      <c r="J181" s="88"/>
    </row>
    <row r="182" spans="4:10" x14ac:dyDescent="0.25">
      <c r="D182" s="88"/>
      <c r="E182" s="88"/>
      <c r="F182" s="88"/>
      <c r="G182" s="88"/>
      <c r="H182" s="88"/>
      <c r="I182" s="88"/>
      <c r="J182" s="88"/>
    </row>
    <row r="183" spans="4:10" ht="11.4" customHeight="1" x14ac:dyDescent="0.25">
      <c r="D183" s="36"/>
      <c r="E183" s="36"/>
      <c r="F183" s="36"/>
      <c r="G183" s="36"/>
      <c r="H183" s="36"/>
      <c r="I183" s="36"/>
      <c r="J183" s="36"/>
    </row>
    <row r="184" spans="4:10" x14ac:dyDescent="0.25">
      <c r="D184" s="88" t="s">
        <v>2146</v>
      </c>
      <c r="E184" s="88"/>
      <c r="F184" s="88"/>
      <c r="G184" s="88"/>
      <c r="H184" s="88"/>
      <c r="I184" s="88"/>
      <c r="J184" s="88"/>
    </row>
    <row r="185" spans="4:10" x14ac:dyDescent="0.25">
      <c r="D185" s="88"/>
      <c r="E185" s="88"/>
      <c r="F185" s="88"/>
      <c r="G185" s="88"/>
      <c r="H185" s="88"/>
      <c r="I185" s="88"/>
      <c r="J185" s="88"/>
    </row>
    <row r="186" spans="4:10" x14ac:dyDescent="0.25">
      <c r="D186" s="88"/>
      <c r="E186" s="88"/>
      <c r="F186" s="88"/>
      <c r="G186" s="88"/>
      <c r="H186" s="88"/>
      <c r="I186" s="88"/>
      <c r="J186" s="88"/>
    </row>
    <row r="187" spans="4:10" x14ac:dyDescent="0.25">
      <c r="D187" s="88" t="s">
        <v>2147</v>
      </c>
      <c r="E187" s="88"/>
      <c r="F187" s="88"/>
      <c r="G187" s="88"/>
      <c r="H187" s="88"/>
      <c r="I187" s="88"/>
      <c r="J187" s="88"/>
    </row>
    <row r="188" spans="4:10" x14ac:dyDescent="0.25">
      <c r="D188" s="88"/>
      <c r="E188" s="88"/>
      <c r="F188" s="88"/>
      <c r="G188" s="88"/>
      <c r="H188" s="88"/>
      <c r="I188" s="88"/>
      <c r="J188" s="88"/>
    </row>
    <row r="189" spans="4:10" x14ac:dyDescent="0.25">
      <c r="D189" s="88"/>
      <c r="E189" s="88"/>
      <c r="F189" s="88"/>
      <c r="G189" s="88"/>
      <c r="H189" s="88"/>
      <c r="I189" s="88"/>
      <c r="J189" s="88"/>
    </row>
    <row r="190" spans="4:10" x14ac:dyDescent="0.25">
      <c r="D190" s="88"/>
      <c r="E190" s="88"/>
      <c r="F190" s="88"/>
      <c r="G190" s="88"/>
      <c r="H190" s="88"/>
      <c r="I190" s="88"/>
      <c r="J190" s="88"/>
    </row>
    <row r="191" spans="4:10" x14ac:dyDescent="0.25">
      <c r="D191" s="88"/>
      <c r="E191" s="88"/>
      <c r="F191" s="88"/>
      <c r="G191" s="88"/>
      <c r="H191" s="88"/>
      <c r="I191" s="88"/>
      <c r="J191" s="88"/>
    </row>
  </sheetData>
  <mergeCells count="4">
    <mergeCell ref="D184:J186"/>
    <mergeCell ref="D187:J191"/>
    <mergeCell ref="D175:J177"/>
    <mergeCell ref="D179:J182"/>
  </mergeCells>
  <pageMargins left="0.7" right="0.7" top="0.75" bottom="0.75" header="0.3" footer="0.3"/>
  <pageSetup scale="92"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N329"/>
  <sheetViews>
    <sheetView workbookViewId="0">
      <pane xSplit="3" ySplit="1" topLeftCell="D2" activePane="bottomRight" state="frozen"/>
      <selection pane="topRight" activeCell="D1" sqref="D1"/>
      <selection pane="bottomLeft" activeCell="A2" sqref="A2"/>
      <selection pane="bottomRight"/>
    </sheetView>
  </sheetViews>
  <sheetFormatPr defaultRowHeight="13.2" x14ac:dyDescent="0.25"/>
  <cols>
    <col min="1" max="1" width="11" style="60" bestFit="1" customWidth="1"/>
    <col min="2" max="2" width="8.33203125" style="60" bestFit="1" customWidth="1"/>
    <col min="3" max="3" width="61.33203125" style="60" bestFit="1" customWidth="1"/>
    <col min="4" max="4" width="16.109375" style="60" bestFit="1" customWidth="1"/>
    <col min="5" max="5" width="30.5546875" style="60" bestFit="1" customWidth="1"/>
    <col min="6" max="6" width="24.109375" style="60" bestFit="1" customWidth="1"/>
    <col min="7" max="7" width="32" style="60" bestFit="1" customWidth="1"/>
    <col min="8" max="8" width="20.6640625" style="60" bestFit="1" customWidth="1"/>
    <col min="9" max="9" width="13.6640625" style="60" bestFit="1" customWidth="1"/>
    <col min="10" max="10" width="17.88671875" style="60" bestFit="1" customWidth="1"/>
    <col min="11" max="11" width="21.44140625" style="60" bestFit="1" customWidth="1"/>
    <col min="12" max="12" width="14.77734375" style="60" bestFit="1" customWidth="1"/>
    <col min="13" max="13" width="14.44140625" style="60" bestFit="1" customWidth="1"/>
    <col min="14" max="14" width="12.109375" style="60" bestFit="1" customWidth="1"/>
    <col min="15" max="15" width="140.109375" style="60" bestFit="1" customWidth="1"/>
    <col min="16" max="16" width="18.33203125" style="60" hidden="1" customWidth="1"/>
    <col min="17" max="17" width="21" style="60" hidden="1" customWidth="1"/>
    <col min="18" max="18" width="24.109375" style="60" hidden="1" customWidth="1"/>
    <col min="19" max="19" width="24.33203125" style="60" bestFit="1" customWidth="1"/>
    <col min="20" max="20" width="10.77734375" style="60" bestFit="1" customWidth="1"/>
    <col min="21" max="21" width="9" style="60" bestFit="1" customWidth="1"/>
    <col min="22" max="22" width="8.109375" style="60" bestFit="1" customWidth="1"/>
    <col min="23" max="30" width="10.109375" style="60" bestFit="1" customWidth="1"/>
    <col min="31" max="31" width="8.109375" style="60" bestFit="1" customWidth="1"/>
    <col min="32" max="32" width="12.109375" style="60" bestFit="1" customWidth="1"/>
    <col min="33" max="33" width="12.88671875" style="60" bestFit="1" customWidth="1"/>
    <col min="34" max="34" width="17.77734375" style="60" bestFit="1" customWidth="1"/>
    <col min="35" max="35" width="6.5546875" style="60" bestFit="1" customWidth="1"/>
    <col min="36" max="36" width="7.88671875" style="60" bestFit="1" customWidth="1"/>
    <col min="37" max="37" width="19.44140625" style="60" bestFit="1" customWidth="1"/>
    <col min="38" max="38" width="10.77734375" style="60" bestFit="1" customWidth="1"/>
    <col min="39" max="39" width="14" style="60" bestFit="1" customWidth="1"/>
    <col min="40" max="40" width="6.5546875" style="60" bestFit="1" customWidth="1"/>
    <col min="41" max="41" width="10.5546875" style="60" bestFit="1" customWidth="1"/>
    <col min="42" max="42" width="21" style="60" bestFit="1" customWidth="1"/>
    <col min="43" max="43" width="4.77734375" style="60" bestFit="1" customWidth="1"/>
    <col min="44" max="44" width="19.33203125" style="60" bestFit="1" customWidth="1"/>
    <col min="45" max="45" width="12.33203125" style="60" bestFit="1" customWidth="1"/>
    <col min="46" max="46" width="6.21875" style="60" bestFit="1" customWidth="1"/>
    <col min="47" max="47" width="16.5546875" style="60" bestFit="1" customWidth="1"/>
    <col min="48" max="48" width="9.6640625" style="60" bestFit="1" customWidth="1"/>
    <col min="49" max="49" width="14.6640625" style="60" bestFit="1" customWidth="1"/>
    <col min="50" max="50" width="14.88671875" style="60" bestFit="1" customWidth="1"/>
    <col min="51" max="51" width="7.6640625" style="60" bestFit="1" customWidth="1"/>
    <col min="52" max="52" width="10.77734375" style="60" bestFit="1" customWidth="1"/>
    <col min="53" max="53" width="18.21875" style="60" bestFit="1" customWidth="1"/>
    <col min="54" max="54" width="4.5546875" style="60" bestFit="1" customWidth="1"/>
    <col min="55" max="55" width="21.109375" style="60" bestFit="1" customWidth="1"/>
    <col min="56" max="57" width="8.77734375" style="60" bestFit="1" customWidth="1"/>
    <col min="58" max="58" width="11.33203125" style="60" bestFit="1" customWidth="1"/>
    <col min="59" max="59" width="15.5546875" style="60" bestFit="1" customWidth="1"/>
    <col min="60" max="60" width="7" style="60" bestFit="1" customWidth="1"/>
    <col min="61" max="61" width="14.5546875" style="60" bestFit="1" customWidth="1"/>
    <col min="62" max="62" width="7.77734375" style="60" bestFit="1" customWidth="1"/>
    <col min="63" max="63" width="8.77734375" style="60" bestFit="1" customWidth="1"/>
    <col min="64" max="64" width="7.6640625" style="60" bestFit="1" customWidth="1"/>
    <col min="65" max="65" width="7.21875" style="60" bestFit="1" customWidth="1"/>
    <col min="66" max="66" width="12.77734375" style="60" bestFit="1" customWidth="1"/>
    <col min="67" max="67" width="11" style="60" bestFit="1" customWidth="1"/>
    <col min="68" max="68" width="15.88671875" style="60" bestFit="1" customWidth="1"/>
    <col min="69" max="75" width="12.109375" style="60" bestFit="1" customWidth="1"/>
    <col min="76" max="76" width="10.109375" style="60" bestFit="1" customWidth="1"/>
    <col min="77" max="77" width="14.21875" style="60" bestFit="1" customWidth="1"/>
    <col min="78" max="78" width="12.109375" style="60" bestFit="1" customWidth="1"/>
    <col min="79" max="79" width="15" style="60" bestFit="1" customWidth="1"/>
    <col min="80" max="80" width="17.77734375" style="60" bestFit="1" customWidth="1"/>
    <col min="81" max="81" width="7.44140625" style="60" bestFit="1" customWidth="1"/>
    <col min="82" max="82" width="9.88671875" style="60" bestFit="1" customWidth="1"/>
    <col min="83" max="83" width="12.77734375" style="60" bestFit="1" customWidth="1"/>
    <col min="84" max="84" width="16" style="60" bestFit="1" customWidth="1"/>
    <col min="85" max="85" width="8" style="60" bestFit="1" customWidth="1"/>
    <col min="86" max="86" width="20.109375" style="60" bestFit="1" customWidth="1"/>
    <col min="87" max="87" width="12.5546875" style="60" bestFit="1" customWidth="1"/>
    <col min="88" max="88" width="23.109375" style="60" bestFit="1" customWidth="1"/>
    <col min="89" max="89" width="6.77734375" style="60" bestFit="1" customWidth="1"/>
    <col min="90" max="90" width="21.44140625" style="60" bestFit="1" customWidth="1"/>
    <col min="91" max="91" width="8.21875" style="60" bestFit="1" customWidth="1"/>
    <col min="92" max="92" width="18.6640625" style="60" bestFit="1" customWidth="1"/>
    <col min="93" max="93" width="16.88671875" style="60" bestFit="1" customWidth="1"/>
    <col min="94" max="94" width="9.44140625" style="60" bestFit="1" customWidth="1"/>
    <col min="95" max="95" width="12.77734375" style="60" bestFit="1" customWidth="1"/>
    <col min="96" max="96" width="11.6640625" style="60" bestFit="1" customWidth="1"/>
    <col min="97" max="97" width="14.44140625" style="60" bestFit="1" customWidth="1"/>
    <col min="98" max="98" width="16.6640625" style="60" bestFit="1" customWidth="1"/>
    <col min="99" max="99" width="20.21875" style="60" bestFit="1" customWidth="1"/>
    <col min="100" max="100" width="6.5546875" style="60" bestFit="1" customWidth="1"/>
    <col min="101" max="101" width="23.21875" style="60" bestFit="1" customWidth="1"/>
    <col min="102" max="103" width="10.77734375" style="60" bestFit="1" customWidth="1"/>
    <col min="104" max="104" width="13.44140625" style="60" bestFit="1" customWidth="1"/>
    <col min="105" max="105" width="17.6640625" style="60" bestFit="1" customWidth="1"/>
    <col min="106" max="106" width="9" style="60" bestFit="1" customWidth="1"/>
    <col min="107" max="107" width="16.5546875" style="60" bestFit="1" customWidth="1"/>
    <col min="108" max="108" width="16.77734375" style="60" bestFit="1" customWidth="1"/>
    <col min="109" max="109" width="10.77734375" style="60" bestFit="1" customWidth="1"/>
    <col min="110" max="110" width="8.6640625" style="60" bestFit="1" customWidth="1"/>
    <col min="111" max="111" width="9.21875" style="60" bestFit="1" customWidth="1"/>
    <col min="112" max="112" width="8.21875" style="60" bestFit="1" customWidth="1"/>
    <col min="113" max="113" width="20" style="60" bestFit="1" customWidth="1"/>
    <col min="114" max="114" width="12.88671875" style="60" bestFit="1" customWidth="1"/>
    <col min="115" max="115" width="16.44140625" style="60" bestFit="1" customWidth="1"/>
    <col min="116" max="116" width="10.21875" style="60" bestFit="1" customWidth="1"/>
    <col min="117" max="117" width="18.5546875" style="60" bestFit="1" customWidth="1"/>
    <col min="118" max="118" width="12.21875" style="60" bestFit="1" customWidth="1"/>
    <col min="119" max="16384" width="8.88671875" style="60"/>
  </cols>
  <sheetData>
    <row r="1" spans="1:118" x14ac:dyDescent="0.25">
      <c r="A1" s="60" t="s">
        <v>1654</v>
      </c>
      <c r="B1" s="60" t="s">
        <v>0</v>
      </c>
      <c r="C1" s="60" t="s">
        <v>52</v>
      </c>
      <c r="D1" s="60" t="s">
        <v>53</v>
      </c>
      <c r="E1" s="60" t="s">
        <v>2023</v>
      </c>
      <c r="F1" s="60" t="s">
        <v>2212</v>
      </c>
      <c r="G1" s="60" t="s">
        <v>54</v>
      </c>
      <c r="H1" s="60" t="s">
        <v>55</v>
      </c>
      <c r="I1" s="60" t="s">
        <v>56</v>
      </c>
      <c r="J1" s="60" t="s">
        <v>57</v>
      </c>
      <c r="K1" s="60" t="s">
        <v>58</v>
      </c>
      <c r="L1" s="60" t="s">
        <v>2143</v>
      </c>
      <c r="M1" s="60" t="s">
        <v>2024</v>
      </c>
      <c r="N1" s="60" t="s">
        <v>2025</v>
      </c>
      <c r="O1" s="60" t="s">
        <v>59</v>
      </c>
      <c r="P1" s="60" t="s">
        <v>60</v>
      </c>
      <c r="Q1" s="60" t="s">
        <v>61</v>
      </c>
      <c r="R1" s="60" t="s">
        <v>62</v>
      </c>
      <c r="S1" s="60" t="s">
        <v>63</v>
      </c>
      <c r="T1" s="60" t="s">
        <v>1</v>
      </c>
      <c r="U1" s="60" t="s">
        <v>2</v>
      </c>
      <c r="V1" s="60" t="s">
        <v>2150</v>
      </c>
      <c r="W1" s="60" t="s">
        <v>3</v>
      </c>
      <c r="X1" s="60" t="s">
        <v>4</v>
      </c>
      <c r="Y1" s="60" t="s">
        <v>5</v>
      </c>
      <c r="Z1" s="60" t="s">
        <v>6</v>
      </c>
      <c r="AA1" s="60" t="s">
        <v>7</v>
      </c>
      <c r="AB1" s="60" t="s">
        <v>8</v>
      </c>
      <c r="AC1" s="60" t="s">
        <v>9</v>
      </c>
      <c r="AD1" s="60" t="s">
        <v>10</v>
      </c>
      <c r="AE1" s="60" t="s">
        <v>11</v>
      </c>
      <c r="AF1" s="60" t="s">
        <v>12</v>
      </c>
      <c r="AG1" s="60" t="s">
        <v>13</v>
      </c>
      <c r="AH1" s="60" t="s">
        <v>1575</v>
      </c>
      <c r="AI1" s="60" t="s">
        <v>14</v>
      </c>
      <c r="AJ1" s="60" t="s">
        <v>15</v>
      </c>
      <c r="AK1" s="60" t="s">
        <v>1544</v>
      </c>
      <c r="AL1" s="60" t="s">
        <v>1545</v>
      </c>
      <c r="AM1" s="60" t="s">
        <v>1546</v>
      </c>
      <c r="AN1" s="60" t="s">
        <v>17</v>
      </c>
      <c r="AO1" s="60" t="s">
        <v>1547</v>
      </c>
      <c r="AP1" s="60" t="s">
        <v>1548</v>
      </c>
      <c r="AQ1" s="60" t="s">
        <v>20</v>
      </c>
      <c r="AR1" s="60" t="s">
        <v>1549</v>
      </c>
      <c r="AS1" s="60" t="s">
        <v>1550</v>
      </c>
      <c r="AT1" s="60" t="s">
        <v>2170</v>
      </c>
      <c r="AU1" s="60" t="s">
        <v>2171</v>
      </c>
      <c r="AV1" s="60" t="s">
        <v>1551</v>
      </c>
      <c r="AW1" s="60" t="s">
        <v>1552</v>
      </c>
      <c r="AX1" s="60" t="s">
        <v>2172</v>
      </c>
      <c r="AY1" s="60" t="s">
        <v>1553</v>
      </c>
      <c r="AZ1" s="60" t="s">
        <v>1554</v>
      </c>
      <c r="BA1" s="60" t="s">
        <v>2173</v>
      </c>
      <c r="BB1" s="60" t="s">
        <v>2174</v>
      </c>
      <c r="BC1" s="60" t="s">
        <v>1555</v>
      </c>
      <c r="BD1" s="60" t="s">
        <v>1556</v>
      </c>
      <c r="BE1" s="60" t="s">
        <v>31</v>
      </c>
      <c r="BF1" s="60" t="s">
        <v>1557</v>
      </c>
      <c r="BG1" s="60" t="s">
        <v>1558</v>
      </c>
      <c r="BH1" s="60" t="s">
        <v>2127</v>
      </c>
      <c r="BI1" s="60" t="s">
        <v>2128</v>
      </c>
      <c r="BJ1" s="60" t="s">
        <v>1745</v>
      </c>
      <c r="BK1" s="60" t="s">
        <v>1727</v>
      </c>
      <c r="BL1" s="60" t="s">
        <v>1728</v>
      </c>
      <c r="BM1" s="60" t="s">
        <v>1729</v>
      </c>
      <c r="BN1" s="60" t="s">
        <v>34</v>
      </c>
      <c r="BO1" s="60" t="s">
        <v>35</v>
      </c>
      <c r="BP1" s="60" t="s">
        <v>2166</v>
      </c>
      <c r="BQ1" s="60" t="s">
        <v>36</v>
      </c>
      <c r="BR1" s="60" t="s">
        <v>37</v>
      </c>
      <c r="BS1" s="60" t="s">
        <v>38</v>
      </c>
      <c r="BT1" s="60" t="s">
        <v>39</v>
      </c>
      <c r="BU1" s="60" t="s">
        <v>40</v>
      </c>
      <c r="BV1" s="60" t="s">
        <v>41</v>
      </c>
      <c r="BW1" s="60" t="s">
        <v>42</v>
      </c>
      <c r="BX1" s="60" t="s">
        <v>43</v>
      </c>
      <c r="BY1" s="60" t="s">
        <v>44</v>
      </c>
      <c r="BZ1" s="60" t="s">
        <v>45</v>
      </c>
      <c r="CA1" s="60" t="s">
        <v>46</v>
      </c>
      <c r="CB1" s="60" t="s">
        <v>1559</v>
      </c>
      <c r="CC1" s="60" t="s">
        <v>47</v>
      </c>
      <c r="CD1" s="60" t="s">
        <v>48</v>
      </c>
      <c r="CE1" s="60" t="s">
        <v>1560</v>
      </c>
      <c r="CF1" s="60" t="s">
        <v>1561</v>
      </c>
      <c r="CG1" s="60" t="s">
        <v>49</v>
      </c>
      <c r="CH1" s="60" t="s">
        <v>1562</v>
      </c>
      <c r="CI1" s="60" t="s">
        <v>1563</v>
      </c>
      <c r="CJ1" s="60" t="s">
        <v>1564</v>
      </c>
      <c r="CK1" s="60" t="s">
        <v>50</v>
      </c>
      <c r="CL1" s="60" t="s">
        <v>1565</v>
      </c>
      <c r="CM1" s="60" t="s">
        <v>2175</v>
      </c>
      <c r="CN1" s="60" t="s">
        <v>2176</v>
      </c>
      <c r="CO1" s="60" t="s">
        <v>2177</v>
      </c>
      <c r="CP1" s="60" t="s">
        <v>1566</v>
      </c>
      <c r="CQ1" s="60" t="s">
        <v>1567</v>
      </c>
      <c r="CR1" s="60" t="s">
        <v>1568</v>
      </c>
      <c r="CS1" s="60" t="s">
        <v>1569</v>
      </c>
      <c r="CT1" s="60" t="s">
        <v>1570</v>
      </c>
      <c r="CU1" s="60" t="s">
        <v>2178</v>
      </c>
      <c r="CV1" s="60" t="s">
        <v>2179</v>
      </c>
      <c r="CW1" s="60" t="s">
        <v>1571</v>
      </c>
      <c r="CX1" s="60" t="s">
        <v>1572</v>
      </c>
      <c r="CY1" s="60" t="s">
        <v>51</v>
      </c>
      <c r="CZ1" s="60" t="s">
        <v>1573</v>
      </c>
      <c r="DA1" s="60" t="s">
        <v>1574</v>
      </c>
      <c r="DB1" s="60" t="s">
        <v>2129</v>
      </c>
      <c r="DC1" s="60" t="s">
        <v>2130</v>
      </c>
      <c r="DD1" s="60" t="s">
        <v>1746</v>
      </c>
      <c r="DE1" s="60" t="s">
        <v>1730</v>
      </c>
      <c r="DF1" s="60" t="s">
        <v>1731</v>
      </c>
      <c r="DG1" s="60" t="s">
        <v>1732</v>
      </c>
      <c r="DH1" s="60" t="s">
        <v>1733</v>
      </c>
      <c r="DI1" s="60" t="s">
        <v>2131</v>
      </c>
      <c r="DJ1" s="60" t="s">
        <v>2144</v>
      </c>
      <c r="DK1" s="60" t="s">
        <v>2180</v>
      </c>
      <c r="DL1" s="60" t="s">
        <v>2181</v>
      </c>
      <c r="DM1" s="60" t="s">
        <v>2182</v>
      </c>
      <c r="DN1" s="60" t="s">
        <v>2183</v>
      </c>
    </row>
    <row r="2" spans="1:118" x14ac:dyDescent="0.25">
      <c r="A2" s="61">
        <v>106010735</v>
      </c>
      <c r="B2" s="62" t="s">
        <v>64</v>
      </c>
      <c r="C2" s="62" t="s">
        <v>65</v>
      </c>
      <c r="D2" s="62" t="s">
        <v>66</v>
      </c>
      <c r="E2" s="62" t="s">
        <v>100</v>
      </c>
      <c r="F2" s="62" t="s">
        <v>2213</v>
      </c>
      <c r="G2" s="62" t="s">
        <v>2026</v>
      </c>
      <c r="H2" s="62" t="s">
        <v>66</v>
      </c>
      <c r="I2" s="62" t="s">
        <v>67</v>
      </c>
      <c r="J2" s="62" t="s">
        <v>2184</v>
      </c>
      <c r="K2" s="62"/>
      <c r="L2" s="61">
        <v>13</v>
      </c>
      <c r="M2" s="61">
        <v>18</v>
      </c>
      <c r="N2" s="61">
        <v>9</v>
      </c>
      <c r="O2" s="62" t="s">
        <v>1773</v>
      </c>
      <c r="P2" s="62" t="s">
        <v>68</v>
      </c>
      <c r="Q2" s="62" t="s">
        <v>2167</v>
      </c>
      <c r="R2" s="62" t="s">
        <v>2167</v>
      </c>
      <c r="S2" s="62" t="s">
        <v>69</v>
      </c>
      <c r="T2" s="61">
        <v>8722</v>
      </c>
      <c r="U2" s="61">
        <v>6889</v>
      </c>
      <c r="V2" s="61"/>
      <c r="W2" s="61">
        <v>774</v>
      </c>
      <c r="X2" s="61">
        <v>1174</v>
      </c>
      <c r="Y2" s="61">
        <v>2774</v>
      </c>
      <c r="Z2" s="61">
        <v>2772</v>
      </c>
      <c r="AA2" s="61">
        <v>2312</v>
      </c>
      <c r="AB2" s="61">
        <v>2259</v>
      </c>
      <c r="AC2" s="61">
        <v>1659</v>
      </c>
      <c r="AD2" s="61">
        <v>884</v>
      </c>
      <c r="AE2" s="61">
        <v>943</v>
      </c>
      <c r="AF2" s="61">
        <v>60</v>
      </c>
      <c r="AG2" s="61"/>
      <c r="AH2" s="61">
        <v>1562</v>
      </c>
      <c r="AI2" s="61">
        <v>3206</v>
      </c>
      <c r="AJ2" s="61">
        <v>1268</v>
      </c>
      <c r="AK2" s="61">
        <v>14</v>
      </c>
      <c r="AL2" s="61">
        <v>3314</v>
      </c>
      <c r="AM2" s="61">
        <v>250</v>
      </c>
      <c r="AN2" s="61">
        <v>5997</v>
      </c>
      <c r="AO2" s="61">
        <v>280</v>
      </c>
      <c r="AP2" s="61">
        <v>426</v>
      </c>
      <c r="AQ2" s="61">
        <v>28</v>
      </c>
      <c r="AR2" s="61"/>
      <c r="AS2" s="61"/>
      <c r="AT2" s="61"/>
      <c r="AU2" s="61"/>
      <c r="AV2" s="61">
        <v>166</v>
      </c>
      <c r="AW2" s="61">
        <v>202</v>
      </c>
      <c r="AX2" s="61"/>
      <c r="AY2" s="61">
        <v>14342</v>
      </c>
      <c r="AZ2" s="61">
        <v>165</v>
      </c>
      <c r="BA2" s="61"/>
      <c r="BB2" s="61">
        <v>1</v>
      </c>
      <c r="BC2" s="61"/>
      <c r="BD2" s="61">
        <v>760</v>
      </c>
      <c r="BE2" s="61">
        <v>2926</v>
      </c>
      <c r="BF2" s="61">
        <v>5456</v>
      </c>
      <c r="BG2" s="61">
        <v>4069</v>
      </c>
      <c r="BH2" s="61">
        <v>2400</v>
      </c>
      <c r="BI2" s="61"/>
      <c r="BJ2" s="61">
        <v>15611</v>
      </c>
      <c r="BK2" s="61">
        <v>685</v>
      </c>
      <c r="BL2" s="61">
        <v>14351</v>
      </c>
      <c r="BM2" s="61">
        <v>575</v>
      </c>
      <c r="BN2" s="61">
        <v>1032</v>
      </c>
      <c r="BO2" s="61">
        <v>875</v>
      </c>
      <c r="BP2" s="61"/>
      <c r="BQ2" s="61">
        <v>5</v>
      </c>
      <c r="BR2" s="61">
        <v>59</v>
      </c>
      <c r="BS2" s="61">
        <v>118</v>
      </c>
      <c r="BT2" s="61">
        <v>160</v>
      </c>
      <c r="BU2" s="61">
        <v>244</v>
      </c>
      <c r="BV2" s="61">
        <v>398</v>
      </c>
      <c r="BW2" s="61">
        <v>306</v>
      </c>
      <c r="BX2" s="61">
        <v>616</v>
      </c>
      <c r="BY2" s="61">
        <v>1</v>
      </c>
      <c r="BZ2" s="61"/>
      <c r="CA2" s="61"/>
      <c r="CB2" s="61">
        <v>316</v>
      </c>
      <c r="CC2" s="61">
        <v>249</v>
      </c>
      <c r="CD2" s="61">
        <v>145</v>
      </c>
      <c r="CE2" s="61">
        <v>225</v>
      </c>
      <c r="CF2" s="61">
        <v>20</v>
      </c>
      <c r="CG2" s="61">
        <v>950</v>
      </c>
      <c r="CH2" s="61">
        <v>2</v>
      </c>
      <c r="CI2" s="61">
        <v>89</v>
      </c>
      <c r="CJ2" s="61">
        <v>52</v>
      </c>
      <c r="CK2" s="61">
        <v>41</v>
      </c>
      <c r="CL2" s="61">
        <v>235</v>
      </c>
      <c r="CM2" s="61">
        <v>8</v>
      </c>
      <c r="CN2" s="61"/>
      <c r="CO2" s="61">
        <v>40</v>
      </c>
      <c r="CP2" s="61">
        <v>806</v>
      </c>
      <c r="CQ2" s="61">
        <v>603</v>
      </c>
      <c r="CR2" s="61"/>
      <c r="CS2" s="61">
        <v>30</v>
      </c>
      <c r="CT2" s="61">
        <v>3</v>
      </c>
      <c r="CU2" s="61"/>
      <c r="CV2" s="61"/>
      <c r="CW2" s="61"/>
      <c r="CX2" s="61">
        <v>409</v>
      </c>
      <c r="CY2" s="61">
        <v>1174</v>
      </c>
      <c r="CZ2" s="61">
        <v>3</v>
      </c>
      <c r="DA2" s="61">
        <v>275</v>
      </c>
      <c r="DB2" s="61">
        <v>46</v>
      </c>
      <c r="DC2" s="61"/>
      <c r="DD2" s="61">
        <v>1907</v>
      </c>
      <c r="DE2" s="61">
        <v>217</v>
      </c>
      <c r="DF2" s="61">
        <v>1633</v>
      </c>
      <c r="DG2" s="61">
        <v>57</v>
      </c>
      <c r="DH2" s="62" t="s">
        <v>2185</v>
      </c>
      <c r="DI2" s="61">
        <v>281</v>
      </c>
      <c r="DJ2" s="61">
        <v>12</v>
      </c>
      <c r="DK2" s="61">
        <v>1</v>
      </c>
      <c r="DL2" s="61"/>
      <c r="DM2" s="61"/>
      <c r="DN2" s="61"/>
    </row>
    <row r="3" spans="1:118" x14ac:dyDescent="0.25">
      <c r="A3" s="61">
        <v>106010739</v>
      </c>
      <c r="B3" s="62" t="s">
        <v>70</v>
      </c>
      <c r="C3" s="62" t="s">
        <v>2027</v>
      </c>
      <c r="D3" s="62" t="s">
        <v>66</v>
      </c>
      <c r="E3" s="62" t="s">
        <v>71</v>
      </c>
      <c r="F3" s="62" t="s">
        <v>2213</v>
      </c>
      <c r="G3" s="62" t="s">
        <v>2028</v>
      </c>
      <c r="H3" s="62" t="s">
        <v>72</v>
      </c>
      <c r="I3" s="62" t="s">
        <v>73</v>
      </c>
      <c r="J3" s="62" t="s">
        <v>2186</v>
      </c>
      <c r="K3" s="62"/>
      <c r="L3" s="61">
        <v>13</v>
      </c>
      <c r="M3" s="61">
        <v>15</v>
      </c>
      <c r="N3" s="61">
        <v>9</v>
      </c>
      <c r="O3" s="62" t="s">
        <v>1774</v>
      </c>
      <c r="P3" s="62" t="s">
        <v>68</v>
      </c>
      <c r="Q3" s="62" t="s">
        <v>2167</v>
      </c>
      <c r="R3" s="62" t="s">
        <v>2167</v>
      </c>
      <c r="S3" s="62" t="s">
        <v>69</v>
      </c>
      <c r="T3" s="61">
        <v>23230</v>
      </c>
      <c r="U3" s="61">
        <v>17196</v>
      </c>
      <c r="V3" s="61">
        <v>4</v>
      </c>
      <c r="W3" s="61">
        <v>682</v>
      </c>
      <c r="X3" s="61">
        <v>2205</v>
      </c>
      <c r="Y3" s="61">
        <v>8769</v>
      </c>
      <c r="Z3" s="61">
        <v>6910</v>
      </c>
      <c r="AA3" s="61">
        <v>5524</v>
      </c>
      <c r="AB3" s="61">
        <v>5924</v>
      </c>
      <c r="AC3" s="61">
        <v>4778</v>
      </c>
      <c r="AD3" s="61">
        <v>2828</v>
      </c>
      <c r="AE3" s="61">
        <v>2606</v>
      </c>
      <c r="AF3" s="61">
        <v>204</v>
      </c>
      <c r="AG3" s="61"/>
      <c r="AH3" s="61">
        <v>3440</v>
      </c>
      <c r="AI3" s="61">
        <v>13624</v>
      </c>
      <c r="AJ3" s="61">
        <v>5553</v>
      </c>
      <c r="AK3" s="61">
        <v>76</v>
      </c>
      <c r="AL3" s="61">
        <v>2231</v>
      </c>
      <c r="AM3" s="61">
        <v>447</v>
      </c>
      <c r="AN3" s="61">
        <v>15059</v>
      </c>
      <c r="AO3" s="61">
        <v>248</v>
      </c>
      <c r="AP3" s="61">
        <v>337</v>
      </c>
      <c r="AQ3" s="61">
        <v>35</v>
      </c>
      <c r="AR3" s="61">
        <v>120</v>
      </c>
      <c r="AS3" s="61">
        <v>20</v>
      </c>
      <c r="AT3" s="61">
        <v>7</v>
      </c>
      <c r="AU3" s="61"/>
      <c r="AV3" s="61">
        <v>86</v>
      </c>
      <c r="AW3" s="61">
        <v>1334</v>
      </c>
      <c r="AX3" s="61">
        <v>7</v>
      </c>
      <c r="AY3" s="61">
        <v>37587</v>
      </c>
      <c r="AZ3" s="61">
        <v>235</v>
      </c>
      <c r="BA3" s="61">
        <v>5</v>
      </c>
      <c r="BB3" s="61">
        <v>34</v>
      </c>
      <c r="BC3" s="61">
        <v>104</v>
      </c>
      <c r="BD3" s="61">
        <v>14558</v>
      </c>
      <c r="BE3" s="61">
        <v>9123</v>
      </c>
      <c r="BF3" s="61">
        <v>739</v>
      </c>
      <c r="BG3" s="61">
        <v>12537</v>
      </c>
      <c r="BH3" s="61">
        <v>3412</v>
      </c>
      <c r="BI3" s="61">
        <v>61</v>
      </c>
      <c r="BJ3" s="61">
        <v>40430</v>
      </c>
      <c r="BK3" s="61">
        <v>1131</v>
      </c>
      <c r="BL3" s="61">
        <v>37704</v>
      </c>
      <c r="BM3" s="61">
        <v>1595</v>
      </c>
      <c r="BN3" s="61">
        <v>3155</v>
      </c>
      <c r="BO3" s="61">
        <v>2735</v>
      </c>
      <c r="BP3" s="61"/>
      <c r="BQ3" s="61">
        <v>46</v>
      </c>
      <c r="BR3" s="61">
        <v>453</v>
      </c>
      <c r="BS3" s="61">
        <v>506</v>
      </c>
      <c r="BT3" s="61">
        <v>554</v>
      </c>
      <c r="BU3" s="61">
        <v>884</v>
      </c>
      <c r="BV3" s="61">
        <v>1158</v>
      </c>
      <c r="BW3" s="61">
        <v>966</v>
      </c>
      <c r="BX3" s="61">
        <v>1314</v>
      </c>
      <c r="BY3" s="61">
        <v>9</v>
      </c>
      <c r="BZ3" s="61"/>
      <c r="CA3" s="61"/>
      <c r="CB3" s="61">
        <v>581</v>
      </c>
      <c r="CC3" s="61">
        <v>1969</v>
      </c>
      <c r="CD3" s="61">
        <v>583</v>
      </c>
      <c r="CE3" s="61">
        <v>197</v>
      </c>
      <c r="CF3" s="61">
        <v>30</v>
      </c>
      <c r="CG3" s="61">
        <v>2521</v>
      </c>
      <c r="CH3" s="61">
        <v>9</v>
      </c>
      <c r="CI3" s="61">
        <v>193</v>
      </c>
      <c r="CJ3" s="61">
        <v>124</v>
      </c>
      <c r="CK3" s="61">
        <v>216</v>
      </c>
      <c r="CL3" s="61">
        <v>893</v>
      </c>
      <c r="CM3" s="61">
        <v>194</v>
      </c>
      <c r="CN3" s="61"/>
      <c r="CO3" s="61">
        <v>10</v>
      </c>
      <c r="CP3" s="61">
        <v>3050</v>
      </c>
      <c r="CQ3" s="61">
        <v>1000</v>
      </c>
      <c r="CR3" s="61"/>
      <c r="CS3" s="61">
        <v>148</v>
      </c>
      <c r="CT3" s="61">
        <v>47</v>
      </c>
      <c r="CU3" s="61"/>
      <c r="CV3" s="61">
        <v>3</v>
      </c>
      <c r="CW3" s="61">
        <v>8</v>
      </c>
      <c r="CX3" s="61">
        <v>1419</v>
      </c>
      <c r="CY3" s="61">
        <v>2666</v>
      </c>
      <c r="CZ3" s="61">
        <v>52</v>
      </c>
      <c r="DA3" s="61">
        <v>1630</v>
      </c>
      <c r="DB3" s="61">
        <v>123</v>
      </c>
      <c r="DC3" s="61"/>
      <c r="DD3" s="61">
        <v>5890</v>
      </c>
      <c r="DE3" s="61">
        <v>243</v>
      </c>
      <c r="DF3" s="61">
        <v>5447</v>
      </c>
      <c r="DG3" s="61">
        <v>200</v>
      </c>
      <c r="DH3" s="62" t="s">
        <v>2185</v>
      </c>
      <c r="DI3" s="61">
        <v>347</v>
      </c>
      <c r="DJ3" s="61">
        <v>22</v>
      </c>
      <c r="DK3" s="61">
        <v>228</v>
      </c>
      <c r="DL3" s="61">
        <v>43</v>
      </c>
      <c r="DM3" s="61">
        <v>4</v>
      </c>
      <c r="DN3" s="61"/>
    </row>
    <row r="4" spans="1:118" x14ac:dyDescent="0.25">
      <c r="A4" s="61">
        <v>106010776</v>
      </c>
      <c r="B4" s="62" t="s">
        <v>74</v>
      </c>
      <c r="C4" s="62" t="s">
        <v>2029</v>
      </c>
      <c r="D4" s="62" t="s">
        <v>66</v>
      </c>
      <c r="E4" s="62" t="s">
        <v>71</v>
      </c>
      <c r="F4" s="62" t="s">
        <v>2213</v>
      </c>
      <c r="G4" s="62" t="s">
        <v>75</v>
      </c>
      <c r="H4" s="62" t="s">
        <v>76</v>
      </c>
      <c r="I4" s="62" t="s">
        <v>77</v>
      </c>
      <c r="J4" s="62" t="s">
        <v>2187</v>
      </c>
      <c r="K4" s="62" t="s">
        <v>78</v>
      </c>
      <c r="L4" s="61">
        <v>13</v>
      </c>
      <c r="M4" s="61">
        <v>15</v>
      </c>
      <c r="N4" s="61">
        <v>9</v>
      </c>
      <c r="O4" s="62" t="s">
        <v>1775</v>
      </c>
      <c r="P4" s="62" t="s">
        <v>68</v>
      </c>
      <c r="Q4" s="62" t="s">
        <v>2167</v>
      </c>
      <c r="R4" s="62" t="s">
        <v>2167</v>
      </c>
      <c r="S4" s="62" t="s">
        <v>69</v>
      </c>
      <c r="T4" s="61">
        <v>18362</v>
      </c>
      <c r="U4" s="61">
        <v>21248</v>
      </c>
      <c r="V4" s="61"/>
      <c r="W4" s="61">
        <v>23968</v>
      </c>
      <c r="X4" s="61">
        <v>9563</v>
      </c>
      <c r="Y4" s="61">
        <v>315</v>
      </c>
      <c r="Z4" s="61">
        <v>69</v>
      </c>
      <c r="AA4" s="61">
        <v>57</v>
      </c>
      <c r="AB4" s="61">
        <v>28</v>
      </c>
      <c r="AC4" s="61">
        <v>15</v>
      </c>
      <c r="AD4" s="61">
        <v>6</v>
      </c>
      <c r="AE4" s="61"/>
      <c r="AF4" s="61">
        <v>5589</v>
      </c>
      <c r="AG4" s="61"/>
      <c r="AH4" s="61">
        <v>2756</v>
      </c>
      <c r="AI4" s="61">
        <v>10033</v>
      </c>
      <c r="AJ4" s="61">
        <v>18049</v>
      </c>
      <c r="AK4" s="61">
        <v>28</v>
      </c>
      <c r="AL4" s="61">
        <v>5227</v>
      </c>
      <c r="AM4" s="61">
        <v>183</v>
      </c>
      <c r="AN4" s="61">
        <v>3334</v>
      </c>
      <c r="AO4" s="61">
        <v>235</v>
      </c>
      <c r="AP4" s="61">
        <v>44</v>
      </c>
      <c r="AQ4" s="61">
        <v>5</v>
      </c>
      <c r="AR4" s="61">
        <v>30</v>
      </c>
      <c r="AS4" s="61"/>
      <c r="AT4" s="61">
        <v>1</v>
      </c>
      <c r="AU4" s="61"/>
      <c r="AV4" s="61">
        <v>8</v>
      </c>
      <c r="AW4" s="61"/>
      <c r="AX4" s="61"/>
      <c r="AY4" s="61">
        <v>39018</v>
      </c>
      <c r="AZ4" s="61">
        <v>6</v>
      </c>
      <c r="BA4" s="61">
        <v>4</v>
      </c>
      <c r="BB4" s="61"/>
      <c r="BC4" s="61"/>
      <c r="BD4" s="61">
        <v>30876</v>
      </c>
      <c r="BE4" s="61">
        <v>24</v>
      </c>
      <c r="BF4" s="61">
        <v>533</v>
      </c>
      <c r="BG4" s="61">
        <v>5579</v>
      </c>
      <c r="BH4" s="61">
        <v>2596</v>
      </c>
      <c r="BI4" s="61">
        <v>2</v>
      </c>
      <c r="BJ4" s="61">
        <v>39610</v>
      </c>
      <c r="BK4" s="61">
        <v>1385</v>
      </c>
      <c r="BL4" s="61">
        <v>27828</v>
      </c>
      <c r="BM4" s="61">
        <v>10397</v>
      </c>
      <c r="BN4" s="61">
        <v>3000</v>
      </c>
      <c r="BO4" s="61">
        <v>3929</v>
      </c>
      <c r="BP4" s="61"/>
      <c r="BQ4" s="61">
        <v>1890</v>
      </c>
      <c r="BR4" s="61">
        <v>77</v>
      </c>
      <c r="BS4" s="61"/>
      <c r="BT4" s="61"/>
      <c r="BU4" s="61"/>
      <c r="BV4" s="61"/>
      <c r="BW4" s="61"/>
      <c r="BX4" s="61"/>
      <c r="BY4" s="61">
        <v>1363</v>
      </c>
      <c r="BZ4" s="61">
        <v>3599</v>
      </c>
      <c r="CA4" s="61"/>
      <c r="CB4" s="61">
        <v>568</v>
      </c>
      <c r="CC4" s="61">
        <v>1298</v>
      </c>
      <c r="CD4" s="61">
        <v>2675</v>
      </c>
      <c r="CE4" s="61">
        <v>1184</v>
      </c>
      <c r="CF4" s="61">
        <v>35</v>
      </c>
      <c r="CG4" s="61">
        <v>1162</v>
      </c>
      <c r="CH4" s="61">
        <v>7</v>
      </c>
      <c r="CI4" s="61"/>
      <c r="CJ4" s="61">
        <v>3</v>
      </c>
      <c r="CK4" s="61"/>
      <c r="CL4" s="61">
        <v>2</v>
      </c>
      <c r="CM4" s="61"/>
      <c r="CN4" s="61"/>
      <c r="CO4" s="61"/>
      <c r="CP4" s="61">
        <v>6837</v>
      </c>
      <c r="CQ4" s="61">
        <v>20</v>
      </c>
      <c r="CR4" s="61"/>
      <c r="CS4" s="61"/>
      <c r="CT4" s="61"/>
      <c r="CU4" s="61">
        <v>59</v>
      </c>
      <c r="CV4" s="61"/>
      <c r="CW4" s="61"/>
      <c r="CX4" s="61">
        <v>3580</v>
      </c>
      <c r="CY4" s="61">
        <v>12</v>
      </c>
      <c r="CZ4" s="61">
        <v>1325</v>
      </c>
      <c r="DA4" s="61">
        <v>1738</v>
      </c>
      <c r="DB4" s="61">
        <v>274</v>
      </c>
      <c r="DC4" s="61"/>
      <c r="DD4" s="61">
        <v>6929</v>
      </c>
      <c r="DE4" s="61">
        <v>239</v>
      </c>
      <c r="DF4" s="61">
        <v>5231</v>
      </c>
      <c r="DG4" s="61">
        <v>1459</v>
      </c>
      <c r="DH4" s="62" t="s">
        <v>2185</v>
      </c>
      <c r="DI4" s="61">
        <v>190</v>
      </c>
      <c r="DJ4" s="61">
        <v>37</v>
      </c>
      <c r="DK4" s="61">
        <v>40</v>
      </c>
      <c r="DL4" s="61">
        <v>219</v>
      </c>
      <c r="DM4" s="61">
        <v>8</v>
      </c>
      <c r="DN4" s="61"/>
    </row>
    <row r="5" spans="1:118" x14ac:dyDescent="0.25">
      <c r="A5" s="61">
        <v>106010846</v>
      </c>
      <c r="B5" s="62" t="s">
        <v>79</v>
      </c>
      <c r="C5" s="62" t="s">
        <v>1747</v>
      </c>
      <c r="D5" s="62" t="s">
        <v>66</v>
      </c>
      <c r="E5" s="62" t="s">
        <v>100</v>
      </c>
      <c r="F5" s="62" t="s">
        <v>2213</v>
      </c>
      <c r="G5" s="62" t="s">
        <v>80</v>
      </c>
      <c r="H5" s="62" t="s">
        <v>76</v>
      </c>
      <c r="I5" s="62" t="s">
        <v>81</v>
      </c>
      <c r="J5" s="62" t="s">
        <v>2184</v>
      </c>
      <c r="K5" s="62" t="s">
        <v>82</v>
      </c>
      <c r="L5" s="61">
        <v>13</v>
      </c>
      <c r="M5" s="61">
        <v>18</v>
      </c>
      <c r="N5" s="61">
        <v>9</v>
      </c>
      <c r="O5" s="62" t="s">
        <v>1775</v>
      </c>
      <c r="P5" s="62" t="s">
        <v>68</v>
      </c>
      <c r="Q5" s="62" t="s">
        <v>2167</v>
      </c>
      <c r="R5" s="62" t="s">
        <v>83</v>
      </c>
      <c r="S5" s="62" t="s">
        <v>69</v>
      </c>
      <c r="T5" s="61">
        <v>30651</v>
      </c>
      <c r="U5" s="61">
        <v>35104</v>
      </c>
      <c r="V5" s="61">
        <v>2</v>
      </c>
      <c r="W5" s="61">
        <v>861</v>
      </c>
      <c r="X5" s="61">
        <v>2810</v>
      </c>
      <c r="Y5" s="61">
        <v>13871</v>
      </c>
      <c r="Z5" s="61">
        <v>13787</v>
      </c>
      <c r="AA5" s="61">
        <v>12082</v>
      </c>
      <c r="AB5" s="61">
        <v>12712</v>
      </c>
      <c r="AC5" s="61">
        <v>7118</v>
      </c>
      <c r="AD5" s="61">
        <v>1611</v>
      </c>
      <c r="AE5" s="61">
        <v>716</v>
      </c>
      <c r="AF5" s="61">
        <v>189</v>
      </c>
      <c r="AG5" s="61"/>
      <c r="AH5" s="61">
        <v>5762</v>
      </c>
      <c r="AI5" s="61">
        <v>28234</v>
      </c>
      <c r="AJ5" s="61">
        <v>21463</v>
      </c>
      <c r="AK5" s="61">
        <v>261</v>
      </c>
      <c r="AL5" s="61">
        <v>1793</v>
      </c>
      <c r="AM5" s="61">
        <v>400</v>
      </c>
      <c r="AN5" s="61">
        <v>7844</v>
      </c>
      <c r="AO5" s="61">
        <v>110</v>
      </c>
      <c r="AP5" s="61">
        <v>570</v>
      </c>
      <c r="AQ5" s="61">
        <v>155</v>
      </c>
      <c r="AR5" s="61">
        <v>3</v>
      </c>
      <c r="AS5" s="61">
        <v>14</v>
      </c>
      <c r="AT5" s="61">
        <v>4</v>
      </c>
      <c r="AU5" s="61"/>
      <c r="AV5" s="61">
        <v>1158</v>
      </c>
      <c r="AW5" s="61">
        <v>26</v>
      </c>
      <c r="AX5" s="61">
        <v>95</v>
      </c>
      <c r="AY5" s="61">
        <v>63263</v>
      </c>
      <c r="AZ5" s="61">
        <v>139</v>
      </c>
      <c r="BA5" s="61">
        <v>6</v>
      </c>
      <c r="BB5" s="61"/>
      <c r="BC5" s="61">
        <v>153</v>
      </c>
      <c r="BD5" s="61">
        <v>41892</v>
      </c>
      <c r="BE5" s="61">
        <v>6148</v>
      </c>
      <c r="BF5" s="61">
        <v>1059</v>
      </c>
      <c r="BG5" s="61">
        <v>2021</v>
      </c>
      <c r="BH5" s="61">
        <v>14128</v>
      </c>
      <c r="BI5" s="61">
        <v>509</v>
      </c>
      <c r="BJ5" s="61">
        <v>65757</v>
      </c>
      <c r="BK5" s="61">
        <v>4786</v>
      </c>
      <c r="BL5" s="61">
        <v>47250</v>
      </c>
      <c r="BM5" s="61">
        <v>13721</v>
      </c>
      <c r="BN5" s="61">
        <v>3295</v>
      </c>
      <c r="BO5" s="61">
        <v>4642</v>
      </c>
      <c r="BP5" s="61"/>
      <c r="BQ5" s="61">
        <v>175</v>
      </c>
      <c r="BR5" s="61">
        <v>872</v>
      </c>
      <c r="BS5" s="61">
        <v>1030</v>
      </c>
      <c r="BT5" s="61">
        <v>1341</v>
      </c>
      <c r="BU5" s="61">
        <v>1726</v>
      </c>
      <c r="BV5" s="61">
        <v>1599</v>
      </c>
      <c r="BW5" s="61">
        <v>625</v>
      </c>
      <c r="BX5" s="61">
        <v>568</v>
      </c>
      <c r="BY5" s="61">
        <v>1</v>
      </c>
      <c r="BZ5" s="61"/>
      <c r="CA5" s="61"/>
      <c r="CB5" s="61">
        <v>1034</v>
      </c>
      <c r="CC5" s="61">
        <v>3270</v>
      </c>
      <c r="CD5" s="61">
        <v>2035</v>
      </c>
      <c r="CE5" s="61">
        <v>151</v>
      </c>
      <c r="CF5" s="61">
        <v>36</v>
      </c>
      <c r="CG5" s="61">
        <v>1357</v>
      </c>
      <c r="CH5" s="61">
        <v>54</v>
      </c>
      <c r="CI5" s="61">
        <v>218</v>
      </c>
      <c r="CJ5" s="61">
        <v>382</v>
      </c>
      <c r="CK5" s="61">
        <v>211</v>
      </c>
      <c r="CL5" s="61">
        <v>289</v>
      </c>
      <c r="CM5" s="61">
        <v>209</v>
      </c>
      <c r="CN5" s="61"/>
      <c r="CO5" s="61">
        <v>154</v>
      </c>
      <c r="CP5" s="61">
        <v>5356</v>
      </c>
      <c r="CQ5" s="61">
        <v>856</v>
      </c>
      <c r="CR5" s="61">
        <v>61</v>
      </c>
      <c r="CS5" s="61">
        <v>88</v>
      </c>
      <c r="CT5" s="61">
        <v>37</v>
      </c>
      <c r="CU5" s="61"/>
      <c r="CV5" s="61"/>
      <c r="CW5" s="61">
        <v>68</v>
      </c>
      <c r="CX5" s="61">
        <v>4816</v>
      </c>
      <c r="CY5" s="61">
        <v>2072</v>
      </c>
      <c r="CZ5" s="61">
        <v>67</v>
      </c>
      <c r="DA5" s="61">
        <v>616</v>
      </c>
      <c r="DB5" s="61">
        <v>366</v>
      </c>
      <c r="DC5" s="61"/>
      <c r="DD5" s="61">
        <v>7937</v>
      </c>
      <c r="DE5" s="61">
        <v>794</v>
      </c>
      <c r="DF5" s="61">
        <v>5819</v>
      </c>
      <c r="DG5" s="61">
        <v>1324</v>
      </c>
      <c r="DH5" s="62" t="s">
        <v>2185</v>
      </c>
      <c r="DI5" s="61">
        <v>286</v>
      </c>
      <c r="DJ5" s="61">
        <v>52</v>
      </c>
      <c r="DK5" s="61">
        <v>3</v>
      </c>
      <c r="DL5" s="61">
        <v>58</v>
      </c>
      <c r="DM5" s="61"/>
      <c r="DN5" s="61">
        <v>8</v>
      </c>
    </row>
    <row r="6" spans="1:118" x14ac:dyDescent="0.25">
      <c r="A6" s="61">
        <v>106010937</v>
      </c>
      <c r="B6" s="62" t="s">
        <v>87</v>
      </c>
      <c r="C6" s="62" t="s">
        <v>2030</v>
      </c>
      <c r="D6" s="62" t="s">
        <v>66</v>
      </c>
      <c r="E6" s="62" t="s">
        <v>71</v>
      </c>
      <c r="F6" s="62" t="s">
        <v>2213</v>
      </c>
      <c r="G6" s="62" t="s">
        <v>88</v>
      </c>
      <c r="H6" s="62" t="s">
        <v>76</v>
      </c>
      <c r="I6" s="62" t="s">
        <v>77</v>
      </c>
      <c r="J6" s="62" t="s">
        <v>2186</v>
      </c>
      <c r="K6" s="62"/>
      <c r="L6" s="61">
        <v>13</v>
      </c>
      <c r="M6" s="61">
        <v>18</v>
      </c>
      <c r="N6" s="61">
        <v>9</v>
      </c>
      <c r="O6" s="62" t="s">
        <v>1777</v>
      </c>
      <c r="P6" s="62" t="s">
        <v>68</v>
      </c>
      <c r="Q6" s="62" t="s">
        <v>2167</v>
      </c>
      <c r="R6" s="62" t="s">
        <v>2167</v>
      </c>
      <c r="S6" s="62" t="s">
        <v>69</v>
      </c>
      <c r="T6" s="61">
        <v>21836</v>
      </c>
      <c r="U6" s="61">
        <v>16099</v>
      </c>
      <c r="V6" s="61">
        <v>1</v>
      </c>
      <c r="W6" s="61">
        <v>286</v>
      </c>
      <c r="X6" s="61">
        <v>1226</v>
      </c>
      <c r="Y6" s="61">
        <v>6762</v>
      </c>
      <c r="Z6" s="61">
        <v>6313</v>
      </c>
      <c r="AA6" s="61">
        <v>5573</v>
      </c>
      <c r="AB6" s="61">
        <v>6668</v>
      </c>
      <c r="AC6" s="61">
        <v>5290</v>
      </c>
      <c r="AD6" s="61">
        <v>2818</v>
      </c>
      <c r="AE6" s="61">
        <v>2946</v>
      </c>
      <c r="AF6" s="61">
        <v>54</v>
      </c>
      <c r="AG6" s="61"/>
      <c r="AH6" s="61">
        <v>4004</v>
      </c>
      <c r="AI6" s="61">
        <v>20854</v>
      </c>
      <c r="AJ6" s="61">
        <v>3646</v>
      </c>
      <c r="AK6" s="61">
        <v>57</v>
      </c>
      <c r="AL6" s="61">
        <v>1451</v>
      </c>
      <c r="AM6" s="61">
        <v>237</v>
      </c>
      <c r="AN6" s="61">
        <v>7687</v>
      </c>
      <c r="AO6" s="61">
        <v>373</v>
      </c>
      <c r="AP6" s="61">
        <v>405</v>
      </c>
      <c r="AQ6" s="61">
        <v>82</v>
      </c>
      <c r="AR6" s="61">
        <v>311</v>
      </c>
      <c r="AS6" s="61">
        <v>31</v>
      </c>
      <c r="AT6" s="61">
        <v>18</v>
      </c>
      <c r="AU6" s="61"/>
      <c r="AV6" s="61">
        <v>7</v>
      </c>
      <c r="AW6" s="61">
        <v>745</v>
      </c>
      <c r="AX6" s="61">
        <v>4</v>
      </c>
      <c r="AY6" s="61">
        <v>35061</v>
      </c>
      <c r="AZ6" s="61">
        <v>436</v>
      </c>
      <c r="BA6" s="61">
        <v>5</v>
      </c>
      <c r="BB6" s="61">
        <v>46</v>
      </c>
      <c r="BC6" s="61">
        <v>173</v>
      </c>
      <c r="BD6" s="61">
        <v>17239</v>
      </c>
      <c r="BE6" s="61">
        <v>10006</v>
      </c>
      <c r="BF6" s="61">
        <v>550</v>
      </c>
      <c r="BG6" s="61">
        <v>6930</v>
      </c>
      <c r="BH6" s="61">
        <v>3174</v>
      </c>
      <c r="BI6" s="61">
        <v>37</v>
      </c>
      <c r="BJ6" s="61">
        <v>37936</v>
      </c>
      <c r="BK6" s="61">
        <v>2461</v>
      </c>
      <c r="BL6" s="61">
        <v>34392</v>
      </c>
      <c r="BM6" s="61">
        <v>1083</v>
      </c>
      <c r="BN6" s="61">
        <v>4451</v>
      </c>
      <c r="BO6" s="61">
        <v>4077</v>
      </c>
      <c r="BP6" s="61"/>
      <c r="BQ6" s="61">
        <v>23</v>
      </c>
      <c r="BR6" s="61">
        <v>274</v>
      </c>
      <c r="BS6" s="61">
        <v>462</v>
      </c>
      <c r="BT6" s="61">
        <v>757</v>
      </c>
      <c r="BU6" s="61">
        <v>1458</v>
      </c>
      <c r="BV6" s="61">
        <v>1925</v>
      </c>
      <c r="BW6" s="61">
        <v>1405</v>
      </c>
      <c r="BX6" s="61">
        <v>2224</v>
      </c>
      <c r="BY6" s="61"/>
      <c r="BZ6" s="61"/>
      <c r="CA6" s="61"/>
      <c r="CB6" s="61">
        <v>1682</v>
      </c>
      <c r="CC6" s="61">
        <v>3792</v>
      </c>
      <c r="CD6" s="61">
        <v>643</v>
      </c>
      <c r="CE6" s="61">
        <v>206</v>
      </c>
      <c r="CF6" s="61">
        <v>65</v>
      </c>
      <c r="CG6" s="61">
        <v>2119</v>
      </c>
      <c r="CH6" s="61">
        <v>21</v>
      </c>
      <c r="CI6" s="61">
        <v>173</v>
      </c>
      <c r="CJ6" s="61">
        <v>172</v>
      </c>
      <c r="CK6" s="61">
        <v>320</v>
      </c>
      <c r="CL6" s="61">
        <v>1487</v>
      </c>
      <c r="CM6" s="61">
        <v>265</v>
      </c>
      <c r="CN6" s="61"/>
      <c r="CO6" s="61">
        <v>21</v>
      </c>
      <c r="CP6" s="61">
        <v>4206</v>
      </c>
      <c r="CQ6" s="61">
        <v>1673</v>
      </c>
      <c r="CR6" s="61"/>
      <c r="CS6" s="61">
        <v>183</v>
      </c>
      <c r="CT6" s="61">
        <v>15</v>
      </c>
      <c r="CU6" s="61"/>
      <c r="CV6" s="61">
        <v>3</v>
      </c>
      <c r="CW6" s="61">
        <v>1</v>
      </c>
      <c r="CX6" s="61">
        <v>2246</v>
      </c>
      <c r="CY6" s="61">
        <v>4622</v>
      </c>
      <c r="CZ6" s="61">
        <v>118</v>
      </c>
      <c r="DA6" s="61">
        <v>1429</v>
      </c>
      <c r="DB6" s="61">
        <v>111</v>
      </c>
      <c r="DC6" s="61">
        <v>2</v>
      </c>
      <c r="DD6" s="61">
        <v>8528</v>
      </c>
      <c r="DE6" s="61">
        <v>1231</v>
      </c>
      <c r="DF6" s="61">
        <v>7016</v>
      </c>
      <c r="DG6" s="61">
        <v>281</v>
      </c>
      <c r="DH6" s="62" t="s">
        <v>2185</v>
      </c>
      <c r="DI6" s="61">
        <v>403</v>
      </c>
      <c r="DJ6" s="61">
        <v>31</v>
      </c>
      <c r="DK6" s="61">
        <v>193</v>
      </c>
      <c r="DL6" s="61">
        <v>46</v>
      </c>
      <c r="DM6" s="61">
        <v>9</v>
      </c>
      <c r="DN6" s="61"/>
    </row>
    <row r="7" spans="1:118" x14ac:dyDescent="0.25">
      <c r="A7" s="61">
        <v>106010967</v>
      </c>
      <c r="B7" s="62" t="s">
        <v>89</v>
      </c>
      <c r="C7" s="62" t="s">
        <v>90</v>
      </c>
      <c r="D7" s="62" t="s">
        <v>66</v>
      </c>
      <c r="E7" s="62" t="s">
        <v>71</v>
      </c>
      <c r="F7" s="62" t="s">
        <v>2213</v>
      </c>
      <c r="G7" s="62" t="s">
        <v>91</v>
      </c>
      <c r="H7" s="62" t="s">
        <v>85</v>
      </c>
      <c r="I7" s="62" t="s">
        <v>86</v>
      </c>
      <c r="J7" s="62" t="s">
        <v>2184</v>
      </c>
      <c r="K7" s="62"/>
      <c r="L7" s="61">
        <v>15</v>
      </c>
      <c r="M7" s="61">
        <v>20</v>
      </c>
      <c r="N7" s="61">
        <v>10</v>
      </c>
      <c r="O7" s="62" t="s">
        <v>1776</v>
      </c>
      <c r="P7" s="62" t="s">
        <v>68</v>
      </c>
      <c r="Q7" s="62" t="s">
        <v>2167</v>
      </c>
      <c r="R7" s="62" t="s">
        <v>2167</v>
      </c>
      <c r="S7" s="62" t="s">
        <v>69</v>
      </c>
      <c r="T7" s="61">
        <v>18395</v>
      </c>
      <c r="U7" s="61">
        <v>14681</v>
      </c>
      <c r="V7" s="61"/>
      <c r="W7" s="61">
        <v>4042</v>
      </c>
      <c r="X7" s="61">
        <v>3198</v>
      </c>
      <c r="Y7" s="61">
        <v>6023</v>
      </c>
      <c r="Z7" s="61">
        <v>5392</v>
      </c>
      <c r="AA7" s="61">
        <v>4422</v>
      </c>
      <c r="AB7" s="61">
        <v>4182</v>
      </c>
      <c r="AC7" s="61">
        <v>2724</v>
      </c>
      <c r="AD7" s="61">
        <v>1275</v>
      </c>
      <c r="AE7" s="61">
        <v>1045</v>
      </c>
      <c r="AF7" s="61">
        <v>773</v>
      </c>
      <c r="AG7" s="61"/>
      <c r="AH7" s="61">
        <v>4935</v>
      </c>
      <c r="AI7" s="61">
        <v>6000</v>
      </c>
      <c r="AJ7" s="61">
        <v>13575</v>
      </c>
      <c r="AK7" s="61">
        <v>43</v>
      </c>
      <c r="AL7" s="61">
        <v>1818</v>
      </c>
      <c r="AM7" s="61">
        <v>25</v>
      </c>
      <c r="AN7" s="61">
        <v>6680</v>
      </c>
      <c r="AO7" s="61">
        <v>311</v>
      </c>
      <c r="AP7" s="61">
        <v>755</v>
      </c>
      <c r="AQ7" s="61">
        <v>94</v>
      </c>
      <c r="AR7" s="61"/>
      <c r="AS7" s="61">
        <v>10</v>
      </c>
      <c r="AT7" s="61"/>
      <c r="AU7" s="61"/>
      <c r="AV7" s="61">
        <v>194</v>
      </c>
      <c r="AW7" s="61">
        <v>667</v>
      </c>
      <c r="AX7" s="61">
        <v>1</v>
      </c>
      <c r="AY7" s="61">
        <v>30867</v>
      </c>
      <c r="AZ7" s="61">
        <v>18</v>
      </c>
      <c r="BA7" s="61">
        <v>86</v>
      </c>
      <c r="BB7" s="61">
        <v>24</v>
      </c>
      <c r="BC7" s="61"/>
      <c r="BD7" s="61">
        <v>19276</v>
      </c>
      <c r="BE7" s="61">
        <v>4279</v>
      </c>
      <c r="BF7" s="61">
        <v>1899</v>
      </c>
      <c r="BG7" s="61">
        <v>3749</v>
      </c>
      <c r="BH7" s="61">
        <v>3873</v>
      </c>
      <c r="BI7" s="61"/>
      <c r="BJ7" s="61">
        <v>33076</v>
      </c>
      <c r="BK7" s="61">
        <v>1958</v>
      </c>
      <c r="BL7" s="61">
        <v>25505</v>
      </c>
      <c r="BM7" s="61">
        <v>5613</v>
      </c>
      <c r="BN7" s="61">
        <v>2371</v>
      </c>
      <c r="BO7" s="61">
        <v>2092</v>
      </c>
      <c r="BP7" s="61"/>
      <c r="BQ7" s="61">
        <v>24</v>
      </c>
      <c r="BR7" s="61">
        <v>183</v>
      </c>
      <c r="BS7" s="61">
        <v>245</v>
      </c>
      <c r="BT7" s="61">
        <v>436</v>
      </c>
      <c r="BU7" s="61">
        <v>833</v>
      </c>
      <c r="BV7" s="61">
        <v>969</v>
      </c>
      <c r="BW7" s="61">
        <v>822</v>
      </c>
      <c r="BX7" s="61">
        <v>951</v>
      </c>
      <c r="BY7" s="61"/>
      <c r="BZ7" s="61"/>
      <c r="CA7" s="61"/>
      <c r="CB7" s="61">
        <v>1146</v>
      </c>
      <c r="CC7" s="61">
        <v>624</v>
      </c>
      <c r="CD7" s="61">
        <v>1125</v>
      </c>
      <c r="CE7" s="61">
        <v>140</v>
      </c>
      <c r="CF7" s="61">
        <v>7</v>
      </c>
      <c r="CG7" s="61">
        <v>1416</v>
      </c>
      <c r="CH7" s="61">
        <v>5</v>
      </c>
      <c r="CI7" s="61"/>
      <c r="CJ7" s="61">
        <v>112</v>
      </c>
      <c r="CK7" s="61">
        <v>198</v>
      </c>
      <c r="CL7" s="61">
        <v>847</v>
      </c>
      <c r="CM7" s="61"/>
      <c r="CN7" s="61"/>
      <c r="CO7" s="61"/>
      <c r="CP7" s="61">
        <v>2174</v>
      </c>
      <c r="CQ7" s="61">
        <v>989</v>
      </c>
      <c r="CR7" s="61">
        <v>2</v>
      </c>
      <c r="CS7" s="61"/>
      <c r="CT7" s="61"/>
      <c r="CU7" s="61">
        <v>141</v>
      </c>
      <c r="CV7" s="61"/>
      <c r="CW7" s="61"/>
      <c r="CX7" s="61">
        <v>1856</v>
      </c>
      <c r="CY7" s="61">
        <v>2066</v>
      </c>
      <c r="CZ7" s="61">
        <v>14</v>
      </c>
      <c r="DA7" s="61">
        <v>499</v>
      </c>
      <c r="DB7" s="61">
        <v>28</v>
      </c>
      <c r="DC7" s="61"/>
      <c r="DD7" s="61">
        <v>4463</v>
      </c>
      <c r="DE7" s="61">
        <v>655</v>
      </c>
      <c r="DF7" s="61">
        <v>3289</v>
      </c>
      <c r="DG7" s="61">
        <v>519</v>
      </c>
      <c r="DH7" s="62" t="s">
        <v>2185</v>
      </c>
      <c r="DI7" s="61">
        <v>217</v>
      </c>
      <c r="DJ7" s="61">
        <v>17</v>
      </c>
      <c r="DK7" s="61"/>
      <c r="DL7" s="61">
        <v>49</v>
      </c>
      <c r="DM7" s="61"/>
      <c r="DN7" s="61"/>
    </row>
    <row r="8" spans="1:118" x14ac:dyDescent="0.25">
      <c r="A8" s="61">
        <v>106010987</v>
      </c>
      <c r="B8" s="62" t="s">
        <v>92</v>
      </c>
      <c r="C8" s="62" t="s">
        <v>93</v>
      </c>
      <c r="D8" s="62" t="s">
        <v>66</v>
      </c>
      <c r="E8" s="62" t="s">
        <v>94</v>
      </c>
      <c r="F8" s="62" t="s">
        <v>2213</v>
      </c>
      <c r="G8" s="62" t="s">
        <v>95</v>
      </c>
      <c r="H8" s="62" t="s">
        <v>96</v>
      </c>
      <c r="I8" s="62" t="s">
        <v>97</v>
      </c>
      <c r="J8" s="62" t="s">
        <v>2186</v>
      </c>
      <c r="K8" s="62"/>
      <c r="L8" s="61">
        <v>17</v>
      </c>
      <c r="M8" s="61">
        <v>20</v>
      </c>
      <c r="N8" s="61">
        <v>10</v>
      </c>
      <c r="O8" s="62" t="s">
        <v>1778</v>
      </c>
      <c r="P8" s="62" t="s">
        <v>68</v>
      </c>
      <c r="Q8" s="62" t="s">
        <v>2167</v>
      </c>
      <c r="R8" s="62" t="s">
        <v>2167</v>
      </c>
      <c r="S8" s="62" t="s">
        <v>69</v>
      </c>
      <c r="T8" s="61">
        <v>23418</v>
      </c>
      <c r="U8" s="61">
        <v>19589</v>
      </c>
      <c r="V8" s="61"/>
      <c r="W8" s="61">
        <v>5518</v>
      </c>
      <c r="X8" s="61">
        <v>3965</v>
      </c>
      <c r="Y8" s="61">
        <v>6668</v>
      </c>
      <c r="Z8" s="61">
        <v>6232</v>
      </c>
      <c r="AA8" s="61">
        <v>5192</v>
      </c>
      <c r="AB8" s="61">
        <v>5426</v>
      </c>
      <c r="AC8" s="61">
        <v>3826</v>
      </c>
      <c r="AD8" s="61">
        <v>2568</v>
      </c>
      <c r="AE8" s="61">
        <v>2560</v>
      </c>
      <c r="AF8" s="61">
        <v>1052</v>
      </c>
      <c r="AG8" s="61"/>
      <c r="AH8" s="61">
        <v>10429</v>
      </c>
      <c r="AI8" s="61">
        <v>4291</v>
      </c>
      <c r="AJ8" s="61">
        <v>9733</v>
      </c>
      <c r="AK8" s="61">
        <v>66</v>
      </c>
      <c r="AL8" s="61">
        <v>7076</v>
      </c>
      <c r="AM8" s="61">
        <v>360</v>
      </c>
      <c r="AN8" s="61">
        <v>11052</v>
      </c>
      <c r="AO8" s="61">
        <v>173</v>
      </c>
      <c r="AP8" s="61"/>
      <c r="AQ8" s="61">
        <v>78</v>
      </c>
      <c r="AR8" s="61">
        <v>224</v>
      </c>
      <c r="AS8" s="61">
        <v>38</v>
      </c>
      <c r="AT8" s="61">
        <v>7</v>
      </c>
      <c r="AU8" s="61"/>
      <c r="AV8" s="61">
        <v>325</v>
      </c>
      <c r="AW8" s="61">
        <v>744</v>
      </c>
      <c r="AX8" s="61">
        <v>4</v>
      </c>
      <c r="AY8" s="61">
        <v>40892</v>
      </c>
      <c r="AZ8" s="61">
        <v>443</v>
      </c>
      <c r="BA8" s="61">
        <v>8</v>
      </c>
      <c r="BB8" s="61"/>
      <c r="BC8" s="61">
        <v>63</v>
      </c>
      <c r="BD8" s="61">
        <v>18246</v>
      </c>
      <c r="BE8" s="61">
        <v>9578</v>
      </c>
      <c r="BF8" s="61">
        <v>1222</v>
      </c>
      <c r="BG8" s="61">
        <v>9945</v>
      </c>
      <c r="BH8" s="61">
        <v>3992</v>
      </c>
      <c r="BI8" s="61">
        <v>24</v>
      </c>
      <c r="BJ8" s="61">
        <v>43007</v>
      </c>
      <c r="BK8" s="61">
        <v>3146</v>
      </c>
      <c r="BL8" s="61">
        <v>37778</v>
      </c>
      <c r="BM8" s="61">
        <v>2083</v>
      </c>
      <c r="BN8" s="61">
        <v>4173</v>
      </c>
      <c r="BO8" s="61">
        <v>3628</v>
      </c>
      <c r="BP8" s="61"/>
      <c r="BQ8" s="61">
        <v>67</v>
      </c>
      <c r="BR8" s="61">
        <v>238</v>
      </c>
      <c r="BS8" s="61">
        <v>352</v>
      </c>
      <c r="BT8" s="61">
        <v>564</v>
      </c>
      <c r="BU8" s="61">
        <v>1041</v>
      </c>
      <c r="BV8" s="61">
        <v>1409</v>
      </c>
      <c r="BW8" s="61">
        <v>1689</v>
      </c>
      <c r="BX8" s="61">
        <v>2338</v>
      </c>
      <c r="BY8" s="61">
        <v>34</v>
      </c>
      <c r="BZ8" s="61">
        <v>69</v>
      </c>
      <c r="CA8" s="61"/>
      <c r="CB8" s="61">
        <v>2240</v>
      </c>
      <c r="CC8" s="61">
        <v>477</v>
      </c>
      <c r="CD8" s="61">
        <v>966</v>
      </c>
      <c r="CE8" s="61">
        <v>1094</v>
      </c>
      <c r="CF8" s="61">
        <v>29</v>
      </c>
      <c r="CG8" s="61">
        <v>2987</v>
      </c>
      <c r="CH8" s="61">
        <v>8</v>
      </c>
      <c r="CI8" s="61">
        <v>104</v>
      </c>
      <c r="CJ8" s="61"/>
      <c r="CK8" s="61">
        <v>328</v>
      </c>
      <c r="CL8" s="61">
        <v>1542</v>
      </c>
      <c r="CM8" s="61">
        <v>61</v>
      </c>
      <c r="CN8" s="61"/>
      <c r="CO8" s="61">
        <v>3</v>
      </c>
      <c r="CP8" s="61">
        <v>4007</v>
      </c>
      <c r="CQ8" s="61">
        <v>1605</v>
      </c>
      <c r="CR8" s="61">
        <v>2</v>
      </c>
      <c r="CS8" s="61">
        <v>100</v>
      </c>
      <c r="CT8" s="61">
        <v>44</v>
      </c>
      <c r="CU8" s="61"/>
      <c r="CV8" s="61">
        <v>1</v>
      </c>
      <c r="CW8" s="61">
        <v>4</v>
      </c>
      <c r="CX8" s="61">
        <v>1394</v>
      </c>
      <c r="CY8" s="61">
        <v>4817</v>
      </c>
      <c r="CZ8" s="61">
        <v>62</v>
      </c>
      <c r="DA8" s="61">
        <v>1351</v>
      </c>
      <c r="DB8" s="61">
        <v>177</v>
      </c>
      <c r="DC8" s="61"/>
      <c r="DD8" s="61">
        <v>7801</v>
      </c>
      <c r="DE8" s="61">
        <v>1263</v>
      </c>
      <c r="DF8" s="61">
        <v>6255</v>
      </c>
      <c r="DG8" s="61">
        <v>283</v>
      </c>
      <c r="DH8" s="62" t="s">
        <v>2185</v>
      </c>
      <c r="DI8" s="61">
        <v>341</v>
      </c>
      <c r="DJ8" s="61">
        <v>23</v>
      </c>
      <c r="DK8" s="61">
        <v>2</v>
      </c>
      <c r="DL8" s="61">
        <v>6</v>
      </c>
      <c r="DM8" s="61"/>
      <c r="DN8" s="61"/>
    </row>
    <row r="9" spans="1:118" x14ac:dyDescent="0.25">
      <c r="A9" s="61">
        <v>106013619</v>
      </c>
      <c r="B9" s="62" t="s">
        <v>98</v>
      </c>
      <c r="C9" s="62" t="s">
        <v>99</v>
      </c>
      <c r="D9" s="62" t="s">
        <v>66</v>
      </c>
      <c r="E9" s="62" t="s">
        <v>100</v>
      </c>
      <c r="F9" s="62" t="s">
        <v>2213</v>
      </c>
      <c r="G9" s="62" t="s">
        <v>101</v>
      </c>
      <c r="H9" s="62" t="s">
        <v>102</v>
      </c>
      <c r="I9" s="62" t="s">
        <v>103</v>
      </c>
      <c r="J9" s="62" t="s">
        <v>2188</v>
      </c>
      <c r="K9" s="62"/>
      <c r="L9" s="61">
        <v>13</v>
      </c>
      <c r="M9" s="61">
        <v>18</v>
      </c>
      <c r="N9" s="61">
        <v>9</v>
      </c>
      <c r="O9" s="62" t="s">
        <v>1779</v>
      </c>
      <c r="P9" s="62" t="s">
        <v>68</v>
      </c>
      <c r="Q9" s="62" t="s">
        <v>2167</v>
      </c>
      <c r="R9" s="62" t="s">
        <v>2167</v>
      </c>
      <c r="S9" s="62" t="s">
        <v>69</v>
      </c>
      <c r="T9" s="61">
        <v>17814</v>
      </c>
      <c r="U9" s="61">
        <v>13227</v>
      </c>
      <c r="V9" s="61">
        <v>4</v>
      </c>
      <c r="W9" s="61">
        <v>1401</v>
      </c>
      <c r="X9" s="61">
        <v>2247</v>
      </c>
      <c r="Y9" s="61">
        <v>6986</v>
      </c>
      <c r="Z9" s="61">
        <v>5560</v>
      </c>
      <c r="AA9" s="61">
        <v>4559</v>
      </c>
      <c r="AB9" s="61">
        <v>5281</v>
      </c>
      <c r="AC9" s="61">
        <v>2796</v>
      </c>
      <c r="AD9" s="61">
        <v>1094</v>
      </c>
      <c r="AE9" s="61">
        <v>948</v>
      </c>
      <c r="AF9" s="61">
        <v>173</v>
      </c>
      <c r="AG9" s="61"/>
      <c r="AH9" s="61">
        <v>2288</v>
      </c>
      <c r="AI9" s="61">
        <v>16236</v>
      </c>
      <c r="AJ9" s="61">
        <v>6842</v>
      </c>
      <c r="AK9" s="61">
        <v>158</v>
      </c>
      <c r="AL9" s="61">
        <v>613</v>
      </c>
      <c r="AM9" s="61">
        <v>64</v>
      </c>
      <c r="AN9" s="61">
        <v>4844</v>
      </c>
      <c r="AO9" s="61">
        <v>97</v>
      </c>
      <c r="AP9" s="61">
        <v>683</v>
      </c>
      <c r="AQ9" s="61">
        <v>15</v>
      </c>
      <c r="AR9" s="61">
        <v>43</v>
      </c>
      <c r="AS9" s="61">
        <v>6</v>
      </c>
      <c r="AT9" s="61">
        <v>1</v>
      </c>
      <c r="AU9" s="61"/>
      <c r="AV9" s="61">
        <v>104</v>
      </c>
      <c r="AW9" s="61">
        <v>757</v>
      </c>
      <c r="AX9" s="61"/>
      <c r="AY9" s="61">
        <v>28899</v>
      </c>
      <c r="AZ9" s="61">
        <v>62</v>
      </c>
      <c r="BA9" s="61">
        <v>6</v>
      </c>
      <c r="BB9" s="61"/>
      <c r="BC9" s="61">
        <v>372</v>
      </c>
      <c r="BD9" s="61">
        <v>3141</v>
      </c>
      <c r="BE9" s="61">
        <v>4960</v>
      </c>
      <c r="BF9" s="61">
        <v>16738</v>
      </c>
      <c r="BG9" s="61">
        <v>3428</v>
      </c>
      <c r="BH9" s="61">
        <v>2778</v>
      </c>
      <c r="BI9" s="61"/>
      <c r="BJ9" s="61">
        <v>31045</v>
      </c>
      <c r="BK9" s="61">
        <v>845</v>
      </c>
      <c r="BL9" s="61">
        <v>28182</v>
      </c>
      <c r="BM9" s="61">
        <v>2018</v>
      </c>
      <c r="BN9" s="61">
        <v>1445</v>
      </c>
      <c r="BO9" s="61">
        <v>1293</v>
      </c>
      <c r="BP9" s="61"/>
      <c r="BQ9" s="61">
        <v>18</v>
      </c>
      <c r="BR9" s="61">
        <v>140</v>
      </c>
      <c r="BS9" s="61">
        <v>204</v>
      </c>
      <c r="BT9" s="61">
        <v>289</v>
      </c>
      <c r="BU9" s="61">
        <v>591</v>
      </c>
      <c r="BV9" s="61">
        <v>516</v>
      </c>
      <c r="BW9" s="61">
        <v>431</v>
      </c>
      <c r="BX9" s="61">
        <v>549</v>
      </c>
      <c r="BY9" s="61"/>
      <c r="BZ9" s="61"/>
      <c r="CA9" s="61"/>
      <c r="CB9" s="61">
        <v>341</v>
      </c>
      <c r="CC9" s="61">
        <v>1176</v>
      </c>
      <c r="CD9" s="61">
        <v>124</v>
      </c>
      <c r="CE9" s="61">
        <v>304</v>
      </c>
      <c r="CF9" s="61"/>
      <c r="CG9" s="61">
        <v>781</v>
      </c>
      <c r="CH9" s="61">
        <v>12</v>
      </c>
      <c r="CI9" s="61">
        <v>85</v>
      </c>
      <c r="CJ9" s="61">
        <v>94</v>
      </c>
      <c r="CK9" s="61">
        <v>66</v>
      </c>
      <c r="CL9" s="61">
        <v>330</v>
      </c>
      <c r="CM9" s="61">
        <v>14</v>
      </c>
      <c r="CN9" s="61"/>
      <c r="CO9" s="61">
        <v>1</v>
      </c>
      <c r="CP9" s="61">
        <v>1612</v>
      </c>
      <c r="CQ9" s="61">
        <v>485</v>
      </c>
      <c r="CR9" s="61"/>
      <c r="CS9" s="61">
        <v>29</v>
      </c>
      <c r="CT9" s="61">
        <v>21</v>
      </c>
      <c r="CU9" s="61"/>
      <c r="CV9" s="61"/>
      <c r="CW9" s="61">
        <v>1</v>
      </c>
      <c r="CX9" s="61">
        <v>941</v>
      </c>
      <c r="CY9" s="61">
        <v>1435</v>
      </c>
      <c r="CZ9" s="61">
        <v>162</v>
      </c>
      <c r="DA9" s="61">
        <v>158</v>
      </c>
      <c r="DB9" s="61">
        <v>42</v>
      </c>
      <c r="DC9" s="61"/>
      <c r="DD9" s="61">
        <v>2738</v>
      </c>
      <c r="DE9" s="61">
        <v>206</v>
      </c>
      <c r="DF9" s="61">
        <v>2344</v>
      </c>
      <c r="DG9" s="61">
        <v>188</v>
      </c>
      <c r="DH9" s="62" t="s">
        <v>2185</v>
      </c>
      <c r="DI9" s="61">
        <v>93</v>
      </c>
      <c r="DJ9" s="61">
        <v>12</v>
      </c>
      <c r="DK9" s="61"/>
      <c r="DL9" s="61"/>
      <c r="DM9" s="61"/>
      <c r="DN9" s="61"/>
    </row>
    <row r="10" spans="1:118" x14ac:dyDescent="0.25">
      <c r="A10" s="61">
        <v>106014050</v>
      </c>
      <c r="B10" s="62" t="s">
        <v>104</v>
      </c>
      <c r="C10" s="62" t="s">
        <v>105</v>
      </c>
      <c r="D10" s="62" t="s">
        <v>66</v>
      </c>
      <c r="E10" s="62" t="s">
        <v>71</v>
      </c>
      <c r="F10" s="62" t="s">
        <v>2213</v>
      </c>
      <c r="G10" s="62" t="s">
        <v>106</v>
      </c>
      <c r="H10" s="62" t="s">
        <v>107</v>
      </c>
      <c r="I10" s="62" t="s">
        <v>108</v>
      </c>
      <c r="J10" s="62" t="s">
        <v>2187</v>
      </c>
      <c r="K10" s="62"/>
      <c r="L10" s="61">
        <v>15</v>
      </c>
      <c r="M10" s="61">
        <v>16</v>
      </c>
      <c r="N10" s="61">
        <v>7</v>
      </c>
      <c r="O10" s="62" t="s">
        <v>1780</v>
      </c>
      <c r="P10" s="62" t="s">
        <v>68</v>
      </c>
      <c r="Q10" s="62" t="s">
        <v>2167</v>
      </c>
      <c r="R10" s="62" t="s">
        <v>2167</v>
      </c>
      <c r="S10" s="62" t="s">
        <v>69</v>
      </c>
      <c r="T10" s="61">
        <v>13944</v>
      </c>
      <c r="U10" s="61">
        <v>12390</v>
      </c>
      <c r="V10" s="61"/>
      <c r="W10" s="61">
        <v>3085</v>
      </c>
      <c r="X10" s="61">
        <v>2865</v>
      </c>
      <c r="Y10" s="61">
        <v>4029</v>
      </c>
      <c r="Z10" s="61">
        <v>3790</v>
      </c>
      <c r="AA10" s="61">
        <v>3472</v>
      </c>
      <c r="AB10" s="61">
        <v>3335</v>
      </c>
      <c r="AC10" s="61">
        <v>2119</v>
      </c>
      <c r="AD10" s="61">
        <v>1491</v>
      </c>
      <c r="AE10" s="61">
        <v>1530</v>
      </c>
      <c r="AF10" s="61">
        <v>618</v>
      </c>
      <c r="AG10" s="61"/>
      <c r="AH10" s="61">
        <v>3485</v>
      </c>
      <c r="AI10" s="61">
        <v>1757</v>
      </c>
      <c r="AJ10" s="61">
        <v>4348</v>
      </c>
      <c r="AK10" s="61">
        <v>14700</v>
      </c>
      <c r="AL10" s="61">
        <v>1943</v>
      </c>
      <c r="AM10" s="61">
        <v>92</v>
      </c>
      <c r="AN10" s="61">
        <v>9</v>
      </c>
      <c r="AO10" s="61">
        <v>518</v>
      </c>
      <c r="AP10" s="61">
        <v>167</v>
      </c>
      <c r="AQ10" s="61">
        <v>65</v>
      </c>
      <c r="AR10" s="61">
        <v>1</v>
      </c>
      <c r="AS10" s="61">
        <v>1</v>
      </c>
      <c r="AT10" s="61"/>
      <c r="AU10" s="61"/>
      <c r="AV10" s="61">
        <v>339</v>
      </c>
      <c r="AW10" s="61">
        <v>587</v>
      </c>
      <c r="AX10" s="61">
        <v>9</v>
      </c>
      <c r="AY10" s="61">
        <v>24621</v>
      </c>
      <c r="AZ10" s="61">
        <v>26</v>
      </c>
      <c r="BA10" s="61"/>
      <c r="BB10" s="61"/>
      <c r="BC10" s="61"/>
      <c r="BD10" s="61">
        <v>7319</v>
      </c>
      <c r="BE10" s="61">
        <v>4320</v>
      </c>
      <c r="BF10" s="61">
        <v>2099</v>
      </c>
      <c r="BG10" s="61">
        <v>10231</v>
      </c>
      <c r="BH10" s="61">
        <v>2364</v>
      </c>
      <c r="BI10" s="61">
        <v>1</v>
      </c>
      <c r="BJ10" s="61">
        <v>26334</v>
      </c>
      <c r="BK10" s="61">
        <v>573</v>
      </c>
      <c r="BL10" s="61">
        <v>24302</v>
      </c>
      <c r="BM10" s="61">
        <v>1459</v>
      </c>
      <c r="BN10" s="61">
        <v>2057</v>
      </c>
      <c r="BO10" s="61">
        <v>1693</v>
      </c>
      <c r="BP10" s="61"/>
      <c r="BQ10" s="61">
        <v>42</v>
      </c>
      <c r="BR10" s="61">
        <v>133</v>
      </c>
      <c r="BS10" s="61">
        <v>209</v>
      </c>
      <c r="BT10" s="61">
        <v>324</v>
      </c>
      <c r="BU10" s="61">
        <v>519</v>
      </c>
      <c r="BV10" s="61">
        <v>582</v>
      </c>
      <c r="BW10" s="61">
        <v>764</v>
      </c>
      <c r="BX10" s="61">
        <v>1097</v>
      </c>
      <c r="BY10" s="61">
        <v>30</v>
      </c>
      <c r="BZ10" s="61">
        <v>50</v>
      </c>
      <c r="CA10" s="61"/>
      <c r="CB10" s="61">
        <v>411</v>
      </c>
      <c r="CC10" s="61">
        <v>111</v>
      </c>
      <c r="CD10" s="61">
        <v>292</v>
      </c>
      <c r="CE10" s="61">
        <v>349</v>
      </c>
      <c r="CF10" s="61">
        <v>12</v>
      </c>
      <c r="CG10" s="61">
        <v>2570</v>
      </c>
      <c r="CH10" s="61">
        <v>5</v>
      </c>
      <c r="CI10" s="61">
        <v>139</v>
      </c>
      <c r="CJ10" s="61">
        <v>32</v>
      </c>
      <c r="CK10" s="61">
        <v>157</v>
      </c>
      <c r="CL10" s="61">
        <v>475</v>
      </c>
      <c r="CM10" s="61">
        <v>5</v>
      </c>
      <c r="CN10" s="61"/>
      <c r="CO10" s="61"/>
      <c r="CP10" s="61">
        <v>1935</v>
      </c>
      <c r="CQ10" s="61">
        <v>860</v>
      </c>
      <c r="CR10" s="61">
        <v>25</v>
      </c>
      <c r="CS10" s="61">
        <v>88</v>
      </c>
      <c r="CT10" s="61">
        <v>33</v>
      </c>
      <c r="CU10" s="61">
        <v>1</v>
      </c>
      <c r="CV10" s="61"/>
      <c r="CW10" s="61"/>
      <c r="CX10" s="61">
        <v>603</v>
      </c>
      <c r="CY10" s="61">
        <v>2082</v>
      </c>
      <c r="CZ10" s="61">
        <v>231</v>
      </c>
      <c r="DA10" s="61">
        <v>785</v>
      </c>
      <c r="DB10" s="61">
        <v>37</v>
      </c>
      <c r="DC10" s="61">
        <v>12</v>
      </c>
      <c r="DD10" s="61">
        <v>3750</v>
      </c>
      <c r="DE10" s="61">
        <v>152</v>
      </c>
      <c r="DF10" s="61">
        <v>3507</v>
      </c>
      <c r="DG10" s="61">
        <v>91</v>
      </c>
      <c r="DH10" s="62" t="s">
        <v>2185</v>
      </c>
      <c r="DI10" s="61">
        <v>167</v>
      </c>
      <c r="DJ10" s="61">
        <v>18</v>
      </c>
      <c r="DK10" s="61"/>
      <c r="DL10" s="61"/>
      <c r="DM10" s="61"/>
      <c r="DN10" s="61"/>
    </row>
    <row r="11" spans="1:118" x14ac:dyDescent="0.25">
      <c r="A11" s="61">
        <v>106014132</v>
      </c>
      <c r="B11" s="62" t="s">
        <v>1748</v>
      </c>
      <c r="C11" s="62" t="s">
        <v>2031</v>
      </c>
      <c r="D11" s="62" t="s">
        <v>66</v>
      </c>
      <c r="E11" s="62" t="s">
        <v>71</v>
      </c>
      <c r="F11" s="62" t="s">
        <v>2213</v>
      </c>
      <c r="G11" s="62" t="s">
        <v>1749</v>
      </c>
      <c r="H11" s="62" t="s">
        <v>96</v>
      </c>
      <c r="I11" s="62" t="s">
        <v>97</v>
      </c>
      <c r="J11" s="62" t="s">
        <v>2189</v>
      </c>
      <c r="K11" s="62"/>
      <c r="L11" s="61">
        <v>17</v>
      </c>
      <c r="M11" s="61">
        <v>25</v>
      </c>
      <c r="N11" s="61">
        <v>10</v>
      </c>
      <c r="O11" s="62" t="s">
        <v>1781</v>
      </c>
      <c r="P11" s="62" t="s">
        <v>68</v>
      </c>
      <c r="Q11" s="62" t="s">
        <v>2167</v>
      </c>
      <c r="R11" s="62" t="s">
        <v>2167</v>
      </c>
      <c r="S11" s="62" t="s">
        <v>69</v>
      </c>
      <c r="T11" s="61">
        <v>18276</v>
      </c>
      <c r="U11" s="61">
        <v>16238</v>
      </c>
      <c r="V11" s="61">
        <v>1</v>
      </c>
      <c r="W11" s="61">
        <v>3768</v>
      </c>
      <c r="X11" s="61">
        <v>3452</v>
      </c>
      <c r="Y11" s="61">
        <v>4362</v>
      </c>
      <c r="Z11" s="61">
        <v>4339</v>
      </c>
      <c r="AA11" s="61">
        <v>4014</v>
      </c>
      <c r="AB11" s="61">
        <v>4166</v>
      </c>
      <c r="AC11" s="61">
        <v>3624</v>
      </c>
      <c r="AD11" s="61">
        <v>3004</v>
      </c>
      <c r="AE11" s="61">
        <v>3249</v>
      </c>
      <c r="AF11" s="61">
        <v>537</v>
      </c>
      <c r="AG11" s="61"/>
      <c r="AH11" s="61">
        <v>9874</v>
      </c>
      <c r="AI11" s="61">
        <v>2650</v>
      </c>
      <c r="AJ11" s="61">
        <v>7830</v>
      </c>
      <c r="AK11" s="61">
        <v>99</v>
      </c>
      <c r="AL11" s="61">
        <v>826</v>
      </c>
      <c r="AM11" s="61">
        <v>352</v>
      </c>
      <c r="AN11" s="61">
        <v>12884</v>
      </c>
      <c r="AO11" s="61">
        <v>331</v>
      </c>
      <c r="AP11" s="61">
        <v>358</v>
      </c>
      <c r="AQ11" s="61">
        <v>60</v>
      </c>
      <c r="AR11" s="61">
        <v>389</v>
      </c>
      <c r="AS11" s="61">
        <v>52</v>
      </c>
      <c r="AT11" s="61">
        <v>33</v>
      </c>
      <c r="AU11" s="61"/>
      <c r="AV11" s="61">
        <v>5</v>
      </c>
      <c r="AW11" s="61">
        <v>589</v>
      </c>
      <c r="AX11" s="61">
        <v>3</v>
      </c>
      <c r="AY11" s="61">
        <v>32331</v>
      </c>
      <c r="AZ11" s="61">
        <v>168</v>
      </c>
      <c r="BA11" s="61">
        <v>5</v>
      </c>
      <c r="BB11" s="61">
        <v>1</v>
      </c>
      <c r="BC11" s="61">
        <v>190</v>
      </c>
      <c r="BD11" s="61">
        <v>4550</v>
      </c>
      <c r="BE11" s="61">
        <v>8267</v>
      </c>
      <c r="BF11" s="61">
        <v>573</v>
      </c>
      <c r="BG11" s="61">
        <v>19461</v>
      </c>
      <c r="BH11" s="61">
        <v>1664</v>
      </c>
      <c r="BI11" s="61"/>
      <c r="BJ11" s="61">
        <v>34515</v>
      </c>
      <c r="BK11" s="61">
        <v>1320</v>
      </c>
      <c r="BL11" s="61">
        <v>31760</v>
      </c>
      <c r="BM11" s="61">
        <v>1435</v>
      </c>
      <c r="BN11" s="61">
        <v>1402</v>
      </c>
      <c r="BO11" s="61">
        <v>1319</v>
      </c>
      <c r="BP11" s="61"/>
      <c r="BQ11" s="61">
        <v>11</v>
      </c>
      <c r="BR11" s="61">
        <v>62</v>
      </c>
      <c r="BS11" s="61">
        <v>122</v>
      </c>
      <c r="BT11" s="61">
        <v>207</v>
      </c>
      <c r="BU11" s="61">
        <v>370</v>
      </c>
      <c r="BV11" s="61">
        <v>500</v>
      </c>
      <c r="BW11" s="61">
        <v>593</v>
      </c>
      <c r="BX11" s="61">
        <v>854</v>
      </c>
      <c r="BY11" s="61"/>
      <c r="BZ11" s="61">
        <v>2</v>
      </c>
      <c r="CA11" s="61"/>
      <c r="CB11" s="61">
        <v>629</v>
      </c>
      <c r="CC11" s="61">
        <v>160</v>
      </c>
      <c r="CD11" s="61">
        <v>439</v>
      </c>
      <c r="CE11" s="61">
        <v>13</v>
      </c>
      <c r="CF11" s="61">
        <v>1</v>
      </c>
      <c r="CG11" s="61">
        <v>1476</v>
      </c>
      <c r="CH11" s="61">
        <v>3</v>
      </c>
      <c r="CI11" s="61">
        <v>114</v>
      </c>
      <c r="CJ11" s="61">
        <v>27</v>
      </c>
      <c r="CK11" s="61">
        <v>125</v>
      </c>
      <c r="CL11" s="61">
        <v>764</v>
      </c>
      <c r="CM11" s="61">
        <v>10</v>
      </c>
      <c r="CN11" s="61"/>
      <c r="CO11" s="61">
        <v>9</v>
      </c>
      <c r="CP11" s="61">
        <v>1181</v>
      </c>
      <c r="CQ11" s="61">
        <v>364</v>
      </c>
      <c r="CR11" s="61"/>
      <c r="CS11" s="61">
        <v>108</v>
      </c>
      <c r="CT11" s="61">
        <v>11</v>
      </c>
      <c r="CU11" s="61">
        <v>1</v>
      </c>
      <c r="CV11" s="61">
        <v>4</v>
      </c>
      <c r="CW11" s="61">
        <v>3</v>
      </c>
      <c r="CX11" s="61">
        <v>84</v>
      </c>
      <c r="CY11" s="61">
        <v>1779</v>
      </c>
      <c r="CZ11" s="61">
        <v>6</v>
      </c>
      <c r="DA11" s="61">
        <v>822</v>
      </c>
      <c r="DB11" s="61">
        <v>30</v>
      </c>
      <c r="DC11" s="61"/>
      <c r="DD11" s="61">
        <v>2721</v>
      </c>
      <c r="DE11" s="61">
        <v>113</v>
      </c>
      <c r="DF11" s="61">
        <v>2529</v>
      </c>
      <c r="DG11" s="61">
        <v>79</v>
      </c>
      <c r="DH11" s="62" t="s">
        <v>2185</v>
      </c>
      <c r="DI11" s="61">
        <v>106</v>
      </c>
      <c r="DJ11" s="61">
        <v>16</v>
      </c>
      <c r="DK11" s="61"/>
      <c r="DL11" s="61"/>
      <c r="DM11" s="61"/>
      <c r="DN11" s="61"/>
    </row>
    <row r="12" spans="1:118" x14ac:dyDescent="0.25">
      <c r="A12" s="61">
        <v>106014233</v>
      </c>
      <c r="B12" s="62" t="s">
        <v>109</v>
      </c>
      <c r="C12" s="62" t="s">
        <v>110</v>
      </c>
      <c r="D12" s="62" t="s">
        <v>66</v>
      </c>
      <c r="E12" s="62" t="s">
        <v>71</v>
      </c>
      <c r="F12" s="62" t="s">
        <v>2213</v>
      </c>
      <c r="G12" s="62" t="s">
        <v>111</v>
      </c>
      <c r="H12" s="62" t="s">
        <v>112</v>
      </c>
      <c r="I12" s="62" t="s">
        <v>113</v>
      </c>
      <c r="J12" s="62" t="s">
        <v>2189</v>
      </c>
      <c r="K12" s="62" t="s">
        <v>82</v>
      </c>
      <c r="L12" s="61">
        <v>15</v>
      </c>
      <c r="M12" s="61">
        <v>20</v>
      </c>
      <c r="N12" s="61">
        <v>10</v>
      </c>
      <c r="O12" s="62" t="s">
        <v>1782</v>
      </c>
      <c r="P12" s="62" t="s">
        <v>68</v>
      </c>
      <c r="Q12" s="62" t="s">
        <v>2167</v>
      </c>
      <c r="R12" s="62" t="s">
        <v>2167</v>
      </c>
      <c r="S12" s="62" t="s">
        <v>69</v>
      </c>
      <c r="T12" s="61">
        <v>21807</v>
      </c>
      <c r="U12" s="61">
        <v>16313</v>
      </c>
      <c r="V12" s="61"/>
      <c r="W12" s="61">
        <v>3578</v>
      </c>
      <c r="X12" s="61">
        <v>3093</v>
      </c>
      <c r="Y12" s="61">
        <v>6856</v>
      </c>
      <c r="Z12" s="61">
        <v>6230</v>
      </c>
      <c r="AA12" s="61">
        <v>4738</v>
      </c>
      <c r="AB12" s="61">
        <v>5350</v>
      </c>
      <c r="AC12" s="61">
        <v>3469</v>
      </c>
      <c r="AD12" s="61">
        <v>1850</v>
      </c>
      <c r="AE12" s="61">
        <v>2196</v>
      </c>
      <c r="AF12" s="61">
        <v>760</v>
      </c>
      <c r="AG12" s="61"/>
      <c r="AH12" s="61">
        <v>3703</v>
      </c>
      <c r="AI12" s="61">
        <v>7532</v>
      </c>
      <c r="AJ12" s="61">
        <v>10920</v>
      </c>
      <c r="AK12" s="61">
        <v>95</v>
      </c>
      <c r="AL12" s="61">
        <v>1461</v>
      </c>
      <c r="AM12" s="61">
        <v>148</v>
      </c>
      <c r="AN12" s="61">
        <v>14261</v>
      </c>
      <c r="AO12" s="61">
        <v>334</v>
      </c>
      <c r="AP12" s="61">
        <v>373</v>
      </c>
      <c r="AQ12" s="61">
        <v>74</v>
      </c>
      <c r="AR12" s="61">
        <v>160</v>
      </c>
      <c r="AS12" s="61">
        <v>25</v>
      </c>
      <c r="AT12" s="61">
        <v>14</v>
      </c>
      <c r="AU12" s="61"/>
      <c r="AV12" s="61">
        <v>26</v>
      </c>
      <c r="AW12" s="61">
        <v>851</v>
      </c>
      <c r="AX12" s="61">
        <v>17</v>
      </c>
      <c r="AY12" s="61">
        <v>35224</v>
      </c>
      <c r="AZ12" s="61">
        <v>314</v>
      </c>
      <c r="BA12" s="61">
        <v>38</v>
      </c>
      <c r="BB12" s="61">
        <v>17</v>
      </c>
      <c r="BC12" s="61">
        <v>199</v>
      </c>
      <c r="BD12" s="61">
        <v>18099</v>
      </c>
      <c r="BE12" s="61">
        <v>6606</v>
      </c>
      <c r="BF12" s="61">
        <v>831</v>
      </c>
      <c r="BG12" s="61">
        <v>9066</v>
      </c>
      <c r="BH12" s="61">
        <v>3421</v>
      </c>
      <c r="BI12" s="61">
        <v>97</v>
      </c>
      <c r="BJ12" s="61">
        <v>38120</v>
      </c>
      <c r="BK12" s="61">
        <v>1163</v>
      </c>
      <c r="BL12" s="61">
        <v>34461</v>
      </c>
      <c r="BM12" s="61">
        <v>2496</v>
      </c>
      <c r="BN12" s="61">
        <v>2888</v>
      </c>
      <c r="BO12" s="61">
        <v>2862</v>
      </c>
      <c r="BP12" s="61"/>
      <c r="BQ12" s="61">
        <v>58</v>
      </c>
      <c r="BR12" s="61">
        <v>266</v>
      </c>
      <c r="BS12" s="61">
        <v>404</v>
      </c>
      <c r="BT12" s="61">
        <v>514</v>
      </c>
      <c r="BU12" s="61">
        <v>945</v>
      </c>
      <c r="BV12" s="61">
        <v>1083</v>
      </c>
      <c r="BW12" s="61">
        <v>955</v>
      </c>
      <c r="BX12" s="61">
        <v>1524</v>
      </c>
      <c r="BY12" s="61">
        <v>1</v>
      </c>
      <c r="BZ12" s="61"/>
      <c r="CA12" s="61"/>
      <c r="CB12" s="61">
        <v>720</v>
      </c>
      <c r="CC12" s="61">
        <v>848</v>
      </c>
      <c r="CD12" s="61">
        <v>972</v>
      </c>
      <c r="CE12" s="61">
        <v>139</v>
      </c>
      <c r="CF12" s="61">
        <v>17</v>
      </c>
      <c r="CG12" s="61">
        <v>3043</v>
      </c>
      <c r="CH12" s="61">
        <v>11</v>
      </c>
      <c r="CI12" s="61">
        <v>312</v>
      </c>
      <c r="CJ12" s="61">
        <v>96</v>
      </c>
      <c r="CK12" s="61">
        <v>246</v>
      </c>
      <c r="CL12" s="61">
        <v>881</v>
      </c>
      <c r="CM12" s="61">
        <v>224</v>
      </c>
      <c r="CN12" s="61"/>
      <c r="CO12" s="61">
        <v>13</v>
      </c>
      <c r="CP12" s="61">
        <v>2447</v>
      </c>
      <c r="CQ12" s="61">
        <v>1315</v>
      </c>
      <c r="CR12" s="61">
        <v>1</v>
      </c>
      <c r="CS12" s="61">
        <v>168</v>
      </c>
      <c r="CT12" s="61">
        <v>43</v>
      </c>
      <c r="CU12" s="61"/>
      <c r="CV12" s="61">
        <v>1</v>
      </c>
      <c r="CW12" s="61">
        <v>2</v>
      </c>
      <c r="CX12" s="61">
        <v>1286</v>
      </c>
      <c r="CY12" s="61">
        <v>2911</v>
      </c>
      <c r="CZ12" s="61">
        <v>74</v>
      </c>
      <c r="DA12" s="61">
        <v>1372</v>
      </c>
      <c r="DB12" s="61">
        <v>107</v>
      </c>
      <c r="DC12" s="61"/>
      <c r="DD12" s="61">
        <v>5750</v>
      </c>
      <c r="DE12" s="61">
        <v>333</v>
      </c>
      <c r="DF12" s="61">
        <v>5102</v>
      </c>
      <c r="DG12" s="61">
        <v>315</v>
      </c>
      <c r="DH12" s="62" t="s">
        <v>2185</v>
      </c>
      <c r="DI12" s="61">
        <v>130</v>
      </c>
      <c r="DJ12" s="61">
        <v>22</v>
      </c>
      <c r="DK12" s="61">
        <v>222</v>
      </c>
      <c r="DL12" s="61">
        <v>232</v>
      </c>
      <c r="DM12" s="61">
        <v>1</v>
      </c>
      <c r="DN12" s="61"/>
    </row>
    <row r="13" spans="1:118" x14ac:dyDescent="0.25">
      <c r="A13" s="61">
        <v>106014326</v>
      </c>
      <c r="B13" s="62" t="s">
        <v>1750</v>
      </c>
      <c r="C13" s="62" t="s">
        <v>2032</v>
      </c>
      <c r="D13" s="62" t="s">
        <v>66</v>
      </c>
      <c r="E13" s="62" t="s">
        <v>71</v>
      </c>
      <c r="F13" s="62" t="s">
        <v>2213</v>
      </c>
      <c r="G13" s="62" t="s">
        <v>1751</v>
      </c>
      <c r="H13" s="62" t="s">
        <v>76</v>
      </c>
      <c r="I13" s="62" t="s">
        <v>84</v>
      </c>
      <c r="J13" s="62" t="s">
        <v>2186</v>
      </c>
      <c r="K13" s="62"/>
      <c r="L13" s="61">
        <v>13</v>
      </c>
      <c r="M13" s="61">
        <v>15</v>
      </c>
      <c r="N13" s="61">
        <v>9</v>
      </c>
      <c r="O13" s="62" t="s">
        <v>1777</v>
      </c>
      <c r="P13" s="62" t="s">
        <v>68</v>
      </c>
      <c r="Q13" s="62" t="s">
        <v>2167</v>
      </c>
      <c r="R13" s="62" t="s">
        <v>2167</v>
      </c>
      <c r="S13" s="62" t="s">
        <v>69</v>
      </c>
      <c r="T13" s="61">
        <v>58286</v>
      </c>
      <c r="U13" s="61">
        <v>46846</v>
      </c>
      <c r="V13" s="61">
        <v>2</v>
      </c>
      <c r="W13" s="61">
        <v>10142</v>
      </c>
      <c r="X13" s="61">
        <v>8972</v>
      </c>
      <c r="Y13" s="61">
        <v>18293</v>
      </c>
      <c r="Z13" s="61">
        <v>14973</v>
      </c>
      <c r="AA13" s="61">
        <v>12960</v>
      </c>
      <c r="AB13" s="61">
        <v>13649</v>
      </c>
      <c r="AC13" s="61">
        <v>10815</v>
      </c>
      <c r="AD13" s="61">
        <v>6943</v>
      </c>
      <c r="AE13" s="61">
        <v>6685</v>
      </c>
      <c r="AF13" s="61">
        <v>1702</v>
      </c>
      <c r="AG13" s="61"/>
      <c r="AH13" s="61">
        <v>9451</v>
      </c>
      <c r="AI13" s="61">
        <v>41962</v>
      </c>
      <c r="AJ13" s="61">
        <v>23691</v>
      </c>
      <c r="AK13" s="61">
        <v>375</v>
      </c>
      <c r="AL13" s="61">
        <v>2679</v>
      </c>
      <c r="AM13" s="61">
        <v>1434</v>
      </c>
      <c r="AN13" s="61">
        <v>25542</v>
      </c>
      <c r="AO13" s="61">
        <v>952</v>
      </c>
      <c r="AP13" s="61">
        <v>1152</v>
      </c>
      <c r="AQ13" s="61">
        <v>100</v>
      </c>
      <c r="AR13" s="61">
        <v>169</v>
      </c>
      <c r="AS13" s="61">
        <v>108</v>
      </c>
      <c r="AT13" s="61">
        <v>88</v>
      </c>
      <c r="AU13" s="61"/>
      <c r="AV13" s="61">
        <v>63</v>
      </c>
      <c r="AW13" s="61">
        <v>1113</v>
      </c>
      <c r="AX13" s="61">
        <v>30</v>
      </c>
      <c r="AY13" s="61">
        <v>100331</v>
      </c>
      <c r="AZ13" s="61">
        <v>553</v>
      </c>
      <c r="BA13" s="61">
        <v>13</v>
      </c>
      <c r="BB13" s="61">
        <v>9</v>
      </c>
      <c r="BC13" s="61">
        <v>312</v>
      </c>
      <c r="BD13" s="61">
        <v>30442</v>
      </c>
      <c r="BE13" s="61">
        <v>19981</v>
      </c>
      <c r="BF13" s="61">
        <v>2338</v>
      </c>
      <c r="BG13" s="61">
        <v>41541</v>
      </c>
      <c r="BH13" s="61">
        <v>10831</v>
      </c>
      <c r="BI13" s="61">
        <v>1</v>
      </c>
      <c r="BJ13" s="61">
        <v>105134</v>
      </c>
      <c r="BK13" s="61">
        <v>2081</v>
      </c>
      <c r="BL13" s="61">
        <v>95428</v>
      </c>
      <c r="BM13" s="61">
        <v>7625</v>
      </c>
      <c r="BN13" s="61">
        <v>5255</v>
      </c>
      <c r="BO13" s="61">
        <v>4606</v>
      </c>
      <c r="BP13" s="61">
        <v>1</v>
      </c>
      <c r="BQ13" s="61">
        <v>278</v>
      </c>
      <c r="BR13" s="61">
        <v>366</v>
      </c>
      <c r="BS13" s="61">
        <v>459</v>
      </c>
      <c r="BT13" s="61">
        <v>718</v>
      </c>
      <c r="BU13" s="61">
        <v>1325</v>
      </c>
      <c r="BV13" s="61">
        <v>1761</v>
      </c>
      <c r="BW13" s="61">
        <v>1919</v>
      </c>
      <c r="BX13" s="61">
        <v>2516</v>
      </c>
      <c r="BY13" s="61">
        <v>150</v>
      </c>
      <c r="BZ13" s="61">
        <v>370</v>
      </c>
      <c r="CA13" s="61"/>
      <c r="CB13" s="61">
        <v>1269</v>
      </c>
      <c r="CC13" s="61">
        <v>3574</v>
      </c>
      <c r="CD13" s="61">
        <v>1260</v>
      </c>
      <c r="CE13" s="61">
        <v>158</v>
      </c>
      <c r="CF13" s="61">
        <v>62</v>
      </c>
      <c r="CG13" s="61">
        <v>3504</v>
      </c>
      <c r="CH13" s="61">
        <v>35</v>
      </c>
      <c r="CI13" s="61">
        <v>422</v>
      </c>
      <c r="CJ13" s="61">
        <v>74</v>
      </c>
      <c r="CK13" s="61">
        <v>399</v>
      </c>
      <c r="CL13" s="61">
        <v>1073</v>
      </c>
      <c r="CM13" s="61">
        <v>52</v>
      </c>
      <c r="CN13" s="61">
        <v>2</v>
      </c>
      <c r="CO13" s="61">
        <v>69</v>
      </c>
      <c r="CP13" s="61">
        <v>6086</v>
      </c>
      <c r="CQ13" s="61">
        <v>1341</v>
      </c>
      <c r="CR13" s="61">
        <v>1</v>
      </c>
      <c r="CS13" s="61">
        <v>231</v>
      </c>
      <c r="CT13" s="61">
        <v>48</v>
      </c>
      <c r="CU13" s="61">
        <v>1</v>
      </c>
      <c r="CV13" s="61">
        <v>9</v>
      </c>
      <c r="CW13" s="61">
        <v>48</v>
      </c>
      <c r="CX13" s="61">
        <v>1091</v>
      </c>
      <c r="CY13" s="61">
        <v>5595</v>
      </c>
      <c r="CZ13" s="61">
        <v>28</v>
      </c>
      <c r="DA13" s="61">
        <v>2893</v>
      </c>
      <c r="DB13" s="61">
        <v>255</v>
      </c>
      <c r="DC13" s="61"/>
      <c r="DD13" s="61">
        <v>9862</v>
      </c>
      <c r="DE13" s="61">
        <v>401</v>
      </c>
      <c r="DF13" s="61">
        <v>9001</v>
      </c>
      <c r="DG13" s="61">
        <v>460</v>
      </c>
      <c r="DH13" s="62" t="s">
        <v>2185</v>
      </c>
      <c r="DI13" s="61">
        <v>315</v>
      </c>
      <c r="DJ13" s="61">
        <v>48</v>
      </c>
      <c r="DK13" s="61">
        <v>141</v>
      </c>
      <c r="DL13" s="61"/>
      <c r="DM13" s="61">
        <v>1</v>
      </c>
      <c r="DN13" s="61">
        <v>5</v>
      </c>
    </row>
    <row r="14" spans="1:118" x14ac:dyDescent="0.25">
      <c r="A14" s="61">
        <v>106014337</v>
      </c>
      <c r="B14" s="62" t="s">
        <v>1783</v>
      </c>
      <c r="C14" s="62" t="s">
        <v>2033</v>
      </c>
      <c r="D14" s="62" t="s">
        <v>66</v>
      </c>
      <c r="E14" s="62" t="s">
        <v>71</v>
      </c>
      <c r="F14" s="62" t="s">
        <v>2213</v>
      </c>
      <c r="G14" s="62" t="s">
        <v>1784</v>
      </c>
      <c r="H14" s="62" t="s">
        <v>102</v>
      </c>
      <c r="I14" s="62" t="s">
        <v>1785</v>
      </c>
      <c r="J14" s="62" t="s">
        <v>2184</v>
      </c>
      <c r="K14" s="62"/>
      <c r="L14" s="61">
        <v>13</v>
      </c>
      <c r="M14" s="61">
        <v>18</v>
      </c>
      <c r="N14" s="61">
        <v>9</v>
      </c>
      <c r="O14" s="62" t="s">
        <v>1776</v>
      </c>
      <c r="P14" s="62" t="s">
        <v>68</v>
      </c>
      <c r="Q14" s="62" t="s">
        <v>2167</v>
      </c>
      <c r="R14" s="62" t="s">
        <v>2167</v>
      </c>
      <c r="S14" s="62" t="s">
        <v>69</v>
      </c>
      <c r="T14" s="61">
        <v>30723</v>
      </c>
      <c r="U14" s="61">
        <v>24670</v>
      </c>
      <c r="V14" s="61">
        <v>2</v>
      </c>
      <c r="W14" s="61">
        <v>5935</v>
      </c>
      <c r="X14" s="61">
        <v>5418</v>
      </c>
      <c r="Y14" s="61">
        <v>8274</v>
      </c>
      <c r="Z14" s="61">
        <v>6996</v>
      </c>
      <c r="AA14" s="61">
        <v>6585</v>
      </c>
      <c r="AB14" s="61">
        <v>7119</v>
      </c>
      <c r="AC14" s="61">
        <v>5470</v>
      </c>
      <c r="AD14" s="61">
        <v>3851</v>
      </c>
      <c r="AE14" s="61">
        <v>4594</v>
      </c>
      <c r="AF14" s="61">
        <v>1153</v>
      </c>
      <c r="AG14" s="61"/>
      <c r="AH14" s="61">
        <v>9026</v>
      </c>
      <c r="AI14" s="61">
        <v>12480</v>
      </c>
      <c r="AJ14" s="61">
        <v>17041</v>
      </c>
      <c r="AK14" s="61">
        <v>223</v>
      </c>
      <c r="AL14" s="61">
        <v>1007</v>
      </c>
      <c r="AM14" s="61">
        <v>690</v>
      </c>
      <c r="AN14" s="61">
        <v>14928</v>
      </c>
      <c r="AO14" s="61">
        <v>521</v>
      </c>
      <c r="AP14" s="61">
        <v>862</v>
      </c>
      <c r="AQ14" s="61">
        <v>70</v>
      </c>
      <c r="AR14" s="61">
        <v>482</v>
      </c>
      <c r="AS14" s="61">
        <v>108</v>
      </c>
      <c r="AT14" s="61">
        <v>75</v>
      </c>
      <c r="AU14" s="61"/>
      <c r="AV14" s="61">
        <v>12</v>
      </c>
      <c r="AW14" s="61">
        <v>647</v>
      </c>
      <c r="AX14" s="61">
        <v>149</v>
      </c>
      <c r="AY14" s="61">
        <v>51452</v>
      </c>
      <c r="AZ14" s="61">
        <v>826</v>
      </c>
      <c r="BA14" s="61">
        <v>16</v>
      </c>
      <c r="BB14" s="61">
        <v>15</v>
      </c>
      <c r="BC14" s="61">
        <v>160</v>
      </c>
      <c r="BD14" s="61">
        <v>9142</v>
      </c>
      <c r="BE14" s="61">
        <v>11451</v>
      </c>
      <c r="BF14" s="61">
        <v>1081</v>
      </c>
      <c r="BG14" s="61">
        <v>30539</v>
      </c>
      <c r="BH14" s="61">
        <v>3182</v>
      </c>
      <c r="BI14" s="61"/>
      <c r="BJ14" s="61">
        <v>55395</v>
      </c>
      <c r="BK14" s="61">
        <v>1442</v>
      </c>
      <c r="BL14" s="61">
        <v>48979</v>
      </c>
      <c r="BM14" s="61">
        <v>4974</v>
      </c>
      <c r="BN14" s="61">
        <v>2355</v>
      </c>
      <c r="BO14" s="61">
        <v>1995</v>
      </c>
      <c r="BP14" s="61"/>
      <c r="BQ14" s="61">
        <v>39</v>
      </c>
      <c r="BR14" s="61">
        <v>167</v>
      </c>
      <c r="BS14" s="61">
        <v>226</v>
      </c>
      <c r="BT14" s="61">
        <v>305</v>
      </c>
      <c r="BU14" s="61">
        <v>548</v>
      </c>
      <c r="BV14" s="61">
        <v>837</v>
      </c>
      <c r="BW14" s="61">
        <v>876</v>
      </c>
      <c r="BX14" s="61">
        <v>1341</v>
      </c>
      <c r="BY14" s="61">
        <v>10</v>
      </c>
      <c r="BZ14" s="61">
        <v>1</v>
      </c>
      <c r="CA14" s="61"/>
      <c r="CB14" s="61">
        <v>674</v>
      </c>
      <c r="CC14" s="61">
        <v>850</v>
      </c>
      <c r="CD14" s="61">
        <v>759</v>
      </c>
      <c r="CE14" s="61">
        <v>20</v>
      </c>
      <c r="CF14" s="61">
        <v>9</v>
      </c>
      <c r="CG14" s="61">
        <v>2017</v>
      </c>
      <c r="CH14" s="61">
        <v>21</v>
      </c>
      <c r="CI14" s="61">
        <v>154</v>
      </c>
      <c r="CJ14" s="61">
        <v>19</v>
      </c>
      <c r="CK14" s="61">
        <v>233</v>
      </c>
      <c r="CL14" s="61">
        <v>1069</v>
      </c>
      <c r="CM14" s="61">
        <v>18</v>
      </c>
      <c r="CN14" s="61"/>
      <c r="CO14" s="61">
        <v>9</v>
      </c>
      <c r="CP14" s="61">
        <v>1721</v>
      </c>
      <c r="CQ14" s="61">
        <v>964</v>
      </c>
      <c r="CR14" s="61"/>
      <c r="CS14" s="61">
        <v>137</v>
      </c>
      <c r="CT14" s="61">
        <v>18</v>
      </c>
      <c r="CU14" s="61"/>
      <c r="CV14" s="61"/>
      <c r="CW14" s="61">
        <v>5</v>
      </c>
      <c r="CX14" s="61">
        <v>241</v>
      </c>
      <c r="CY14" s="61">
        <v>2783</v>
      </c>
      <c r="CZ14" s="61">
        <v>7</v>
      </c>
      <c r="DA14" s="61">
        <v>1268</v>
      </c>
      <c r="DB14" s="61">
        <v>51</v>
      </c>
      <c r="DC14" s="61"/>
      <c r="DD14" s="61">
        <v>4350</v>
      </c>
      <c r="DE14" s="61">
        <v>147</v>
      </c>
      <c r="DF14" s="61">
        <v>3992</v>
      </c>
      <c r="DG14" s="61">
        <v>211</v>
      </c>
      <c r="DH14" s="62" t="s">
        <v>2185</v>
      </c>
      <c r="DI14" s="61">
        <v>216</v>
      </c>
      <c r="DJ14" s="61">
        <v>40</v>
      </c>
      <c r="DK14" s="61"/>
      <c r="DL14" s="61"/>
      <c r="DM14" s="61"/>
      <c r="DN14" s="61">
        <v>3</v>
      </c>
    </row>
    <row r="15" spans="1:118" x14ac:dyDescent="0.25">
      <c r="A15" s="61">
        <v>106034002</v>
      </c>
      <c r="B15" s="62" t="s">
        <v>114</v>
      </c>
      <c r="C15" s="62" t="s">
        <v>115</v>
      </c>
      <c r="D15" s="62" t="s">
        <v>116</v>
      </c>
      <c r="E15" s="62" t="s">
        <v>71</v>
      </c>
      <c r="F15" s="62" t="s">
        <v>2213</v>
      </c>
      <c r="G15" s="62" t="s">
        <v>117</v>
      </c>
      <c r="H15" s="62" t="s">
        <v>118</v>
      </c>
      <c r="I15" s="62" t="s">
        <v>119</v>
      </c>
      <c r="J15" s="62" t="s">
        <v>2188</v>
      </c>
      <c r="K15" s="62"/>
      <c r="L15" s="61">
        <v>4</v>
      </c>
      <c r="M15" s="61">
        <v>5</v>
      </c>
      <c r="N15" s="61">
        <v>8</v>
      </c>
      <c r="O15" s="62" t="s">
        <v>1786</v>
      </c>
      <c r="P15" s="62" t="s">
        <v>120</v>
      </c>
      <c r="Q15" s="62" t="s">
        <v>120</v>
      </c>
      <c r="R15" s="62" t="s">
        <v>2167</v>
      </c>
      <c r="S15" s="62" t="s">
        <v>69</v>
      </c>
      <c r="T15" s="61">
        <v>11169</v>
      </c>
      <c r="U15" s="61">
        <v>9253</v>
      </c>
      <c r="V15" s="61"/>
      <c r="W15" s="61">
        <v>1850</v>
      </c>
      <c r="X15" s="61">
        <v>1837</v>
      </c>
      <c r="Y15" s="61">
        <v>2720</v>
      </c>
      <c r="Z15" s="61">
        <v>2651</v>
      </c>
      <c r="AA15" s="61">
        <v>2473</v>
      </c>
      <c r="AB15" s="61">
        <v>2876</v>
      </c>
      <c r="AC15" s="61">
        <v>2388</v>
      </c>
      <c r="AD15" s="61">
        <v>1751</v>
      </c>
      <c r="AE15" s="61">
        <v>1517</v>
      </c>
      <c r="AF15" s="61">
        <v>359</v>
      </c>
      <c r="AG15" s="61"/>
      <c r="AH15" s="61">
        <v>164</v>
      </c>
      <c r="AI15" s="61">
        <v>181</v>
      </c>
      <c r="AJ15" s="61">
        <v>1657</v>
      </c>
      <c r="AK15" s="61">
        <v>224</v>
      </c>
      <c r="AL15" s="61">
        <v>119</v>
      </c>
      <c r="AM15" s="61">
        <v>583</v>
      </c>
      <c r="AN15" s="61">
        <v>17494</v>
      </c>
      <c r="AO15" s="61">
        <v>323</v>
      </c>
      <c r="AP15" s="61">
        <v>109</v>
      </c>
      <c r="AQ15" s="61">
        <v>23</v>
      </c>
      <c r="AR15" s="61">
        <v>162</v>
      </c>
      <c r="AS15" s="61">
        <v>37</v>
      </c>
      <c r="AT15" s="61">
        <v>3</v>
      </c>
      <c r="AU15" s="61"/>
      <c r="AV15" s="61">
        <v>114</v>
      </c>
      <c r="AW15" s="61">
        <v>73</v>
      </c>
      <c r="AX15" s="61">
        <v>5</v>
      </c>
      <c r="AY15" s="61">
        <v>19133</v>
      </c>
      <c r="AZ15" s="61">
        <v>58</v>
      </c>
      <c r="BA15" s="61">
        <v>1</v>
      </c>
      <c r="BB15" s="61">
        <v>39</v>
      </c>
      <c r="BC15" s="61">
        <v>239</v>
      </c>
      <c r="BD15" s="61">
        <v>7798</v>
      </c>
      <c r="BE15" s="61">
        <v>5440</v>
      </c>
      <c r="BF15" s="61">
        <v>610</v>
      </c>
      <c r="BG15" s="61">
        <v>4896</v>
      </c>
      <c r="BH15" s="61">
        <v>1547</v>
      </c>
      <c r="BI15" s="61">
        <v>131</v>
      </c>
      <c r="BJ15" s="61">
        <v>20422</v>
      </c>
      <c r="BK15" s="61">
        <v>76</v>
      </c>
      <c r="BL15" s="61">
        <v>20093</v>
      </c>
      <c r="BM15" s="61">
        <v>253</v>
      </c>
      <c r="BN15" s="61">
        <v>1076</v>
      </c>
      <c r="BO15" s="61">
        <v>867</v>
      </c>
      <c r="BP15" s="61"/>
      <c r="BQ15" s="61">
        <v>14</v>
      </c>
      <c r="BR15" s="61">
        <v>61</v>
      </c>
      <c r="BS15" s="61">
        <v>87</v>
      </c>
      <c r="BT15" s="61">
        <v>109</v>
      </c>
      <c r="BU15" s="61">
        <v>292</v>
      </c>
      <c r="BV15" s="61">
        <v>390</v>
      </c>
      <c r="BW15" s="61">
        <v>423</v>
      </c>
      <c r="BX15" s="61">
        <v>563</v>
      </c>
      <c r="BY15" s="61">
        <v>3</v>
      </c>
      <c r="BZ15" s="61">
        <v>1</v>
      </c>
      <c r="CA15" s="61"/>
      <c r="CB15" s="61">
        <v>9</v>
      </c>
      <c r="CC15" s="61">
        <v>16</v>
      </c>
      <c r="CD15" s="61">
        <v>79</v>
      </c>
      <c r="CE15" s="61">
        <v>17</v>
      </c>
      <c r="CF15" s="61">
        <v>89</v>
      </c>
      <c r="CG15" s="61">
        <v>1725</v>
      </c>
      <c r="CH15" s="61">
        <v>8</v>
      </c>
      <c r="CI15" s="61">
        <v>134</v>
      </c>
      <c r="CJ15" s="61">
        <v>31</v>
      </c>
      <c r="CK15" s="61">
        <v>58</v>
      </c>
      <c r="CL15" s="61">
        <v>298</v>
      </c>
      <c r="CM15" s="61">
        <v>21</v>
      </c>
      <c r="CN15" s="61"/>
      <c r="CO15" s="61">
        <v>5</v>
      </c>
      <c r="CP15" s="61">
        <v>1008</v>
      </c>
      <c r="CQ15" s="61">
        <v>309</v>
      </c>
      <c r="CR15" s="61">
        <v>2</v>
      </c>
      <c r="CS15" s="61">
        <v>61</v>
      </c>
      <c r="CT15" s="61">
        <v>1</v>
      </c>
      <c r="CU15" s="61"/>
      <c r="CV15" s="61">
        <v>7</v>
      </c>
      <c r="CW15" s="61">
        <v>8</v>
      </c>
      <c r="CX15" s="61">
        <v>300</v>
      </c>
      <c r="CY15" s="61">
        <v>1310</v>
      </c>
      <c r="CZ15" s="61">
        <v>60</v>
      </c>
      <c r="DA15" s="61">
        <v>231</v>
      </c>
      <c r="DB15" s="61">
        <v>42</v>
      </c>
      <c r="DC15" s="61"/>
      <c r="DD15" s="61">
        <v>1943</v>
      </c>
      <c r="DE15" s="61">
        <v>14</v>
      </c>
      <c r="DF15" s="61">
        <v>1919</v>
      </c>
      <c r="DG15" s="61">
        <v>10</v>
      </c>
      <c r="DH15" s="62" t="s">
        <v>2185</v>
      </c>
      <c r="DI15" s="61">
        <v>52</v>
      </c>
      <c r="DJ15" s="61">
        <v>14</v>
      </c>
      <c r="DK15" s="61">
        <v>56</v>
      </c>
      <c r="DL15" s="61">
        <v>47</v>
      </c>
      <c r="DM15" s="61"/>
      <c r="DN15" s="61"/>
    </row>
    <row r="16" spans="1:118" x14ac:dyDescent="0.25">
      <c r="A16" s="61">
        <v>106040802</v>
      </c>
      <c r="B16" s="62" t="s">
        <v>121</v>
      </c>
      <c r="C16" s="62" t="s">
        <v>2034</v>
      </c>
      <c r="D16" s="62" t="s">
        <v>122</v>
      </c>
      <c r="E16" s="62" t="s">
        <v>71</v>
      </c>
      <c r="F16" s="62" t="s">
        <v>2213</v>
      </c>
      <c r="G16" s="62" t="s">
        <v>123</v>
      </c>
      <c r="H16" s="62" t="s">
        <v>124</v>
      </c>
      <c r="I16" s="62" t="s">
        <v>125</v>
      </c>
      <c r="J16" s="62" t="s">
        <v>2190</v>
      </c>
      <c r="K16" s="62"/>
      <c r="L16" s="61">
        <v>1</v>
      </c>
      <c r="M16" s="61">
        <v>3</v>
      </c>
      <c r="N16" s="61">
        <v>4</v>
      </c>
      <c r="O16" s="62" t="s">
        <v>1787</v>
      </c>
      <c r="P16" s="62" t="s">
        <v>120</v>
      </c>
      <c r="Q16" s="62" t="s">
        <v>120</v>
      </c>
      <c r="R16" s="62" t="s">
        <v>2167</v>
      </c>
      <c r="S16" s="62" t="s">
        <v>127</v>
      </c>
      <c r="T16" s="61">
        <v>6105</v>
      </c>
      <c r="U16" s="61">
        <v>4566</v>
      </c>
      <c r="V16" s="61">
        <v>1</v>
      </c>
      <c r="W16" s="61">
        <v>1668</v>
      </c>
      <c r="X16" s="61">
        <v>1240</v>
      </c>
      <c r="Y16" s="61">
        <v>1591</v>
      </c>
      <c r="Z16" s="61">
        <v>1434</v>
      </c>
      <c r="AA16" s="61">
        <v>1344</v>
      </c>
      <c r="AB16" s="61">
        <v>1359</v>
      </c>
      <c r="AC16" s="61">
        <v>737</v>
      </c>
      <c r="AD16" s="61">
        <v>572</v>
      </c>
      <c r="AE16" s="61">
        <v>448</v>
      </c>
      <c r="AF16" s="61">
        <v>279</v>
      </c>
      <c r="AG16" s="61"/>
      <c r="AH16" s="61">
        <v>311</v>
      </c>
      <c r="AI16" s="61">
        <v>169</v>
      </c>
      <c r="AJ16" s="61">
        <v>3183</v>
      </c>
      <c r="AK16" s="61">
        <v>47</v>
      </c>
      <c r="AL16" s="61">
        <v>256</v>
      </c>
      <c r="AM16" s="61">
        <v>12</v>
      </c>
      <c r="AN16" s="61">
        <v>6694</v>
      </c>
      <c r="AO16" s="61">
        <v>212</v>
      </c>
      <c r="AP16" s="61">
        <v>197</v>
      </c>
      <c r="AQ16" s="61">
        <v>13</v>
      </c>
      <c r="AR16" s="61">
        <v>1</v>
      </c>
      <c r="AS16" s="61">
        <v>15</v>
      </c>
      <c r="AT16" s="61"/>
      <c r="AU16" s="61"/>
      <c r="AV16" s="61"/>
      <c r="AW16" s="61">
        <v>7</v>
      </c>
      <c r="AX16" s="61">
        <v>111</v>
      </c>
      <c r="AY16" s="61">
        <v>10100</v>
      </c>
      <c r="AZ16" s="61">
        <v>9</v>
      </c>
      <c r="BA16" s="61"/>
      <c r="BB16" s="61">
        <v>6</v>
      </c>
      <c r="BC16" s="61">
        <v>1</v>
      </c>
      <c r="BD16" s="61">
        <v>6453</v>
      </c>
      <c r="BE16" s="61">
        <v>1935</v>
      </c>
      <c r="BF16" s="61">
        <v>33</v>
      </c>
      <c r="BG16" s="61">
        <v>1311</v>
      </c>
      <c r="BH16" s="61">
        <v>940</v>
      </c>
      <c r="BI16" s="61"/>
      <c r="BJ16" s="61">
        <v>10672</v>
      </c>
      <c r="BK16" s="61">
        <v>38</v>
      </c>
      <c r="BL16" s="61">
        <v>9027</v>
      </c>
      <c r="BM16" s="61">
        <v>1607</v>
      </c>
      <c r="BN16" s="61">
        <v>258</v>
      </c>
      <c r="BO16" s="61">
        <v>185</v>
      </c>
      <c r="BP16" s="61"/>
      <c r="BQ16" s="61">
        <v>10</v>
      </c>
      <c r="BR16" s="61">
        <v>34</v>
      </c>
      <c r="BS16" s="61">
        <v>36</v>
      </c>
      <c r="BT16" s="61">
        <v>41</v>
      </c>
      <c r="BU16" s="61">
        <v>67</v>
      </c>
      <c r="BV16" s="61">
        <v>71</v>
      </c>
      <c r="BW16" s="61">
        <v>97</v>
      </c>
      <c r="BX16" s="61">
        <v>87</v>
      </c>
      <c r="BY16" s="61"/>
      <c r="BZ16" s="61"/>
      <c r="CA16" s="61"/>
      <c r="CB16" s="61">
        <v>5</v>
      </c>
      <c r="CC16" s="61">
        <v>6</v>
      </c>
      <c r="CD16" s="61">
        <v>80</v>
      </c>
      <c r="CE16" s="61">
        <v>8</v>
      </c>
      <c r="CF16" s="61">
        <v>2</v>
      </c>
      <c r="CG16" s="61">
        <v>341</v>
      </c>
      <c r="CH16" s="61">
        <v>1</v>
      </c>
      <c r="CI16" s="61">
        <v>24</v>
      </c>
      <c r="CJ16" s="61">
        <v>11</v>
      </c>
      <c r="CK16" s="61">
        <v>2</v>
      </c>
      <c r="CL16" s="61"/>
      <c r="CM16" s="61"/>
      <c r="CN16" s="61"/>
      <c r="CO16" s="61">
        <v>5</v>
      </c>
      <c r="CP16" s="61">
        <v>271</v>
      </c>
      <c r="CQ16" s="61">
        <v>122</v>
      </c>
      <c r="CR16" s="61"/>
      <c r="CS16" s="61"/>
      <c r="CT16" s="61">
        <v>5</v>
      </c>
      <c r="CU16" s="61"/>
      <c r="CV16" s="61">
        <v>3</v>
      </c>
      <c r="CW16" s="61"/>
      <c r="CX16" s="61">
        <v>141</v>
      </c>
      <c r="CY16" s="61">
        <v>265</v>
      </c>
      <c r="CZ16" s="61"/>
      <c r="DA16" s="61">
        <v>29</v>
      </c>
      <c r="DB16" s="61">
        <v>8</v>
      </c>
      <c r="DC16" s="61"/>
      <c r="DD16" s="61">
        <v>443</v>
      </c>
      <c r="DE16" s="61">
        <v>1</v>
      </c>
      <c r="DF16" s="61">
        <v>386</v>
      </c>
      <c r="DG16" s="61">
        <v>56</v>
      </c>
      <c r="DH16" s="62" t="s">
        <v>2185</v>
      </c>
      <c r="DI16" s="61">
        <v>45</v>
      </c>
      <c r="DJ16" s="61">
        <v>5</v>
      </c>
      <c r="DK16" s="61"/>
      <c r="DL16" s="61"/>
      <c r="DM16" s="61"/>
      <c r="DN16" s="61"/>
    </row>
    <row r="17" spans="1:118" x14ac:dyDescent="0.25">
      <c r="A17" s="61">
        <v>106040875</v>
      </c>
      <c r="B17" s="62" t="s">
        <v>128</v>
      </c>
      <c r="C17" s="62" t="s">
        <v>129</v>
      </c>
      <c r="D17" s="62" t="s">
        <v>122</v>
      </c>
      <c r="E17" s="62" t="s">
        <v>71</v>
      </c>
      <c r="F17" s="62" t="s">
        <v>2213</v>
      </c>
      <c r="G17" s="62" t="s">
        <v>130</v>
      </c>
      <c r="H17" s="62" t="s">
        <v>131</v>
      </c>
      <c r="I17" s="62" t="s">
        <v>132</v>
      </c>
      <c r="J17" s="62" t="s">
        <v>2189</v>
      </c>
      <c r="K17" s="62"/>
      <c r="L17" s="61">
        <v>1</v>
      </c>
      <c r="M17" s="61">
        <v>3</v>
      </c>
      <c r="N17" s="61">
        <v>4</v>
      </c>
      <c r="O17" s="62" t="s">
        <v>1788</v>
      </c>
      <c r="P17" s="62" t="s">
        <v>120</v>
      </c>
      <c r="Q17" s="62" t="s">
        <v>2167</v>
      </c>
      <c r="R17" s="62" t="s">
        <v>2167</v>
      </c>
      <c r="S17" s="62" t="s">
        <v>69</v>
      </c>
      <c r="T17" s="61">
        <v>14262</v>
      </c>
      <c r="U17" s="61">
        <v>10602</v>
      </c>
      <c r="V17" s="61"/>
      <c r="W17" s="61">
        <v>2663</v>
      </c>
      <c r="X17" s="61">
        <v>2023</v>
      </c>
      <c r="Y17" s="61">
        <v>3627</v>
      </c>
      <c r="Z17" s="61">
        <v>3117</v>
      </c>
      <c r="AA17" s="61">
        <v>2407</v>
      </c>
      <c r="AB17" s="61">
        <v>3265</v>
      </c>
      <c r="AC17" s="61">
        <v>2849</v>
      </c>
      <c r="AD17" s="61">
        <v>2002</v>
      </c>
      <c r="AE17" s="61">
        <v>2295</v>
      </c>
      <c r="AF17" s="61">
        <v>616</v>
      </c>
      <c r="AG17" s="61"/>
      <c r="AH17" s="61">
        <v>139</v>
      </c>
      <c r="AI17" s="61">
        <v>138</v>
      </c>
      <c r="AJ17" s="61">
        <v>876</v>
      </c>
      <c r="AK17" s="61">
        <v>31</v>
      </c>
      <c r="AL17" s="61">
        <v>179</v>
      </c>
      <c r="AM17" s="61">
        <v>355</v>
      </c>
      <c r="AN17" s="61">
        <v>23146</v>
      </c>
      <c r="AO17" s="61">
        <v>456</v>
      </c>
      <c r="AP17" s="61">
        <v>335</v>
      </c>
      <c r="AQ17" s="61">
        <v>40</v>
      </c>
      <c r="AR17" s="61">
        <v>54</v>
      </c>
      <c r="AS17" s="61">
        <v>5</v>
      </c>
      <c r="AT17" s="61"/>
      <c r="AU17" s="61"/>
      <c r="AV17" s="61">
        <v>178</v>
      </c>
      <c r="AW17" s="61">
        <v>145</v>
      </c>
      <c r="AX17" s="61"/>
      <c r="AY17" s="61">
        <v>23469</v>
      </c>
      <c r="AZ17" s="61">
        <v>148</v>
      </c>
      <c r="BA17" s="61">
        <v>14</v>
      </c>
      <c r="BB17" s="61"/>
      <c r="BC17" s="61">
        <v>10</v>
      </c>
      <c r="BD17" s="61">
        <v>11966</v>
      </c>
      <c r="BE17" s="61">
        <v>7660</v>
      </c>
      <c r="BF17" s="61">
        <v>582</v>
      </c>
      <c r="BG17" s="61">
        <v>3424</v>
      </c>
      <c r="BH17" s="61">
        <v>1232</v>
      </c>
      <c r="BI17" s="61"/>
      <c r="BJ17" s="61">
        <v>24864</v>
      </c>
      <c r="BK17" s="61">
        <v>27</v>
      </c>
      <c r="BL17" s="61">
        <v>24764</v>
      </c>
      <c r="BM17" s="61">
        <v>73</v>
      </c>
      <c r="BN17" s="61">
        <v>1721</v>
      </c>
      <c r="BO17" s="61">
        <v>1361</v>
      </c>
      <c r="BP17" s="61"/>
      <c r="BQ17" s="61">
        <v>25</v>
      </c>
      <c r="BR17" s="61">
        <v>94</v>
      </c>
      <c r="BS17" s="61">
        <v>135</v>
      </c>
      <c r="BT17" s="61">
        <v>172</v>
      </c>
      <c r="BU17" s="61">
        <v>467</v>
      </c>
      <c r="BV17" s="61">
        <v>640</v>
      </c>
      <c r="BW17" s="61">
        <v>571</v>
      </c>
      <c r="BX17" s="61">
        <v>927</v>
      </c>
      <c r="BY17" s="61">
        <v>17</v>
      </c>
      <c r="BZ17" s="61">
        <v>34</v>
      </c>
      <c r="CA17" s="61"/>
      <c r="CB17" s="61">
        <v>20</v>
      </c>
      <c r="CC17" s="61">
        <v>12</v>
      </c>
      <c r="CD17" s="61">
        <v>69</v>
      </c>
      <c r="CE17" s="61">
        <v>25</v>
      </c>
      <c r="CF17" s="61">
        <v>8</v>
      </c>
      <c r="CG17" s="61">
        <v>2948</v>
      </c>
      <c r="CH17" s="61"/>
      <c r="CI17" s="61">
        <v>112</v>
      </c>
      <c r="CJ17" s="61">
        <v>76</v>
      </c>
      <c r="CK17" s="61">
        <v>70</v>
      </c>
      <c r="CL17" s="61">
        <v>632</v>
      </c>
      <c r="CM17" s="61">
        <v>14</v>
      </c>
      <c r="CN17" s="61"/>
      <c r="CO17" s="61"/>
      <c r="CP17" s="61">
        <v>1549</v>
      </c>
      <c r="CQ17" s="61">
        <v>502</v>
      </c>
      <c r="CR17" s="61"/>
      <c r="CS17" s="61">
        <v>110</v>
      </c>
      <c r="CT17" s="61">
        <v>10</v>
      </c>
      <c r="CU17" s="61"/>
      <c r="CV17" s="61">
        <v>1</v>
      </c>
      <c r="CW17" s="61"/>
      <c r="CX17" s="61">
        <v>586</v>
      </c>
      <c r="CY17" s="61">
        <v>2138</v>
      </c>
      <c r="CZ17" s="61">
        <v>58</v>
      </c>
      <c r="DA17" s="61">
        <v>273</v>
      </c>
      <c r="DB17" s="61">
        <v>27</v>
      </c>
      <c r="DC17" s="61"/>
      <c r="DD17" s="61">
        <v>3082</v>
      </c>
      <c r="DE17" s="61">
        <v>7</v>
      </c>
      <c r="DF17" s="61">
        <v>3069</v>
      </c>
      <c r="DG17" s="61">
        <v>6</v>
      </c>
      <c r="DH17" s="62" t="s">
        <v>2185</v>
      </c>
      <c r="DI17" s="61">
        <v>100</v>
      </c>
      <c r="DJ17" s="61">
        <v>18</v>
      </c>
      <c r="DK17" s="61"/>
      <c r="DL17" s="61">
        <v>10</v>
      </c>
      <c r="DM17" s="61"/>
      <c r="DN17" s="61">
        <v>6</v>
      </c>
    </row>
    <row r="18" spans="1:118" x14ac:dyDescent="0.25">
      <c r="A18" s="61">
        <v>106040937</v>
      </c>
      <c r="B18" s="62" t="s">
        <v>133</v>
      </c>
      <c r="C18" s="62" t="s">
        <v>134</v>
      </c>
      <c r="D18" s="62" t="s">
        <v>122</v>
      </c>
      <c r="E18" s="62" t="s">
        <v>71</v>
      </c>
      <c r="F18" s="62" t="s">
        <v>2213</v>
      </c>
      <c r="G18" s="62" t="s">
        <v>135</v>
      </c>
      <c r="H18" s="62" t="s">
        <v>136</v>
      </c>
      <c r="I18" s="62" t="s">
        <v>137</v>
      </c>
      <c r="J18" s="62" t="s">
        <v>2189</v>
      </c>
      <c r="K18" s="62"/>
      <c r="L18" s="61">
        <v>1</v>
      </c>
      <c r="M18" s="61">
        <v>3</v>
      </c>
      <c r="N18" s="61">
        <v>4</v>
      </c>
      <c r="O18" s="62" t="s">
        <v>1789</v>
      </c>
      <c r="P18" s="62" t="s">
        <v>120</v>
      </c>
      <c r="Q18" s="62" t="s">
        <v>2167</v>
      </c>
      <c r="R18" s="62" t="s">
        <v>2167</v>
      </c>
      <c r="S18" s="62" t="s">
        <v>69</v>
      </c>
      <c r="T18" s="61">
        <v>10732</v>
      </c>
      <c r="U18" s="61">
        <v>9459</v>
      </c>
      <c r="V18" s="61"/>
      <c r="W18" s="61">
        <v>2352</v>
      </c>
      <c r="X18" s="61">
        <v>2129</v>
      </c>
      <c r="Y18" s="61">
        <v>3747</v>
      </c>
      <c r="Z18" s="61">
        <v>3097</v>
      </c>
      <c r="AA18" s="61">
        <v>2508</v>
      </c>
      <c r="AB18" s="61">
        <v>2803</v>
      </c>
      <c r="AC18" s="61">
        <v>1611</v>
      </c>
      <c r="AD18" s="61">
        <v>789</v>
      </c>
      <c r="AE18" s="61">
        <v>630</v>
      </c>
      <c r="AF18" s="61">
        <v>525</v>
      </c>
      <c r="AG18" s="61"/>
      <c r="AH18" s="61">
        <v>638</v>
      </c>
      <c r="AI18" s="61">
        <v>828</v>
      </c>
      <c r="AJ18" s="61">
        <v>1461</v>
      </c>
      <c r="AK18" s="61">
        <v>495</v>
      </c>
      <c r="AL18" s="61">
        <v>324</v>
      </c>
      <c r="AM18" s="61">
        <v>89</v>
      </c>
      <c r="AN18" s="61">
        <v>16356</v>
      </c>
      <c r="AO18" s="61">
        <v>273</v>
      </c>
      <c r="AP18" s="61">
        <v>847</v>
      </c>
      <c r="AQ18" s="61">
        <v>38</v>
      </c>
      <c r="AR18" s="61"/>
      <c r="AS18" s="61"/>
      <c r="AT18" s="61"/>
      <c r="AU18" s="61"/>
      <c r="AV18" s="61"/>
      <c r="AW18" s="61">
        <v>306</v>
      </c>
      <c r="AX18" s="61">
        <v>1</v>
      </c>
      <c r="AY18" s="61">
        <v>18725</v>
      </c>
      <c r="AZ18" s="61">
        <v>1</v>
      </c>
      <c r="BA18" s="61"/>
      <c r="BB18" s="61"/>
      <c r="BC18" s="61"/>
      <c r="BD18" s="61">
        <v>12111</v>
      </c>
      <c r="BE18" s="61">
        <v>3804</v>
      </c>
      <c r="BF18" s="61">
        <v>611</v>
      </c>
      <c r="BG18" s="61">
        <v>2392</v>
      </c>
      <c r="BH18" s="61">
        <v>1273</v>
      </c>
      <c r="BI18" s="61"/>
      <c r="BJ18" s="61">
        <v>20191</v>
      </c>
      <c r="BK18" s="61">
        <v>233</v>
      </c>
      <c r="BL18" s="61">
        <v>19641</v>
      </c>
      <c r="BM18" s="61">
        <v>317</v>
      </c>
      <c r="BN18" s="61">
        <v>5687</v>
      </c>
      <c r="BO18" s="61">
        <v>4858</v>
      </c>
      <c r="BP18" s="61"/>
      <c r="BQ18" s="61">
        <v>151</v>
      </c>
      <c r="BR18" s="61">
        <v>676</v>
      </c>
      <c r="BS18" s="61">
        <v>777</v>
      </c>
      <c r="BT18" s="61">
        <v>1210</v>
      </c>
      <c r="BU18" s="61">
        <v>2187</v>
      </c>
      <c r="BV18" s="61">
        <v>2130</v>
      </c>
      <c r="BW18" s="61">
        <v>1705</v>
      </c>
      <c r="BX18" s="61">
        <v>1550</v>
      </c>
      <c r="BY18" s="61">
        <v>71</v>
      </c>
      <c r="BZ18" s="61">
        <v>88</v>
      </c>
      <c r="CA18" s="61"/>
      <c r="CB18" s="61">
        <v>298</v>
      </c>
      <c r="CC18" s="61">
        <v>289</v>
      </c>
      <c r="CD18" s="61">
        <v>481</v>
      </c>
      <c r="CE18" s="61">
        <v>147</v>
      </c>
      <c r="CF18" s="61">
        <v>17</v>
      </c>
      <c r="CG18" s="61">
        <v>9076</v>
      </c>
      <c r="CH18" s="61">
        <v>237</v>
      </c>
      <c r="CI18" s="61">
        <v>247</v>
      </c>
      <c r="CJ18" s="61">
        <v>591</v>
      </c>
      <c r="CK18" s="61">
        <v>130</v>
      </c>
      <c r="CL18" s="61">
        <v>443</v>
      </c>
      <c r="CM18" s="61"/>
      <c r="CN18" s="61"/>
      <c r="CO18" s="61">
        <v>3</v>
      </c>
      <c r="CP18" s="61">
        <v>8125</v>
      </c>
      <c r="CQ18" s="61">
        <v>920</v>
      </c>
      <c r="CR18" s="61">
        <v>34</v>
      </c>
      <c r="CS18" s="61">
        <v>33</v>
      </c>
      <c r="CT18" s="61">
        <v>19</v>
      </c>
      <c r="CU18" s="61"/>
      <c r="CV18" s="61"/>
      <c r="CW18" s="61"/>
      <c r="CX18" s="61">
        <v>4032</v>
      </c>
      <c r="CY18" s="61">
        <v>5369</v>
      </c>
      <c r="CZ18" s="61">
        <v>190</v>
      </c>
      <c r="DA18" s="61">
        <v>841</v>
      </c>
      <c r="DB18" s="61">
        <v>113</v>
      </c>
      <c r="DC18" s="61"/>
      <c r="DD18" s="61">
        <v>10545</v>
      </c>
      <c r="DE18" s="61">
        <v>247</v>
      </c>
      <c r="DF18" s="61">
        <v>10137</v>
      </c>
      <c r="DG18" s="61">
        <v>161</v>
      </c>
      <c r="DH18" s="62" t="s">
        <v>2185</v>
      </c>
      <c r="DI18" s="61">
        <v>133</v>
      </c>
      <c r="DJ18" s="61">
        <v>14</v>
      </c>
      <c r="DK18" s="61"/>
      <c r="DL18" s="61"/>
      <c r="DM18" s="61"/>
      <c r="DN18" s="61"/>
    </row>
    <row r="19" spans="1:118" x14ac:dyDescent="0.25">
      <c r="A19" s="61">
        <v>106040962</v>
      </c>
      <c r="B19" s="62" t="s">
        <v>139</v>
      </c>
      <c r="C19" s="62" t="s">
        <v>1752</v>
      </c>
      <c r="D19" s="62" t="s">
        <v>122</v>
      </c>
      <c r="E19" s="62" t="s">
        <v>71</v>
      </c>
      <c r="F19" s="62" t="s">
        <v>2213</v>
      </c>
      <c r="G19" s="62" t="s">
        <v>140</v>
      </c>
      <c r="H19" s="62" t="s">
        <v>141</v>
      </c>
      <c r="I19" s="62" t="s">
        <v>142</v>
      </c>
      <c r="J19" s="62" t="s">
        <v>2184</v>
      </c>
      <c r="K19" s="62" t="s">
        <v>82</v>
      </c>
      <c r="L19" s="61">
        <v>1</v>
      </c>
      <c r="M19" s="61">
        <v>3</v>
      </c>
      <c r="N19" s="61">
        <v>4</v>
      </c>
      <c r="O19" s="62" t="s">
        <v>1790</v>
      </c>
      <c r="P19" s="62" t="s">
        <v>68</v>
      </c>
      <c r="Q19" s="62" t="s">
        <v>2167</v>
      </c>
      <c r="R19" s="62" t="s">
        <v>2167</v>
      </c>
      <c r="S19" s="62" t="s">
        <v>69</v>
      </c>
      <c r="T19" s="61">
        <v>24856</v>
      </c>
      <c r="U19" s="61">
        <v>20991</v>
      </c>
      <c r="V19" s="61"/>
      <c r="W19" s="61">
        <v>4269</v>
      </c>
      <c r="X19" s="61">
        <v>4940</v>
      </c>
      <c r="Y19" s="61">
        <v>9133</v>
      </c>
      <c r="Z19" s="61">
        <v>6385</v>
      </c>
      <c r="AA19" s="61">
        <v>5118</v>
      </c>
      <c r="AB19" s="61">
        <v>5602</v>
      </c>
      <c r="AC19" s="61">
        <v>3924</v>
      </c>
      <c r="AD19" s="61">
        <v>2516</v>
      </c>
      <c r="AE19" s="61">
        <v>2988</v>
      </c>
      <c r="AF19" s="61">
        <v>972</v>
      </c>
      <c r="AG19" s="61"/>
      <c r="AH19" s="61">
        <v>609</v>
      </c>
      <c r="AI19" s="61">
        <v>1598</v>
      </c>
      <c r="AJ19" s="61">
        <v>7723</v>
      </c>
      <c r="AK19" s="61">
        <v>414</v>
      </c>
      <c r="AL19" s="61">
        <v>2375</v>
      </c>
      <c r="AM19" s="61">
        <v>165</v>
      </c>
      <c r="AN19" s="61">
        <v>32963</v>
      </c>
      <c r="AO19" s="61">
        <v>219</v>
      </c>
      <c r="AP19" s="61">
        <v>652</v>
      </c>
      <c r="AQ19" s="61">
        <v>73</v>
      </c>
      <c r="AR19" s="61">
        <v>2</v>
      </c>
      <c r="AS19" s="61">
        <v>3</v>
      </c>
      <c r="AT19" s="61">
        <v>5</v>
      </c>
      <c r="AU19" s="61"/>
      <c r="AV19" s="61">
        <v>434</v>
      </c>
      <c r="AW19" s="61">
        <v>609</v>
      </c>
      <c r="AX19" s="61">
        <v>5</v>
      </c>
      <c r="AY19" s="61">
        <v>43680</v>
      </c>
      <c r="AZ19" s="61">
        <v>165</v>
      </c>
      <c r="BA19" s="61"/>
      <c r="BB19" s="61"/>
      <c r="BC19" s="61"/>
      <c r="BD19" s="61">
        <v>21609</v>
      </c>
      <c r="BE19" s="61">
        <v>10110</v>
      </c>
      <c r="BF19" s="61">
        <v>1028</v>
      </c>
      <c r="BG19" s="61">
        <v>10826</v>
      </c>
      <c r="BH19" s="61">
        <v>2274</v>
      </c>
      <c r="BI19" s="61"/>
      <c r="BJ19" s="61">
        <v>45847</v>
      </c>
      <c r="BK19" s="61">
        <v>442</v>
      </c>
      <c r="BL19" s="61">
        <v>42730</v>
      </c>
      <c r="BM19" s="61">
        <v>2675</v>
      </c>
      <c r="BN19" s="61">
        <v>5274</v>
      </c>
      <c r="BO19" s="61">
        <v>5375</v>
      </c>
      <c r="BP19" s="61"/>
      <c r="BQ19" s="61">
        <v>182</v>
      </c>
      <c r="BR19" s="61">
        <v>593</v>
      </c>
      <c r="BS19" s="61">
        <v>641</v>
      </c>
      <c r="BT19" s="61">
        <v>876</v>
      </c>
      <c r="BU19" s="61">
        <v>1608</v>
      </c>
      <c r="BV19" s="61">
        <v>2073</v>
      </c>
      <c r="BW19" s="61">
        <v>1966</v>
      </c>
      <c r="BX19" s="61">
        <v>2558</v>
      </c>
      <c r="BY19" s="61">
        <v>60</v>
      </c>
      <c r="BZ19" s="61">
        <v>92</v>
      </c>
      <c r="CA19" s="61"/>
      <c r="CB19" s="61">
        <v>109</v>
      </c>
      <c r="CC19" s="61">
        <v>162</v>
      </c>
      <c r="CD19" s="61">
        <v>1032</v>
      </c>
      <c r="CE19" s="61">
        <v>364</v>
      </c>
      <c r="CF19" s="61">
        <v>21</v>
      </c>
      <c r="CG19" s="61">
        <v>8888</v>
      </c>
      <c r="CH19" s="61">
        <v>73</v>
      </c>
      <c r="CI19" s="61">
        <v>184</v>
      </c>
      <c r="CJ19" s="61">
        <v>191</v>
      </c>
      <c r="CK19" s="61">
        <v>414</v>
      </c>
      <c r="CL19" s="61">
        <v>1498</v>
      </c>
      <c r="CM19" s="61">
        <v>347</v>
      </c>
      <c r="CN19" s="61"/>
      <c r="CO19" s="61">
        <v>38</v>
      </c>
      <c r="CP19" s="61">
        <v>6135</v>
      </c>
      <c r="CQ19" s="61">
        <v>1576</v>
      </c>
      <c r="CR19" s="61">
        <v>8</v>
      </c>
      <c r="CS19" s="61">
        <v>188</v>
      </c>
      <c r="CT19" s="61">
        <v>70</v>
      </c>
      <c r="CU19" s="61"/>
      <c r="CV19" s="61"/>
      <c r="CW19" s="61"/>
      <c r="CX19" s="61">
        <v>2565</v>
      </c>
      <c r="CY19" s="61">
        <v>6238</v>
      </c>
      <c r="CZ19" s="61">
        <v>142</v>
      </c>
      <c r="DA19" s="61">
        <v>1628</v>
      </c>
      <c r="DB19" s="61">
        <v>76</v>
      </c>
      <c r="DC19" s="61"/>
      <c r="DD19" s="61">
        <v>10649</v>
      </c>
      <c r="DE19" s="61">
        <v>113</v>
      </c>
      <c r="DF19" s="61">
        <v>10041</v>
      </c>
      <c r="DG19" s="61">
        <v>495</v>
      </c>
      <c r="DH19" s="62" t="s">
        <v>2185</v>
      </c>
      <c r="DI19" s="61">
        <v>228</v>
      </c>
      <c r="DJ19" s="61">
        <v>34</v>
      </c>
      <c r="DK19" s="61"/>
      <c r="DL19" s="61"/>
      <c r="DM19" s="61"/>
      <c r="DN19" s="61"/>
    </row>
    <row r="20" spans="1:118" x14ac:dyDescent="0.25">
      <c r="A20" s="61">
        <v>106050932</v>
      </c>
      <c r="B20" s="62" t="s">
        <v>143</v>
      </c>
      <c r="C20" s="62" t="s">
        <v>144</v>
      </c>
      <c r="D20" s="62" t="s">
        <v>145</v>
      </c>
      <c r="E20" s="62" t="s">
        <v>71</v>
      </c>
      <c r="F20" s="62" t="s">
        <v>2213</v>
      </c>
      <c r="G20" s="62" t="s">
        <v>146</v>
      </c>
      <c r="H20" s="62" t="s">
        <v>147</v>
      </c>
      <c r="I20" s="62" t="s">
        <v>148</v>
      </c>
      <c r="J20" s="62" t="s">
        <v>2190</v>
      </c>
      <c r="K20" s="62"/>
      <c r="L20" s="61">
        <v>4</v>
      </c>
      <c r="M20" s="61">
        <v>5</v>
      </c>
      <c r="N20" s="61">
        <v>8</v>
      </c>
      <c r="O20" s="62" t="s">
        <v>1791</v>
      </c>
      <c r="P20" s="62" t="s">
        <v>120</v>
      </c>
      <c r="Q20" s="62" t="s">
        <v>120</v>
      </c>
      <c r="R20" s="62" t="s">
        <v>2167</v>
      </c>
      <c r="S20" s="62" t="s">
        <v>69</v>
      </c>
      <c r="T20" s="61">
        <v>6086</v>
      </c>
      <c r="U20" s="61">
        <v>5185</v>
      </c>
      <c r="V20" s="61">
        <v>1</v>
      </c>
      <c r="W20" s="61">
        <v>948</v>
      </c>
      <c r="X20" s="61">
        <v>1137</v>
      </c>
      <c r="Y20" s="61">
        <v>1476</v>
      </c>
      <c r="Z20" s="61">
        <v>1310</v>
      </c>
      <c r="AA20" s="61">
        <v>1299</v>
      </c>
      <c r="AB20" s="61">
        <v>1616</v>
      </c>
      <c r="AC20" s="61">
        <v>1417</v>
      </c>
      <c r="AD20" s="61">
        <v>1060</v>
      </c>
      <c r="AE20" s="61">
        <v>868</v>
      </c>
      <c r="AF20" s="61">
        <v>141</v>
      </c>
      <c r="AG20" s="61"/>
      <c r="AH20" s="61">
        <v>84</v>
      </c>
      <c r="AI20" s="61">
        <v>107</v>
      </c>
      <c r="AJ20" s="61">
        <v>577</v>
      </c>
      <c r="AK20" s="61">
        <v>32</v>
      </c>
      <c r="AL20" s="61">
        <v>58</v>
      </c>
      <c r="AM20" s="61">
        <v>85</v>
      </c>
      <c r="AN20" s="61">
        <v>10329</v>
      </c>
      <c r="AO20" s="61">
        <v>514</v>
      </c>
      <c r="AP20" s="61">
        <v>245</v>
      </c>
      <c r="AQ20" s="61">
        <v>9</v>
      </c>
      <c r="AR20" s="61">
        <v>16</v>
      </c>
      <c r="AS20" s="61">
        <v>3</v>
      </c>
      <c r="AT20" s="61"/>
      <c r="AU20" s="61"/>
      <c r="AV20" s="61">
        <v>105</v>
      </c>
      <c r="AW20" s="61">
        <v>104</v>
      </c>
      <c r="AX20" s="61"/>
      <c r="AY20" s="61">
        <v>10228</v>
      </c>
      <c r="AZ20" s="61">
        <v>41</v>
      </c>
      <c r="BA20" s="61">
        <v>3</v>
      </c>
      <c r="BB20" s="61">
        <v>1</v>
      </c>
      <c r="BC20" s="61">
        <v>3</v>
      </c>
      <c r="BD20" s="61">
        <v>4937</v>
      </c>
      <c r="BE20" s="61">
        <v>3156</v>
      </c>
      <c r="BF20" s="61">
        <v>343</v>
      </c>
      <c r="BG20" s="61">
        <v>2303</v>
      </c>
      <c r="BH20" s="61">
        <v>533</v>
      </c>
      <c r="BI20" s="61"/>
      <c r="BJ20" s="61">
        <v>11272</v>
      </c>
      <c r="BK20" s="61">
        <v>22</v>
      </c>
      <c r="BL20" s="61">
        <v>11085</v>
      </c>
      <c r="BM20" s="61">
        <v>165</v>
      </c>
      <c r="BN20" s="61">
        <v>467</v>
      </c>
      <c r="BO20" s="61">
        <v>407</v>
      </c>
      <c r="BP20" s="61"/>
      <c r="BQ20" s="61">
        <v>9</v>
      </c>
      <c r="BR20" s="61">
        <v>29</v>
      </c>
      <c r="BS20" s="61">
        <v>30</v>
      </c>
      <c r="BT20" s="61">
        <v>59</v>
      </c>
      <c r="BU20" s="61">
        <v>133</v>
      </c>
      <c r="BV20" s="61">
        <v>185</v>
      </c>
      <c r="BW20" s="61">
        <v>202</v>
      </c>
      <c r="BX20" s="61">
        <v>227</v>
      </c>
      <c r="BY20" s="61"/>
      <c r="BZ20" s="61"/>
      <c r="CA20" s="61"/>
      <c r="CB20" s="61">
        <v>6</v>
      </c>
      <c r="CC20" s="61">
        <v>3</v>
      </c>
      <c r="CD20" s="61">
        <v>18</v>
      </c>
      <c r="CE20" s="61">
        <v>5</v>
      </c>
      <c r="CF20" s="61">
        <v>3</v>
      </c>
      <c r="CG20" s="61">
        <v>837</v>
      </c>
      <c r="CH20" s="61">
        <v>2</v>
      </c>
      <c r="CI20" s="61">
        <v>41</v>
      </c>
      <c r="CJ20" s="61">
        <v>100</v>
      </c>
      <c r="CK20" s="61">
        <v>12</v>
      </c>
      <c r="CL20" s="61">
        <v>85</v>
      </c>
      <c r="CM20" s="61">
        <v>3</v>
      </c>
      <c r="CN20" s="61"/>
      <c r="CO20" s="61">
        <v>12</v>
      </c>
      <c r="CP20" s="61">
        <v>496</v>
      </c>
      <c r="CQ20" s="61">
        <v>80</v>
      </c>
      <c r="CR20" s="61">
        <v>1</v>
      </c>
      <c r="CS20" s="61">
        <v>3</v>
      </c>
      <c r="CT20" s="61">
        <v>1</v>
      </c>
      <c r="CU20" s="61">
        <v>35</v>
      </c>
      <c r="CV20" s="61">
        <v>2</v>
      </c>
      <c r="CW20" s="61">
        <v>3</v>
      </c>
      <c r="CX20" s="61">
        <v>159</v>
      </c>
      <c r="CY20" s="61">
        <v>584</v>
      </c>
      <c r="CZ20" s="61">
        <v>15</v>
      </c>
      <c r="DA20" s="61">
        <v>104</v>
      </c>
      <c r="DB20" s="61">
        <v>12</v>
      </c>
      <c r="DC20" s="61"/>
      <c r="DD20" s="61">
        <v>874</v>
      </c>
      <c r="DE20" s="61">
        <v>1</v>
      </c>
      <c r="DF20" s="61">
        <v>868</v>
      </c>
      <c r="DG20" s="61">
        <v>5</v>
      </c>
      <c r="DH20" s="62" t="s">
        <v>2185</v>
      </c>
      <c r="DI20" s="61">
        <v>48</v>
      </c>
      <c r="DJ20" s="61">
        <v>8</v>
      </c>
      <c r="DK20" s="61"/>
      <c r="DL20" s="61"/>
      <c r="DM20" s="61"/>
      <c r="DN20" s="61"/>
    </row>
    <row r="21" spans="1:118" x14ac:dyDescent="0.25">
      <c r="A21" s="61">
        <v>106060870</v>
      </c>
      <c r="B21" s="62" t="s">
        <v>149</v>
      </c>
      <c r="C21" s="62" t="s">
        <v>150</v>
      </c>
      <c r="D21" s="62" t="s">
        <v>151</v>
      </c>
      <c r="E21" s="62" t="s">
        <v>71</v>
      </c>
      <c r="F21" s="62" t="s">
        <v>2213</v>
      </c>
      <c r="G21" s="62" t="s">
        <v>152</v>
      </c>
      <c r="H21" s="62" t="s">
        <v>151</v>
      </c>
      <c r="I21" s="62" t="s">
        <v>153</v>
      </c>
      <c r="J21" s="62" t="s">
        <v>2190</v>
      </c>
      <c r="K21" s="62" t="s">
        <v>126</v>
      </c>
      <c r="L21" s="61">
        <v>3</v>
      </c>
      <c r="M21" s="61">
        <v>3</v>
      </c>
      <c r="N21" s="61">
        <v>4</v>
      </c>
      <c r="O21" s="62" t="s">
        <v>1792</v>
      </c>
      <c r="P21" s="62" t="s">
        <v>120</v>
      </c>
      <c r="Q21" s="62" t="s">
        <v>120</v>
      </c>
      <c r="R21" s="62" t="s">
        <v>2167</v>
      </c>
      <c r="S21" s="62" t="s">
        <v>127</v>
      </c>
      <c r="T21" s="61">
        <v>3661</v>
      </c>
      <c r="U21" s="61">
        <v>3246</v>
      </c>
      <c r="V21" s="61"/>
      <c r="W21" s="61">
        <v>1155</v>
      </c>
      <c r="X21" s="61">
        <v>871</v>
      </c>
      <c r="Y21" s="61">
        <v>1094</v>
      </c>
      <c r="Z21" s="61">
        <v>820</v>
      </c>
      <c r="AA21" s="61">
        <v>632</v>
      </c>
      <c r="AB21" s="61">
        <v>726</v>
      </c>
      <c r="AC21" s="61">
        <v>594</v>
      </c>
      <c r="AD21" s="61">
        <v>400</v>
      </c>
      <c r="AE21" s="61">
        <v>403</v>
      </c>
      <c r="AF21" s="61">
        <v>212</v>
      </c>
      <c r="AG21" s="61"/>
      <c r="AH21" s="61">
        <v>51</v>
      </c>
      <c r="AI21" s="61">
        <v>115</v>
      </c>
      <c r="AJ21" s="61">
        <v>3278</v>
      </c>
      <c r="AK21" s="61">
        <v>77</v>
      </c>
      <c r="AL21" s="61">
        <v>14</v>
      </c>
      <c r="AM21" s="61">
        <v>5</v>
      </c>
      <c r="AN21" s="61">
        <v>3367</v>
      </c>
      <c r="AO21" s="61">
        <v>309</v>
      </c>
      <c r="AP21" s="61">
        <v>243</v>
      </c>
      <c r="AQ21" s="61">
        <v>11</v>
      </c>
      <c r="AR21" s="61">
        <v>7</v>
      </c>
      <c r="AS21" s="61"/>
      <c r="AT21" s="61"/>
      <c r="AU21" s="61"/>
      <c r="AV21" s="61">
        <v>140</v>
      </c>
      <c r="AW21" s="61">
        <v>25</v>
      </c>
      <c r="AX21" s="61"/>
      <c r="AY21" s="61">
        <v>6128</v>
      </c>
      <c r="AZ21" s="61">
        <v>44</v>
      </c>
      <c r="BA21" s="61"/>
      <c r="BB21" s="61"/>
      <c r="BC21" s="61"/>
      <c r="BD21" s="61">
        <v>3615</v>
      </c>
      <c r="BE21" s="61">
        <v>1284</v>
      </c>
      <c r="BF21" s="61">
        <v>424</v>
      </c>
      <c r="BG21" s="61">
        <v>1163</v>
      </c>
      <c r="BH21" s="61">
        <v>421</v>
      </c>
      <c r="BI21" s="61"/>
      <c r="BJ21" s="61">
        <v>6907</v>
      </c>
      <c r="BK21" s="61">
        <v>26</v>
      </c>
      <c r="BL21" s="61">
        <v>5278</v>
      </c>
      <c r="BM21" s="61">
        <v>1603</v>
      </c>
      <c r="BN21" s="61">
        <v>251</v>
      </c>
      <c r="BO21" s="61">
        <v>189</v>
      </c>
      <c r="BP21" s="61"/>
      <c r="BQ21" s="61">
        <v>13</v>
      </c>
      <c r="BR21" s="61">
        <v>20</v>
      </c>
      <c r="BS21" s="61">
        <v>45</v>
      </c>
      <c r="BT21" s="61">
        <v>31</v>
      </c>
      <c r="BU21" s="61">
        <v>50</v>
      </c>
      <c r="BV21" s="61">
        <v>73</v>
      </c>
      <c r="BW21" s="61">
        <v>73</v>
      </c>
      <c r="BX21" s="61">
        <v>122</v>
      </c>
      <c r="BY21" s="61">
        <v>4</v>
      </c>
      <c r="BZ21" s="61">
        <v>9</v>
      </c>
      <c r="CA21" s="61"/>
      <c r="CB21" s="61">
        <v>4</v>
      </c>
      <c r="CC21" s="61">
        <v>3</v>
      </c>
      <c r="CD21" s="61">
        <v>138</v>
      </c>
      <c r="CE21" s="61"/>
      <c r="CF21" s="61"/>
      <c r="CG21" s="61">
        <v>293</v>
      </c>
      <c r="CH21" s="61">
        <v>2</v>
      </c>
      <c r="CI21" s="61">
        <v>27</v>
      </c>
      <c r="CJ21" s="61">
        <v>7</v>
      </c>
      <c r="CK21" s="61">
        <v>6</v>
      </c>
      <c r="CL21" s="61">
        <v>27</v>
      </c>
      <c r="CM21" s="61"/>
      <c r="CN21" s="61"/>
      <c r="CO21" s="61"/>
      <c r="CP21" s="61">
        <v>254</v>
      </c>
      <c r="CQ21" s="61">
        <v>109</v>
      </c>
      <c r="CR21" s="61">
        <v>5</v>
      </c>
      <c r="CS21" s="61">
        <v>5</v>
      </c>
      <c r="CT21" s="61"/>
      <c r="CU21" s="61"/>
      <c r="CV21" s="61"/>
      <c r="CW21" s="61"/>
      <c r="CX21" s="61">
        <v>92</v>
      </c>
      <c r="CY21" s="61">
        <v>240</v>
      </c>
      <c r="CZ21" s="61"/>
      <c r="DA21" s="61">
        <v>80</v>
      </c>
      <c r="DB21" s="61">
        <v>28</v>
      </c>
      <c r="DC21" s="61"/>
      <c r="DD21" s="61">
        <v>440</v>
      </c>
      <c r="DE21" s="61"/>
      <c r="DF21" s="61">
        <v>367</v>
      </c>
      <c r="DG21" s="61">
        <v>73</v>
      </c>
      <c r="DH21" s="62" t="s">
        <v>2185</v>
      </c>
      <c r="DI21" s="61">
        <v>48</v>
      </c>
      <c r="DJ21" s="61">
        <v>4</v>
      </c>
      <c r="DK21" s="61"/>
      <c r="DL21" s="61"/>
      <c r="DM21" s="61"/>
      <c r="DN21" s="61"/>
    </row>
    <row r="22" spans="1:118" x14ac:dyDescent="0.25">
      <c r="A22" s="61">
        <v>106070904</v>
      </c>
      <c r="B22" s="62" t="s">
        <v>154</v>
      </c>
      <c r="C22" s="62" t="s">
        <v>155</v>
      </c>
      <c r="D22" s="62" t="s">
        <v>156</v>
      </c>
      <c r="E22" s="62" t="s">
        <v>94</v>
      </c>
      <c r="F22" s="62" t="s">
        <v>2213</v>
      </c>
      <c r="G22" s="62" t="s">
        <v>157</v>
      </c>
      <c r="H22" s="62" t="s">
        <v>158</v>
      </c>
      <c r="I22" s="62" t="s">
        <v>159</v>
      </c>
      <c r="J22" s="62" t="s">
        <v>2189</v>
      </c>
      <c r="K22" s="62"/>
      <c r="L22" s="61">
        <v>11</v>
      </c>
      <c r="M22" s="61">
        <v>15</v>
      </c>
      <c r="N22" s="61">
        <v>9</v>
      </c>
      <c r="O22" s="62" t="s">
        <v>1793</v>
      </c>
      <c r="P22" s="62" t="s">
        <v>68</v>
      </c>
      <c r="Q22" s="62" t="s">
        <v>2167</v>
      </c>
      <c r="R22" s="62" t="s">
        <v>2167</v>
      </c>
      <c r="S22" s="62" t="s">
        <v>127</v>
      </c>
      <c r="T22" s="61">
        <v>5342</v>
      </c>
      <c r="U22" s="61">
        <v>4001</v>
      </c>
      <c r="V22" s="61"/>
      <c r="W22" s="61">
        <v>1299</v>
      </c>
      <c r="X22" s="61">
        <v>1022</v>
      </c>
      <c r="Y22" s="61">
        <v>1702</v>
      </c>
      <c r="Z22" s="61">
        <v>1401</v>
      </c>
      <c r="AA22" s="61">
        <v>1180</v>
      </c>
      <c r="AB22" s="61">
        <v>1151</v>
      </c>
      <c r="AC22" s="61">
        <v>736</v>
      </c>
      <c r="AD22" s="61">
        <v>385</v>
      </c>
      <c r="AE22" s="61">
        <v>270</v>
      </c>
      <c r="AF22" s="61">
        <v>197</v>
      </c>
      <c r="AG22" s="61"/>
      <c r="AH22" s="61">
        <v>415</v>
      </c>
      <c r="AI22" s="61">
        <v>1637</v>
      </c>
      <c r="AJ22" s="61">
        <v>5988</v>
      </c>
      <c r="AK22" s="61">
        <v>50</v>
      </c>
      <c r="AL22" s="61">
        <v>200</v>
      </c>
      <c r="AM22" s="61">
        <v>5</v>
      </c>
      <c r="AN22" s="61">
        <v>1048</v>
      </c>
      <c r="AO22" s="61">
        <v>80</v>
      </c>
      <c r="AP22" s="61">
        <v>97</v>
      </c>
      <c r="AQ22" s="61"/>
      <c r="AR22" s="61">
        <v>2</v>
      </c>
      <c r="AS22" s="61">
        <v>2</v>
      </c>
      <c r="AT22" s="61"/>
      <c r="AU22" s="61"/>
      <c r="AV22" s="61">
        <v>2</v>
      </c>
      <c r="AW22" s="61">
        <v>13</v>
      </c>
      <c r="AX22" s="61"/>
      <c r="AY22" s="61">
        <v>9026</v>
      </c>
      <c r="AZ22" s="61">
        <v>13</v>
      </c>
      <c r="BA22" s="61">
        <v>19</v>
      </c>
      <c r="BB22" s="61"/>
      <c r="BC22" s="61">
        <v>88</v>
      </c>
      <c r="BD22" s="61">
        <v>1096</v>
      </c>
      <c r="BE22" s="61">
        <v>1261</v>
      </c>
      <c r="BF22" s="61">
        <v>100</v>
      </c>
      <c r="BG22" s="61">
        <v>5595</v>
      </c>
      <c r="BH22" s="61">
        <v>1286</v>
      </c>
      <c r="BI22" s="61">
        <v>5</v>
      </c>
      <c r="BJ22" s="61">
        <v>9343</v>
      </c>
      <c r="BK22" s="61">
        <v>21</v>
      </c>
      <c r="BL22" s="61">
        <v>7798</v>
      </c>
      <c r="BM22" s="61">
        <v>1524</v>
      </c>
      <c r="BN22" s="61">
        <v>199</v>
      </c>
      <c r="BO22" s="61">
        <v>189</v>
      </c>
      <c r="BP22" s="61"/>
      <c r="BQ22" s="61">
        <v>1</v>
      </c>
      <c r="BR22" s="61">
        <v>11</v>
      </c>
      <c r="BS22" s="61">
        <v>29</v>
      </c>
      <c r="BT22" s="61">
        <v>48</v>
      </c>
      <c r="BU22" s="61">
        <v>69</v>
      </c>
      <c r="BV22" s="61">
        <v>68</v>
      </c>
      <c r="BW22" s="61">
        <v>61</v>
      </c>
      <c r="BX22" s="61">
        <v>101</v>
      </c>
      <c r="BY22" s="61"/>
      <c r="BZ22" s="61"/>
      <c r="CA22" s="61"/>
      <c r="CB22" s="61">
        <v>72</v>
      </c>
      <c r="CC22" s="61">
        <v>120</v>
      </c>
      <c r="CD22" s="61">
        <v>75</v>
      </c>
      <c r="CE22" s="61">
        <v>4</v>
      </c>
      <c r="CF22" s="61">
        <v>2</v>
      </c>
      <c r="CG22" s="61">
        <v>113</v>
      </c>
      <c r="CH22" s="61">
        <v>2</v>
      </c>
      <c r="CI22" s="61">
        <v>11</v>
      </c>
      <c r="CJ22" s="61">
        <v>12</v>
      </c>
      <c r="CK22" s="61">
        <v>8</v>
      </c>
      <c r="CL22" s="61">
        <v>28</v>
      </c>
      <c r="CM22" s="61"/>
      <c r="CN22" s="61"/>
      <c r="CO22" s="61"/>
      <c r="CP22" s="61">
        <v>281</v>
      </c>
      <c r="CQ22" s="61">
        <v>39</v>
      </c>
      <c r="CR22" s="61">
        <v>7</v>
      </c>
      <c r="CS22" s="61">
        <v>1</v>
      </c>
      <c r="CT22" s="61"/>
      <c r="CU22" s="61"/>
      <c r="CV22" s="61"/>
      <c r="CW22" s="61">
        <v>1</v>
      </c>
      <c r="CX22" s="61">
        <v>116</v>
      </c>
      <c r="CY22" s="61">
        <v>192</v>
      </c>
      <c r="CZ22" s="61">
        <v>7</v>
      </c>
      <c r="DA22" s="61">
        <v>52</v>
      </c>
      <c r="DB22" s="61">
        <v>20</v>
      </c>
      <c r="DC22" s="61">
        <v>1</v>
      </c>
      <c r="DD22" s="61">
        <v>388</v>
      </c>
      <c r="DE22" s="61">
        <v>16</v>
      </c>
      <c r="DF22" s="61">
        <v>317</v>
      </c>
      <c r="DG22" s="61">
        <v>55</v>
      </c>
      <c r="DH22" s="62" t="s">
        <v>2185</v>
      </c>
      <c r="DI22" s="61">
        <v>124</v>
      </c>
      <c r="DJ22" s="61">
        <v>25</v>
      </c>
      <c r="DK22" s="61">
        <v>1</v>
      </c>
      <c r="DL22" s="61"/>
      <c r="DM22" s="61"/>
      <c r="DN22" s="61"/>
    </row>
    <row r="23" spans="1:118" x14ac:dyDescent="0.25">
      <c r="A23" s="61">
        <v>106070924</v>
      </c>
      <c r="B23" s="62" t="s">
        <v>160</v>
      </c>
      <c r="C23" s="62" t="s">
        <v>161</v>
      </c>
      <c r="D23" s="62" t="s">
        <v>156</v>
      </c>
      <c r="E23" s="62" t="s">
        <v>100</v>
      </c>
      <c r="F23" s="62" t="s">
        <v>2213</v>
      </c>
      <c r="G23" s="62" t="s">
        <v>162</v>
      </c>
      <c r="H23" s="62" t="s">
        <v>163</v>
      </c>
      <c r="I23" s="62" t="s">
        <v>164</v>
      </c>
      <c r="J23" s="62" t="s">
        <v>2187</v>
      </c>
      <c r="K23" s="62"/>
      <c r="L23" s="61">
        <v>5</v>
      </c>
      <c r="M23" s="61">
        <v>14</v>
      </c>
      <c r="N23" s="61">
        <v>3</v>
      </c>
      <c r="O23" s="62" t="s">
        <v>1794</v>
      </c>
      <c r="P23" s="62" t="s">
        <v>68</v>
      </c>
      <c r="Q23" s="62" t="s">
        <v>2167</v>
      </c>
      <c r="R23" s="62" t="s">
        <v>2167</v>
      </c>
      <c r="S23" s="62" t="s">
        <v>69</v>
      </c>
      <c r="T23" s="61">
        <v>26033</v>
      </c>
      <c r="U23" s="61">
        <v>23899</v>
      </c>
      <c r="V23" s="61">
        <v>9</v>
      </c>
      <c r="W23" s="61">
        <v>2758</v>
      </c>
      <c r="X23" s="61">
        <v>4300</v>
      </c>
      <c r="Y23" s="61">
        <v>9478</v>
      </c>
      <c r="Z23" s="61">
        <v>9561</v>
      </c>
      <c r="AA23" s="61">
        <v>7631</v>
      </c>
      <c r="AB23" s="61">
        <v>8298</v>
      </c>
      <c r="AC23" s="61">
        <v>4806</v>
      </c>
      <c r="AD23" s="61">
        <v>1513</v>
      </c>
      <c r="AE23" s="61">
        <v>764</v>
      </c>
      <c r="AF23" s="61">
        <v>832</v>
      </c>
      <c r="AG23" s="61"/>
      <c r="AH23" s="61">
        <v>5298</v>
      </c>
      <c r="AI23" s="61">
        <v>8691</v>
      </c>
      <c r="AJ23" s="61">
        <v>13777</v>
      </c>
      <c r="AK23" s="61">
        <v>327</v>
      </c>
      <c r="AL23" s="61">
        <v>4612</v>
      </c>
      <c r="AM23" s="61">
        <v>1</v>
      </c>
      <c r="AN23" s="61">
        <v>17235</v>
      </c>
      <c r="AO23" s="61">
        <v>194</v>
      </c>
      <c r="AP23" s="61">
        <v>1419</v>
      </c>
      <c r="AQ23" s="61">
        <v>12</v>
      </c>
      <c r="AR23" s="61">
        <v>897</v>
      </c>
      <c r="AS23" s="61">
        <v>2</v>
      </c>
      <c r="AT23" s="61"/>
      <c r="AU23" s="61"/>
      <c r="AV23" s="61">
        <v>787</v>
      </c>
      <c r="AW23" s="61">
        <v>8</v>
      </c>
      <c r="AX23" s="61">
        <v>117</v>
      </c>
      <c r="AY23" s="61">
        <v>44750</v>
      </c>
      <c r="AZ23" s="61">
        <v>1631</v>
      </c>
      <c r="BA23" s="61">
        <v>4</v>
      </c>
      <c r="BB23" s="61"/>
      <c r="BC23" s="61"/>
      <c r="BD23" s="61">
        <v>30649</v>
      </c>
      <c r="BE23" s="61">
        <v>6156</v>
      </c>
      <c r="BF23" s="61">
        <v>4618</v>
      </c>
      <c r="BG23" s="61">
        <v>4999</v>
      </c>
      <c r="BH23" s="61">
        <v>3519</v>
      </c>
      <c r="BI23" s="61"/>
      <c r="BJ23" s="61">
        <v>49941</v>
      </c>
      <c r="BK23" s="61">
        <v>2326</v>
      </c>
      <c r="BL23" s="61">
        <v>38469</v>
      </c>
      <c r="BM23" s="61">
        <v>9146</v>
      </c>
      <c r="BN23" s="61">
        <v>2903</v>
      </c>
      <c r="BO23" s="61">
        <v>2674</v>
      </c>
      <c r="BP23" s="61"/>
      <c r="BQ23" s="61">
        <v>83</v>
      </c>
      <c r="BR23" s="61">
        <v>633</v>
      </c>
      <c r="BS23" s="61">
        <v>729</v>
      </c>
      <c r="BT23" s="61">
        <v>816</v>
      </c>
      <c r="BU23" s="61">
        <v>1204</v>
      </c>
      <c r="BV23" s="61">
        <v>1073</v>
      </c>
      <c r="BW23" s="61">
        <v>546</v>
      </c>
      <c r="BX23" s="61">
        <v>471</v>
      </c>
      <c r="BY23" s="61">
        <v>22</v>
      </c>
      <c r="BZ23" s="61"/>
      <c r="CA23" s="61"/>
      <c r="CB23" s="61">
        <v>761</v>
      </c>
      <c r="CC23" s="61">
        <v>1044</v>
      </c>
      <c r="CD23" s="61">
        <v>1410</v>
      </c>
      <c r="CE23" s="61">
        <v>114</v>
      </c>
      <c r="CF23" s="61">
        <v>4</v>
      </c>
      <c r="CG23" s="61">
        <v>2149</v>
      </c>
      <c r="CH23" s="61">
        <v>95</v>
      </c>
      <c r="CI23" s="61">
        <v>16</v>
      </c>
      <c r="CJ23" s="61">
        <v>12</v>
      </c>
      <c r="CK23" s="61">
        <v>55</v>
      </c>
      <c r="CL23" s="61">
        <v>44</v>
      </c>
      <c r="CM23" s="61"/>
      <c r="CN23" s="61"/>
      <c r="CO23" s="61">
        <v>162</v>
      </c>
      <c r="CP23" s="61">
        <v>5080</v>
      </c>
      <c r="CQ23" s="61">
        <v>77</v>
      </c>
      <c r="CR23" s="61">
        <v>77</v>
      </c>
      <c r="CS23" s="61">
        <v>17</v>
      </c>
      <c r="CT23" s="61">
        <v>34</v>
      </c>
      <c r="CU23" s="61">
        <v>3</v>
      </c>
      <c r="CV23" s="61"/>
      <c r="CW23" s="61"/>
      <c r="CX23" s="61">
        <v>3390</v>
      </c>
      <c r="CY23" s="61">
        <v>1622</v>
      </c>
      <c r="CZ23" s="61">
        <v>90</v>
      </c>
      <c r="DA23" s="61">
        <v>350</v>
      </c>
      <c r="DB23" s="61">
        <v>125</v>
      </c>
      <c r="DC23" s="61"/>
      <c r="DD23" s="61">
        <v>5577</v>
      </c>
      <c r="DE23" s="61">
        <v>446</v>
      </c>
      <c r="DF23" s="61">
        <v>4233</v>
      </c>
      <c r="DG23" s="61">
        <v>898</v>
      </c>
      <c r="DH23" s="62" t="s">
        <v>2185</v>
      </c>
      <c r="DI23" s="61">
        <v>167</v>
      </c>
      <c r="DJ23" s="61">
        <v>20</v>
      </c>
      <c r="DK23" s="61">
        <v>120</v>
      </c>
      <c r="DL23" s="61"/>
      <c r="DM23" s="61"/>
      <c r="DN23" s="61"/>
    </row>
    <row r="24" spans="1:118" x14ac:dyDescent="0.25">
      <c r="A24" s="61">
        <v>106070934</v>
      </c>
      <c r="B24" s="62" t="s">
        <v>165</v>
      </c>
      <c r="C24" s="62" t="s">
        <v>166</v>
      </c>
      <c r="D24" s="62" t="s">
        <v>156</v>
      </c>
      <c r="E24" s="62" t="s">
        <v>71</v>
      </c>
      <c r="F24" s="62" t="s">
        <v>2213</v>
      </c>
      <c r="G24" s="62" t="s">
        <v>167</v>
      </c>
      <c r="H24" s="62" t="s">
        <v>168</v>
      </c>
      <c r="I24" s="62" t="s">
        <v>169</v>
      </c>
      <c r="J24" s="62" t="s">
        <v>2189</v>
      </c>
      <c r="K24" s="62"/>
      <c r="L24" s="61">
        <v>9</v>
      </c>
      <c r="M24" s="61">
        <v>11</v>
      </c>
      <c r="N24" s="61">
        <v>7</v>
      </c>
      <c r="O24" s="62" t="s">
        <v>1795</v>
      </c>
      <c r="P24" s="62" t="s">
        <v>68</v>
      </c>
      <c r="Q24" s="62" t="s">
        <v>2167</v>
      </c>
      <c r="R24" s="62" t="s">
        <v>2167</v>
      </c>
      <c r="S24" s="62" t="s">
        <v>69</v>
      </c>
      <c r="T24" s="61">
        <v>30410</v>
      </c>
      <c r="U24" s="61">
        <v>21920</v>
      </c>
      <c r="V24" s="61">
        <v>1</v>
      </c>
      <c r="W24" s="61">
        <v>7636</v>
      </c>
      <c r="X24" s="61">
        <v>6378</v>
      </c>
      <c r="Y24" s="61">
        <v>10046</v>
      </c>
      <c r="Z24" s="61">
        <v>7983</v>
      </c>
      <c r="AA24" s="61">
        <v>6162</v>
      </c>
      <c r="AB24" s="61">
        <v>6001</v>
      </c>
      <c r="AC24" s="61">
        <v>3319</v>
      </c>
      <c r="AD24" s="61">
        <v>1836</v>
      </c>
      <c r="AE24" s="61">
        <v>1479</v>
      </c>
      <c r="AF24" s="61">
        <v>1491</v>
      </c>
      <c r="AG24" s="61"/>
      <c r="AH24" s="61">
        <v>2671</v>
      </c>
      <c r="AI24" s="61">
        <v>14831</v>
      </c>
      <c r="AJ24" s="61">
        <v>16336</v>
      </c>
      <c r="AK24" s="61">
        <v>76</v>
      </c>
      <c r="AL24" s="61">
        <v>1215</v>
      </c>
      <c r="AM24" s="61">
        <v>112</v>
      </c>
      <c r="AN24" s="61">
        <v>17090</v>
      </c>
      <c r="AO24" s="61">
        <v>362</v>
      </c>
      <c r="AP24" s="61">
        <v>504</v>
      </c>
      <c r="AQ24" s="61">
        <v>65</v>
      </c>
      <c r="AR24" s="61">
        <v>144</v>
      </c>
      <c r="AS24" s="61">
        <v>14</v>
      </c>
      <c r="AT24" s="61"/>
      <c r="AU24" s="61"/>
      <c r="AV24" s="61">
        <v>33</v>
      </c>
      <c r="AW24" s="61">
        <v>224</v>
      </c>
      <c r="AX24" s="61">
        <v>10</v>
      </c>
      <c r="AY24" s="61">
        <v>50298</v>
      </c>
      <c r="AZ24" s="61">
        <v>106</v>
      </c>
      <c r="BA24" s="61">
        <v>6</v>
      </c>
      <c r="BB24" s="61">
        <v>36</v>
      </c>
      <c r="BC24" s="61">
        <v>288</v>
      </c>
      <c r="BD24" s="61">
        <v>32072</v>
      </c>
      <c r="BE24" s="61">
        <v>6672</v>
      </c>
      <c r="BF24" s="61">
        <v>880</v>
      </c>
      <c r="BG24" s="61">
        <v>7996</v>
      </c>
      <c r="BH24" s="61">
        <v>4647</v>
      </c>
      <c r="BI24" s="61">
        <v>64</v>
      </c>
      <c r="BJ24" s="61">
        <v>52331</v>
      </c>
      <c r="BK24" s="61">
        <v>652</v>
      </c>
      <c r="BL24" s="61">
        <v>46612</v>
      </c>
      <c r="BM24" s="61">
        <v>5067</v>
      </c>
      <c r="BN24" s="61">
        <v>3627</v>
      </c>
      <c r="BO24" s="61">
        <v>3101</v>
      </c>
      <c r="BP24" s="61"/>
      <c r="BQ24" s="61">
        <v>97</v>
      </c>
      <c r="BR24" s="61">
        <v>455</v>
      </c>
      <c r="BS24" s="61">
        <v>585</v>
      </c>
      <c r="BT24" s="61">
        <v>820</v>
      </c>
      <c r="BU24" s="61">
        <v>1265</v>
      </c>
      <c r="BV24" s="61">
        <v>1220</v>
      </c>
      <c r="BW24" s="61">
        <v>1015</v>
      </c>
      <c r="BX24" s="61">
        <v>1078</v>
      </c>
      <c r="BY24" s="61">
        <v>90</v>
      </c>
      <c r="BZ24" s="61">
        <v>103</v>
      </c>
      <c r="CA24" s="61"/>
      <c r="CB24" s="61">
        <v>443</v>
      </c>
      <c r="CC24" s="61">
        <v>1425</v>
      </c>
      <c r="CD24" s="61">
        <v>1420</v>
      </c>
      <c r="CE24" s="61">
        <v>173</v>
      </c>
      <c r="CF24" s="61">
        <v>14</v>
      </c>
      <c r="CG24" s="61">
        <v>3245</v>
      </c>
      <c r="CH24" s="61">
        <v>8</v>
      </c>
      <c r="CI24" s="61">
        <v>233</v>
      </c>
      <c r="CJ24" s="61">
        <v>274</v>
      </c>
      <c r="CK24" s="61">
        <v>175</v>
      </c>
      <c r="CL24" s="61">
        <v>814</v>
      </c>
      <c r="CM24" s="61">
        <v>21</v>
      </c>
      <c r="CN24" s="61"/>
      <c r="CO24" s="61">
        <v>15</v>
      </c>
      <c r="CP24" s="61">
        <v>4340</v>
      </c>
      <c r="CQ24" s="61">
        <v>694</v>
      </c>
      <c r="CR24" s="61"/>
      <c r="CS24" s="61">
        <v>133</v>
      </c>
      <c r="CT24" s="61">
        <v>17</v>
      </c>
      <c r="CU24" s="61">
        <v>2</v>
      </c>
      <c r="CV24" s="61">
        <v>2</v>
      </c>
      <c r="CW24" s="61">
        <v>7</v>
      </c>
      <c r="CX24" s="61">
        <v>2445</v>
      </c>
      <c r="CY24" s="61">
        <v>2880</v>
      </c>
      <c r="CZ24" s="61">
        <v>62</v>
      </c>
      <c r="DA24" s="61">
        <v>1197</v>
      </c>
      <c r="DB24" s="61">
        <v>144</v>
      </c>
      <c r="DC24" s="61"/>
      <c r="DD24" s="61">
        <v>6728</v>
      </c>
      <c r="DE24" s="61">
        <v>177</v>
      </c>
      <c r="DF24" s="61">
        <v>6062</v>
      </c>
      <c r="DG24" s="61">
        <v>489</v>
      </c>
      <c r="DH24" s="62" t="s">
        <v>2185</v>
      </c>
      <c r="DI24" s="61">
        <v>145</v>
      </c>
      <c r="DJ24" s="61">
        <v>32</v>
      </c>
      <c r="DK24" s="61">
        <v>171</v>
      </c>
      <c r="DL24" s="61">
        <v>70</v>
      </c>
      <c r="DM24" s="61">
        <v>1</v>
      </c>
      <c r="DN24" s="61"/>
    </row>
    <row r="25" spans="1:118" x14ac:dyDescent="0.25">
      <c r="A25" s="61">
        <v>106070988</v>
      </c>
      <c r="B25" s="62" t="s">
        <v>170</v>
      </c>
      <c r="C25" s="62" t="s">
        <v>171</v>
      </c>
      <c r="D25" s="62" t="s">
        <v>156</v>
      </c>
      <c r="E25" s="62" t="s">
        <v>71</v>
      </c>
      <c r="F25" s="62" t="s">
        <v>2213</v>
      </c>
      <c r="G25" s="62" t="s">
        <v>172</v>
      </c>
      <c r="H25" s="62" t="s">
        <v>173</v>
      </c>
      <c r="I25" s="62" t="s">
        <v>174</v>
      </c>
      <c r="J25" s="62" t="s">
        <v>2191</v>
      </c>
      <c r="K25" s="62" t="s">
        <v>82</v>
      </c>
      <c r="L25" s="61">
        <v>11</v>
      </c>
      <c r="M25" s="61">
        <v>16</v>
      </c>
      <c r="N25" s="61">
        <v>7</v>
      </c>
      <c r="O25" s="62" t="s">
        <v>1796</v>
      </c>
      <c r="P25" s="62" t="s">
        <v>68</v>
      </c>
      <c r="Q25" s="62" t="s">
        <v>2167</v>
      </c>
      <c r="R25" s="62" t="s">
        <v>2167</v>
      </c>
      <c r="S25" s="62" t="s">
        <v>69</v>
      </c>
      <c r="T25" s="61">
        <v>21949</v>
      </c>
      <c r="U25" s="61">
        <v>17028</v>
      </c>
      <c r="V25" s="61">
        <v>1</v>
      </c>
      <c r="W25" s="61">
        <v>4178</v>
      </c>
      <c r="X25" s="61">
        <v>3573</v>
      </c>
      <c r="Y25" s="61">
        <v>4575</v>
      </c>
      <c r="Z25" s="61">
        <v>4359</v>
      </c>
      <c r="AA25" s="61">
        <v>4237</v>
      </c>
      <c r="AB25" s="61">
        <v>4564</v>
      </c>
      <c r="AC25" s="61">
        <v>3899</v>
      </c>
      <c r="AD25" s="61">
        <v>3491</v>
      </c>
      <c r="AE25" s="61">
        <v>5101</v>
      </c>
      <c r="AF25" s="61">
        <v>1001</v>
      </c>
      <c r="AG25" s="61"/>
      <c r="AH25" s="61">
        <v>3113</v>
      </c>
      <c r="AI25" s="61">
        <v>2119</v>
      </c>
      <c r="AJ25" s="61">
        <v>5592</v>
      </c>
      <c r="AK25" s="61">
        <v>140</v>
      </c>
      <c r="AL25" s="61">
        <v>1500</v>
      </c>
      <c r="AM25" s="61">
        <v>1325</v>
      </c>
      <c r="AN25" s="61">
        <v>25189</v>
      </c>
      <c r="AO25" s="61">
        <v>178</v>
      </c>
      <c r="AP25" s="61">
        <v>144</v>
      </c>
      <c r="AQ25" s="61">
        <v>59</v>
      </c>
      <c r="AR25" s="61">
        <v>146</v>
      </c>
      <c r="AS25" s="61">
        <v>90</v>
      </c>
      <c r="AT25" s="61">
        <v>1</v>
      </c>
      <c r="AU25" s="61"/>
      <c r="AV25" s="61">
        <v>25</v>
      </c>
      <c r="AW25" s="61">
        <v>243</v>
      </c>
      <c r="AX25" s="61">
        <v>2</v>
      </c>
      <c r="AY25" s="61">
        <v>37155</v>
      </c>
      <c r="AZ25" s="61">
        <v>592</v>
      </c>
      <c r="BA25" s="61">
        <v>56</v>
      </c>
      <c r="BB25" s="61"/>
      <c r="BC25" s="61">
        <v>17</v>
      </c>
      <c r="BD25" s="61">
        <v>1478</v>
      </c>
      <c r="BE25" s="61">
        <v>17803</v>
      </c>
      <c r="BF25" s="61">
        <v>919</v>
      </c>
      <c r="BG25" s="61">
        <v>16388</v>
      </c>
      <c r="BH25" s="61">
        <v>2390</v>
      </c>
      <c r="BI25" s="61"/>
      <c r="BJ25" s="61">
        <v>38978</v>
      </c>
      <c r="BK25" s="61">
        <v>1055</v>
      </c>
      <c r="BL25" s="61">
        <v>36595</v>
      </c>
      <c r="BM25" s="61">
        <v>1328</v>
      </c>
      <c r="BN25" s="61">
        <v>5906</v>
      </c>
      <c r="BO25" s="61">
        <v>5401</v>
      </c>
      <c r="BP25" s="61"/>
      <c r="BQ25" s="61">
        <v>336</v>
      </c>
      <c r="BR25" s="61">
        <v>550</v>
      </c>
      <c r="BS25" s="61">
        <v>637</v>
      </c>
      <c r="BT25" s="61">
        <v>756</v>
      </c>
      <c r="BU25" s="61">
        <v>1283</v>
      </c>
      <c r="BV25" s="61">
        <v>1680</v>
      </c>
      <c r="BW25" s="61">
        <v>1974</v>
      </c>
      <c r="BX25" s="61">
        <v>3657</v>
      </c>
      <c r="BY25" s="61">
        <v>138</v>
      </c>
      <c r="BZ25" s="61">
        <v>296</v>
      </c>
      <c r="CA25" s="61"/>
      <c r="CB25" s="61">
        <v>802</v>
      </c>
      <c r="CC25" s="61">
        <v>683</v>
      </c>
      <c r="CD25" s="61">
        <v>999</v>
      </c>
      <c r="CE25" s="61">
        <v>271</v>
      </c>
      <c r="CF25" s="61">
        <v>239</v>
      </c>
      <c r="CG25" s="61">
        <v>8272</v>
      </c>
      <c r="CH25" s="61">
        <v>41</v>
      </c>
      <c r="CI25" s="61">
        <v>427</v>
      </c>
      <c r="CJ25" s="61">
        <v>64</v>
      </c>
      <c r="CK25" s="61">
        <v>424</v>
      </c>
      <c r="CL25" s="61">
        <v>2070</v>
      </c>
      <c r="CM25" s="61">
        <v>203</v>
      </c>
      <c r="CN25" s="61"/>
      <c r="CO25" s="61">
        <v>12</v>
      </c>
      <c r="CP25" s="61">
        <v>5645</v>
      </c>
      <c r="CQ25" s="61">
        <v>2024</v>
      </c>
      <c r="CR25" s="61">
        <v>9</v>
      </c>
      <c r="CS25" s="61">
        <v>335</v>
      </c>
      <c r="CT25" s="61">
        <v>88</v>
      </c>
      <c r="CU25" s="61">
        <v>3</v>
      </c>
      <c r="CV25" s="61"/>
      <c r="CW25" s="61"/>
      <c r="CX25" s="61">
        <v>1256</v>
      </c>
      <c r="CY25" s="61">
        <v>6645</v>
      </c>
      <c r="CZ25" s="61">
        <v>210</v>
      </c>
      <c r="DA25" s="61">
        <v>2785</v>
      </c>
      <c r="DB25" s="61">
        <v>411</v>
      </c>
      <c r="DC25" s="61"/>
      <c r="DD25" s="61">
        <v>11307</v>
      </c>
      <c r="DE25" s="61">
        <v>395</v>
      </c>
      <c r="DF25" s="61">
        <v>10623</v>
      </c>
      <c r="DG25" s="61">
        <v>289</v>
      </c>
      <c r="DH25" s="62" t="s">
        <v>2185</v>
      </c>
      <c r="DI25" s="61">
        <v>572</v>
      </c>
      <c r="DJ25" s="61">
        <v>44</v>
      </c>
      <c r="DK25" s="61"/>
      <c r="DL25" s="61">
        <v>270</v>
      </c>
      <c r="DM25" s="61"/>
      <c r="DN25" s="61">
        <v>3</v>
      </c>
    </row>
    <row r="26" spans="1:118" x14ac:dyDescent="0.25">
      <c r="A26" s="61">
        <v>106070990</v>
      </c>
      <c r="B26" s="62" t="s">
        <v>175</v>
      </c>
      <c r="C26" s="62" t="s">
        <v>2035</v>
      </c>
      <c r="D26" s="62" t="s">
        <v>156</v>
      </c>
      <c r="E26" s="62" t="s">
        <v>71</v>
      </c>
      <c r="F26" s="62" t="s">
        <v>2213</v>
      </c>
      <c r="G26" s="62" t="s">
        <v>176</v>
      </c>
      <c r="H26" s="62" t="s">
        <v>173</v>
      </c>
      <c r="I26" s="62" t="s">
        <v>2036</v>
      </c>
      <c r="J26" s="62" t="s">
        <v>2184</v>
      </c>
      <c r="K26" s="62"/>
      <c r="L26" s="61">
        <v>11</v>
      </c>
      <c r="M26" s="61">
        <v>16</v>
      </c>
      <c r="N26" s="61">
        <v>7</v>
      </c>
      <c r="O26" s="62" t="s">
        <v>1796</v>
      </c>
      <c r="P26" s="62" t="s">
        <v>68</v>
      </c>
      <c r="Q26" s="62" t="s">
        <v>2167</v>
      </c>
      <c r="R26" s="62" t="s">
        <v>2167</v>
      </c>
      <c r="S26" s="62" t="s">
        <v>69</v>
      </c>
      <c r="T26" s="61">
        <v>27849</v>
      </c>
      <c r="U26" s="61">
        <v>23476</v>
      </c>
      <c r="V26" s="61"/>
      <c r="W26" s="61">
        <v>4731</v>
      </c>
      <c r="X26" s="61">
        <v>4729</v>
      </c>
      <c r="Y26" s="61">
        <v>5464</v>
      </c>
      <c r="Z26" s="61">
        <v>5541</v>
      </c>
      <c r="AA26" s="61">
        <v>5495</v>
      </c>
      <c r="AB26" s="61">
        <v>6273</v>
      </c>
      <c r="AC26" s="61">
        <v>6047</v>
      </c>
      <c r="AD26" s="61">
        <v>5277</v>
      </c>
      <c r="AE26" s="61">
        <v>6954</v>
      </c>
      <c r="AF26" s="61">
        <v>814</v>
      </c>
      <c r="AG26" s="61"/>
      <c r="AH26" s="61">
        <v>5807</v>
      </c>
      <c r="AI26" s="61">
        <v>2561</v>
      </c>
      <c r="AJ26" s="61">
        <v>6726</v>
      </c>
      <c r="AK26" s="61">
        <v>188</v>
      </c>
      <c r="AL26" s="61">
        <v>1558</v>
      </c>
      <c r="AM26" s="61">
        <v>898</v>
      </c>
      <c r="AN26" s="61">
        <v>33587</v>
      </c>
      <c r="AO26" s="61">
        <v>339</v>
      </c>
      <c r="AP26" s="61">
        <v>503</v>
      </c>
      <c r="AQ26" s="61">
        <v>59</v>
      </c>
      <c r="AR26" s="61">
        <v>229</v>
      </c>
      <c r="AS26" s="61">
        <v>92</v>
      </c>
      <c r="AT26" s="61">
        <v>14</v>
      </c>
      <c r="AU26" s="61"/>
      <c r="AV26" s="61">
        <v>5</v>
      </c>
      <c r="AW26" s="61">
        <v>395</v>
      </c>
      <c r="AX26" s="61">
        <v>17</v>
      </c>
      <c r="AY26" s="61">
        <v>48999</v>
      </c>
      <c r="AZ26" s="61">
        <v>397</v>
      </c>
      <c r="BA26" s="61">
        <v>3</v>
      </c>
      <c r="BB26" s="61">
        <v>7</v>
      </c>
      <c r="BC26" s="61">
        <v>266</v>
      </c>
      <c r="BD26" s="61">
        <v>3960</v>
      </c>
      <c r="BE26" s="61">
        <v>15002</v>
      </c>
      <c r="BF26" s="61">
        <v>496</v>
      </c>
      <c r="BG26" s="61">
        <v>29988</v>
      </c>
      <c r="BH26" s="61">
        <v>1879</v>
      </c>
      <c r="BI26" s="61"/>
      <c r="BJ26" s="61">
        <v>51325</v>
      </c>
      <c r="BK26" s="61">
        <v>587</v>
      </c>
      <c r="BL26" s="61">
        <v>49471</v>
      </c>
      <c r="BM26" s="61">
        <v>1267</v>
      </c>
      <c r="BN26" s="61">
        <v>4593</v>
      </c>
      <c r="BO26" s="61">
        <v>4143</v>
      </c>
      <c r="BP26" s="61"/>
      <c r="BQ26" s="61">
        <v>137</v>
      </c>
      <c r="BR26" s="61">
        <v>232</v>
      </c>
      <c r="BS26" s="61">
        <v>311</v>
      </c>
      <c r="BT26" s="61">
        <v>483</v>
      </c>
      <c r="BU26" s="61">
        <v>939</v>
      </c>
      <c r="BV26" s="61">
        <v>1498</v>
      </c>
      <c r="BW26" s="61">
        <v>1912</v>
      </c>
      <c r="BX26" s="61">
        <v>3029</v>
      </c>
      <c r="BY26" s="61">
        <v>62</v>
      </c>
      <c r="BZ26" s="61">
        <v>133</v>
      </c>
      <c r="CA26" s="61"/>
      <c r="CB26" s="61">
        <v>826</v>
      </c>
      <c r="CC26" s="61">
        <v>298</v>
      </c>
      <c r="CD26" s="61">
        <v>619</v>
      </c>
      <c r="CE26" s="61">
        <v>88</v>
      </c>
      <c r="CF26" s="61">
        <v>25</v>
      </c>
      <c r="CG26" s="61">
        <v>6859</v>
      </c>
      <c r="CH26" s="61">
        <v>21</v>
      </c>
      <c r="CI26" s="61">
        <v>251</v>
      </c>
      <c r="CJ26" s="61">
        <v>72</v>
      </c>
      <c r="CK26" s="61">
        <v>314</v>
      </c>
      <c r="CL26" s="61">
        <v>1806</v>
      </c>
      <c r="CM26" s="61">
        <v>60</v>
      </c>
      <c r="CN26" s="61">
        <v>3</v>
      </c>
      <c r="CO26" s="61">
        <v>91</v>
      </c>
      <c r="CP26" s="61">
        <v>4633</v>
      </c>
      <c r="CQ26" s="61">
        <v>1108</v>
      </c>
      <c r="CR26" s="61"/>
      <c r="CS26" s="61">
        <v>372</v>
      </c>
      <c r="CT26" s="61">
        <v>14</v>
      </c>
      <c r="CU26" s="61"/>
      <c r="CV26" s="61"/>
      <c r="CW26" s="61">
        <v>12</v>
      </c>
      <c r="CX26" s="61">
        <v>228</v>
      </c>
      <c r="CY26" s="61">
        <v>5837</v>
      </c>
      <c r="CZ26" s="61">
        <v>11</v>
      </c>
      <c r="DA26" s="61">
        <v>2584</v>
      </c>
      <c r="DB26" s="61">
        <v>76</v>
      </c>
      <c r="DC26" s="61"/>
      <c r="DD26" s="61">
        <v>8736</v>
      </c>
      <c r="DE26" s="61">
        <v>132</v>
      </c>
      <c r="DF26" s="61">
        <v>8490</v>
      </c>
      <c r="DG26" s="61">
        <v>114</v>
      </c>
      <c r="DH26" s="62" t="s">
        <v>2185</v>
      </c>
      <c r="DI26" s="61">
        <v>233</v>
      </c>
      <c r="DJ26" s="61">
        <v>52</v>
      </c>
      <c r="DK26" s="61"/>
      <c r="DL26" s="61"/>
      <c r="DM26" s="61"/>
      <c r="DN26" s="61"/>
    </row>
    <row r="27" spans="1:118" x14ac:dyDescent="0.25">
      <c r="A27" s="61">
        <v>106071018</v>
      </c>
      <c r="B27" s="62" t="s">
        <v>177</v>
      </c>
      <c r="C27" s="62" t="s">
        <v>178</v>
      </c>
      <c r="D27" s="62" t="s">
        <v>156</v>
      </c>
      <c r="E27" s="62" t="s">
        <v>71</v>
      </c>
      <c r="F27" s="62" t="s">
        <v>2213</v>
      </c>
      <c r="G27" s="62" t="s">
        <v>179</v>
      </c>
      <c r="H27" s="62" t="s">
        <v>180</v>
      </c>
      <c r="I27" s="62" t="s">
        <v>181</v>
      </c>
      <c r="J27" s="62" t="s">
        <v>2184</v>
      </c>
      <c r="K27" s="62"/>
      <c r="L27" s="61">
        <v>11</v>
      </c>
      <c r="M27" s="61">
        <v>14</v>
      </c>
      <c r="N27" s="61">
        <v>7</v>
      </c>
      <c r="O27" s="62" t="s">
        <v>1797</v>
      </c>
      <c r="P27" s="62" t="s">
        <v>68</v>
      </c>
      <c r="Q27" s="62" t="s">
        <v>2167</v>
      </c>
      <c r="R27" s="62" t="s">
        <v>2167</v>
      </c>
      <c r="S27" s="62" t="s">
        <v>69</v>
      </c>
      <c r="T27" s="61">
        <v>29568</v>
      </c>
      <c r="U27" s="61">
        <v>22969</v>
      </c>
      <c r="V27" s="61">
        <v>1</v>
      </c>
      <c r="W27" s="61">
        <v>6874</v>
      </c>
      <c r="X27" s="61">
        <v>5292</v>
      </c>
      <c r="Y27" s="61">
        <v>8167</v>
      </c>
      <c r="Z27" s="61">
        <v>7530</v>
      </c>
      <c r="AA27" s="61">
        <v>6391</v>
      </c>
      <c r="AB27" s="61">
        <v>7076</v>
      </c>
      <c r="AC27" s="61">
        <v>4601</v>
      </c>
      <c r="AD27" s="61">
        <v>2922</v>
      </c>
      <c r="AE27" s="61">
        <v>2573</v>
      </c>
      <c r="AF27" s="61">
        <v>1112</v>
      </c>
      <c r="AG27" s="61"/>
      <c r="AH27" s="61">
        <v>3063</v>
      </c>
      <c r="AI27" s="61">
        <v>6226</v>
      </c>
      <c r="AJ27" s="61">
        <v>17920</v>
      </c>
      <c r="AK27" s="61">
        <v>101</v>
      </c>
      <c r="AL27" s="61">
        <v>3482</v>
      </c>
      <c r="AM27" s="61">
        <v>773</v>
      </c>
      <c r="AN27" s="61">
        <v>20973</v>
      </c>
      <c r="AO27" s="61">
        <v>604</v>
      </c>
      <c r="AP27" s="61">
        <v>331</v>
      </c>
      <c r="AQ27" s="61">
        <v>72</v>
      </c>
      <c r="AR27" s="61">
        <v>48</v>
      </c>
      <c r="AS27" s="61">
        <v>30</v>
      </c>
      <c r="AT27" s="61">
        <v>13</v>
      </c>
      <c r="AU27" s="61"/>
      <c r="AV27" s="61">
        <v>67</v>
      </c>
      <c r="AW27" s="61">
        <v>500</v>
      </c>
      <c r="AX27" s="61">
        <v>5</v>
      </c>
      <c r="AY27" s="61">
        <v>49817</v>
      </c>
      <c r="AZ27" s="61">
        <v>273</v>
      </c>
      <c r="BA27" s="61">
        <v>62</v>
      </c>
      <c r="BB27" s="61">
        <v>3</v>
      </c>
      <c r="BC27" s="61">
        <v>111</v>
      </c>
      <c r="BD27" s="61">
        <v>4223</v>
      </c>
      <c r="BE27" s="61">
        <v>31838</v>
      </c>
      <c r="BF27" s="61">
        <v>1078</v>
      </c>
      <c r="BG27" s="61">
        <v>9454</v>
      </c>
      <c r="BH27" s="61">
        <v>5941</v>
      </c>
      <c r="BI27" s="61">
        <v>4</v>
      </c>
      <c r="BJ27" s="61">
        <v>52538</v>
      </c>
      <c r="BK27" s="61">
        <v>883</v>
      </c>
      <c r="BL27" s="61">
        <v>44530</v>
      </c>
      <c r="BM27" s="61">
        <v>7125</v>
      </c>
      <c r="BN27" s="61">
        <v>3948</v>
      </c>
      <c r="BO27" s="61">
        <v>4019</v>
      </c>
      <c r="BP27" s="61"/>
      <c r="BQ27" s="61">
        <v>48</v>
      </c>
      <c r="BR27" s="61">
        <v>283</v>
      </c>
      <c r="BS27" s="61">
        <v>439</v>
      </c>
      <c r="BT27" s="61">
        <v>739</v>
      </c>
      <c r="BU27" s="61">
        <v>1427</v>
      </c>
      <c r="BV27" s="61">
        <v>1695</v>
      </c>
      <c r="BW27" s="61">
        <v>1453</v>
      </c>
      <c r="BX27" s="61">
        <v>1883</v>
      </c>
      <c r="BY27" s="61"/>
      <c r="BZ27" s="61"/>
      <c r="CA27" s="61"/>
      <c r="CB27" s="61">
        <v>655</v>
      </c>
      <c r="CC27" s="61">
        <v>870</v>
      </c>
      <c r="CD27" s="61">
        <v>1232</v>
      </c>
      <c r="CE27" s="61">
        <v>360</v>
      </c>
      <c r="CF27" s="61">
        <v>107</v>
      </c>
      <c r="CG27" s="61">
        <v>4723</v>
      </c>
      <c r="CH27" s="61">
        <v>20</v>
      </c>
      <c r="CI27" s="61">
        <v>220</v>
      </c>
      <c r="CJ27" s="61">
        <v>153</v>
      </c>
      <c r="CK27" s="61">
        <v>320</v>
      </c>
      <c r="CL27" s="61">
        <v>1657</v>
      </c>
      <c r="CM27" s="61">
        <v>32</v>
      </c>
      <c r="CN27" s="61"/>
      <c r="CO27" s="61">
        <v>22</v>
      </c>
      <c r="CP27" s="61">
        <v>4134</v>
      </c>
      <c r="CQ27" s="61">
        <v>1220</v>
      </c>
      <c r="CR27" s="61">
        <v>7</v>
      </c>
      <c r="CS27" s="61">
        <v>142</v>
      </c>
      <c r="CT27" s="61">
        <v>54</v>
      </c>
      <c r="CU27" s="61"/>
      <c r="CV27" s="61"/>
      <c r="CW27" s="61">
        <v>4</v>
      </c>
      <c r="CX27" s="61">
        <v>1540</v>
      </c>
      <c r="CY27" s="61">
        <v>4676</v>
      </c>
      <c r="CZ27" s="61">
        <v>224</v>
      </c>
      <c r="DA27" s="61">
        <v>1191</v>
      </c>
      <c r="DB27" s="61">
        <v>336</v>
      </c>
      <c r="DC27" s="61"/>
      <c r="DD27" s="61">
        <v>7967</v>
      </c>
      <c r="DE27" s="61">
        <v>268</v>
      </c>
      <c r="DF27" s="61">
        <v>7109</v>
      </c>
      <c r="DG27" s="61">
        <v>590</v>
      </c>
      <c r="DH27" s="62" t="s">
        <v>2185</v>
      </c>
      <c r="DI27" s="61">
        <v>267</v>
      </c>
      <c r="DJ27" s="61">
        <v>32</v>
      </c>
      <c r="DK27" s="61"/>
      <c r="DL27" s="61">
        <v>602</v>
      </c>
      <c r="DM27" s="61"/>
      <c r="DN27" s="61">
        <v>2</v>
      </c>
    </row>
    <row r="28" spans="1:118" x14ac:dyDescent="0.25">
      <c r="A28" s="61">
        <v>106074017</v>
      </c>
      <c r="B28" s="62" t="s">
        <v>182</v>
      </c>
      <c r="C28" s="62" t="s">
        <v>183</v>
      </c>
      <c r="D28" s="62" t="s">
        <v>156</v>
      </c>
      <c r="E28" s="62" t="s">
        <v>184</v>
      </c>
      <c r="F28" s="62" t="s">
        <v>2213</v>
      </c>
      <c r="G28" s="62" t="s">
        <v>185</v>
      </c>
      <c r="H28" s="62" t="s">
        <v>186</v>
      </c>
      <c r="I28" s="62" t="s">
        <v>187</v>
      </c>
      <c r="J28" s="62" t="s">
        <v>2189</v>
      </c>
      <c r="K28" s="62"/>
      <c r="L28" s="61">
        <v>15</v>
      </c>
      <c r="M28" s="61">
        <v>16</v>
      </c>
      <c r="N28" s="61">
        <v>7</v>
      </c>
      <c r="O28" s="62" t="s">
        <v>1798</v>
      </c>
      <c r="P28" s="62" t="s">
        <v>68</v>
      </c>
      <c r="Q28" s="62" t="s">
        <v>2167</v>
      </c>
      <c r="R28" s="62" t="s">
        <v>2167</v>
      </c>
      <c r="S28" s="62" t="s">
        <v>69</v>
      </c>
      <c r="T28" s="61">
        <v>8376</v>
      </c>
      <c r="U28" s="61">
        <v>6842</v>
      </c>
      <c r="V28" s="61"/>
      <c r="W28" s="61">
        <v>1609</v>
      </c>
      <c r="X28" s="61">
        <v>1699</v>
      </c>
      <c r="Y28" s="61">
        <v>1558</v>
      </c>
      <c r="Z28" s="61">
        <v>1827</v>
      </c>
      <c r="AA28" s="61">
        <v>2131</v>
      </c>
      <c r="AB28" s="61">
        <v>2119</v>
      </c>
      <c r="AC28" s="61">
        <v>1643</v>
      </c>
      <c r="AD28" s="61">
        <v>1293</v>
      </c>
      <c r="AE28" s="61">
        <v>1160</v>
      </c>
      <c r="AF28" s="61">
        <v>179</v>
      </c>
      <c r="AG28" s="61"/>
      <c r="AH28" s="61">
        <v>1701</v>
      </c>
      <c r="AI28" s="61">
        <v>662</v>
      </c>
      <c r="AJ28" s="61">
        <v>876</v>
      </c>
      <c r="AK28" s="61">
        <v>14</v>
      </c>
      <c r="AL28" s="61">
        <v>1982</v>
      </c>
      <c r="AM28" s="61">
        <v>54</v>
      </c>
      <c r="AN28" s="61">
        <v>9929</v>
      </c>
      <c r="AO28" s="61">
        <v>252</v>
      </c>
      <c r="AP28" s="61">
        <v>64</v>
      </c>
      <c r="AQ28" s="61">
        <v>31</v>
      </c>
      <c r="AR28" s="61">
        <v>54</v>
      </c>
      <c r="AS28" s="61">
        <v>2</v>
      </c>
      <c r="AT28" s="61"/>
      <c r="AU28" s="61"/>
      <c r="AV28" s="61"/>
      <c r="AW28" s="61">
        <v>80</v>
      </c>
      <c r="AX28" s="61">
        <v>3</v>
      </c>
      <c r="AY28" s="61">
        <v>14722</v>
      </c>
      <c r="AZ28" s="61">
        <v>10</v>
      </c>
      <c r="BA28" s="61"/>
      <c r="BB28" s="61"/>
      <c r="BC28" s="61"/>
      <c r="BD28" s="61">
        <v>1692</v>
      </c>
      <c r="BE28" s="61">
        <v>3147</v>
      </c>
      <c r="BF28" s="61">
        <v>570</v>
      </c>
      <c r="BG28" s="61">
        <v>9214</v>
      </c>
      <c r="BH28" s="61">
        <v>595</v>
      </c>
      <c r="BI28" s="61"/>
      <c r="BJ28" s="61">
        <v>15218</v>
      </c>
      <c r="BK28" s="61">
        <v>240</v>
      </c>
      <c r="BL28" s="61">
        <v>14866</v>
      </c>
      <c r="BM28" s="61">
        <v>112</v>
      </c>
      <c r="BN28" s="61">
        <v>1560</v>
      </c>
      <c r="BO28" s="61">
        <v>1422</v>
      </c>
      <c r="BP28" s="61"/>
      <c r="BQ28" s="61">
        <v>31</v>
      </c>
      <c r="BR28" s="61">
        <v>101</v>
      </c>
      <c r="BS28" s="61">
        <v>134</v>
      </c>
      <c r="BT28" s="61">
        <v>206</v>
      </c>
      <c r="BU28" s="61">
        <v>358</v>
      </c>
      <c r="BV28" s="61">
        <v>519</v>
      </c>
      <c r="BW28" s="61">
        <v>602</v>
      </c>
      <c r="BX28" s="61">
        <v>1002</v>
      </c>
      <c r="BY28" s="61">
        <v>10</v>
      </c>
      <c r="BZ28" s="61">
        <v>19</v>
      </c>
      <c r="CA28" s="61"/>
      <c r="CB28" s="61">
        <v>269</v>
      </c>
      <c r="CC28" s="61">
        <v>98</v>
      </c>
      <c r="CD28" s="61">
        <v>134</v>
      </c>
      <c r="CE28" s="61">
        <v>245</v>
      </c>
      <c r="CF28" s="61">
        <v>9</v>
      </c>
      <c r="CG28" s="61">
        <v>2225</v>
      </c>
      <c r="CH28" s="61">
        <v>2</v>
      </c>
      <c r="CI28" s="61">
        <v>77</v>
      </c>
      <c r="CJ28" s="61">
        <v>29</v>
      </c>
      <c r="CK28" s="61">
        <v>94</v>
      </c>
      <c r="CL28" s="61">
        <v>526</v>
      </c>
      <c r="CM28" s="61">
        <v>16</v>
      </c>
      <c r="CN28" s="61"/>
      <c r="CO28" s="61">
        <v>47</v>
      </c>
      <c r="CP28" s="61">
        <v>1543</v>
      </c>
      <c r="CQ28" s="61">
        <v>567</v>
      </c>
      <c r="CR28" s="61">
        <v>1</v>
      </c>
      <c r="CS28" s="61">
        <v>66</v>
      </c>
      <c r="CT28" s="61">
        <v>14</v>
      </c>
      <c r="CU28" s="61">
        <v>2</v>
      </c>
      <c r="CV28" s="61"/>
      <c r="CW28" s="61"/>
      <c r="CX28" s="61">
        <v>209</v>
      </c>
      <c r="CY28" s="61">
        <v>1629</v>
      </c>
      <c r="CZ28" s="61">
        <v>138</v>
      </c>
      <c r="DA28" s="61">
        <v>1006</v>
      </c>
      <c r="DB28" s="61"/>
      <c r="DC28" s="61"/>
      <c r="DD28" s="61">
        <v>2982</v>
      </c>
      <c r="DE28" s="61">
        <v>91</v>
      </c>
      <c r="DF28" s="61">
        <v>2861</v>
      </c>
      <c r="DG28" s="61">
        <v>30</v>
      </c>
      <c r="DH28" s="62" t="s">
        <v>2185</v>
      </c>
      <c r="DI28" s="61">
        <v>123</v>
      </c>
      <c r="DJ28" s="61">
        <v>12</v>
      </c>
      <c r="DK28" s="61"/>
      <c r="DL28" s="61"/>
      <c r="DM28" s="61"/>
      <c r="DN28" s="61"/>
    </row>
    <row r="29" spans="1:118" x14ac:dyDescent="0.25">
      <c r="A29" s="61">
        <v>106074097</v>
      </c>
      <c r="B29" s="62" t="s">
        <v>188</v>
      </c>
      <c r="C29" s="62" t="s">
        <v>2037</v>
      </c>
      <c r="D29" s="62" t="s">
        <v>156</v>
      </c>
      <c r="E29" s="62" t="s">
        <v>71</v>
      </c>
      <c r="F29" s="62" t="s">
        <v>2213</v>
      </c>
      <c r="G29" s="62" t="s">
        <v>189</v>
      </c>
      <c r="H29" s="62" t="s">
        <v>168</v>
      </c>
      <c r="I29" s="62" t="s">
        <v>190</v>
      </c>
      <c r="J29" s="62" t="s">
        <v>2187</v>
      </c>
      <c r="K29" s="62"/>
      <c r="L29" s="61">
        <v>9</v>
      </c>
      <c r="M29" s="61">
        <v>11</v>
      </c>
      <c r="N29" s="61">
        <v>7</v>
      </c>
      <c r="O29" s="62" t="s">
        <v>1795</v>
      </c>
      <c r="P29" s="62" t="s">
        <v>68</v>
      </c>
      <c r="Q29" s="62" t="s">
        <v>2167</v>
      </c>
      <c r="R29" s="62" t="s">
        <v>2167</v>
      </c>
      <c r="S29" s="62" t="s">
        <v>69</v>
      </c>
      <c r="T29" s="61">
        <v>28148</v>
      </c>
      <c r="U29" s="61">
        <v>21193</v>
      </c>
      <c r="V29" s="61"/>
      <c r="W29" s="61">
        <v>6345</v>
      </c>
      <c r="X29" s="61">
        <v>6161</v>
      </c>
      <c r="Y29" s="61">
        <v>7016</v>
      </c>
      <c r="Z29" s="61">
        <v>6000</v>
      </c>
      <c r="AA29" s="61">
        <v>5990</v>
      </c>
      <c r="AB29" s="61">
        <v>5929</v>
      </c>
      <c r="AC29" s="61">
        <v>4540</v>
      </c>
      <c r="AD29" s="61">
        <v>3312</v>
      </c>
      <c r="AE29" s="61">
        <v>2971</v>
      </c>
      <c r="AF29" s="61">
        <v>1077</v>
      </c>
      <c r="AG29" s="61"/>
      <c r="AH29" s="61">
        <v>3564</v>
      </c>
      <c r="AI29" s="61">
        <v>11977</v>
      </c>
      <c r="AJ29" s="61">
        <v>11395</v>
      </c>
      <c r="AK29" s="61">
        <v>175</v>
      </c>
      <c r="AL29" s="61">
        <v>1115</v>
      </c>
      <c r="AM29" s="61">
        <v>463</v>
      </c>
      <c r="AN29" s="61">
        <v>20652</v>
      </c>
      <c r="AO29" s="61">
        <v>369</v>
      </c>
      <c r="AP29" s="61">
        <v>648</v>
      </c>
      <c r="AQ29" s="61">
        <v>46</v>
      </c>
      <c r="AR29" s="61">
        <v>248</v>
      </c>
      <c r="AS29" s="61">
        <v>63</v>
      </c>
      <c r="AT29" s="61">
        <v>7</v>
      </c>
      <c r="AU29" s="61"/>
      <c r="AV29" s="61">
        <v>4</v>
      </c>
      <c r="AW29" s="61">
        <v>253</v>
      </c>
      <c r="AX29" s="61">
        <v>1</v>
      </c>
      <c r="AY29" s="61">
        <v>47276</v>
      </c>
      <c r="AZ29" s="61">
        <v>181</v>
      </c>
      <c r="BA29" s="61"/>
      <c r="BB29" s="61">
        <v>19</v>
      </c>
      <c r="BC29" s="61">
        <v>226</v>
      </c>
      <c r="BD29" s="61">
        <v>9847</v>
      </c>
      <c r="BE29" s="61">
        <v>9789</v>
      </c>
      <c r="BF29" s="61">
        <v>586</v>
      </c>
      <c r="BG29" s="61">
        <v>25989</v>
      </c>
      <c r="BH29" s="61">
        <v>3130</v>
      </c>
      <c r="BI29" s="61"/>
      <c r="BJ29" s="61">
        <v>49341</v>
      </c>
      <c r="BK29" s="61">
        <v>438</v>
      </c>
      <c r="BL29" s="61">
        <v>46462</v>
      </c>
      <c r="BM29" s="61">
        <v>2441</v>
      </c>
      <c r="BN29" s="61">
        <v>2208</v>
      </c>
      <c r="BO29" s="61">
        <v>1952</v>
      </c>
      <c r="BP29" s="61"/>
      <c r="BQ29" s="61">
        <v>20</v>
      </c>
      <c r="BR29" s="61">
        <v>151</v>
      </c>
      <c r="BS29" s="61">
        <v>227</v>
      </c>
      <c r="BT29" s="61">
        <v>411</v>
      </c>
      <c r="BU29" s="61">
        <v>599</v>
      </c>
      <c r="BV29" s="61">
        <v>856</v>
      </c>
      <c r="BW29" s="61">
        <v>916</v>
      </c>
      <c r="BX29" s="61">
        <v>974</v>
      </c>
      <c r="BY29" s="61">
        <v>4</v>
      </c>
      <c r="BZ29" s="61">
        <v>2</v>
      </c>
      <c r="CA29" s="61"/>
      <c r="CB29" s="61">
        <v>313</v>
      </c>
      <c r="CC29" s="61">
        <v>693</v>
      </c>
      <c r="CD29" s="61">
        <v>652</v>
      </c>
      <c r="CE29" s="61">
        <v>53</v>
      </c>
      <c r="CF29" s="61">
        <v>7</v>
      </c>
      <c r="CG29" s="61">
        <v>2425</v>
      </c>
      <c r="CH29" s="61">
        <v>17</v>
      </c>
      <c r="CI29" s="61">
        <v>193</v>
      </c>
      <c r="CJ29" s="61">
        <v>44</v>
      </c>
      <c r="CK29" s="61">
        <v>201</v>
      </c>
      <c r="CL29" s="61">
        <v>791</v>
      </c>
      <c r="CM29" s="61">
        <v>13</v>
      </c>
      <c r="CN29" s="61"/>
      <c r="CO29" s="61">
        <v>7</v>
      </c>
      <c r="CP29" s="61">
        <v>2334</v>
      </c>
      <c r="CQ29" s="61">
        <v>417</v>
      </c>
      <c r="CR29" s="61"/>
      <c r="CS29" s="61">
        <v>144</v>
      </c>
      <c r="CT29" s="61">
        <v>15</v>
      </c>
      <c r="CU29" s="61"/>
      <c r="CV29" s="61"/>
      <c r="CW29" s="61">
        <v>1</v>
      </c>
      <c r="CX29" s="61">
        <v>331</v>
      </c>
      <c r="CY29" s="61">
        <v>2589</v>
      </c>
      <c r="CZ29" s="61">
        <v>13</v>
      </c>
      <c r="DA29" s="61">
        <v>1159</v>
      </c>
      <c r="DB29" s="61">
        <v>68</v>
      </c>
      <c r="DC29" s="61"/>
      <c r="DD29" s="61">
        <v>4160</v>
      </c>
      <c r="DE29" s="61">
        <v>38</v>
      </c>
      <c r="DF29" s="61">
        <v>3939</v>
      </c>
      <c r="DG29" s="61">
        <v>183</v>
      </c>
      <c r="DH29" s="62" t="s">
        <v>2185</v>
      </c>
      <c r="DI29" s="61">
        <v>150</v>
      </c>
      <c r="DJ29" s="61">
        <v>35</v>
      </c>
      <c r="DK29" s="61"/>
      <c r="DL29" s="61"/>
      <c r="DM29" s="61"/>
      <c r="DN29" s="61"/>
    </row>
    <row r="30" spans="1:118" x14ac:dyDescent="0.25">
      <c r="A30" s="61">
        <v>106084001</v>
      </c>
      <c r="B30" s="62" t="s">
        <v>191</v>
      </c>
      <c r="C30" s="62" t="s">
        <v>192</v>
      </c>
      <c r="D30" s="62" t="s">
        <v>193</v>
      </c>
      <c r="E30" s="62" t="s">
        <v>71</v>
      </c>
      <c r="F30" s="62" t="s">
        <v>2213</v>
      </c>
      <c r="G30" s="62" t="s">
        <v>194</v>
      </c>
      <c r="H30" s="62" t="s">
        <v>195</v>
      </c>
      <c r="I30" s="62" t="s">
        <v>196</v>
      </c>
      <c r="J30" s="62" t="s">
        <v>2190</v>
      </c>
      <c r="K30" s="62" t="s">
        <v>126</v>
      </c>
      <c r="L30" s="61">
        <v>2</v>
      </c>
      <c r="M30" s="61">
        <v>2</v>
      </c>
      <c r="N30" s="61">
        <v>2</v>
      </c>
      <c r="O30" s="62" t="s">
        <v>1799</v>
      </c>
      <c r="P30" s="62" t="s">
        <v>120</v>
      </c>
      <c r="Q30" s="62" t="s">
        <v>120</v>
      </c>
      <c r="R30" s="62" t="s">
        <v>2167</v>
      </c>
      <c r="S30" s="62" t="s">
        <v>69</v>
      </c>
      <c r="T30" s="61">
        <v>10395</v>
      </c>
      <c r="U30" s="61">
        <v>8863</v>
      </c>
      <c r="V30" s="61"/>
      <c r="W30" s="61">
        <v>1692</v>
      </c>
      <c r="X30" s="61">
        <v>1511</v>
      </c>
      <c r="Y30" s="61">
        <v>2911</v>
      </c>
      <c r="Z30" s="61">
        <v>2598</v>
      </c>
      <c r="AA30" s="61">
        <v>2308</v>
      </c>
      <c r="AB30" s="61">
        <v>2745</v>
      </c>
      <c r="AC30" s="61">
        <v>2021</v>
      </c>
      <c r="AD30" s="61">
        <v>1625</v>
      </c>
      <c r="AE30" s="61">
        <v>1434</v>
      </c>
      <c r="AF30" s="61">
        <v>413</v>
      </c>
      <c r="AG30" s="61"/>
      <c r="AH30" s="61">
        <v>241</v>
      </c>
      <c r="AI30" s="61">
        <v>180</v>
      </c>
      <c r="AJ30" s="61">
        <v>1028</v>
      </c>
      <c r="AK30" s="61">
        <v>878</v>
      </c>
      <c r="AL30" s="61">
        <v>79</v>
      </c>
      <c r="AM30" s="61">
        <v>178</v>
      </c>
      <c r="AN30" s="61">
        <v>16674</v>
      </c>
      <c r="AO30" s="61">
        <v>672</v>
      </c>
      <c r="AP30" s="61">
        <v>291</v>
      </c>
      <c r="AQ30" s="61">
        <v>44</v>
      </c>
      <c r="AR30" s="61">
        <v>42</v>
      </c>
      <c r="AS30" s="61"/>
      <c r="AT30" s="61">
        <v>20</v>
      </c>
      <c r="AU30" s="61"/>
      <c r="AV30" s="61">
        <v>142</v>
      </c>
      <c r="AW30" s="61"/>
      <c r="AX30" s="61">
        <v>4</v>
      </c>
      <c r="AY30" s="61">
        <v>17854</v>
      </c>
      <c r="AZ30" s="61">
        <v>148</v>
      </c>
      <c r="BA30" s="61"/>
      <c r="BB30" s="61"/>
      <c r="BC30" s="61"/>
      <c r="BD30" s="61">
        <v>8950</v>
      </c>
      <c r="BE30" s="61">
        <v>5318</v>
      </c>
      <c r="BF30" s="61">
        <v>1458</v>
      </c>
      <c r="BG30" s="61">
        <v>2634</v>
      </c>
      <c r="BH30" s="61">
        <v>882</v>
      </c>
      <c r="BI30" s="61">
        <v>16</v>
      </c>
      <c r="BJ30" s="61">
        <v>19258</v>
      </c>
      <c r="BK30" s="61">
        <v>121</v>
      </c>
      <c r="BL30" s="61">
        <v>18839</v>
      </c>
      <c r="BM30" s="61">
        <v>298</v>
      </c>
      <c r="BN30" s="61">
        <v>907</v>
      </c>
      <c r="BO30" s="61">
        <v>727</v>
      </c>
      <c r="BP30" s="61"/>
      <c r="BQ30" s="61">
        <v>24</v>
      </c>
      <c r="BR30" s="61">
        <v>121</v>
      </c>
      <c r="BS30" s="61">
        <v>93</v>
      </c>
      <c r="BT30" s="61">
        <v>116</v>
      </c>
      <c r="BU30" s="61">
        <v>230</v>
      </c>
      <c r="BV30" s="61">
        <v>278</v>
      </c>
      <c r="BW30" s="61">
        <v>325</v>
      </c>
      <c r="BX30" s="61">
        <v>410</v>
      </c>
      <c r="BY30" s="61">
        <v>14</v>
      </c>
      <c r="BZ30" s="61">
        <v>23</v>
      </c>
      <c r="CA30" s="61"/>
      <c r="CB30" s="61">
        <v>48</v>
      </c>
      <c r="CC30" s="61">
        <v>5</v>
      </c>
      <c r="CD30" s="61">
        <v>30</v>
      </c>
      <c r="CE30" s="61">
        <v>9</v>
      </c>
      <c r="CF30" s="61">
        <v>10</v>
      </c>
      <c r="CG30" s="61">
        <v>1484</v>
      </c>
      <c r="CH30" s="61">
        <v>48</v>
      </c>
      <c r="CI30" s="61">
        <v>126</v>
      </c>
      <c r="CJ30" s="61">
        <v>50</v>
      </c>
      <c r="CK30" s="61">
        <v>78</v>
      </c>
      <c r="CL30" s="61">
        <v>241</v>
      </c>
      <c r="CM30" s="61">
        <v>8</v>
      </c>
      <c r="CN30" s="61"/>
      <c r="CO30" s="61"/>
      <c r="CP30" s="61">
        <v>930</v>
      </c>
      <c r="CQ30" s="61">
        <v>196</v>
      </c>
      <c r="CR30" s="61">
        <v>3</v>
      </c>
      <c r="CS30" s="61"/>
      <c r="CT30" s="61"/>
      <c r="CU30" s="61"/>
      <c r="CV30" s="61"/>
      <c r="CW30" s="61">
        <v>2</v>
      </c>
      <c r="CX30" s="61">
        <v>358</v>
      </c>
      <c r="CY30" s="61">
        <v>996</v>
      </c>
      <c r="CZ30" s="61">
        <v>105</v>
      </c>
      <c r="DA30" s="61">
        <v>158</v>
      </c>
      <c r="DB30" s="61">
        <v>17</v>
      </c>
      <c r="DC30" s="61"/>
      <c r="DD30" s="61">
        <v>1634</v>
      </c>
      <c r="DE30" s="61">
        <v>11</v>
      </c>
      <c r="DF30" s="61">
        <v>1610</v>
      </c>
      <c r="DG30" s="61">
        <v>13</v>
      </c>
      <c r="DH30" s="62" t="s">
        <v>2185</v>
      </c>
      <c r="DI30" s="61">
        <v>49</v>
      </c>
      <c r="DJ30" s="61">
        <v>11</v>
      </c>
      <c r="DK30" s="61"/>
      <c r="DL30" s="61">
        <v>41</v>
      </c>
      <c r="DM30" s="61"/>
      <c r="DN30" s="61"/>
    </row>
    <row r="31" spans="1:118" x14ac:dyDescent="0.25">
      <c r="A31" s="61">
        <v>106090793</v>
      </c>
      <c r="B31" s="62" t="s">
        <v>197</v>
      </c>
      <c r="C31" s="62" t="s">
        <v>198</v>
      </c>
      <c r="D31" s="62" t="s">
        <v>199</v>
      </c>
      <c r="E31" s="62" t="s">
        <v>71</v>
      </c>
      <c r="F31" s="62" t="s">
        <v>2213</v>
      </c>
      <c r="G31" s="62" t="s">
        <v>200</v>
      </c>
      <c r="H31" s="62" t="s">
        <v>201</v>
      </c>
      <c r="I31" s="62" t="s">
        <v>202</v>
      </c>
      <c r="J31" s="62" t="s">
        <v>2189</v>
      </c>
      <c r="K31" s="62"/>
      <c r="L31" s="61">
        <v>4</v>
      </c>
      <c r="M31" s="61">
        <v>5</v>
      </c>
      <c r="N31" s="61">
        <v>1</v>
      </c>
      <c r="O31" s="62" t="s">
        <v>1800</v>
      </c>
      <c r="P31" s="62" t="s">
        <v>120</v>
      </c>
      <c r="Q31" s="62" t="s">
        <v>120</v>
      </c>
      <c r="R31" s="62" t="s">
        <v>2167</v>
      </c>
      <c r="S31" s="62" t="s">
        <v>69</v>
      </c>
      <c r="T31" s="61">
        <v>9156</v>
      </c>
      <c r="U31" s="61">
        <v>9262</v>
      </c>
      <c r="V31" s="61">
        <v>2</v>
      </c>
      <c r="W31" s="61">
        <v>1880</v>
      </c>
      <c r="X31" s="61">
        <v>2049</v>
      </c>
      <c r="Y31" s="61">
        <v>3823</v>
      </c>
      <c r="Z31" s="61">
        <v>2757</v>
      </c>
      <c r="AA31" s="61">
        <v>2193</v>
      </c>
      <c r="AB31" s="61">
        <v>2456</v>
      </c>
      <c r="AC31" s="61">
        <v>1753</v>
      </c>
      <c r="AD31" s="61">
        <v>751</v>
      </c>
      <c r="AE31" s="61">
        <v>434</v>
      </c>
      <c r="AF31" s="61">
        <v>324</v>
      </c>
      <c r="AG31" s="61"/>
      <c r="AH31" s="61">
        <v>508</v>
      </c>
      <c r="AI31" s="61">
        <v>329</v>
      </c>
      <c r="AJ31" s="61">
        <v>3494</v>
      </c>
      <c r="AK31" s="61">
        <v>65</v>
      </c>
      <c r="AL31" s="61">
        <v>914</v>
      </c>
      <c r="AM31" s="61">
        <v>39</v>
      </c>
      <c r="AN31" s="61">
        <v>13071</v>
      </c>
      <c r="AO31" s="61">
        <v>378</v>
      </c>
      <c r="AP31" s="61">
        <v>524</v>
      </c>
      <c r="AQ31" s="61">
        <v>16</v>
      </c>
      <c r="AR31" s="61">
        <v>1</v>
      </c>
      <c r="AS31" s="61"/>
      <c r="AT31" s="61"/>
      <c r="AU31" s="61"/>
      <c r="AV31" s="61">
        <v>79</v>
      </c>
      <c r="AW31" s="61">
        <v>91</v>
      </c>
      <c r="AX31" s="61"/>
      <c r="AY31" s="61">
        <v>17106</v>
      </c>
      <c r="AZ31" s="61">
        <v>7</v>
      </c>
      <c r="BA31" s="61">
        <v>180</v>
      </c>
      <c r="BB31" s="61">
        <v>37</v>
      </c>
      <c r="BC31" s="61"/>
      <c r="BD31" s="61">
        <v>8124</v>
      </c>
      <c r="BE31" s="61">
        <v>2619</v>
      </c>
      <c r="BF31" s="61">
        <v>782</v>
      </c>
      <c r="BG31" s="61">
        <v>5276</v>
      </c>
      <c r="BH31" s="61">
        <v>1619</v>
      </c>
      <c r="BI31" s="61"/>
      <c r="BJ31" s="61">
        <v>18420</v>
      </c>
      <c r="BK31" s="61">
        <v>193</v>
      </c>
      <c r="BL31" s="61">
        <v>16944</v>
      </c>
      <c r="BM31" s="61">
        <v>1283</v>
      </c>
      <c r="BN31" s="61">
        <v>548</v>
      </c>
      <c r="BO31" s="61">
        <v>670</v>
      </c>
      <c r="BP31" s="61"/>
      <c r="BQ31" s="61">
        <v>31</v>
      </c>
      <c r="BR31" s="61">
        <v>108</v>
      </c>
      <c r="BS31" s="61">
        <v>105</v>
      </c>
      <c r="BT31" s="61">
        <v>133</v>
      </c>
      <c r="BU31" s="61">
        <v>219</v>
      </c>
      <c r="BV31" s="61">
        <v>226</v>
      </c>
      <c r="BW31" s="61">
        <v>187</v>
      </c>
      <c r="BX31" s="61">
        <v>169</v>
      </c>
      <c r="BY31" s="61">
        <v>15</v>
      </c>
      <c r="BZ31" s="61">
        <v>25</v>
      </c>
      <c r="CA31" s="61"/>
      <c r="CB31" s="61">
        <v>37</v>
      </c>
      <c r="CC31" s="61">
        <v>13</v>
      </c>
      <c r="CD31" s="61">
        <v>126</v>
      </c>
      <c r="CE31" s="61">
        <v>53</v>
      </c>
      <c r="CF31" s="61">
        <v>2</v>
      </c>
      <c r="CG31" s="61">
        <v>982</v>
      </c>
      <c r="CH31" s="61">
        <v>5</v>
      </c>
      <c r="CI31" s="61">
        <v>66</v>
      </c>
      <c r="CJ31" s="61">
        <v>25</v>
      </c>
      <c r="CK31" s="61">
        <v>11</v>
      </c>
      <c r="CL31" s="61">
        <v>120</v>
      </c>
      <c r="CM31" s="61">
        <v>2</v>
      </c>
      <c r="CN31" s="61"/>
      <c r="CO31" s="61"/>
      <c r="CP31" s="61">
        <v>878</v>
      </c>
      <c r="CQ31" s="61">
        <v>89</v>
      </c>
      <c r="CR31" s="61">
        <v>3</v>
      </c>
      <c r="CS31" s="61">
        <v>11</v>
      </c>
      <c r="CT31" s="61">
        <v>9</v>
      </c>
      <c r="CU31" s="61">
        <v>2</v>
      </c>
      <c r="CV31" s="61">
        <v>2</v>
      </c>
      <c r="CW31" s="61"/>
      <c r="CX31" s="61">
        <v>310</v>
      </c>
      <c r="CY31" s="61">
        <v>516</v>
      </c>
      <c r="CZ31" s="61">
        <v>43</v>
      </c>
      <c r="DA31" s="61">
        <v>306</v>
      </c>
      <c r="DB31" s="61">
        <v>43</v>
      </c>
      <c r="DC31" s="61"/>
      <c r="DD31" s="61">
        <v>1218</v>
      </c>
      <c r="DE31" s="61">
        <v>18</v>
      </c>
      <c r="DF31" s="61">
        <v>1128</v>
      </c>
      <c r="DG31" s="61">
        <v>72</v>
      </c>
      <c r="DH31" s="62" t="s">
        <v>2185</v>
      </c>
      <c r="DI31" s="61">
        <v>111</v>
      </c>
      <c r="DJ31" s="61">
        <v>12</v>
      </c>
      <c r="DK31" s="61"/>
      <c r="DL31" s="61">
        <v>1</v>
      </c>
      <c r="DM31" s="61"/>
      <c r="DN31" s="61"/>
    </row>
    <row r="32" spans="1:118" x14ac:dyDescent="0.25">
      <c r="A32" s="61">
        <v>106090933</v>
      </c>
      <c r="B32" s="62" t="s">
        <v>203</v>
      </c>
      <c r="C32" s="62" t="s">
        <v>2038</v>
      </c>
      <c r="D32" s="62" t="s">
        <v>199</v>
      </c>
      <c r="E32" s="62" t="s">
        <v>71</v>
      </c>
      <c r="F32" s="62" t="s">
        <v>2213</v>
      </c>
      <c r="G32" s="62" t="s">
        <v>204</v>
      </c>
      <c r="H32" s="62" t="s">
        <v>205</v>
      </c>
      <c r="I32" s="62" t="s">
        <v>206</v>
      </c>
      <c r="J32" s="62" t="s">
        <v>2189</v>
      </c>
      <c r="K32" s="62" t="s">
        <v>138</v>
      </c>
      <c r="L32" s="61">
        <v>4</v>
      </c>
      <c r="M32" s="61">
        <v>5</v>
      </c>
      <c r="N32" s="61">
        <v>1</v>
      </c>
      <c r="O32" s="62" t="s">
        <v>1801</v>
      </c>
      <c r="P32" s="62" t="s">
        <v>120</v>
      </c>
      <c r="Q32" s="62" t="s">
        <v>120</v>
      </c>
      <c r="R32" s="62" t="s">
        <v>2167</v>
      </c>
      <c r="S32" s="62" t="s">
        <v>69</v>
      </c>
      <c r="T32" s="61">
        <v>13676</v>
      </c>
      <c r="U32" s="61">
        <v>11478</v>
      </c>
      <c r="V32" s="61"/>
      <c r="W32" s="61">
        <v>2648</v>
      </c>
      <c r="X32" s="61">
        <v>2779</v>
      </c>
      <c r="Y32" s="61">
        <v>3467</v>
      </c>
      <c r="Z32" s="61">
        <v>3332</v>
      </c>
      <c r="AA32" s="61">
        <v>2461</v>
      </c>
      <c r="AB32" s="61">
        <v>3221</v>
      </c>
      <c r="AC32" s="61">
        <v>2609</v>
      </c>
      <c r="AD32" s="61">
        <v>2014</v>
      </c>
      <c r="AE32" s="61">
        <v>2157</v>
      </c>
      <c r="AF32" s="61">
        <v>466</v>
      </c>
      <c r="AG32" s="61"/>
      <c r="AH32" s="61">
        <v>138</v>
      </c>
      <c r="AI32" s="61">
        <v>205</v>
      </c>
      <c r="AJ32" s="61">
        <v>2248</v>
      </c>
      <c r="AK32" s="61">
        <v>82</v>
      </c>
      <c r="AL32" s="61">
        <v>658</v>
      </c>
      <c r="AM32" s="61">
        <v>12783</v>
      </c>
      <c r="AN32" s="61">
        <v>9040</v>
      </c>
      <c r="AO32" s="61">
        <v>659</v>
      </c>
      <c r="AP32" s="61">
        <v>217</v>
      </c>
      <c r="AQ32" s="61">
        <v>39</v>
      </c>
      <c r="AR32" s="61">
        <v>18</v>
      </c>
      <c r="AS32" s="61">
        <v>4</v>
      </c>
      <c r="AT32" s="61"/>
      <c r="AU32" s="61"/>
      <c r="AV32" s="61">
        <v>24</v>
      </c>
      <c r="AW32" s="61">
        <v>191</v>
      </c>
      <c r="AX32" s="61"/>
      <c r="AY32" s="61">
        <v>23794</v>
      </c>
      <c r="AZ32" s="61">
        <v>93</v>
      </c>
      <c r="BA32" s="61">
        <v>1</v>
      </c>
      <c r="BB32" s="61">
        <v>6</v>
      </c>
      <c r="BC32" s="61">
        <v>108</v>
      </c>
      <c r="BD32" s="61">
        <v>2373</v>
      </c>
      <c r="BE32" s="61">
        <v>6418</v>
      </c>
      <c r="BF32" s="61">
        <v>6881</v>
      </c>
      <c r="BG32" s="61">
        <v>8704</v>
      </c>
      <c r="BH32" s="61">
        <v>723</v>
      </c>
      <c r="BI32" s="61">
        <v>55</v>
      </c>
      <c r="BJ32" s="61">
        <v>25154</v>
      </c>
      <c r="BK32" s="61">
        <v>64</v>
      </c>
      <c r="BL32" s="61">
        <v>24425</v>
      </c>
      <c r="BM32" s="61">
        <v>665</v>
      </c>
      <c r="BN32" s="61">
        <v>2193</v>
      </c>
      <c r="BO32" s="61">
        <v>1972</v>
      </c>
      <c r="BP32" s="61"/>
      <c r="BQ32" s="61">
        <v>54</v>
      </c>
      <c r="BR32" s="61">
        <v>187</v>
      </c>
      <c r="BS32" s="61">
        <v>272</v>
      </c>
      <c r="BT32" s="61">
        <v>298</v>
      </c>
      <c r="BU32" s="61">
        <v>639</v>
      </c>
      <c r="BV32" s="61">
        <v>775</v>
      </c>
      <c r="BW32" s="61">
        <v>734</v>
      </c>
      <c r="BX32" s="61">
        <v>1194</v>
      </c>
      <c r="BY32" s="61">
        <v>5</v>
      </c>
      <c r="BZ32" s="61">
        <v>7</v>
      </c>
      <c r="CA32" s="61"/>
      <c r="CB32" s="61">
        <v>26</v>
      </c>
      <c r="CC32" s="61">
        <v>49</v>
      </c>
      <c r="CD32" s="61">
        <v>4004</v>
      </c>
      <c r="CE32" s="61">
        <v>77</v>
      </c>
      <c r="CF32" s="61">
        <v>6</v>
      </c>
      <c r="CG32" s="61">
        <v>2</v>
      </c>
      <c r="CH32" s="61">
        <v>1</v>
      </c>
      <c r="CI32" s="61">
        <v>8</v>
      </c>
      <c r="CJ32" s="61">
        <v>566</v>
      </c>
      <c r="CK32" s="61">
        <v>162</v>
      </c>
      <c r="CL32" s="61">
        <v>313</v>
      </c>
      <c r="CM32" s="61"/>
      <c r="CN32" s="61"/>
      <c r="CO32" s="61">
        <v>295</v>
      </c>
      <c r="CP32" s="61">
        <v>2601</v>
      </c>
      <c r="CQ32" s="61">
        <v>25</v>
      </c>
      <c r="CR32" s="61">
        <v>10</v>
      </c>
      <c r="CS32" s="61">
        <v>16</v>
      </c>
      <c r="CT32" s="61">
        <v>1</v>
      </c>
      <c r="CU32" s="61">
        <v>156</v>
      </c>
      <c r="CV32" s="61"/>
      <c r="CW32" s="61"/>
      <c r="CX32" s="61">
        <v>934</v>
      </c>
      <c r="CY32" s="61">
        <v>2536</v>
      </c>
      <c r="CZ32" s="61">
        <v>29</v>
      </c>
      <c r="DA32" s="61">
        <v>629</v>
      </c>
      <c r="DB32" s="61">
        <v>37</v>
      </c>
      <c r="DC32" s="61"/>
      <c r="DD32" s="61">
        <v>4165</v>
      </c>
      <c r="DE32" s="61">
        <v>6</v>
      </c>
      <c r="DF32" s="61">
        <v>4116</v>
      </c>
      <c r="DG32" s="61">
        <v>43</v>
      </c>
      <c r="DH32" s="62" t="s">
        <v>2185</v>
      </c>
      <c r="DI32" s="61">
        <v>113</v>
      </c>
      <c r="DJ32" s="61">
        <v>24</v>
      </c>
      <c r="DK32" s="61"/>
      <c r="DL32" s="61"/>
      <c r="DM32" s="61">
        <v>8</v>
      </c>
      <c r="DN32" s="61">
        <v>4</v>
      </c>
    </row>
    <row r="33" spans="1:118" x14ac:dyDescent="0.25">
      <c r="A33" s="61">
        <v>106100005</v>
      </c>
      <c r="B33" s="62" t="s">
        <v>207</v>
      </c>
      <c r="C33" s="62" t="s">
        <v>208</v>
      </c>
      <c r="D33" s="62" t="s">
        <v>209</v>
      </c>
      <c r="E33" s="62" t="s">
        <v>71</v>
      </c>
      <c r="F33" s="62" t="s">
        <v>2213</v>
      </c>
      <c r="G33" s="62" t="s">
        <v>210</v>
      </c>
      <c r="H33" s="62" t="s">
        <v>211</v>
      </c>
      <c r="I33" s="62" t="s">
        <v>212</v>
      </c>
      <c r="J33" s="62" t="s">
        <v>2184</v>
      </c>
      <c r="K33" s="62"/>
      <c r="L33" s="61">
        <v>22</v>
      </c>
      <c r="M33" s="61">
        <v>23</v>
      </c>
      <c r="N33" s="61">
        <v>8</v>
      </c>
      <c r="O33" s="62" t="s">
        <v>1802</v>
      </c>
      <c r="P33" s="62" t="s">
        <v>120</v>
      </c>
      <c r="Q33" s="62" t="s">
        <v>2167</v>
      </c>
      <c r="R33" s="62" t="s">
        <v>2167</v>
      </c>
      <c r="S33" s="62" t="s">
        <v>69</v>
      </c>
      <c r="T33" s="61">
        <v>32595</v>
      </c>
      <c r="U33" s="61">
        <v>21072</v>
      </c>
      <c r="V33" s="61">
        <v>1</v>
      </c>
      <c r="W33" s="61">
        <v>3044</v>
      </c>
      <c r="X33" s="61">
        <v>5062</v>
      </c>
      <c r="Y33" s="61">
        <v>11721</v>
      </c>
      <c r="Z33" s="61">
        <v>9626</v>
      </c>
      <c r="AA33" s="61">
        <v>7009</v>
      </c>
      <c r="AB33" s="61">
        <v>6398</v>
      </c>
      <c r="AC33" s="61">
        <v>4577</v>
      </c>
      <c r="AD33" s="61">
        <v>3016</v>
      </c>
      <c r="AE33" s="61">
        <v>2583</v>
      </c>
      <c r="AF33" s="61">
        <v>632</v>
      </c>
      <c r="AG33" s="61"/>
      <c r="AH33" s="61">
        <v>65</v>
      </c>
      <c r="AI33" s="61">
        <v>104</v>
      </c>
      <c r="AJ33" s="61">
        <v>33129</v>
      </c>
      <c r="AK33" s="61">
        <v>160</v>
      </c>
      <c r="AL33" s="61">
        <v>760</v>
      </c>
      <c r="AM33" s="61">
        <v>63</v>
      </c>
      <c r="AN33" s="61">
        <v>19387</v>
      </c>
      <c r="AO33" s="61">
        <v>359</v>
      </c>
      <c r="AP33" s="61">
        <v>3289</v>
      </c>
      <c r="AQ33" s="61">
        <v>51</v>
      </c>
      <c r="AR33" s="61">
        <v>41</v>
      </c>
      <c r="AS33" s="61">
        <v>8</v>
      </c>
      <c r="AT33" s="61">
        <v>7</v>
      </c>
      <c r="AU33" s="61"/>
      <c r="AV33" s="61">
        <v>116</v>
      </c>
      <c r="AW33" s="61">
        <v>329</v>
      </c>
      <c r="AX33" s="61">
        <v>84</v>
      </c>
      <c r="AY33" s="61">
        <v>48970</v>
      </c>
      <c r="AZ33" s="61">
        <v>122</v>
      </c>
      <c r="BA33" s="61">
        <v>68</v>
      </c>
      <c r="BB33" s="61"/>
      <c r="BC33" s="61">
        <v>208</v>
      </c>
      <c r="BD33" s="61">
        <v>25425</v>
      </c>
      <c r="BE33" s="61">
        <v>9147</v>
      </c>
      <c r="BF33" s="61">
        <v>1574</v>
      </c>
      <c r="BG33" s="61">
        <v>14012</v>
      </c>
      <c r="BH33" s="61">
        <v>3510</v>
      </c>
      <c r="BI33" s="61"/>
      <c r="BJ33" s="61">
        <v>53668</v>
      </c>
      <c r="BK33" s="61">
        <v>644</v>
      </c>
      <c r="BL33" s="61">
        <v>50522</v>
      </c>
      <c r="BM33" s="61">
        <v>2502</v>
      </c>
      <c r="BN33" s="61">
        <v>3838</v>
      </c>
      <c r="BO33" s="61">
        <v>3114</v>
      </c>
      <c r="BP33" s="61"/>
      <c r="BQ33" s="61">
        <v>47</v>
      </c>
      <c r="BR33" s="61">
        <v>399</v>
      </c>
      <c r="BS33" s="61">
        <v>508</v>
      </c>
      <c r="BT33" s="61">
        <v>693</v>
      </c>
      <c r="BU33" s="61">
        <v>1021</v>
      </c>
      <c r="BV33" s="61">
        <v>1279</v>
      </c>
      <c r="BW33" s="61">
        <v>1381</v>
      </c>
      <c r="BX33" s="61">
        <v>1622</v>
      </c>
      <c r="BY33" s="61">
        <v>2</v>
      </c>
      <c r="BZ33" s="61"/>
      <c r="CA33" s="61"/>
      <c r="CB33" s="61">
        <v>420</v>
      </c>
      <c r="CC33" s="61">
        <v>229</v>
      </c>
      <c r="CD33" s="61">
        <v>1783</v>
      </c>
      <c r="CE33" s="61">
        <v>123</v>
      </c>
      <c r="CF33" s="61">
        <v>14</v>
      </c>
      <c r="CG33" s="61">
        <v>4330</v>
      </c>
      <c r="CH33" s="61">
        <v>53</v>
      </c>
      <c r="CI33" s="61">
        <v>202</v>
      </c>
      <c r="CJ33" s="61">
        <v>98</v>
      </c>
      <c r="CK33" s="61">
        <v>256</v>
      </c>
      <c r="CL33" s="61">
        <v>1333</v>
      </c>
      <c r="CM33" s="61">
        <v>180</v>
      </c>
      <c r="CN33" s="61"/>
      <c r="CO33" s="61">
        <v>18</v>
      </c>
      <c r="CP33" s="61">
        <v>3804</v>
      </c>
      <c r="CQ33" s="61">
        <v>826</v>
      </c>
      <c r="CR33" s="61"/>
      <c r="CS33" s="61">
        <v>225</v>
      </c>
      <c r="CT33" s="61">
        <v>4</v>
      </c>
      <c r="CU33" s="61"/>
      <c r="CV33" s="61"/>
      <c r="CW33" s="61">
        <v>1</v>
      </c>
      <c r="CX33" s="61">
        <v>1483</v>
      </c>
      <c r="CY33" s="61">
        <v>3975</v>
      </c>
      <c r="CZ33" s="61">
        <v>27</v>
      </c>
      <c r="DA33" s="61">
        <v>1351</v>
      </c>
      <c r="DB33" s="61">
        <v>116</v>
      </c>
      <c r="DC33" s="61"/>
      <c r="DD33" s="61">
        <v>6952</v>
      </c>
      <c r="DE33" s="61">
        <v>223</v>
      </c>
      <c r="DF33" s="61">
        <v>6444</v>
      </c>
      <c r="DG33" s="61">
        <v>285</v>
      </c>
      <c r="DH33" s="62" t="s">
        <v>2185</v>
      </c>
      <c r="DI33" s="61">
        <v>208</v>
      </c>
      <c r="DJ33" s="61">
        <v>42</v>
      </c>
      <c r="DK33" s="61"/>
      <c r="DL33" s="61">
        <v>16</v>
      </c>
      <c r="DM33" s="61">
        <v>1</v>
      </c>
      <c r="DN33" s="61">
        <v>4</v>
      </c>
    </row>
    <row r="34" spans="1:118" x14ac:dyDescent="0.25">
      <c r="A34" s="61">
        <v>106100697</v>
      </c>
      <c r="B34" s="62" t="s">
        <v>213</v>
      </c>
      <c r="C34" s="62" t="s">
        <v>214</v>
      </c>
      <c r="D34" s="62" t="s">
        <v>209</v>
      </c>
      <c r="E34" s="62" t="s">
        <v>94</v>
      </c>
      <c r="F34" s="62" t="s">
        <v>2213</v>
      </c>
      <c r="G34" s="62" t="s">
        <v>215</v>
      </c>
      <c r="H34" s="62" t="s">
        <v>216</v>
      </c>
      <c r="I34" s="62" t="s">
        <v>217</v>
      </c>
      <c r="J34" s="62" t="s">
        <v>2189</v>
      </c>
      <c r="K34" s="62"/>
      <c r="L34" s="61">
        <v>21</v>
      </c>
      <c r="M34" s="61">
        <v>31</v>
      </c>
      <c r="N34" s="61">
        <v>12</v>
      </c>
      <c r="O34" s="62" t="s">
        <v>1803</v>
      </c>
      <c r="P34" s="62" t="s">
        <v>120</v>
      </c>
      <c r="Q34" s="62" t="s">
        <v>120</v>
      </c>
      <c r="R34" s="62" t="s">
        <v>2167</v>
      </c>
      <c r="S34" s="62" t="s">
        <v>127</v>
      </c>
      <c r="T34" s="61">
        <v>4602</v>
      </c>
      <c r="U34" s="61">
        <v>4263</v>
      </c>
      <c r="V34" s="61"/>
      <c r="W34" s="61">
        <v>1709</v>
      </c>
      <c r="X34" s="61">
        <v>1327</v>
      </c>
      <c r="Y34" s="61">
        <v>1400</v>
      </c>
      <c r="Z34" s="61">
        <v>1221</v>
      </c>
      <c r="AA34" s="61">
        <v>985</v>
      </c>
      <c r="AB34" s="61">
        <v>928</v>
      </c>
      <c r="AC34" s="61">
        <v>526</v>
      </c>
      <c r="AD34" s="61">
        <v>298</v>
      </c>
      <c r="AE34" s="61">
        <v>207</v>
      </c>
      <c r="AF34" s="61">
        <v>264</v>
      </c>
      <c r="AG34" s="61"/>
      <c r="AH34" s="61">
        <v>89</v>
      </c>
      <c r="AI34" s="61">
        <v>275</v>
      </c>
      <c r="AJ34" s="61">
        <v>6006</v>
      </c>
      <c r="AK34" s="61">
        <v>7</v>
      </c>
      <c r="AL34" s="61">
        <v>94</v>
      </c>
      <c r="AM34" s="61"/>
      <c r="AN34" s="61">
        <v>2394</v>
      </c>
      <c r="AO34" s="61">
        <v>508</v>
      </c>
      <c r="AP34" s="61">
        <v>148</v>
      </c>
      <c r="AQ34" s="61">
        <v>8</v>
      </c>
      <c r="AR34" s="61"/>
      <c r="AS34" s="61"/>
      <c r="AT34" s="61"/>
      <c r="AU34" s="61"/>
      <c r="AV34" s="61">
        <v>1</v>
      </c>
      <c r="AW34" s="61"/>
      <c r="AX34" s="61">
        <v>10</v>
      </c>
      <c r="AY34" s="61">
        <v>8159</v>
      </c>
      <c r="AZ34" s="61">
        <v>31</v>
      </c>
      <c r="BA34" s="61"/>
      <c r="BB34" s="61"/>
      <c r="BC34" s="61"/>
      <c r="BD34" s="61">
        <v>5500</v>
      </c>
      <c r="BE34" s="61">
        <v>730</v>
      </c>
      <c r="BF34" s="61">
        <v>670</v>
      </c>
      <c r="BG34" s="61">
        <v>1962</v>
      </c>
      <c r="BH34" s="61">
        <v>3</v>
      </c>
      <c r="BI34" s="61"/>
      <c r="BJ34" s="61">
        <v>8865</v>
      </c>
      <c r="BK34" s="61">
        <v>4</v>
      </c>
      <c r="BL34" s="61">
        <v>6274</v>
      </c>
      <c r="BM34" s="61">
        <v>2587</v>
      </c>
      <c r="BN34" s="61">
        <v>81</v>
      </c>
      <c r="BO34" s="61">
        <v>84</v>
      </c>
      <c r="BP34" s="61"/>
      <c r="BQ34" s="61">
        <v>2</v>
      </c>
      <c r="BR34" s="61">
        <v>8</v>
      </c>
      <c r="BS34" s="61">
        <v>13</v>
      </c>
      <c r="BT34" s="61">
        <v>18</v>
      </c>
      <c r="BU34" s="61">
        <v>31</v>
      </c>
      <c r="BV34" s="61">
        <v>30</v>
      </c>
      <c r="BW34" s="61">
        <v>17</v>
      </c>
      <c r="BX34" s="61">
        <v>46</v>
      </c>
      <c r="BY34" s="61"/>
      <c r="BZ34" s="61"/>
      <c r="CA34" s="61"/>
      <c r="CB34" s="61">
        <v>1</v>
      </c>
      <c r="CC34" s="61">
        <v>4</v>
      </c>
      <c r="CD34" s="61">
        <v>77</v>
      </c>
      <c r="CE34" s="61"/>
      <c r="CF34" s="61">
        <v>1</v>
      </c>
      <c r="CG34" s="61">
        <v>82</v>
      </c>
      <c r="CH34" s="61"/>
      <c r="CI34" s="61">
        <v>8</v>
      </c>
      <c r="CJ34" s="61">
        <v>7</v>
      </c>
      <c r="CK34" s="61">
        <v>1</v>
      </c>
      <c r="CL34" s="61"/>
      <c r="CM34" s="61"/>
      <c r="CN34" s="61"/>
      <c r="CO34" s="61">
        <v>15</v>
      </c>
      <c r="CP34" s="61">
        <v>117</v>
      </c>
      <c r="CQ34" s="61">
        <v>7</v>
      </c>
      <c r="CR34" s="61"/>
      <c r="CS34" s="61"/>
      <c r="CT34" s="61">
        <v>6</v>
      </c>
      <c r="CU34" s="61">
        <v>4</v>
      </c>
      <c r="CV34" s="61"/>
      <c r="CW34" s="61"/>
      <c r="CX34" s="61">
        <v>49</v>
      </c>
      <c r="CY34" s="61">
        <v>83</v>
      </c>
      <c r="CZ34" s="61">
        <v>9</v>
      </c>
      <c r="DA34" s="61">
        <v>22</v>
      </c>
      <c r="DB34" s="61">
        <v>2</v>
      </c>
      <c r="DC34" s="61"/>
      <c r="DD34" s="61">
        <v>165</v>
      </c>
      <c r="DE34" s="61"/>
      <c r="DF34" s="61">
        <v>126</v>
      </c>
      <c r="DG34" s="61">
        <v>39</v>
      </c>
      <c r="DH34" s="62" t="s">
        <v>2185</v>
      </c>
      <c r="DI34" s="61">
        <v>123</v>
      </c>
      <c r="DJ34" s="61">
        <v>9</v>
      </c>
      <c r="DK34" s="61"/>
      <c r="DL34" s="61"/>
      <c r="DM34" s="61"/>
      <c r="DN34" s="61"/>
    </row>
    <row r="35" spans="1:118" x14ac:dyDescent="0.25">
      <c r="A35" s="61">
        <v>106100717</v>
      </c>
      <c r="B35" s="62" t="s">
        <v>218</v>
      </c>
      <c r="C35" s="62" t="s">
        <v>219</v>
      </c>
      <c r="D35" s="62" t="s">
        <v>209</v>
      </c>
      <c r="E35" s="62" t="s">
        <v>71</v>
      </c>
      <c r="F35" s="62" t="s">
        <v>2213</v>
      </c>
      <c r="G35" s="62" t="s">
        <v>220</v>
      </c>
      <c r="H35" s="62" t="s">
        <v>209</v>
      </c>
      <c r="I35" s="62" t="s">
        <v>221</v>
      </c>
      <c r="J35" s="62" t="s">
        <v>2191</v>
      </c>
      <c r="K35" s="62" t="s">
        <v>222</v>
      </c>
      <c r="L35" s="61">
        <v>16</v>
      </c>
      <c r="M35" s="61">
        <v>31</v>
      </c>
      <c r="N35" s="61">
        <v>14</v>
      </c>
      <c r="O35" s="62" t="s">
        <v>1804</v>
      </c>
      <c r="P35" s="62" t="s">
        <v>68</v>
      </c>
      <c r="Q35" s="62" t="s">
        <v>2167</v>
      </c>
      <c r="R35" s="62" t="s">
        <v>83</v>
      </c>
      <c r="S35" s="62" t="s">
        <v>223</v>
      </c>
      <c r="T35" s="61">
        <v>41008</v>
      </c>
      <c r="U35" s="61">
        <v>40740</v>
      </c>
      <c r="V35" s="61">
        <v>1</v>
      </c>
      <c r="W35" s="61">
        <v>4866</v>
      </c>
      <c r="X35" s="61">
        <v>7145</v>
      </c>
      <c r="Y35" s="61">
        <v>18639</v>
      </c>
      <c r="Z35" s="61">
        <v>15366</v>
      </c>
      <c r="AA35" s="61">
        <v>13143</v>
      </c>
      <c r="AB35" s="61">
        <v>12282</v>
      </c>
      <c r="AC35" s="61">
        <v>5752</v>
      </c>
      <c r="AD35" s="61">
        <v>2122</v>
      </c>
      <c r="AE35" s="61">
        <v>1296</v>
      </c>
      <c r="AF35" s="61">
        <v>1138</v>
      </c>
      <c r="AG35" s="61"/>
      <c r="AH35" s="61">
        <v>94</v>
      </c>
      <c r="AI35" s="61">
        <v>342</v>
      </c>
      <c r="AJ35" s="61">
        <v>37530</v>
      </c>
      <c r="AK35" s="61">
        <v>140</v>
      </c>
      <c r="AL35" s="61">
        <v>1575</v>
      </c>
      <c r="AM35" s="61">
        <v>38</v>
      </c>
      <c r="AN35" s="61">
        <v>42030</v>
      </c>
      <c r="AO35" s="61">
        <v>172</v>
      </c>
      <c r="AP35" s="61">
        <v>10001</v>
      </c>
      <c r="AQ35" s="61">
        <v>250</v>
      </c>
      <c r="AR35" s="61">
        <v>18</v>
      </c>
      <c r="AS35" s="61">
        <v>28</v>
      </c>
      <c r="AT35" s="61">
        <v>15</v>
      </c>
      <c r="AU35" s="61"/>
      <c r="AV35" s="61">
        <v>1982</v>
      </c>
      <c r="AW35" s="61">
        <v>465</v>
      </c>
      <c r="AX35" s="61">
        <v>130</v>
      </c>
      <c r="AY35" s="61">
        <v>67773</v>
      </c>
      <c r="AZ35" s="61">
        <v>496</v>
      </c>
      <c r="BA35" s="61">
        <v>143</v>
      </c>
      <c r="BB35" s="61"/>
      <c r="BC35" s="61">
        <v>224</v>
      </c>
      <c r="BD35" s="61">
        <v>57398</v>
      </c>
      <c r="BE35" s="61">
        <v>8783</v>
      </c>
      <c r="BF35" s="61">
        <v>2150</v>
      </c>
      <c r="BG35" s="61">
        <v>5074</v>
      </c>
      <c r="BH35" s="61">
        <v>8344</v>
      </c>
      <c r="BI35" s="61"/>
      <c r="BJ35" s="61">
        <v>81749</v>
      </c>
      <c r="BK35" s="61">
        <v>1167</v>
      </c>
      <c r="BL35" s="61">
        <v>69439</v>
      </c>
      <c r="BM35" s="61">
        <v>11143</v>
      </c>
      <c r="BN35" s="61">
        <v>11216</v>
      </c>
      <c r="BO35" s="61">
        <v>13781</v>
      </c>
      <c r="BP35" s="61"/>
      <c r="BQ35" s="61">
        <v>648</v>
      </c>
      <c r="BR35" s="61">
        <v>2320</v>
      </c>
      <c r="BS35" s="61">
        <v>2760</v>
      </c>
      <c r="BT35" s="61">
        <v>3600</v>
      </c>
      <c r="BU35" s="61">
        <v>5378</v>
      </c>
      <c r="BV35" s="61">
        <v>4504</v>
      </c>
      <c r="BW35" s="61">
        <v>2958</v>
      </c>
      <c r="BX35" s="61">
        <v>2356</v>
      </c>
      <c r="BY35" s="61">
        <v>193</v>
      </c>
      <c r="BZ35" s="61">
        <v>280</v>
      </c>
      <c r="CA35" s="61"/>
      <c r="CB35" s="61">
        <v>1535</v>
      </c>
      <c r="CC35" s="61">
        <v>2602</v>
      </c>
      <c r="CD35" s="61">
        <v>11045</v>
      </c>
      <c r="CE35" s="61">
        <v>506</v>
      </c>
      <c r="CF35" s="61">
        <v>22</v>
      </c>
      <c r="CG35" s="61">
        <v>9161</v>
      </c>
      <c r="CH35" s="61">
        <v>126</v>
      </c>
      <c r="CI35" s="61">
        <v>279</v>
      </c>
      <c r="CJ35" s="61">
        <v>1060</v>
      </c>
      <c r="CK35" s="61">
        <v>853</v>
      </c>
      <c r="CL35" s="61">
        <v>4227</v>
      </c>
      <c r="CM35" s="61">
        <v>573</v>
      </c>
      <c r="CN35" s="61"/>
      <c r="CO35" s="61">
        <v>62</v>
      </c>
      <c r="CP35" s="61">
        <v>14257</v>
      </c>
      <c r="CQ35" s="61">
        <v>2749</v>
      </c>
      <c r="CR35" s="61">
        <v>279</v>
      </c>
      <c r="CS35" s="61">
        <v>404</v>
      </c>
      <c r="CT35" s="61">
        <v>181</v>
      </c>
      <c r="CU35" s="61">
        <v>15</v>
      </c>
      <c r="CV35" s="61"/>
      <c r="CW35" s="61">
        <v>21</v>
      </c>
      <c r="CX35" s="61">
        <v>12094</v>
      </c>
      <c r="CY35" s="61">
        <v>8889</v>
      </c>
      <c r="CZ35" s="61">
        <v>999</v>
      </c>
      <c r="DA35" s="61">
        <v>2089</v>
      </c>
      <c r="DB35" s="61">
        <v>926</v>
      </c>
      <c r="DC35" s="61"/>
      <c r="DD35" s="61">
        <v>24997</v>
      </c>
      <c r="DE35" s="61">
        <v>1015</v>
      </c>
      <c r="DF35" s="61">
        <v>20233</v>
      </c>
      <c r="DG35" s="61">
        <v>3749</v>
      </c>
      <c r="DH35" s="62" t="s">
        <v>2185</v>
      </c>
      <c r="DI35" s="61">
        <v>641</v>
      </c>
      <c r="DJ35" s="61">
        <v>73</v>
      </c>
      <c r="DK35" s="61"/>
      <c r="DL35" s="61">
        <v>52</v>
      </c>
      <c r="DM35" s="61">
        <v>1</v>
      </c>
      <c r="DN35" s="61">
        <v>36</v>
      </c>
    </row>
    <row r="36" spans="1:118" x14ac:dyDescent="0.25">
      <c r="A36" s="61">
        <v>106100797</v>
      </c>
      <c r="B36" s="62" t="s">
        <v>224</v>
      </c>
      <c r="C36" s="62" t="s">
        <v>225</v>
      </c>
      <c r="D36" s="62" t="s">
        <v>209</v>
      </c>
      <c r="E36" s="62" t="s">
        <v>71</v>
      </c>
      <c r="F36" s="62" t="s">
        <v>2213</v>
      </c>
      <c r="G36" s="62" t="s">
        <v>226</v>
      </c>
      <c r="H36" s="62" t="s">
        <v>227</v>
      </c>
      <c r="I36" s="62" t="s">
        <v>228</v>
      </c>
      <c r="J36" s="62" t="s">
        <v>2190</v>
      </c>
      <c r="K36" s="62"/>
      <c r="L36" s="61">
        <v>22</v>
      </c>
      <c r="M36" s="61">
        <v>31</v>
      </c>
      <c r="N36" s="61">
        <v>14</v>
      </c>
      <c r="O36" s="62" t="s">
        <v>1805</v>
      </c>
      <c r="P36" s="62" t="s">
        <v>120</v>
      </c>
      <c r="Q36" s="62" t="s">
        <v>120</v>
      </c>
      <c r="R36" s="62" t="s">
        <v>2167</v>
      </c>
      <c r="S36" s="62" t="s">
        <v>127</v>
      </c>
      <c r="T36" s="61">
        <v>15918</v>
      </c>
      <c r="U36" s="61">
        <v>12242</v>
      </c>
      <c r="V36" s="61">
        <v>9</v>
      </c>
      <c r="W36" s="61">
        <v>6170</v>
      </c>
      <c r="X36" s="61">
        <v>4115</v>
      </c>
      <c r="Y36" s="61">
        <v>4875</v>
      </c>
      <c r="Z36" s="61">
        <v>3774</v>
      </c>
      <c r="AA36" s="61">
        <v>2702</v>
      </c>
      <c r="AB36" s="61">
        <v>2137</v>
      </c>
      <c r="AC36" s="61">
        <v>1432</v>
      </c>
      <c r="AD36" s="61">
        <v>903</v>
      </c>
      <c r="AE36" s="61">
        <v>746</v>
      </c>
      <c r="AF36" s="61">
        <v>1315</v>
      </c>
      <c r="AG36" s="61"/>
      <c r="AH36" s="61">
        <v>87</v>
      </c>
      <c r="AI36" s="61">
        <v>113</v>
      </c>
      <c r="AJ36" s="61">
        <v>23276</v>
      </c>
      <c r="AK36" s="61">
        <v>13</v>
      </c>
      <c r="AL36" s="61">
        <v>217</v>
      </c>
      <c r="AM36" s="61">
        <v>20</v>
      </c>
      <c r="AN36" s="61">
        <v>4443</v>
      </c>
      <c r="AO36" s="61">
        <v>930</v>
      </c>
      <c r="AP36" s="61">
        <v>288</v>
      </c>
      <c r="AQ36" s="61">
        <v>20</v>
      </c>
      <c r="AR36" s="61">
        <v>8</v>
      </c>
      <c r="AS36" s="61">
        <v>6</v>
      </c>
      <c r="AT36" s="61"/>
      <c r="AU36" s="61"/>
      <c r="AV36" s="61">
        <v>67</v>
      </c>
      <c r="AW36" s="61">
        <v>48</v>
      </c>
      <c r="AX36" s="61">
        <v>1</v>
      </c>
      <c r="AY36" s="61">
        <v>26688</v>
      </c>
      <c r="AZ36" s="61">
        <v>56</v>
      </c>
      <c r="BA36" s="61">
        <v>20</v>
      </c>
      <c r="BB36" s="61"/>
      <c r="BC36" s="61">
        <v>33</v>
      </c>
      <c r="BD36" s="61">
        <v>19770</v>
      </c>
      <c r="BE36" s="61">
        <v>2597</v>
      </c>
      <c r="BF36" s="61">
        <v>358</v>
      </c>
      <c r="BG36" s="61">
        <v>3050</v>
      </c>
      <c r="BH36" s="61">
        <v>2394</v>
      </c>
      <c r="BI36" s="61"/>
      <c r="BJ36" s="61">
        <v>28169</v>
      </c>
      <c r="BK36" s="61">
        <v>30</v>
      </c>
      <c r="BL36" s="61">
        <v>18576</v>
      </c>
      <c r="BM36" s="61">
        <v>9563</v>
      </c>
      <c r="BN36" s="61">
        <v>344</v>
      </c>
      <c r="BO36" s="61">
        <v>222</v>
      </c>
      <c r="BP36" s="61"/>
      <c r="BQ36" s="61">
        <v>10</v>
      </c>
      <c r="BR36" s="61">
        <v>44</v>
      </c>
      <c r="BS36" s="61">
        <v>44</v>
      </c>
      <c r="BT36" s="61">
        <v>81</v>
      </c>
      <c r="BU36" s="61">
        <v>73</v>
      </c>
      <c r="BV36" s="61">
        <v>94</v>
      </c>
      <c r="BW36" s="61">
        <v>85</v>
      </c>
      <c r="BX36" s="61">
        <v>135</v>
      </c>
      <c r="BY36" s="61"/>
      <c r="BZ36" s="61"/>
      <c r="CA36" s="61"/>
      <c r="CB36" s="61">
        <v>3</v>
      </c>
      <c r="CC36" s="61">
        <v>1</v>
      </c>
      <c r="CD36" s="61">
        <v>404</v>
      </c>
      <c r="CE36" s="61">
        <v>2</v>
      </c>
      <c r="CF36" s="61">
        <v>2</v>
      </c>
      <c r="CG36" s="61">
        <v>154</v>
      </c>
      <c r="CH36" s="61"/>
      <c r="CI36" s="61">
        <v>45</v>
      </c>
      <c r="CJ36" s="61">
        <v>7</v>
      </c>
      <c r="CK36" s="61">
        <v>5</v>
      </c>
      <c r="CL36" s="61">
        <v>19</v>
      </c>
      <c r="CM36" s="61"/>
      <c r="CN36" s="61"/>
      <c r="CO36" s="61"/>
      <c r="CP36" s="61">
        <v>413</v>
      </c>
      <c r="CQ36" s="61">
        <v>74</v>
      </c>
      <c r="CR36" s="61"/>
      <c r="CS36" s="61">
        <v>3</v>
      </c>
      <c r="CT36" s="61"/>
      <c r="CU36" s="61"/>
      <c r="CV36" s="61"/>
      <c r="CW36" s="61"/>
      <c r="CX36" s="61">
        <v>217</v>
      </c>
      <c r="CY36" s="61">
        <v>268</v>
      </c>
      <c r="CZ36" s="61"/>
      <c r="DA36" s="61">
        <v>61</v>
      </c>
      <c r="DB36" s="61">
        <v>20</v>
      </c>
      <c r="DC36" s="61"/>
      <c r="DD36" s="61">
        <v>566</v>
      </c>
      <c r="DE36" s="61">
        <v>2</v>
      </c>
      <c r="DF36" s="61">
        <v>341</v>
      </c>
      <c r="DG36" s="61">
        <v>223</v>
      </c>
      <c r="DH36" s="62" t="s">
        <v>2185</v>
      </c>
      <c r="DI36" s="61">
        <v>49</v>
      </c>
      <c r="DJ36" s="61">
        <v>10</v>
      </c>
      <c r="DK36" s="61">
        <v>3</v>
      </c>
      <c r="DL36" s="61">
        <v>1</v>
      </c>
      <c r="DM36" s="61"/>
      <c r="DN36" s="61"/>
    </row>
    <row r="37" spans="1:118" x14ac:dyDescent="0.25">
      <c r="A37" s="61">
        <v>106100899</v>
      </c>
      <c r="B37" s="62" t="s">
        <v>229</v>
      </c>
      <c r="C37" s="62" t="s">
        <v>230</v>
      </c>
      <c r="D37" s="62" t="s">
        <v>209</v>
      </c>
      <c r="E37" s="62" t="s">
        <v>71</v>
      </c>
      <c r="F37" s="62" t="s">
        <v>2213</v>
      </c>
      <c r="G37" s="62" t="s">
        <v>231</v>
      </c>
      <c r="H37" s="62" t="s">
        <v>209</v>
      </c>
      <c r="I37" s="62" t="s">
        <v>232</v>
      </c>
      <c r="J37" s="62" t="s">
        <v>2186</v>
      </c>
      <c r="K37" s="62"/>
      <c r="L37" s="61">
        <v>22</v>
      </c>
      <c r="M37" s="61">
        <v>23</v>
      </c>
      <c r="N37" s="61">
        <v>8</v>
      </c>
      <c r="O37" s="62" t="s">
        <v>1806</v>
      </c>
      <c r="P37" s="62" t="s">
        <v>68</v>
      </c>
      <c r="Q37" s="62" t="s">
        <v>2167</v>
      </c>
      <c r="R37" s="62" t="s">
        <v>2167</v>
      </c>
      <c r="S37" s="62" t="s">
        <v>69</v>
      </c>
      <c r="T37" s="61">
        <v>46270</v>
      </c>
      <c r="U37" s="61">
        <v>27768</v>
      </c>
      <c r="V37" s="61">
        <v>1</v>
      </c>
      <c r="W37" s="61">
        <v>3010</v>
      </c>
      <c r="X37" s="61">
        <v>5896</v>
      </c>
      <c r="Y37" s="61">
        <v>16767</v>
      </c>
      <c r="Z37" s="61">
        <v>12692</v>
      </c>
      <c r="AA37" s="61">
        <v>9468</v>
      </c>
      <c r="AB37" s="61">
        <v>9215</v>
      </c>
      <c r="AC37" s="61">
        <v>6653</v>
      </c>
      <c r="AD37" s="61">
        <v>4542</v>
      </c>
      <c r="AE37" s="61">
        <v>5245</v>
      </c>
      <c r="AF37" s="61">
        <v>551</v>
      </c>
      <c r="AG37" s="61"/>
      <c r="AH37" s="61">
        <v>2627</v>
      </c>
      <c r="AI37" s="61">
        <v>8459</v>
      </c>
      <c r="AJ37" s="61">
        <v>31366</v>
      </c>
      <c r="AK37" s="61">
        <v>259</v>
      </c>
      <c r="AL37" s="61">
        <v>641</v>
      </c>
      <c r="AM37" s="61">
        <v>252</v>
      </c>
      <c r="AN37" s="61">
        <v>30435</v>
      </c>
      <c r="AO37" s="61">
        <v>573</v>
      </c>
      <c r="AP37" s="61">
        <v>3327</v>
      </c>
      <c r="AQ37" s="61">
        <v>132</v>
      </c>
      <c r="AR37" s="61">
        <v>693</v>
      </c>
      <c r="AS37" s="61">
        <v>25</v>
      </c>
      <c r="AT37" s="61">
        <v>51</v>
      </c>
      <c r="AU37" s="61"/>
      <c r="AV37" s="61">
        <v>10</v>
      </c>
      <c r="AW37" s="61">
        <v>412</v>
      </c>
      <c r="AX37" s="61">
        <v>75</v>
      </c>
      <c r="AY37" s="61">
        <v>68485</v>
      </c>
      <c r="AZ37" s="61">
        <v>191</v>
      </c>
      <c r="BA37" s="61">
        <v>48</v>
      </c>
      <c r="BB37" s="61">
        <v>6</v>
      </c>
      <c r="BC37" s="61">
        <v>5</v>
      </c>
      <c r="BD37" s="61">
        <v>40432</v>
      </c>
      <c r="BE37" s="61">
        <v>15688</v>
      </c>
      <c r="BF37" s="61">
        <v>1371</v>
      </c>
      <c r="BG37" s="61">
        <v>12563</v>
      </c>
      <c r="BH37" s="61">
        <v>3985</v>
      </c>
      <c r="BI37" s="61"/>
      <c r="BJ37" s="61">
        <v>74039</v>
      </c>
      <c r="BK37" s="61">
        <v>881</v>
      </c>
      <c r="BL37" s="61">
        <v>68650</v>
      </c>
      <c r="BM37" s="61">
        <v>4508</v>
      </c>
      <c r="BN37" s="61">
        <v>5919</v>
      </c>
      <c r="BO37" s="61">
        <v>4689</v>
      </c>
      <c r="BP37" s="61"/>
      <c r="BQ37" s="61">
        <v>93</v>
      </c>
      <c r="BR37" s="61">
        <v>719</v>
      </c>
      <c r="BS37" s="61">
        <v>794</v>
      </c>
      <c r="BT37" s="61">
        <v>937</v>
      </c>
      <c r="BU37" s="61">
        <v>1666</v>
      </c>
      <c r="BV37" s="61">
        <v>1981</v>
      </c>
      <c r="BW37" s="61">
        <v>1833</v>
      </c>
      <c r="BX37" s="61">
        <v>2583</v>
      </c>
      <c r="BY37" s="61">
        <v>2</v>
      </c>
      <c r="BZ37" s="61"/>
      <c r="CA37" s="61"/>
      <c r="CB37" s="61">
        <v>644</v>
      </c>
      <c r="CC37" s="61">
        <v>820</v>
      </c>
      <c r="CD37" s="61">
        <v>3124</v>
      </c>
      <c r="CE37" s="61">
        <v>52</v>
      </c>
      <c r="CF37" s="61">
        <v>23</v>
      </c>
      <c r="CG37" s="61">
        <v>5900</v>
      </c>
      <c r="CH37" s="61">
        <v>45</v>
      </c>
      <c r="CI37" s="61">
        <v>118</v>
      </c>
      <c r="CJ37" s="61">
        <v>183</v>
      </c>
      <c r="CK37" s="61">
        <v>568</v>
      </c>
      <c r="CL37" s="61">
        <v>2132</v>
      </c>
      <c r="CM37" s="61">
        <v>361</v>
      </c>
      <c r="CN37" s="61"/>
      <c r="CO37" s="61">
        <v>91</v>
      </c>
      <c r="CP37" s="61">
        <v>5569</v>
      </c>
      <c r="CQ37" s="61">
        <v>1294</v>
      </c>
      <c r="CR37" s="61"/>
      <c r="CS37" s="61">
        <v>274</v>
      </c>
      <c r="CT37" s="61">
        <v>8</v>
      </c>
      <c r="CU37" s="61">
        <v>5</v>
      </c>
      <c r="CV37" s="61"/>
      <c r="CW37" s="61">
        <v>5</v>
      </c>
      <c r="CX37" s="61">
        <v>2878</v>
      </c>
      <c r="CY37" s="61">
        <v>6209</v>
      </c>
      <c r="CZ37" s="61">
        <v>84</v>
      </c>
      <c r="DA37" s="61">
        <v>1354</v>
      </c>
      <c r="DB37" s="61">
        <v>83</v>
      </c>
      <c r="DC37" s="61"/>
      <c r="DD37" s="61">
        <v>10608</v>
      </c>
      <c r="DE37" s="61">
        <v>339</v>
      </c>
      <c r="DF37" s="61">
        <v>9516</v>
      </c>
      <c r="DG37" s="61">
        <v>753</v>
      </c>
      <c r="DH37" s="62" t="s">
        <v>2185</v>
      </c>
      <c r="DI37" s="61">
        <v>436</v>
      </c>
      <c r="DJ37" s="61">
        <v>48</v>
      </c>
      <c r="DK37" s="61"/>
      <c r="DL37" s="61">
        <v>6</v>
      </c>
      <c r="DM37" s="61"/>
      <c r="DN37" s="61"/>
    </row>
    <row r="38" spans="1:118" x14ac:dyDescent="0.25">
      <c r="A38" s="61">
        <v>106104062</v>
      </c>
      <c r="B38" s="62" t="s">
        <v>233</v>
      </c>
      <c r="C38" s="62" t="s">
        <v>2039</v>
      </c>
      <c r="D38" s="62" t="s">
        <v>209</v>
      </c>
      <c r="E38" s="62" t="s">
        <v>71</v>
      </c>
      <c r="F38" s="62" t="s">
        <v>2213</v>
      </c>
      <c r="G38" s="62" t="s">
        <v>234</v>
      </c>
      <c r="H38" s="62" t="s">
        <v>209</v>
      </c>
      <c r="I38" s="62" t="s">
        <v>232</v>
      </c>
      <c r="J38" s="62" t="s">
        <v>2187</v>
      </c>
      <c r="K38" s="62"/>
      <c r="L38" s="61">
        <v>22</v>
      </c>
      <c r="M38" s="61">
        <v>23</v>
      </c>
      <c r="N38" s="61">
        <v>8</v>
      </c>
      <c r="O38" s="62" t="s">
        <v>1806</v>
      </c>
      <c r="P38" s="62" t="s">
        <v>68</v>
      </c>
      <c r="Q38" s="62" t="s">
        <v>2167</v>
      </c>
      <c r="R38" s="62" t="s">
        <v>2167</v>
      </c>
      <c r="S38" s="62" t="s">
        <v>69</v>
      </c>
      <c r="T38" s="61">
        <v>18416</v>
      </c>
      <c r="U38" s="61">
        <v>13864</v>
      </c>
      <c r="V38" s="61"/>
      <c r="W38" s="61">
        <v>2753</v>
      </c>
      <c r="X38" s="61">
        <v>3283</v>
      </c>
      <c r="Y38" s="61">
        <v>4351</v>
      </c>
      <c r="Z38" s="61">
        <v>3642</v>
      </c>
      <c r="AA38" s="61">
        <v>3310</v>
      </c>
      <c r="AB38" s="61">
        <v>3706</v>
      </c>
      <c r="AC38" s="61">
        <v>3492</v>
      </c>
      <c r="AD38" s="61">
        <v>3554</v>
      </c>
      <c r="AE38" s="61">
        <v>3702</v>
      </c>
      <c r="AF38" s="61">
        <v>487</v>
      </c>
      <c r="AG38" s="61"/>
      <c r="AH38" s="61">
        <v>1708</v>
      </c>
      <c r="AI38" s="61">
        <v>2619</v>
      </c>
      <c r="AJ38" s="61">
        <v>12879</v>
      </c>
      <c r="AK38" s="61">
        <v>178</v>
      </c>
      <c r="AL38" s="61">
        <v>424</v>
      </c>
      <c r="AM38" s="61">
        <v>235</v>
      </c>
      <c r="AN38" s="61">
        <v>14237</v>
      </c>
      <c r="AO38" s="61">
        <v>78</v>
      </c>
      <c r="AP38" s="61">
        <v>263</v>
      </c>
      <c r="AQ38" s="61">
        <v>32</v>
      </c>
      <c r="AR38" s="61">
        <v>200</v>
      </c>
      <c r="AS38" s="61">
        <v>42</v>
      </c>
      <c r="AT38" s="61">
        <v>20</v>
      </c>
      <c r="AU38" s="61"/>
      <c r="AV38" s="61">
        <v>2</v>
      </c>
      <c r="AW38" s="61">
        <v>318</v>
      </c>
      <c r="AX38" s="61">
        <v>3</v>
      </c>
      <c r="AY38" s="61">
        <v>30796</v>
      </c>
      <c r="AZ38" s="61">
        <v>223</v>
      </c>
      <c r="BA38" s="61">
        <v>99</v>
      </c>
      <c r="BB38" s="61"/>
      <c r="BC38" s="61">
        <v>204</v>
      </c>
      <c r="BD38" s="61">
        <v>3895</v>
      </c>
      <c r="BE38" s="61">
        <v>9666</v>
      </c>
      <c r="BF38" s="61">
        <v>683</v>
      </c>
      <c r="BG38" s="61">
        <v>16693</v>
      </c>
      <c r="BH38" s="61">
        <v>1343</v>
      </c>
      <c r="BI38" s="61"/>
      <c r="BJ38" s="61">
        <v>32280</v>
      </c>
      <c r="BK38" s="61">
        <v>257</v>
      </c>
      <c r="BL38" s="61">
        <v>30191</v>
      </c>
      <c r="BM38" s="61">
        <v>1832</v>
      </c>
      <c r="BN38" s="61">
        <v>2433</v>
      </c>
      <c r="BO38" s="61">
        <v>2036</v>
      </c>
      <c r="BP38" s="61"/>
      <c r="BQ38" s="61">
        <v>23</v>
      </c>
      <c r="BR38" s="61">
        <v>111</v>
      </c>
      <c r="BS38" s="61">
        <v>176</v>
      </c>
      <c r="BT38" s="61">
        <v>280</v>
      </c>
      <c r="BU38" s="61">
        <v>569</v>
      </c>
      <c r="BV38" s="61">
        <v>829</v>
      </c>
      <c r="BW38" s="61">
        <v>1129</v>
      </c>
      <c r="BX38" s="61">
        <v>1351</v>
      </c>
      <c r="BY38" s="61">
        <v>1</v>
      </c>
      <c r="BZ38" s="61"/>
      <c r="CA38" s="61"/>
      <c r="CB38" s="61">
        <v>224</v>
      </c>
      <c r="CC38" s="61">
        <v>267</v>
      </c>
      <c r="CD38" s="61">
        <v>1086</v>
      </c>
      <c r="CE38" s="61">
        <v>20</v>
      </c>
      <c r="CF38" s="61">
        <v>1</v>
      </c>
      <c r="CG38" s="61">
        <v>2844</v>
      </c>
      <c r="CH38" s="61">
        <v>27</v>
      </c>
      <c r="CI38" s="61">
        <v>108</v>
      </c>
      <c r="CJ38" s="61">
        <v>35</v>
      </c>
      <c r="CK38" s="61">
        <v>181</v>
      </c>
      <c r="CL38" s="61">
        <v>895</v>
      </c>
      <c r="CM38" s="61">
        <v>4</v>
      </c>
      <c r="CN38" s="61">
        <v>1</v>
      </c>
      <c r="CO38" s="61"/>
      <c r="CP38" s="61">
        <v>2433</v>
      </c>
      <c r="CQ38" s="61">
        <v>525</v>
      </c>
      <c r="CR38" s="61"/>
      <c r="CS38" s="61">
        <v>254</v>
      </c>
      <c r="CT38" s="61">
        <v>7</v>
      </c>
      <c r="CU38" s="61"/>
      <c r="CV38" s="61"/>
      <c r="CW38" s="61">
        <v>25</v>
      </c>
      <c r="CX38" s="61">
        <v>67</v>
      </c>
      <c r="CY38" s="61">
        <v>3138</v>
      </c>
      <c r="CZ38" s="61">
        <v>14</v>
      </c>
      <c r="DA38" s="61">
        <v>1221</v>
      </c>
      <c r="DB38" s="61">
        <v>29</v>
      </c>
      <c r="DC38" s="61"/>
      <c r="DD38" s="61">
        <v>4469</v>
      </c>
      <c r="DE38" s="61">
        <v>38</v>
      </c>
      <c r="DF38" s="61">
        <v>4256</v>
      </c>
      <c r="DG38" s="61">
        <v>175</v>
      </c>
      <c r="DH38" s="62" t="s">
        <v>2185</v>
      </c>
      <c r="DI38" s="61">
        <v>169</v>
      </c>
      <c r="DJ38" s="61">
        <v>22</v>
      </c>
      <c r="DK38" s="61"/>
      <c r="DL38" s="61"/>
      <c r="DM38" s="61">
        <v>1</v>
      </c>
      <c r="DN38" s="61"/>
    </row>
    <row r="39" spans="1:118" x14ac:dyDescent="0.25">
      <c r="A39" s="61">
        <v>106110889</v>
      </c>
      <c r="B39" s="62" t="s">
        <v>235</v>
      </c>
      <c r="C39" s="62" t="s">
        <v>236</v>
      </c>
      <c r="D39" s="62" t="s">
        <v>237</v>
      </c>
      <c r="E39" s="62" t="s">
        <v>71</v>
      </c>
      <c r="F39" s="62" t="s">
        <v>2213</v>
      </c>
      <c r="G39" s="62" t="s">
        <v>238</v>
      </c>
      <c r="H39" s="62" t="s">
        <v>239</v>
      </c>
      <c r="I39" s="62" t="s">
        <v>240</v>
      </c>
      <c r="J39" s="62" t="s">
        <v>2190</v>
      </c>
      <c r="K39" s="62" t="s">
        <v>126</v>
      </c>
      <c r="L39" s="61">
        <v>3</v>
      </c>
      <c r="M39" s="61">
        <v>3</v>
      </c>
      <c r="N39" s="61">
        <v>4</v>
      </c>
      <c r="O39" s="62" t="s">
        <v>1807</v>
      </c>
      <c r="P39" s="62" t="s">
        <v>241</v>
      </c>
      <c r="Q39" s="62" t="s">
        <v>120</v>
      </c>
      <c r="R39" s="62" t="s">
        <v>2167</v>
      </c>
      <c r="S39" s="62" t="s">
        <v>127</v>
      </c>
      <c r="T39" s="61">
        <v>3056</v>
      </c>
      <c r="U39" s="61">
        <v>2532</v>
      </c>
      <c r="V39" s="61"/>
      <c r="W39" s="61">
        <v>532</v>
      </c>
      <c r="X39" s="61">
        <v>616</v>
      </c>
      <c r="Y39" s="61">
        <v>992</v>
      </c>
      <c r="Z39" s="61">
        <v>889</v>
      </c>
      <c r="AA39" s="61">
        <v>595</v>
      </c>
      <c r="AB39" s="61">
        <v>723</v>
      </c>
      <c r="AC39" s="61">
        <v>480</v>
      </c>
      <c r="AD39" s="61">
        <v>380</v>
      </c>
      <c r="AE39" s="61">
        <v>289</v>
      </c>
      <c r="AF39" s="61">
        <v>92</v>
      </c>
      <c r="AG39" s="61"/>
      <c r="AH39" s="61">
        <v>88</v>
      </c>
      <c r="AI39" s="61">
        <v>88</v>
      </c>
      <c r="AJ39" s="61">
        <v>1060</v>
      </c>
      <c r="AK39" s="61">
        <v>111</v>
      </c>
      <c r="AL39" s="61">
        <v>35</v>
      </c>
      <c r="AM39" s="61">
        <v>6</v>
      </c>
      <c r="AN39" s="61">
        <v>4200</v>
      </c>
      <c r="AO39" s="61">
        <v>389</v>
      </c>
      <c r="AP39" s="61">
        <v>128</v>
      </c>
      <c r="AQ39" s="61">
        <v>2</v>
      </c>
      <c r="AR39" s="61"/>
      <c r="AS39" s="61"/>
      <c r="AT39" s="61"/>
      <c r="AU39" s="61"/>
      <c r="AV39" s="61">
        <v>117</v>
      </c>
      <c r="AW39" s="61">
        <v>57</v>
      </c>
      <c r="AX39" s="61">
        <v>1</v>
      </c>
      <c r="AY39" s="61">
        <v>4845</v>
      </c>
      <c r="AZ39" s="61">
        <v>39</v>
      </c>
      <c r="BA39" s="61"/>
      <c r="BB39" s="61">
        <v>1</v>
      </c>
      <c r="BC39" s="61"/>
      <c r="BD39" s="61">
        <v>2649</v>
      </c>
      <c r="BE39" s="61">
        <v>1271</v>
      </c>
      <c r="BF39" s="61">
        <v>387</v>
      </c>
      <c r="BG39" s="61">
        <v>753</v>
      </c>
      <c r="BH39" s="61">
        <v>528</v>
      </c>
      <c r="BI39" s="61"/>
      <c r="BJ39" s="61">
        <v>5588</v>
      </c>
      <c r="BK39" s="61">
        <v>13</v>
      </c>
      <c r="BL39" s="61">
        <v>5402</v>
      </c>
      <c r="BM39" s="61">
        <v>173</v>
      </c>
      <c r="BN39" s="61">
        <v>121</v>
      </c>
      <c r="BO39" s="61">
        <v>85</v>
      </c>
      <c r="BP39" s="61"/>
      <c r="BQ39" s="61">
        <v>2</v>
      </c>
      <c r="BR39" s="61">
        <v>10</v>
      </c>
      <c r="BS39" s="61">
        <v>17</v>
      </c>
      <c r="BT39" s="61">
        <v>18</v>
      </c>
      <c r="BU39" s="61">
        <v>27</v>
      </c>
      <c r="BV39" s="61">
        <v>39</v>
      </c>
      <c r="BW39" s="61">
        <v>48</v>
      </c>
      <c r="BX39" s="61">
        <v>45</v>
      </c>
      <c r="BY39" s="61"/>
      <c r="BZ39" s="61"/>
      <c r="CA39" s="61"/>
      <c r="CB39" s="61">
        <v>3</v>
      </c>
      <c r="CC39" s="61">
        <v>2</v>
      </c>
      <c r="CD39" s="61">
        <v>22</v>
      </c>
      <c r="CE39" s="61">
        <v>2</v>
      </c>
      <c r="CF39" s="61">
        <v>1</v>
      </c>
      <c r="CG39" s="61">
        <v>172</v>
      </c>
      <c r="CH39" s="61">
        <v>4</v>
      </c>
      <c r="CI39" s="61">
        <v>18</v>
      </c>
      <c r="CJ39" s="61">
        <v>5</v>
      </c>
      <c r="CK39" s="61"/>
      <c r="CL39" s="61"/>
      <c r="CM39" s="61"/>
      <c r="CN39" s="61"/>
      <c r="CO39" s="61"/>
      <c r="CP39" s="61">
        <v>141</v>
      </c>
      <c r="CQ39" s="61">
        <v>42</v>
      </c>
      <c r="CR39" s="61"/>
      <c r="CS39" s="61"/>
      <c r="CT39" s="61"/>
      <c r="CU39" s="61"/>
      <c r="CV39" s="61"/>
      <c r="CW39" s="61"/>
      <c r="CX39" s="61">
        <v>10</v>
      </c>
      <c r="CY39" s="61">
        <v>131</v>
      </c>
      <c r="CZ39" s="61">
        <v>50</v>
      </c>
      <c r="DA39" s="61">
        <v>14</v>
      </c>
      <c r="DB39" s="61">
        <v>1</v>
      </c>
      <c r="DC39" s="61"/>
      <c r="DD39" s="61">
        <v>206</v>
      </c>
      <c r="DE39" s="61"/>
      <c r="DF39" s="61">
        <v>197</v>
      </c>
      <c r="DG39" s="61">
        <v>9</v>
      </c>
      <c r="DH39" s="62" t="s">
        <v>2185</v>
      </c>
      <c r="DI39" s="61">
        <v>47</v>
      </c>
      <c r="DJ39" s="61">
        <v>5</v>
      </c>
      <c r="DK39" s="61"/>
      <c r="DL39" s="61">
        <v>9</v>
      </c>
      <c r="DM39" s="61"/>
      <c r="DN39" s="61"/>
    </row>
    <row r="40" spans="1:118" x14ac:dyDescent="0.25">
      <c r="A40" s="61">
        <v>106121002</v>
      </c>
      <c r="B40" s="62" t="s">
        <v>242</v>
      </c>
      <c r="C40" s="62" t="s">
        <v>243</v>
      </c>
      <c r="D40" s="62" t="s">
        <v>244</v>
      </c>
      <c r="E40" s="62" t="s">
        <v>184</v>
      </c>
      <c r="F40" s="62" t="s">
        <v>2213</v>
      </c>
      <c r="G40" s="62" t="s">
        <v>245</v>
      </c>
      <c r="H40" s="62" t="s">
        <v>246</v>
      </c>
      <c r="I40" s="62" t="s">
        <v>247</v>
      </c>
      <c r="J40" s="62" t="s">
        <v>2188</v>
      </c>
      <c r="K40" s="62"/>
      <c r="L40" s="61">
        <v>2</v>
      </c>
      <c r="M40" s="61">
        <v>2</v>
      </c>
      <c r="N40" s="61">
        <v>2</v>
      </c>
      <c r="O40" s="62" t="s">
        <v>1808</v>
      </c>
      <c r="P40" s="62" t="s">
        <v>120</v>
      </c>
      <c r="Q40" s="62" t="s">
        <v>2167</v>
      </c>
      <c r="R40" s="62" t="s">
        <v>2167</v>
      </c>
      <c r="S40" s="62" t="s">
        <v>69</v>
      </c>
      <c r="T40" s="61">
        <v>8366</v>
      </c>
      <c r="U40" s="61">
        <v>7956</v>
      </c>
      <c r="V40" s="61"/>
      <c r="W40" s="61">
        <v>1265</v>
      </c>
      <c r="X40" s="61">
        <v>1629</v>
      </c>
      <c r="Y40" s="61">
        <v>3644</v>
      </c>
      <c r="Z40" s="61">
        <v>2553</v>
      </c>
      <c r="AA40" s="61">
        <v>1760</v>
      </c>
      <c r="AB40" s="61">
        <v>1941</v>
      </c>
      <c r="AC40" s="61">
        <v>1681</v>
      </c>
      <c r="AD40" s="61">
        <v>888</v>
      </c>
      <c r="AE40" s="61">
        <v>756</v>
      </c>
      <c r="AF40" s="61">
        <v>205</v>
      </c>
      <c r="AG40" s="61"/>
      <c r="AH40" s="61">
        <v>165</v>
      </c>
      <c r="AI40" s="61">
        <v>476</v>
      </c>
      <c r="AJ40" s="61">
        <v>1341</v>
      </c>
      <c r="AK40" s="61">
        <v>1913</v>
      </c>
      <c r="AL40" s="61">
        <v>131</v>
      </c>
      <c r="AM40" s="61">
        <v>6</v>
      </c>
      <c r="AN40" s="61">
        <v>12290</v>
      </c>
      <c r="AO40" s="61">
        <v>391</v>
      </c>
      <c r="AP40" s="61">
        <v>190</v>
      </c>
      <c r="AQ40" s="61">
        <v>32</v>
      </c>
      <c r="AR40" s="61">
        <v>12</v>
      </c>
      <c r="AS40" s="61"/>
      <c r="AT40" s="61">
        <v>1</v>
      </c>
      <c r="AU40" s="61"/>
      <c r="AV40" s="61">
        <v>120</v>
      </c>
      <c r="AW40" s="61">
        <v>46</v>
      </c>
      <c r="AX40" s="61">
        <v>10</v>
      </c>
      <c r="AY40" s="61">
        <v>15464</v>
      </c>
      <c r="AZ40" s="61">
        <v>3</v>
      </c>
      <c r="BA40" s="61">
        <v>6</v>
      </c>
      <c r="BB40" s="61">
        <v>32</v>
      </c>
      <c r="BC40" s="61">
        <v>2</v>
      </c>
      <c r="BD40" s="61">
        <v>7290</v>
      </c>
      <c r="BE40" s="61">
        <v>3355</v>
      </c>
      <c r="BF40" s="61">
        <v>1049</v>
      </c>
      <c r="BG40" s="61">
        <v>3524</v>
      </c>
      <c r="BH40" s="61">
        <v>1102</v>
      </c>
      <c r="BI40" s="61">
        <v>2</v>
      </c>
      <c r="BJ40" s="61">
        <v>16322</v>
      </c>
      <c r="BK40" s="61">
        <v>61</v>
      </c>
      <c r="BL40" s="61">
        <v>16062</v>
      </c>
      <c r="BM40" s="61">
        <v>199</v>
      </c>
      <c r="BN40" s="61">
        <v>1107</v>
      </c>
      <c r="BO40" s="61">
        <v>611</v>
      </c>
      <c r="BP40" s="61"/>
      <c r="BQ40" s="61">
        <v>67</v>
      </c>
      <c r="BR40" s="61">
        <v>331</v>
      </c>
      <c r="BS40" s="61">
        <v>322</v>
      </c>
      <c r="BT40" s="61">
        <v>125</v>
      </c>
      <c r="BU40" s="61">
        <v>185</v>
      </c>
      <c r="BV40" s="61">
        <v>237</v>
      </c>
      <c r="BW40" s="61">
        <v>179</v>
      </c>
      <c r="BX40" s="61">
        <v>240</v>
      </c>
      <c r="BY40" s="61">
        <v>12</v>
      </c>
      <c r="BZ40" s="61">
        <v>20</v>
      </c>
      <c r="CA40" s="61"/>
      <c r="CB40" s="61">
        <v>16</v>
      </c>
      <c r="CC40" s="61">
        <v>24</v>
      </c>
      <c r="CD40" s="61">
        <v>100</v>
      </c>
      <c r="CE40" s="61">
        <v>9</v>
      </c>
      <c r="CF40" s="61">
        <v>3</v>
      </c>
      <c r="CG40" s="61">
        <v>1302</v>
      </c>
      <c r="CH40" s="61">
        <v>264</v>
      </c>
      <c r="CI40" s="61">
        <v>66</v>
      </c>
      <c r="CJ40" s="61">
        <v>52</v>
      </c>
      <c r="CK40" s="61">
        <v>25</v>
      </c>
      <c r="CL40" s="61">
        <v>97</v>
      </c>
      <c r="CM40" s="61">
        <v>4</v>
      </c>
      <c r="CN40" s="61"/>
      <c r="CO40" s="61">
        <v>9</v>
      </c>
      <c r="CP40" s="61">
        <v>1396</v>
      </c>
      <c r="CQ40" s="61">
        <v>59</v>
      </c>
      <c r="CR40" s="61">
        <v>1</v>
      </c>
      <c r="CS40" s="61"/>
      <c r="CT40" s="61">
        <v>6</v>
      </c>
      <c r="CU40" s="61"/>
      <c r="CV40" s="61">
        <v>3</v>
      </c>
      <c r="CW40" s="61"/>
      <c r="CX40" s="61">
        <v>711</v>
      </c>
      <c r="CY40" s="61">
        <v>620</v>
      </c>
      <c r="CZ40" s="61">
        <v>55</v>
      </c>
      <c r="DA40" s="61">
        <v>310</v>
      </c>
      <c r="DB40" s="61">
        <v>21</v>
      </c>
      <c r="DC40" s="61">
        <v>1</v>
      </c>
      <c r="DD40" s="61">
        <v>1718</v>
      </c>
      <c r="DE40" s="61">
        <v>8</v>
      </c>
      <c r="DF40" s="61">
        <v>1696</v>
      </c>
      <c r="DG40" s="61">
        <v>14</v>
      </c>
      <c r="DH40" s="62" t="s">
        <v>2185</v>
      </c>
      <c r="DI40" s="61">
        <v>78</v>
      </c>
      <c r="DJ40" s="61">
        <v>7</v>
      </c>
      <c r="DK40" s="61">
        <v>10</v>
      </c>
      <c r="DL40" s="61">
        <v>3</v>
      </c>
      <c r="DM40" s="61"/>
      <c r="DN40" s="61"/>
    </row>
    <row r="41" spans="1:118" x14ac:dyDescent="0.25">
      <c r="A41" s="61">
        <v>106121031</v>
      </c>
      <c r="B41" s="62" t="s">
        <v>248</v>
      </c>
      <c r="C41" s="62" t="s">
        <v>249</v>
      </c>
      <c r="D41" s="62" t="s">
        <v>244</v>
      </c>
      <c r="E41" s="62" t="s">
        <v>94</v>
      </c>
      <c r="F41" s="62" t="s">
        <v>2213</v>
      </c>
      <c r="G41" s="62" t="s">
        <v>250</v>
      </c>
      <c r="H41" s="62" t="s">
        <v>251</v>
      </c>
      <c r="I41" s="62" t="s">
        <v>252</v>
      </c>
      <c r="J41" s="62" t="s">
        <v>2190</v>
      </c>
      <c r="K41" s="62"/>
      <c r="L41" s="61">
        <v>2</v>
      </c>
      <c r="M41" s="61">
        <v>2</v>
      </c>
      <c r="N41" s="61">
        <v>2</v>
      </c>
      <c r="O41" s="62" t="s">
        <v>1809</v>
      </c>
      <c r="P41" s="62" t="s">
        <v>241</v>
      </c>
      <c r="Q41" s="62" t="s">
        <v>120</v>
      </c>
      <c r="R41" s="62" t="s">
        <v>2167</v>
      </c>
      <c r="S41" s="62" t="s">
        <v>127</v>
      </c>
      <c r="T41" s="61">
        <v>1375</v>
      </c>
      <c r="U41" s="61">
        <v>1714</v>
      </c>
      <c r="V41" s="61"/>
      <c r="W41" s="61">
        <v>158</v>
      </c>
      <c r="X41" s="61">
        <v>216</v>
      </c>
      <c r="Y41" s="61">
        <v>678</v>
      </c>
      <c r="Z41" s="61">
        <v>618</v>
      </c>
      <c r="AA41" s="61">
        <v>400</v>
      </c>
      <c r="AB41" s="61">
        <v>363</v>
      </c>
      <c r="AC41" s="61">
        <v>346</v>
      </c>
      <c r="AD41" s="61">
        <v>141</v>
      </c>
      <c r="AE41" s="61">
        <v>145</v>
      </c>
      <c r="AF41" s="61">
        <v>24</v>
      </c>
      <c r="AG41" s="61"/>
      <c r="AH41" s="61">
        <v>32</v>
      </c>
      <c r="AI41" s="61">
        <v>51</v>
      </c>
      <c r="AJ41" s="61">
        <v>192</v>
      </c>
      <c r="AK41" s="61">
        <v>85</v>
      </c>
      <c r="AL41" s="61">
        <v>29</v>
      </c>
      <c r="AM41" s="61">
        <v>59</v>
      </c>
      <c r="AN41" s="61">
        <v>2641</v>
      </c>
      <c r="AO41" s="61">
        <v>101</v>
      </c>
      <c r="AP41" s="61">
        <v>143</v>
      </c>
      <c r="AQ41" s="61">
        <v>7</v>
      </c>
      <c r="AR41" s="61"/>
      <c r="AS41" s="61"/>
      <c r="AT41" s="61"/>
      <c r="AU41" s="61"/>
      <c r="AV41" s="61">
        <v>34</v>
      </c>
      <c r="AW41" s="61">
        <v>4</v>
      </c>
      <c r="AX41" s="61">
        <v>4</v>
      </c>
      <c r="AY41" s="61">
        <v>2592</v>
      </c>
      <c r="AZ41" s="61">
        <v>10</v>
      </c>
      <c r="BA41" s="61">
        <v>56</v>
      </c>
      <c r="BB41" s="61">
        <v>21</v>
      </c>
      <c r="BC41" s="61">
        <v>117</v>
      </c>
      <c r="BD41" s="61">
        <v>646</v>
      </c>
      <c r="BE41" s="61">
        <v>492</v>
      </c>
      <c r="BF41" s="61">
        <v>142</v>
      </c>
      <c r="BG41" s="61">
        <v>1001</v>
      </c>
      <c r="BH41" s="61">
        <v>808</v>
      </c>
      <c r="BI41" s="61"/>
      <c r="BJ41" s="61">
        <v>3089</v>
      </c>
      <c r="BK41" s="61">
        <v>23</v>
      </c>
      <c r="BL41" s="61">
        <v>3015</v>
      </c>
      <c r="BM41" s="61">
        <v>51</v>
      </c>
      <c r="BN41" s="61">
        <v>24</v>
      </c>
      <c r="BO41" s="61">
        <v>25</v>
      </c>
      <c r="BP41" s="61"/>
      <c r="BQ41" s="61">
        <v>2</v>
      </c>
      <c r="BR41" s="61">
        <v>3</v>
      </c>
      <c r="BS41" s="61">
        <v>5</v>
      </c>
      <c r="BT41" s="61">
        <v>4</v>
      </c>
      <c r="BU41" s="61">
        <v>8</v>
      </c>
      <c r="BV41" s="61">
        <v>5</v>
      </c>
      <c r="BW41" s="61">
        <v>10</v>
      </c>
      <c r="BX41" s="61">
        <v>12</v>
      </c>
      <c r="BY41" s="61"/>
      <c r="BZ41" s="61"/>
      <c r="CA41" s="61"/>
      <c r="CB41" s="61"/>
      <c r="CC41" s="61">
        <v>1</v>
      </c>
      <c r="CD41" s="61">
        <v>1</v>
      </c>
      <c r="CE41" s="61"/>
      <c r="CF41" s="61"/>
      <c r="CG41" s="61">
        <v>46</v>
      </c>
      <c r="CH41" s="61">
        <v>1</v>
      </c>
      <c r="CI41" s="61">
        <v>7</v>
      </c>
      <c r="CJ41" s="61">
        <v>3</v>
      </c>
      <c r="CK41" s="61"/>
      <c r="CL41" s="61"/>
      <c r="CM41" s="61"/>
      <c r="CN41" s="61"/>
      <c r="CO41" s="61"/>
      <c r="CP41" s="61">
        <v>28</v>
      </c>
      <c r="CQ41" s="61">
        <v>9</v>
      </c>
      <c r="CR41" s="61"/>
      <c r="CS41" s="61"/>
      <c r="CT41" s="61"/>
      <c r="CU41" s="61"/>
      <c r="CV41" s="61"/>
      <c r="CW41" s="61">
        <v>2</v>
      </c>
      <c r="CX41" s="61">
        <v>15</v>
      </c>
      <c r="CY41" s="61">
        <v>27</v>
      </c>
      <c r="CZ41" s="61">
        <v>1</v>
      </c>
      <c r="DA41" s="61">
        <v>4</v>
      </c>
      <c r="DB41" s="61">
        <v>2</v>
      </c>
      <c r="DC41" s="61"/>
      <c r="DD41" s="61">
        <v>49</v>
      </c>
      <c r="DE41" s="61"/>
      <c r="DF41" s="61">
        <v>49</v>
      </c>
      <c r="DG41" s="61"/>
      <c r="DH41" s="62" t="s">
        <v>2185</v>
      </c>
      <c r="DI41" s="61">
        <v>17</v>
      </c>
      <c r="DJ41" s="61">
        <v>2</v>
      </c>
      <c r="DK41" s="61"/>
      <c r="DL41" s="61"/>
      <c r="DM41" s="61"/>
      <c r="DN41" s="61"/>
    </row>
    <row r="42" spans="1:118" x14ac:dyDescent="0.25">
      <c r="A42" s="61">
        <v>106121051</v>
      </c>
      <c r="B42" s="62" t="s">
        <v>253</v>
      </c>
      <c r="C42" s="62" t="s">
        <v>254</v>
      </c>
      <c r="D42" s="62" t="s">
        <v>244</v>
      </c>
      <c r="E42" s="62" t="s">
        <v>71</v>
      </c>
      <c r="F42" s="62" t="s">
        <v>2213</v>
      </c>
      <c r="G42" s="62" t="s">
        <v>255</v>
      </c>
      <c r="H42" s="62" t="s">
        <v>256</v>
      </c>
      <c r="I42" s="62" t="s">
        <v>257</v>
      </c>
      <c r="J42" s="62" t="s">
        <v>2190</v>
      </c>
      <c r="K42" s="62"/>
      <c r="L42" s="61">
        <v>2</v>
      </c>
      <c r="M42" s="61">
        <v>2</v>
      </c>
      <c r="N42" s="61">
        <v>2</v>
      </c>
      <c r="O42" s="62" t="s">
        <v>1810</v>
      </c>
      <c r="P42" s="62" t="s">
        <v>120</v>
      </c>
      <c r="Q42" s="62" t="s">
        <v>120</v>
      </c>
      <c r="R42" s="62" t="s">
        <v>2167</v>
      </c>
      <c r="S42" s="62" t="s">
        <v>69</v>
      </c>
      <c r="T42" s="61">
        <v>6294</v>
      </c>
      <c r="U42" s="61">
        <v>5634</v>
      </c>
      <c r="V42" s="61"/>
      <c r="W42" s="61">
        <v>1068</v>
      </c>
      <c r="X42" s="61">
        <v>1148</v>
      </c>
      <c r="Y42" s="61">
        <v>1938</v>
      </c>
      <c r="Z42" s="61">
        <v>1694</v>
      </c>
      <c r="AA42" s="61">
        <v>1262</v>
      </c>
      <c r="AB42" s="61">
        <v>1553</v>
      </c>
      <c r="AC42" s="61">
        <v>1366</v>
      </c>
      <c r="AD42" s="61">
        <v>824</v>
      </c>
      <c r="AE42" s="61">
        <v>864</v>
      </c>
      <c r="AF42" s="61">
        <v>211</v>
      </c>
      <c r="AG42" s="61"/>
      <c r="AH42" s="61">
        <v>63</v>
      </c>
      <c r="AI42" s="61">
        <v>123</v>
      </c>
      <c r="AJ42" s="61">
        <v>773</v>
      </c>
      <c r="AK42" s="61">
        <v>304</v>
      </c>
      <c r="AL42" s="61">
        <v>608</v>
      </c>
      <c r="AM42" s="61">
        <v>137</v>
      </c>
      <c r="AN42" s="61">
        <v>9920</v>
      </c>
      <c r="AO42" s="61">
        <v>197</v>
      </c>
      <c r="AP42" s="61">
        <v>183</v>
      </c>
      <c r="AQ42" s="61">
        <v>22</v>
      </c>
      <c r="AR42" s="61"/>
      <c r="AS42" s="61"/>
      <c r="AT42" s="61"/>
      <c r="AU42" s="61"/>
      <c r="AV42" s="61">
        <v>103</v>
      </c>
      <c r="AW42" s="61">
        <v>38</v>
      </c>
      <c r="AX42" s="61"/>
      <c r="AY42" s="61">
        <v>10993</v>
      </c>
      <c r="AZ42" s="61">
        <v>96</v>
      </c>
      <c r="BA42" s="61"/>
      <c r="BB42" s="61">
        <v>1</v>
      </c>
      <c r="BC42" s="61">
        <v>285</v>
      </c>
      <c r="BD42" s="61">
        <v>5162</v>
      </c>
      <c r="BE42" s="61">
        <v>2786</v>
      </c>
      <c r="BF42" s="61">
        <v>484</v>
      </c>
      <c r="BG42" s="61">
        <v>2253</v>
      </c>
      <c r="BH42" s="61">
        <v>1243</v>
      </c>
      <c r="BI42" s="61"/>
      <c r="BJ42" s="61">
        <v>11928</v>
      </c>
      <c r="BK42" s="61">
        <v>26</v>
      </c>
      <c r="BL42" s="61">
        <v>11669</v>
      </c>
      <c r="BM42" s="61">
        <v>233</v>
      </c>
      <c r="BN42" s="61">
        <v>376</v>
      </c>
      <c r="BO42" s="61">
        <v>312</v>
      </c>
      <c r="BP42" s="61"/>
      <c r="BQ42" s="61">
        <v>15</v>
      </c>
      <c r="BR42" s="61">
        <v>24</v>
      </c>
      <c r="BS42" s="61">
        <v>41</v>
      </c>
      <c r="BT42" s="61">
        <v>43</v>
      </c>
      <c r="BU42" s="61">
        <v>99</v>
      </c>
      <c r="BV42" s="61">
        <v>149</v>
      </c>
      <c r="BW42" s="61">
        <v>123</v>
      </c>
      <c r="BX42" s="61">
        <v>167</v>
      </c>
      <c r="BY42" s="61">
        <v>8</v>
      </c>
      <c r="BZ42" s="61">
        <v>19</v>
      </c>
      <c r="CA42" s="61"/>
      <c r="CB42" s="61">
        <v>4</v>
      </c>
      <c r="CC42" s="61">
        <v>1</v>
      </c>
      <c r="CD42" s="61">
        <v>24</v>
      </c>
      <c r="CE42" s="61">
        <v>38</v>
      </c>
      <c r="CF42" s="61">
        <v>7</v>
      </c>
      <c r="CG42" s="61">
        <v>591</v>
      </c>
      <c r="CH42" s="61">
        <v>23</v>
      </c>
      <c r="CI42" s="61">
        <v>29</v>
      </c>
      <c r="CJ42" s="61">
        <v>8</v>
      </c>
      <c r="CK42" s="61">
        <v>33</v>
      </c>
      <c r="CL42" s="61">
        <v>85</v>
      </c>
      <c r="CM42" s="61">
        <v>1</v>
      </c>
      <c r="CN42" s="61"/>
      <c r="CO42" s="61">
        <v>3</v>
      </c>
      <c r="CP42" s="61">
        <v>404</v>
      </c>
      <c r="CQ42" s="61">
        <v>80</v>
      </c>
      <c r="CR42" s="61">
        <v>1</v>
      </c>
      <c r="CS42" s="61">
        <v>14</v>
      </c>
      <c r="CT42" s="61">
        <v>1</v>
      </c>
      <c r="CU42" s="61">
        <v>28</v>
      </c>
      <c r="CV42" s="61"/>
      <c r="CW42" s="61">
        <v>1</v>
      </c>
      <c r="CX42" s="61">
        <v>159</v>
      </c>
      <c r="CY42" s="61">
        <v>405</v>
      </c>
      <c r="CZ42" s="61">
        <v>13</v>
      </c>
      <c r="DA42" s="61">
        <v>90</v>
      </c>
      <c r="DB42" s="61">
        <v>21</v>
      </c>
      <c r="DC42" s="61"/>
      <c r="DD42" s="61">
        <v>688</v>
      </c>
      <c r="DE42" s="61">
        <v>3</v>
      </c>
      <c r="DF42" s="61">
        <v>675</v>
      </c>
      <c r="DG42" s="61">
        <v>10</v>
      </c>
      <c r="DH42" s="62" t="s">
        <v>2185</v>
      </c>
      <c r="DI42" s="61">
        <v>35</v>
      </c>
      <c r="DJ42" s="61">
        <v>8</v>
      </c>
      <c r="DK42" s="61">
        <v>10</v>
      </c>
      <c r="DL42" s="61"/>
      <c r="DM42" s="61"/>
      <c r="DN42" s="61"/>
    </row>
    <row r="43" spans="1:118" x14ac:dyDescent="0.25">
      <c r="A43" s="61">
        <v>106121080</v>
      </c>
      <c r="B43" s="62" t="s">
        <v>258</v>
      </c>
      <c r="C43" s="62" t="s">
        <v>259</v>
      </c>
      <c r="D43" s="62" t="s">
        <v>244</v>
      </c>
      <c r="E43" s="62" t="s">
        <v>71</v>
      </c>
      <c r="F43" s="62" t="s">
        <v>2213</v>
      </c>
      <c r="G43" s="62" t="s">
        <v>260</v>
      </c>
      <c r="H43" s="62" t="s">
        <v>261</v>
      </c>
      <c r="I43" s="62" t="s">
        <v>262</v>
      </c>
      <c r="J43" s="62" t="s">
        <v>2189</v>
      </c>
      <c r="K43" s="62"/>
      <c r="L43" s="61">
        <v>2</v>
      </c>
      <c r="M43" s="61">
        <v>2</v>
      </c>
      <c r="N43" s="61">
        <v>2</v>
      </c>
      <c r="O43" s="62" t="s">
        <v>1808</v>
      </c>
      <c r="P43" s="62" t="s">
        <v>120</v>
      </c>
      <c r="Q43" s="62" t="s">
        <v>2167</v>
      </c>
      <c r="R43" s="62" t="s">
        <v>2167</v>
      </c>
      <c r="S43" s="62" t="s">
        <v>69</v>
      </c>
      <c r="T43" s="61">
        <v>13548</v>
      </c>
      <c r="U43" s="61">
        <v>13390</v>
      </c>
      <c r="V43" s="61"/>
      <c r="W43" s="61">
        <v>1913</v>
      </c>
      <c r="X43" s="61">
        <v>2041</v>
      </c>
      <c r="Y43" s="61">
        <v>5063</v>
      </c>
      <c r="Z43" s="61">
        <v>4532</v>
      </c>
      <c r="AA43" s="61">
        <v>3668</v>
      </c>
      <c r="AB43" s="61">
        <v>3594</v>
      </c>
      <c r="AC43" s="61">
        <v>2921</v>
      </c>
      <c r="AD43" s="61">
        <v>1555</v>
      </c>
      <c r="AE43" s="61">
        <v>1263</v>
      </c>
      <c r="AF43" s="61">
        <v>388</v>
      </c>
      <c r="AG43" s="61"/>
      <c r="AH43" s="61">
        <v>507</v>
      </c>
      <c r="AI43" s="61">
        <v>812</v>
      </c>
      <c r="AJ43" s="61">
        <v>905</v>
      </c>
      <c r="AK43" s="61">
        <v>1059</v>
      </c>
      <c r="AL43" s="61">
        <v>1436</v>
      </c>
      <c r="AM43" s="61">
        <v>683</v>
      </c>
      <c r="AN43" s="61">
        <v>21536</v>
      </c>
      <c r="AO43" s="61">
        <v>73</v>
      </c>
      <c r="AP43" s="61">
        <v>433</v>
      </c>
      <c r="AQ43" s="61">
        <v>68</v>
      </c>
      <c r="AR43" s="61">
        <v>1</v>
      </c>
      <c r="AS43" s="61">
        <v>2</v>
      </c>
      <c r="AT43" s="61">
        <v>4</v>
      </c>
      <c r="AU43" s="61"/>
      <c r="AV43" s="61">
        <v>366</v>
      </c>
      <c r="AW43" s="61">
        <v>190</v>
      </c>
      <c r="AX43" s="61">
        <v>1</v>
      </c>
      <c r="AY43" s="61">
        <v>25396</v>
      </c>
      <c r="AZ43" s="61">
        <v>3</v>
      </c>
      <c r="BA43" s="61">
        <v>231</v>
      </c>
      <c r="BB43" s="61"/>
      <c r="BC43" s="61">
        <v>160</v>
      </c>
      <c r="BD43" s="61">
        <v>12607</v>
      </c>
      <c r="BE43" s="61">
        <v>5853</v>
      </c>
      <c r="BF43" s="61">
        <v>1477</v>
      </c>
      <c r="BG43" s="61">
        <v>4581</v>
      </c>
      <c r="BH43" s="61">
        <v>2420</v>
      </c>
      <c r="BI43" s="61"/>
      <c r="BJ43" s="61">
        <v>26938</v>
      </c>
      <c r="BK43" s="61">
        <v>112</v>
      </c>
      <c r="BL43" s="61">
        <v>26655</v>
      </c>
      <c r="BM43" s="61">
        <v>171</v>
      </c>
      <c r="BN43" s="61">
        <v>1945</v>
      </c>
      <c r="BO43" s="61">
        <v>2268</v>
      </c>
      <c r="BP43" s="61"/>
      <c r="BQ43" s="61">
        <v>64</v>
      </c>
      <c r="BR43" s="61">
        <v>236</v>
      </c>
      <c r="BS43" s="61">
        <v>266</v>
      </c>
      <c r="BT43" s="61">
        <v>366</v>
      </c>
      <c r="BU43" s="61">
        <v>692</v>
      </c>
      <c r="BV43" s="61">
        <v>945</v>
      </c>
      <c r="BW43" s="61">
        <v>701</v>
      </c>
      <c r="BX43" s="61">
        <v>859</v>
      </c>
      <c r="BY43" s="61">
        <v>22</v>
      </c>
      <c r="BZ43" s="61">
        <v>62</v>
      </c>
      <c r="CA43" s="61"/>
      <c r="CB43" s="61">
        <v>71</v>
      </c>
      <c r="CC43" s="61">
        <v>74</v>
      </c>
      <c r="CD43" s="61">
        <v>90</v>
      </c>
      <c r="CE43" s="61">
        <v>173</v>
      </c>
      <c r="CF43" s="61">
        <v>92</v>
      </c>
      <c r="CG43" s="61">
        <v>3534</v>
      </c>
      <c r="CH43" s="61">
        <v>179</v>
      </c>
      <c r="CI43" s="61">
        <v>47</v>
      </c>
      <c r="CJ43" s="61">
        <v>162</v>
      </c>
      <c r="CK43" s="61">
        <v>153</v>
      </c>
      <c r="CL43" s="61">
        <v>589</v>
      </c>
      <c r="CM43" s="61">
        <v>32</v>
      </c>
      <c r="CN43" s="61"/>
      <c r="CO43" s="61">
        <v>12</v>
      </c>
      <c r="CP43" s="61">
        <v>2701</v>
      </c>
      <c r="CQ43" s="61">
        <v>312</v>
      </c>
      <c r="CR43" s="61">
        <v>18</v>
      </c>
      <c r="CS43" s="61">
        <v>102</v>
      </c>
      <c r="CT43" s="61">
        <v>30</v>
      </c>
      <c r="CU43" s="61">
        <v>53</v>
      </c>
      <c r="CV43" s="61"/>
      <c r="CW43" s="61">
        <v>2</v>
      </c>
      <c r="CX43" s="61">
        <v>1153</v>
      </c>
      <c r="CY43" s="61">
        <v>2319</v>
      </c>
      <c r="CZ43" s="61">
        <v>166</v>
      </c>
      <c r="DA43" s="61">
        <v>498</v>
      </c>
      <c r="DB43" s="61">
        <v>77</v>
      </c>
      <c r="DC43" s="61"/>
      <c r="DD43" s="61">
        <v>4213</v>
      </c>
      <c r="DE43" s="61">
        <v>33</v>
      </c>
      <c r="DF43" s="61">
        <v>4153</v>
      </c>
      <c r="DG43" s="61">
        <v>27</v>
      </c>
      <c r="DH43" s="62" t="s">
        <v>2185</v>
      </c>
      <c r="DI43" s="61">
        <v>138</v>
      </c>
      <c r="DJ43" s="61">
        <v>20</v>
      </c>
      <c r="DK43" s="61">
        <v>10</v>
      </c>
      <c r="DL43" s="61"/>
      <c r="DM43" s="61"/>
      <c r="DN43" s="61"/>
    </row>
    <row r="44" spans="1:118" x14ac:dyDescent="0.25">
      <c r="A44" s="61">
        <v>106130699</v>
      </c>
      <c r="B44" s="62" t="s">
        <v>263</v>
      </c>
      <c r="C44" s="62" t="s">
        <v>264</v>
      </c>
      <c r="D44" s="62" t="s">
        <v>265</v>
      </c>
      <c r="E44" s="62" t="s">
        <v>100</v>
      </c>
      <c r="F44" s="62" t="s">
        <v>2213</v>
      </c>
      <c r="G44" s="62" t="s">
        <v>266</v>
      </c>
      <c r="H44" s="62" t="s">
        <v>267</v>
      </c>
      <c r="I44" s="62" t="s">
        <v>268</v>
      </c>
      <c r="J44" s="62" t="s">
        <v>2187</v>
      </c>
      <c r="K44" s="62" t="s">
        <v>126</v>
      </c>
      <c r="L44" s="61">
        <v>51</v>
      </c>
      <c r="M44" s="61">
        <v>56</v>
      </c>
      <c r="N44" s="61">
        <v>40</v>
      </c>
      <c r="O44" s="62" t="s">
        <v>1811</v>
      </c>
      <c r="P44" s="62" t="s">
        <v>120</v>
      </c>
      <c r="Q44" s="62" t="s">
        <v>2167</v>
      </c>
      <c r="R44" s="62" t="s">
        <v>2167</v>
      </c>
      <c r="S44" s="62" t="s">
        <v>69</v>
      </c>
      <c r="T44" s="61">
        <v>25073</v>
      </c>
      <c r="U44" s="61">
        <v>20865</v>
      </c>
      <c r="V44" s="61"/>
      <c r="W44" s="61">
        <v>6679</v>
      </c>
      <c r="X44" s="61">
        <v>5657</v>
      </c>
      <c r="Y44" s="61">
        <v>6478</v>
      </c>
      <c r="Z44" s="61">
        <v>5349</v>
      </c>
      <c r="AA44" s="61">
        <v>4842</v>
      </c>
      <c r="AB44" s="61">
        <v>5088</v>
      </c>
      <c r="AC44" s="61">
        <v>4266</v>
      </c>
      <c r="AD44" s="61">
        <v>3146</v>
      </c>
      <c r="AE44" s="61">
        <v>3084</v>
      </c>
      <c r="AF44" s="61">
        <v>1349</v>
      </c>
      <c r="AG44" s="61"/>
      <c r="AH44" s="61">
        <v>126</v>
      </c>
      <c r="AI44" s="61">
        <v>999</v>
      </c>
      <c r="AJ44" s="61">
        <v>39186</v>
      </c>
      <c r="AK44" s="61">
        <v>22</v>
      </c>
      <c r="AL44" s="61">
        <v>1193</v>
      </c>
      <c r="AM44" s="61">
        <v>353</v>
      </c>
      <c r="AN44" s="61">
        <v>4059</v>
      </c>
      <c r="AO44" s="61">
        <v>925</v>
      </c>
      <c r="AP44" s="61">
        <v>524</v>
      </c>
      <c r="AQ44" s="61">
        <v>65</v>
      </c>
      <c r="AR44" s="61">
        <v>73</v>
      </c>
      <c r="AS44" s="61"/>
      <c r="AT44" s="61">
        <v>1</v>
      </c>
      <c r="AU44" s="61"/>
      <c r="AV44" s="61">
        <v>13</v>
      </c>
      <c r="AW44" s="61">
        <v>5</v>
      </c>
      <c r="AX44" s="61"/>
      <c r="AY44" s="61">
        <v>44045</v>
      </c>
      <c r="AZ44" s="61">
        <v>27</v>
      </c>
      <c r="BA44" s="61">
        <v>91</v>
      </c>
      <c r="BB44" s="61"/>
      <c r="BC44" s="61"/>
      <c r="BD44" s="61">
        <v>26250</v>
      </c>
      <c r="BE44" s="61">
        <v>9919</v>
      </c>
      <c r="BF44" s="61">
        <v>1298</v>
      </c>
      <c r="BG44" s="61">
        <v>6316</v>
      </c>
      <c r="BH44" s="61">
        <v>2123</v>
      </c>
      <c r="BI44" s="61">
        <v>32</v>
      </c>
      <c r="BJ44" s="61">
        <v>45938</v>
      </c>
      <c r="BK44" s="61">
        <v>27</v>
      </c>
      <c r="BL44" s="61">
        <v>26286</v>
      </c>
      <c r="BM44" s="61">
        <v>19625</v>
      </c>
      <c r="BN44" s="61">
        <v>1571</v>
      </c>
      <c r="BO44" s="61">
        <v>1713</v>
      </c>
      <c r="BP44" s="61"/>
      <c r="BQ44" s="61">
        <v>41</v>
      </c>
      <c r="BR44" s="61">
        <v>152</v>
      </c>
      <c r="BS44" s="61">
        <v>182</v>
      </c>
      <c r="BT44" s="61">
        <v>243</v>
      </c>
      <c r="BU44" s="61">
        <v>490</v>
      </c>
      <c r="BV44" s="61">
        <v>599</v>
      </c>
      <c r="BW44" s="61">
        <v>648</v>
      </c>
      <c r="BX44" s="61">
        <v>860</v>
      </c>
      <c r="BY44" s="61">
        <v>36</v>
      </c>
      <c r="BZ44" s="61">
        <v>33</v>
      </c>
      <c r="CA44" s="61"/>
      <c r="CB44" s="61">
        <v>9</v>
      </c>
      <c r="CC44" s="61">
        <v>87</v>
      </c>
      <c r="CD44" s="61">
        <v>2647</v>
      </c>
      <c r="CE44" s="61">
        <v>99</v>
      </c>
      <c r="CF44" s="61">
        <v>37</v>
      </c>
      <c r="CG44" s="61">
        <v>404</v>
      </c>
      <c r="CH44" s="61">
        <v>1</v>
      </c>
      <c r="CI44" s="61"/>
      <c r="CJ44" s="61">
        <v>514</v>
      </c>
      <c r="CK44" s="61">
        <v>124</v>
      </c>
      <c r="CL44" s="61">
        <v>689</v>
      </c>
      <c r="CM44" s="61"/>
      <c r="CN44" s="61"/>
      <c r="CO44" s="61"/>
      <c r="CP44" s="61">
        <v>1679</v>
      </c>
      <c r="CQ44" s="61">
        <v>3</v>
      </c>
      <c r="CR44" s="61">
        <v>24</v>
      </c>
      <c r="CS44" s="61"/>
      <c r="CT44" s="61"/>
      <c r="CU44" s="61">
        <v>234</v>
      </c>
      <c r="CV44" s="61"/>
      <c r="CW44" s="61"/>
      <c r="CX44" s="61">
        <v>917</v>
      </c>
      <c r="CY44" s="61">
        <v>2025</v>
      </c>
      <c r="CZ44" s="61">
        <v>23</v>
      </c>
      <c r="DA44" s="61">
        <v>277</v>
      </c>
      <c r="DB44" s="61">
        <v>42</v>
      </c>
      <c r="DC44" s="61"/>
      <c r="DD44" s="61">
        <v>3284</v>
      </c>
      <c r="DE44" s="61">
        <v>2</v>
      </c>
      <c r="DF44" s="61">
        <v>1459</v>
      </c>
      <c r="DG44" s="61">
        <v>1823</v>
      </c>
      <c r="DH44" s="62" t="s">
        <v>2185</v>
      </c>
      <c r="DI44" s="61">
        <v>161</v>
      </c>
      <c r="DJ44" s="61">
        <v>24</v>
      </c>
      <c r="DK44" s="61">
        <v>12</v>
      </c>
      <c r="DL44" s="61">
        <v>157</v>
      </c>
      <c r="DM44" s="61">
        <v>8</v>
      </c>
      <c r="DN44" s="61">
        <v>9</v>
      </c>
    </row>
    <row r="45" spans="1:118" x14ac:dyDescent="0.25">
      <c r="A45" s="61">
        <v>106130760</v>
      </c>
      <c r="B45" s="62" t="s">
        <v>269</v>
      </c>
      <c r="C45" s="62" t="s">
        <v>270</v>
      </c>
      <c r="D45" s="62" t="s">
        <v>265</v>
      </c>
      <c r="E45" s="62" t="s">
        <v>94</v>
      </c>
      <c r="F45" s="62" t="s">
        <v>2213</v>
      </c>
      <c r="G45" s="62" t="s">
        <v>271</v>
      </c>
      <c r="H45" s="62" t="s">
        <v>272</v>
      </c>
      <c r="I45" s="62" t="s">
        <v>273</v>
      </c>
      <c r="J45" s="62" t="s">
        <v>2189</v>
      </c>
      <c r="K45" s="62" t="s">
        <v>126</v>
      </c>
      <c r="L45" s="61">
        <v>51</v>
      </c>
      <c r="M45" s="61">
        <v>56</v>
      </c>
      <c r="N45" s="61">
        <v>40</v>
      </c>
      <c r="O45" s="62" t="s">
        <v>1812</v>
      </c>
      <c r="P45" s="62" t="s">
        <v>120</v>
      </c>
      <c r="Q45" s="62" t="s">
        <v>2167</v>
      </c>
      <c r="R45" s="62" t="s">
        <v>2167</v>
      </c>
      <c r="S45" s="62" t="s">
        <v>69</v>
      </c>
      <c r="T45" s="61">
        <v>25332</v>
      </c>
      <c r="U45" s="61">
        <v>19456</v>
      </c>
      <c r="V45" s="61">
        <v>1</v>
      </c>
      <c r="W45" s="61">
        <v>7902</v>
      </c>
      <c r="X45" s="61">
        <v>6151</v>
      </c>
      <c r="Y45" s="61">
        <v>7233</v>
      </c>
      <c r="Z45" s="61">
        <v>6121</v>
      </c>
      <c r="AA45" s="61">
        <v>4570</v>
      </c>
      <c r="AB45" s="61">
        <v>4530</v>
      </c>
      <c r="AC45" s="61">
        <v>3064</v>
      </c>
      <c r="AD45" s="61">
        <v>2020</v>
      </c>
      <c r="AE45" s="61">
        <v>1616</v>
      </c>
      <c r="AF45" s="61">
        <v>1582</v>
      </c>
      <c r="AG45" s="61"/>
      <c r="AH45" s="61">
        <v>95</v>
      </c>
      <c r="AI45" s="61">
        <v>738</v>
      </c>
      <c r="AJ45" s="61">
        <v>36601</v>
      </c>
      <c r="AK45" s="61">
        <v>11</v>
      </c>
      <c r="AL45" s="61">
        <v>43</v>
      </c>
      <c r="AM45" s="61">
        <v>69</v>
      </c>
      <c r="AN45" s="61">
        <v>7232</v>
      </c>
      <c r="AO45" s="61">
        <v>571</v>
      </c>
      <c r="AP45" s="61">
        <v>430</v>
      </c>
      <c r="AQ45" s="61">
        <v>35</v>
      </c>
      <c r="AR45" s="61">
        <v>29</v>
      </c>
      <c r="AS45" s="61"/>
      <c r="AT45" s="61"/>
      <c r="AU45" s="61"/>
      <c r="AV45" s="61">
        <v>412</v>
      </c>
      <c r="AW45" s="61">
        <v>2</v>
      </c>
      <c r="AX45" s="61">
        <v>6</v>
      </c>
      <c r="AY45" s="61">
        <v>43074</v>
      </c>
      <c r="AZ45" s="61">
        <v>46</v>
      </c>
      <c r="BA45" s="61">
        <v>182</v>
      </c>
      <c r="BB45" s="61">
        <v>2</v>
      </c>
      <c r="BC45" s="61"/>
      <c r="BD45" s="61">
        <v>3645</v>
      </c>
      <c r="BE45" s="61">
        <v>5989</v>
      </c>
      <c r="BF45" s="61">
        <v>1044</v>
      </c>
      <c r="BG45" s="61">
        <v>33077</v>
      </c>
      <c r="BH45" s="61">
        <v>1032</v>
      </c>
      <c r="BI45" s="61">
        <v>2</v>
      </c>
      <c r="BJ45" s="61">
        <v>44789</v>
      </c>
      <c r="BK45" s="61">
        <v>32</v>
      </c>
      <c r="BL45" s="61">
        <v>34103</v>
      </c>
      <c r="BM45" s="61">
        <v>10654</v>
      </c>
      <c r="BN45" s="61">
        <v>1635</v>
      </c>
      <c r="BO45" s="61">
        <v>1543</v>
      </c>
      <c r="BP45" s="61"/>
      <c r="BQ45" s="61">
        <v>82</v>
      </c>
      <c r="BR45" s="61">
        <v>159</v>
      </c>
      <c r="BS45" s="61">
        <v>222</v>
      </c>
      <c r="BT45" s="61">
        <v>260</v>
      </c>
      <c r="BU45" s="61">
        <v>443</v>
      </c>
      <c r="BV45" s="61">
        <v>518</v>
      </c>
      <c r="BW45" s="61">
        <v>533</v>
      </c>
      <c r="BX45" s="61">
        <v>648</v>
      </c>
      <c r="BY45" s="61">
        <v>151</v>
      </c>
      <c r="BZ45" s="61">
        <v>162</v>
      </c>
      <c r="CA45" s="61"/>
      <c r="CB45" s="61">
        <v>5</v>
      </c>
      <c r="CC45" s="61">
        <v>76</v>
      </c>
      <c r="CD45" s="61">
        <v>2337</v>
      </c>
      <c r="CE45" s="61">
        <v>1</v>
      </c>
      <c r="CF45" s="61">
        <v>6</v>
      </c>
      <c r="CG45" s="61">
        <v>753</v>
      </c>
      <c r="CH45" s="61"/>
      <c r="CI45" s="61">
        <v>187</v>
      </c>
      <c r="CJ45" s="61">
        <v>64</v>
      </c>
      <c r="CK45" s="61">
        <v>71</v>
      </c>
      <c r="CL45" s="61">
        <v>525</v>
      </c>
      <c r="CM45" s="61">
        <v>57</v>
      </c>
      <c r="CN45" s="61"/>
      <c r="CO45" s="61">
        <v>2</v>
      </c>
      <c r="CP45" s="61">
        <v>1970</v>
      </c>
      <c r="CQ45" s="61">
        <v>177</v>
      </c>
      <c r="CR45" s="61">
        <v>63</v>
      </c>
      <c r="CS45" s="61">
        <v>45</v>
      </c>
      <c r="CT45" s="61">
        <v>3</v>
      </c>
      <c r="CU45" s="61">
        <v>7</v>
      </c>
      <c r="CV45" s="61">
        <v>5</v>
      </c>
      <c r="CW45" s="61">
        <v>1</v>
      </c>
      <c r="CX45" s="61">
        <v>1116</v>
      </c>
      <c r="CY45" s="61">
        <v>1530</v>
      </c>
      <c r="CZ45" s="61">
        <v>83</v>
      </c>
      <c r="DA45" s="61">
        <v>417</v>
      </c>
      <c r="DB45" s="61">
        <v>32</v>
      </c>
      <c r="DC45" s="61"/>
      <c r="DD45" s="61">
        <v>3178</v>
      </c>
      <c r="DE45" s="61">
        <v>4</v>
      </c>
      <c r="DF45" s="61">
        <v>2043</v>
      </c>
      <c r="DG45" s="61">
        <v>1131</v>
      </c>
      <c r="DH45" s="62" t="s">
        <v>2185</v>
      </c>
      <c r="DI45" s="61">
        <v>107</v>
      </c>
      <c r="DJ45" s="61">
        <v>16</v>
      </c>
      <c r="DK45" s="61"/>
      <c r="DL45" s="61"/>
      <c r="DM45" s="61"/>
      <c r="DN45" s="61">
        <v>1</v>
      </c>
    </row>
    <row r="46" spans="1:118" x14ac:dyDescent="0.25">
      <c r="A46" s="61">
        <v>106141273</v>
      </c>
      <c r="B46" s="62" t="s">
        <v>274</v>
      </c>
      <c r="C46" s="62" t="s">
        <v>275</v>
      </c>
      <c r="D46" s="62" t="s">
        <v>276</v>
      </c>
      <c r="E46" s="62" t="s">
        <v>94</v>
      </c>
      <c r="F46" s="62" t="s">
        <v>2213</v>
      </c>
      <c r="G46" s="62" t="s">
        <v>277</v>
      </c>
      <c r="H46" s="62" t="s">
        <v>278</v>
      </c>
      <c r="I46" s="62" t="s">
        <v>279</v>
      </c>
      <c r="J46" s="62" t="s">
        <v>2190</v>
      </c>
      <c r="K46" s="62"/>
      <c r="L46" s="61">
        <v>8</v>
      </c>
      <c r="M46" s="61">
        <v>26</v>
      </c>
      <c r="N46" s="61">
        <v>8</v>
      </c>
      <c r="O46" s="62" t="s">
        <v>1813</v>
      </c>
      <c r="P46" s="62" t="s">
        <v>120</v>
      </c>
      <c r="Q46" s="62" t="s">
        <v>120</v>
      </c>
      <c r="R46" s="62" t="s">
        <v>2167</v>
      </c>
      <c r="S46" s="62" t="s">
        <v>69</v>
      </c>
      <c r="T46" s="61">
        <v>4246</v>
      </c>
      <c r="U46" s="61">
        <v>3898</v>
      </c>
      <c r="V46" s="61"/>
      <c r="W46" s="61">
        <v>914</v>
      </c>
      <c r="X46" s="61">
        <v>841</v>
      </c>
      <c r="Y46" s="61">
        <v>1102</v>
      </c>
      <c r="Z46" s="61">
        <v>948</v>
      </c>
      <c r="AA46" s="61">
        <v>723</v>
      </c>
      <c r="AB46" s="61">
        <v>1018</v>
      </c>
      <c r="AC46" s="61">
        <v>907</v>
      </c>
      <c r="AD46" s="61">
        <v>721</v>
      </c>
      <c r="AE46" s="61">
        <v>786</v>
      </c>
      <c r="AF46" s="61">
        <v>184</v>
      </c>
      <c r="AG46" s="61"/>
      <c r="AH46" s="61">
        <v>63</v>
      </c>
      <c r="AI46" s="61">
        <v>40</v>
      </c>
      <c r="AJ46" s="61">
        <v>1257</v>
      </c>
      <c r="AK46" s="61">
        <v>1084</v>
      </c>
      <c r="AL46" s="61">
        <v>41</v>
      </c>
      <c r="AM46" s="61">
        <v>8</v>
      </c>
      <c r="AN46" s="61">
        <v>5651</v>
      </c>
      <c r="AO46" s="61">
        <v>63</v>
      </c>
      <c r="AP46" s="61">
        <v>80</v>
      </c>
      <c r="AQ46" s="61">
        <v>17</v>
      </c>
      <c r="AR46" s="61">
        <v>7</v>
      </c>
      <c r="AS46" s="61"/>
      <c r="AT46" s="61">
        <v>2</v>
      </c>
      <c r="AU46" s="61"/>
      <c r="AV46" s="61"/>
      <c r="AW46" s="61">
        <v>7</v>
      </c>
      <c r="AX46" s="61">
        <v>7</v>
      </c>
      <c r="AY46" s="61">
        <v>7465</v>
      </c>
      <c r="AZ46" s="61">
        <v>18</v>
      </c>
      <c r="BA46" s="61">
        <v>122</v>
      </c>
      <c r="BB46" s="61">
        <v>328</v>
      </c>
      <c r="BC46" s="61"/>
      <c r="BD46" s="61">
        <v>1745</v>
      </c>
      <c r="BE46" s="61">
        <v>2136</v>
      </c>
      <c r="BF46" s="61">
        <v>444</v>
      </c>
      <c r="BG46" s="61">
        <v>3344</v>
      </c>
      <c r="BH46" s="61">
        <v>475</v>
      </c>
      <c r="BI46" s="61"/>
      <c r="BJ46" s="61">
        <v>8144</v>
      </c>
      <c r="BK46" s="61">
        <v>97</v>
      </c>
      <c r="BL46" s="61">
        <v>7529</v>
      </c>
      <c r="BM46" s="61">
        <v>518</v>
      </c>
      <c r="BN46" s="61">
        <v>344</v>
      </c>
      <c r="BO46" s="61">
        <v>288</v>
      </c>
      <c r="BP46" s="61"/>
      <c r="BQ46" s="61">
        <v>24</v>
      </c>
      <c r="BR46" s="61">
        <v>40</v>
      </c>
      <c r="BS46" s="61">
        <v>45</v>
      </c>
      <c r="BT46" s="61">
        <v>34</v>
      </c>
      <c r="BU46" s="61">
        <v>80</v>
      </c>
      <c r="BV46" s="61">
        <v>104</v>
      </c>
      <c r="BW46" s="61">
        <v>88</v>
      </c>
      <c r="BX46" s="61">
        <v>196</v>
      </c>
      <c r="BY46" s="61">
        <v>9</v>
      </c>
      <c r="BZ46" s="61">
        <v>12</v>
      </c>
      <c r="CA46" s="61"/>
      <c r="CB46" s="61">
        <v>5</v>
      </c>
      <c r="CC46" s="61"/>
      <c r="CD46" s="61">
        <v>48</v>
      </c>
      <c r="CE46" s="61">
        <v>4</v>
      </c>
      <c r="CF46" s="61"/>
      <c r="CG46" s="61">
        <v>500</v>
      </c>
      <c r="CH46" s="61">
        <v>75</v>
      </c>
      <c r="CI46" s="61">
        <v>31</v>
      </c>
      <c r="CJ46" s="61">
        <v>9</v>
      </c>
      <c r="CK46" s="61">
        <v>21</v>
      </c>
      <c r="CL46" s="61">
        <v>8</v>
      </c>
      <c r="CM46" s="61"/>
      <c r="CN46" s="61"/>
      <c r="CO46" s="61">
        <v>2</v>
      </c>
      <c r="CP46" s="61">
        <v>420</v>
      </c>
      <c r="CQ46" s="61">
        <v>127</v>
      </c>
      <c r="CR46" s="61">
        <v>3</v>
      </c>
      <c r="CS46" s="61"/>
      <c r="CT46" s="61"/>
      <c r="CU46" s="61">
        <v>6</v>
      </c>
      <c r="CV46" s="61">
        <v>1</v>
      </c>
      <c r="CW46" s="61"/>
      <c r="CX46" s="61">
        <v>140</v>
      </c>
      <c r="CY46" s="61">
        <v>360</v>
      </c>
      <c r="CZ46" s="61">
        <v>14</v>
      </c>
      <c r="DA46" s="61">
        <v>110</v>
      </c>
      <c r="DB46" s="61">
        <v>8</v>
      </c>
      <c r="DC46" s="61"/>
      <c r="DD46" s="61">
        <v>632</v>
      </c>
      <c r="DE46" s="61">
        <v>3</v>
      </c>
      <c r="DF46" s="61">
        <v>611</v>
      </c>
      <c r="DG46" s="61">
        <v>18</v>
      </c>
      <c r="DH46" s="62" t="s">
        <v>2185</v>
      </c>
      <c r="DI46" s="61">
        <v>25</v>
      </c>
      <c r="DJ46" s="61">
        <v>7</v>
      </c>
      <c r="DK46" s="61"/>
      <c r="DL46" s="61">
        <v>28</v>
      </c>
      <c r="DM46" s="61"/>
      <c r="DN46" s="61">
        <v>4</v>
      </c>
    </row>
    <row r="47" spans="1:118" x14ac:dyDescent="0.25">
      <c r="A47" s="61">
        <v>106141338</v>
      </c>
      <c r="B47" s="62" t="s">
        <v>280</v>
      </c>
      <c r="C47" s="62" t="s">
        <v>281</v>
      </c>
      <c r="D47" s="62" t="s">
        <v>276</v>
      </c>
      <c r="E47" s="62" t="s">
        <v>94</v>
      </c>
      <c r="F47" s="62" t="s">
        <v>2213</v>
      </c>
      <c r="G47" s="62" t="s">
        <v>282</v>
      </c>
      <c r="H47" s="62" t="s">
        <v>283</v>
      </c>
      <c r="I47" s="62" t="s">
        <v>284</v>
      </c>
      <c r="J47" s="62" t="s">
        <v>2190</v>
      </c>
      <c r="K47" s="62"/>
      <c r="L47" s="61">
        <v>8</v>
      </c>
      <c r="M47" s="61">
        <v>26</v>
      </c>
      <c r="N47" s="61">
        <v>8</v>
      </c>
      <c r="O47" s="62" t="s">
        <v>1814</v>
      </c>
      <c r="P47" s="62" t="s">
        <v>241</v>
      </c>
      <c r="Q47" s="62" t="s">
        <v>120</v>
      </c>
      <c r="R47" s="62" t="s">
        <v>2167</v>
      </c>
      <c r="S47" s="62" t="s">
        <v>127</v>
      </c>
      <c r="T47" s="61">
        <v>578</v>
      </c>
      <c r="U47" s="61">
        <v>640</v>
      </c>
      <c r="V47" s="61"/>
      <c r="W47" s="61">
        <v>108</v>
      </c>
      <c r="X47" s="61">
        <v>109</v>
      </c>
      <c r="Y47" s="61">
        <v>182</v>
      </c>
      <c r="Z47" s="61">
        <v>160</v>
      </c>
      <c r="AA47" s="61">
        <v>129</v>
      </c>
      <c r="AB47" s="61">
        <v>175</v>
      </c>
      <c r="AC47" s="61">
        <v>152</v>
      </c>
      <c r="AD47" s="61">
        <v>91</v>
      </c>
      <c r="AE47" s="61">
        <v>91</v>
      </c>
      <c r="AF47" s="61">
        <v>21</v>
      </c>
      <c r="AG47" s="61"/>
      <c r="AH47" s="61">
        <v>14</v>
      </c>
      <c r="AI47" s="61">
        <v>22</v>
      </c>
      <c r="AJ47" s="61">
        <v>185</v>
      </c>
      <c r="AK47" s="61">
        <v>101</v>
      </c>
      <c r="AL47" s="61">
        <v>5</v>
      </c>
      <c r="AM47" s="61"/>
      <c r="AN47" s="61">
        <v>891</v>
      </c>
      <c r="AO47" s="61">
        <v>120</v>
      </c>
      <c r="AP47" s="61">
        <v>20</v>
      </c>
      <c r="AQ47" s="61">
        <v>5</v>
      </c>
      <c r="AR47" s="61"/>
      <c r="AS47" s="61"/>
      <c r="AT47" s="61"/>
      <c r="AU47" s="61"/>
      <c r="AV47" s="61">
        <v>38</v>
      </c>
      <c r="AW47" s="61">
        <v>2</v>
      </c>
      <c r="AX47" s="61">
        <v>4</v>
      </c>
      <c r="AY47" s="61">
        <v>974</v>
      </c>
      <c r="AZ47" s="61">
        <v>2</v>
      </c>
      <c r="BA47" s="61"/>
      <c r="BB47" s="61">
        <v>53</v>
      </c>
      <c r="BC47" s="61"/>
      <c r="BD47" s="61">
        <v>344</v>
      </c>
      <c r="BE47" s="61">
        <v>257</v>
      </c>
      <c r="BF47" s="61">
        <v>92</v>
      </c>
      <c r="BG47" s="61">
        <v>373</v>
      </c>
      <c r="BH47" s="61">
        <v>152</v>
      </c>
      <c r="BI47" s="61"/>
      <c r="BJ47" s="61">
        <v>1218</v>
      </c>
      <c r="BK47" s="61">
        <v>30</v>
      </c>
      <c r="BL47" s="61">
        <v>1138</v>
      </c>
      <c r="BM47" s="61">
        <v>50</v>
      </c>
      <c r="BN47" s="61"/>
      <c r="BO47" s="61">
        <v>3</v>
      </c>
      <c r="BP47" s="61"/>
      <c r="BQ47" s="61"/>
      <c r="BR47" s="61">
        <v>1</v>
      </c>
      <c r="BS47" s="61"/>
      <c r="BT47" s="61"/>
      <c r="BU47" s="61"/>
      <c r="BV47" s="61">
        <v>2</v>
      </c>
      <c r="BW47" s="61"/>
      <c r="BX47" s="61"/>
      <c r="BY47" s="61"/>
      <c r="BZ47" s="61"/>
      <c r="CA47" s="61"/>
      <c r="CB47" s="61"/>
      <c r="CC47" s="61"/>
      <c r="CD47" s="61"/>
      <c r="CE47" s="61"/>
      <c r="CF47" s="61"/>
      <c r="CG47" s="61">
        <v>3</v>
      </c>
      <c r="CH47" s="61"/>
      <c r="CI47" s="61">
        <v>1</v>
      </c>
      <c r="CJ47" s="61"/>
      <c r="CK47" s="61"/>
      <c r="CL47" s="61"/>
      <c r="CM47" s="61"/>
      <c r="CN47" s="61"/>
      <c r="CO47" s="61"/>
      <c r="CP47" s="61">
        <v>2</v>
      </c>
      <c r="CQ47" s="61"/>
      <c r="CR47" s="61"/>
      <c r="CS47" s="61"/>
      <c r="CT47" s="61"/>
      <c r="CU47" s="61"/>
      <c r="CV47" s="61"/>
      <c r="CW47" s="61"/>
      <c r="CX47" s="61"/>
      <c r="CY47" s="61">
        <v>1</v>
      </c>
      <c r="CZ47" s="61"/>
      <c r="DA47" s="61"/>
      <c r="DB47" s="61">
        <v>2</v>
      </c>
      <c r="DC47" s="61"/>
      <c r="DD47" s="61">
        <v>3</v>
      </c>
      <c r="DE47" s="61"/>
      <c r="DF47" s="61">
        <v>3</v>
      </c>
      <c r="DG47" s="61"/>
      <c r="DH47" s="62" t="s">
        <v>2185</v>
      </c>
      <c r="DI47" s="61">
        <v>37</v>
      </c>
      <c r="DJ47" s="61">
        <v>2</v>
      </c>
      <c r="DK47" s="61"/>
      <c r="DL47" s="61"/>
      <c r="DM47" s="61"/>
      <c r="DN47" s="61"/>
    </row>
    <row r="48" spans="1:118" x14ac:dyDescent="0.25">
      <c r="A48" s="61">
        <v>106150706</v>
      </c>
      <c r="B48" s="62" t="s">
        <v>285</v>
      </c>
      <c r="C48" s="62" t="s">
        <v>286</v>
      </c>
      <c r="D48" s="62" t="s">
        <v>287</v>
      </c>
      <c r="E48" s="62" t="s">
        <v>71</v>
      </c>
      <c r="F48" s="62" t="s">
        <v>2213</v>
      </c>
      <c r="G48" s="62" t="s">
        <v>288</v>
      </c>
      <c r="H48" s="62" t="s">
        <v>289</v>
      </c>
      <c r="I48" s="62" t="s">
        <v>290</v>
      </c>
      <c r="J48" s="62" t="s">
        <v>2187</v>
      </c>
      <c r="K48" s="62"/>
      <c r="L48" s="61">
        <v>21</v>
      </c>
      <c r="M48" s="61">
        <v>32</v>
      </c>
      <c r="N48" s="61">
        <v>14</v>
      </c>
      <c r="O48" s="62" t="s">
        <v>1815</v>
      </c>
      <c r="P48" s="62" t="s">
        <v>68</v>
      </c>
      <c r="Q48" s="62" t="s">
        <v>2167</v>
      </c>
      <c r="R48" s="62" t="s">
        <v>2167</v>
      </c>
      <c r="S48" s="62" t="s">
        <v>69</v>
      </c>
      <c r="T48" s="61">
        <v>16384</v>
      </c>
      <c r="U48" s="61">
        <v>13176</v>
      </c>
      <c r="V48" s="61">
        <v>1</v>
      </c>
      <c r="W48" s="61">
        <v>6833</v>
      </c>
      <c r="X48" s="61">
        <v>4706</v>
      </c>
      <c r="Y48" s="61">
        <v>4720</v>
      </c>
      <c r="Z48" s="61">
        <v>3665</v>
      </c>
      <c r="AA48" s="61">
        <v>2672</v>
      </c>
      <c r="AB48" s="61">
        <v>2352</v>
      </c>
      <c r="AC48" s="61">
        <v>1480</v>
      </c>
      <c r="AD48" s="61">
        <v>900</v>
      </c>
      <c r="AE48" s="61">
        <v>604</v>
      </c>
      <c r="AF48" s="61">
        <v>1629</v>
      </c>
      <c r="AG48" s="61"/>
      <c r="AH48" s="61">
        <v>1151</v>
      </c>
      <c r="AI48" s="61">
        <v>440</v>
      </c>
      <c r="AJ48" s="61">
        <v>25362</v>
      </c>
      <c r="AK48" s="61">
        <v>13</v>
      </c>
      <c r="AL48" s="61">
        <v>991</v>
      </c>
      <c r="AM48" s="61">
        <v>31</v>
      </c>
      <c r="AN48" s="61">
        <v>1573</v>
      </c>
      <c r="AO48" s="61">
        <v>414</v>
      </c>
      <c r="AP48" s="61"/>
      <c r="AQ48" s="61">
        <v>44</v>
      </c>
      <c r="AR48" s="61"/>
      <c r="AS48" s="61"/>
      <c r="AT48" s="61"/>
      <c r="AU48" s="61"/>
      <c r="AV48" s="61"/>
      <c r="AW48" s="61">
        <v>2</v>
      </c>
      <c r="AX48" s="61">
        <v>394</v>
      </c>
      <c r="AY48" s="61">
        <v>28612</v>
      </c>
      <c r="AZ48" s="61">
        <v>91</v>
      </c>
      <c r="BA48" s="61"/>
      <c r="BB48" s="61"/>
      <c r="BC48" s="61"/>
      <c r="BD48" s="61">
        <v>19953</v>
      </c>
      <c r="BE48" s="61">
        <v>2392</v>
      </c>
      <c r="BF48" s="61">
        <v>524</v>
      </c>
      <c r="BG48" s="61">
        <v>3928</v>
      </c>
      <c r="BH48" s="61">
        <v>2764</v>
      </c>
      <c r="BI48" s="61"/>
      <c r="BJ48" s="61">
        <v>29561</v>
      </c>
      <c r="BK48" s="61">
        <v>101</v>
      </c>
      <c r="BL48" s="61">
        <v>19066</v>
      </c>
      <c r="BM48" s="61">
        <v>10394</v>
      </c>
      <c r="BN48" s="61">
        <v>781</v>
      </c>
      <c r="BO48" s="61">
        <v>739</v>
      </c>
      <c r="BP48" s="61"/>
      <c r="BQ48" s="61">
        <v>39</v>
      </c>
      <c r="BR48" s="61">
        <v>112</v>
      </c>
      <c r="BS48" s="61">
        <v>125</v>
      </c>
      <c r="BT48" s="61">
        <v>189</v>
      </c>
      <c r="BU48" s="61">
        <v>231</v>
      </c>
      <c r="BV48" s="61">
        <v>233</v>
      </c>
      <c r="BW48" s="61">
        <v>239</v>
      </c>
      <c r="BX48" s="61">
        <v>244</v>
      </c>
      <c r="BY48" s="61">
        <v>57</v>
      </c>
      <c r="BZ48" s="61">
        <v>51</v>
      </c>
      <c r="CA48" s="61"/>
      <c r="CB48" s="61">
        <v>157</v>
      </c>
      <c r="CC48" s="61">
        <v>31</v>
      </c>
      <c r="CD48" s="61">
        <v>1098</v>
      </c>
      <c r="CE48" s="61">
        <v>46</v>
      </c>
      <c r="CF48" s="61">
        <v>2</v>
      </c>
      <c r="CG48" s="61">
        <v>184</v>
      </c>
      <c r="CH48" s="61">
        <v>2</v>
      </c>
      <c r="CI48" s="61">
        <v>38</v>
      </c>
      <c r="CJ48" s="61">
        <v>77</v>
      </c>
      <c r="CK48" s="61">
        <v>45</v>
      </c>
      <c r="CL48" s="61">
        <v>15</v>
      </c>
      <c r="CM48" s="61"/>
      <c r="CN48" s="61"/>
      <c r="CO48" s="61">
        <v>4</v>
      </c>
      <c r="CP48" s="61">
        <v>1218</v>
      </c>
      <c r="CQ48" s="61">
        <v>87</v>
      </c>
      <c r="CR48" s="61">
        <v>6</v>
      </c>
      <c r="CS48" s="61"/>
      <c r="CT48" s="61"/>
      <c r="CU48" s="61">
        <v>29</v>
      </c>
      <c r="CV48" s="61"/>
      <c r="CW48" s="61"/>
      <c r="CX48" s="61">
        <v>766</v>
      </c>
      <c r="CY48" s="61">
        <v>586</v>
      </c>
      <c r="CZ48" s="61">
        <v>8</v>
      </c>
      <c r="DA48" s="61">
        <v>119</v>
      </c>
      <c r="DB48" s="61">
        <v>41</v>
      </c>
      <c r="DC48" s="61"/>
      <c r="DD48" s="61">
        <v>1520</v>
      </c>
      <c r="DE48" s="61">
        <v>13</v>
      </c>
      <c r="DF48" s="61">
        <v>941</v>
      </c>
      <c r="DG48" s="61">
        <v>566</v>
      </c>
      <c r="DH48" s="62" t="s">
        <v>2185</v>
      </c>
      <c r="DI48" s="61">
        <v>156</v>
      </c>
      <c r="DJ48" s="61">
        <v>10</v>
      </c>
      <c r="DK48" s="61"/>
      <c r="DL48" s="61">
        <v>4</v>
      </c>
      <c r="DM48" s="61"/>
      <c r="DN48" s="61">
        <v>1</v>
      </c>
    </row>
    <row r="49" spans="1:118" x14ac:dyDescent="0.25">
      <c r="A49" s="61">
        <v>106150722</v>
      </c>
      <c r="B49" s="62" t="s">
        <v>291</v>
      </c>
      <c r="C49" s="62" t="s">
        <v>1753</v>
      </c>
      <c r="D49" s="62" t="s">
        <v>287</v>
      </c>
      <c r="E49" s="62" t="s">
        <v>71</v>
      </c>
      <c r="F49" s="62" t="s">
        <v>2213</v>
      </c>
      <c r="G49" s="62" t="s">
        <v>1754</v>
      </c>
      <c r="H49" s="62" t="s">
        <v>292</v>
      </c>
      <c r="I49" s="62" t="s">
        <v>293</v>
      </c>
      <c r="J49" s="62" t="s">
        <v>2186</v>
      </c>
      <c r="K49" s="62"/>
      <c r="L49" s="61">
        <v>23</v>
      </c>
      <c r="M49" s="61">
        <v>34</v>
      </c>
      <c r="N49" s="61">
        <v>16</v>
      </c>
      <c r="O49" s="62" t="s">
        <v>1816</v>
      </c>
      <c r="P49" s="62" t="s">
        <v>68</v>
      </c>
      <c r="Q49" s="62" t="s">
        <v>2167</v>
      </c>
      <c r="R49" s="62" t="s">
        <v>2167</v>
      </c>
      <c r="S49" s="62" t="s">
        <v>69</v>
      </c>
      <c r="T49" s="61">
        <v>37083</v>
      </c>
      <c r="U49" s="61">
        <v>25685</v>
      </c>
      <c r="V49" s="61"/>
      <c r="W49" s="61">
        <v>13804</v>
      </c>
      <c r="X49" s="61">
        <v>7952</v>
      </c>
      <c r="Y49" s="61">
        <v>11929</v>
      </c>
      <c r="Z49" s="61">
        <v>7644</v>
      </c>
      <c r="AA49" s="61">
        <v>5578</v>
      </c>
      <c r="AB49" s="61">
        <v>5546</v>
      </c>
      <c r="AC49" s="61">
        <v>3275</v>
      </c>
      <c r="AD49" s="61">
        <v>1793</v>
      </c>
      <c r="AE49" s="61">
        <v>1463</v>
      </c>
      <c r="AF49" s="61">
        <v>3784</v>
      </c>
      <c r="AG49" s="61"/>
      <c r="AH49" s="61">
        <v>785</v>
      </c>
      <c r="AI49" s="61">
        <v>5975</v>
      </c>
      <c r="AJ49" s="61">
        <v>35835</v>
      </c>
      <c r="AK49" s="61">
        <v>82</v>
      </c>
      <c r="AL49" s="61">
        <v>2318</v>
      </c>
      <c r="AM49" s="61">
        <v>283</v>
      </c>
      <c r="AN49" s="61">
        <v>17490</v>
      </c>
      <c r="AO49" s="61">
        <v>289</v>
      </c>
      <c r="AP49" s="61">
        <v>363</v>
      </c>
      <c r="AQ49" s="61">
        <v>60</v>
      </c>
      <c r="AR49" s="61">
        <v>1</v>
      </c>
      <c r="AS49" s="61">
        <v>9</v>
      </c>
      <c r="AT49" s="61">
        <v>29</v>
      </c>
      <c r="AU49" s="61"/>
      <c r="AV49" s="61"/>
      <c r="AW49" s="61">
        <v>55</v>
      </c>
      <c r="AX49" s="61">
        <v>6</v>
      </c>
      <c r="AY49" s="61">
        <v>61723</v>
      </c>
      <c r="AZ49" s="61">
        <v>27</v>
      </c>
      <c r="BA49" s="61">
        <v>206</v>
      </c>
      <c r="BB49" s="61"/>
      <c r="BC49" s="61"/>
      <c r="BD49" s="61">
        <v>45502</v>
      </c>
      <c r="BE49" s="61">
        <v>7764</v>
      </c>
      <c r="BF49" s="61">
        <v>566</v>
      </c>
      <c r="BG49" s="61">
        <v>6517</v>
      </c>
      <c r="BH49" s="61">
        <v>2419</v>
      </c>
      <c r="BI49" s="61"/>
      <c r="BJ49" s="61">
        <v>62768</v>
      </c>
      <c r="BK49" s="61">
        <v>94</v>
      </c>
      <c r="BL49" s="61">
        <v>53388</v>
      </c>
      <c r="BM49" s="61">
        <v>9286</v>
      </c>
      <c r="BN49" s="61">
        <v>5818</v>
      </c>
      <c r="BO49" s="61">
        <v>3674</v>
      </c>
      <c r="BP49" s="61"/>
      <c r="BQ49" s="61">
        <v>516</v>
      </c>
      <c r="BR49" s="61">
        <v>1636</v>
      </c>
      <c r="BS49" s="61">
        <v>977</v>
      </c>
      <c r="BT49" s="61">
        <v>758</v>
      </c>
      <c r="BU49" s="61">
        <v>1313</v>
      </c>
      <c r="BV49" s="61">
        <v>1482</v>
      </c>
      <c r="BW49" s="61">
        <v>1056</v>
      </c>
      <c r="BX49" s="61">
        <v>1074</v>
      </c>
      <c r="BY49" s="61">
        <v>316</v>
      </c>
      <c r="BZ49" s="61">
        <v>364</v>
      </c>
      <c r="CA49" s="61"/>
      <c r="CB49" s="61">
        <v>186</v>
      </c>
      <c r="CC49" s="61">
        <v>727</v>
      </c>
      <c r="CD49" s="61">
        <v>4071</v>
      </c>
      <c r="CE49" s="61">
        <v>58</v>
      </c>
      <c r="CF49" s="61"/>
      <c r="CG49" s="61">
        <v>4410</v>
      </c>
      <c r="CH49" s="61">
        <v>40</v>
      </c>
      <c r="CI49" s="61">
        <v>129</v>
      </c>
      <c r="CJ49" s="61">
        <v>217</v>
      </c>
      <c r="CK49" s="61">
        <v>278</v>
      </c>
      <c r="CL49" s="61">
        <v>540</v>
      </c>
      <c r="CM49" s="61">
        <v>288</v>
      </c>
      <c r="CN49" s="61"/>
      <c r="CO49" s="61">
        <v>17</v>
      </c>
      <c r="CP49" s="61">
        <v>6998</v>
      </c>
      <c r="CQ49" s="61">
        <v>765</v>
      </c>
      <c r="CR49" s="61">
        <v>15</v>
      </c>
      <c r="CS49" s="61">
        <v>208</v>
      </c>
      <c r="CT49" s="61">
        <v>4</v>
      </c>
      <c r="CU49" s="61">
        <v>33</v>
      </c>
      <c r="CV49" s="61"/>
      <c r="CW49" s="61"/>
      <c r="CX49" s="61">
        <v>4394</v>
      </c>
      <c r="CY49" s="61">
        <v>3365</v>
      </c>
      <c r="CZ49" s="61">
        <v>189</v>
      </c>
      <c r="DA49" s="61">
        <v>1544</v>
      </c>
      <c r="DB49" s="61"/>
      <c r="DC49" s="61"/>
      <c r="DD49" s="61">
        <v>9492</v>
      </c>
      <c r="DE49" s="61">
        <v>52</v>
      </c>
      <c r="DF49" s="61">
        <v>8318</v>
      </c>
      <c r="DG49" s="61">
        <v>1122</v>
      </c>
      <c r="DH49" s="62" t="s">
        <v>2185</v>
      </c>
      <c r="DI49" s="61">
        <v>426</v>
      </c>
      <c r="DJ49" s="61">
        <v>36</v>
      </c>
      <c r="DK49" s="61"/>
      <c r="DL49" s="61"/>
      <c r="DM49" s="61"/>
      <c r="DN49" s="61"/>
    </row>
    <row r="50" spans="1:118" x14ac:dyDescent="0.25">
      <c r="A50" s="61">
        <v>106150736</v>
      </c>
      <c r="B50" s="62" t="s">
        <v>294</v>
      </c>
      <c r="C50" s="62" t="s">
        <v>295</v>
      </c>
      <c r="D50" s="62" t="s">
        <v>287</v>
      </c>
      <c r="E50" s="62" t="s">
        <v>100</v>
      </c>
      <c r="F50" s="62" t="s">
        <v>2213</v>
      </c>
      <c r="G50" s="62" t="s">
        <v>296</v>
      </c>
      <c r="H50" s="62" t="s">
        <v>292</v>
      </c>
      <c r="I50" s="62" t="s">
        <v>297</v>
      </c>
      <c r="J50" s="62" t="s">
        <v>2184</v>
      </c>
      <c r="K50" s="62" t="s">
        <v>82</v>
      </c>
      <c r="L50" s="61">
        <v>21</v>
      </c>
      <c r="M50" s="61">
        <v>32</v>
      </c>
      <c r="N50" s="61">
        <v>14</v>
      </c>
      <c r="O50" s="62" t="s">
        <v>1817</v>
      </c>
      <c r="P50" s="62" t="s">
        <v>68</v>
      </c>
      <c r="Q50" s="62" t="s">
        <v>2167</v>
      </c>
      <c r="R50" s="62" t="s">
        <v>83</v>
      </c>
      <c r="S50" s="62" t="s">
        <v>69</v>
      </c>
      <c r="T50" s="61">
        <v>19507</v>
      </c>
      <c r="U50" s="61">
        <v>21199</v>
      </c>
      <c r="V50" s="61"/>
      <c r="W50" s="61">
        <v>4354</v>
      </c>
      <c r="X50" s="61">
        <v>4384</v>
      </c>
      <c r="Y50" s="61">
        <v>9083</v>
      </c>
      <c r="Z50" s="61">
        <v>7309</v>
      </c>
      <c r="AA50" s="61">
        <v>5696</v>
      </c>
      <c r="AB50" s="61">
        <v>5346</v>
      </c>
      <c r="AC50" s="61">
        <v>2261</v>
      </c>
      <c r="AD50" s="61">
        <v>575</v>
      </c>
      <c r="AE50" s="61">
        <v>233</v>
      </c>
      <c r="AF50" s="61">
        <v>1465</v>
      </c>
      <c r="AG50" s="61"/>
      <c r="AH50" s="61">
        <v>261</v>
      </c>
      <c r="AI50" s="61">
        <v>4329</v>
      </c>
      <c r="AJ50" s="61">
        <v>24011</v>
      </c>
      <c r="AK50" s="61">
        <v>42</v>
      </c>
      <c r="AL50" s="61">
        <v>405</v>
      </c>
      <c r="AM50" s="61">
        <v>59</v>
      </c>
      <c r="AN50" s="61">
        <v>11599</v>
      </c>
      <c r="AO50" s="61"/>
      <c r="AP50" s="61">
        <v>3065</v>
      </c>
      <c r="AQ50" s="61">
        <v>85</v>
      </c>
      <c r="AR50" s="61"/>
      <c r="AS50" s="61"/>
      <c r="AT50" s="61"/>
      <c r="AU50" s="61"/>
      <c r="AV50" s="61">
        <v>1465</v>
      </c>
      <c r="AW50" s="61">
        <v>32</v>
      </c>
      <c r="AX50" s="61"/>
      <c r="AY50" s="61">
        <v>35385</v>
      </c>
      <c r="AZ50" s="61">
        <v>1</v>
      </c>
      <c r="BA50" s="61"/>
      <c r="BB50" s="61"/>
      <c r="BC50" s="61">
        <v>672</v>
      </c>
      <c r="BD50" s="61">
        <v>30035</v>
      </c>
      <c r="BE50" s="61">
        <v>2105</v>
      </c>
      <c r="BF50" s="61">
        <v>323</v>
      </c>
      <c r="BG50" s="61">
        <v>4267</v>
      </c>
      <c r="BH50" s="61">
        <v>3903</v>
      </c>
      <c r="BI50" s="61">
        <v>73</v>
      </c>
      <c r="BJ50" s="61">
        <v>40706</v>
      </c>
      <c r="BK50" s="61">
        <v>205</v>
      </c>
      <c r="BL50" s="61">
        <v>31967</v>
      </c>
      <c r="BM50" s="61">
        <v>8534</v>
      </c>
      <c r="BN50" s="61">
        <v>1859</v>
      </c>
      <c r="BO50" s="61">
        <v>2671</v>
      </c>
      <c r="BP50" s="61"/>
      <c r="BQ50" s="61">
        <v>215</v>
      </c>
      <c r="BR50" s="61">
        <v>744</v>
      </c>
      <c r="BS50" s="61">
        <v>685</v>
      </c>
      <c r="BT50" s="61">
        <v>715</v>
      </c>
      <c r="BU50" s="61">
        <v>983</v>
      </c>
      <c r="BV50" s="61">
        <v>584</v>
      </c>
      <c r="BW50" s="61">
        <v>194</v>
      </c>
      <c r="BX50" s="61">
        <v>115</v>
      </c>
      <c r="BY50" s="61">
        <v>150</v>
      </c>
      <c r="BZ50" s="61">
        <v>145</v>
      </c>
      <c r="CA50" s="61"/>
      <c r="CB50" s="61">
        <v>35</v>
      </c>
      <c r="CC50" s="61">
        <v>355</v>
      </c>
      <c r="CD50" s="61">
        <v>2366</v>
      </c>
      <c r="CE50" s="61">
        <v>43</v>
      </c>
      <c r="CF50" s="61">
        <v>5</v>
      </c>
      <c r="CG50" s="61">
        <v>1725</v>
      </c>
      <c r="CH50" s="61">
        <v>1</v>
      </c>
      <c r="CI50" s="61">
        <v>66</v>
      </c>
      <c r="CJ50" s="61">
        <v>225</v>
      </c>
      <c r="CK50" s="61">
        <v>119</v>
      </c>
      <c r="CL50" s="61">
        <v>23</v>
      </c>
      <c r="CM50" s="61">
        <v>125</v>
      </c>
      <c r="CN50" s="61"/>
      <c r="CO50" s="61">
        <v>2</v>
      </c>
      <c r="CP50" s="61">
        <v>3483</v>
      </c>
      <c r="CQ50" s="61">
        <v>150</v>
      </c>
      <c r="CR50" s="61">
        <v>199</v>
      </c>
      <c r="CS50" s="61">
        <v>20</v>
      </c>
      <c r="CT50" s="61">
        <v>57</v>
      </c>
      <c r="CU50" s="61">
        <v>8</v>
      </c>
      <c r="CV50" s="61"/>
      <c r="CW50" s="61">
        <v>53</v>
      </c>
      <c r="CX50" s="61">
        <v>3070</v>
      </c>
      <c r="CY50" s="61">
        <v>649</v>
      </c>
      <c r="CZ50" s="61">
        <v>325</v>
      </c>
      <c r="DA50" s="61">
        <v>346</v>
      </c>
      <c r="DB50" s="61">
        <v>137</v>
      </c>
      <c r="DC50" s="61">
        <v>3</v>
      </c>
      <c r="DD50" s="61">
        <v>4530</v>
      </c>
      <c r="DE50" s="61">
        <v>30</v>
      </c>
      <c r="DF50" s="61">
        <v>3529</v>
      </c>
      <c r="DG50" s="61">
        <v>971</v>
      </c>
      <c r="DH50" s="62" t="s">
        <v>2185</v>
      </c>
      <c r="DI50" s="61">
        <v>222</v>
      </c>
      <c r="DJ50" s="61">
        <v>32</v>
      </c>
      <c r="DK50" s="61">
        <v>1</v>
      </c>
      <c r="DL50" s="61"/>
      <c r="DM50" s="61"/>
      <c r="DN50" s="61"/>
    </row>
    <row r="51" spans="1:118" x14ac:dyDescent="0.25">
      <c r="A51" s="61">
        <v>106150737</v>
      </c>
      <c r="B51" s="62" t="s">
        <v>298</v>
      </c>
      <c r="C51" s="62" t="s">
        <v>299</v>
      </c>
      <c r="D51" s="62" t="s">
        <v>287</v>
      </c>
      <c r="E51" s="62" t="s">
        <v>94</v>
      </c>
      <c r="F51" s="62" t="s">
        <v>2213</v>
      </c>
      <c r="G51" s="62" t="s">
        <v>300</v>
      </c>
      <c r="H51" s="62" t="s">
        <v>301</v>
      </c>
      <c r="I51" s="62" t="s">
        <v>302</v>
      </c>
      <c r="J51" s="62" t="s">
        <v>2189</v>
      </c>
      <c r="K51" s="62"/>
      <c r="L51" s="61">
        <v>23</v>
      </c>
      <c r="M51" s="61">
        <v>26</v>
      </c>
      <c r="N51" s="61">
        <v>16</v>
      </c>
      <c r="O51" s="62" t="s">
        <v>1818</v>
      </c>
      <c r="P51" s="62" t="s">
        <v>241</v>
      </c>
      <c r="Q51" s="62" t="s">
        <v>120</v>
      </c>
      <c r="R51" s="62" t="s">
        <v>2167</v>
      </c>
      <c r="S51" s="62" t="s">
        <v>127</v>
      </c>
      <c r="T51" s="61">
        <v>3553</v>
      </c>
      <c r="U51" s="61">
        <v>3209</v>
      </c>
      <c r="V51" s="61"/>
      <c r="W51" s="61">
        <v>482</v>
      </c>
      <c r="X51" s="61">
        <v>555</v>
      </c>
      <c r="Y51" s="61">
        <v>789</v>
      </c>
      <c r="Z51" s="61">
        <v>622</v>
      </c>
      <c r="AA51" s="61">
        <v>698</v>
      </c>
      <c r="AB51" s="61">
        <v>1210</v>
      </c>
      <c r="AC51" s="61">
        <v>934</v>
      </c>
      <c r="AD51" s="61">
        <v>688</v>
      </c>
      <c r="AE51" s="61">
        <v>690</v>
      </c>
      <c r="AF51" s="61">
        <v>94</v>
      </c>
      <c r="AG51" s="61"/>
      <c r="AH51" s="61">
        <v>16</v>
      </c>
      <c r="AI51" s="61">
        <v>43</v>
      </c>
      <c r="AJ51" s="61">
        <v>445</v>
      </c>
      <c r="AK51" s="61">
        <v>60</v>
      </c>
      <c r="AL51" s="61">
        <v>140</v>
      </c>
      <c r="AM51" s="61">
        <v>121</v>
      </c>
      <c r="AN51" s="61">
        <v>5937</v>
      </c>
      <c r="AO51" s="61">
        <v>1149</v>
      </c>
      <c r="AP51" s="61">
        <v>328</v>
      </c>
      <c r="AQ51" s="61">
        <v>29</v>
      </c>
      <c r="AR51" s="61"/>
      <c r="AS51" s="61">
        <v>1</v>
      </c>
      <c r="AT51" s="61"/>
      <c r="AU51" s="61"/>
      <c r="AV51" s="61">
        <v>2</v>
      </c>
      <c r="AW51" s="61"/>
      <c r="AX51" s="61"/>
      <c r="AY51" s="61">
        <v>5222</v>
      </c>
      <c r="AZ51" s="61">
        <v>12</v>
      </c>
      <c r="BA51" s="61"/>
      <c r="BB51" s="61">
        <v>19</v>
      </c>
      <c r="BC51" s="61"/>
      <c r="BD51" s="61">
        <v>378</v>
      </c>
      <c r="BE51" s="61">
        <v>1383</v>
      </c>
      <c r="BF51" s="61">
        <v>72</v>
      </c>
      <c r="BG51" s="61">
        <v>4441</v>
      </c>
      <c r="BH51" s="61">
        <v>488</v>
      </c>
      <c r="BI51" s="61"/>
      <c r="BJ51" s="61">
        <v>6762</v>
      </c>
      <c r="BK51" s="61">
        <v>13</v>
      </c>
      <c r="BL51" s="61">
        <v>6703</v>
      </c>
      <c r="BM51" s="61">
        <v>46</v>
      </c>
      <c r="BN51" s="61">
        <v>319</v>
      </c>
      <c r="BO51" s="61">
        <v>268</v>
      </c>
      <c r="BP51" s="61"/>
      <c r="BQ51" s="61">
        <v>2</v>
      </c>
      <c r="BR51" s="61">
        <v>21</v>
      </c>
      <c r="BS51" s="61">
        <v>24</v>
      </c>
      <c r="BT51" s="61">
        <v>43</v>
      </c>
      <c r="BU51" s="61">
        <v>124</v>
      </c>
      <c r="BV51" s="61">
        <v>134</v>
      </c>
      <c r="BW51" s="61">
        <v>104</v>
      </c>
      <c r="BX51" s="61">
        <v>135</v>
      </c>
      <c r="BY51" s="61"/>
      <c r="BZ51" s="61"/>
      <c r="CA51" s="61"/>
      <c r="CB51" s="61">
        <v>1</v>
      </c>
      <c r="CC51" s="61">
        <v>1</v>
      </c>
      <c r="CD51" s="61">
        <v>22</v>
      </c>
      <c r="CE51" s="61">
        <v>8</v>
      </c>
      <c r="CF51" s="61">
        <v>8</v>
      </c>
      <c r="CG51" s="61">
        <v>545</v>
      </c>
      <c r="CH51" s="61">
        <v>2</v>
      </c>
      <c r="CI51" s="61">
        <v>36</v>
      </c>
      <c r="CJ51" s="61">
        <v>58</v>
      </c>
      <c r="CK51" s="61">
        <v>7</v>
      </c>
      <c r="CL51" s="61"/>
      <c r="CM51" s="61">
        <v>1</v>
      </c>
      <c r="CN51" s="61"/>
      <c r="CO51" s="61"/>
      <c r="CP51" s="61">
        <v>383</v>
      </c>
      <c r="CQ51" s="61">
        <v>92</v>
      </c>
      <c r="CR51" s="61"/>
      <c r="CS51" s="61">
        <v>9</v>
      </c>
      <c r="CT51" s="61"/>
      <c r="CU51" s="61"/>
      <c r="CV51" s="61"/>
      <c r="CW51" s="61"/>
      <c r="CX51" s="61">
        <v>171</v>
      </c>
      <c r="CY51" s="61">
        <v>338</v>
      </c>
      <c r="CZ51" s="61">
        <v>4</v>
      </c>
      <c r="DA51" s="61">
        <v>35</v>
      </c>
      <c r="DB51" s="61">
        <v>39</v>
      </c>
      <c r="DC51" s="61"/>
      <c r="DD51" s="61">
        <v>587</v>
      </c>
      <c r="DE51" s="61"/>
      <c r="DF51" s="61">
        <v>586</v>
      </c>
      <c r="DG51" s="61">
        <v>1</v>
      </c>
      <c r="DH51" s="62" t="s">
        <v>2185</v>
      </c>
      <c r="DI51" s="61">
        <v>101</v>
      </c>
      <c r="DJ51" s="61">
        <v>8</v>
      </c>
      <c r="DK51" s="61"/>
      <c r="DL51" s="61"/>
      <c r="DM51" s="61">
        <v>1</v>
      </c>
      <c r="DN51" s="61"/>
    </row>
    <row r="52" spans="1:118" x14ac:dyDescent="0.25">
      <c r="A52" s="61">
        <v>106150761</v>
      </c>
      <c r="B52" s="62" t="s">
        <v>303</v>
      </c>
      <c r="C52" s="62" t="s">
        <v>304</v>
      </c>
      <c r="D52" s="62" t="s">
        <v>287</v>
      </c>
      <c r="E52" s="62" t="s">
        <v>71</v>
      </c>
      <c r="F52" s="62" t="s">
        <v>2213</v>
      </c>
      <c r="G52" s="62" t="s">
        <v>305</v>
      </c>
      <c r="H52" s="62" t="s">
        <v>292</v>
      </c>
      <c r="I52" s="62" t="s">
        <v>293</v>
      </c>
      <c r="J52" s="62" t="s">
        <v>2189</v>
      </c>
      <c r="K52" s="62"/>
      <c r="L52" s="61">
        <v>23</v>
      </c>
      <c r="M52" s="61">
        <v>34</v>
      </c>
      <c r="N52" s="61">
        <v>16</v>
      </c>
      <c r="O52" s="62" t="s">
        <v>1819</v>
      </c>
      <c r="P52" s="62" t="s">
        <v>68</v>
      </c>
      <c r="Q52" s="62" t="s">
        <v>2167</v>
      </c>
      <c r="R52" s="62" t="s">
        <v>2167</v>
      </c>
      <c r="S52" s="62" t="s">
        <v>69</v>
      </c>
      <c r="T52" s="61">
        <v>41089</v>
      </c>
      <c r="U52" s="61">
        <v>30625</v>
      </c>
      <c r="V52" s="61"/>
      <c r="W52" s="61">
        <v>11414</v>
      </c>
      <c r="X52" s="61">
        <v>9197</v>
      </c>
      <c r="Y52" s="61">
        <v>14520</v>
      </c>
      <c r="Z52" s="61">
        <v>10608</v>
      </c>
      <c r="AA52" s="61">
        <v>7831</v>
      </c>
      <c r="AB52" s="61">
        <v>7005</v>
      </c>
      <c r="AC52" s="61">
        <v>4240</v>
      </c>
      <c r="AD52" s="61">
        <v>2226</v>
      </c>
      <c r="AE52" s="61">
        <v>1897</v>
      </c>
      <c r="AF52" s="61">
        <v>2776</v>
      </c>
      <c r="AG52" s="61"/>
      <c r="AH52" s="61">
        <v>1781</v>
      </c>
      <c r="AI52" s="61">
        <v>8664</v>
      </c>
      <c r="AJ52" s="61">
        <v>33358</v>
      </c>
      <c r="AK52" s="61">
        <v>149</v>
      </c>
      <c r="AL52" s="61">
        <v>1156</v>
      </c>
      <c r="AM52" s="61">
        <v>273</v>
      </c>
      <c r="AN52" s="61">
        <v>26333</v>
      </c>
      <c r="AO52" s="61">
        <v>920</v>
      </c>
      <c r="AP52" s="61">
        <v>560</v>
      </c>
      <c r="AQ52" s="61">
        <v>158</v>
      </c>
      <c r="AR52" s="61">
        <v>6</v>
      </c>
      <c r="AS52" s="61">
        <v>21</v>
      </c>
      <c r="AT52" s="61">
        <v>19</v>
      </c>
      <c r="AU52" s="61"/>
      <c r="AV52" s="61"/>
      <c r="AW52" s="61">
        <v>132</v>
      </c>
      <c r="AX52" s="61">
        <v>34</v>
      </c>
      <c r="AY52" s="61">
        <v>69544</v>
      </c>
      <c r="AZ52" s="61">
        <v>198</v>
      </c>
      <c r="BA52" s="61">
        <v>122</v>
      </c>
      <c r="BB52" s="61"/>
      <c r="BC52" s="61"/>
      <c r="BD52" s="61">
        <v>42977</v>
      </c>
      <c r="BE52" s="61">
        <v>10235</v>
      </c>
      <c r="BF52" s="61">
        <v>912</v>
      </c>
      <c r="BG52" s="61">
        <v>13732</v>
      </c>
      <c r="BH52" s="61">
        <v>3858</v>
      </c>
      <c r="BI52" s="61"/>
      <c r="BJ52" s="61">
        <v>71714</v>
      </c>
      <c r="BK52" s="61">
        <v>445</v>
      </c>
      <c r="BL52" s="61">
        <v>64623</v>
      </c>
      <c r="BM52" s="61">
        <v>6646</v>
      </c>
      <c r="BN52" s="61">
        <v>3129</v>
      </c>
      <c r="BO52" s="61">
        <v>3538</v>
      </c>
      <c r="BP52" s="61"/>
      <c r="BQ52" s="61">
        <v>171</v>
      </c>
      <c r="BR52" s="61">
        <v>663</v>
      </c>
      <c r="BS52" s="61">
        <v>829</v>
      </c>
      <c r="BT52" s="61">
        <v>1012</v>
      </c>
      <c r="BU52" s="61">
        <v>1314</v>
      </c>
      <c r="BV52" s="61">
        <v>1157</v>
      </c>
      <c r="BW52" s="61">
        <v>790</v>
      </c>
      <c r="BX52" s="61">
        <v>716</v>
      </c>
      <c r="BY52" s="61"/>
      <c r="BZ52" s="61">
        <v>15</v>
      </c>
      <c r="CA52" s="61"/>
      <c r="CB52" s="61">
        <v>210</v>
      </c>
      <c r="CC52" s="61">
        <v>647</v>
      </c>
      <c r="CD52" s="61">
        <v>2237</v>
      </c>
      <c r="CE52" s="61">
        <v>92</v>
      </c>
      <c r="CF52" s="61"/>
      <c r="CG52" s="61">
        <v>3421</v>
      </c>
      <c r="CH52" s="61">
        <v>60</v>
      </c>
      <c r="CI52" s="61">
        <v>134</v>
      </c>
      <c r="CJ52" s="61">
        <v>152</v>
      </c>
      <c r="CK52" s="61">
        <v>144</v>
      </c>
      <c r="CL52" s="61">
        <v>513</v>
      </c>
      <c r="CM52" s="61">
        <v>267</v>
      </c>
      <c r="CN52" s="61"/>
      <c r="CO52" s="61">
        <v>69</v>
      </c>
      <c r="CP52" s="61">
        <v>3927</v>
      </c>
      <c r="CQ52" s="61">
        <v>528</v>
      </c>
      <c r="CR52" s="61">
        <v>793</v>
      </c>
      <c r="CS52" s="61">
        <v>134</v>
      </c>
      <c r="CT52" s="61">
        <v>6</v>
      </c>
      <c r="CU52" s="61"/>
      <c r="CV52" s="61"/>
      <c r="CW52" s="61"/>
      <c r="CX52" s="61">
        <v>2140</v>
      </c>
      <c r="CY52" s="61">
        <v>2334</v>
      </c>
      <c r="CZ52" s="61">
        <v>82</v>
      </c>
      <c r="DA52" s="61">
        <v>2111</v>
      </c>
      <c r="DB52" s="61"/>
      <c r="DC52" s="61"/>
      <c r="DD52" s="61">
        <v>6667</v>
      </c>
      <c r="DE52" s="61">
        <v>99</v>
      </c>
      <c r="DF52" s="61">
        <v>5893</v>
      </c>
      <c r="DG52" s="61">
        <v>675</v>
      </c>
      <c r="DH52" s="62" t="s">
        <v>2185</v>
      </c>
      <c r="DI52" s="61">
        <v>144</v>
      </c>
      <c r="DJ52" s="61">
        <v>16</v>
      </c>
      <c r="DK52" s="61"/>
      <c r="DL52" s="61"/>
      <c r="DM52" s="61"/>
      <c r="DN52" s="61"/>
    </row>
    <row r="53" spans="1:118" x14ac:dyDescent="0.25">
      <c r="A53" s="61">
        <v>106150782</v>
      </c>
      <c r="B53" s="62" t="s">
        <v>306</v>
      </c>
      <c r="C53" s="62" t="s">
        <v>307</v>
      </c>
      <c r="D53" s="62" t="s">
        <v>287</v>
      </c>
      <c r="E53" s="62" t="s">
        <v>71</v>
      </c>
      <c r="F53" s="62" t="s">
        <v>2213</v>
      </c>
      <c r="G53" s="62" t="s">
        <v>308</v>
      </c>
      <c r="H53" s="62" t="s">
        <v>309</v>
      </c>
      <c r="I53" s="62" t="s">
        <v>310</v>
      </c>
      <c r="J53" s="62" t="s">
        <v>2188</v>
      </c>
      <c r="K53" s="62"/>
      <c r="L53" s="61">
        <v>23</v>
      </c>
      <c r="M53" s="61">
        <v>34</v>
      </c>
      <c r="N53" s="61">
        <v>16</v>
      </c>
      <c r="O53" s="62" t="s">
        <v>1820</v>
      </c>
      <c r="P53" s="62" t="s">
        <v>120</v>
      </c>
      <c r="Q53" s="62" t="s">
        <v>120</v>
      </c>
      <c r="R53" s="62" t="s">
        <v>2167</v>
      </c>
      <c r="S53" s="62" t="s">
        <v>69</v>
      </c>
      <c r="T53" s="61">
        <v>9987</v>
      </c>
      <c r="U53" s="61">
        <v>8441</v>
      </c>
      <c r="V53" s="61"/>
      <c r="W53" s="61">
        <v>1982</v>
      </c>
      <c r="X53" s="61">
        <v>1758</v>
      </c>
      <c r="Y53" s="61">
        <v>2857</v>
      </c>
      <c r="Z53" s="61">
        <v>2553</v>
      </c>
      <c r="AA53" s="61">
        <v>2193</v>
      </c>
      <c r="AB53" s="61">
        <v>2433</v>
      </c>
      <c r="AC53" s="61">
        <v>1621</v>
      </c>
      <c r="AD53" s="61">
        <v>1374</v>
      </c>
      <c r="AE53" s="61">
        <v>1190</v>
      </c>
      <c r="AF53" s="61">
        <v>467</v>
      </c>
      <c r="AG53" s="61"/>
      <c r="AH53" s="61">
        <v>323</v>
      </c>
      <c r="AI53" s="61">
        <v>1184</v>
      </c>
      <c r="AJ53" s="61">
        <v>2538</v>
      </c>
      <c r="AK53" s="61">
        <v>24</v>
      </c>
      <c r="AL53" s="61">
        <v>428</v>
      </c>
      <c r="AM53" s="61">
        <v>227</v>
      </c>
      <c r="AN53" s="61">
        <v>13704</v>
      </c>
      <c r="AO53" s="61">
        <v>630</v>
      </c>
      <c r="AP53" s="61">
        <v>107</v>
      </c>
      <c r="AQ53" s="61">
        <v>46</v>
      </c>
      <c r="AR53" s="61">
        <v>5</v>
      </c>
      <c r="AS53" s="61"/>
      <c r="AT53" s="61">
        <v>13</v>
      </c>
      <c r="AU53" s="61"/>
      <c r="AV53" s="61">
        <v>102</v>
      </c>
      <c r="AW53" s="61">
        <v>23</v>
      </c>
      <c r="AX53" s="61">
        <v>1</v>
      </c>
      <c r="AY53" s="61">
        <v>17417</v>
      </c>
      <c r="AZ53" s="61">
        <v>55</v>
      </c>
      <c r="BA53" s="61"/>
      <c r="BB53" s="61">
        <v>29</v>
      </c>
      <c r="BC53" s="61"/>
      <c r="BD53" s="61">
        <v>8055</v>
      </c>
      <c r="BE53" s="61">
        <v>4013</v>
      </c>
      <c r="BF53" s="61">
        <v>1574</v>
      </c>
      <c r="BG53" s="61">
        <v>4192</v>
      </c>
      <c r="BH53" s="61">
        <v>594</v>
      </c>
      <c r="BI53" s="61"/>
      <c r="BJ53" s="61">
        <v>18428</v>
      </c>
      <c r="BK53" s="61">
        <v>67</v>
      </c>
      <c r="BL53" s="61">
        <v>17893</v>
      </c>
      <c r="BM53" s="61">
        <v>468</v>
      </c>
      <c r="BN53" s="61">
        <v>659</v>
      </c>
      <c r="BO53" s="61">
        <v>546</v>
      </c>
      <c r="BP53" s="61"/>
      <c r="BQ53" s="61">
        <v>27</v>
      </c>
      <c r="BR53" s="61">
        <v>70</v>
      </c>
      <c r="BS53" s="61">
        <v>77</v>
      </c>
      <c r="BT53" s="61">
        <v>92</v>
      </c>
      <c r="BU53" s="61">
        <v>176</v>
      </c>
      <c r="BV53" s="61">
        <v>189</v>
      </c>
      <c r="BW53" s="61">
        <v>202</v>
      </c>
      <c r="BX53" s="61">
        <v>308</v>
      </c>
      <c r="BY53" s="61">
        <v>25</v>
      </c>
      <c r="BZ53" s="61">
        <v>39</v>
      </c>
      <c r="CA53" s="61"/>
      <c r="CB53" s="61">
        <v>19</v>
      </c>
      <c r="CC53" s="61">
        <v>38</v>
      </c>
      <c r="CD53" s="61">
        <v>118</v>
      </c>
      <c r="CE53" s="61">
        <v>12</v>
      </c>
      <c r="CF53" s="61">
        <v>4</v>
      </c>
      <c r="CG53" s="61">
        <v>1002</v>
      </c>
      <c r="CH53" s="61">
        <v>12</v>
      </c>
      <c r="CI53" s="61">
        <v>85</v>
      </c>
      <c r="CJ53" s="61">
        <v>18</v>
      </c>
      <c r="CK53" s="61">
        <v>44</v>
      </c>
      <c r="CL53" s="61">
        <v>80</v>
      </c>
      <c r="CM53" s="61">
        <v>4</v>
      </c>
      <c r="CN53" s="61"/>
      <c r="CO53" s="61">
        <v>1</v>
      </c>
      <c r="CP53" s="61">
        <v>789</v>
      </c>
      <c r="CQ53" s="61">
        <v>163</v>
      </c>
      <c r="CR53" s="61">
        <v>1</v>
      </c>
      <c r="CS53" s="61">
        <v>16</v>
      </c>
      <c r="CT53" s="61">
        <v>2</v>
      </c>
      <c r="CU53" s="61"/>
      <c r="CV53" s="61">
        <v>2</v>
      </c>
      <c r="CW53" s="61"/>
      <c r="CX53" s="61">
        <v>269</v>
      </c>
      <c r="CY53" s="61">
        <v>659</v>
      </c>
      <c r="CZ53" s="61">
        <v>38</v>
      </c>
      <c r="DA53" s="61">
        <v>229</v>
      </c>
      <c r="DB53" s="61">
        <v>10</v>
      </c>
      <c r="DC53" s="61"/>
      <c r="DD53" s="61">
        <v>1205</v>
      </c>
      <c r="DE53" s="61">
        <v>4</v>
      </c>
      <c r="DF53" s="61">
        <v>1181</v>
      </c>
      <c r="DG53" s="61">
        <v>20</v>
      </c>
      <c r="DH53" s="62" t="s">
        <v>2185</v>
      </c>
      <c r="DI53" s="61">
        <v>98</v>
      </c>
      <c r="DJ53" s="61">
        <v>8</v>
      </c>
      <c r="DK53" s="61"/>
      <c r="DL53" s="61"/>
      <c r="DM53" s="61"/>
      <c r="DN53" s="61"/>
    </row>
    <row r="54" spans="1:118" x14ac:dyDescent="0.25">
      <c r="A54" s="61">
        <v>106150788</v>
      </c>
      <c r="B54" s="62" t="s">
        <v>311</v>
      </c>
      <c r="C54" s="62" t="s">
        <v>312</v>
      </c>
      <c r="D54" s="62" t="s">
        <v>287</v>
      </c>
      <c r="E54" s="62" t="s">
        <v>71</v>
      </c>
      <c r="F54" s="62" t="s">
        <v>2213</v>
      </c>
      <c r="G54" s="62" t="s">
        <v>313</v>
      </c>
      <c r="H54" s="62" t="s">
        <v>292</v>
      </c>
      <c r="I54" s="62" t="s">
        <v>293</v>
      </c>
      <c r="J54" s="62" t="s">
        <v>2184</v>
      </c>
      <c r="K54" s="62"/>
      <c r="L54" s="61">
        <v>23</v>
      </c>
      <c r="M54" s="61">
        <v>34</v>
      </c>
      <c r="N54" s="61">
        <v>16</v>
      </c>
      <c r="O54" s="62" t="s">
        <v>1816</v>
      </c>
      <c r="P54" s="62" t="s">
        <v>68</v>
      </c>
      <c r="Q54" s="62" t="s">
        <v>2167</v>
      </c>
      <c r="R54" s="62" t="s">
        <v>2167</v>
      </c>
      <c r="S54" s="62" t="s">
        <v>69</v>
      </c>
      <c r="T54" s="61">
        <v>36799</v>
      </c>
      <c r="U54" s="61">
        <v>28400</v>
      </c>
      <c r="V54" s="61">
        <v>3</v>
      </c>
      <c r="W54" s="61">
        <v>9169</v>
      </c>
      <c r="X54" s="61">
        <v>6737</v>
      </c>
      <c r="Y54" s="61">
        <v>11658</v>
      </c>
      <c r="Z54" s="61">
        <v>8896</v>
      </c>
      <c r="AA54" s="61">
        <v>7676</v>
      </c>
      <c r="AB54" s="61">
        <v>7660</v>
      </c>
      <c r="AC54" s="61">
        <v>5124</v>
      </c>
      <c r="AD54" s="61">
        <v>3226</v>
      </c>
      <c r="AE54" s="61">
        <v>2478</v>
      </c>
      <c r="AF54" s="61">
        <v>2572</v>
      </c>
      <c r="AG54" s="61">
        <v>6</v>
      </c>
      <c r="AH54" s="61">
        <v>540</v>
      </c>
      <c r="AI54" s="61">
        <v>6966</v>
      </c>
      <c r="AJ54" s="61">
        <v>32034</v>
      </c>
      <c r="AK54" s="61">
        <v>82</v>
      </c>
      <c r="AL54" s="61">
        <v>695</v>
      </c>
      <c r="AM54" s="61">
        <v>413</v>
      </c>
      <c r="AN54" s="61">
        <v>24472</v>
      </c>
      <c r="AO54" s="61">
        <v>474</v>
      </c>
      <c r="AP54" s="61">
        <v>4278</v>
      </c>
      <c r="AQ54" s="61">
        <v>71</v>
      </c>
      <c r="AR54" s="61">
        <v>39</v>
      </c>
      <c r="AS54" s="61">
        <v>41</v>
      </c>
      <c r="AT54" s="61">
        <v>26</v>
      </c>
      <c r="AU54" s="61"/>
      <c r="AV54" s="61">
        <v>484</v>
      </c>
      <c r="AW54" s="61">
        <v>82</v>
      </c>
      <c r="AX54" s="61">
        <v>42</v>
      </c>
      <c r="AY54" s="61">
        <v>59343</v>
      </c>
      <c r="AZ54" s="61">
        <v>252</v>
      </c>
      <c r="BA54" s="61">
        <v>2</v>
      </c>
      <c r="BB54" s="61"/>
      <c r="BC54" s="61">
        <v>39</v>
      </c>
      <c r="BD54" s="61">
        <v>36426</v>
      </c>
      <c r="BE54" s="61">
        <v>10665</v>
      </c>
      <c r="BF54" s="61">
        <v>1541</v>
      </c>
      <c r="BG54" s="61">
        <v>11935</v>
      </c>
      <c r="BH54" s="61">
        <v>4635</v>
      </c>
      <c r="BI54" s="61"/>
      <c r="BJ54" s="61">
        <v>65202</v>
      </c>
      <c r="BK54" s="61">
        <v>172</v>
      </c>
      <c r="BL54" s="61">
        <v>55077</v>
      </c>
      <c r="BM54" s="61">
        <v>9953</v>
      </c>
      <c r="BN54" s="61">
        <v>5439</v>
      </c>
      <c r="BO54" s="61">
        <v>5498</v>
      </c>
      <c r="BP54" s="61"/>
      <c r="BQ54" s="61">
        <v>227</v>
      </c>
      <c r="BR54" s="61">
        <v>739</v>
      </c>
      <c r="BS54" s="61">
        <v>811</v>
      </c>
      <c r="BT54" s="61">
        <v>1201</v>
      </c>
      <c r="BU54" s="61">
        <v>2043</v>
      </c>
      <c r="BV54" s="61">
        <v>2131</v>
      </c>
      <c r="BW54" s="61">
        <v>1910</v>
      </c>
      <c r="BX54" s="61">
        <v>1605</v>
      </c>
      <c r="BY54" s="61">
        <v>118</v>
      </c>
      <c r="BZ54" s="61">
        <v>151</v>
      </c>
      <c r="CA54" s="61">
        <v>1</v>
      </c>
      <c r="CB54" s="61">
        <v>162</v>
      </c>
      <c r="CC54" s="61">
        <v>961</v>
      </c>
      <c r="CD54" s="61">
        <v>3747</v>
      </c>
      <c r="CE54" s="61">
        <v>182</v>
      </c>
      <c r="CF54" s="61">
        <v>28</v>
      </c>
      <c r="CG54" s="61">
        <v>5835</v>
      </c>
      <c r="CH54" s="61">
        <v>22</v>
      </c>
      <c r="CI54" s="61">
        <v>165</v>
      </c>
      <c r="CJ54" s="61">
        <v>252</v>
      </c>
      <c r="CK54" s="61">
        <v>407</v>
      </c>
      <c r="CL54" s="61">
        <v>902</v>
      </c>
      <c r="CM54" s="61">
        <v>317</v>
      </c>
      <c r="CN54" s="61"/>
      <c r="CO54" s="61">
        <v>10</v>
      </c>
      <c r="CP54" s="61">
        <v>7008</v>
      </c>
      <c r="CQ54" s="61">
        <v>1162</v>
      </c>
      <c r="CR54" s="61">
        <v>366</v>
      </c>
      <c r="CS54" s="61">
        <v>311</v>
      </c>
      <c r="CT54" s="61">
        <v>18</v>
      </c>
      <c r="CU54" s="61"/>
      <c r="CV54" s="61"/>
      <c r="CW54" s="61">
        <v>1</v>
      </c>
      <c r="CX54" s="61">
        <v>3095</v>
      </c>
      <c r="CY54" s="61">
        <v>5352</v>
      </c>
      <c r="CZ54" s="61">
        <v>504</v>
      </c>
      <c r="DA54" s="61">
        <v>1889</v>
      </c>
      <c r="DB54" s="61">
        <v>93</v>
      </c>
      <c r="DC54" s="61">
        <v>4</v>
      </c>
      <c r="DD54" s="61">
        <v>10937</v>
      </c>
      <c r="DE54" s="61">
        <v>61</v>
      </c>
      <c r="DF54" s="61">
        <v>9472</v>
      </c>
      <c r="DG54" s="61">
        <v>1404</v>
      </c>
      <c r="DH54" s="62" t="s">
        <v>2185</v>
      </c>
      <c r="DI54" s="61">
        <v>254</v>
      </c>
      <c r="DJ54" s="61">
        <v>22</v>
      </c>
      <c r="DK54" s="61">
        <v>8</v>
      </c>
      <c r="DL54" s="61">
        <v>21</v>
      </c>
      <c r="DM54" s="61"/>
      <c r="DN54" s="61">
        <v>18</v>
      </c>
    </row>
    <row r="55" spans="1:118" x14ac:dyDescent="0.25">
      <c r="A55" s="61">
        <v>106150808</v>
      </c>
      <c r="B55" s="62" t="s">
        <v>314</v>
      </c>
      <c r="C55" s="62" t="s">
        <v>315</v>
      </c>
      <c r="D55" s="62" t="s">
        <v>287</v>
      </c>
      <c r="E55" s="62" t="s">
        <v>94</v>
      </c>
      <c r="F55" s="62" t="s">
        <v>2213</v>
      </c>
      <c r="G55" s="62" t="s">
        <v>316</v>
      </c>
      <c r="H55" s="62" t="s">
        <v>317</v>
      </c>
      <c r="I55" s="62" t="s">
        <v>318</v>
      </c>
      <c r="J55" s="62" t="s">
        <v>2190</v>
      </c>
      <c r="K55" s="62"/>
      <c r="L55" s="61">
        <v>23</v>
      </c>
      <c r="M55" s="61">
        <v>34</v>
      </c>
      <c r="N55" s="61">
        <v>16</v>
      </c>
      <c r="O55" s="62" t="s">
        <v>1821</v>
      </c>
      <c r="P55" s="62" t="s">
        <v>120</v>
      </c>
      <c r="Q55" s="62" t="s">
        <v>120</v>
      </c>
      <c r="R55" s="62" t="s">
        <v>2167</v>
      </c>
      <c r="S55" s="62" t="s">
        <v>127</v>
      </c>
      <c r="T55" s="61">
        <v>7654</v>
      </c>
      <c r="U55" s="61">
        <v>6025</v>
      </c>
      <c r="V55" s="61">
        <v>1</v>
      </c>
      <c r="W55" s="61">
        <v>2116</v>
      </c>
      <c r="X55" s="61">
        <v>1811</v>
      </c>
      <c r="Y55" s="61">
        <v>1988</v>
      </c>
      <c r="Z55" s="61">
        <v>1728</v>
      </c>
      <c r="AA55" s="61">
        <v>1417</v>
      </c>
      <c r="AB55" s="61">
        <v>1730</v>
      </c>
      <c r="AC55" s="61">
        <v>1109</v>
      </c>
      <c r="AD55" s="61">
        <v>778</v>
      </c>
      <c r="AE55" s="61">
        <v>606</v>
      </c>
      <c r="AF55" s="61">
        <v>397</v>
      </c>
      <c r="AG55" s="61"/>
      <c r="AH55" s="61">
        <v>58</v>
      </c>
      <c r="AI55" s="61">
        <v>908</v>
      </c>
      <c r="AJ55" s="61">
        <v>2612</v>
      </c>
      <c r="AK55" s="61"/>
      <c r="AL55" s="61">
        <v>58</v>
      </c>
      <c r="AM55" s="61">
        <v>57</v>
      </c>
      <c r="AN55" s="61">
        <v>9987</v>
      </c>
      <c r="AO55" s="61">
        <v>1063</v>
      </c>
      <c r="AP55" s="61">
        <v>886</v>
      </c>
      <c r="AQ55" s="61">
        <v>31</v>
      </c>
      <c r="AR55" s="61"/>
      <c r="AS55" s="61"/>
      <c r="AT55" s="61"/>
      <c r="AU55" s="61"/>
      <c r="AV55" s="61">
        <v>101</v>
      </c>
      <c r="AW55" s="61">
        <v>16</v>
      </c>
      <c r="AX55" s="61">
        <v>1</v>
      </c>
      <c r="AY55" s="61">
        <v>11564</v>
      </c>
      <c r="AZ55" s="61">
        <v>8</v>
      </c>
      <c r="BA55" s="61"/>
      <c r="BB55" s="61">
        <v>9</v>
      </c>
      <c r="BC55" s="61"/>
      <c r="BD55" s="61">
        <v>6942</v>
      </c>
      <c r="BE55" s="61">
        <v>2244</v>
      </c>
      <c r="BF55" s="61">
        <v>538</v>
      </c>
      <c r="BG55" s="61">
        <v>2763</v>
      </c>
      <c r="BH55" s="61">
        <v>1193</v>
      </c>
      <c r="BI55" s="61"/>
      <c r="BJ55" s="61">
        <v>13680</v>
      </c>
      <c r="BK55" s="61">
        <v>13</v>
      </c>
      <c r="BL55" s="61">
        <v>13229</v>
      </c>
      <c r="BM55" s="61">
        <v>438</v>
      </c>
      <c r="BN55" s="61">
        <v>70</v>
      </c>
      <c r="BO55" s="61">
        <v>39</v>
      </c>
      <c r="BP55" s="61"/>
      <c r="BQ55" s="61">
        <v>2</v>
      </c>
      <c r="BR55" s="61">
        <v>4</v>
      </c>
      <c r="BS55" s="61">
        <v>9</v>
      </c>
      <c r="BT55" s="61">
        <v>4</v>
      </c>
      <c r="BU55" s="61">
        <v>13</v>
      </c>
      <c r="BV55" s="61">
        <v>21</v>
      </c>
      <c r="BW55" s="61">
        <v>25</v>
      </c>
      <c r="BX55" s="61">
        <v>29</v>
      </c>
      <c r="BY55" s="61">
        <v>2</v>
      </c>
      <c r="BZ55" s="61"/>
      <c r="CA55" s="61"/>
      <c r="CB55" s="61">
        <v>1</v>
      </c>
      <c r="CC55" s="61">
        <v>2</v>
      </c>
      <c r="CD55" s="61">
        <v>17</v>
      </c>
      <c r="CE55" s="61"/>
      <c r="CF55" s="61"/>
      <c r="CG55" s="61">
        <v>89</v>
      </c>
      <c r="CH55" s="61"/>
      <c r="CI55" s="61">
        <v>12</v>
      </c>
      <c r="CJ55" s="61">
        <v>2</v>
      </c>
      <c r="CK55" s="61">
        <v>1</v>
      </c>
      <c r="CL55" s="61"/>
      <c r="CM55" s="61"/>
      <c r="CN55" s="61"/>
      <c r="CO55" s="61"/>
      <c r="CP55" s="61">
        <v>82</v>
      </c>
      <c r="CQ55" s="61">
        <v>1</v>
      </c>
      <c r="CR55" s="61"/>
      <c r="CS55" s="61"/>
      <c r="CT55" s="61"/>
      <c r="CU55" s="61">
        <v>11</v>
      </c>
      <c r="CV55" s="61"/>
      <c r="CW55" s="61"/>
      <c r="CX55" s="61">
        <v>26</v>
      </c>
      <c r="CY55" s="61">
        <v>69</v>
      </c>
      <c r="CZ55" s="61">
        <v>2</v>
      </c>
      <c r="DA55" s="61">
        <v>11</v>
      </c>
      <c r="DB55" s="61">
        <v>1</v>
      </c>
      <c r="DC55" s="61"/>
      <c r="DD55" s="61">
        <v>109</v>
      </c>
      <c r="DE55" s="61"/>
      <c r="DF55" s="61">
        <v>102</v>
      </c>
      <c r="DG55" s="61">
        <v>7</v>
      </c>
      <c r="DH55" s="62" t="s">
        <v>2185</v>
      </c>
      <c r="DI55" s="61">
        <v>28</v>
      </c>
      <c r="DJ55" s="61">
        <v>7</v>
      </c>
      <c r="DK55" s="61">
        <v>1</v>
      </c>
      <c r="DL55" s="61"/>
      <c r="DM55" s="61"/>
      <c r="DN55" s="61"/>
    </row>
    <row r="56" spans="1:118" x14ac:dyDescent="0.25">
      <c r="A56" s="61">
        <v>106154101</v>
      </c>
      <c r="B56" s="62" t="s">
        <v>319</v>
      </c>
      <c r="C56" s="62" t="s">
        <v>320</v>
      </c>
      <c r="D56" s="62" t="s">
        <v>287</v>
      </c>
      <c r="E56" s="62" t="s">
        <v>184</v>
      </c>
      <c r="F56" s="62" t="s">
        <v>2213</v>
      </c>
      <c r="G56" s="62" t="s">
        <v>322</v>
      </c>
      <c r="H56" s="62" t="s">
        <v>292</v>
      </c>
      <c r="I56" s="62" t="s">
        <v>323</v>
      </c>
      <c r="J56" s="62" t="s">
        <v>2190</v>
      </c>
      <c r="K56" s="62"/>
      <c r="L56" s="61">
        <v>23</v>
      </c>
      <c r="M56" s="61">
        <v>34</v>
      </c>
      <c r="N56" s="61">
        <v>16</v>
      </c>
      <c r="O56" s="62" t="s">
        <v>1819</v>
      </c>
      <c r="P56" s="62" t="s">
        <v>68</v>
      </c>
      <c r="Q56" s="62" t="s">
        <v>2167</v>
      </c>
      <c r="R56" s="62" t="s">
        <v>2167</v>
      </c>
      <c r="S56" s="62" t="s">
        <v>69</v>
      </c>
      <c r="T56" s="61">
        <v>5633</v>
      </c>
      <c r="U56" s="61">
        <v>4176</v>
      </c>
      <c r="V56" s="61"/>
      <c r="W56" s="61">
        <v>372</v>
      </c>
      <c r="X56" s="61">
        <v>642</v>
      </c>
      <c r="Y56" s="61">
        <v>1328</v>
      </c>
      <c r="Z56" s="61">
        <v>1508</v>
      </c>
      <c r="AA56" s="61">
        <v>1465</v>
      </c>
      <c r="AB56" s="61">
        <v>1623</v>
      </c>
      <c r="AC56" s="61">
        <v>1181</v>
      </c>
      <c r="AD56" s="61">
        <v>979</v>
      </c>
      <c r="AE56" s="61">
        <v>656</v>
      </c>
      <c r="AF56" s="61">
        <v>55</v>
      </c>
      <c r="AG56" s="61"/>
      <c r="AH56" s="61">
        <v>174</v>
      </c>
      <c r="AI56" s="61">
        <v>510</v>
      </c>
      <c r="AJ56" s="61">
        <v>2417</v>
      </c>
      <c r="AK56" s="61">
        <v>25</v>
      </c>
      <c r="AL56" s="61">
        <v>137</v>
      </c>
      <c r="AM56" s="61">
        <v>5</v>
      </c>
      <c r="AN56" s="61">
        <v>6541</v>
      </c>
      <c r="AO56" s="61">
        <v>181</v>
      </c>
      <c r="AP56" s="61">
        <v>1120</v>
      </c>
      <c r="AQ56" s="61">
        <v>30</v>
      </c>
      <c r="AR56" s="61">
        <v>11</v>
      </c>
      <c r="AS56" s="61">
        <v>4</v>
      </c>
      <c r="AT56" s="61"/>
      <c r="AU56" s="61"/>
      <c r="AV56" s="61">
        <v>2</v>
      </c>
      <c r="AW56" s="61"/>
      <c r="AX56" s="61">
        <v>21</v>
      </c>
      <c r="AY56" s="61">
        <v>8366</v>
      </c>
      <c r="AZ56" s="61">
        <v>13</v>
      </c>
      <c r="BA56" s="61"/>
      <c r="BB56" s="61"/>
      <c r="BC56" s="61"/>
      <c r="BD56" s="61">
        <v>4142</v>
      </c>
      <c r="BE56" s="61">
        <v>3034</v>
      </c>
      <c r="BF56" s="61">
        <v>220</v>
      </c>
      <c r="BG56" s="61">
        <v>1890</v>
      </c>
      <c r="BH56" s="61">
        <v>523</v>
      </c>
      <c r="BI56" s="61"/>
      <c r="BJ56" s="61">
        <v>9809</v>
      </c>
      <c r="BK56" s="61">
        <v>39</v>
      </c>
      <c r="BL56" s="61">
        <v>9512</v>
      </c>
      <c r="BM56" s="61">
        <v>258</v>
      </c>
      <c r="BN56" s="61">
        <v>1498</v>
      </c>
      <c r="BO56" s="61">
        <v>1406</v>
      </c>
      <c r="BP56" s="61"/>
      <c r="BQ56" s="61">
        <v>7</v>
      </c>
      <c r="BR56" s="61">
        <v>61</v>
      </c>
      <c r="BS56" s="61">
        <v>125</v>
      </c>
      <c r="BT56" s="61">
        <v>221</v>
      </c>
      <c r="BU56" s="61">
        <v>436</v>
      </c>
      <c r="BV56" s="61">
        <v>712</v>
      </c>
      <c r="BW56" s="61">
        <v>728</v>
      </c>
      <c r="BX56" s="61">
        <v>614</v>
      </c>
      <c r="BY56" s="61"/>
      <c r="BZ56" s="61"/>
      <c r="CA56" s="61"/>
      <c r="CB56" s="61">
        <v>74</v>
      </c>
      <c r="CC56" s="61">
        <v>139</v>
      </c>
      <c r="CD56" s="61">
        <v>622</v>
      </c>
      <c r="CE56" s="61">
        <v>51</v>
      </c>
      <c r="CF56" s="61">
        <v>2</v>
      </c>
      <c r="CG56" s="61">
        <v>2011</v>
      </c>
      <c r="CH56" s="61">
        <v>5</v>
      </c>
      <c r="CI56" s="61">
        <v>45</v>
      </c>
      <c r="CJ56" s="61">
        <v>65</v>
      </c>
      <c r="CK56" s="61">
        <v>90</v>
      </c>
      <c r="CL56" s="61">
        <v>71</v>
      </c>
      <c r="CM56" s="61">
        <v>124</v>
      </c>
      <c r="CN56" s="61"/>
      <c r="CO56" s="61">
        <v>11</v>
      </c>
      <c r="CP56" s="61">
        <v>2192</v>
      </c>
      <c r="CQ56" s="61">
        <v>236</v>
      </c>
      <c r="CR56" s="61"/>
      <c r="CS56" s="61">
        <v>43</v>
      </c>
      <c r="CT56" s="61"/>
      <c r="CU56" s="61"/>
      <c r="CV56" s="61"/>
      <c r="CW56" s="61">
        <v>16</v>
      </c>
      <c r="CX56" s="61">
        <v>448</v>
      </c>
      <c r="CY56" s="61">
        <v>1982</v>
      </c>
      <c r="CZ56" s="61">
        <v>54</v>
      </c>
      <c r="DA56" s="61">
        <v>399</v>
      </c>
      <c r="DB56" s="61">
        <v>21</v>
      </c>
      <c r="DC56" s="61"/>
      <c r="DD56" s="61">
        <v>2904</v>
      </c>
      <c r="DE56" s="61">
        <v>20</v>
      </c>
      <c r="DF56" s="61">
        <v>2688</v>
      </c>
      <c r="DG56" s="61">
        <v>196</v>
      </c>
      <c r="DH56" s="62" t="s">
        <v>2185</v>
      </c>
      <c r="DI56" s="61">
        <v>47</v>
      </c>
      <c r="DJ56" s="61">
        <v>9</v>
      </c>
      <c r="DK56" s="61"/>
      <c r="DL56" s="61">
        <v>61</v>
      </c>
      <c r="DM56" s="61"/>
      <c r="DN56" s="61">
        <v>11</v>
      </c>
    </row>
    <row r="57" spans="1:118" x14ac:dyDescent="0.25">
      <c r="A57" s="61">
        <v>106160787</v>
      </c>
      <c r="B57" s="62" t="s">
        <v>2192</v>
      </c>
      <c r="C57" s="62" t="s">
        <v>2193</v>
      </c>
      <c r="D57" s="62" t="s">
        <v>324</v>
      </c>
      <c r="E57" s="62" t="s">
        <v>71</v>
      </c>
      <c r="F57" s="62" t="s">
        <v>2213</v>
      </c>
      <c r="G57" s="62" t="s">
        <v>2194</v>
      </c>
      <c r="H57" s="62" t="s">
        <v>328</v>
      </c>
      <c r="I57" s="62" t="s">
        <v>329</v>
      </c>
      <c r="J57" s="62" t="s">
        <v>2190</v>
      </c>
      <c r="K57" s="62"/>
      <c r="L57" s="61">
        <v>21</v>
      </c>
      <c r="M57" s="61">
        <v>32</v>
      </c>
      <c r="N57" s="61">
        <v>14</v>
      </c>
      <c r="O57" s="62" t="s">
        <v>1822</v>
      </c>
      <c r="P57" s="62" t="s">
        <v>68</v>
      </c>
      <c r="Q57" s="62" t="s">
        <v>2167</v>
      </c>
      <c r="R57" s="62" t="s">
        <v>2167</v>
      </c>
      <c r="S57" s="62"/>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v>1</v>
      </c>
      <c r="BO57" s="61"/>
      <c r="BP57" s="61"/>
      <c r="BQ57" s="61"/>
      <c r="BR57" s="61"/>
      <c r="BS57" s="61"/>
      <c r="BT57" s="61"/>
      <c r="BU57" s="61"/>
      <c r="BV57" s="61"/>
      <c r="BW57" s="61"/>
      <c r="BX57" s="61"/>
      <c r="BY57" s="61">
        <v>1</v>
      </c>
      <c r="BZ57" s="61"/>
      <c r="CA57" s="61"/>
      <c r="CB57" s="61"/>
      <c r="CC57" s="61"/>
      <c r="CD57" s="61">
        <v>1</v>
      </c>
      <c r="CE57" s="61"/>
      <c r="CF57" s="61"/>
      <c r="CG57" s="61"/>
      <c r="CH57" s="61"/>
      <c r="CI57" s="61"/>
      <c r="CJ57" s="61"/>
      <c r="CK57" s="61"/>
      <c r="CL57" s="61"/>
      <c r="CM57" s="61"/>
      <c r="CN57" s="61"/>
      <c r="CO57" s="61"/>
      <c r="CP57" s="61">
        <v>1</v>
      </c>
      <c r="CQ57" s="61"/>
      <c r="CR57" s="61"/>
      <c r="CS57" s="61"/>
      <c r="CT57" s="61"/>
      <c r="CU57" s="61"/>
      <c r="CV57" s="61"/>
      <c r="CW57" s="61"/>
      <c r="CX57" s="61"/>
      <c r="CY57" s="61"/>
      <c r="CZ57" s="61"/>
      <c r="DA57" s="61">
        <v>1</v>
      </c>
      <c r="DB57" s="61"/>
      <c r="DC57" s="61"/>
      <c r="DD57" s="61">
        <v>1</v>
      </c>
      <c r="DE57" s="61"/>
      <c r="DF57" s="61">
        <v>1</v>
      </c>
      <c r="DG57" s="61"/>
      <c r="DH57" s="62" t="s">
        <v>2185</v>
      </c>
      <c r="DI57" s="61">
        <v>49</v>
      </c>
      <c r="DJ57" s="61">
        <v>0</v>
      </c>
      <c r="DK57" s="61"/>
      <c r="DL57" s="61"/>
      <c r="DM57" s="61"/>
      <c r="DN57" s="61"/>
    </row>
    <row r="58" spans="1:118" x14ac:dyDescent="0.25">
      <c r="A58" s="61">
        <v>106164029</v>
      </c>
      <c r="B58" s="62" t="s">
        <v>325</v>
      </c>
      <c r="C58" s="62" t="s">
        <v>326</v>
      </c>
      <c r="D58" s="62" t="s">
        <v>324</v>
      </c>
      <c r="E58" s="62" t="s">
        <v>71</v>
      </c>
      <c r="F58" s="62" t="s">
        <v>2213</v>
      </c>
      <c r="G58" s="62" t="s">
        <v>327</v>
      </c>
      <c r="H58" s="62" t="s">
        <v>328</v>
      </c>
      <c r="I58" s="62" t="s">
        <v>329</v>
      </c>
      <c r="J58" s="62" t="s">
        <v>2189</v>
      </c>
      <c r="K58" s="62"/>
      <c r="L58" s="61">
        <v>21</v>
      </c>
      <c r="M58" s="61">
        <v>32</v>
      </c>
      <c r="N58" s="61">
        <v>14</v>
      </c>
      <c r="O58" s="62" t="s">
        <v>1822</v>
      </c>
      <c r="P58" s="62" t="s">
        <v>68</v>
      </c>
      <c r="Q58" s="62" t="s">
        <v>120</v>
      </c>
      <c r="R58" s="62" t="s">
        <v>2167</v>
      </c>
      <c r="S58" s="62" t="s">
        <v>69</v>
      </c>
      <c r="T58" s="61">
        <v>65675</v>
      </c>
      <c r="U58" s="61">
        <v>48923</v>
      </c>
      <c r="V58" s="61">
        <v>3</v>
      </c>
      <c r="W58" s="61">
        <v>22512</v>
      </c>
      <c r="X58" s="61">
        <v>15567</v>
      </c>
      <c r="Y58" s="61">
        <v>20357</v>
      </c>
      <c r="Z58" s="61">
        <v>16633</v>
      </c>
      <c r="AA58" s="61">
        <v>12226</v>
      </c>
      <c r="AB58" s="61">
        <v>10147</v>
      </c>
      <c r="AC58" s="61">
        <v>6377</v>
      </c>
      <c r="AD58" s="61">
        <v>4078</v>
      </c>
      <c r="AE58" s="61">
        <v>2928</v>
      </c>
      <c r="AF58" s="61">
        <v>3774</v>
      </c>
      <c r="AG58" s="61">
        <v>2</v>
      </c>
      <c r="AH58" s="61">
        <v>584</v>
      </c>
      <c r="AI58" s="61">
        <v>4809</v>
      </c>
      <c r="AJ58" s="61">
        <v>75789</v>
      </c>
      <c r="AK58" s="61">
        <v>248</v>
      </c>
      <c r="AL58" s="61">
        <v>1941</v>
      </c>
      <c r="AM58" s="61">
        <v>285</v>
      </c>
      <c r="AN58" s="61">
        <v>30945</v>
      </c>
      <c r="AO58" s="61">
        <v>1753</v>
      </c>
      <c r="AP58" s="61">
        <v>2069</v>
      </c>
      <c r="AQ58" s="61">
        <v>86</v>
      </c>
      <c r="AR58" s="61">
        <v>51</v>
      </c>
      <c r="AS58" s="61">
        <v>8</v>
      </c>
      <c r="AT58" s="61">
        <v>3</v>
      </c>
      <c r="AU58" s="61"/>
      <c r="AV58" s="61">
        <v>265</v>
      </c>
      <c r="AW58" s="61">
        <v>179</v>
      </c>
      <c r="AX58" s="61">
        <v>2</v>
      </c>
      <c r="AY58" s="61">
        <v>109842</v>
      </c>
      <c r="AZ58" s="61">
        <v>172</v>
      </c>
      <c r="BA58" s="61">
        <v>48</v>
      </c>
      <c r="BB58" s="61"/>
      <c r="BC58" s="61">
        <v>78</v>
      </c>
      <c r="BD58" s="61">
        <v>72437</v>
      </c>
      <c r="BE58" s="61">
        <v>12470</v>
      </c>
      <c r="BF58" s="61">
        <v>6107</v>
      </c>
      <c r="BG58" s="61">
        <v>15233</v>
      </c>
      <c r="BH58" s="61">
        <v>8354</v>
      </c>
      <c r="BI58" s="61"/>
      <c r="BJ58" s="61">
        <v>114601</v>
      </c>
      <c r="BK58" s="61">
        <v>214</v>
      </c>
      <c r="BL58" s="61">
        <v>88411</v>
      </c>
      <c r="BM58" s="61">
        <v>25976</v>
      </c>
      <c r="BN58" s="61">
        <v>3757</v>
      </c>
      <c r="BO58" s="61">
        <v>3593</v>
      </c>
      <c r="BP58" s="61"/>
      <c r="BQ58" s="61">
        <v>115</v>
      </c>
      <c r="BR58" s="61">
        <v>454</v>
      </c>
      <c r="BS58" s="61">
        <v>654</v>
      </c>
      <c r="BT58" s="61">
        <v>864</v>
      </c>
      <c r="BU58" s="61">
        <v>1280</v>
      </c>
      <c r="BV58" s="61">
        <v>1288</v>
      </c>
      <c r="BW58" s="61">
        <v>1282</v>
      </c>
      <c r="BX58" s="61">
        <v>1398</v>
      </c>
      <c r="BY58" s="61">
        <v>4</v>
      </c>
      <c r="BZ58" s="61">
        <v>11</v>
      </c>
      <c r="CA58" s="61"/>
      <c r="CB58" s="61">
        <v>79</v>
      </c>
      <c r="CC58" s="61">
        <v>309</v>
      </c>
      <c r="CD58" s="61">
        <v>3777</v>
      </c>
      <c r="CE58" s="61">
        <v>94</v>
      </c>
      <c r="CF58" s="61">
        <v>7</v>
      </c>
      <c r="CG58" s="61">
        <v>3072</v>
      </c>
      <c r="CH58" s="61">
        <v>12</v>
      </c>
      <c r="CI58" s="61">
        <v>220</v>
      </c>
      <c r="CJ58" s="61">
        <v>167</v>
      </c>
      <c r="CK58" s="61">
        <v>248</v>
      </c>
      <c r="CL58" s="61">
        <v>737</v>
      </c>
      <c r="CM58" s="61">
        <v>22</v>
      </c>
      <c r="CN58" s="61"/>
      <c r="CO58" s="61">
        <v>6</v>
      </c>
      <c r="CP58" s="61">
        <v>5080</v>
      </c>
      <c r="CQ58" s="61">
        <v>741</v>
      </c>
      <c r="CR58" s="61">
        <v>16</v>
      </c>
      <c r="CS58" s="61">
        <v>94</v>
      </c>
      <c r="CT58" s="61">
        <v>4</v>
      </c>
      <c r="CU58" s="61">
        <v>2</v>
      </c>
      <c r="CV58" s="61"/>
      <c r="CW58" s="61"/>
      <c r="CX58" s="61">
        <v>2118</v>
      </c>
      <c r="CY58" s="61">
        <v>3867</v>
      </c>
      <c r="CZ58" s="61">
        <v>154</v>
      </c>
      <c r="DA58" s="61">
        <v>947</v>
      </c>
      <c r="DB58" s="61">
        <v>262</v>
      </c>
      <c r="DC58" s="61">
        <v>2</v>
      </c>
      <c r="DD58" s="61">
        <v>7350</v>
      </c>
      <c r="DE58" s="61">
        <v>57</v>
      </c>
      <c r="DF58" s="61">
        <v>5650</v>
      </c>
      <c r="DG58" s="61">
        <v>1643</v>
      </c>
      <c r="DH58" s="62" t="s">
        <v>2185</v>
      </c>
      <c r="DI58" s="61">
        <v>142</v>
      </c>
      <c r="DJ58" s="61">
        <v>26</v>
      </c>
      <c r="DK58" s="61">
        <v>27</v>
      </c>
      <c r="DL58" s="61">
        <v>18</v>
      </c>
      <c r="DM58" s="61">
        <v>1</v>
      </c>
      <c r="DN58" s="61">
        <v>12</v>
      </c>
    </row>
    <row r="59" spans="1:118" x14ac:dyDescent="0.25">
      <c r="A59" s="61">
        <v>106171049</v>
      </c>
      <c r="B59" s="62" t="s">
        <v>330</v>
      </c>
      <c r="C59" s="62" t="s">
        <v>331</v>
      </c>
      <c r="D59" s="62" t="s">
        <v>332</v>
      </c>
      <c r="E59" s="62" t="s">
        <v>71</v>
      </c>
      <c r="F59" s="62" t="s">
        <v>2213</v>
      </c>
      <c r="G59" s="62" t="s">
        <v>333</v>
      </c>
      <c r="H59" s="62" t="s">
        <v>334</v>
      </c>
      <c r="I59" s="62" t="s">
        <v>335</v>
      </c>
      <c r="J59" s="62" t="s">
        <v>2190</v>
      </c>
      <c r="K59" s="62"/>
      <c r="L59" s="61">
        <v>3</v>
      </c>
      <c r="M59" s="61">
        <v>4</v>
      </c>
      <c r="N59" s="61">
        <v>2</v>
      </c>
      <c r="O59" s="62" t="s">
        <v>1823</v>
      </c>
      <c r="P59" s="62" t="s">
        <v>120</v>
      </c>
      <c r="Q59" s="62" t="s">
        <v>120</v>
      </c>
      <c r="R59" s="62" t="s">
        <v>2167</v>
      </c>
      <c r="S59" s="62" t="s">
        <v>127</v>
      </c>
      <c r="T59" s="61">
        <v>10851</v>
      </c>
      <c r="U59" s="61">
        <v>9400</v>
      </c>
      <c r="V59" s="61">
        <v>1</v>
      </c>
      <c r="W59" s="61">
        <v>2018</v>
      </c>
      <c r="X59" s="61">
        <v>1829</v>
      </c>
      <c r="Y59" s="61">
        <v>3159</v>
      </c>
      <c r="Z59" s="61">
        <v>2539</v>
      </c>
      <c r="AA59" s="61">
        <v>2287</v>
      </c>
      <c r="AB59" s="61">
        <v>3172</v>
      </c>
      <c r="AC59" s="61">
        <v>2483</v>
      </c>
      <c r="AD59" s="61">
        <v>1378</v>
      </c>
      <c r="AE59" s="61">
        <v>1027</v>
      </c>
      <c r="AF59" s="61">
        <v>360</v>
      </c>
      <c r="AG59" s="61"/>
      <c r="AH59" s="61">
        <v>81</v>
      </c>
      <c r="AI59" s="61">
        <v>715</v>
      </c>
      <c r="AJ59" s="61">
        <v>2237</v>
      </c>
      <c r="AK59" s="61">
        <v>209</v>
      </c>
      <c r="AL59" s="61">
        <v>407</v>
      </c>
      <c r="AM59" s="61">
        <v>231</v>
      </c>
      <c r="AN59" s="61">
        <v>16372</v>
      </c>
      <c r="AO59" s="61">
        <v>1728</v>
      </c>
      <c r="AP59" s="61">
        <v>475</v>
      </c>
      <c r="AQ59" s="61">
        <v>37</v>
      </c>
      <c r="AR59" s="61">
        <v>15</v>
      </c>
      <c r="AS59" s="61">
        <v>13</v>
      </c>
      <c r="AT59" s="61">
        <v>4</v>
      </c>
      <c r="AU59" s="61"/>
      <c r="AV59" s="61">
        <v>72</v>
      </c>
      <c r="AW59" s="61">
        <v>95</v>
      </c>
      <c r="AX59" s="61"/>
      <c r="AY59" s="61">
        <v>17694</v>
      </c>
      <c r="AZ59" s="61">
        <v>82</v>
      </c>
      <c r="BA59" s="61">
        <v>22</v>
      </c>
      <c r="BB59" s="61"/>
      <c r="BC59" s="61">
        <v>11</v>
      </c>
      <c r="BD59" s="61">
        <v>11215</v>
      </c>
      <c r="BE59" s="61">
        <v>5114</v>
      </c>
      <c r="BF59" s="61">
        <v>700</v>
      </c>
      <c r="BG59" s="61">
        <v>1954</v>
      </c>
      <c r="BH59" s="61">
        <v>1269</v>
      </c>
      <c r="BI59" s="61"/>
      <c r="BJ59" s="61">
        <v>20252</v>
      </c>
      <c r="BK59" s="61">
        <v>23</v>
      </c>
      <c r="BL59" s="61">
        <v>19449</v>
      </c>
      <c r="BM59" s="61">
        <v>780</v>
      </c>
      <c r="BN59" s="61">
        <v>604</v>
      </c>
      <c r="BO59" s="61">
        <v>519</v>
      </c>
      <c r="BP59" s="61"/>
      <c r="BQ59" s="61">
        <v>13</v>
      </c>
      <c r="BR59" s="61">
        <v>65</v>
      </c>
      <c r="BS59" s="61">
        <v>66</v>
      </c>
      <c r="BT59" s="61">
        <v>102</v>
      </c>
      <c r="BU59" s="61">
        <v>219</v>
      </c>
      <c r="BV59" s="61">
        <v>240</v>
      </c>
      <c r="BW59" s="61">
        <v>206</v>
      </c>
      <c r="BX59" s="61">
        <v>206</v>
      </c>
      <c r="BY59" s="61"/>
      <c r="BZ59" s="61">
        <v>6</v>
      </c>
      <c r="CA59" s="61"/>
      <c r="CB59" s="61">
        <v>3</v>
      </c>
      <c r="CC59" s="61">
        <v>43</v>
      </c>
      <c r="CD59" s="61">
        <v>60</v>
      </c>
      <c r="CE59" s="61">
        <v>13</v>
      </c>
      <c r="CF59" s="61">
        <v>8</v>
      </c>
      <c r="CG59" s="61">
        <v>992</v>
      </c>
      <c r="CH59" s="61">
        <v>4</v>
      </c>
      <c r="CI59" s="61">
        <v>89</v>
      </c>
      <c r="CJ59" s="61">
        <v>23</v>
      </c>
      <c r="CK59" s="61">
        <v>28</v>
      </c>
      <c r="CL59" s="61">
        <v>42</v>
      </c>
      <c r="CM59" s="61"/>
      <c r="CN59" s="61"/>
      <c r="CO59" s="61">
        <v>1</v>
      </c>
      <c r="CP59" s="61">
        <v>800</v>
      </c>
      <c r="CQ59" s="61">
        <v>114</v>
      </c>
      <c r="CR59" s="61"/>
      <c r="CS59" s="61">
        <v>11</v>
      </c>
      <c r="CT59" s="61">
        <v>5</v>
      </c>
      <c r="CU59" s="61">
        <v>1</v>
      </c>
      <c r="CV59" s="61">
        <v>1</v>
      </c>
      <c r="CW59" s="61">
        <v>1</v>
      </c>
      <c r="CX59" s="61">
        <v>365</v>
      </c>
      <c r="CY59" s="61">
        <v>652</v>
      </c>
      <c r="CZ59" s="61">
        <v>19</v>
      </c>
      <c r="DA59" s="61">
        <v>70</v>
      </c>
      <c r="DB59" s="61">
        <v>17</v>
      </c>
      <c r="DC59" s="61"/>
      <c r="DD59" s="61">
        <v>1123</v>
      </c>
      <c r="DE59" s="61"/>
      <c r="DF59" s="61">
        <v>1094</v>
      </c>
      <c r="DG59" s="61">
        <v>29</v>
      </c>
      <c r="DH59" s="62" t="s">
        <v>2185</v>
      </c>
      <c r="DI59" s="61">
        <v>32</v>
      </c>
      <c r="DJ59" s="61">
        <v>8</v>
      </c>
      <c r="DK59" s="61"/>
      <c r="DL59" s="61">
        <v>4</v>
      </c>
      <c r="DM59" s="61"/>
      <c r="DN59" s="61">
        <v>7</v>
      </c>
    </row>
    <row r="60" spans="1:118" x14ac:dyDescent="0.25">
      <c r="A60" s="61">
        <v>106171395</v>
      </c>
      <c r="B60" s="62" t="s">
        <v>336</v>
      </c>
      <c r="C60" s="62" t="s">
        <v>337</v>
      </c>
      <c r="D60" s="62" t="s">
        <v>332</v>
      </c>
      <c r="E60" s="62" t="s">
        <v>71</v>
      </c>
      <c r="F60" s="62" t="s">
        <v>2213</v>
      </c>
      <c r="G60" s="62" t="s">
        <v>338</v>
      </c>
      <c r="H60" s="62" t="s">
        <v>339</v>
      </c>
      <c r="I60" s="62" t="s">
        <v>340</v>
      </c>
      <c r="J60" s="62" t="s">
        <v>2190</v>
      </c>
      <c r="K60" s="62" t="s">
        <v>126</v>
      </c>
      <c r="L60" s="61">
        <v>3</v>
      </c>
      <c r="M60" s="61">
        <v>4</v>
      </c>
      <c r="N60" s="61">
        <v>2</v>
      </c>
      <c r="O60" s="62" t="s">
        <v>1824</v>
      </c>
      <c r="P60" s="62" t="s">
        <v>120</v>
      </c>
      <c r="Q60" s="62" t="s">
        <v>120</v>
      </c>
      <c r="R60" s="62" t="s">
        <v>2167</v>
      </c>
      <c r="S60" s="62" t="s">
        <v>69</v>
      </c>
      <c r="T60" s="61">
        <v>10270</v>
      </c>
      <c r="U60" s="61">
        <v>8347</v>
      </c>
      <c r="V60" s="61">
        <v>1</v>
      </c>
      <c r="W60" s="61">
        <v>1805</v>
      </c>
      <c r="X60" s="61">
        <v>1804</v>
      </c>
      <c r="Y60" s="61">
        <v>2712</v>
      </c>
      <c r="Z60" s="61">
        <v>2535</v>
      </c>
      <c r="AA60" s="61">
        <v>1971</v>
      </c>
      <c r="AB60" s="61">
        <v>2678</v>
      </c>
      <c r="AC60" s="61">
        <v>2246</v>
      </c>
      <c r="AD60" s="61">
        <v>1472</v>
      </c>
      <c r="AE60" s="61">
        <v>1085</v>
      </c>
      <c r="AF60" s="61">
        <v>310</v>
      </c>
      <c r="AG60" s="61"/>
      <c r="AH60" s="61">
        <v>145</v>
      </c>
      <c r="AI60" s="61">
        <v>319</v>
      </c>
      <c r="AJ60" s="61">
        <v>2866</v>
      </c>
      <c r="AK60" s="61">
        <v>904</v>
      </c>
      <c r="AL60" s="61">
        <v>129</v>
      </c>
      <c r="AM60" s="61">
        <v>150</v>
      </c>
      <c r="AN60" s="61">
        <v>14105</v>
      </c>
      <c r="AO60" s="61">
        <v>401</v>
      </c>
      <c r="AP60" s="61">
        <v>121</v>
      </c>
      <c r="AQ60" s="61">
        <v>37</v>
      </c>
      <c r="AR60" s="61">
        <v>6</v>
      </c>
      <c r="AS60" s="61">
        <v>5</v>
      </c>
      <c r="AT60" s="61">
        <v>2</v>
      </c>
      <c r="AU60" s="61"/>
      <c r="AV60" s="61">
        <v>88</v>
      </c>
      <c r="AW60" s="61">
        <v>73</v>
      </c>
      <c r="AX60" s="61">
        <v>1</v>
      </c>
      <c r="AY60" s="61">
        <v>17488</v>
      </c>
      <c r="AZ60" s="61">
        <v>62</v>
      </c>
      <c r="BA60" s="61">
        <v>6</v>
      </c>
      <c r="BB60" s="61">
        <v>28</v>
      </c>
      <c r="BC60" s="61">
        <v>227</v>
      </c>
      <c r="BD60" s="61">
        <v>9061</v>
      </c>
      <c r="BE60" s="61">
        <v>4912</v>
      </c>
      <c r="BF60" s="61">
        <v>812</v>
      </c>
      <c r="BG60" s="61">
        <v>2382</v>
      </c>
      <c r="BH60" s="61">
        <v>1380</v>
      </c>
      <c r="BI60" s="61">
        <v>71</v>
      </c>
      <c r="BJ60" s="61">
        <v>18618</v>
      </c>
      <c r="BK60" s="61">
        <v>51</v>
      </c>
      <c r="BL60" s="61">
        <v>17676</v>
      </c>
      <c r="BM60" s="61">
        <v>891</v>
      </c>
      <c r="BN60" s="61">
        <v>642</v>
      </c>
      <c r="BO60" s="61">
        <v>507</v>
      </c>
      <c r="BP60" s="61"/>
      <c r="BQ60" s="61">
        <v>12</v>
      </c>
      <c r="BR60" s="61">
        <v>36</v>
      </c>
      <c r="BS60" s="61">
        <v>68</v>
      </c>
      <c r="BT60" s="61">
        <v>64</v>
      </c>
      <c r="BU60" s="61">
        <v>215</v>
      </c>
      <c r="BV60" s="61">
        <v>257</v>
      </c>
      <c r="BW60" s="61">
        <v>229</v>
      </c>
      <c r="BX60" s="61">
        <v>264</v>
      </c>
      <c r="BY60" s="61">
        <v>1</v>
      </c>
      <c r="BZ60" s="61">
        <v>3</v>
      </c>
      <c r="CA60" s="61"/>
      <c r="CB60" s="61">
        <v>4</v>
      </c>
      <c r="CC60" s="61">
        <v>11</v>
      </c>
      <c r="CD60" s="61">
        <v>92</v>
      </c>
      <c r="CE60" s="61">
        <v>9</v>
      </c>
      <c r="CF60" s="61">
        <v>8</v>
      </c>
      <c r="CG60" s="61">
        <v>980</v>
      </c>
      <c r="CH60" s="61">
        <v>45</v>
      </c>
      <c r="CI60" s="61">
        <v>75</v>
      </c>
      <c r="CJ60" s="61">
        <v>17</v>
      </c>
      <c r="CK60" s="61">
        <v>31</v>
      </c>
      <c r="CL60" s="61">
        <v>150</v>
      </c>
      <c r="CM60" s="61">
        <v>2</v>
      </c>
      <c r="CN60" s="61"/>
      <c r="CO60" s="61">
        <v>1</v>
      </c>
      <c r="CP60" s="61">
        <v>611</v>
      </c>
      <c r="CQ60" s="61">
        <v>235</v>
      </c>
      <c r="CR60" s="61"/>
      <c r="CS60" s="61">
        <v>22</v>
      </c>
      <c r="CT60" s="61"/>
      <c r="CU60" s="61"/>
      <c r="CV60" s="61">
        <v>1</v>
      </c>
      <c r="CW60" s="61">
        <v>4</v>
      </c>
      <c r="CX60" s="61">
        <v>266</v>
      </c>
      <c r="CY60" s="61">
        <v>747</v>
      </c>
      <c r="CZ60" s="61">
        <v>18</v>
      </c>
      <c r="DA60" s="61">
        <v>108</v>
      </c>
      <c r="DB60" s="61">
        <v>10</v>
      </c>
      <c r="DC60" s="61"/>
      <c r="DD60" s="61">
        <v>1149</v>
      </c>
      <c r="DE60" s="61">
        <v>3</v>
      </c>
      <c r="DF60" s="61">
        <v>1116</v>
      </c>
      <c r="DG60" s="61">
        <v>30</v>
      </c>
      <c r="DH60" s="62" t="s">
        <v>2185</v>
      </c>
      <c r="DI60" s="61">
        <v>30</v>
      </c>
      <c r="DJ60" s="61">
        <v>12</v>
      </c>
      <c r="DK60" s="61">
        <v>55</v>
      </c>
      <c r="DL60" s="61">
        <v>18</v>
      </c>
      <c r="DM60" s="61"/>
      <c r="DN60" s="61"/>
    </row>
    <row r="61" spans="1:118" x14ac:dyDescent="0.25">
      <c r="A61" s="61">
        <v>106184008</v>
      </c>
      <c r="B61" s="62" t="s">
        <v>341</v>
      </c>
      <c r="C61" s="62" t="s">
        <v>342</v>
      </c>
      <c r="D61" s="62" t="s">
        <v>343</v>
      </c>
      <c r="E61" s="62" t="s">
        <v>71</v>
      </c>
      <c r="F61" s="62" t="s">
        <v>2213</v>
      </c>
      <c r="G61" s="62" t="s">
        <v>344</v>
      </c>
      <c r="H61" s="62" t="s">
        <v>345</v>
      </c>
      <c r="I61" s="62" t="s">
        <v>346</v>
      </c>
      <c r="J61" s="62" t="s">
        <v>2190</v>
      </c>
      <c r="K61" s="62"/>
      <c r="L61" s="61">
        <v>1</v>
      </c>
      <c r="M61" s="61">
        <v>1</v>
      </c>
      <c r="N61" s="61">
        <v>1</v>
      </c>
      <c r="O61" s="62" t="s">
        <v>1825</v>
      </c>
      <c r="P61" s="62" t="s">
        <v>120</v>
      </c>
      <c r="Q61" s="62" t="s">
        <v>120</v>
      </c>
      <c r="R61" s="62" t="s">
        <v>2167</v>
      </c>
      <c r="S61" s="62" t="s">
        <v>69</v>
      </c>
      <c r="T61" s="61">
        <v>5915</v>
      </c>
      <c r="U61" s="61">
        <v>5002</v>
      </c>
      <c r="V61" s="61"/>
      <c r="W61" s="61">
        <v>1169</v>
      </c>
      <c r="X61" s="61">
        <v>1028</v>
      </c>
      <c r="Y61" s="61">
        <v>2033</v>
      </c>
      <c r="Z61" s="61">
        <v>1426</v>
      </c>
      <c r="AA61" s="61">
        <v>1210</v>
      </c>
      <c r="AB61" s="61">
        <v>1463</v>
      </c>
      <c r="AC61" s="61">
        <v>1007</v>
      </c>
      <c r="AD61" s="61">
        <v>663</v>
      </c>
      <c r="AE61" s="61">
        <v>635</v>
      </c>
      <c r="AF61" s="61">
        <v>283</v>
      </c>
      <c r="AG61" s="61"/>
      <c r="AH61" s="61">
        <v>104</v>
      </c>
      <c r="AI61" s="61">
        <v>284</v>
      </c>
      <c r="AJ61" s="61">
        <v>856</v>
      </c>
      <c r="AK61" s="61">
        <v>350</v>
      </c>
      <c r="AL61" s="61">
        <v>87</v>
      </c>
      <c r="AM61" s="61">
        <v>1</v>
      </c>
      <c r="AN61" s="61">
        <v>9235</v>
      </c>
      <c r="AO61" s="61">
        <v>645</v>
      </c>
      <c r="AP61" s="61">
        <v>9</v>
      </c>
      <c r="AQ61" s="61">
        <v>7</v>
      </c>
      <c r="AR61" s="61"/>
      <c r="AS61" s="61">
        <v>1</v>
      </c>
      <c r="AT61" s="61">
        <v>4</v>
      </c>
      <c r="AU61" s="61"/>
      <c r="AV61" s="61"/>
      <c r="AW61" s="61">
        <v>53</v>
      </c>
      <c r="AX61" s="61">
        <v>5</v>
      </c>
      <c r="AY61" s="61">
        <v>10117</v>
      </c>
      <c r="AZ61" s="61">
        <v>13</v>
      </c>
      <c r="BA61" s="61"/>
      <c r="BB61" s="61"/>
      <c r="BC61" s="61"/>
      <c r="BD61" s="61">
        <v>4674</v>
      </c>
      <c r="BE61" s="61">
        <v>2428</v>
      </c>
      <c r="BF61" s="61">
        <v>892</v>
      </c>
      <c r="BG61" s="61">
        <v>2469</v>
      </c>
      <c r="BH61" s="61">
        <v>454</v>
      </c>
      <c r="BI61" s="61"/>
      <c r="BJ61" s="61">
        <v>10917</v>
      </c>
      <c r="BK61" s="61">
        <v>6</v>
      </c>
      <c r="BL61" s="61">
        <v>10861</v>
      </c>
      <c r="BM61" s="61">
        <v>50</v>
      </c>
      <c r="BN61" s="61">
        <v>413</v>
      </c>
      <c r="BO61" s="61">
        <v>377</v>
      </c>
      <c r="BP61" s="61"/>
      <c r="BQ61" s="61">
        <v>15</v>
      </c>
      <c r="BR61" s="61">
        <v>49</v>
      </c>
      <c r="BS61" s="61">
        <v>72</v>
      </c>
      <c r="BT61" s="61">
        <v>80</v>
      </c>
      <c r="BU61" s="61">
        <v>125</v>
      </c>
      <c r="BV61" s="61">
        <v>142</v>
      </c>
      <c r="BW61" s="61">
        <v>115</v>
      </c>
      <c r="BX61" s="61">
        <v>151</v>
      </c>
      <c r="BY61" s="61">
        <v>13</v>
      </c>
      <c r="BZ61" s="61">
        <v>28</v>
      </c>
      <c r="CA61" s="61"/>
      <c r="CB61" s="61">
        <v>4</v>
      </c>
      <c r="CC61" s="61">
        <v>11</v>
      </c>
      <c r="CD61" s="61">
        <v>51</v>
      </c>
      <c r="CE61" s="61">
        <v>5</v>
      </c>
      <c r="CF61" s="61">
        <v>1</v>
      </c>
      <c r="CG61" s="61">
        <v>694</v>
      </c>
      <c r="CH61" s="61">
        <v>24</v>
      </c>
      <c r="CI61" s="61">
        <v>1</v>
      </c>
      <c r="CJ61" s="61">
        <v>70</v>
      </c>
      <c r="CK61" s="61">
        <v>14</v>
      </c>
      <c r="CL61" s="61">
        <v>42</v>
      </c>
      <c r="CM61" s="61"/>
      <c r="CN61" s="61"/>
      <c r="CO61" s="61"/>
      <c r="CP61" s="61">
        <v>529</v>
      </c>
      <c r="CQ61" s="61">
        <v>8</v>
      </c>
      <c r="CR61" s="61">
        <v>28</v>
      </c>
      <c r="CS61" s="61">
        <v>1</v>
      </c>
      <c r="CT61" s="61"/>
      <c r="CU61" s="61">
        <v>96</v>
      </c>
      <c r="CV61" s="61"/>
      <c r="CW61" s="61">
        <v>1</v>
      </c>
      <c r="CX61" s="61">
        <v>207</v>
      </c>
      <c r="CY61" s="61">
        <v>398</v>
      </c>
      <c r="CZ61" s="61">
        <v>55</v>
      </c>
      <c r="DA61" s="61">
        <v>119</v>
      </c>
      <c r="DB61" s="61">
        <v>11</v>
      </c>
      <c r="DC61" s="61"/>
      <c r="DD61" s="61">
        <v>790</v>
      </c>
      <c r="DE61" s="61"/>
      <c r="DF61" s="61">
        <v>789</v>
      </c>
      <c r="DG61" s="61">
        <v>1</v>
      </c>
      <c r="DH61" s="62" t="s">
        <v>2185</v>
      </c>
      <c r="DI61" s="61">
        <v>38</v>
      </c>
      <c r="DJ61" s="61">
        <v>8</v>
      </c>
      <c r="DK61" s="61"/>
      <c r="DL61" s="61">
        <v>63</v>
      </c>
      <c r="DM61" s="61"/>
      <c r="DN61" s="61"/>
    </row>
    <row r="62" spans="1:118" x14ac:dyDescent="0.25">
      <c r="A62" s="61">
        <v>106190017</v>
      </c>
      <c r="B62" s="62" t="s">
        <v>347</v>
      </c>
      <c r="C62" s="62" t="s">
        <v>1755</v>
      </c>
      <c r="D62" s="62" t="s">
        <v>348</v>
      </c>
      <c r="E62" s="62" t="s">
        <v>349</v>
      </c>
      <c r="F62" s="62" t="s">
        <v>2213</v>
      </c>
      <c r="G62" s="62" t="s">
        <v>350</v>
      </c>
      <c r="H62" s="62" t="s">
        <v>351</v>
      </c>
      <c r="I62" s="62" t="s">
        <v>352</v>
      </c>
      <c r="J62" s="62" t="s">
        <v>2189</v>
      </c>
      <c r="K62" s="62"/>
      <c r="L62" s="61">
        <v>27</v>
      </c>
      <c r="M62" s="61">
        <v>49</v>
      </c>
      <c r="N62" s="61">
        <v>22</v>
      </c>
      <c r="O62" s="62" t="s">
        <v>1826</v>
      </c>
      <c r="P62" s="62" t="s">
        <v>68</v>
      </c>
      <c r="Q62" s="62" t="s">
        <v>2167</v>
      </c>
      <c r="R62" s="62" t="s">
        <v>2167</v>
      </c>
      <c r="S62" s="62" t="s">
        <v>69</v>
      </c>
      <c r="T62" s="61">
        <v>7600</v>
      </c>
      <c r="U62" s="61">
        <v>6039</v>
      </c>
      <c r="V62" s="61"/>
      <c r="W62" s="61">
        <v>1295</v>
      </c>
      <c r="X62" s="61">
        <v>1326</v>
      </c>
      <c r="Y62" s="61">
        <v>2415</v>
      </c>
      <c r="Z62" s="61">
        <v>1912</v>
      </c>
      <c r="AA62" s="61">
        <v>1852</v>
      </c>
      <c r="AB62" s="61">
        <v>1994</v>
      </c>
      <c r="AC62" s="61">
        <v>1208</v>
      </c>
      <c r="AD62" s="61">
        <v>688</v>
      </c>
      <c r="AE62" s="61">
        <v>767</v>
      </c>
      <c r="AF62" s="61">
        <v>182</v>
      </c>
      <c r="AG62" s="61"/>
      <c r="AH62" s="61">
        <v>2144</v>
      </c>
      <c r="AI62" s="61">
        <v>687</v>
      </c>
      <c r="AJ62" s="61">
        <v>8905</v>
      </c>
      <c r="AK62" s="61">
        <v>95</v>
      </c>
      <c r="AL62" s="61">
        <v>379</v>
      </c>
      <c r="AM62" s="61">
        <v>3</v>
      </c>
      <c r="AN62" s="61">
        <v>1426</v>
      </c>
      <c r="AO62" s="61">
        <v>319</v>
      </c>
      <c r="AP62" s="61">
        <v>408</v>
      </c>
      <c r="AQ62" s="61">
        <v>12</v>
      </c>
      <c r="AR62" s="61">
        <v>65</v>
      </c>
      <c r="AS62" s="61">
        <v>1</v>
      </c>
      <c r="AT62" s="61">
        <v>1</v>
      </c>
      <c r="AU62" s="61"/>
      <c r="AV62" s="61">
        <v>23</v>
      </c>
      <c r="AW62" s="61">
        <v>129</v>
      </c>
      <c r="AX62" s="61"/>
      <c r="AY62" s="61">
        <v>12474</v>
      </c>
      <c r="AZ62" s="61">
        <v>155</v>
      </c>
      <c r="BA62" s="61">
        <v>8</v>
      </c>
      <c r="BB62" s="61"/>
      <c r="BC62" s="61">
        <v>39</v>
      </c>
      <c r="BD62" s="61">
        <v>1858</v>
      </c>
      <c r="BE62" s="61">
        <v>2378</v>
      </c>
      <c r="BF62" s="61">
        <v>249</v>
      </c>
      <c r="BG62" s="61">
        <v>8385</v>
      </c>
      <c r="BH62" s="61">
        <v>769</v>
      </c>
      <c r="BI62" s="61"/>
      <c r="BJ62" s="61">
        <v>13639</v>
      </c>
      <c r="BK62" s="61">
        <v>1297</v>
      </c>
      <c r="BL62" s="61">
        <v>10740</v>
      </c>
      <c r="BM62" s="61">
        <v>1602</v>
      </c>
      <c r="BN62" s="61">
        <v>1694</v>
      </c>
      <c r="BO62" s="61">
        <v>1549</v>
      </c>
      <c r="BP62" s="61"/>
      <c r="BQ62" s="61">
        <v>41</v>
      </c>
      <c r="BR62" s="61">
        <v>110</v>
      </c>
      <c r="BS62" s="61">
        <v>143</v>
      </c>
      <c r="BT62" s="61">
        <v>284</v>
      </c>
      <c r="BU62" s="61">
        <v>464</v>
      </c>
      <c r="BV62" s="61">
        <v>538</v>
      </c>
      <c r="BW62" s="61">
        <v>542</v>
      </c>
      <c r="BX62" s="61">
        <v>1121</v>
      </c>
      <c r="BY62" s="61"/>
      <c r="BZ62" s="61"/>
      <c r="CA62" s="61"/>
      <c r="CB62" s="61">
        <v>1522</v>
      </c>
      <c r="CC62" s="61">
        <v>142</v>
      </c>
      <c r="CD62" s="61">
        <v>1168</v>
      </c>
      <c r="CE62" s="61">
        <v>55</v>
      </c>
      <c r="CF62" s="61">
        <v>4</v>
      </c>
      <c r="CG62" s="61">
        <v>340</v>
      </c>
      <c r="CH62" s="61">
        <v>12</v>
      </c>
      <c r="CI62" s="61">
        <v>206</v>
      </c>
      <c r="CJ62" s="61">
        <v>145</v>
      </c>
      <c r="CK62" s="61">
        <v>92</v>
      </c>
      <c r="CL62" s="61">
        <v>578</v>
      </c>
      <c r="CM62" s="61">
        <v>104</v>
      </c>
      <c r="CN62" s="61"/>
      <c r="CO62" s="61">
        <v>7</v>
      </c>
      <c r="CP62" s="61">
        <v>1317</v>
      </c>
      <c r="CQ62" s="61">
        <v>735</v>
      </c>
      <c r="CR62" s="61">
        <v>1</v>
      </c>
      <c r="CS62" s="61">
        <v>35</v>
      </c>
      <c r="CT62" s="61">
        <v>21</v>
      </c>
      <c r="CU62" s="61">
        <v>1</v>
      </c>
      <c r="CV62" s="61"/>
      <c r="CW62" s="61">
        <v>1</v>
      </c>
      <c r="CX62" s="61">
        <v>1032</v>
      </c>
      <c r="CY62" s="61">
        <v>1855</v>
      </c>
      <c r="CZ62" s="61">
        <v>12</v>
      </c>
      <c r="DA62" s="61">
        <v>314</v>
      </c>
      <c r="DB62" s="61">
        <v>30</v>
      </c>
      <c r="DC62" s="61"/>
      <c r="DD62" s="61">
        <v>3243</v>
      </c>
      <c r="DE62" s="61">
        <v>1259</v>
      </c>
      <c r="DF62" s="61">
        <v>1560</v>
      </c>
      <c r="DG62" s="61">
        <v>424</v>
      </c>
      <c r="DH62" s="62" t="s">
        <v>2185</v>
      </c>
      <c r="DI62" s="61">
        <v>144</v>
      </c>
      <c r="DJ62" s="61">
        <v>8</v>
      </c>
      <c r="DK62" s="61"/>
      <c r="DL62" s="61">
        <v>5</v>
      </c>
      <c r="DM62" s="61"/>
      <c r="DN62" s="61"/>
    </row>
    <row r="63" spans="1:118" x14ac:dyDescent="0.25">
      <c r="A63" s="61">
        <v>106190034</v>
      </c>
      <c r="B63" s="62" t="s">
        <v>353</v>
      </c>
      <c r="C63" s="62" t="s">
        <v>354</v>
      </c>
      <c r="D63" s="62" t="s">
        <v>348</v>
      </c>
      <c r="E63" s="62" t="s">
        <v>94</v>
      </c>
      <c r="F63" s="62" t="s">
        <v>2213</v>
      </c>
      <c r="G63" s="62" t="s">
        <v>355</v>
      </c>
      <c r="H63" s="62" t="s">
        <v>356</v>
      </c>
      <c r="I63" s="62" t="s">
        <v>357</v>
      </c>
      <c r="J63" s="62" t="s">
        <v>2186</v>
      </c>
      <c r="K63" s="62" t="s">
        <v>82</v>
      </c>
      <c r="L63" s="61">
        <v>23</v>
      </c>
      <c r="M63" s="61">
        <v>36</v>
      </c>
      <c r="N63" s="61">
        <v>21</v>
      </c>
      <c r="O63" s="62" t="s">
        <v>1827</v>
      </c>
      <c r="P63" s="62" t="s">
        <v>68</v>
      </c>
      <c r="Q63" s="62" t="s">
        <v>2167</v>
      </c>
      <c r="R63" s="62" t="s">
        <v>2167</v>
      </c>
      <c r="S63" s="62" t="s">
        <v>69</v>
      </c>
      <c r="T63" s="61">
        <v>63043</v>
      </c>
      <c r="U63" s="61">
        <v>45642</v>
      </c>
      <c r="V63" s="61"/>
      <c r="W63" s="61">
        <v>16065</v>
      </c>
      <c r="X63" s="61">
        <v>11972</v>
      </c>
      <c r="Y63" s="61">
        <v>20918</v>
      </c>
      <c r="Z63" s="61">
        <v>15779</v>
      </c>
      <c r="AA63" s="61">
        <v>12531</v>
      </c>
      <c r="AB63" s="61">
        <v>13287</v>
      </c>
      <c r="AC63" s="61">
        <v>7553</v>
      </c>
      <c r="AD63" s="61">
        <v>3844</v>
      </c>
      <c r="AE63" s="61">
        <v>2774</v>
      </c>
      <c r="AF63" s="61">
        <v>3962</v>
      </c>
      <c r="AG63" s="61"/>
      <c r="AH63" s="61">
        <v>1215</v>
      </c>
      <c r="AI63" s="61">
        <v>33656</v>
      </c>
      <c r="AJ63" s="61">
        <v>38276</v>
      </c>
      <c r="AK63" s="61">
        <v>128</v>
      </c>
      <c r="AL63" s="61">
        <v>1055</v>
      </c>
      <c r="AM63" s="61">
        <v>810</v>
      </c>
      <c r="AN63" s="61">
        <v>33545</v>
      </c>
      <c r="AO63" s="61">
        <v>357</v>
      </c>
      <c r="AP63" s="61">
        <v>6070</v>
      </c>
      <c r="AQ63" s="61">
        <v>151</v>
      </c>
      <c r="AR63" s="61">
        <v>44</v>
      </c>
      <c r="AS63" s="61">
        <v>23</v>
      </c>
      <c r="AT63" s="61">
        <v>1</v>
      </c>
      <c r="AU63" s="61"/>
      <c r="AV63" s="61">
        <v>1418</v>
      </c>
      <c r="AW63" s="61">
        <v>205</v>
      </c>
      <c r="AX63" s="61">
        <v>37</v>
      </c>
      <c r="AY63" s="61">
        <v>99746</v>
      </c>
      <c r="AZ63" s="61">
        <v>419</v>
      </c>
      <c r="BA63" s="61">
        <v>212</v>
      </c>
      <c r="BB63" s="61"/>
      <c r="BC63" s="61">
        <v>1</v>
      </c>
      <c r="BD63" s="61">
        <v>67371</v>
      </c>
      <c r="BE63" s="61">
        <v>14194</v>
      </c>
      <c r="BF63" s="61">
        <v>2684</v>
      </c>
      <c r="BG63" s="61">
        <v>12713</v>
      </c>
      <c r="BH63" s="61">
        <v>11722</v>
      </c>
      <c r="BI63" s="61">
        <v>1</v>
      </c>
      <c r="BJ63" s="61">
        <v>108685</v>
      </c>
      <c r="BK63" s="61">
        <v>331</v>
      </c>
      <c r="BL63" s="61">
        <v>99477</v>
      </c>
      <c r="BM63" s="61">
        <v>8877</v>
      </c>
      <c r="BN63" s="61">
        <v>5951</v>
      </c>
      <c r="BO63" s="61">
        <v>5785</v>
      </c>
      <c r="BP63" s="61"/>
      <c r="BQ63" s="61">
        <v>390</v>
      </c>
      <c r="BR63" s="61">
        <v>1050</v>
      </c>
      <c r="BS63" s="61">
        <v>985</v>
      </c>
      <c r="BT63" s="61">
        <v>1186</v>
      </c>
      <c r="BU63" s="61">
        <v>2115</v>
      </c>
      <c r="BV63" s="61">
        <v>2057</v>
      </c>
      <c r="BW63" s="61">
        <v>1727</v>
      </c>
      <c r="BX63" s="61">
        <v>1525</v>
      </c>
      <c r="BY63" s="61">
        <v>295</v>
      </c>
      <c r="BZ63" s="61">
        <v>406</v>
      </c>
      <c r="CA63" s="61"/>
      <c r="CB63" s="61">
        <v>244</v>
      </c>
      <c r="CC63" s="61">
        <v>2600</v>
      </c>
      <c r="CD63" s="61">
        <v>2882</v>
      </c>
      <c r="CE63" s="61">
        <v>158</v>
      </c>
      <c r="CF63" s="61">
        <v>15</v>
      </c>
      <c r="CG63" s="61">
        <v>5818</v>
      </c>
      <c r="CH63" s="61">
        <v>19</v>
      </c>
      <c r="CI63" s="61">
        <v>197</v>
      </c>
      <c r="CJ63" s="61">
        <v>296</v>
      </c>
      <c r="CK63" s="61">
        <v>563</v>
      </c>
      <c r="CL63" s="61">
        <v>1185</v>
      </c>
      <c r="CM63" s="61">
        <v>74</v>
      </c>
      <c r="CN63" s="61"/>
      <c r="CO63" s="61">
        <v>84</v>
      </c>
      <c r="CP63" s="61">
        <v>7812</v>
      </c>
      <c r="CQ63" s="61">
        <v>1225</v>
      </c>
      <c r="CR63" s="61">
        <v>44</v>
      </c>
      <c r="CS63" s="61">
        <v>220</v>
      </c>
      <c r="CT63" s="61">
        <v>8</v>
      </c>
      <c r="CU63" s="61">
        <v>20</v>
      </c>
      <c r="CV63" s="61"/>
      <c r="CW63" s="61">
        <v>8</v>
      </c>
      <c r="CX63" s="61">
        <v>4247</v>
      </c>
      <c r="CY63" s="61">
        <v>4971</v>
      </c>
      <c r="CZ63" s="61">
        <v>310</v>
      </c>
      <c r="DA63" s="61">
        <v>2031</v>
      </c>
      <c r="DB63" s="61">
        <v>177</v>
      </c>
      <c r="DC63" s="61"/>
      <c r="DD63" s="61">
        <v>11736</v>
      </c>
      <c r="DE63" s="61">
        <v>72</v>
      </c>
      <c r="DF63" s="61">
        <v>10776</v>
      </c>
      <c r="DG63" s="61">
        <v>888</v>
      </c>
      <c r="DH63" s="62" t="s">
        <v>2185</v>
      </c>
      <c r="DI63" s="61">
        <v>420</v>
      </c>
      <c r="DJ63" s="61">
        <v>28</v>
      </c>
      <c r="DK63" s="61">
        <v>1</v>
      </c>
      <c r="DL63" s="61"/>
      <c r="DM63" s="61"/>
      <c r="DN63" s="61"/>
    </row>
    <row r="64" spans="1:118" x14ac:dyDescent="0.25">
      <c r="A64" s="61">
        <v>106190045</v>
      </c>
      <c r="B64" s="62" t="s">
        <v>358</v>
      </c>
      <c r="C64" s="62" t="s">
        <v>359</v>
      </c>
      <c r="D64" s="62" t="s">
        <v>348</v>
      </c>
      <c r="E64" s="62" t="s">
        <v>71</v>
      </c>
      <c r="F64" s="62" t="s">
        <v>2213</v>
      </c>
      <c r="G64" s="62" t="s">
        <v>360</v>
      </c>
      <c r="H64" s="62" t="s">
        <v>361</v>
      </c>
      <c r="I64" s="62" t="s">
        <v>362</v>
      </c>
      <c r="J64" s="62" t="s">
        <v>2190</v>
      </c>
      <c r="K64" s="62"/>
      <c r="L64" s="61">
        <v>47</v>
      </c>
      <c r="M64" s="61">
        <v>70</v>
      </c>
      <c r="N64" s="61">
        <v>26</v>
      </c>
      <c r="O64" s="62" t="s">
        <v>1828</v>
      </c>
      <c r="P64" s="62" t="s">
        <v>241</v>
      </c>
      <c r="Q64" s="62" t="s">
        <v>120</v>
      </c>
      <c r="R64" s="62" t="s">
        <v>2167</v>
      </c>
      <c r="S64" s="62" t="s">
        <v>127</v>
      </c>
      <c r="T64" s="61">
        <v>971</v>
      </c>
      <c r="U64" s="61">
        <v>974</v>
      </c>
      <c r="V64" s="61"/>
      <c r="W64" s="61">
        <v>231</v>
      </c>
      <c r="X64" s="61">
        <v>213</v>
      </c>
      <c r="Y64" s="61">
        <v>320</v>
      </c>
      <c r="Z64" s="61">
        <v>213</v>
      </c>
      <c r="AA64" s="61">
        <v>237</v>
      </c>
      <c r="AB64" s="61">
        <v>227</v>
      </c>
      <c r="AC64" s="61">
        <v>217</v>
      </c>
      <c r="AD64" s="61">
        <v>158</v>
      </c>
      <c r="AE64" s="61">
        <v>103</v>
      </c>
      <c r="AF64" s="61">
        <v>26</v>
      </c>
      <c r="AG64" s="61"/>
      <c r="AH64" s="61">
        <v>13</v>
      </c>
      <c r="AI64" s="61">
        <v>9</v>
      </c>
      <c r="AJ64" s="61">
        <v>542</v>
      </c>
      <c r="AK64" s="61"/>
      <c r="AL64" s="61">
        <v>24</v>
      </c>
      <c r="AM64" s="61"/>
      <c r="AN64" s="61">
        <v>1357</v>
      </c>
      <c r="AO64" s="61">
        <v>129</v>
      </c>
      <c r="AP64" s="61">
        <v>11</v>
      </c>
      <c r="AQ64" s="61">
        <v>2</v>
      </c>
      <c r="AR64" s="61"/>
      <c r="AS64" s="61"/>
      <c r="AT64" s="61"/>
      <c r="AU64" s="61"/>
      <c r="AV64" s="61"/>
      <c r="AW64" s="61"/>
      <c r="AX64" s="61"/>
      <c r="AY64" s="61">
        <v>1772</v>
      </c>
      <c r="AZ64" s="61">
        <v>3</v>
      </c>
      <c r="BA64" s="61"/>
      <c r="BB64" s="61"/>
      <c r="BC64" s="61">
        <v>28</v>
      </c>
      <c r="BD64" s="61">
        <v>364</v>
      </c>
      <c r="BE64" s="61">
        <v>303</v>
      </c>
      <c r="BF64" s="61">
        <v>56</v>
      </c>
      <c r="BG64" s="61">
        <v>875</v>
      </c>
      <c r="BH64" s="61">
        <v>347</v>
      </c>
      <c r="BI64" s="61"/>
      <c r="BJ64" s="61">
        <v>1945</v>
      </c>
      <c r="BK64" s="61">
        <v>2</v>
      </c>
      <c r="BL64" s="61">
        <v>1835</v>
      </c>
      <c r="BM64" s="61">
        <v>108</v>
      </c>
      <c r="BN64" s="61">
        <v>7</v>
      </c>
      <c r="BO64" s="61">
        <v>3</v>
      </c>
      <c r="BP64" s="61"/>
      <c r="BQ64" s="61"/>
      <c r="BR64" s="61"/>
      <c r="BS64" s="61"/>
      <c r="BT64" s="61"/>
      <c r="BU64" s="61">
        <v>2</v>
      </c>
      <c r="BV64" s="61">
        <v>1</v>
      </c>
      <c r="BW64" s="61">
        <v>2</v>
      </c>
      <c r="BX64" s="61">
        <v>5</v>
      </c>
      <c r="BY64" s="61"/>
      <c r="BZ64" s="61"/>
      <c r="CA64" s="61"/>
      <c r="CB64" s="61"/>
      <c r="CC64" s="61"/>
      <c r="CD64" s="61">
        <v>1</v>
      </c>
      <c r="CE64" s="61"/>
      <c r="CF64" s="61"/>
      <c r="CG64" s="61">
        <v>9</v>
      </c>
      <c r="CH64" s="61"/>
      <c r="CI64" s="61">
        <v>3</v>
      </c>
      <c r="CJ64" s="61">
        <v>1</v>
      </c>
      <c r="CK64" s="61">
        <v>1</v>
      </c>
      <c r="CL64" s="61"/>
      <c r="CM64" s="61"/>
      <c r="CN64" s="61"/>
      <c r="CO64" s="61"/>
      <c r="CP64" s="61">
        <v>4</v>
      </c>
      <c r="CQ64" s="61">
        <v>1</v>
      </c>
      <c r="CR64" s="61"/>
      <c r="CS64" s="61"/>
      <c r="CT64" s="61"/>
      <c r="CU64" s="61"/>
      <c r="CV64" s="61"/>
      <c r="CW64" s="61"/>
      <c r="CX64" s="61"/>
      <c r="CY64" s="61">
        <v>8</v>
      </c>
      <c r="CZ64" s="61"/>
      <c r="DA64" s="61">
        <v>2</v>
      </c>
      <c r="DB64" s="61"/>
      <c r="DC64" s="61"/>
      <c r="DD64" s="61">
        <v>10</v>
      </c>
      <c r="DE64" s="61"/>
      <c r="DF64" s="61">
        <v>9</v>
      </c>
      <c r="DG64" s="61">
        <v>1</v>
      </c>
      <c r="DH64" s="62" t="s">
        <v>2185</v>
      </c>
      <c r="DI64" s="61">
        <v>12</v>
      </c>
      <c r="DJ64" s="61">
        <v>2</v>
      </c>
      <c r="DK64" s="61"/>
      <c r="DL64" s="61"/>
      <c r="DM64" s="61"/>
      <c r="DN64" s="61"/>
    </row>
    <row r="65" spans="1:118" x14ac:dyDescent="0.25">
      <c r="A65" s="61">
        <v>106190053</v>
      </c>
      <c r="B65" s="62" t="s">
        <v>363</v>
      </c>
      <c r="C65" s="62" t="s">
        <v>364</v>
      </c>
      <c r="D65" s="62" t="s">
        <v>348</v>
      </c>
      <c r="E65" s="62" t="s">
        <v>71</v>
      </c>
      <c r="F65" s="62" t="s">
        <v>2213</v>
      </c>
      <c r="G65" s="62" t="s">
        <v>365</v>
      </c>
      <c r="H65" s="62" t="s">
        <v>366</v>
      </c>
      <c r="I65" s="62" t="s">
        <v>367</v>
      </c>
      <c r="J65" s="62" t="s">
        <v>2186</v>
      </c>
      <c r="K65" s="62" t="s">
        <v>82</v>
      </c>
      <c r="L65" s="61">
        <v>47</v>
      </c>
      <c r="M65" s="61">
        <v>70</v>
      </c>
      <c r="N65" s="61">
        <v>33</v>
      </c>
      <c r="O65" s="62" t="s">
        <v>1829</v>
      </c>
      <c r="P65" s="62" t="s">
        <v>68</v>
      </c>
      <c r="Q65" s="62" t="s">
        <v>2167</v>
      </c>
      <c r="R65" s="62" t="s">
        <v>2167</v>
      </c>
      <c r="S65" s="62" t="s">
        <v>69</v>
      </c>
      <c r="T65" s="61">
        <v>25435</v>
      </c>
      <c r="U65" s="61">
        <v>22928</v>
      </c>
      <c r="V65" s="61"/>
      <c r="W65" s="61">
        <v>6065</v>
      </c>
      <c r="X65" s="61">
        <v>4372</v>
      </c>
      <c r="Y65" s="61">
        <v>9396</v>
      </c>
      <c r="Z65" s="61">
        <v>7587</v>
      </c>
      <c r="AA65" s="61">
        <v>6926</v>
      </c>
      <c r="AB65" s="61">
        <v>6583</v>
      </c>
      <c r="AC65" s="61">
        <v>3616</v>
      </c>
      <c r="AD65" s="61">
        <v>1487</v>
      </c>
      <c r="AE65" s="61">
        <v>935</v>
      </c>
      <c r="AF65" s="61">
        <v>1396</v>
      </c>
      <c r="AG65" s="61"/>
      <c r="AH65" s="61">
        <v>1652</v>
      </c>
      <c r="AI65" s="61">
        <v>12467</v>
      </c>
      <c r="AJ65" s="61">
        <v>21729</v>
      </c>
      <c r="AK65" s="61">
        <v>157</v>
      </c>
      <c r="AL65" s="61">
        <v>814</v>
      </c>
      <c r="AM65" s="61">
        <v>500</v>
      </c>
      <c r="AN65" s="61">
        <v>11044</v>
      </c>
      <c r="AO65" s="61">
        <v>527</v>
      </c>
      <c r="AP65" s="61">
        <v>1846</v>
      </c>
      <c r="AQ65" s="61">
        <v>44</v>
      </c>
      <c r="AR65" s="61"/>
      <c r="AS65" s="61">
        <v>9</v>
      </c>
      <c r="AT65" s="61"/>
      <c r="AU65" s="61"/>
      <c r="AV65" s="61">
        <v>284</v>
      </c>
      <c r="AW65" s="61"/>
      <c r="AX65" s="61">
        <v>1</v>
      </c>
      <c r="AY65" s="61">
        <v>45557</v>
      </c>
      <c r="AZ65" s="61">
        <v>54</v>
      </c>
      <c r="BA65" s="61"/>
      <c r="BB65" s="61"/>
      <c r="BC65" s="61"/>
      <c r="BD65" s="61">
        <v>32673</v>
      </c>
      <c r="BE65" s="61">
        <v>6202</v>
      </c>
      <c r="BF65" s="61">
        <v>583</v>
      </c>
      <c r="BG65" s="61">
        <v>3672</v>
      </c>
      <c r="BH65" s="61">
        <v>5233</v>
      </c>
      <c r="BI65" s="61"/>
      <c r="BJ65" s="61">
        <v>48363</v>
      </c>
      <c r="BK65" s="61">
        <v>88</v>
      </c>
      <c r="BL65" s="61">
        <v>40733</v>
      </c>
      <c r="BM65" s="61">
        <v>7542</v>
      </c>
      <c r="BN65" s="61">
        <v>3234</v>
      </c>
      <c r="BO65" s="61">
        <v>3619</v>
      </c>
      <c r="BP65" s="61">
        <v>1</v>
      </c>
      <c r="BQ65" s="61">
        <v>129</v>
      </c>
      <c r="BR65" s="61">
        <v>572</v>
      </c>
      <c r="BS65" s="61">
        <v>697</v>
      </c>
      <c r="BT65" s="61">
        <v>874</v>
      </c>
      <c r="BU65" s="61">
        <v>1443</v>
      </c>
      <c r="BV65" s="61">
        <v>1256</v>
      </c>
      <c r="BW65" s="61">
        <v>844</v>
      </c>
      <c r="BX65" s="61">
        <v>761</v>
      </c>
      <c r="BY65" s="61">
        <v>156</v>
      </c>
      <c r="BZ65" s="61">
        <v>122</v>
      </c>
      <c r="CA65" s="61"/>
      <c r="CB65" s="61">
        <v>580</v>
      </c>
      <c r="CC65" s="61">
        <v>1562</v>
      </c>
      <c r="CD65" s="61">
        <v>2339</v>
      </c>
      <c r="CE65" s="61">
        <v>126</v>
      </c>
      <c r="CF65" s="61">
        <v>47</v>
      </c>
      <c r="CG65" s="61">
        <v>2181</v>
      </c>
      <c r="CH65" s="61">
        <v>19</v>
      </c>
      <c r="CI65" s="61">
        <v>209</v>
      </c>
      <c r="CJ65" s="61">
        <v>381</v>
      </c>
      <c r="CK65" s="61">
        <v>193</v>
      </c>
      <c r="CL65" s="61">
        <v>397</v>
      </c>
      <c r="CM65" s="61">
        <v>232</v>
      </c>
      <c r="CN65" s="61"/>
      <c r="CO65" s="61">
        <v>14</v>
      </c>
      <c r="CP65" s="61">
        <v>4568</v>
      </c>
      <c r="CQ65" s="61">
        <v>705</v>
      </c>
      <c r="CR65" s="61">
        <v>63</v>
      </c>
      <c r="CS65" s="61">
        <v>58</v>
      </c>
      <c r="CT65" s="61">
        <v>28</v>
      </c>
      <c r="CU65" s="61"/>
      <c r="CV65" s="61"/>
      <c r="CW65" s="61">
        <v>6</v>
      </c>
      <c r="CX65" s="61">
        <v>3382</v>
      </c>
      <c r="CY65" s="61">
        <v>2570</v>
      </c>
      <c r="CZ65" s="61">
        <v>88</v>
      </c>
      <c r="DA65" s="61">
        <v>679</v>
      </c>
      <c r="DB65" s="61">
        <v>135</v>
      </c>
      <c r="DC65" s="61"/>
      <c r="DD65" s="61">
        <v>6854</v>
      </c>
      <c r="DE65" s="61">
        <v>39</v>
      </c>
      <c r="DF65" s="61">
        <v>5871</v>
      </c>
      <c r="DG65" s="61">
        <v>944</v>
      </c>
      <c r="DH65" s="62" t="s">
        <v>2185</v>
      </c>
      <c r="DI65" s="61">
        <v>389</v>
      </c>
      <c r="DJ65" s="61">
        <v>26</v>
      </c>
      <c r="DK65" s="61"/>
      <c r="DL65" s="61">
        <v>41</v>
      </c>
      <c r="DM65" s="61"/>
      <c r="DN65" s="61"/>
    </row>
    <row r="66" spans="1:118" x14ac:dyDescent="0.25">
      <c r="A66" s="61">
        <v>106190066</v>
      </c>
      <c r="B66" s="62" t="s">
        <v>2195</v>
      </c>
      <c r="C66" s="62" t="s">
        <v>2196</v>
      </c>
      <c r="D66" s="62" t="s">
        <v>348</v>
      </c>
      <c r="E66" s="62" t="s">
        <v>184</v>
      </c>
      <c r="F66" s="62"/>
      <c r="G66" s="62" t="s">
        <v>2197</v>
      </c>
      <c r="H66" s="62" t="s">
        <v>2198</v>
      </c>
      <c r="I66" s="62" t="s">
        <v>2199</v>
      </c>
      <c r="J66" s="62" t="s">
        <v>2189</v>
      </c>
      <c r="K66" s="62"/>
      <c r="L66" s="61">
        <v>38</v>
      </c>
      <c r="M66" s="61">
        <v>58</v>
      </c>
      <c r="N66" s="61">
        <v>32</v>
      </c>
      <c r="O66" s="62" t="s">
        <v>2200</v>
      </c>
      <c r="P66" s="62" t="s">
        <v>68</v>
      </c>
      <c r="Q66" s="62" t="s">
        <v>2167</v>
      </c>
      <c r="R66" s="62" t="s">
        <v>2167</v>
      </c>
      <c r="S66" s="62" t="s">
        <v>69</v>
      </c>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v>2</v>
      </c>
      <c r="BO66" s="61">
        <v>9</v>
      </c>
      <c r="BP66" s="61"/>
      <c r="BQ66" s="61"/>
      <c r="BR66" s="61"/>
      <c r="BS66" s="61">
        <v>2</v>
      </c>
      <c r="BT66" s="61">
        <v>3</v>
      </c>
      <c r="BU66" s="61">
        <v>3</v>
      </c>
      <c r="BV66" s="61">
        <v>2</v>
      </c>
      <c r="BW66" s="61"/>
      <c r="BX66" s="61">
        <v>1</v>
      </c>
      <c r="BY66" s="61"/>
      <c r="BZ66" s="61"/>
      <c r="CA66" s="61"/>
      <c r="CB66" s="61">
        <v>2</v>
      </c>
      <c r="CC66" s="61">
        <v>5</v>
      </c>
      <c r="CD66" s="61">
        <v>1</v>
      </c>
      <c r="CE66" s="61"/>
      <c r="CF66" s="61"/>
      <c r="CG66" s="61">
        <v>3</v>
      </c>
      <c r="CH66" s="61"/>
      <c r="CI66" s="61"/>
      <c r="CJ66" s="61"/>
      <c r="CK66" s="61"/>
      <c r="CL66" s="61"/>
      <c r="CM66" s="61"/>
      <c r="CN66" s="61"/>
      <c r="CO66" s="61">
        <v>3</v>
      </c>
      <c r="CP66" s="61">
        <v>5</v>
      </c>
      <c r="CQ66" s="61">
        <v>2</v>
      </c>
      <c r="CR66" s="61"/>
      <c r="CS66" s="61"/>
      <c r="CT66" s="61">
        <v>1</v>
      </c>
      <c r="CU66" s="61"/>
      <c r="CV66" s="61"/>
      <c r="CW66" s="61"/>
      <c r="CX66" s="61">
        <v>4</v>
      </c>
      <c r="CY66" s="61">
        <v>7</v>
      </c>
      <c r="CZ66" s="61"/>
      <c r="DA66" s="61"/>
      <c r="DB66" s="61"/>
      <c r="DC66" s="61"/>
      <c r="DD66" s="61">
        <v>11</v>
      </c>
      <c r="DE66" s="61"/>
      <c r="DF66" s="61">
        <v>11</v>
      </c>
      <c r="DG66" s="61"/>
      <c r="DH66" s="62" t="s">
        <v>2185</v>
      </c>
      <c r="DI66" s="61">
        <v>144</v>
      </c>
      <c r="DJ66" s="61">
        <v>0</v>
      </c>
      <c r="DK66" s="61"/>
      <c r="DL66" s="61"/>
      <c r="DM66" s="61"/>
      <c r="DN66" s="61"/>
    </row>
    <row r="67" spans="1:118" x14ac:dyDescent="0.25">
      <c r="A67" s="61">
        <v>106190081</v>
      </c>
      <c r="B67" s="62" t="s">
        <v>368</v>
      </c>
      <c r="C67" s="62" t="s">
        <v>369</v>
      </c>
      <c r="D67" s="62" t="s">
        <v>348</v>
      </c>
      <c r="E67" s="62" t="s">
        <v>71</v>
      </c>
      <c r="F67" s="62" t="s">
        <v>2213</v>
      </c>
      <c r="G67" s="62" t="s">
        <v>370</v>
      </c>
      <c r="H67" s="62" t="s">
        <v>371</v>
      </c>
      <c r="I67" s="62" t="s">
        <v>372</v>
      </c>
      <c r="J67" s="62" t="s">
        <v>2184</v>
      </c>
      <c r="K67" s="62"/>
      <c r="L67" s="61">
        <v>38</v>
      </c>
      <c r="M67" s="61">
        <v>58</v>
      </c>
      <c r="N67" s="61">
        <v>32</v>
      </c>
      <c r="O67" s="62" t="s">
        <v>1830</v>
      </c>
      <c r="P67" s="62" t="s">
        <v>68</v>
      </c>
      <c r="Q67" s="62" t="s">
        <v>2167</v>
      </c>
      <c r="R67" s="62" t="s">
        <v>2167</v>
      </c>
      <c r="S67" s="62" t="s">
        <v>69</v>
      </c>
      <c r="T67" s="61">
        <v>15416</v>
      </c>
      <c r="U67" s="61">
        <v>12877</v>
      </c>
      <c r="V67" s="61"/>
      <c r="W67" s="61">
        <v>4325</v>
      </c>
      <c r="X67" s="61">
        <v>3437</v>
      </c>
      <c r="Y67" s="61">
        <v>5004</v>
      </c>
      <c r="Z67" s="61">
        <v>3902</v>
      </c>
      <c r="AA67" s="61">
        <v>3164</v>
      </c>
      <c r="AB67" s="61">
        <v>2994</v>
      </c>
      <c r="AC67" s="61">
        <v>2019</v>
      </c>
      <c r="AD67" s="61">
        <v>1374</v>
      </c>
      <c r="AE67" s="61">
        <v>1317</v>
      </c>
      <c r="AF67" s="61">
        <v>757</v>
      </c>
      <c r="AG67" s="61"/>
      <c r="AH67" s="61">
        <v>424</v>
      </c>
      <c r="AI67" s="61">
        <v>394</v>
      </c>
      <c r="AJ67" s="61">
        <v>25126</v>
      </c>
      <c r="AK67" s="61">
        <v>2</v>
      </c>
      <c r="AL67" s="61">
        <v>290</v>
      </c>
      <c r="AM67" s="61">
        <v>52</v>
      </c>
      <c r="AN67" s="61">
        <v>2005</v>
      </c>
      <c r="AO67" s="61">
        <v>280</v>
      </c>
      <c r="AP67" s="61">
        <v>1981</v>
      </c>
      <c r="AQ67" s="61">
        <v>64</v>
      </c>
      <c r="AR67" s="61">
        <v>2</v>
      </c>
      <c r="AS67" s="61">
        <v>7</v>
      </c>
      <c r="AT67" s="61">
        <v>8</v>
      </c>
      <c r="AU67" s="61"/>
      <c r="AV67" s="61">
        <v>19</v>
      </c>
      <c r="AW67" s="61">
        <v>252</v>
      </c>
      <c r="AX67" s="61">
        <v>10</v>
      </c>
      <c r="AY67" s="61">
        <v>24971</v>
      </c>
      <c r="AZ67" s="61">
        <v>104</v>
      </c>
      <c r="BA67" s="61">
        <v>375</v>
      </c>
      <c r="BB67" s="61"/>
      <c r="BC67" s="61">
        <v>220</v>
      </c>
      <c r="BD67" s="61">
        <v>15765</v>
      </c>
      <c r="BE67" s="61">
        <v>6959</v>
      </c>
      <c r="BF67" s="61">
        <v>347</v>
      </c>
      <c r="BG67" s="61">
        <v>1455</v>
      </c>
      <c r="BH67" s="61">
        <v>3767</v>
      </c>
      <c r="BI67" s="61"/>
      <c r="BJ67" s="61">
        <v>28293</v>
      </c>
      <c r="BK67" s="61">
        <v>253</v>
      </c>
      <c r="BL67" s="61">
        <v>22806</v>
      </c>
      <c r="BM67" s="61">
        <v>5234</v>
      </c>
      <c r="BN67" s="61">
        <v>3524</v>
      </c>
      <c r="BO67" s="61">
        <v>3126</v>
      </c>
      <c r="BP67" s="61"/>
      <c r="BQ67" s="61">
        <v>107</v>
      </c>
      <c r="BR67" s="61">
        <v>361</v>
      </c>
      <c r="BS67" s="61">
        <v>455</v>
      </c>
      <c r="BT67" s="61">
        <v>628</v>
      </c>
      <c r="BU67" s="61">
        <v>1123</v>
      </c>
      <c r="BV67" s="61">
        <v>1182</v>
      </c>
      <c r="BW67" s="61">
        <v>1006</v>
      </c>
      <c r="BX67" s="61">
        <v>1460</v>
      </c>
      <c r="BY67" s="61">
        <v>119</v>
      </c>
      <c r="BZ67" s="61">
        <v>209</v>
      </c>
      <c r="CA67" s="61"/>
      <c r="CB67" s="61">
        <v>199</v>
      </c>
      <c r="CC67" s="61">
        <v>112</v>
      </c>
      <c r="CD67" s="61">
        <v>5520</v>
      </c>
      <c r="CE67" s="61">
        <v>96</v>
      </c>
      <c r="CF67" s="61">
        <v>12</v>
      </c>
      <c r="CG67" s="61">
        <v>710</v>
      </c>
      <c r="CH67" s="61">
        <v>1</v>
      </c>
      <c r="CI67" s="61">
        <v>313</v>
      </c>
      <c r="CJ67" s="61">
        <v>240</v>
      </c>
      <c r="CK67" s="61">
        <v>175</v>
      </c>
      <c r="CL67" s="61">
        <v>434</v>
      </c>
      <c r="CM67" s="61">
        <v>11</v>
      </c>
      <c r="CN67" s="61"/>
      <c r="CO67" s="61">
        <v>11</v>
      </c>
      <c r="CP67" s="61">
        <v>4308</v>
      </c>
      <c r="CQ67" s="61">
        <v>1047</v>
      </c>
      <c r="CR67" s="61">
        <v>2</v>
      </c>
      <c r="CS67" s="61">
        <v>77</v>
      </c>
      <c r="CT67" s="61">
        <v>13</v>
      </c>
      <c r="CU67" s="61">
        <v>4</v>
      </c>
      <c r="CV67" s="61"/>
      <c r="CW67" s="61">
        <v>15</v>
      </c>
      <c r="CX67" s="61">
        <v>2754</v>
      </c>
      <c r="CY67" s="61">
        <v>3137</v>
      </c>
      <c r="CZ67" s="61">
        <v>20</v>
      </c>
      <c r="DA67" s="61">
        <v>674</v>
      </c>
      <c r="DB67" s="61">
        <v>65</v>
      </c>
      <c r="DC67" s="61"/>
      <c r="DD67" s="61">
        <v>6650</v>
      </c>
      <c r="DE67" s="61">
        <v>282</v>
      </c>
      <c r="DF67" s="61">
        <v>3806</v>
      </c>
      <c r="DG67" s="61">
        <v>2562</v>
      </c>
      <c r="DH67" s="62" t="s">
        <v>2185</v>
      </c>
      <c r="DI67" s="61">
        <v>224</v>
      </c>
      <c r="DJ67" s="61">
        <v>16</v>
      </c>
      <c r="DK67" s="61"/>
      <c r="DL67" s="61"/>
      <c r="DM67" s="61"/>
      <c r="DN67" s="61"/>
    </row>
    <row r="68" spans="1:118" x14ac:dyDescent="0.25">
      <c r="A68" s="61">
        <v>106190110</v>
      </c>
      <c r="B68" s="62" t="s">
        <v>373</v>
      </c>
      <c r="C68" s="62" t="s">
        <v>374</v>
      </c>
      <c r="D68" s="62" t="s">
        <v>348</v>
      </c>
      <c r="E68" s="62" t="s">
        <v>321</v>
      </c>
      <c r="F68" s="62" t="s">
        <v>2213</v>
      </c>
      <c r="G68" s="62" t="s">
        <v>375</v>
      </c>
      <c r="H68" s="62" t="s">
        <v>376</v>
      </c>
      <c r="I68" s="62" t="s">
        <v>377</v>
      </c>
      <c r="J68" s="62" t="s">
        <v>2186</v>
      </c>
      <c r="K68" s="62"/>
      <c r="L68" s="61">
        <v>37</v>
      </c>
      <c r="M68" s="61">
        <v>54</v>
      </c>
      <c r="N68" s="61">
        <v>30</v>
      </c>
      <c r="O68" s="62" t="s">
        <v>1831</v>
      </c>
      <c r="P68" s="62" t="s">
        <v>68</v>
      </c>
      <c r="Q68" s="62" t="s">
        <v>2167</v>
      </c>
      <c r="R68" s="62" t="s">
        <v>2167</v>
      </c>
      <c r="S68" s="62" t="s">
        <v>69</v>
      </c>
      <c r="T68" s="61">
        <v>8406</v>
      </c>
      <c r="U68" s="61">
        <v>8513</v>
      </c>
      <c r="V68" s="61"/>
      <c r="W68" s="61">
        <v>955</v>
      </c>
      <c r="X68" s="61">
        <v>1258</v>
      </c>
      <c r="Y68" s="61">
        <v>3160</v>
      </c>
      <c r="Z68" s="61">
        <v>2694</v>
      </c>
      <c r="AA68" s="61">
        <v>2703</v>
      </c>
      <c r="AB68" s="61">
        <v>3009</v>
      </c>
      <c r="AC68" s="61">
        <v>1710</v>
      </c>
      <c r="AD68" s="61">
        <v>664</v>
      </c>
      <c r="AE68" s="61">
        <v>618</v>
      </c>
      <c r="AF68" s="61">
        <v>148</v>
      </c>
      <c r="AG68" s="61"/>
      <c r="AH68" s="61">
        <v>602</v>
      </c>
      <c r="AI68" s="61">
        <v>6549</v>
      </c>
      <c r="AJ68" s="61">
        <v>4219</v>
      </c>
      <c r="AK68" s="61">
        <v>57</v>
      </c>
      <c r="AL68" s="61">
        <v>27</v>
      </c>
      <c r="AM68" s="61">
        <v>14</v>
      </c>
      <c r="AN68" s="61">
        <v>5451</v>
      </c>
      <c r="AO68" s="61">
        <v>257</v>
      </c>
      <c r="AP68" s="61">
        <v>846</v>
      </c>
      <c r="AQ68" s="61">
        <v>26</v>
      </c>
      <c r="AR68" s="61"/>
      <c r="AS68" s="61">
        <v>1</v>
      </c>
      <c r="AT68" s="61">
        <v>4</v>
      </c>
      <c r="AU68" s="61"/>
      <c r="AV68" s="61">
        <v>121</v>
      </c>
      <c r="AW68" s="61">
        <v>327</v>
      </c>
      <c r="AX68" s="61">
        <v>21</v>
      </c>
      <c r="AY68" s="61">
        <v>11171</v>
      </c>
      <c r="AZ68" s="61">
        <v>51</v>
      </c>
      <c r="BA68" s="61"/>
      <c r="BB68" s="61"/>
      <c r="BC68" s="61">
        <v>51</v>
      </c>
      <c r="BD68" s="61">
        <v>2022</v>
      </c>
      <c r="BE68" s="61">
        <v>3158</v>
      </c>
      <c r="BF68" s="61">
        <v>227</v>
      </c>
      <c r="BG68" s="61">
        <v>9096</v>
      </c>
      <c r="BH68" s="61">
        <v>2286</v>
      </c>
      <c r="BI68" s="61">
        <v>130</v>
      </c>
      <c r="BJ68" s="61">
        <v>16919</v>
      </c>
      <c r="BK68" s="61">
        <v>44</v>
      </c>
      <c r="BL68" s="61">
        <v>16228</v>
      </c>
      <c r="BM68" s="61">
        <v>647</v>
      </c>
      <c r="BN68" s="61">
        <v>2641</v>
      </c>
      <c r="BO68" s="61">
        <v>3006</v>
      </c>
      <c r="BP68" s="61">
        <v>1</v>
      </c>
      <c r="BQ68" s="61">
        <v>24</v>
      </c>
      <c r="BR68" s="61">
        <v>378</v>
      </c>
      <c r="BS68" s="61">
        <v>498</v>
      </c>
      <c r="BT68" s="61">
        <v>700</v>
      </c>
      <c r="BU68" s="61">
        <v>1323</v>
      </c>
      <c r="BV68" s="61">
        <v>1170</v>
      </c>
      <c r="BW68" s="61">
        <v>740</v>
      </c>
      <c r="BX68" s="61">
        <v>815</v>
      </c>
      <c r="BY68" s="61"/>
      <c r="BZ68" s="61"/>
      <c r="CA68" s="61"/>
      <c r="CB68" s="61">
        <v>182</v>
      </c>
      <c r="CC68" s="61">
        <v>2108</v>
      </c>
      <c r="CD68" s="61">
        <v>1002</v>
      </c>
      <c r="CE68" s="61">
        <v>5</v>
      </c>
      <c r="CF68" s="61">
        <v>5</v>
      </c>
      <c r="CG68" s="61">
        <v>2331</v>
      </c>
      <c r="CH68" s="61">
        <v>15</v>
      </c>
      <c r="CI68" s="61">
        <v>205</v>
      </c>
      <c r="CJ68" s="61">
        <v>276</v>
      </c>
      <c r="CK68" s="61">
        <v>112</v>
      </c>
      <c r="CL68" s="61">
        <v>268</v>
      </c>
      <c r="CM68" s="61">
        <v>139</v>
      </c>
      <c r="CN68" s="61"/>
      <c r="CO68" s="61">
        <v>51</v>
      </c>
      <c r="CP68" s="61">
        <v>3076</v>
      </c>
      <c r="CQ68" s="61">
        <v>1370</v>
      </c>
      <c r="CR68" s="61">
        <v>3</v>
      </c>
      <c r="CS68" s="61">
        <v>17</v>
      </c>
      <c r="CT68" s="61">
        <v>50</v>
      </c>
      <c r="CU68" s="61"/>
      <c r="CV68" s="61">
        <v>1</v>
      </c>
      <c r="CW68" s="61">
        <v>46</v>
      </c>
      <c r="CX68" s="61">
        <v>662</v>
      </c>
      <c r="CY68" s="61">
        <v>2401</v>
      </c>
      <c r="CZ68" s="61">
        <v>74</v>
      </c>
      <c r="DA68" s="61">
        <v>2444</v>
      </c>
      <c r="DB68" s="61">
        <v>67</v>
      </c>
      <c r="DC68" s="61"/>
      <c r="DD68" s="61">
        <v>5648</v>
      </c>
      <c r="DE68" s="61">
        <v>25</v>
      </c>
      <c r="DF68" s="61">
        <v>5372</v>
      </c>
      <c r="DG68" s="61">
        <v>251</v>
      </c>
      <c r="DH68" s="62" t="s">
        <v>2185</v>
      </c>
      <c r="DI68" s="61">
        <v>420</v>
      </c>
      <c r="DJ68" s="61">
        <v>27</v>
      </c>
      <c r="DK68" s="61"/>
      <c r="DL68" s="61">
        <v>4043</v>
      </c>
      <c r="DM68" s="61"/>
      <c r="DN68" s="61">
        <v>34</v>
      </c>
    </row>
    <row r="69" spans="1:118" x14ac:dyDescent="0.25">
      <c r="A69" s="61">
        <v>106190125</v>
      </c>
      <c r="B69" s="62" t="s">
        <v>378</v>
      </c>
      <c r="C69" s="62" t="s">
        <v>379</v>
      </c>
      <c r="D69" s="62" t="s">
        <v>348</v>
      </c>
      <c r="E69" s="62" t="s">
        <v>71</v>
      </c>
      <c r="F69" s="62" t="s">
        <v>2213</v>
      </c>
      <c r="G69" s="62" t="s">
        <v>380</v>
      </c>
      <c r="H69" s="62" t="s">
        <v>348</v>
      </c>
      <c r="I69" s="62" t="s">
        <v>381</v>
      </c>
      <c r="J69" s="62" t="s">
        <v>2186</v>
      </c>
      <c r="K69" s="62" t="s">
        <v>82</v>
      </c>
      <c r="L69" s="61">
        <v>34</v>
      </c>
      <c r="M69" s="61">
        <v>53</v>
      </c>
      <c r="N69" s="61">
        <v>30</v>
      </c>
      <c r="O69" s="62" t="s">
        <v>1832</v>
      </c>
      <c r="P69" s="62" t="s">
        <v>68</v>
      </c>
      <c r="Q69" s="62" t="s">
        <v>2167</v>
      </c>
      <c r="R69" s="62" t="s">
        <v>2167</v>
      </c>
      <c r="S69" s="62" t="s">
        <v>69</v>
      </c>
      <c r="T69" s="61">
        <v>36071</v>
      </c>
      <c r="U69" s="61">
        <v>31668</v>
      </c>
      <c r="V69" s="61">
        <v>8</v>
      </c>
      <c r="W69" s="61">
        <v>8875</v>
      </c>
      <c r="X69" s="61">
        <v>7344</v>
      </c>
      <c r="Y69" s="61">
        <v>15208</v>
      </c>
      <c r="Z69" s="61">
        <v>10467</v>
      </c>
      <c r="AA69" s="61">
        <v>8945</v>
      </c>
      <c r="AB69" s="61">
        <v>8666</v>
      </c>
      <c r="AC69" s="61">
        <v>4096</v>
      </c>
      <c r="AD69" s="61">
        <v>1253</v>
      </c>
      <c r="AE69" s="61">
        <v>630</v>
      </c>
      <c r="AF69" s="61">
        <v>2263</v>
      </c>
      <c r="AG69" s="61"/>
      <c r="AH69" s="61">
        <v>1285</v>
      </c>
      <c r="AI69" s="61">
        <v>22284</v>
      </c>
      <c r="AJ69" s="61">
        <v>36625</v>
      </c>
      <c r="AK69" s="61">
        <v>52</v>
      </c>
      <c r="AL69" s="61">
        <v>3262</v>
      </c>
      <c r="AM69" s="61">
        <v>1260</v>
      </c>
      <c r="AN69" s="61">
        <v>2979</v>
      </c>
      <c r="AO69" s="61">
        <v>790</v>
      </c>
      <c r="AP69" s="61">
        <v>2622</v>
      </c>
      <c r="AQ69" s="61">
        <v>68</v>
      </c>
      <c r="AR69" s="61">
        <v>2</v>
      </c>
      <c r="AS69" s="61"/>
      <c r="AT69" s="61"/>
      <c r="AU69" s="61"/>
      <c r="AV69" s="61"/>
      <c r="AW69" s="61">
        <v>970</v>
      </c>
      <c r="AX69" s="61">
        <v>4</v>
      </c>
      <c r="AY69" s="61">
        <v>63173</v>
      </c>
      <c r="AZ69" s="61">
        <v>14</v>
      </c>
      <c r="BA69" s="61">
        <v>12</v>
      </c>
      <c r="BB69" s="61">
        <v>1</v>
      </c>
      <c r="BC69" s="61"/>
      <c r="BD69" s="61">
        <v>49418</v>
      </c>
      <c r="BE69" s="61">
        <v>4748</v>
      </c>
      <c r="BF69" s="61">
        <v>487</v>
      </c>
      <c r="BG69" s="61">
        <v>3713</v>
      </c>
      <c r="BH69" s="61">
        <v>9381</v>
      </c>
      <c r="BI69" s="61"/>
      <c r="BJ69" s="61">
        <v>67747</v>
      </c>
      <c r="BK69" s="61">
        <v>31</v>
      </c>
      <c r="BL69" s="61">
        <v>50074</v>
      </c>
      <c r="BM69" s="61">
        <v>17642</v>
      </c>
      <c r="BN69" s="61">
        <v>5230</v>
      </c>
      <c r="BO69" s="61">
        <v>5502</v>
      </c>
      <c r="BP69" s="61">
        <v>2</v>
      </c>
      <c r="BQ69" s="61">
        <v>403</v>
      </c>
      <c r="BR69" s="61">
        <v>1290</v>
      </c>
      <c r="BS69" s="61">
        <v>1300</v>
      </c>
      <c r="BT69" s="61">
        <v>1665</v>
      </c>
      <c r="BU69" s="61">
        <v>2361</v>
      </c>
      <c r="BV69" s="61">
        <v>1735</v>
      </c>
      <c r="BW69" s="61">
        <v>779</v>
      </c>
      <c r="BX69" s="61">
        <v>720</v>
      </c>
      <c r="BY69" s="61">
        <v>225</v>
      </c>
      <c r="BZ69" s="61">
        <v>256</v>
      </c>
      <c r="CA69" s="61"/>
      <c r="CB69" s="61">
        <v>203</v>
      </c>
      <c r="CC69" s="61">
        <v>3776</v>
      </c>
      <c r="CD69" s="61">
        <v>5672</v>
      </c>
      <c r="CE69" s="61">
        <v>423</v>
      </c>
      <c r="CF69" s="61">
        <v>106</v>
      </c>
      <c r="CG69" s="61">
        <v>536</v>
      </c>
      <c r="CH69" s="61">
        <v>18</v>
      </c>
      <c r="CI69" s="61">
        <v>211</v>
      </c>
      <c r="CJ69" s="61">
        <v>563</v>
      </c>
      <c r="CK69" s="61">
        <v>180</v>
      </c>
      <c r="CL69" s="61">
        <v>346</v>
      </c>
      <c r="CM69" s="61">
        <v>75</v>
      </c>
      <c r="CN69" s="61"/>
      <c r="CO69" s="61">
        <v>80</v>
      </c>
      <c r="CP69" s="61">
        <v>8558</v>
      </c>
      <c r="CQ69" s="61">
        <v>551</v>
      </c>
      <c r="CR69" s="61">
        <v>13</v>
      </c>
      <c r="CS69" s="61">
        <v>103</v>
      </c>
      <c r="CT69" s="61">
        <v>31</v>
      </c>
      <c r="CU69" s="61"/>
      <c r="CV69" s="61">
        <v>1</v>
      </c>
      <c r="CW69" s="61">
        <v>20</v>
      </c>
      <c r="CX69" s="61">
        <v>7502</v>
      </c>
      <c r="CY69" s="61">
        <v>2279</v>
      </c>
      <c r="CZ69" s="61">
        <v>108</v>
      </c>
      <c r="DA69" s="61">
        <v>575</v>
      </c>
      <c r="DB69" s="61">
        <v>270</v>
      </c>
      <c r="DC69" s="61"/>
      <c r="DD69" s="61">
        <v>10734</v>
      </c>
      <c r="DE69" s="61">
        <v>9</v>
      </c>
      <c r="DF69" s="61">
        <v>7233</v>
      </c>
      <c r="DG69" s="61">
        <v>3492</v>
      </c>
      <c r="DH69" s="62" t="s">
        <v>2185</v>
      </c>
      <c r="DI69" s="61">
        <v>318</v>
      </c>
      <c r="DJ69" s="61">
        <v>35</v>
      </c>
      <c r="DK69" s="61"/>
      <c r="DL69" s="61">
        <v>91</v>
      </c>
      <c r="DM69" s="61"/>
      <c r="DN69" s="61">
        <v>2</v>
      </c>
    </row>
    <row r="70" spans="1:118" x14ac:dyDescent="0.25">
      <c r="A70" s="61">
        <v>106190148</v>
      </c>
      <c r="B70" s="62" t="s">
        <v>382</v>
      </c>
      <c r="C70" s="62" t="s">
        <v>383</v>
      </c>
      <c r="D70" s="62" t="s">
        <v>348</v>
      </c>
      <c r="E70" s="62" t="s">
        <v>321</v>
      </c>
      <c r="F70" s="62" t="s">
        <v>2213</v>
      </c>
      <c r="G70" s="62" t="s">
        <v>384</v>
      </c>
      <c r="H70" s="62" t="s">
        <v>385</v>
      </c>
      <c r="I70" s="62" t="s">
        <v>386</v>
      </c>
      <c r="J70" s="62" t="s">
        <v>2186</v>
      </c>
      <c r="K70" s="62"/>
      <c r="L70" s="61">
        <v>43</v>
      </c>
      <c r="M70" s="61">
        <v>62</v>
      </c>
      <c r="N70" s="61">
        <v>35</v>
      </c>
      <c r="O70" s="62" t="s">
        <v>1833</v>
      </c>
      <c r="P70" s="62" t="s">
        <v>68</v>
      </c>
      <c r="Q70" s="62" t="s">
        <v>2167</v>
      </c>
      <c r="R70" s="62" t="s">
        <v>2167</v>
      </c>
      <c r="S70" s="62" t="s">
        <v>69</v>
      </c>
      <c r="T70" s="61">
        <v>27374</v>
      </c>
      <c r="U70" s="61">
        <v>22565</v>
      </c>
      <c r="V70" s="61"/>
      <c r="W70" s="61">
        <v>4492</v>
      </c>
      <c r="X70" s="61">
        <v>4546</v>
      </c>
      <c r="Y70" s="61">
        <v>10533</v>
      </c>
      <c r="Z70" s="61">
        <v>7794</v>
      </c>
      <c r="AA70" s="61">
        <v>6813</v>
      </c>
      <c r="AB70" s="61">
        <v>7777</v>
      </c>
      <c r="AC70" s="61">
        <v>3885</v>
      </c>
      <c r="AD70" s="61">
        <v>1904</v>
      </c>
      <c r="AE70" s="61">
        <v>1244</v>
      </c>
      <c r="AF70" s="61">
        <v>951</v>
      </c>
      <c r="AG70" s="61"/>
      <c r="AH70" s="61">
        <v>450</v>
      </c>
      <c r="AI70" s="61">
        <v>31007</v>
      </c>
      <c r="AJ70" s="61">
        <v>13256</v>
      </c>
      <c r="AK70" s="61"/>
      <c r="AL70" s="61">
        <v>1028</v>
      </c>
      <c r="AM70" s="61"/>
      <c r="AN70" s="61">
        <v>4198</v>
      </c>
      <c r="AO70" s="61">
        <v>877</v>
      </c>
      <c r="AP70" s="61">
        <v>896</v>
      </c>
      <c r="AQ70" s="61"/>
      <c r="AR70" s="61"/>
      <c r="AS70" s="61"/>
      <c r="AT70" s="61">
        <v>1</v>
      </c>
      <c r="AU70" s="61"/>
      <c r="AV70" s="61"/>
      <c r="AW70" s="61">
        <v>366</v>
      </c>
      <c r="AX70" s="61">
        <v>1</v>
      </c>
      <c r="AY70" s="61">
        <v>47430</v>
      </c>
      <c r="AZ70" s="61">
        <v>125</v>
      </c>
      <c r="BA70" s="61">
        <v>181</v>
      </c>
      <c r="BB70" s="61"/>
      <c r="BC70" s="61"/>
      <c r="BD70" s="61">
        <v>29349</v>
      </c>
      <c r="BE70" s="61">
        <v>6701</v>
      </c>
      <c r="BF70" s="61">
        <v>395</v>
      </c>
      <c r="BG70" s="61">
        <v>4353</v>
      </c>
      <c r="BH70" s="61">
        <v>9141</v>
      </c>
      <c r="BI70" s="61"/>
      <c r="BJ70" s="61">
        <v>49939</v>
      </c>
      <c r="BK70" s="61">
        <v>78</v>
      </c>
      <c r="BL70" s="61">
        <v>46584</v>
      </c>
      <c r="BM70" s="61">
        <v>3277</v>
      </c>
      <c r="BN70" s="61">
        <v>8112</v>
      </c>
      <c r="BO70" s="61">
        <v>6028</v>
      </c>
      <c r="BP70" s="61"/>
      <c r="BQ70" s="61">
        <v>129</v>
      </c>
      <c r="BR70" s="61">
        <v>759</v>
      </c>
      <c r="BS70" s="61">
        <v>918</v>
      </c>
      <c r="BT70" s="61">
        <v>1619</v>
      </c>
      <c r="BU70" s="61">
        <v>3119</v>
      </c>
      <c r="BV70" s="61">
        <v>2930</v>
      </c>
      <c r="BW70" s="61">
        <v>2311</v>
      </c>
      <c r="BX70" s="61">
        <v>2348</v>
      </c>
      <c r="BY70" s="61">
        <v>7</v>
      </c>
      <c r="BZ70" s="61"/>
      <c r="CA70" s="61"/>
      <c r="CB70" s="61">
        <v>161</v>
      </c>
      <c r="CC70" s="61">
        <v>9793</v>
      </c>
      <c r="CD70" s="61">
        <v>2823</v>
      </c>
      <c r="CE70" s="61">
        <v>145</v>
      </c>
      <c r="CF70" s="61"/>
      <c r="CG70" s="61">
        <v>1206</v>
      </c>
      <c r="CH70" s="61">
        <v>12</v>
      </c>
      <c r="CI70" s="61">
        <v>649</v>
      </c>
      <c r="CJ70" s="61">
        <v>1066</v>
      </c>
      <c r="CK70" s="61">
        <v>353</v>
      </c>
      <c r="CL70" s="61">
        <v>588</v>
      </c>
      <c r="CM70" s="61">
        <v>236</v>
      </c>
      <c r="CN70" s="61"/>
      <c r="CO70" s="61">
        <v>18</v>
      </c>
      <c r="CP70" s="61">
        <v>9704</v>
      </c>
      <c r="CQ70" s="61">
        <v>1449</v>
      </c>
      <c r="CR70" s="61"/>
      <c r="CS70" s="61"/>
      <c r="CT70" s="61"/>
      <c r="CU70" s="61"/>
      <c r="CV70" s="61"/>
      <c r="CW70" s="61"/>
      <c r="CX70" s="61">
        <v>6159</v>
      </c>
      <c r="CY70" s="61">
        <v>6704</v>
      </c>
      <c r="CZ70" s="61">
        <v>2</v>
      </c>
      <c r="DA70" s="61">
        <v>841</v>
      </c>
      <c r="DB70" s="61">
        <v>434</v>
      </c>
      <c r="DC70" s="61"/>
      <c r="DD70" s="61">
        <v>14140</v>
      </c>
      <c r="DE70" s="61">
        <v>38</v>
      </c>
      <c r="DF70" s="61">
        <v>12915</v>
      </c>
      <c r="DG70" s="61">
        <v>1187</v>
      </c>
      <c r="DH70" s="62" t="s">
        <v>2185</v>
      </c>
      <c r="DI70" s="61">
        <v>369</v>
      </c>
      <c r="DJ70" s="61">
        <v>44</v>
      </c>
      <c r="DK70" s="61"/>
      <c r="DL70" s="61">
        <v>62</v>
      </c>
      <c r="DM70" s="61"/>
      <c r="DN70" s="61">
        <v>77</v>
      </c>
    </row>
    <row r="71" spans="1:118" x14ac:dyDescent="0.25">
      <c r="A71" s="61">
        <v>106190159</v>
      </c>
      <c r="B71" s="62" t="s">
        <v>387</v>
      </c>
      <c r="C71" s="62" t="s">
        <v>1756</v>
      </c>
      <c r="D71" s="62" t="s">
        <v>348</v>
      </c>
      <c r="E71" s="62" t="s">
        <v>71</v>
      </c>
      <c r="F71" s="62" t="s">
        <v>2213</v>
      </c>
      <c r="G71" s="62" t="s">
        <v>388</v>
      </c>
      <c r="H71" s="62" t="s">
        <v>389</v>
      </c>
      <c r="I71" s="62" t="s">
        <v>390</v>
      </c>
      <c r="J71" s="62" t="s">
        <v>2189</v>
      </c>
      <c r="K71" s="62"/>
      <c r="L71" s="61">
        <v>38</v>
      </c>
      <c r="M71" s="61">
        <v>63</v>
      </c>
      <c r="N71" s="61">
        <v>32</v>
      </c>
      <c r="O71" s="62" t="s">
        <v>1834</v>
      </c>
      <c r="P71" s="62" t="s">
        <v>68</v>
      </c>
      <c r="Q71" s="62" t="s">
        <v>2167</v>
      </c>
      <c r="R71" s="62" t="s">
        <v>2167</v>
      </c>
      <c r="S71" s="62" t="s">
        <v>69</v>
      </c>
      <c r="T71" s="61">
        <v>3601</v>
      </c>
      <c r="U71" s="61">
        <v>3236</v>
      </c>
      <c r="V71" s="61"/>
      <c r="W71" s="61">
        <v>586</v>
      </c>
      <c r="X71" s="61">
        <v>755</v>
      </c>
      <c r="Y71" s="61">
        <v>1212</v>
      </c>
      <c r="Z71" s="61">
        <v>1057</v>
      </c>
      <c r="AA71" s="61">
        <v>1068</v>
      </c>
      <c r="AB71" s="61">
        <v>943</v>
      </c>
      <c r="AC71" s="61">
        <v>574</v>
      </c>
      <c r="AD71" s="61">
        <v>299</v>
      </c>
      <c r="AE71" s="61">
        <v>281</v>
      </c>
      <c r="AF71" s="61">
        <v>62</v>
      </c>
      <c r="AG71" s="61"/>
      <c r="AH71" s="61">
        <v>761</v>
      </c>
      <c r="AI71" s="61">
        <v>969</v>
      </c>
      <c r="AJ71" s="61">
        <v>3102</v>
      </c>
      <c r="AK71" s="61">
        <v>8</v>
      </c>
      <c r="AL71" s="61">
        <v>248</v>
      </c>
      <c r="AM71" s="61">
        <v>60</v>
      </c>
      <c r="AN71" s="61">
        <v>1689</v>
      </c>
      <c r="AO71" s="61">
        <v>281</v>
      </c>
      <c r="AP71" s="61">
        <v>240</v>
      </c>
      <c r="AQ71" s="61">
        <v>11</v>
      </c>
      <c r="AR71" s="61"/>
      <c r="AS71" s="61">
        <v>6</v>
      </c>
      <c r="AT71" s="61"/>
      <c r="AU71" s="61"/>
      <c r="AV71" s="61"/>
      <c r="AW71" s="61">
        <v>14</v>
      </c>
      <c r="AX71" s="61">
        <v>1</v>
      </c>
      <c r="AY71" s="61">
        <v>6089</v>
      </c>
      <c r="AZ71" s="61">
        <v>83</v>
      </c>
      <c r="BA71" s="61">
        <v>112</v>
      </c>
      <c r="BB71" s="61"/>
      <c r="BC71" s="61"/>
      <c r="BD71" s="61">
        <v>2950</v>
      </c>
      <c r="BE71" s="61">
        <v>1127</v>
      </c>
      <c r="BF71" s="61">
        <v>137</v>
      </c>
      <c r="BG71" s="61">
        <v>1533</v>
      </c>
      <c r="BH71" s="61">
        <v>1090</v>
      </c>
      <c r="BI71" s="61"/>
      <c r="BJ71" s="61">
        <v>6837</v>
      </c>
      <c r="BK71" s="61">
        <v>49</v>
      </c>
      <c r="BL71" s="61">
        <v>6165</v>
      </c>
      <c r="BM71" s="61">
        <v>623</v>
      </c>
      <c r="BN71" s="61">
        <v>1303</v>
      </c>
      <c r="BO71" s="61">
        <v>1268</v>
      </c>
      <c r="BP71" s="61"/>
      <c r="BQ71" s="61">
        <v>13</v>
      </c>
      <c r="BR71" s="61">
        <v>95</v>
      </c>
      <c r="BS71" s="61">
        <v>148</v>
      </c>
      <c r="BT71" s="61">
        <v>260</v>
      </c>
      <c r="BU71" s="61">
        <v>482</v>
      </c>
      <c r="BV71" s="61">
        <v>521</v>
      </c>
      <c r="BW71" s="61">
        <v>466</v>
      </c>
      <c r="BX71" s="61">
        <v>586</v>
      </c>
      <c r="BY71" s="61"/>
      <c r="BZ71" s="61"/>
      <c r="CA71" s="61"/>
      <c r="CB71" s="61">
        <v>446</v>
      </c>
      <c r="CC71" s="61">
        <v>349</v>
      </c>
      <c r="CD71" s="61">
        <v>795</v>
      </c>
      <c r="CE71" s="61">
        <v>45</v>
      </c>
      <c r="CF71" s="61">
        <v>20</v>
      </c>
      <c r="CG71" s="61">
        <v>914</v>
      </c>
      <c r="CH71" s="61">
        <v>2</v>
      </c>
      <c r="CI71" s="61">
        <v>199</v>
      </c>
      <c r="CJ71" s="61">
        <v>96</v>
      </c>
      <c r="CK71" s="61">
        <v>44</v>
      </c>
      <c r="CL71" s="61">
        <v>162</v>
      </c>
      <c r="CM71" s="61">
        <v>8</v>
      </c>
      <c r="CN71" s="61"/>
      <c r="CO71" s="61"/>
      <c r="CP71" s="61">
        <v>878</v>
      </c>
      <c r="CQ71" s="61">
        <v>1098</v>
      </c>
      <c r="CR71" s="61"/>
      <c r="CS71" s="61">
        <v>60</v>
      </c>
      <c r="CT71" s="61">
        <v>13</v>
      </c>
      <c r="CU71" s="61">
        <v>13</v>
      </c>
      <c r="CV71" s="61"/>
      <c r="CW71" s="61"/>
      <c r="CX71" s="61">
        <v>782</v>
      </c>
      <c r="CY71" s="61">
        <v>1508</v>
      </c>
      <c r="CZ71" s="61">
        <v>22</v>
      </c>
      <c r="DA71" s="61">
        <v>199</v>
      </c>
      <c r="DB71" s="61">
        <v>60</v>
      </c>
      <c r="DC71" s="61"/>
      <c r="DD71" s="61">
        <v>2571</v>
      </c>
      <c r="DE71" s="61">
        <v>80</v>
      </c>
      <c r="DF71" s="61">
        <v>2244</v>
      </c>
      <c r="DG71" s="61">
        <v>247</v>
      </c>
      <c r="DH71" s="62" t="s">
        <v>2185</v>
      </c>
      <c r="DI71" s="61">
        <v>107</v>
      </c>
      <c r="DJ71" s="61">
        <v>8</v>
      </c>
      <c r="DK71" s="61"/>
      <c r="DL71" s="61"/>
      <c r="DM71" s="61"/>
      <c r="DN71" s="61"/>
    </row>
    <row r="72" spans="1:118" x14ac:dyDescent="0.25">
      <c r="A72" s="61">
        <v>106190170</v>
      </c>
      <c r="B72" s="62" t="s">
        <v>391</v>
      </c>
      <c r="C72" s="62" t="s">
        <v>2040</v>
      </c>
      <c r="D72" s="62" t="s">
        <v>348</v>
      </c>
      <c r="E72" s="62" t="s">
        <v>71</v>
      </c>
      <c r="F72" s="62" t="s">
        <v>2213</v>
      </c>
      <c r="G72" s="62" t="s">
        <v>392</v>
      </c>
      <c r="H72" s="62" t="s">
        <v>348</v>
      </c>
      <c r="I72" s="62" t="s">
        <v>393</v>
      </c>
      <c r="J72" s="62" t="s">
        <v>2191</v>
      </c>
      <c r="K72" s="62" t="s">
        <v>78</v>
      </c>
      <c r="L72" s="61">
        <v>28</v>
      </c>
      <c r="M72" s="61">
        <v>43</v>
      </c>
      <c r="N72" s="61">
        <v>24</v>
      </c>
      <c r="O72" s="62" t="s">
        <v>1835</v>
      </c>
      <c r="P72" s="62" t="s">
        <v>68</v>
      </c>
      <c r="Q72" s="62" t="s">
        <v>2167</v>
      </c>
      <c r="R72" s="62" t="s">
        <v>83</v>
      </c>
      <c r="S72" s="62" t="s">
        <v>69</v>
      </c>
      <c r="T72" s="61">
        <v>33810</v>
      </c>
      <c r="U72" s="61">
        <v>38542</v>
      </c>
      <c r="V72" s="61"/>
      <c r="W72" s="61">
        <v>44842</v>
      </c>
      <c r="X72" s="61">
        <v>15123</v>
      </c>
      <c r="Y72" s="61">
        <v>614</v>
      </c>
      <c r="Z72" s="61">
        <v>75</v>
      </c>
      <c r="AA72" s="61">
        <v>33</v>
      </c>
      <c r="AB72" s="61">
        <v>36</v>
      </c>
      <c r="AC72" s="61">
        <v>13</v>
      </c>
      <c r="AD72" s="61">
        <v>1</v>
      </c>
      <c r="AE72" s="61">
        <v>1</v>
      </c>
      <c r="AF72" s="61">
        <v>11614</v>
      </c>
      <c r="AG72" s="61"/>
      <c r="AH72" s="61">
        <v>2869</v>
      </c>
      <c r="AI72" s="61">
        <v>5033</v>
      </c>
      <c r="AJ72" s="61">
        <v>55489</v>
      </c>
      <c r="AK72" s="61">
        <v>13</v>
      </c>
      <c r="AL72" s="61">
        <v>5982</v>
      </c>
      <c r="AM72" s="61">
        <v>168</v>
      </c>
      <c r="AN72" s="61">
        <v>2798</v>
      </c>
      <c r="AO72" s="61">
        <v>3</v>
      </c>
      <c r="AP72" s="61">
        <v>5099</v>
      </c>
      <c r="AQ72" s="61">
        <v>5</v>
      </c>
      <c r="AR72" s="61">
        <v>1</v>
      </c>
      <c r="AS72" s="61"/>
      <c r="AT72" s="61"/>
      <c r="AU72" s="61"/>
      <c r="AV72" s="61"/>
      <c r="AW72" s="61">
        <v>280</v>
      </c>
      <c r="AX72" s="61">
        <v>4</v>
      </c>
      <c r="AY72" s="61">
        <v>66916</v>
      </c>
      <c r="AZ72" s="61">
        <v>16</v>
      </c>
      <c r="BA72" s="61"/>
      <c r="BB72" s="61"/>
      <c r="BC72" s="61"/>
      <c r="BD72" s="61">
        <v>66168</v>
      </c>
      <c r="BE72" s="61">
        <v>46</v>
      </c>
      <c r="BF72" s="61">
        <v>273</v>
      </c>
      <c r="BG72" s="61">
        <v>5640</v>
      </c>
      <c r="BH72" s="61">
        <v>3</v>
      </c>
      <c r="BI72" s="61">
        <v>222</v>
      </c>
      <c r="BJ72" s="61">
        <v>72352</v>
      </c>
      <c r="BK72" s="61">
        <v>226</v>
      </c>
      <c r="BL72" s="61">
        <v>45141</v>
      </c>
      <c r="BM72" s="61">
        <v>26985</v>
      </c>
      <c r="BN72" s="61">
        <v>3358</v>
      </c>
      <c r="BO72" s="61">
        <v>4043</v>
      </c>
      <c r="BP72" s="61"/>
      <c r="BQ72" s="61">
        <v>2119</v>
      </c>
      <c r="BR72" s="61">
        <v>185</v>
      </c>
      <c r="BS72" s="61">
        <v>1</v>
      </c>
      <c r="BT72" s="61"/>
      <c r="BU72" s="61"/>
      <c r="BV72" s="61"/>
      <c r="BW72" s="61"/>
      <c r="BX72" s="61"/>
      <c r="BY72" s="61">
        <v>1613</v>
      </c>
      <c r="BZ72" s="61">
        <v>3483</v>
      </c>
      <c r="CA72" s="61"/>
      <c r="CB72" s="61">
        <v>433</v>
      </c>
      <c r="CC72" s="61">
        <v>621</v>
      </c>
      <c r="CD72" s="61">
        <v>5033</v>
      </c>
      <c r="CE72" s="61">
        <v>609</v>
      </c>
      <c r="CF72" s="61">
        <v>7</v>
      </c>
      <c r="CG72" s="61">
        <v>698</v>
      </c>
      <c r="CH72" s="61"/>
      <c r="CI72" s="61">
        <v>89</v>
      </c>
      <c r="CJ72" s="61">
        <v>19</v>
      </c>
      <c r="CK72" s="61">
        <v>40</v>
      </c>
      <c r="CL72" s="61">
        <v>16</v>
      </c>
      <c r="CM72" s="61"/>
      <c r="CN72" s="61"/>
      <c r="CO72" s="61">
        <v>12</v>
      </c>
      <c r="CP72" s="61">
        <v>7200</v>
      </c>
      <c r="CQ72" s="61">
        <v>25</v>
      </c>
      <c r="CR72" s="61"/>
      <c r="CS72" s="61"/>
      <c r="CT72" s="61"/>
      <c r="CU72" s="61"/>
      <c r="CV72" s="61"/>
      <c r="CW72" s="61"/>
      <c r="CX72" s="61">
        <v>5944</v>
      </c>
      <c r="CY72" s="61">
        <v>25</v>
      </c>
      <c r="CZ72" s="61">
        <v>57</v>
      </c>
      <c r="DA72" s="61">
        <v>1312</v>
      </c>
      <c r="DB72" s="61">
        <v>63</v>
      </c>
      <c r="DC72" s="61"/>
      <c r="DD72" s="61">
        <v>7401</v>
      </c>
      <c r="DE72" s="61">
        <v>3</v>
      </c>
      <c r="DF72" s="61">
        <v>5050</v>
      </c>
      <c r="DG72" s="61">
        <v>2348</v>
      </c>
      <c r="DH72" s="62" t="s">
        <v>2185</v>
      </c>
      <c r="DI72" s="61">
        <v>568</v>
      </c>
      <c r="DJ72" s="61">
        <v>39</v>
      </c>
      <c r="DK72" s="61">
        <v>19</v>
      </c>
      <c r="DL72" s="61">
        <v>9</v>
      </c>
      <c r="DM72" s="61"/>
      <c r="DN72" s="61"/>
    </row>
    <row r="73" spans="1:118" x14ac:dyDescent="0.25">
      <c r="A73" s="61">
        <v>106190197</v>
      </c>
      <c r="B73" s="62" t="s">
        <v>394</v>
      </c>
      <c r="C73" s="62" t="s">
        <v>395</v>
      </c>
      <c r="D73" s="62" t="s">
        <v>348</v>
      </c>
      <c r="E73" s="62" t="s">
        <v>184</v>
      </c>
      <c r="F73" s="62" t="s">
        <v>2213</v>
      </c>
      <c r="G73" s="62" t="s">
        <v>396</v>
      </c>
      <c r="H73" s="62" t="s">
        <v>397</v>
      </c>
      <c r="I73" s="62" t="s">
        <v>398</v>
      </c>
      <c r="J73" s="62" t="s">
        <v>2188</v>
      </c>
      <c r="K73" s="62"/>
      <c r="L73" s="61">
        <v>40</v>
      </c>
      <c r="M73" s="61">
        <v>53</v>
      </c>
      <c r="N73" s="61">
        <v>33</v>
      </c>
      <c r="O73" s="62" t="s">
        <v>1836</v>
      </c>
      <c r="P73" s="62" t="s">
        <v>68</v>
      </c>
      <c r="Q73" s="62" t="s">
        <v>2167</v>
      </c>
      <c r="R73" s="62" t="s">
        <v>2167</v>
      </c>
      <c r="S73" s="62" t="s">
        <v>69</v>
      </c>
      <c r="T73" s="61">
        <v>22157</v>
      </c>
      <c r="U73" s="61">
        <v>18054</v>
      </c>
      <c r="V73" s="61"/>
      <c r="W73" s="61">
        <v>7709</v>
      </c>
      <c r="X73" s="61">
        <v>5993</v>
      </c>
      <c r="Y73" s="61">
        <v>6542</v>
      </c>
      <c r="Z73" s="61">
        <v>5598</v>
      </c>
      <c r="AA73" s="61">
        <v>5105</v>
      </c>
      <c r="AB73" s="61">
        <v>3876</v>
      </c>
      <c r="AC73" s="61">
        <v>2278</v>
      </c>
      <c r="AD73" s="61">
        <v>1162</v>
      </c>
      <c r="AE73" s="61">
        <v>742</v>
      </c>
      <c r="AF73" s="61">
        <v>1206</v>
      </c>
      <c r="AG73" s="61"/>
      <c r="AH73" s="61">
        <v>68</v>
      </c>
      <c r="AI73" s="61">
        <v>2149</v>
      </c>
      <c r="AJ73" s="61">
        <v>37112</v>
      </c>
      <c r="AK73" s="61">
        <v>5</v>
      </c>
      <c r="AL73" s="61">
        <v>21</v>
      </c>
      <c r="AM73" s="61">
        <v>12</v>
      </c>
      <c r="AN73" s="61">
        <v>844</v>
      </c>
      <c r="AO73" s="61">
        <v>1144</v>
      </c>
      <c r="AP73" s="61">
        <v>3427</v>
      </c>
      <c r="AQ73" s="61">
        <v>27</v>
      </c>
      <c r="AR73" s="61"/>
      <c r="AS73" s="61">
        <v>3</v>
      </c>
      <c r="AT73" s="61"/>
      <c r="AU73" s="61"/>
      <c r="AV73" s="61">
        <v>5</v>
      </c>
      <c r="AW73" s="61">
        <v>105</v>
      </c>
      <c r="AX73" s="61">
        <v>2</v>
      </c>
      <c r="AY73" s="61">
        <v>35460</v>
      </c>
      <c r="AZ73" s="61">
        <v>13</v>
      </c>
      <c r="BA73" s="61">
        <v>25</v>
      </c>
      <c r="BB73" s="61"/>
      <c r="BC73" s="61"/>
      <c r="BD73" s="61">
        <v>30876</v>
      </c>
      <c r="BE73" s="61">
        <v>1713</v>
      </c>
      <c r="BF73" s="61">
        <v>89</v>
      </c>
      <c r="BG73" s="61">
        <v>127</v>
      </c>
      <c r="BH73" s="61">
        <v>7406</v>
      </c>
      <c r="BI73" s="61"/>
      <c r="BJ73" s="61">
        <v>40211</v>
      </c>
      <c r="BK73" s="61">
        <v>1</v>
      </c>
      <c r="BL73" s="61">
        <v>36992</v>
      </c>
      <c r="BM73" s="61">
        <v>3218</v>
      </c>
      <c r="BN73" s="61">
        <v>1554</v>
      </c>
      <c r="BO73" s="61">
        <v>1503</v>
      </c>
      <c r="BP73" s="61"/>
      <c r="BQ73" s="61">
        <v>50</v>
      </c>
      <c r="BR73" s="61">
        <v>222</v>
      </c>
      <c r="BS73" s="61">
        <v>310</v>
      </c>
      <c r="BT73" s="61">
        <v>417</v>
      </c>
      <c r="BU73" s="61">
        <v>577</v>
      </c>
      <c r="BV73" s="61">
        <v>564</v>
      </c>
      <c r="BW73" s="61">
        <v>503</v>
      </c>
      <c r="BX73" s="61">
        <v>414</v>
      </c>
      <c r="BY73" s="61"/>
      <c r="BZ73" s="61"/>
      <c r="CA73" s="61"/>
      <c r="CB73" s="61">
        <v>14</v>
      </c>
      <c r="CC73" s="61">
        <v>420</v>
      </c>
      <c r="CD73" s="61">
        <v>2514</v>
      </c>
      <c r="CE73" s="61"/>
      <c r="CF73" s="61">
        <v>2</v>
      </c>
      <c r="CG73" s="61">
        <v>106</v>
      </c>
      <c r="CH73" s="61">
        <v>1</v>
      </c>
      <c r="CI73" s="61">
        <v>227</v>
      </c>
      <c r="CJ73" s="61">
        <v>354</v>
      </c>
      <c r="CK73" s="61">
        <v>66</v>
      </c>
      <c r="CL73" s="61">
        <v>73</v>
      </c>
      <c r="CM73" s="61"/>
      <c r="CN73" s="61"/>
      <c r="CO73" s="61">
        <v>11</v>
      </c>
      <c r="CP73" s="61">
        <v>2097</v>
      </c>
      <c r="CQ73" s="61">
        <v>224</v>
      </c>
      <c r="CR73" s="61"/>
      <c r="CS73" s="61">
        <v>5</v>
      </c>
      <c r="CT73" s="61"/>
      <c r="CU73" s="61"/>
      <c r="CV73" s="61"/>
      <c r="CW73" s="61"/>
      <c r="CX73" s="61">
        <v>1867</v>
      </c>
      <c r="CY73" s="61">
        <v>981</v>
      </c>
      <c r="CZ73" s="61">
        <v>1</v>
      </c>
      <c r="DA73" s="61">
        <v>141</v>
      </c>
      <c r="DB73" s="61">
        <v>67</v>
      </c>
      <c r="DC73" s="61"/>
      <c r="DD73" s="61">
        <v>3057</v>
      </c>
      <c r="DE73" s="61"/>
      <c r="DF73" s="61">
        <v>2766</v>
      </c>
      <c r="DG73" s="61">
        <v>291</v>
      </c>
      <c r="DH73" s="62" t="s">
        <v>2185</v>
      </c>
      <c r="DI73" s="61">
        <v>81</v>
      </c>
      <c r="DJ73" s="61">
        <v>14</v>
      </c>
      <c r="DK73" s="61"/>
      <c r="DL73" s="61"/>
      <c r="DM73" s="61"/>
      <c r="DN73" s="61"/>
    </row>
    <row r="74" spans="1:118" x14ac:dyDescent="0.25">
      <c r="A74" s="61">
        <v>106190198</v>
      </c>
      <c r="B74" s="62" t="s">
        <v>399</v>
      </c>
      <c r="C74" s="62" t="s">
        <v>400</v>
      </c>
      <c r="D74" s="62" t="s">
        <v>348</v>
      </c>
      <c r="E74" s="62" t="s">
        <v>321</v>
      </c>
      <c r="F74" s="62" t="s">
        <v>2213</v>
      </c>
      <c r="G74" s="62" t="s">
        <v>401</v>
      </c>
      <c r="H74" s="62" t="s">
        <v>348</v>
      </c>
      <c r="I74" s="62" t="s">
        <v>402</v>
      </c>
      <c r="J74" s="62" t="s">
        <v>2189</v>
      </c>
      <c r="K74" s="62"/>
      <c r="L74" s="61">
        <v>40</v>
      </c>
      <c r="M74" s="61">
        <v>51</v>
      </c>
      <c r="N74" s="61">
        <v>24</v>
      </c>
      <c r="O74" s="62" t="s">
        <v>1837</v>
      </c>
      <c r="P74" s="62" t="s">
        <v>68</v>
      </c>
      <c r="Q74" s="62" t="s">
        <v>2167</v>
      </c>
      <c r="R74" s="62" t="s">
        <v>2167</v>
      </c>
      <c r="S74" s="62" t="s">
        <v>127</v>
      </c>
      <c r="T74" s="61">
        <v>3251</v>
      </c>
      <c r="U74" s="61">
        <v>2948</v>
      </c>
      <c r="V74" s="61"/>
      <c r="W74" s="61">
        <v>1564</v>
      </c>
      <c r="X74" s="61">
        <v>955</v>
      </c>
      <c r="Y74" s="61">
        <v>866</v>
      </c>
      <c r="Z74" s="61">
        <v>797</v>
      </c>
      <c r="AA74" s="61">
        <v>710</v>
      </c>
      <c r="AB74" s="61">
        <v>559</v>
      </c>
      <c r="AC74" s="61">
        <v>350</v>
      </c>
      <c r="AD74" s="61">
        <v>128</v>
      </c>
      <c r="AE74" s="61">
        <v>58</v>
      </c>
      <c r="AF74" s="61">
        <v>212</v>
      </c>
      <c r="AG74" s="61"/>
      <c r="AH74" s="61">
        <v>46</v>
      </c>
      <c r="AI74" s="61">
        <v>237</v>
      </c>
      <c r="AJ74" s="61">
        <v>5452</v>
      </c>
      <c r="AK74" s="61"/>
      <c r="AL74" s="61">
        <v>53</v>
      </c>
      <c r="AM74" s="61">
        <v>17</v>
      </c>
      <c r="AN74" s="61">
        <v>394</v>
      </c>
      <c r="AO74" s="61">
        <v>118</v>
      </c>
      <c r="AP74" s="61">
        <v>459</v>
      </c>
      <c r="AQ74" s="61">
        <v>1</v>
      </c>
      <c r="AR74" s="61">
        <v>2</v>
      </c>
      <c r="AS74" s="61"/>
      <c r="AT74" s="61">
        <v>1</v>
      </c>
      <c r="AU74" s="61"/>
      <c r="AV74" s="61">
        <v>1</v>
      </c>
      <c r="AW74" s="61"/>
      <c r="AX74" s="61">
        <v>9</v>
      </c>
      <c r="AY74" s="61">
        <v>5514</v>
      </c>
      <c r="AZ74" s="61">
        <v>93</v>
      </c>
      <c r="BA74" s="61"/>
      <c r="BB74" s="61"/>
      <c r="BC74" s="61"/>
      <c r="BD74" s="61">
        <v>3767</v>
      </c>
      <c r="BE74" s="61">
        <v>498</v>
      </c>
      <c r="BF74" s="61">
        <v>8</v>
      </c>
      <c r="BG74" s="61">
        <v>1367</v>
      </c>
      <c r="BH74" s="61">
        <v>559</v>
      </c>
      <c r="BI74" s="61"/>
      <c r="BJ74" s="61">
        <v>6199</v>
      </c>
      <c r="BK74" s="61">
        <v>11</v>
      </c>
      <c r="BL74" s="61">
        <v>2881</v>
      </c>
      <c r="BM74" s="61">
        <v>3307</v>
      </c>
      <c r="BN74" s="61">
        <v>939</v>
      </c>
      <c r="BO74" s="61">
        <v>1203</v>
      </c>
      <c r="BP74" s="61"/>
      <c r="BQ74" s="61">
        <v>55</v>
      </c>
      <c r="BR74" s="61">
        <v>84</v>
      </c>
      <c r="BS74" s="61">
        <v>138</v>
      </c>
      <c r="BT74" s="61">
        <v>236</v>
      </c>
      <c r="BU74" s="61">
        <v>424</v>
      </c>
      <c r="BV74" s="61">
        <v>439</v>
      </c>
      <c r="BW74" s="61">
        <v>267</v>
      </c>
      <c r="BX74" s="61">
        <v>257</v>
      </c>
      <c r="BY74" s="61">
        <v>69</v>
      </c>
      <c r="BZ74" s="61">
        <v>173</v>
      </c>
      <c r="CA74" s="61"/>
      <c r="CB74" s="61">
        <v>66</v>
      </c>
      <c r="CC74" s="61">
        <v>336</v>
      </c>
      <c r="CD74" s="61">
        <v>1230</v>
      </c>
      <c r="CE74" s="61">
        <v>31</v>
      </c>
      <c r="CF74" s="61">
        <v>10</v>
      </c>
      <c r="CG74" s="61">
        <v>468</v>
      </c>
      <c r="CH74" s="61">
        <v>1</v>
      </c>
      <c r="CI74" s="61">
        <v>73</v>
      </c>
      <c r="CJ74" s="61">
        <v>96</v>
      </c>
      <c r="CK74" s="61">
        <v>35</v>
      </c>
      <c r="CL74" s="61">
        <v>18</v>
      </c>
      <c r="CM74" s="61">
        <v>5</v>
      </c>
      <c r="CN74" s="61"/>
      <c r="CO74" s="61">
        <v>39</v>
      </c>
      <c r="CP74" s="61">
        <v>1229</v>
      </c>
      <c r="CQ74" s="61">
        <v>630</v>
      </c>
      <c r="CR74" s="61"/>
      <c r="CS74" s="61"/>
      <c r="CT74" s="61">
        <v>12</v>
      </c>
      <c r="CU74" s="61"/>
      <c r="CV74" s="61"/>
      <c r="CW74" s="61">
        <v>5</v>
      </c>
      <c r="CX74" s="61">
        <v>1190</v>
      </c>
      <c r="CY74" s="61">
        <v>894</v>
      </c>
      <c r="CZ74" s="61"/>
      <c r="DA74" s="61">
        <v>44</v>
      </c>
      <c r="DB74" s="61">
        <v>14</v>
      </c>
      <c r="DC74" s="61"/>
      <c r="DD74" s="61">
        <v>2142</v>
      </c>
      <c r="DE74" s="61">
        <v>23</v>
      </c>
      <c r="DF74" s="61">
        <v>1334</v>
      </c>
      <c r="DG74" s="61">
        <v>785</v>
      </c>
      <c r="DH74" s="62" t="s">
        <v>2185</v>
      </c>
      <c r="DI74" s="61">
        <v>130</v>
      </c>
      <c r="DJ74" s="61">
        <v>3</v>
      </c>
      <c r="DK74" s="61">
        <v>1</v>
      </c>
      <c r="DL74" s="61"/>
      <c r="DM74" s="61"/>
      <c r="DN74" s="61"/>
    </row>
    <row r="75" spans="1:118" x14ac:dyDescent="0.25">
      <c r="A75" s="61">
        <v>106190200</v>
      </c>
      <c r="B75" s="62" t="s">
        <v>403</v>
      </c>
      <c r="C75" s="62" t="s">
        <v>404</v>
      </c>
      <c r="D75" s="62" t="s">
        <v>348</v>
      </c>
      <c r="E75" s="62" t="s">
        <v>321</v>
      </c>
      <c r="F75" s="62" t="s">
        <v>2213</v>
      </c>
      <c r="G75" s="62" t="s">
        <v>405</v>
      </c>
      <c r="H75" s="62" t="s">
        <v>406</v>
      </c>
      <c r="I75" s="62" t="s">
        <v>407</v>
      </c>
      <c r="J75" s="62" t="s">
        <v>2184</v>
      </c>
      <c r="K75" s="62"/>
      <c r="L75" s="61">
        <v>27</v>
      </c>
      <c r="M75" s="61">
        <v>49</v>
      </c>
      <c r="N75" s="61">
        <v>22</v>
      </c>
      <c r="O75" s="62" t="s">
        <v>1826</v>
      </c>
      <c r="P75" s="62" t="s">
        <v>68</v>
      </c>
      <c r="Q75" s="62" t="s">
        <v>2167</v>
      </c>
      <c r="R75" s="62" t="s">
        <v>2167</v>
      </c>
      <c r="S75" s="62" t="s">
        <v>69</v>
      </c>
      <c r="T75" s="61">
        <v>12498</v>
      </c>
      <c r="U75" s="61">
        <v>9613</v>
      </c>
      <c r="V75" s="61">
        <v>1</v>
      </c>
      <c r="W75" s="61">
        <v>3540</v>
      </c>
      <c r="X75" s="61">
        <v>2593</v>
      </c>
      <c r="Y75" s="61">
        <v>3341</v>
      </c>
      <c r="Z75" s="61">
        <v>2811</v>
      </c>
      <c r="AA75" s="61">
        <v>2598</v>
      </c>
      <c r="AB75" s="61">
        <v>2340</v>
      </c>
      <c r="AC75" s="61">
        <v>1568</v>
      </c>
      <c r="AD75" s="61">
        <v>1125</v>
      </c>
      <c r="AE75" s="61">
        <v>1450</v>
      </c>
      <c r="AF75" s="61">
        <v>746</v>
      </c>
      <c r="AG75" s="61"/>
      <c r="AH75" s="61">
        <v>6736</v>
      </c>
      <c r="AI75" s="61">
        <v>606</v>
      </c>
      <c r="AJ75" s="61">
        <v>10679</v>
      </c>
      <c r="AK75" s="61">
        <v>17</v>
      </c>
      <c r="AL75" s="61">
        <v>812</v>
      </c>
      <c r="AM75" s="61">
        <v>51</v>
      </c>
      <c r="AN75" s="61">
        <v>3211</v>
      </c>
      <c r="AO75" s="61">
        <v>377</v>
      </c>
      <c r="AP75" s="61">
        <v>660</v>
      </c>
      <c r="AQ75" s="61">
        <v>16</v>
      </c>
      <c r="AR75" s="61">
        <v>3</v>
      </c>
      <c r="AS75" s="61">
        <v>2</v>
      </c>
      <c r="AT75" s="61">
        <v>5</v>
      </c>
      <c r="AU75" s="61"/>
      <c r="AV75" s="61">
        <v>282</v>
      </c>
      <c r="AW75" s="61">
        <v>300</v>
      </c>
      <c r="AX75" s="61">
        <v>21</v>
      </c>
      <c r="AY75" s="61">
        <v>19879</v>
      </c>
      <c r="AZ75" s="61">
        <v>328</v>
      </c>
      <c r="BA75" s="61">
        <v>48</v>
      </c>
      <c r="BB75" s="61">
        <v>90</v>
      </c>
      <c r="BC75" s="61"/>
      <c r="BD75" s="61">
        <v>2791</v>
      </c>
      <c r="BE75" s="61">
        <v>3629</v>
      </c>
      <c r="BF75" s="61">
        <v>306</v>
      </c>
      <c r="BG75" s="61">
        <v>13535</v>
      </c>
      <c r="BH75" s="61">
        <v>1851</v>
      </c>
      <c r="BI75" s="61"/>
      <c r="BJ75" s="61">
        <v>22112</v>
      </c>
      <c r="BK75" s="61">
        <v>2624</v>
      </c>
      <c r="BL75" s="61">
        <v>17798</v>
      </c>
      <c r="BM75" s="61">
        <v>1690</v>
      </c>
      <c r="BN75" s="61">
        <v>2830</v>
      </c>
      <c r="BO75" s="61">
        <v>2403</v>
      </c>
      <c r="BP75" s="61">
        <v>1</v>
      </c>
      <c r="BQ75" s="61">
        <v>41</v>
      </c>
      <c r="BR75" s="61">
        <v>188</v>
      </c>
      <c r="BS75" s="61">
        <v>227</v>
      </c>
      <c r="BT75" s="61">
        <v>383</v>
      </c>
      <c r="BU75" s="61">
        <v>629</v>
      </c>
      <c r="BV75" s="61">
        <v>818</v>
      </c>
      <c r="BW75" s="61">
        <v>1011</v>
      </c>
      <c r="BX75" s="61">
        <v>1922</v>
      </c>
      <c r="BY75" s="61">
        <v>15</v>
      </c>
      <c r="BZ75" s="61"/>
      <c r="CA75" s="61"/>
      <c r="CB75" s="61">
        <v>2561</v>
      </c>
      <c r="CC75" s="61">
        <v>98</v>
      </c>
      <c r="CD75" s="61">
        <v>1483</v>
      </c>
      <c r="CE75" s="61">
        <v>134</v>
      </c>
      <c r="CF75" s="61">
        <v>9</v>
      </c>
      <c r="CG75" s="61">
        <v>941</v>
      </c>
      <c r="CH75" s="61">
        <v>8</v>
      </c>
      <c r="CI75" s="61">
        <v>319</v>
      </c>
      <c r="CJ75" s="61">
        <v>107</v>
      </c>
      <c r="CK75" s="61">
        <v>200</v>
      </c>
      <c r="CL75" s="61">
        <v>523</v>
      </c>
      <c r="CM75" s="61">
        <v>69</v>
      </c>
      <c r="CN75" s="61"/>
      <c r="CO75" s="61">
        <v>24</v>
      </c>
      <c r="CP75" s="61">
        <v>2517</v>
      </c>
      <c r="CQ75" s="61">
        <v>1353</v>
      </c>
      <c r="CR75" s="61">
        <v>4</v>
      </c>
      <c r="CS75" s="61">
        <v>70</v>
      </c>
      <c r="CT75" s="61">
        <v>42</v>
      </c>
      <c r="CU75" s="61"/>
      <c r="CV75" s="61">
        <v>4</v>
      </c>
      <c r="CW75" s="61">
        <v>2</v>
      </c>
      <c r="CX75" s="61">
        <v>1220</v>
      </c>
      <c r="CY75" s="61">
        <v>3314</v>
      </c>
      <c r="CZ75" s="61">
        <v>14</v>
      </c>
      <c r="DA75" s="61">
        <v>597</v>
      </c>
      <c r="DB75" s="61">
        <v>89</v>
      </c>
      <c r="DC75" s="61"/>
      <c r="DD75" s="61">
        <v>5234</v>
      </c>
      <c r="DE75" s="61">
        <v>1716</v>
      </c>
      <c r="DF75" s="61">
        <v>3115</v>
      </c>
      <c r="DG75" s="61">
        <v>403</v>
      </c>
      <c r="DH75" s="62" t="s">
        <v>2185</v>
      </c>
      <c r="DI75" s="61">
        <v>273</v>
      </c>
      <c r="DJ75" s="61">
        <v>12</v>
      </c>
      <c r="DK75" s="61">
        <v>3</v>
      </c>
      <c r="DL75" s="61">
        <v>98</v>
      </c>
      <c r="DM75" s="61"/>
      <c r="DN75" s="61"/>
    </row>
    <row r="76" spans="1:118" x14ac:dyDescent="0.25">
      <c r="A76" s="61">
        <v>106190240</v>
      </c>
      <c r="B76" s="62" t="s">
        <v>408</v>
      </c>
      <c r="C76" s="62" t="s">
        <v>409</v>
      </c>
      <c r="D76" s="62" t="s">
        <v>348</v>
      </c>
      <c r="E76" s="62" t="s">
        <v>184</v>
      </c>
      <c r="F76" s="62" t="s">
        <v>2213</v>
      </c>
      <c r="G76" s="62" t="s">
        <v>410</v>
      </c>
      <c r="H76" s="62" t="s">
        <v>411</v>
      </c>
      <c r="I76" s="62" t="s">
        <v>412</v>
      </c>
      <c r="J76" s="62" t="s">
        <v>2187</v>
      </c>
      <c r="K76" s="62"/>
      <c r="L76" s="61">
        <v>38</v>
      </c>
      <c r="M76" s="61">
        <v>63</v>
      </c>
      <c r="N76" s="61">
        <v>33</v>
      </c>
      <c r="O76" s="62" t="s">
        <v>1834</v>
      </c>
      <c r="P76" s="62" t="s">
        <v>68</v>
      </c>
      <c r="Q76" s="62" t="s">
        <v>2167</v>
      </c>
      <c r="R76" s="62" t="s">
        <v>2167</v>
      </c>
      <c r="S76" s="62" t="s">
        <v>69</v>
      </c>
      <c r="T76" s="61">
        <v>27852</v>
      </c>
      <c r="U76" s="61">
        <v>20226</v>
      </c>
      <c r="V76" s="61">
        <v>1</v>
      </c>
      <c r="W76" s="61">
        <v>5069</v>
      </c>
      <c r="X76" s="61">
        <v>5078</v>
      </c>
      <c r="Y76" s="61">
        <v>8580</v>
      </c>
      <c r="Z76" s="61">
        <v>7235</v>
      </c>
      <c r="AA76" s="61">
        <v>6197</v>
      </c>
      <c r="AB76" s="61">
        <v>6073</v>
      </c>
      <c r="AC76" s="61">
        <v>4286</v>
      </c>
      <c r="AD76" s="61">
        <v>2647</v>
      </c>
      <c r="AE76" s="61">
        <v>2252</v>
      </c>
      <c r="AF76" s="61">
        <v>662</v>
      </c>
      <c r="AG76" s="61"/>
      <c r="AH76" s="61">
        <v>2929</v>
      </c>
      <c r="AI76" s="61">
        <v>13748</v>
      </c>
      <c r="AJ76" s="61">
        <v>18071</v>
      </c>
      <c r="AK76" s="61">
        <v>54</v>
      </c>
      <c r="AL76" s="61">
        <v>2287</v>
      </c>
      <c r="AM76" s="61">
        <v>658</v>
      </c>
      <c r="AN76" s="61">
        <v>10332</v>
      </c>
      <c r="AO76" s="61">
        <v>859</v>
      </c>
      <c r="AP76" s="61">
        <v>1930</v>
      </c>
      <c r="AQ76" s="61">
        <v>117</v>
      </c>
      <c r="AR76" s="61">
        <v>199</v>
      </c>
      <c r="AS76" s="61">
        <v>18</v>
      </c>
      <c r="AT76" s="61">
        <v>2</v>
      </c>
      <c r="AU76" s="61"/>
      <c r="AV76" s="61">
        <v>69</v>
      </c>
      <c r="AW76" s="61">
        <v>266</v>
      </c>
      <c r="AX76" s="61">
        <v>3</v>
      </c>
      <c r="AY76" s="61">
        <v>44272</v>
      </c>
      <c r="AZ76" s="61">
        <v>341</v>
      </c>
      <c r="BA76" s="61"/>
      <c r="BB76" s="61"/>
      <c r="BC76" s="61"/>
      <c r="BD76" s="61">
        <v>20129</v>
      </c>
      <c r="BE76" s="61">
        <v>8948</v>
      </c>
      <c r="BF76" s="61">
        <v>496</v>
      </c>
      <c r="BG76" s="61">
        <v>12527</v>
      </c>
      <c r="BH76" s="61">
        <v>5979</v>
      </c>
      <c r="BI76" s="61"/>
      <c r="BJ76" s="61">
        <v>48079</v>
      </c>
      <c r="BK76" s="61">
        <v>146</v>
      </c>
      <c r="BL76" s="61">
        <v>45015</v>
      </c>
      <c r="BM76" s="61">
        <v>2918</v>
      </c>
      <c r="BN76" s="61">
        <v>3434</v>
      </c>
      <c r="BO76" s="61">
        <v>2956</v>
      </c>
      <c r="BP76" s="61"/>
      <c r="BQ76" s="61">
        <v>35</v>
      </c>
      <c r="BR76" s="61">
        <v>271</v>
      </c>
      <c r="BS76" s="61">
        <v>384</v>
      </c>
      <c r="BT76" s="61">
        <v>607</v>
      </c>
      <c r="BU76" s="61">
        <v>1200</v>
      </c>
      <c r="BV76" s="61">
        <v>1440</v>
      </c>
      <c r="BW76" s="61">
        <v>1172</v>
      </c>
      <c r="BX76" s="61">
        <v>1281</v>
      </c>
      <c r="BY76" s="61"/>
      <c r="BZ76" s="61"/>
      <c r="CA76" s="61"/>
      <c r="CB76" s="61">
        <v>584</v>
      </c>
      <c r="CC76" s="61">
        <v>1348</v>
      </c>
      <c r="CD76" s="61">
        <v>2093</v>
      </c>
      <c r="CE76" s="61">
        <v>353</v>
      </c>
      <c r="CF76" s="61">
        <v>45</v>
      </c>
      <c r="CG76" s="61">
        <v>1957</v>
      </c>
      <c r="CH76" s="61">
        <v>10</v>
      </c>
      <c r="CI76" s="61">
        <v>474</v>
      </c>
      <c r="CJ76" s="61">
        <v>170</v>
      </c>
      <c r="CK76" s="61">
        <v>328</v>
      </c>
      <c r="CL76" s="61">
        <v>756</v>
      </c>
      <c r="CM76" s="61">
        <v>36</v>
      </c>
      <c r="CN76" s="61"/>
      <c r="CO76" s="61">
        <v>23</v>
      </c>
      <c r="CP76" s="61">
        <v>3237</v>
      </c>
      <c r="CQ76" s="61">
        <v>1151</v>
      </c>
      <c r="CR76" s="61">
        <v>8</v>
      </c>
      <c r="CS76" s="61">
        <v>153</v>
      </c>
      <c r="CT76" s="61">
        <v>54</v>
      </c>
      <c r="CU76" s="61"/>
      <c r="CV76" s="61"/>
      <c r="CW76" s="61"/>
      <c r="CX76" s="61">
        <v>1678</v>
      </c>
      <c r="CY76" s="61">
        <v>3071</v>
      </c>
      <c r="CZ76" s="61">
        <v>331</v>
      </c>
      <c r="DA76" s="61">
        <v>1196</v>
      </c>
      <c r="DB76" s="61">
        <v>114</v>
      </c>
      <c r="DC76" s="61"/>
      <c r="DD76" s="61">
        <v>6390</v>
      </c>
      <c r="DE76" s="61">
        <v>46</v>
      </c>
      <c r="DF76" s="61">
        <v>5756</v>
      </c>
      <c r="DG76" s="61">
        <v>588</v>
      </c>
      <c r="DH76" s="62" t="s">
        <v>2185</v>
      </c>
      <c r="DI76" s="61">
        <v>172</v>
      </c>
      <c r="DJ76" s="61">
        <v>14</v>
      </c>
      <c r="DK76" s="61">
        <v>2</v>
      </c>
      <c r="DL76" s="61">
        <v>1</v>
      </c>
      <c r="DM76" s="61"/>
      <c r="DN76" s="61"/>
    </row>
    <row r="77" spans="1:118" x14ac:dyDescent="0.25">
      <c r="A77" s="61">
        <v>106190243</v>
      </c>
      <c r="B77" s="62" t="s">
        <v>413</v>
      </c>
      <c r="C77" s="62" t="s">
        <v>414</v>
      </c>
      <c r="D77" s="62" t="s">
        <v>348</v>
      </c>
      <c r="E77" s="62" t="s">
        <v>71</v>
      </c>
      <c r="F77" s="62" t="s">
        <v>2213</v>
      </c>
      <c r="G77" s="62" t="s">
        <v>415</v>
      </c>
      <c r="H77" s="62" t="s">
        <v>416</v>
      </c>
      <c r="I77" s="62" t="s">
        <v>417</v>
      </c>
      <c r="J77" s="62" t="s">
        <v>2187</v>
      </c>
      <c r="K77" s="62"/>
      <c r="L77" s="61">
        <v>40</v>
      </c>
      <c r="M77" s="61">
        <v>58</v>
      </c>
      <c r="N77" s="61">
        <v>32</v>
      </c>
      <c r="O77" s="62" t="s">
        <v>1838</v>
      </c>
      <c r="P77" s="62" t="s">
        <v>68</v>
      </c>
      <c r="Q77" s="62" t="s">
        <v>2167</v>
      </c>
      <c r="R77" s="62" t="s">
        <v>2167</v>
      </c>
      <c r="S77" s="62" t="s">
        <v>69</v>
      </c>
      <c r="T77" s="61">
        <v>24979</v>
      </c>
      <c r="U77" s="61">
        <v>18800</v>
      </c>
      <c r="V77" s="61">
        <v>1</v>
      </c>
      <c r="W77" s="61">
        <v>6740</v>
      </c>
      <c r="X77" s="61">
        <v>5523</v>
      </c>
      <c r="Y77" s="61">
        <v>7191</v>
      </c>
      <c r="Z77" s="61">
        <v>5628</v>
      </c>
      <c r="AA77" s="61">
        <v>4797</v>
      </c>
      <c r="AB77" s="61">
        <v>4402</v>
      </c>
      <c r="AC77" s="61">
        <v>3491</v>
      </c>
      <c r="AD77" s="61">
        <v>2480</v>
      </c>
      <c r="AE77" s="61">
        <v>2268</v>
      </c>
      <c r="AF77" s="61">
        <v>1259</v>
      </c>
      <c r="AG77" s="61">
        <v>1</v>
      </c>
      <c r="AH77" s="61">
        <v>743</v>
      </c>
      <c r="AI77" s="61">
        <v>1936</v>
      </c>
      <c r="AJ77" s="61">
        <v>35655</v>
      </c>
      <c r="AK77" s="61">
        <v>27</v>
      </c>
      <c r="AL77" s="61">
        <v>129</v>
      </c>
      <c r="AM77" s="61">
        <v>227</v>
      </c>
      <c r="AN77" s="61">
        <v>5063</v>
      </c>
      <c r="AO77" s="61">
        <v>1177</v>
      </c>
      <c r="AP77" s="61">
        <v>797</v>
      </c>
      <c r="AQ77" s="61">
        <v>28</v>
      </c>
      <c r="AR77" s="61">
        <v>165</v>
      </c>
      <c r="AS77" s="61">
        <v>23</v>
      </c>
      <c r="AT77" s="61">
        <v>10</v>
      </c>
      <c r="AU77" s="61"/>
      <c r="AV77" s="61">
        <v>468</v>
      </c>
      <c r="AW77" s="61">
        <v>244</v>
      </c>
      <c r="AX77" s="61">
        <v>45</v>
      </c>
      <c r="AY77" s="61">
        <v>40336</v>
      </c>
      <c r="AZ77" s="61">
        <v>276</v>
      </c>
      <c r="BA77" s="61">
        <v>125</v>
      </c>
      <c r="BB77" s="61"/>
      <c r="BC77" s="61">
        <v>71</v>
      </c>
      <c r="BD77" s="61">
        <v>24437</v>
      </c>
      <c r="BE77" s="61">
        <v>7152</v>
      </c>
      <c r="BF77" s="61">
        <v>607</v>
      </c>
      <c r="BG77" s="61">
        <v>8838</v>
      </c>
      <c r="BH77" s="61">
        <v>2746</v>
      </c>
      <c r="BI77" s="61"/>
      <c r="BJ77" s="61">
        <v>43780</v>
      </c>
      <c r="BK77" s="61">
        <v>96</v>
      </c>
      <c r="BL77" s="61">
        <v>34448</v>
      </c>
      <c r="BM77" s="61">
        <v>9236</v>
      </c>
      <c r="BN77" s="61">
        <v>2889</v>
      </c>
      <c r="BO77" s="61">
        <v>2594</v>
      </c>
      <c r="BP77" s="61"/>
      <c r="BQ77" s="61">
        <v>33</v>
      </c>
      <c r="BR77" s="61">
        <v>290</v>
      </c>
      <c r="BS77" s="61">
        <v>384</v>
      </c>
      <c r="BT77" s="61">
        <v>485</v>
      </c>
      <c r="BU77" s="61">
        <v>779</v>
      </c>
      <c r="BV77" s="61">
        <v>1059</v>
      </c>
      <c r="BW77" s="61">
        <v>1024</v>
      </c>
      <c r="BX77" s="61">
        <v>1422</v>
      </c>
      <c r="BY77" s="61">
        <v>7</v>
      </c>
      <c r="BZ77" s="61"/>
      <c r="CA77" s="61"/>
      <c r="CB77" s="61">
        <v>204</v>
      </c>
      <c r="CC77" s="61">
        <v>292</v>
      </c>
      <c r="CD77" s="61">
        <v>3668</v>
      </c>
      <c r="CE77" s="61">
        <v>20</v>
      </c>
      <c r="CF77" s="61"/>
      <c r="CG77" s="61">
        <v>1296</v>
      </c>
      <c r="CH77" s="61">
        <v>3</v>
      </c>
      <c r="CI77" s="61">
        <v>284</v>
      </c>
      <c r="CJ77" s="61">
        <v>90</v>
      </c>
      <c r="CK77" s="61">
        <v>157</v>
      </c>
      <c r="CL77" s="61">
        <v>662</v>
      </c>
      <c r="CM77" s="61">
        <v>12</v>
      </c>
      <c r="CN77" s="61"/>
      <c r="CO77" s="61">
        <v>43</v>
      </c>
      <c r="CP77" s="61">
        <v>3058</v>
      </c>
      <c r="CQ77" s="61">
        <v>1008</v>
      </c>
      <c r="CR77" s="61">
        <v>2</v>
      </c>
      <c r="CS77" s="61">
        <v>153</v>
      </c>
      <c r="CT77" s="61">
        <v>14</v>
      </c>
      <c r="CU77" s="61"/>
      <c r="CV77" s="61"/>
      <c r="CW77" s="61"/>
      <c r="CX77" s="61">
        <v>1369</v>
      </c>
      <c r="CY77" s="61">
        <v>3244</v>
      </c>
      <c r="CZ77" s="61">
        <v>25</v>
      </c>
      <c r="DA77" s="61">
        <v>779</v>
      </c>
      <c r="DB77" s="61">
        <v>66</v>
      </c>
      <c r="DC77" s="61"/>
      <c r="DD77" s="61">
        <v>5483</v>
      </c>
      <c r="DE77" s="61">
        <v>40</v>
      </c>
      <c r="DF77" s="61">
        <v>3705</v>
      </c>
      <c r="DG77" s="61">
        <v>1738</v>
      </c>
      <c r="DH77" s="62" t="s">
        <v>2185</v>
      </c>
      <c r="DI77" s="61">
        <v>199</v>
      </c>
      <c r="DJ77" s="61">
        <v>22</v>
      </c>
      <c r="DK77" s="61"/>
      <c r="DL77" s="61">
        <v>15</v>
      </c>
      <c r="DM77" s="61"/>
      <c r="DN77" s="61"/>
    </row>
    <row r="78" spans="1:118" x14ac:dyDescent="0.25">
      <c r="A78" s="61">
        <v>106190256</v>
      </c>
      <c r="B78" s="62" t="s">
        <v>418</v>
      </c>
      <c r="C78" s="62" t="s">
        <v>419</v>
      </c>
      <c r="D78" s="62" t="s">
        <v>348</v>
      </c>
      <c r="E78" s="62" t="s">
        <v>349</v>
      </c>
      <c r="F78" s="62" t="s">
        <v>2213</v>
      </c>
      <c r="G78" s="62" t="s">
        <v>420</v>
      </c>
      <c r="H78" s="62" t="s">
        <v>348</v>
      </c>
      <c r="I78" s="62" t="s">
        <v>402</v>
      </c>
      <c r="J78" s="62" t="s">
        <v>2189</v>
      </c>
      <c r="K78" s="62"/>
      <c r="L78" s="61">
        <v>40</v>
      </c>
      <c r="M78" s="61">
        <v>51</v>
      </c>
      <c r="N78" s="61">
        <v>24</v>
      </c>
      <c r="O78" s="62" t="s">
        <v>1837</v>
      </c>
      <c r="P78" s="62" t="s">
        <v>68</v>
      </c>
      <c r="Q78" s="62" t="s">
        <v>2167</v>
      </c>
      <c r="R78" s="62" t="s">
        <v>2167</v>
      </c>
      <c r="S78" s="62" t="s">
        <v>69</v>
      </c>
      <c r="T78" s="61">
        <v>7444</v>
      </c>
      <c r="U78" s="61">
        <v>6577</v>
      </c>
      <c r="V78" s="61"/>
      <c r="W78" s="61">
        <v>2288</v>
      </c>
      <c r="X78" s="61">
        <v>1819</v>
      </c>
      <c r="Y78" s="61">
        <v>2686</v>
      </c>
      <c r="Z78" s="61">
        <v>2132</v>
      </c>
      <c r="AA78" s="61">
        <v>1838</v>
      </c>
      <c r="AB78" s="61">
        <v>1519</v>
      </c>
      <c r="AC78" s="61">
        <v>677</v>
      </c>
      <c r="AD78" s="61">
        <v>397</v>
      </c>
      <c r="AE78" s="61">
        <v>274</v>
      </c>
      <c r="AF78" s="61">
        <v>391</v>
      </c>
      <c r="AG78" s="61"/>
      <c r="AH78" s="61">
        <v>64</v>
      </c>
      <c r="AI78" s="61">
        <v>279</v>
      </c>
      <c r="AJ78" s="61">
        <v>13254</v>
      </c>
      <c r="AK78" s="61">
        <v>6</v>
      </c>
      <c r="AL78" s="61">
        <v>16</v>
      </c>
      <c r="AM78" s="61"/>
      <c r="AN78" s="61">
        <v>402</v>
      </c>
      <c r="AO78" s="61">
        <v>223</v>
      </c>
      <c r="AP78" s="61">
        <v>1087</v>
      </c>
      <c r="AQ78" s="61">
        <v>11</v>
      </c>
      <c r="AR78" s="61">
        <v>2</v>
      </c>
      <c r="AS78" s="61"/>
      <c r="AT78" s="61"/>
      <c r="AU78" s="61"/>
      <c r="AV78" s="61">
        <v>487</v>
      </c>
      <c r="AW78" s="61">
        <v>10</v>
      </c>
      <c r="AX78" s="61"/>
      <c r="AY78" s="61">
        <v>12196</v>
      </c>
      <c r="AZ78" s="61">
        <v>3</v>
      </c>
      <c r="BA78" s="61"/>
      <c r="BB78" s="61">
        <v>2</v>
      </c>
      <c r="BC78" s="61"/>
      <c r="BD78" s="61">
        <v>10171</v>
      </c>
      <c r="BE78" s="61">
        <v>1096</v>
      </c>
      <c r="BF78" s="61">
        <v>590</v>
      </c>
      <c r="BG78" s="61">
        <v>782</v>
      </c>
      <c r="BH78" s="61">
        <v>1382</v>
      </c>
      <c r="BI78" s="61"/>
      <c r="BJ78" s="61">
        <v>14021</v>
      </c>
      <c r="BK78" s="61">
        <v>13</v>
      </c>
      <c r="BL78" s="61">
        <v>8855</v>
      </c>
      <c r="BM78" s="61">
        <v>5153</v>
      </c>
      <c r="BN78" s="61">
        <v>1060</v>
      </c>
      <c r="BO78" s="61">
        <v>1058</v>
      </c>
      <c r="BP78" s="61"/>
      <c r="BQ78" s="61">
        <v>55</v>
      </c>
      <c r="BR78" s="61">
        <v>103</v>
      </c>
      <c r="BS78" s="61">
        <v>169</v>
      </c>
      <c r="BT78" s="61">
        <v>264</v>
      </c>
      <c r="BU78" s="61">
        <v>448</v>
      </c>
      <c r="BV78" s="61">
        <v>373</v>
      </c>
      <c r="BW78" s="61">
        <v>296</v>
      </c>
      <c r="BX78" s="61">
        <v>321</v>
      </c>
      <c r="BY78" s="61">
        <v>26</v>
      </c>
      <c r="BZ78" s="61">
        <v>63</v>
      </c>
      <c r="CA78" s="61"/>
      <c r="CB78" s="61">
        <v>23</v>
      </c>
      <c r="CC78" s="61">
        <v>95</v>
      </c>
      <c r="CD78" s="61">
        <v>1843</v>
      </c>
      <c r="CE78" s="61">
        <v>6</v>
      </c>
      <c r="CF78" s="61">
        <v>1</v>
      </c>
      <c r="CG78" s="61">
        <v>149</v>
      </c>
      <c r="CH78" s="61">
        <v>1</v>
      </c>
      <c r="CI78" s="61">
        <v>103</v>
      </c>
      <c r="CJ78" s="61">
        <v>148</v>
      </c>
      <c r="CK78" s="61">
        <v>70</v>
      </c>
      <c r="CL78" s="61">
        <v>140</v>
      </c>
      <c r="CM78" s="61"/>
      <c r="CN78" s="61"/>
      <c r="CO78" s="61">
        <v>3</v>
      </c>
      <c r="CP78" s="61">
        <v>1328</v>
      </c>
      <c r="CQ78" s="61">
        <v>316</v>
      </c>
      <c r="CR78" s="61"/>
      <c r="CS78" s="61"/>
      <c r="CT78" s="61">
        <v>6</v>
      </c>
      <c r="CU78" s="61"/>
      <c r="CV78" s="61"/>
      <c r="CW78" s="61"/>
      <c r="CX78" s="61">
        <v>1259</v>
      </c>
      <c r="CY78" s="61">
        <v>752</v>
      </c>
      <c r="CZ78" s="61">
        <v>5</v>
      </c>
      <c r="DA78" s="61">
        <v>90</v>
      </c>
      <c r="DB78" s="61">
        <v>12</v>
      </c>
      <c r="DC78" s="61"/>
      <c r="DD78" s="61">
        <v>2118</v>
      </c>
      <c r="DE78" s="61">
        <v>1</v>
      </c>
      <c r="DF78" s="61">
        <v>1885</v>
      </c>
      <c r="DG78" s="61">
        <v>232</v>
      </c>
      <c r="DH78" s="62" t="s">
        <v>2185</v>
      </c>
      <c r="DI78" s="61">
        <v>127</v>
      </c>
      <c r="DJ78" s="61">
        <v>8</v>
      </c>
      <c r="DK78" s="61"/>
      <c r="DL78" s="61"/>
      <c r="DM78" s="61"/>
      <c r="DN78" s="61">
        <v>4</v>
      </c>
    </row>
    <row r="79" spans="1:118" x14ac:dyDescent="0.25">
      <c r="A79" s="61">
        <v>106190280</v>
      </c>
      <c r="B79" s="62" t="s">
        <v>421</v>
      </c>
      <c r="C79" s="62" t="s">
        <v>422</v>
      </c>
      <c r="D79" s="62" t="s">
        <v>348</v>
      </c>
      <c r="E79" s="62" t="s">
        <v>71</v>
      </c>
      <c r="F79" s="62" t="s">
        <v>2213</v>
      </c>
      <c r="G79" s="62" t="s">
        <v>423</v>
      </c>
      <c r="H79" s="62" t="s">
        <v>424</v>
      </c>
      <c r="I79" s="62" t="s">
        <v>425</v>
      </c>
      <c r="J79" s="62" t="s">
        <v>2189</v>
      </c>
      <c r="K79" s="62"/>
      <c r="L79" s="61">
        <v>30</v>
      </c>
      <c r="M79" s="61">
        <v>45</v>
      </c>
      <c r="N79" s="61">
        <v>27</v>
      </c>
      <c r="O79" s="62" t="s">
        <v>1839</v>
      </c>
      <c r="P79" s="62" t="s">
        <v>68</v>
      </c>
      <c r="Q79" s="62" t="s">
        <v>2167</v>
      </c>
      <c r="R79" s="62" t="s">
        <v>2167</v>
      </c>
      <c r="S79" s="62" t="s">
        <v>69</v>
      </c>
      <c r="T79" s="61">
        <v>5080</v>
      </c>
      <c r="U79" s="61">
        <v>4124</v>
      </c>
      <c r="V79" s="61"/>
      <c r="W79" s="61">
        <v>596</v>
      </c>
      <c r="X79" s="61">
        <v>701</v>
      </c>
      <c r="Y79" s="61">
        <v>1532</v>
      </c>
      <c r="Z79" s="61">
        <v>1752</v>
      </c>
      <c r="AA79" s="61">
        <v>1405</v>
      </c>
      <c r="AB79" s="61">
        <v>1334</v>
      </c>
      <c r="AC79" s="61">
        <v>783</v>
      </c>
      <c r="AD79" s="61">
        <v>580</v>
      </c>
      <c r="AE79" s="61">
        <v>488</v>
      </c>
      <c r="AF79" s="61">
        <v>33</v>
      </c>
      <c r="AG79" s="61"/>
      <c r="AH79" s="61">
        <v>214</v>
      </c>
      <c r="AI79" s="61">
        <v>1012</v>
      </c>
      <c r="AJ79" s="61">
        <v>1230</v>
      </c>
      <c r="AK79" s="61">
        <v>2</v>
      </c>
      <c r="AL79" s="61">
        <v>575</v>
      </c>
      <c r="AM79" s="61">
        <v>32</v>
      </c>
      <c r="AN79" s="61">
        <v>6139</v>
      </c>
      <c r="AO79" s="61">
        <v>162</v>
      </c>
      <c r="AP79" s="61">
        <v>456</v>
      </c>
      <c r="AQ79" s="61">
        <v>7</v>
      </c>
      <c r="AR79" s="61"/>
      <c r="AS79" s="61"/>
      <c r="AT79" s="61"/>
      <c r="AU79" s="61"/>
      <c r="AV79" s="61">
        <v>23</v>
      </c>
      <c r="AW79" s="61">
        <v>1</v>
      </c>
      <c r="AX79" s="61"/>
      <c r="AY79" s="61">
        <v>8544</v>
      </c>
      <c r="AZ79" s="61"/>
      <c r="BA79" s="61"/>
      <c r="BB79" s="61"/>
      <c r="BC79" s="61"/>
      <c r="BD79" s="61">
        <v>3706</v>
      </c>
      <c r="BE79" s="61">
        <v>1883</v>
      </c>
      <c r="BF79" s="61">
        <v>122</v>
      </c>
      <c r="BG79" s="61">
        <v>2434</v>
      </c>
      <c r="BH79" s="61">
        <v>1059</v>
      </c>
      <c r="BI79" s="61"/>
      <c r="BJ79" s="61">
        <v>9204</v>
      </c>
      <c r="BK79" s="61">
        <v>83</v>
      </c>
      <c r="BL79" s="61">
        <v>9017</v>
      </c>
      <c r="BM79" s="61">
        <v>104</v>
      </c>
      <c r="BN79" s="61">
        <v>1246</v>
      </c>
      <c r="BO79" s="61">
        <v>1038</v>
      </c>
      <c r="BP79" s="61"/>
      <c r="BQ79" s="61">
        <v>11</v>
      </c>
      <c r="BR79" s="61">
        <v>91</v>
      </c>
      <c r="BS79" s="61">
        <v>96</v>
      </c>
      <c r="BT79" s="61">
        <v>167</v>
      </c>
      <c r="BU79" s="61">
        <v>310</v>
      </c>
      <c r="BV79" s="61">
        <v>387</v>
      </c>
      <c r="BW79" s="61">
        <v>418</v>
      </c>
      <c r="BX79" s="61">
        <v>804</v>
      </c>
      <c r="BY79" s="61"/>
      <c r="BZ79" s="61"/>
      <c r="CA79" s="61"/>
      <c r="CB79" s="61">
        <v>59</v>
      </c>
      <c r="CC79" s="61">
        <v>161</v>
      </c>
      <c r="CD79" s="61">
        <v>174</v>
      </c>
      <c r="CE79" s="61">
        <v>82</v>
      </c>
      <c r="CF79" s="61">
        <v>11</v>
      </c>
      <c r="CG79" s="61">
        <v>1797</v>
      </c>
      <c r="CH79" s="61"/>
      <c r="CI79" s="61">
        <v>108</v>
      </c>
      <c r="CJ79" s="61">
        <v>82</v>
      </c>
      <c r="CK79" s="61">
        <v>43</v>
      </c>
      <c r="CL79" s="61">
        <v>247</v>
      </c>
      <c r="CM79" s="61">
        <v>14</v>
      </c>
      <c r="CN79" s="61"/>
      <c r="CO79" s="61">
        <v>159</v>
      </c>
      <c r="CP79" s="61">
        <v>915</v>
      </c>
      <c r="CQ79" s="61">
        <v>641</v>
      </c>
      <c r="CR79" s="61"/>
      <c r="CS79" s="61">
        <v>20</v>
      </c>
      <c r="CT79" s="61">
        <v>53</v>
      </c>
      <c r="CU79" s="61"/>
      <c r="CV79" s="61">
        <v>1</v>
      </c>
      <c r="CW79" s="61">
        <v>1</v>
      </c>
      <c r="CX79" s="61">
        <v>382</v>
      </c>
      <c r="CY79" s="61">
        <v>1644</v>
      </c>
      <c r="CZ79" s="61">
        <v>3</v>
      </c>
      <c r="DA79" s="61">
        <v>218</v>
      </c>
      <c r="DB79" s="61">
        <v>37</v>
      </c>
      <c r="DC79" s="61"/>
      <c r="DD79" s="61">
        <v>2284</v>
      </c>
      <c r="DE79" s="61">
        <v>82</v>
      </c>
      <c r="DF79" s="61">
        <v>2160</v>
      </c>
      <c r="DG79" s="61">
        <v>42</v>
      </c>
      <c r="DH79" s="62" t="s">
        <v>2185</v>
      </c>
      <c r="DI79" s="61">
        <v>148</v>
      </c>
      <c r="DJ79" s="61">
        <v>8</v>
      </c>
      <c r="DK79" s="61"/>
      <c r="DL79" s="61">
        <v>11</v>
      </c>
      <c r="DM79" s="61"/>
      <c r="DN79" s="61"/>
    </row>
    <row r="80" spans="1:118" x14ac:dyDescent="0.25">
      <c r="A80" s="61">
        <v>106190298</v>
      </c>
      <c r="B80" s="62" t="s">
        <v>426</v>
      </c>
      <c r="C80" s="62" t="s">
        <v>427</v>
      </c>
      <c r="D80" s="62" t="s">
        <v>348</v>
      </c>
      <c r="E80" s="62" t="s">
        <v>71</v>
      </c>
      <c r="F80" s="62" t="s">
        <v>2213</v>
      </c>
      <c r="G80" s="62" t="s">
        <v>428</v>
      </c>
      <c r="H80" s="62" t="s">
        <v>429</v>
      </c>
      <c r="I80" s="62" t="s">
        <v>430</v>
      </c>
      <c r="J80" s="62" t="s">
        <v>2189</v>
      </c>
      <c r="K80" s="62"/>
      <c r="L80" s="61">
        <v>27</v>
      </c>
      <c r="M80" s="61">
        <v>48</v>
      </c>
      <c r="N80" s="61">
        <v>25</v>
      </c>
      <c r="O80" s="62" t="s">
        <v>1840</v>
      </c>
      <c r="P80" s="62" t="s">
        <v>68</v>
      </c>
      <c r="Q80" s="62" t="s">
        <v>2167</v>
      </c>
      <c r="R80" s="62" t="s">
        <v>2167</v>
      </c>
      <c r="S80" s="62" t="s">
        <v>69</v>
      </c>
      <c r="T80" s="61">
        <v>12342</v>
      </c>
      <c r="U80" s="61">
        <v>9139</v>
      </c>
      <c r="V80" s="61">
        <v>3</v>
      </c>
      <c r="W80" s="61">
        <v>3159</v>
      </c>
      <c r="X80" s="61">
        <v>3028</v>
      </c>
      <c r="Y80" s="61">
        <v>3725</v>
      </c>
      <c r="Z80" s="61">
        <v>2881</v>
      </c>
      <c r="AA80" s="61">
        <v>2420</v>
      </c>
      <c r="AB80" s="61">
        <v>2687</v>
      </c>
      <c r="AC80" s="61">
        <v>1610</v>
      </c>
      <c r="AD80" s="61">
        <v>891</v>
      </c>
      <c r="AE80" s="61">
        <v>755</v>
      </c>
      <c r="AF80" s="61">
        <v>328</v>
      </c>
      <c r="AG80" s="61"/>
      <c r="AH80" s="61">
        <v>712</v>
      </c>
      <c r="AI80" s="61">
        <v>829</v>
      </c>
      <c r="AJ80" s="61">
        <v>10304</v>
      </c>
      <c r="AK80" s="61">
        <v>39</v>
      </c>
      <c r="AL80" s="61">
        <v>195</v>
      </c>
      <c r="AM80" s="61">
        <v>35</v>
      </c>
      <c r="AN80" s="61">
        <v>9370</v>
      </c>
      <c r="AO80" s="61">
        <v>322</v>
      </c>
      <c r="AP80" s="61">
        <v>318</v>
      </c>
      <c r="AQ80" s="61">
        <v>11</v>
      </c>
      <c r="AR80" s="61">
        <v>3</v>
      </c>
      <c r="AS80" s="61">
        <v>7</v>
      </c>
      <c r="AT80" s="61"/>
      <c r="AU80" s="61"/>
      <c r="AV80" s="61"/>
      <c r="AW80" s="61">
        <v>234</v>
      </c>
      <c r="AX80" s="61">
        <v>5</v>
      </c>
      <c r="AY80" s="61">
        <v>20461</v>
      </c>
      <c r="AZ80" s="61">
        <v>104</v>
      </c>
      <c r="BA80" s="61">
        <v>11</v>
      </c>
      <c r="BB80" s="61"/>
      <c r="BC80" s="61"/>
      <c r="BD80" s="61">
        <v>53</v>
      </c>
      <c r="BE80" s="61">
        <v>2641</v>
      </c>
      <c r="BF80" s="61">
        <v>43</v>
      </c>
      <c r="BG80" s="61">
        <v>16564</v>
      </c>
      <c r="BH80" s="61">
        <v>2183</v>
      </c>
      <c r="BI80" s="61"/>
      <c r="BJ80" s="61">
        <v>21484</v>
      </c>
      <c r="BK80" s="61">
        <v>527</v>
      </c>
      <c r="BL80" s="61">
        <v>19398</v>
      </c>
      <c r="BM80" s="61">
        <v>1559</v>
      </c>
      <c r="BN80" s="61">
        <v>2292</v>
      </c>
      <c r="BO80" s="61">
        <v>1816</v>
      </c>
      <c r="BP80" s="61"/>
      <c r="BQ80" s="61">
        <v>59</v>
      </c>
      <c r="BR80" s="61">
        <v>271</v>
      </c>
      <c r="BS80" s="61">
        <v>278</v>
      </c>
      <c r="BT80" s="61">
        <v>404</v>
      </c>
      <c r="BU80" s="61">
        <v>690</v>
      </c>
      <c r="BV80" s="61">
        <v>720</v>
      </c>
      <c r="BW80" s="61">
        <v>733</v>
      </c>
      <c r="BX80" s="61">
        <v>952</v>
      </c>
      <c r="BY80" s="61"/>
      <c r="BZ80" s="61">
        <v>1</v>
      </c>
      <c r="CA80" s="61"/>
      <c r="CB80" s="61">
        <v>197</v>
      </c>
      <c r="CC80" s="61">
        <v>132</v>
      </c>
      <c r="CD80" s="61">
        <v>1445</v>
      </c>
      <c r="CE80" s="61">
        <v>20</v>
      </c>
      <c r="CF80" s="61">
        <v>1</v>
      </c>
      <c r="CG80" s="61">
        <v>2310</v>
      </c>
      <c r="CH80" s="61">
        <v>3</v>
      </c>
      <c r="CI80" s="61">
        <v>8</v>
      </c>
      <c r="CJ80" s="61">
        <v>743</v>
      </c>
      <c r="CK80" s="61">
        <v>103</v>
      </c>
      <c r="CL80" s="61">
        <v>37</v>
      </c>
      <c r="CM80" s="61"/>
      <c r="CN80" s="61"/>
      <c r="CO80" s="61">
        <v>67</v>
      </c>
      <c r="CP80" s="61">
        <v>2440</v>
      </c>
      <c r="CQ80" s="61">
        <v>13</v>
      </c>
      <c r="CR80" s="61">
        <v>1</v>
      </c>
      <c r="CS80" s="61">
        <v>412</v>
      </c>
      <c r="CT80" s="61"/>
      <c r="CU80" s="61">
        <v>283</v>
      </c>
      <c r="CV80" s="61"/>
      <c r="CW80" s="61"/>
      <c r="CX80" s="61">
        <v>1103</v>
      </c>
      <c r="CY80" s="61">
        <v>2001</v>
      </c>
      <c r="CZ80" s="61">
        <v>37</v>
      </c>
      <c r="DA80" s="61">
        <v>909</v>
      </c>
      <c r="DB80" s="61">
        <v>58</v>
      </c>
      <c r="DC80" s="61"/>
      <c r="DD80" s="61">
        <v>4108</v>
      </c>
      <c r="DE80" s="61">
        <v>174</v>
      </c>
      <c r="DF80" s="61">
        <v>3494</v>
      </c>
      <c r="DG80" s="61">
        <v>440</v>
      </c>
      <c r="DH80" s="62" t="s">
        <v>2185</v>
      </c>
      <c r="DI80" s="61">
        <v>105</v>
      </c>
      <c r="DJ80" s="61">
        <v>23</v>
      </c>
      <c r="DK80" s="61"/>
      <c r="DL80" s="61">
        <v>8</v>
      </c>
      <c r="DM80" s="61">
        <v>1</v>
      </c>
      <c r="DN80" s="61"/>
    </row>
    <row r="81" spans="1:118" x14ac:dyDescent="0.25">
      <c r="A81" s="61">
        <v>106190315</v>
      </c>
      <c r="B81" s="62" t="s">
        <v>431</v>
      </c>
      <c r="C81" s="62" t="s">
        <v>432</v>
      </c>
      <c r="D81" s="62" t="s">
        <v>348</v>
      </c>
      <c r="E81" s="62" t="s">
        <v>349</v>
      </c>
      <c r="F81" s="62" t="s">
        <v>2213</v>
      </c>
      <c r="G81" s="62" t="s">
        <v>433</v>
      </c>
      <c r="H81" s="62" t="s">
        <v>434</v>
      </c>
      <c r="I81" s="62" t="s">
        <v>435</v>
      </c>
      <c r="J81" s="62" t="s">
        <v>2184</v>
      </c>
      <c r="K81" s="62"/>
      <c r="L81" s="61">
        <v>27</v>
      </c>
      <c r="M81" s="61">
        <v>49</v>
      </c>
      <c r="N81" s="61">
        <v>22</v>
      </c>
      <c r="O81" s="62" t="s">
        <v>1841</v>
      </c>
      <c r="P81" s="62" t="s">
        <v>68</v>
      </c>
      <c r="Q81" s="62" t="s">
        <v>2167</v>
      </c>
      <c r="R81" s="62" t="s">
        <v>2167</v>
      </c>
      <c r="S81" s="62" t="s">
        <v>69</v>
      </c>
      <c r="T81" s="61">
        <v>11912</v>
      </c>
      <c r="U81" s="61">
        <v>9997</v>
      </c>
      <c r="V81" s="61"/>
      <c r="W81" s="61">
        <v>3640</v>
      </c>
      <c r="X81" s="61">
        <v>2207</v>
      </c>
      <c r="Y81" s="61">
        <v>3044</v>
      </c>
      <c r="Z81" s="61">
        <v>2499</v>
      </c>
      <c r="AA81" s="61">
        <v>2503</v>
      </c>
      <c r="AB81" s="61">
        <v>2682</v>
      </c>
      <c r="AC81" s="61">
        <v>1768</v>
      </c>
      <c r="AD81" s="61">
        <v>1291</v>
      </c>
      <c r="AE81" s="61">
        <v>1372</v>
      </c>
      <c r="AF81" s="61">
        <v>903</v>
      </c>
      <c r="AG81" s="61"/>
      <c r="AH81" s="61">
        <v>9181</v>
      </c>
      <c r="AI81" s="61">
        <v>505</v>
      </c>
      <c r="AJ81" s="61">
        <v>10950</v>
      </c>
      <c r="AK81" s="61">
        <v>3</v>
      </c>
      <c r="AL81" s="61">
        <v>51</v>
      </c>
      <c r="AM81" s="61">
        <v>3</v>
      </c>
      <c r="AN81" s="61">
        <v>1216</v>
      </c>
      <c r="AO81" s="61">
        <v>317</v>
      </c>
      <c r="AP81" s="61">
        <v>877</v>
      </c>
      <c r="AQ81" s="61">
        <v>50</v>
      </c>
      <c r="AR81" s="61">
        <v>12</v>
      </c>
      <c r="AS81" s="61"/>
      <c r="AT81" s="61"/>
      <c r="AU81" s="61"/>
      <c r="AV81" s="61">
        <v>90</v>
      </c>
      <c r="AW81" s="61">
        <v>177</v>
      </c>
      <c r="AX81" s="61">
        <v>2</v>
      </c>
      <c r="AY81" s="61">
        <v>20278</v>
      </c>
      <c r="AZ81" s="61">
        <v>75</v>
      </c>
      <c r="BA81" s="61">
        <v>23</v>
      </c>
      <c r="BB81" s="61">
        <v>1</v>
      </c>
      <c r="BC81" s="61"/>
      <c r="BD81" s="61">
        <v>2887</v>
      </c>
      <c r="BE81" s="61">
        <v>3564</v>
      </c>
      <c r="BF81" s="61">
        <v>329</v>
      </c>
      <c r="BG81" s="61">
        <v>13191</v>
      </c>
      <c r="BH81" s="61">
        <v>1938</v>
      </c>
      <c r="BI81" s="61"/>
      <c r="BJ81" s="61">
        <v>21909</v>
      </c>
      <c r="BK81" s="61">
        <v>4815</v>
      </c>
      <c r="BL81" s="61">
        <v>14647</v>
      </c>
      <c r="BM81" s="61">
        <v>2447</v>
      </c>
      <c r="BN81" s="61">
        <v>3240</v>
      </c>
      <c r="BO81" s="61">
        <v>3185</v>
      </c>
      <c r="BP81" s="61">
        <v>1</v>
      </c>
      <c r="BQ81" s="61">
        <v>70</v>
      </c>
      <c r="BR81" s="61">
        <v>170</v>
      </c>
      <c r="BS81" s="61">
        <v>282</v>
      </c>
      <c r="BT81" s="61">
        <v>509</v>
      </c>
      <c r="BU81" s="61">
        <v>915</v>
      </c>
      <c r="BV81" s="61">
        <v>1118</v>
      </c>
      <c r="BW81" s="61">
        <v>1220</v>
      </c>
      <c r="BX81" s="61">
        <v>2111</v>
      </c>
      <c r="BY81" s="61">
        <v>14</v>
      </c>
      <c r="BZ81" s="61">
        <v>17</v>
      </c>
      <c r="CA81" s="61"/>
      <c r="CB81" s="61">
        <v>4136</v>
      </c>
      <c r="CC81" s="61">
        <v>133</v>
      </c>
      <c r="CD81" s="61">
        <v>1775</v>
      </c>
      <c r="CE81" s="61">
        <v>16</v>
      </c>
      <c r="CF81" s="61">
        <v>6</v>
      </c>
      <c r="CG81" s="61">
        <v>358</v>
      </c>
      <c r="CH81" s="61">
        <v>2</v>
      </c>
      <c r="CI81" s="61">
        <v>208</v>
      </c>
      <c r="CJ81" s="61">
        <v>195</v>
      </c>
      <c r="CK81" s="61">
        <v>281</v>
      </c>
      <c r="CL81" s="61">
        <v>1221</v>
      </c>
      <c r="CM81" s="61">
        <v>329</v>
      </c>
      <c r="CN81" s="61"/>
      <c r="CO81" s="61">
        <v>4</v>
      </c>
      <c r="CP81" s="61">
        <v>3296</v>
      </c>
      <c r="CQ81" s="61">
        <v>764</v>
      </c>
      <c r="CR81" s="61">
        <v>2</v>
      </c>
      <c r="CS81" s="61">
        <v>75</v>
      </c>
      <c r="CT81" s="61">
        <v>37</v>
      </c>
      <c r="CU81" s="61">
        <v>8</v>
      </c>
      <c r="CV81" s="61">
        <v>1</v>
      </c>
      <c r="CW81" s="61">
        <v>4</v>
      </c>
      <c r="CX81" s="61">
        <v>2005</v>
      </c>
      <c r="CY81" s="61">
        <v>3609</v>
      </c>
      <c r="CZ81" s="61">
        <v>18</v>
      </c>
      <c r="DA81" s="61">
        <v>711</v>
      </c>
      <c r="DB81" s="61">
        <v>83</v>
      </c>
      <c r="DC81" s="61"/>
      <c r="DD81" s="61">
        <v>6426</v>
      </c>
      <c r="DE81" s="61">
        <v>2857</v>
      </c>
      <c r="DF81" s="61">
        <v>2870</v>
      </c>
      <c r="DG81" s="61">
        <v>699</v>
      </c>
      <c r="DH81" s="62" t="s">
        <v>2185</v>
      </c>
      <c r="DI81" s="61">
        <v>210</v>
      </c>
      <c r="DJ81" s="61">
        <v>21</v>
      </c>
      <c r="DK81" s="61"/>
      <c r="DL81" s="61">
        <v>7</v>
      </c>
      <c r="DM81" s="61">
        <v>1</v>
      </c>
      <c r="DN81" s="61"/>
    </row>
    <row r="82" spans="1:118" x14ac:dyDescent="0.25">
      <c r="A82" s="61">
        <v>106190323</v>
      </c>
      <c r="B82" s="62" t="s">
        <v>436</v>
      </c>
      <c r="C82" s="62" t="s">
        <v>1757</v>
      </c>
      <c r="D82" s="62" t="s">
        <v>348</v>
      </c>
      <c r="E82" s="62" t="s">
        <v>71</v>
      </c>
      <c r="F82" s="62" t="s">
        <v>2213</v>
      </c>
      <c r="G82" s="62" t="s">
        <v>1758</v>
      </c>
      <c r="H82" s="62" t="s">
        <v>437</v>
      </c>
      <c r="I82" s="62" t="s">
        <v>438</v>
      </c>
      <c r="J82" s="62" t="s">
        <v>2191</v>
      </c>
      <c r="K82" s="62"/>
      <c r="L82" s="61">
        <v>28</v>
      </c>
      <c r="M82" s="61">
        <v>43</v>
      </c>
      <c r="N82" s="61">
        <v>25</v>
      </c>
      <c r="O82" s="62" t="s">
        <v>1842</v>
      </c>
      <c r="P82" s="62" t="s">
        <v>68</v>
      </c>
      <c r="Q82" s="62" t="s">
        <v>2167</v>
      </c>
      <c r="R82" s="62" t="s">
        <v>2167</v>
      </c>
      <c r="S82" s="62" t="s">
        <v>69</v>
      </c>
      <c r="T82" s="61">
        <v>24461</v>
      </c>
      <c r="U82" s="61">
        <v>18826</v>
      </c>
      <c r="V82" s="61">
        <v>1</v>
      </c>
      <c r="W82" s="61">
        <v>4591</v>
      </c>
      <c r="X82" s="61">
        <v>3907</v>
      </c>
      <c r="Y82" s="61">
        <v>6941</v>
      </c>
      <c r="Z82" s="61">
        <v>6245</v>
      </c>
      <c r="AA82" s="61">
        <v>5199</v>
      </c>
      <c r="AB82" s="61">
        <v>5646</v>
      </c>
      <c r="AC82" s="61">
        <v>4312</v>
      </c>
      <c r="AD82" s="61">
        <v>2842</v>
      </c>
      <c r="AE82" s="61">
        <v>2762</v>
      </c>
      <c r="AF82" s="61">
        <v>841</v>
      </c>
      <c r="AG82" s="61">
        <v>2</v>
      </c>
      <c r="AH82" s="61">
        <v>1969</v>
      </c>
      <c r="AI82" s="61">
        <v>1139</v>
      </c>
      <c r="AJ82" s="61">
        <v>13217</v>
      </c>
      <c r="AK82" s="61">
        <v>50</v>
      </c>
      <c r="AL82" s="61">
        <v>490</v>
      </c>
      <c r="AM82" s="61">
        <v>371</v>
      </c>
      <c r="AN82" s="61">
        <v>26052</v>
      </c>
      <c r="AO82" s="61">
        <v>911</v>
      </c>
      <c r="AP82" s="61">
        <v>1071</v>
      </c>
      <c r="AQ82" s="61">
        <v>55</v>
      </c>
      <c r="AR82" s="61">
        <v>99</v>
      </c>
      <c r="AS82" s="61">
        <v>30</v>
      </c>
      <c r="AT82" s="61">
        <v>17</v>
      </c>
      <c r="AU82" s="61"/>
      <c r="AV82" s="61">
        <v>68</v>
      </c>
      <c r="AW82" s="61">
        <v>27</v>
      </c>
      <c r="AX82" s="61">
        <v>30</v>
      </c>
      <c r="AY82" s="61">
        <v>40549</v>
      </c>
      <c r="AZ82" s="61">
        <v>323</v>
      </c>
      <c r="BA82" s="61">
        <v>1</v>
      </c>
      <c r="BB82" s="61"/>
      <c r="BC82" s="61">
        <v>49</v>
      </c>
      <c r="BD82" s="61">
        <v>20851</v>
      </c>
      <c r="BE82" s="61">
        <v>7972</v>
      </c>
      <c r="BF82" s="61">
        <v>721</v>
      </c>
      <c r="BG82" s="61">
        <v>9684</v>
      </c>
      <c r="BH82" s="61">
        <v>4060</v>
      </c>
      <c r="BI82" s="61"/>
      <c r="BJ82" s="61">
        <v>43288</v>
      </c>
      <c r="BK82" s="61">
        <v>3611</v>
      </c>
      <c r="BL82" s="61">
        <v>37431</v>
      </c>
      <c r="BM82" s="61">
        <v>2246</v>
      </c>
      <c r="BN82" s="61">
        <v>6952</v>
      </c>
      <c r="BO82" s="61">
        <v>6685</v>
      </c>
      <c r="BP82" s="61"/>
      <c r="BQ82" s="61">
        <v>137</v>
      </c>
      <c r="BR82" s="61">
        <v>785</v>
      </c>
      <c r="BS82" s="61">
        <v>1146</v>
      </c>
      <c r="BT82" s="61">
        <v>1490</v>
      </c>
      <c r="BU82" s="61">
        <v>2148</v>
      </c>
      <c r="BV82" s="61">
        <v>2300</v>
      </c>
      <c r="BW82" s="61">
        <v>2334</v>
      </c>
      <c r="BX82" s="61">
        <v>3291</v>
      </c>
      <c r="BY82" s="61">
        <v>5</v>
      </c>
      <c r="BZ82" s="61">
        <v>1</v>
      </c>
      <c r="CA82" s="61"/>
      <c r="CB82" s="61">
        <v>811</v>
      </c>
      <c r="CC82" s="61">
        <v>413</v>
      </c>
      <c r="CD82" s="61">
        <v>2666</v>
      </c>
      <c r="CE82" s="61">
        <v>176</v>
      </c>
      <c r="CF82" s="61">
        <v>101</v>
      </c>
      <c r="CG82" s="61">
        <v>9458</v>
      </c>
      <c r="CH82" s="61">
        <v>12</v>
      </c>
      <c r="CI82" s="61">
        <v>290</v>
      </c>
      <c r="CJ82" s="61">
        <v>488</v>
      </c>
      <c r="CK82" s="61">
        <v>331</v>
      </c>
      <c r="CL82" s="61">
        <v>2821</v>
      </c>
      <c r="CM82" s="61">
        <v>338</v>
      </c>
      <c r="CN82" s="61"/>
      <c r="CO82" s="61">
        <v>391</v>
      </c>
      <c r="CP82" s="61">
        <v>6865</v>
      </c>
      <c r="CQ82" s="61">
        <v>1775</v>
      </c>
      <c r="CR82" s="61">
        <v>6</v>
      </c>
      <c r="CS82" s="61">
        <v>191</v>
      </c>
      <c r="CT82" s="61">
        <v>107</v>
      </c>
      <c r="CU82" s="61">
        <v>1</v>
      </c>
      <c r="CV82" s="61"/>
      <c r="CW82" s="61"/>
      <c r="CX82" s="61">
        <v>4166</v>
      </c>
      <c r="CY82" s="61">
        <v>7140</v>
      </c>
      <c r="CZ82" s="61">
        <v>113</v>
      </c>
      <c r="DA82" s="61">
        <v>1901</v>
      </c>
      <c r="DB82" s="61">
        <v>317</v>
      </c>
      <c r="DC82" s="61"/>
      <c r="DD82" s="61">
        <v>13637</v>
      </c>
      <c r="DE82" s="61">
        <v>2771</v>
      </c>
      <c r="DF82" s="61">
        <v>10034</v>
      </c>
      <c r="DG82" s="61">
        <v>832</v>
      </c>
      <c r="DH82" s="62" t="s">
        <v>2185</v>
      </c>
      <c r="DI82" s="61">
        <v>515</v>
      </c>
      <c r="DJ82" s="61">
        <v>36</v>
      </c>
      <c r="DK82" s="61">
        <v>55</v>
      </c>
      <c r="DL82" s="61">
        <v>3</v>
      </c>
      <c r="DM82" s="61">
        <v>2</v>
      </c>
      <c r="DN82" s="61">
        <v>31</v>
      </c>
    </row>
    <row r="83" spans="1:118" x14ac:dyDescent="0.25">
      <c r="A83" s="61">
        <v>106190328</v>
      </c>
      <c r="B83" s="62" t="s">
        <v>439</v>
      </c>
      <c r="C83" s="62" t="s">
        <v>440</v>
      </c>
      <c r="D83" s="62" t="s">
        <v>348</v>
      </c>
      <c r="E83" s="62" t="s">
        <v>349</v>
      </c>
      <c r="F83" s="62" t="s">
        <v>2213</v>
      </c>
      <c r="G83" s="62" t="s">
        <v>441</v>
      </c>
      <c r="H83" s="62" t="s">
        <v>429</v>
      </c>
      <c r="I83" s="62" t="s">
        <v>442</v>
      </c>
      <c r="J83" s="62" t="s">
        <v>2189</v>
      </c>
      <c r="K83" s="62"/>
      <c r="L83" s="61">
        <v>27</v>
      </c>
      <c r="M83" s="61">
        <v>48</v>
      </c>
      <c r="N83" s="61">
        <v>25</v>
      </c>
      <c r="O83" s="62" t="s">
        <v>1840</v>
      </c>
      <c r="P83" s="62" t="s">
        <v>68</v>
      </c>
      <c r="Q83" s="62" t="s">
        <v>2167</v>
      </c>
      <c r="R83" s="62" t="s">
        <v>2167</v>
      </c>
      <c r="S83" s="62" t="s">
        <v>69</v>
      </c>
      <c r="T83" s="61">
        <v>2017</v>
      </c>
      <c r="U83" s="61">
        <v>1752</v>
      </c>
      <c r="V83" s="61"/>
      <c r="W83" s="61">
        <v>498</v>
      </c>
      <c r="X83" s="61">
        <v>437</v>
      </c>
      <c r="Y83" s="61">
        <v>693</v>
      </c>
      <c r="Z83" s="61">
        <v>627</v>
      </c>
      <c r="AA83" s="61">
        <v>555</v>
      </c>
      <c r="AB83" s="61">
        <v>475</v>
      </c>
      <c r="AC83" s="61">
        <v>207</v>
      </c>
      <c r="AD83" s="61">
        <v>129</v>
      </c>
      <c r="AE83" s="61">
        <v>81</v>
      </c>
      <c r="AF83" s="61">
        <v>67</v>
      </c>
      <c r="AG83" s="61"/>
      <c r="AH83" s="61">
        <v>347</v>
      </c>
      <c r="AI83" s="61">
        <v>11</v>
      </c>
      <c r="AJ83" s="61">
        <v>1977</v>
      </c>
      <c r="AK83" s="61">
        <v>1137</v>
      </c>
      <c r="AL83" s="61"/>
      <c r="AM83" s="61">
        <v>12</v>
      </c>
      <c r="AN83" s="61">
        <v>285</v>
      </c>
      <c r="AO83" s="61">
        <v>100</v>
      </c>
      <c r="AP83" s="61">
        <v>270</v>
      </c>
      <c r="AQ83" s="61"/>
      <c r="AR83" s="61">
        <v>1</v>
      </c>
      <c r="AS83" s="61">
        <v>1</v>
      </c>
      <c r="AT83" s="61">
        <v>3</v>
      </c>
      <c r="AU83" s="61"/>
      <c r="AV83" s="61">
        <v>19</v>
      </c>
      <c r="AW83" s="61">
        <v>13</v>
      </c>
      <c r="AX83" s="61">
        <v>25</v>
      </c>
      <c r="AY83" s="61">
        <v>3243</v>
      </c>
      <c r="AZ83" s="61">
        <v>80</v>
      </c>
      <c r="BA83" s="61">
        <v>3</v>
      </c>
      <c r="BB83" s="61"/>
      <c r="BC83" s="61">
        <v>6</v>
      </c>
      <c r="BD83" s="61">
        <v>2490</v>
      </c>
      <c r="BE83" s="61">
        <v>568</v>
      </c>
      <c r="BF83" s="61">
        <v>36</v>
      </c>
      <c r="BG83" s="61">
        <v>269</v>
      </c>
      <c r="BH83" s="61">
        <v>406</v>
      </c>
      <c r="BI83" s="61"/>
      <c r="BJ83" s="61">
        <v>3769</v>
      </c>
      <c r="BK83" s="61">
        <v>24</v>
      </c>
      <c r="BL83" s="61">
        <v>3205</v>
      </c>
      <c r="BM83" s="61">
        <v>540</v>
      </c>
      <c r="BN83" s="61">
        <v>640</v>
      </c>
      <c r="BO83" s="61">
        <v>582</v>
      </c>
      <c r="BP83" s="61"/>
      <c r="BQ83" s="61">
        <v>4</v>
      </c>
      <c r="BR83" s="61">
        <v>11</v>
      </c>
      <c r="BS83" s="61">
        <v>23</v>
      </c>
      <c r="BT83" s="61">
        <v>48</v>
      </c>
      <c r="BU83" s="61">
        <v>155</v>
      </c>
      <c r="BV83" s="61">
        <v>279</v>
      </c>
      <c r="BW83" s="61">
        <v>340</v>
      </c>
      <c r="BX83" s="61">
        <v>362</v>
      </c>
      <c r="BY83" s="61"/>
      <c r="BZ83" s="61"/>
      <c r="CA83" s="61"/>
      <c r="CB83" s="61">
        <v>76</v>
      </c>
      <c r="CC83" s="61">
        <v>96</v>
      </c>
      <c r="CD83" s="61">
        <v>354</v>
      </c>
      <c r="CE83" s="61">
        <v>76</v>
      </c>
      <c r="CF83" s="61">
        <v>9</v>
      </c>
      <c r="CG83" s="61">
        <v>610</v>
      </c>
      <c r="CH83" s="61">
        <v>1</v>
      </c>
      <c r="CI83" s="61">
        <v>264</v>
      </c>
      <c r="CJ83" s="61">
        <v>24</v>
      </c>
      <c r="CK83" s="61">
        <v>19</v>
      </c>
      <c r="CL83" s="61">
        <v>23</v>
      </c>
      <c r="CM83" s="61">
        <v>31</v>
      </c>
      <c r="CN83" s="61"/>
      <c r="CO83" s="61">
        <v>44</v>
      </c>
      <c r="CP83" s="61">
        <v>128</v>
      </c>
      <c r="CQ83" s="61">
        <v>602</v>
      </c>
      <c r="CR83" s="61"/>
      <c r="CS83" s="61">
        <v>3</v>
      </c>
      <c r="CT83" s="61">
        <v>83</v>
      </c>
      <c r="CU83" s="61"/>
      <c r="CV83" s="61"/>
      <c r="CW83" s="61">
        <v>1</v>
      </c>
      <c r="CX83" s="61">
        <v>32</v>
      </c>
      <c r="CY83" s="61">
        <v>1134</v>
      </c>
      <c r="CZ83" s="61">
        <v>1</v>
      </c>
      <c r="DA83" s="61">
        <v>48</v>
      </c>
      <c r="DB83" s="61">
        <v>7</v>
      </c>
      <c r="DC83" s="61"/>
      <c r="DD83" s="61">
        <v>1222</v>
      </c>
      <c r="DE83" s="61">
        <v>21</v>
      </c>
      <c r="DF83" s="61">
        <v>1098</v>
      </c>
      <c r="DG83" s="61">
        <v>103</v>
      </c>
      <c r="DH83" s="62" t="s">
        <v>2185</v>
      </c>
      <c r="DI83" s="61">
        <v>128</v>
      </c>
      <c r="DJ83" s="61">
        <v>7</v>
      </c>
      <c r="DK83" s="61"/>
      <c r="DL83" s="61">
        <v>5</v>
      </c>
      <c r="DM83" s="61"/>
      <c r="DN83" s="61"/>
    </row>
    <row r="84" spans="1:118" x14ac:dyDescent="0.25">
      <c r="A84" s="61">
        <v>106190352</v>
      </c>
      <c r="B84" s="62" t="s">
        <v>443</v>
      </c>
      <c r="C84" s="62" t="s">
        <v>444</v>
      </c>
      <c r="D84" s="62" t="s">
        <v>348</v>
      </c>
      <c r="E84" s="62" t="s">
        <v>321</v>
      </c>
      <c r="F84" s="62" t="s">
        <v>2213</v>
      </c>
      <c r="G84" s="62" t="s">
        <v>445</v>
      </c>
      <c r="H84" s="62" t="s">
        <v>446</v>
      </c>
      <c r="I84" s="62" t="s">
        <v>447</v>
      </c>
      <c r="J84" s="62" t="s">
        <v>2189</v>
      </c>
      <c r="K84" s="62"/>
      <c r="L84" s="61">
        <v>38</v>
      </c>
      <c r="M84" s="61">
        <v>57</v>
      </c>
      <c r="N84" s="61">
        <v>22</v>
      </c>
      <c r="O84" s="62" t="s">
        <v>1843</v>
      </c>
      <c r="P84" s="62" t="s">
        <v>68</v>
      </c>
      <c r="Q84" s="62" t="s">
        <v>2167</v>
      </c>
      <c r="R84" s="62" t="s">
        <v>2167</v>
      </c>
      <c r="S84" s="62" t="s">
        <v>69</v>
      </c>
      <c r="T84" s="61">
        <v>8717</v>
      </c>
      <c r="U84" s="61">
        <v>7567</v>
      </c>
      <c r="V84" s="61"/>
      <c r="W84" s="61">
        <v>3022</v>
      </c>
      <c r="X84" s="61">
        <v>2300</v>
      </c>
      <c r="Y84" s="61">
        <v>2962</v>
      </c>
      <c r="Z84" s="61">
        <v>2370</v>
      </c>
      <c r="AA84" s="61">
        <v>2158</v>
      </c>
      <c r="AB84" s="61">
        <v>1559</v>
      </c>
      <c r="AC84" s="61">
        <v>757</v>
      </c>
      <c r="AD84" s="61">
        <v>349</v>
      </c>
      <c r="AE84" s="61">
        <v>238</v>
      </c>
      <c r="AF84" s="61">
        <v>569</v>
      </c>
      <c r="AG84" s="61"/>
      <c r="AH84" s="61">
        <v>885</v>
      </c>
      <c r="AI84" s="61">
        <v>301</v>
      </c>
      <c r="AJ84" s="61">
        <v>14047</v>
      </c>
      <c r="AK84" s="61"/>
      <c r="AL84" s="61">
        <v>6</v>
      </c>
      <c r="AM84" s="61">
        <v>1</v>
      </c>
      <c r="AN84" s="61">
        <v>1044</v>
      </c>
      <c r="AO84" s="61">
        <v>334</v>
      </c>
      <c r="AP84" s="61">
        <v>784</v>
      </c>
      <c r="AQ84" s="61">
        <v>14</v>
      </c>
      <c r="AR84" s="61">
        <v>3</v>
      </c>
      <c r="AS84" s="61"/>
      <c r="AT84" s="61">
        <v>1</v>
      </c>
      <c r="AU84" s="61"/>
      <c r="AV84" s="61">
        <v>25</v>
      </c>
      <c r="AW84" s="61">
        <v>239</v>
      </c>
      <c r="AX84" s="61">
        <v>2</v>
      </c>
      <c r="AY84" s="61">
        <v>14853</v>
      </c>
      <c r="AZ84" s="61">
        <v>24</v>
      </c>
      <c r="BA84" s="61">
        <v>2</v>
      </c>
      <c r="BB84" s="61"/>
      <c r="BC84" s="61"/>
      <c r="BD84" s="61">
        <v>4444</v>
      </c>
      <c r="BE84" s="61">
        <v>685</v>
      </c>
      <c r="BF84" s="61">
        <v>203</v>
      </c>
      <c r="BG84" s="61">
        <v>9474</v>
      </c>
      <c r="BH84" s="61">
        <v>1478</v>
      </c>
      <c r="BI84" s="61"/>
      <c r="BJ84" s="61">
        <v>16284</v>
      </c>
      <c r="BK84" s="61">
        <v>239</v>
      </c>
      <c r="BL84" s="61">
        <v>10765</v>
      </c>
      <c r="BM84" s="61">
        <v>5280</v>
      </c>
      <c r="BN84" s="61">
        <v>1246</v>
      </c>
      <c r="BO84" s="61">
        <v>1274</v>
      </c>
      <c r="BP84" s="61"/>
      <c r="BQ84" s="61">
        <v>92</v>
      </c>
      <c r="BR84" s="61">
        <v>157</v>
      </c>
      <c r="BS84" s="61">
        <v>213</v>
      </c>
      <c r="BT84" s="61">
        <v>367</v>
      </c>
      <c r="BU84" s="61">
        <v>500</v>
      </c>
      <c r="BV84" s="61">
        <v>463</v>
      </c>
      <c r="BW84" s="61">
        <v>281</v>
      </c>
      <c r="BX84" s="61">
        <v>310</v>
      </c>
      <c r="BY84" s="61">
        <v>34</v>
      </c>
      <c r="BZ84" s="61">
        <v>103</v>
      </c>
      <c r="CA84" s="61"/>
      <c r="CB84" s="61">
        <v>309</v>
      </c>
      <c r="CC84" s="61">
        <v>57</v>
      </c>
      <c r="CD84" s="61">
        <v>1870</v>
      </c>
      <c r="CE84" s="61">
        <v>1</v>
      </c>
      <c r="CF84" s="61">
        <v>1</v>
      </c>
      <c r="CG84" s="61">
        <v>282</v>
      </c>
      <c r="CH84" s="61"/>
      <c r="CI84" s="61">
        <v>259</v>
      </c>
      <c r="CJ84" s="61">
        <v>139</v>
      </c>
      <c r="CK84" s="61">
        <v>70</v>
      </c>
      <c r="CL84" s="61">
        <v>49</v>
      </c>
      <c r="CM84" s="61">
        <v>4</v>
      </c>
      <c r="CN84" s="61"/>
      <c r="CO84" s="61">
        <v>1</v>
      </c>
      <c r="CP84" s="61">
        <v>1717</v>
      </c>
      <c r="CQ84" s="61">
        <v>269</v>
      </c>
      <c r="CR84" s="61">
        <v>1</v>
      </c>
      <c r="CS84" s="61">
        <v>4</v>
      </c>
      <c r="CT84" s="61">
        <v>7</v>
      </c>
      <c r="CU84" s="61"/>
      <c r="CV84" s="61"/>
      <c r="CW84" s="61"/>
      <c r="CX84" s="61">
        <v>1535</v>
      </c>
      <c r="CY84" s="61">
        <v>766</v>
      </c>
      <c r="CZ84" s="61">
        <v>24</v>
      </c>
      <c r="DA84" s="61">
        <v>169</v>
      </c>
      <c r="DB84" s="61">
        <v>26</v>
      </c>
      <c r="DC84" s="61"/>
      <c r="DD84" s="61">
        <v>2520</v>
      </c>
      <c r="DE84" s="61">
        <v>54</v>
      </c>
      <c r="DF84" s="61">
        <v>2211</v>
      </c>
      <c r="DG84" s="61">
        <v>255</v>
      </c>
      <c r="DH84" s="62" t="s">
        <v>2185</v>
      </c>
      <c r="DI84" s="61">
        <v>117</v>
      </c>
      <c r="DJ84" s="61">
        <v>9</v>
      </c>
      <c r="DK84" s="61"/>
      <c r="DL84" s="61">
        <v>3</v>
      </c>
      <c r="DM84" s="61"/>
      <c r="DN84" s="61"/>
    </row>
    <row r="85" spans="1:118" x14ac:dyDescent="0.25">
      <c r="A85" s="61">
        <v>106190382</v>
      </c>
      <c r="B85" s="62" t="s">
        <v>448</v>
      </c>
      <c r="C85" s="62" t="s">
        <v>449</v>
      </c>
      <c r="D85" s="62" t="s">
        <v>348</v>
      </c>
      <c r="E85" s="62" t="s">
        <v>184</v>
      </c>
      <c r="F85" s="62" t="s">
        <v>2213</v>
      </c>
      <c r="G85" s="62" t="s">
        <v>450</v>
      </c>
      <c r="H85" s="62" t="s">
        <v>348</v>
      </c>
      <c r="I85" s="62" t="s">
        <v>393</v>
      </c>
      <c r="J85" s="62" t="s">
        <v>2186</v>
      </c>
      <c r="K85" s="62"/>
      <c r="L85" s="61">
        <v>28</v>
      </c>
      <c r="M85" s="61">
        <v>43</v>
      </c>
      <c r="N85" s="61">
        <v>24</v>
      </c>
      <c r="O85" s="62" t="s">
        <v>1835</v>
      </c>
      <c r="P85" s="62" t="s">
        <v>68</v>
      </c>
      <c r="Q85" s="62" t="s">
        <v>2167</v>
      </c>
      <c r="R85" s="62" t="s">
        <v>2167</v>
      </c>
      <c r="S85" s="62" t="s">
        <v>69</v>
      </c>
      <c r="T85" s="61">
        <v>15329</v>
      </c>
      <c r="U85" s="61">
        <v>14787</v>
      </c>
      <c r="V85" s="61">
        <v>2</v>
      </c>
      <c r="W85" s="61">
        <v>311</v>
      </c>
      <c r="X85" s="61">
        <v>1465</v>
      </c>
      <c r="Y85" s="61">
        <v>6912</v>
      </c>
      <c r="Z85" s="61">
        <v>5729</v>
      </c>
      <c r="AA85" s="61">
        <v>5156</v>
      </c>
      <c r="AB85" s="61">
        <v>5103</v>
      </c>
      <c r="AC85" s="61">
        <v>3041</v>
      </c>
      <c r="AD85" s="61">
        <v>1370</v>
      </c>
      <c r="AE85" s="61">
        <v>950</v>
      </c>
      <c r="AF85" s="61">
        <v>81</v>
      </c>
      <c r="AG85" s="61"/>
      <c r="AH85" s="61">
        <v>2352</v>
      </c>
      <c r="AI85" s="61">
        <v>4651</v>
      </c>
      <c r="AJ85" s="61">
        <v>13361</v>
      </c>
      <c r="AK85" s="61">
        <v>8</v>
      </c>
      <c r="AL85" s="61">
        <v>3726</v>
      </c>
      <c r="AM85" s="61">
        <v>80</v>
      </c>
      <c r="AN85" s="61">
        <v>5940</v>
      </c>
      <c r="AO85" s="61">
        <v>283</v>
      </c>
      <c r="AP85" s="61">
        <v>3890</v>
      </c>
      <c r="AQ85" s="61">
        <v>82</v>
      </c>
      <c r="AR85" s="61">
        <v>11</v>
      </c>
      <c r="AS85" s="61">
        <v>1</v>
      </c>
      <c r="AT85" s="61">
        <v>4</v>
      </c>
      <c r="AU85" s="61"/>
      <c r="AV85" s="61"/>
      <c r="AW85" s="61">
        <v>407</v>
      </c>
      <c r="AX85" s="61">
        <v>154</v>
      </c>
      <c r="AY85" s="61">
        <v>24886</v>
      </c>
      <c r="AZ85" s="61">
        <v>144</v>
      </c>
      <c r="BA85" s="61"/>
      <c r="BB85" s="61"/>
      <c r="BC85" s="61"/>
      <c r="BD85" s="61">
        <v>5480</v>
      </c>
      <c r="BE85" s="61">
        <v>3463</v>
      </c>
      <c r="BF85" s="61">
        <v>84</v>
      </c>
      <c r="BG85" s="61">
        <v>15005</v>
      </c>
      <c r="BH85" s="61">
        <v>6055</v>
      </c>
      <c r="BI85" s="61">
        <v>31</v>
      </c>
      <c r="BJ85" s="61">
        <v>30118</v>
      </c>
      <c r="BK85" s="61">
        <v>696</v>
      </c>
      <c r="BL85" s="61">
        <v>26169</v>
      </c>
      <c r="BM85" s="61">
        <v>3253</v>
      </c>
      <c r="BN85" s="61">
        <v>3057</v>
      </c>
      <c r="BO85" s="61">
        <v>3243</v>
      </c>
      <c r="BP85" s="61"/>
      <c r="BQ85" s="61">
        <v>33</v>
      </c>
      <c r="BR85" s="61">
        <v>333</v>
      </c>
      <c r="BS85" s="61">
        <v>401</v>
      </c>
      <c r="BT85" s="61">
        <v>639</v>
      </c>
      <c r="BU85" s="61">
        <v>1055</v>
      </c>
      <c r="BV85" s="61">
        <v>1221</v>
      </c>
      <c r="BW85" s="61">
        <v>1073</v>
      </c>
      <c r="BX85" s="61">
        <v>1539</v>
      </c>
      <c r="BY85" s="61">
        <v>6</v>
      </c>
      <c r="BZ85" s="61"/>
      <c r="CA85" s="61"/>
      <c r="CB85" s="61">
        <v>1468</v>
      </c>
      <c r="CC85" s="61">
        <v>667</v>
      </c>
      <c r="CD85" s="61">
        <v>1980</v>
      </c>
      <c r="CE85" s="61">
        <v>850</v>
      </c>
      <c r="CF85" s="61">
        <v>1</v>
      </c>
      <c r="CG85" s="61">
        <v>1331</v>
      </c>
      <c r="CH85" s="61">
        <v>3</v>
      </c>
      <c r="CI85" s="61">
        <v>165</v>
      </c>
      <c r="CJ85" s="61">
        <v>323</v>
      </c>
      <c r="CK85" s="61">
        <v>285</v>
      </c>
      <c r="CL85" s="61">
        <v>191</v>
      </c>
      <c r="CM85" s="61">
        <v>240</v>
      </c>
      <c r="CN85" s="61"/>
      <c r="CO85" s="61">
        <v>110</v>
      </c>
      <c r="CP85" s="61">
        <v>3758</v>
      </c>
      <c r="CQ85" s="61">
        <v>1160</v>
      </c>
      <c r="CR85" s="61">
        <v>2</v>
      </c>
      <c r="CS85" s="61">
        <v>15</v>
      </c>
      <c r="CT85" s="61">
        <v>16</v>
      </c>
      <c r="CU85" s="61"/>
      <c r="CV85" s="61"/>
      <c r="CW85" s="61">
        <v>34</v>
      </c>
      <c r="CX85" s="61">
        <v>2907</v>
      </c>
      <c r="CY85" s="61">
        <v>2850</v>
      </c>
      <c r="CZ85" s="61">
        <v>20</v>
      </c>
      <c r="DA85" s="61">
        <v>368</v>
      </c>
      <c r="DB85" s="61">
        <v>155</v>
      </c>
      <c r="DC85" s="61"/>
      <c r="DD85" s="61">
        <v>6300</v>
      </c>
      <c r="DE85" s="61">
        <v>800</v>
      </c>
      <c r="DF85" s="61">
        <v>4867</v>
      </c>
      <c r="DG85" s="61">
        <v>633</v>
      </c>
      <c r="DH85" s="62" t="s">
        <v>2185</v>
      </c>
      <c r="DI85" s="61">
        <v>434</v>
      </c>
      <c r="DJ85" s="61">
        <v>20</v>
      </c>
      <c r="DK85" s="61">
        <v>20</v>
      </c>
      <c r="DL85" s="61">
        <v>236</v>
      </c>
      <c r="DM85" s="61">
        <v>1</v>
      </c>
      <c r="DN85" s="61"/>
    </row>
    <row r="86" spans="1:118" x14ac:dyDescent="0.25">
      <c r="A86" s="61">
        <v>106190385</v>
      </c>
      <c r="B86" s="62" t="s">
        <v>451</v>
      </c>
      <c r="C86" s="62" t="s">
        <v>452</v>
      </c>
      <c r="D86" s="62" t="s">
        <v>348</v>
      </c>
      <c r="E86" s="62" t="s">
        <v>71</v>
      </c>
      <c r="F86" s="62" t="s">
        <v>2213</v>
      </c>
      <c r="G86" s="62" t="s">
        <v>453</v>
      </c>
      <c r="H86" s="62" t="s">
        <v>454</v>
      </c>
      <c r="I86" s="62" t="s">
        <v>455</v>
      </c>
      <c r="J86" s="62" t="s">
        <v>2186</v>
      </c>
      <c r="K86" s="62" t="s">
        <v>82</v>
      </c>
      <c r="L86" s="61">
        <v>29</v>
      </c>
      <c r="M86" s="61">
        <v>39</v>
      </c>
      <c r="N86" s="61">
        <v>18</v>
      </c>
      <c r="O86" s="62" t="s">
        <v>1844</v>
      </c>
      <c r="P86" s="62" t="s">
        <v>68</v>
      </c>
      <c r="Q86" s="62" t="s">
        <v>2167</v>
      </c>
      <c r="R86" s="62" t="s">
        <v>2167</v>
      </c>
      <c r="S86" s="62" t="s">
        <v>69</v>
      </c>
      <c r="T86" s="61">
        <v>51318</v>
      </c>
      <c r="U86" s="61">
        <v>37533</v>
      </c>
      <c r="V86" s="61">
        <v>32</v>
      </c>
      <c r="W86" s="61">
        <v>17834</v>
      </c>
      <c r="X86" s="61">
        <v>12059</v>
      </c>
      <c r="Y86" s="61">
        <v>14985</v>
      </c>
      <c r="Z86" s="61">
        <v>11600</v>
      </c>
      <c r="AA86" s="61">
        <v>9118</v>
      </c>
      <c r="AB86" s="61">
        <v>8045</v>
      </c>
      <c r="AC86" s="61">
        <v>5320</v>
      </c>
      <c r="AD86" s="61">
        <v>3289</v>
      </c>
      <c r="AE86" s="61">
        <v>3018</v>
      </c>
      <c r="AF86" s="61">
        <v>3615</v>
      </c>
      <c r="AG86" s="61"/>
      <c r="AH86" s="61">
        <v>1344</v>
      </c>
      <c r="AI86" s="61">
        <v>2855</v>
      </c>
      <c r="AJ86" s="61">
        <v>68862</v>
      </c>
      <c r="AK86" s="61">
        <v>53</v>
      </c>
      <c r="AL86" s="61">
        <v>3095</v>
      </c>
      <c r="AM86" s="61">
        <v>424</v>
      </c>
      <c r="AN86" s="61">
        <v>12250</v>
      </c>
      <c r="AO86" s="61">
        <v>448</v>
      </c>
      <c r="AP86" s="61">
        <v>266</v>
      </c>
      <c r="AQ86" s="61">
        <v>87</v>
      </c>
      <c r="AR86" s="61">
        <v>28</v>
      </c>
      <c r="AS86" s="61">
        <v>23</v>
      </c>
      <c r="AT86" s="61">
        <v>5</v>
      </c>
      <c r="AU86" s="61"/>
      <c r="AV86" s="61">
        <v>48</v>
      </c>
      <c r="AW86" s="61">
        <v>144</v>
      </c>
      <c r="AX86" s="61">
        <v>14</v>
      </c>
      <c r="AY86" s="61">
        <v>87049</v>
      </c>
      <c r="AZ86" s="61">
        <v>178</v>
      </c>
      <c r="BA86" s="61">
        <v>29</v>
      </c>
      <c r="BB86" s="61">
        <v>1</v>
      </c>
      <c r="BC86" s="61">
        <v>544</v>
      </c>
      <c r="BD86" s="61">
        <v>55421</v>
      </c>
      <c r="BE86" s="61">
        <v>9705</v>
      </c>
      <c r="BF86" s="61">
        <v>741</v>
      </c>
      <c r="BG86" s="61">
        <v>13647</v>
      </c>
      <c r="BH86" s="61">
        <v>9363</v>
      </c>
      <c r="BI86" s="61">
        <v>6</v>
      </c>
      <c r="BJ86" s="61">
        <v>88883</v>
      </c>
      <c r="BK86" s="61">
        <v>691</v>
      </c>
      <c r="BL86" s="61">
        <v>65779</v>
      </c>
      <c r="BM86" s="61">
        <v>22413</v>
      </c>
      <c r="BN86" s="61">
        <v>5438</v>
      </c>
      <c r="BO86" s="61">
        <v>5455</v>
      </c>
      <c r="BP86" s="61">
        <v>1</v>
      </c>
      <c r="BQ86" s="61">
        <v>154</v>
      </c>
      <c r="BR86" s="61">
        <v>735</v>
      </c>
      <c r="BS86" s="61">
        <v>825</v>
      </c>
      <c r="BT86" s="61">
        <v>1206</v>
      </c>
      <c r="BU86" s="61">
        <v>1589</v>
      </c>
      <c r="BV86" s="61">
        <v>1984</v>
      </c>
      <c r="BW86" s="61">
        <v>1836</v>
      </c>
      <c r="BX86" s="61">
        <v>2542</v>
      </c>
      <c r="BY86" s="61">
        <v>23</v>
      </c>
      <c r="BZ86" s="61"/>
      <c r="CA86" s="61"/>
      <c r="CB86" s="61">
        <v>494</v>
      </c>
      <c r="CC86" s="61">
        <v>525</v>
      </c>
      <c r="CD86" s="61">
        <v>5324</v>
      </c>
      <c r="CE86" s="61">
        <v>684</v>
      </c>
      <c r="CF86" s="61">
        <v>72</v>
      </c>
      <c r="CG86" s="61">
        <v>3786</v>
      </c>
      <c r="CH86" s="61">
        <v>9</v>
      </c>
      <c r="CI86" s="61">
        <v>397</v>
      </c>
      <c r="CJ86" s="61">
        <v>138</v>
      </c>
      <c r="CK86" s="61">
        <v>378</v>
      </c>
      <c r="CL86" s="61">
        <v>1396</v>
      </c>
      <c r="CM86" s="61">
        <v>93</v>
      </c>
      <c r="CN86" s="61"/>
      <c r="CO86" s="61">
        <v>27</v>
      </c>
      <c r="CP86" s="61">
        <v>6367</v>
      </c>
      <c r="CQ86" s="61">
        <v>1859</v>
      </c>
      <c r="CR86" s="61">
        <v>7</v>
      </c>
      <c r="CS86" s="61">
        <v>191</v>
      </c>
      <c r="CT86" s="61">
        <v>17</v>
      </c>
      <c r="CU86" s="61"/>
      <c r="CV86" s="61">
        <v>1</v>
      </c>
      <c r="CW86" s="61">
        <v>22</v>
      </c>
      <c r="CX86" s="61">
        <v>2887</v>
      </c>
      <c r="CY86" s="61">
        <v>5551</v>
      </c>
      <c r="CZ86" s="61">
        <v>127</v>
      </c>
      <c r="DA86" s="61">
        <v>1934</v>
      </c>
      <c r="DB86" s="61">
        <v>395</v>
      </c>
      <c r="DC86" s="61"/>
      <c r="DD86" s="61">
        <v>10894</v>
      </c>
      <c r="DE86" s="61">
        <v>340</v>
      </c>
      <c r="DF86" s="61">
        <v>7913</v>
      </c>
      <c r="DG86" s="61">
        <v>2641</v>
      </c>
      <c r="DH86" s="62" t="s">
        <v>2185</v>
      </c>
      <c r="DI86" s="61">
        <v>377</v>
      </c>
      <c r="DJ86" s="61">
        <v>32</v>
      </c>
      <c r="DK86" s="61">
        <v>19</v>
      </c>
      <c r="DL86" s="61"/>
      <c r="DM86" s="61">
        <v>1</v>
      </c>
      <c r="DN86" s="61"/>
    </row>
    <row r="87" spans="1:118" x14ac:dyDescent="0.25">
      <c r="A87" s="61">
        <v>106190392</v>
      </c>
      <c r="B87" s="62" t="s">
        <v>456</v>
      </c>
      <c r="C87" s="62" t="s">
        <v>457</v>
      </c>
      <c r="D87" s="62" t="s">
        <v>348</v>
      </c>
      <c r="E87" s="62" t="s">
        <v>71</v>
      </c>
      <c r="F87" s="62" t="s">
        <v>2213</v>
      </c>
      <c r="G87" s="62" t="s">
        <v>458</v>
      </c>
      <c r="H87" s="62" t="s">
        <v>348</v>
      </c>
      <c r="I87" s="62" t="s">
        <v>459</v>
      </c>
      <c r="J87" s="62" t="s">
        <v>2186</v>
      </c>
      <c r="K87" s="62"/>
      <c r="L87" s="61">
        <v>34</v>
      </c>
      <c r="M87" s="61">
        <v>53</v>
      </c>
      <c r="N87" s="61">
        <v>24</v>
      </c>
      <c r="O87" s="62" t="s">
        <v>1832</v>
      </c>
      <c r="P87" s="62" t="s">
        <v>68</v>
      </c>
      <c r="Q87" s="62" t="s">
        <v>2167</v>
      </c>
      <c r="R87" s="62" t="s">
        <v>2167</v>
      </c>
      <c r="S87" s="62" t="s">
        <v>69</v>
      </c>
      <c r="T87" s="61">
        <v>14741</v>
      </c>
      <c r="U87" s="61">
        <v>13540</v>
      </c>
      <c r="V87" s="61"/>
      <c r="W87" s="61">
        <v>1084</v>
      </c>
      <c r="X87" s="61">
        <v>1790</v>
      </c>
      <c r="Y87" s="61">
        <v>6335</v>
      </c>
      <c r="Z87" s="61">
        <v>5195</v>
      </c>
      <c r="AA87" s="61">
        <v>4219</v>
      </c>
      <c r="AB87" s="61">
        <v>4260</v>
      </c>
      <c r="AC87" s="61">
        <v>2743</v>
      </c>
      <c r="AD87" s="61">
        <v>1363</v>
      </c>
      <c r="AE87" s="61">
        <v>934</v>
      </c>
      <c r="AF87" s="61">
        <v>358</v>
      </c>
      <c r="AG87" s="61"/>
      <c r="AH87" s="61">
        <v>2272</v>
      </c>
      <c r="AI87" s="61">
        <v>6221</v>
      </c>
      <c r="AJ87" s="61">
        <v>13906</v>
      </c>
      <c r="AK87" s="61">
        <v>16</v>
      </c>
      <c r="AL87" s="61">
        <v>175</v>
      </c>
      <c r="AM87" s="61">
        <v>49</v>
      </c>
      <c r="AN87" s="61">
        <v>5642</v>
      </c>
      <c r="AO87" s="61">
        <v>1024</v>
      </c>
      <c r="AP87" s="61">
        <v>1080</v>
      </c>
      <c r="AQ87" s="61">
        <v>69</v>
      </c>
      <c r="AR87" s="61"/>
      <c r="AS87" s="61"/>
      <c r="AT87" s="61"/>
      <c r="AU87" s="61"/>
      <c r="AV87" s="61">
        <v>37</v>
      </c>
      <c r="AW87" s="61">
        <v>560</v>
      </c>
      <c r="AX87" s="61"/>
      <c r="AY87" s="61">
        <v>25502</v>
      </c>
      <c r="AZ87" s="61">
        <v>9</v>
      </c>
      <c r="BA87" s="61"/>
      <c r="BB87" s="61"/>
      <c r="BC87" s="61"/>
      <c r="BD87" s="61">
        <v>12283</v>
      </c>
      <c r="BE87" s="61">
        <v>4155</v>
      </c>
      <c r="BF87" s="61">
        <v>373</v>
      </c>
      <c r="BG87" s="61">
        <v>5690</v>
      </c>
      <c r="BH87" s="61">
        <v>5780</v>
      </c>
      <c r="BI87" s="61"/>
      <c r="BJ87" s="61">
        <v>28281</v>
      </c>
      <c r="BK87" s="61">
        <v>1127</v>
      </c>
      <c r="BL87" s="61">
        <v>18580</v>
      </c>
      <c r="BM87" s="61">
        <v>8574</v>
      </c>
      <c r="BN87" s="61">
        <v>3082</v>
      </c>
      <c r="BO87" s="61">
        <v>2933</v>
      </c>
      <c r="BP87" s="61"/>
      <c r="BQ87" s="61">
        <v>47</v>
      </c>
      <c r="BR87" s="61">
        <v>306</v>
      </c>
      <c r="BS87" s="61">
        <v>373</v>
      </c>
      <c r="BT87" s="61">
        <v>494</v>
      </c>
      <c r="BU87" s="61">
        <v>885</v>
      </c>
      <c r="BV87" s="61">
        <v>1095</v>
      </c>
      <c r="BW87" s="61">
        <v>1274</v>
      </c>
      <c r="BX87" s="61">
        <v>1528</v>
      </c>
      <c r="BY87" s="61">
        <v>13</v>
      </c>
      <c r="BZ87" s="61"/>
      <c r="CA87" s="61"/>
      <c r="CB87" s="61">
        <v>1409</v>
      </c>
      <c r="CC87" s="61">
        <v>1154</v>
      </c>
      <c r="CD87" s="61">
        <v>2297</v>
      </c>
      <c r="CE87" s="61">
        <v>42</v>
      </c>
      <c r="CF87" s="61">
        <v>10</v>
      </c>
      <c r="CG87" s="61">
        <v>1101</v>
      </c>
      <c r="CH87" s="61">
        <v>2</v>
      </c>
      <c r="CI87" s="61">
        <v>230</v>
      </c>
      <c r="CJ87" s="61">
        <v>210</v>
      </c>
      <c r="CK87" s="61">
        <v>262</v>
      </c>
      <c r="CL87" s="61">
        <v>376</v>
      </c>
      <c r="CM87" s="61">
        <v>118</v>
      </c>
      <c r="CN87" s="61"/>
      <c r="CO87" s="61">
        <v>21</v>
      </c>
      <c r="CP87" s="61">
        <v>3678</v>
      </c>
      <c r="CQ87" s="61">
        <v>991</v>
      </c>
      <c r="CR87" s="61"/>
      <c r="CS87" s="61">
        <v>44</v>
      </c>
      <c r="CT87" s="61">
        <v>7</v>
      </c>
      <c r="CU87" s="61"/>
      <c r="CV87" s="61"/>
      <c r="CW87" s="61">
        <v>75</v>
      </c>
      <c r="CX87" s="61">
        <v>1419</v>
      </c>
      <c r="CY87" s="61">
        <v>2520</v>
      </c>
      <c r="CZ87" s="61">
        <v>20</v>
      </c>
      <c r="DA87" s="61">
        <v>1848</v>
      </c>
      <c r="DB87" s="61">
        <v>208</v>
      </c>
      <c r="DC87" s="61"/>
      <c r="DD87" s="61">
        <v>6015</v>
      </c>
      <c r="DE87" s="61">
        <v>1029</v>
      </c>
      <c r="DF87" s="61">
        <v>3240</v>
      </c>
      <c r="DG87" s="61">
        <v>1746</v>
      </c>
      <c r="DH87" s="62" t="s">
        <v>2185</v>
      </c>
      <c r="DI87" s="61">
        <v>408</v>
      </c>
      <c r="DJ87" s="61">
        <v>12</v>
      </c>
      <c r="DK87" s="61"/>
      <c r="DL87" s="61"/>
      <c r="DM87" s="61">
        <v>3</v>
      </c>
      <c r="DN87" s="61"/>
    </row>
    <row r="88" spans="1:118" x14ac:dyDescent="0.25">
      <c r="A88" s="61">
        <v>106190400</v>
      </c>
      <c r="B88" s="62" t="s">
        <v>460</v>
      </c>
      <c r="C88" s="62" t="s">
        <v>461</v>
      </c>
      <c r="D88" s="62" t="s">
        <v>348</v>
      </c>
      <c r="E88" s="62" t="s">
        <v>71</v>
      </c>
      <c r="F88" s="62" t="s">
        <v>2213</v>
      </c>
      <c r="G88" s="62" t="s">
        <v>462</v>
      </c>
      <c r="H88" s="62" t="s">
        <v>463</v>
      </c>
      <c r="I88" s="62" t="s">
        <v>464</v>
      </c>
      <c r="J88" s="62" t="s">
        <v>2191</v>
      </c>
      <c r="K88" s="62" t="s">
        <v>82</v>
      </c>
      <c r="L88" s="61">
        <v>27</v>
      </c>
      <c r="M88" s="61">
        <v>41</v>
      </c>
      <c r="N88" s="61">
        <v>25</v>
      </c>
      <c r="O88" s="62" t="s">
        <v>1845</v>
      </c>
      <c r="P88" s="62" t="s">
        <v>68</v>
      </c>
      <c r="Q88" s="62" t="s">
        <v>2167</v>
      </c>
      <c r="R88" s="62" t="s">
        <v>2167</v>
      </c>
      <c r="S88" s="62" t="s">
        <v>69</v>
      </c>
      <c r="T88" s="61">
        <v>26509</v>
      </c>
      <c r="U88" s="61">
        <v>22927</v>
      </c>
      <c r="V88" s="61">
        <v>2</v>
      </c>
      <c r="W88" s="61">
        <v>5434</v>
      </c>
      <c r="X88" s="61">
        <v>4579</v>
      </c>
      <c r="Y88" s="61">
        <v>8378</v>
      </c>
      <c r="Z88" s="61">
        <v>7015</v>
      </c>
      <c r="AA88" s="61">
        <v>6513</v>
      </c>
      <c r="AB88" s="61">
        <v>6184</v>
      </c>
      <c r="AC88" s="61">
        <v>4360</v>
      </c>
      <c r="AD88" s="61">
        <v>2796</v>
      </c>
      <c r="AE88" s="61">
        <v>2818</v>
      </c>
      <c r="AF88" s="61">
        <v>1361</v>
      </c>
      <c r="AG88" s="61"/>
      <c r="AH88" s="61">
        <v>3460</v>
      </c>
      <c r="AI88" s="61">
        <v>8067</v>
      </c>
      <c r="AJ88" s="61">
        <v>16805</v>
      </c>
      <c r="AK88" s="61">
        <v>44</v>
      </c>
      <c r="AL88" s="61">
        <v>3088</v>
      </c>
      <c r="AM88" s="61">
        <v>257</v>
      </c>
      <c r="AN88" s="61">
        <v>17717</v>
      </c>
      <c r="AO88" s="61">
        <v>1429</v>
      </c>
      <c r="AP88" s="61">
        <v>1045</v>
      </c>
      <c r="AQ88" s="61">
        <v>78</v>
      </c>
      <c r="AR88" s="61">
        <v>59</v>
      </c>
      <c r="AS88" s="61">
        <v>14</v>
      </c>
      <c r="AT88" s="61">
        <v>31</v>
      </c>
      <c r="AU88" s="61"/>
      <c r="AV88" s="61">
        <v>347</v>
      </c>
      <c r="AW88" s="61">
        <v>185</v>
      </c>
      <c r="AX88" s="61">
        <v>38</v>
      </c>
      <c r="AY88" s="61">
        <v>45243</v>
      </c>
      <c r="AZ88" s="61">
        <v>203</v>
      </c>
      <c r="BA88" s="61">
        <v>3</v>
      </c>
      <c r="BB88" s="61"/>
      <c r="BC88" s="61">
        <v>760</v>
      </c>
      <c r="BD88" s="61">
        <v>4557</v>
      </c>
      <c r="BE88" s="61">
        <v>8554</v>
      </c>
      <c r="BF88" s="61">
        <v>15001</v>
      </c>
      <c r="BG88" s="61">
        <v>16237</v>
      </c>
      <c r="BH88" s="61">
        <v>5089</v>
      </c>
      <c r="BI88" s="61"/>
      <c r="BJ88" s="61">
        <v>49438</v>
      </c>
      <c r="BK88" s="61">
        <v>1310</v>
      </c>
      <c r="BL88" s="61">
        <v>43554</v>
      </c>
      <c r="BM88" s="61">
        <v>4574</v>
      </c>
      <c r="BN88" s="61">
        <v>8023</v>
      </c>
      <c r="BO88" s="61">
        <v>7541</v>
      </c>
      <c r="BP88" s="61"/>
      <c r="BQ88" s="61">
        <v>368</v>
      </c>
      <c r="BR88" s="61">
        <v>1120</v>
      </c>
      <c r="BS88" s="61">
        <v>1166</v>
      </c>
      <c r="BT88" s="61">
        <v>1539</v>
      </c>
      <c r="BU88" s="61">
        <v>2096</v>
      </c>
      <c r="BV88" s="61">
        <v>2487</v>
      </c>
      <c r="BW88" s="61">
        <v>2347</v>
      </c>
      <c r="BX88" s="61">
        <v>3744</v>
      </c>
      <c r="BY88" s="61">
        <v>273</v>
      </c>
      <c r="BZ88" s="61">
        <v>424</v>
      </c>
      <c r="CA88" s="61"/>
      <c r="CB88" s="61">
        <v>1411</v>
      </c>
      <c r="CC88" s="61">
        <v>2077</v>
      </c>
      <c r="CD88" s="61">
        <v>3890</v>
      </c>
      <c r="CE88" s="61">
        <v>814</v>
      </c>
      <c r="CF88" s="61">
        <v>52</v>
      </c>
      <c r="CG88" s="61">
        <v>7301</v>
      </c>
      <c r="CH88" s="61">
        <v>19</v>
      </c>
      <c r="CI88" s="61">
        <v>438</v>
      </c>
      <c r="CJ88" s="61">
        <v>215</v>
      </c>
      <c r="CK88" s="61">
        <v>397</v>
      </c>
      <c r="CL88" s="61">
        <v>1371</v>
      </c>
      <c r="CM88" s="61">
        <v>195</v>
      </c>
      <c r="CN88" s="61"/>
      <c r="CO88" s="61">
        <v>31</v>
      </c>
      <c r="CP88" s="61">
        <v>10304</v>
      </c>
      <c r="CQ88" s="61">
        <v>2215</v>
      </c>
      <c r="CR88" s="61">
        <v>12</v>
      </c>
      <c r="CS88" s="61">
        <v>247</v>
      </c>
      <c r="CT88" s="61">
        <v>61</v>
      </c>
      <c r="CU88" s="61">
        <v>12</v>
      </c>
      <c r="CV88" s="61"/>
      <c r="CW88" s="61">
        <v>59</v>
      </c>
      <c r="CX88" s="61">
        <v>2948</v>
      </c>
      <c r="CY88" s="61">
        <v>6515</v>
      </c>
      <c r="CZ88" s="61">
        <v>574</v>
      </c>
      <c r="DA88" s="61">
        <v>5136</v>
      </c>
      <c r="DB88" s="61">
        <v>384</v>
      </c>
      <c r="DC88" s="61">
        <v>7</v>
      </c>
      <c r="DD88" s="61">
        <v>15564</v>
      </c>
      <c r="DE88" s="61">
        <v>815</v>
      </c>
      <c r="DF88" s="61">
        <v>13255</v>
      </c>
      <c r="DG88" s="61">
        <v>1494</v>
      </c>
      <c r="DH88" s="62" t="s">
        <v>2185</v>
      </c>
      <c r="DI88" s="61">
        <v>625</v>
      </c>
      <c r="DJ88" s="61">
        <v>50</v>
      </c>
      <c r="DK88" s="61"/>
      <c r="DL88" s="61">
        <v>3</v>
      </c>
      <c r="DM88" s="61">
        <v>7</v>
      </c>
      <c r="DN88" s="61"/>
    </row>
    <row r="89" spans="1:118" x14ac:dyDescent="0.25">
      <c r="A89" s="61">
        <v>106190413</v>
      </c>
      <c r="B89" s="62" t="s">
        <v>465</v>
      </c>
      <c r="C89" s="62" t="s">
        <v>466</v>
      </c>
      <c r="D89" s="62" t="s">
        <v>348</v>
      </c>
      <c r="E89" s="62" t="s">
        <v>71</v>
      </c>
      <c r="F89" s="62" t="s">
        <v>2213</v>
      </c>
      <c r="G89" s="62" t="s">
        <v>467</v>
      </c>
      <c r="H89" s="62" t="s">
        <v>468</v>
      </c>
      <c r="I89" s="62" t="s">
        <v>469</v>
      </c>
      <c r="J89" s="62" t="s">
        <v>2187</v>
      </c>
      <c r="K89" s="62"/>
      <c r="L89" s="61">
        <v>32</v>
      </c>
      <c r="M89" s="61">
        <v>48</v>
      </c>
      <c r="N89" s="61">
        <v>22</v>
      </c>
      <c r="O89" s="62" t="s">
        <v>1840</v>
      </c>
      <c r="P89" s="62" t="s">
        <v>68</v>
      </c>
      <c r="Q89" s="62" t="s">
        <v>2167</v>
      </c>
      <c r="R89" s="62" t="s">
        <v>2167</v>
      </c>
      <c r="S89" s="62" t="s">
        <v>69</v>
      </c>
      <c r="T89" s="61">
        <v>8923</v>
      </c>
      <c r="U89" s="61">
        <v>6929</v>
      </c>
      <c r="V89" s="61"/>
      <c r="W89" s="61">
        <v>1672</v>
      </c>
      <c r="X89" s="61">
        <v>1683</v>
      </c>
      <c r="Y89" s="61">
        <v>2516</v>
      </c>
      <c r="Z89" s="61">
        <v>2105</v>
      </c>
      <c r="AA89" s="61">
        <v>2157</v>
      </c>
      <c r="AB89" s="61">
        <v>2429</v>
      </c>
      <c r="AC89" s="61">
        <v>1410</v>
      </c>
      <c r="AD89" s="61">
        <v>820</v>
      </c>
      <c r="AE89" s="61">
        <v>874</v>
      </c>
      <c r="AF89" s="61">
        <v>186</v>
      </c>
      <c r="AG89" s="61"/>
      <c r="AH89" s="61">
        <v>956</v>
      </c>
      <c r="AI89" s="61">
        <v>857</v>
      </c>
      <c r="AJ89" s="61">
        <v>9269</v>
      </c>
      <c r="AK89" s="61">
        <v>11</v>
      </c>
      <c r="AL89" s="61">
        <v>245</v>
      </c>
      <c r="AM89" s="61">
        <v>30</v>
      </c>
      <c r="AN89" s="61">
        <v>4484</v>
      </c>
      <c r="AO89" s="61">
        <v>290</v>
      </c>
      <c r="AP89" s="61">
        <v>259</v>
      </c>
      <c r="AQ89" s="61">
        <v>33</v>
      </c>
      <c r="AR89" s="61">
        <v>7</v>
      </c>
      <c r="AS89" s="61">
        <v>7</v>
      </c>
      <c r="AT89" s="61"/>
      <c r="AU89" s="61"/>
      <c r="AV89" s="61"/>
      <c r="AW89" s="61">
        <v>162</v>
      </c>
      <c r="AX89" s="61">
        <v>7</v>
      </c>
      <c r="AY89" s="61">
        <v>14901</v>
      </c>
      <c r="AZ89" s="61">
        <v>174</v>
      </c>
      <c r="BA89" s="61">
        <v>4</v>
      </c>
      <c r="BB89" s="61"/>
      <c r="BC89" s="61"/>
      <c r="BD89" s="61">
        <v>36</v>
      </c>
      <c r="BE89" s="61">
        <v>2908</v>
      </c>
      <c r="BF89" s="61">
        <v>17</v>
      </c>
      <c r="BG89" s="61">
        <v>11254</v>
      </c>
      <c r="BH89" s="61">
        <v>1637</v>
      </c>
      <c r="BI89" s="61"/>
      <c r="BJ89" s="61">
        <v>15852</v>
      </c>
      <c r="BK89" s="61">
        <v>490</v>
      </c>
      <c r="BL89" s="61">
        <v>13637</v>
      </c>
      <c r="BM89" s="61">
        <v>1725</v>
      </c>
      <c r="BN89" s="61">
        <v>2783</v>
      </c>
      <c r="BO89" s="61">
        <v>3002</v>
      </c>
      <c r="BP89" s="61"/>
      <c r="BQ89" s="61">
        <v>68</v>
      </c>
      <c r="BR89" s="61">
        <v>533</v>
      </c>
      <c r="BS89" s="61">
        <v>516</v>
      </c>
      <c r="BT89" s="61">
        <v>605</v>
      </c>
      <c r="BU89" s="61">
        <v>964</v>
      </c>
      <c r="BV89" s="61">
        <v>918</v>
      </c>
      <c r="BW89" s="61">
        <v>929</v>
      </c>
      <c r="BX89" s="61">
        <v>1252</v>
      </c>
      <c r="BY89" s="61"/>
      <c r="BZ89" s="61"/>
      <c r="CA89" s="61"/>
      <c r="CB89" s="61">
        <v>492</v>
      </c>
      <c r="CC89" s="61">
        <v>308</v>
      </c>
      <c r="CD89" s="61">
        <v>2575</v>
      </c>
      <c r="CE89" s="61">
        <v>73</v>
      </c>
      <c r="CF89" s="61">
        <v>9</v>
      </c>
      <c r="CG89" s="61">
        <v>2320</v>
      </c>
      <c r="CH89" s="61">
        <v>8</v>
      </c>
      <c r="CI89" s="61">
        <v>15</v>
      </c>
      <c r="CJ89" s="61">
        <v>773</v>
      </c>
      <c r="CK89" s="61">
        <v>187</v>
      </c>
      <c r="CL89" s="61">
        <v>55</v>
      </c>
      <c r="CM89" s="61"/>
      <c r="CN89" s="61"/>
      <c r="CO89" s="61">
        <v>250</v>
      </c>
      <c r="CP89" s="61">
        <v>3595</v>
      </c>
      <c r="CQ89" s="61">
        <v>31</v>
      </c>
      <c r="CR89" s="61">
        <v>9</v>
      </c>
      <c r="CS89" s="61">
        <v>562</v>
      </c>
      <c r="CT89" s="61">
        <v>12</v>
      </c>
      <c r="CU89" s="61">
        <v>273</v>
      </c>
      <c r="CV89" s="61"/>
      <c r="CW89" s="61"/>
      <c r="CX89" s="61">
        <v>2065</v>
      </c>
      <c r="CY89" s="61">
        <v>2833</v>
      </c>
      <c r="CZ89" s="61">
        <v>19</v>
      </c>
      <c r="DA89" s="61">
        <v>717</v>
      </c>
      <c r="DB89" s="61">
        <v>151</v>
      </c>
      <c r="DC89" s="61"/>
      <c r="DD89" s="61">
        <v>5785</v>
      </c>
      <c r="DE89" s="61">
        <v>339</v>
      </c>
      <c r="DF89" s="61">
        <v>4575</v>
      </c>
      <c r="DG89" s="61">
        <v>871</v>
      </c>
      <c r="DH89" s="62" t="s">
        <v>2185</v>
      </c>
      <c r="DI89" s="61">
        <v>193</v>
      </c>
      <c r="DJ89" s="61">
        <v>12</v>
      </c>
      <c r="DK89" s="61"/>
      <c r="DL89" s="61">
        <v>8</v>
      </c>
      <c r="DM89" s="61">
        <v>22</v>
      </c>
      <c r="DN89" s="61">
        <v>1</v>
      </c>
    </row>
    <row r="90" spans="1:118" x14ac:dyDescent="0.25">
      <c r="A90" s="61">
        <v>106190422</v>
      </c>
      <c r="B90" s="62" t="s">
        <v>470</v>
      </c>
      <c r="C90" s="62" t="s">
        <v>471</v>
      </c>
      <c r="D90" s="62" t="s">
        <v>348</v>
      </c>
      <c r="E90" s="62" t="s">
        <v>71</v>
      </c>
      <c r="F90" s="62" t="s">
        <v>2213</v>
      </c>
      <c r="G90" s="62" t="s">
        <v>2041</v>
      </c>
      <c r="H90" s="62" t="s">
        <v>472</v>
      </c>
      <c r="I90" s="62" t="s">
        <v>2042</v>
      </c>
      <c r="J90" s="62" t="s">
        <v>2186</v>
      </c>
      <c r="K90" s="62"/>
      <c r="L90" s="61">
        <v>43</v>
      </c>
      <c r="M90" s="61">
        <v>66</v>
      </c>
      <c r="N90" s="61">
        <v>26</v>
      </c>
      <c r="O90" s="62" t="s">
        <v>1846</v>
      </c>
      <c r="P90" s="62" t="s">
        <v>68</v>
      </c>
      <c r="Q90" s="62" t="s">
        <v>2167</v>
      </c>
      <c r="R90" s="62" t="s">
        <v>2167</v>
      </c>
      <c r="S90" s="62" t="s">
        <v>69</v>
      </c>
      <c r="T90" s="61">
        <v>34116</v>
      </c>
      <c r="U90" s="61">
        <v>24807</v>
      </c>
      <c r="V90" s="61">
        <v>2</v>
      </c>
      <c r="W90" s="61">
        <v>6656</v>
      </c>
      <c r="X90" s="61">
        <v>5654</v>
      </c>
      <c r="Y90" s="61">
        <v>8486</v>
      </c>
      <c r="Z90" s="61">
        <v>7470</v>
      </c>
      <c r="AA90" s="61">
        <v>6875</v>
      </c>
      <c r="AB90" s="61">
        <v>7211</v>
      </c>
      <c r="AC90" s="61">
        <v>5364</v>
      </c>
      <c r="AD90" s="61">
        <v>4622</v>
      </c>
      <c r="AE90" s="61">
        <v>5336</v>
      </c>
      <c r="AF90" s="61">
        <v>1251</v>
      </c>
      <c r="AG90" s="61"/>
      <c r="AH90" s="61">
        <v>7037</v>
      </c>
      <c r="AI90" s="61">
        <v>7062</v>
      </c>
      <c r="AJ90" s="61">
        <v>18707</v>
      </c>
      <c r="AK90" s="61">
        <v>93</v>
      </c>
      <c r="AL90" s="61">
        <v>4632</v>
      </c>
      <c r="AM90" s="61">
        <v>276</v>
      </c>
      <c r="AN90" s="61">
        <v>21118</v>
      </c>
      <c r="AO90" s="61">
        <v>472</v>
      </c>
      <c r="AP90" s="61">
        <v>350</v>
      </c>
      <c r="AQ90" s="61">
        <v>38</v>
      </c>
      <c r="AR90" s="61"/>
      <c r="AS90" s="61">
        <v>1</v>
      </c>
      <c r="AT90" s="61">
        <v>16</v>
      </c>
      <c r="AU90" s="61"/>
      <c r="AV90" s="61">
        <v>203</v>
      </c>
      <c r="AW90" s="61">
        <v>592</v>
      </c>
      <c r="AX90" s="61">
        <v>43</v>
      </c>
      <c r="AY90" s="61">
        <v>56477</v>
      </c>
      <c r="AZ90" s="61">
        <v>429</v>
      </c>
      <c r="BA90" s="61">
        <v>197</v>
      </c>
      <c r="BB90" s="61"/>
      <c r="BC90" s="61">
        <v>92</v>
      </c>
      <c r="BD90" s="61">
        <v>16508</v>
      </c>
      <c r="BE90" s="61">
        <v>13322</v>
      </c>
      <c r="BF90" s="61">
        <v>939</v>
      </c>
      <c r="BG90" s="61">
        <v>24626</v>
      </c>
      <c r="BH90" s="61">
        <v>3492</v>
      </c>
      <c r="BI90" s="61">
        <v>38</v>
      </c>
      <c r="BJ90" s="61">
        <v>58925</v>
      </c>
      <c r="BK90" s="61">
        <v>1383</v>
      </c>
      <c r="BL90" s="61">
        <v>53270</v>
      </c>
      <c r="BM90" s="61">
        <v>4272</v>
      </c>
      <c r="BN90" s="61">
        <v>8215</v>
      </c>
      <c r="BO90" s="61">
        <v>6950</v>
      </c>
      <c r="BP90" s="61"/>
      <c r="BQ90" s="61">
        <v>262</v>
      </c>
      <c r="BR90" s="61">
        <v>623</v>
      </c>
      <c r="BS90" s="61">
        <v>879</v>
      </c>
      <c r="BT90" s="61">
        <v>1221</v>
      </c>
      <c r="BU90" s="61">
        <v>2229</v>
      </c>
      <c r="BV90" s="61">
        <v>2466</v>
      </c>
      <c r="BW90" s="61">
        <v>2720</v>
      </c>
      <c r="BX90" s="61">
        <v>4300</v>
      </c>
      <c r="BY90" s="61">
        <v>189</v>
      </c>
      <c r="BZ90" s="61">
        <v>276</v>
      </c>
      <c r="CA90" s="61"/>
      <c r="CB90" s="61">
        <v>2328</v>
      </c>
      <c r="CC90" s="61">
        <v>1434</v>
      </c>
      <c r="CD90" s="61">
        <v>2907</v>
      </c>
      <c r="CE90" s="61">
        <v>1015</v>
      </c>
      <c r="CF90" s="61">
        <v>42</v>
      </c>
      <c r="CG90" s="61">
        <v>7424</v>
      </c>
      <c r="CH90" s="61">
        <v>15</v>
      </c>
      <c r="CI90" s="61">
        <v>203</v>
      </c>
      <c r="CJ90" s="61">
        <v>162</v>
      </c>
      <c r="CK90" s="61">
        <v>452</v>
      </c>
      <c r="CL90" s="61">
        <v>1821</v>
      </c>
      <c r="CM90" s="61">
        <v>78</v>
      </c>
      <c r="CN90" s="61"/>
      <c r="CO90" s="61">
        <v>140</v>
      </c>
      <c r="CP90" s="61">
        <v>9464</v>
      </c>
      <c r="CQ90" s="61">
        <v>2465</v>
      </c>
      <c r="CR90" s="61">
        <v>2</v>
      </c>
      <c r="CS90" s="61">
        <v>308</v>
      </c>
      <c r="CT90" s="61">
        <v>54</v>
      </c>
      <c r="CU90" s="61">
        <v>10</v>
      </c>
      <c r="CV90" s="61"/>
      <c r="CW90" s="61"/>
      <c r="CX90" s="61">
        <v>1445</v>
      </c>
      <c r="CY90" s="61">
        <v>8726</v>
      </c>
      <c r="CZ90" s="61">
        <v>120</v>
      </c>
      <c r="DA90" s="61">
        <v>4688</v>
      </c>
      <c r="DB90" s="61">
        <v>183</v>
      </c>
      <c r="DC90" s="61">
        <v>3</v>
      </c>
      <c r="DD90" s="61">
        <v>15165</v>
      </c>
      <c r="DE90" s="61">
        <v>715</v>
      </c>
      <c r="DF90" s="61">
        <v>13368</v>
      </c>
      <c r="DG90" s="61">
        <v>1082</v>
      </c>
      <c r="DH90" s="62" t="s">
        <v>2185</v>
      </c>
      <c r="DI90" s="61">
        <v>446</v>
      </c>
      <c r="DJ90" s="61">
        <v>29</v>
      </c>
      <c r="DK90" s="61">
        <v>15</v>
      </c>
      <c r="DL90" s="61"/>
      <c r="DM90" s="61">
        <v>1</v>
      </c>
      <c r="DN90" s="61">
        <v>5</v>
      </c>
    </row>
    <row r="91" spans="1:118" x14ac:dyDescent="0.25">
      <c r="A91" s="61">
        <v>106190429</v>
      </c>
      <c r="B91" s="62" t="s">
        <v>473</v>
      </c>
      <c r="C91" s="62" t="s">
        <v>2043</v>
      </c>
      <c r="D91" s="62" t="s">
        <v>348</v>
      </c>
      <c r="E91" s="62" t="s">
        <v>71</v>
      </c>
      <c r="F91" s="62" t="s">
        <v>2213</v>
      </c>
      <c r="G91" s="62" t="s">
        <v>474</v>
      </c>
      <c r="H91" s="62" t="s">
        <v>348</v>
      </c>
      <c r="I91" s="62" t="s">
        <v>393</v>
      </c>
      <c r="J91" s="62" t="s">
        <v>2186</v>
      </c>
      <c r="K91" s="62"/>
      <c r="L91" s="61">
        <v>28</v>
      </c>
      <c r="M91" s="61">
        <v>43</v>
      </c>
      <c r="N91" s="61">
        <v>24</v>
      </c>
      <c r="O91" s="62" t="s">
        <v>1835</v>
      </c>
      <c r="P91" s="62" t="s">
        <v>68</v>
      </c>
      <c r="Q91" s="62" t="s">
        <v>2167</v>
      </c>
      <c r="R91" s="62" t="s">
        <v>83</v>
      </c>
      <c r="S91" s="62" t="s">
        <v>69</v>
      </c>
      <c r="T91" s="61">
        <v>33571</v>
      </c>
      <c r="U91" s="61">
        <v>31201</v>
      </c>
      <c r="V91" s="61">
        <v>1</v>
      </c>
      <c r="W91" s="61">
        <v>5696</v>
      </c>
      <c r="X91" s="61">
        <v>4874</v>
      </c>
      <c r="Y91" s="61">
        <v>11312</v>
      </c>
      <c r="Z91" s="61">
        <v>9262</v>
      </c>
      <c r="AA91" s="61">
        <v>8415</v>
      </c>
      <c r="AB91" s="61">
        <v>8037</v>
      </c>
      <c r="AC91" s="61">
        <v>7011</v>
      </c>
      <c r="AD91" s="61">
        <v>4961</v>
      </c>
      <c r="AE91" s="61">
        <v>4062</v>
      </c>
      <c r="AF91" s="61">
        <v>1143</v>
      </c>
      <c r="AG91" s="61"/>
      <c r="AH91" s="61">
        <v>7031</v>
      </c>
      <c r="AI91" s="61">
        <v>9340</v>
      </c>
      <c r="AJ91" s="61">
        <v>29434</v>
      </c>
      <c r="AK91" s="61">
        <v>187</v>
      </c>
      <c r="AL91" s="61">
        <v>1302</v>
      </c>
      <c r="AM91" s="61">
        <v>2176</v>
      </c>
      <c r="AN91" s="61">
        <v>15303</v>
      </c>
      <c r="AO91" s="61">
        <v>121</v>
      </c>
      <c r="AP91" s="61">
        <v>692</v>
      </c>
      <c r="AQ91" s="61">
        <v>16</v>
      </c>
      <c r="AR91" s="61">
        <v>359</v>
      </c>
      <c r="AS91" s="61">
        <v>34</v>
      </c>
      <c r="AT91" s="61">
        <v>20</v>
      </c>
      <c r="AU91" s="61"/>
      <c r="AV91" s="61">
        <v>28</v>
      </c>
      <c r="AW91" s="61">
        <v>698</v>
      </c>
      <c r="AX91" s="61">
        <v>2</v>
      </c>
      <c r="AY91" s="61">
        <v>62084</v>
      </c>
      <c r="AZ91" s="61">
        <v>186</v>
      </c>
      <c r="BA91" s="61"/>
      <c r="BB91" s="61"/>
      <c r="BC91" s="61">
        <v>518</v>
      </c>
      <c r="BD91" s="61">
        <v>16120</v>
      </c>
      <c r="BE91" s="61">
        <v>12915</v>
      </c>
      <c r="BF91" s="61">
        <v>262</v>
      </c>
      <c r="BG91" s="61">
        <v>28468</v>
      </c>
      <c r="BH91" s="61">
        <v>7003</v>
      </c>
      <c r="BI91" s="61">
        <v>5</v>
      </c>
      <c r="BJ91" s="61">
        <v>64773</v>
      </c>
      <c r="BK91" s="61">
        <v>2009</v>
      </c>
      <c r="BL91" s="61">
        <v>51033</v>
      </c>
      <c r="BM91" s="61">
        <v>11731</v>
      </c>
      <c r="BN91" s="61">
        <v>3912</v>
      </c>
      <c r="BO91" s="61">
        <v>4383</v>
      </c>
      <c r="BP91" s="61">
        <v>1</v>
      </c>
      <c r="BQ91" s="61">
        <v>206</v>
      </c>
      <c r="BR91" s="61">
        <v>583</v>
      </c>
      <c r="BS91" s="61">
        <v>564</v>
      </c>
      <c r="BT91" s="61">
        <v>750</v>
      </c>
      <c r="BU91" s="61">
        <v>1166</v>
      </c>
      <c r="BV91" s="61">
        <v>1655</v>
      </c>
      <c r="BW91" s="61">
        <v>1592</v>
      </c>
      <c r="BX91" s="61">
        <v>1549</v>
      </c>
      <c r="BY91" s="61">
        <v>75</v>
      </c>
      <c r="BZ91" s="61">
        <v>156</v>
      </c>
      <c r="CA91" s="61"/>
      <c r="CB91" s="61">
        <v>1277</v>
      </c>
      <c r="CC91" s="61">
        <v>1164</v>
      </c>
      <c r="CD91" s="61">
        <v>3169</v>
      </c>
      <c r="CE91" s="61">
        <v>66</v>
      </c>
      <c r="CF91" s="61">
        <v>92</v>
      </c>
      <c r="CG91" s="61">
        <v>2498</v>
      </c>
      <c r="CH91" s="61">
        <v>30</v>
      </c>
      <c r="CI91" s="61">
        <v>153</v>
      </c>
      <c r="CJ91" s="61">
        <v>119</v>
      </c>
      <c r="CK91" s="61">
        <v>278</v>
      </c>
      <c r="CL91" s="61">
        <v>1586</v>
      </c>
      <c r="CM91" s="61">
        <v>15</v>
      </c>
      <c r="CN91" s="61">
        <v>3</v>
      </c>
      <c r="CO91" s="61">
        <v>6</v>
      </c>
      <c r="CP91" s="61">
        <v>5189</v>
      </c>
      <c r="CQ91" s="61">
        <v>757</v>
      </c>
      <c r="CR91" s="61">
        <v>1</v>
      </c>
      <c r="CS91" s="61">
        <v>144</v>
      </c>
      <c r="CT91" s="61">
        <v>29</v>
      </c>
      <c r="CU91" s="61"/>
      <c r="CV91" s="61">
        <v>1</v>
      </c>
      <c r="CW91" s="61">
        <v>14</v>
      </c>
      <c r="CX91" s="61">
        <v>792</v>
      </c>
      <c r="CY91" s="61">
        <v>3921</v>
      </c>
      <c r="CZ91" s="61">
        <v>24</v>
      </c>
      <c r="DA91" s="61">
        <v>3311</v>
      </c>
      <c r="DB91" s="61">
        <v>248</v>
      </c>
      <c r="DC91" s="61"/>
      <c r="DD91" s="61">
        <v>8296</v>
      </c>
      <c r="DE91" s="61">
        <v>321</v>
      </c>
      <c r="DF91" s="61">
        <v>6468</v>
      </c>
      <c r="DG91" s="61">
        <v>1507</v>
      </c>
      <c r="DH91" s="62" t="s">
        <v>2185</v>
      </c>
      <c r="DI91" s="61">
        <v>460</v>
      </c>
      <c r="DJ91" s="61">
        <v>45</v>
      </c>
      <c r="DK91" s="61">
        <v>15</v>
      </c>
      <c r="DL91" s="61"/>
      <c r="DM91" s="61"/>
      <c r="DN91" s="61">
        <v>1</v>
      </c>
    </row>
    <row r="92" spans="1:118" x14ac:dyDescent="0.25">
      <c r="A92" s="61">
        <v>106190431</v>
      </c>
      <c r="B92" s="62" t="s">
        <v>475</v>
      </c>
      <c r="C92" s="62" t="s">
        <v>2044</v>
      </c>
      <c r="D92" s="62" t="s">
        <v>348</v>
      </c>
      <c r="E92" s="62" t="s">
        <v>71</v>
      </c>
      <c r="F92" s="62" t="s">
        <v>2213</v>
      </c>
      <c r="G92" s="62" t="s">
        <v>476</v>
      </c>
      <c r="H92" s="62" t="s">
        <v>477</v>
      </c>
      <c r="I92" s="62" t="s">
        <v>478</v>
      </c>
      <c r="J92" s="62" t="s">
        <v>2184</v>
      </c>
      <c r="K92" s="62"/>
      <c r="L92" s="61">
        <v>33</v>
      </c>
      <c r="M92" s="61">
        <v>66</v>
      </c>
      <c r="N92" s="61">
        <v>35</v>
      </c>
      <c r="O92" s="62" t="s">
        <v>1846</v>
      </c>
      <c r="P92" s="62" t="s">
        <v>68</v>
      </c>
      <c r="Q92" s="62" t="s">
        <v>2167</v>
      </c>
      <c r="R92" s="62" t="s">
        <v>2167</v>
      </c>
      <c r="S92" s="62" t="s">
        <v>69</v>
      </c>
      <c r="T92" s="61">
        <v>30465</v>
      </c>
      <c r="U92" s="61">
        <v>23650</v>
      </c>
      <c r="V92" s="61">
        <v>2</v>
      </c>
      <c r="W92" s="61">
        <v>5726</v>
      </c>
      <c r="X92" s="61">
        <v>4775</v>
      </c>
      <c r="Y92" s="61">
        <v>7808</v>
      </c>
      <c r="Z92" s="61">
        <v>6353</v>
      </c>
      <c r="AA92" s="61">
        <v>6223</v>
      </c>
      <c r="AB92" s="61">
        <v>6609</v>
      </c>
      <c r="AC92" s="61">
        <v>5701</v>
      </c>
      <c r="AD92" s="61">
        <v>5160</v>
      </c>
      <c r="AE92" s="61">
        <v>4651</v>
      </c>
      <c r="AF92" s="61">
        <v>1111</v>
      </c>
      <c r="AG92" s="61"/>
      <c r="AH92" s="61">
        <v>4936</v>
      </c>
      <c r="AI92" s="61">
        <v>17418</v>
      </c>
      <c r="AJ92" s="61">
        <v>18705</v>
      </c>
      <c r="AK92" s="61">
        <v>112</v>
      </c>
      <c r="AL92" s="61">
        <v>881</v>
      </c>
      <c r="AM92" s="61">
        <v>1730</v>
      </c>
      <c r="AN92" s="61">
        <v>10335</v>
      </c>
      <c r="AO92" s="61">
        <v>153</v>
      </c>
      <c r="AP92" s="61">
        <v>622</v>
      </c>
      <c r="AQ92" s="61">
        <v>29</v>
      </c>
      <c r="AR92" s="61">
        <v>395</v>
      </c>
      <c r="AS92" s="61">
        <v>97</v>
      </c>
      <c r="AT92" s="61">
        <v>4</v>
      </c>
      <c r="AU92" s="61"/>
      <c r="AV92" s="61">
        <v>13</v>
      </c>
      <c r="AW92" s="61">
        <v>540</v>
      </c>
      <c r="AX92" s="61">
        <v>5</v>
      </c>
      <c r="AY92" s="61">
        <v>51527</v>
      </c>
      <c r="AZ92" s="61">
        <v>186</v>
      </c>
      <c r="BA92" s="61">
        <v>3</v>
      </c>
      <c r="BB92" s="61">
        <v>1</v>
      </c>
      <c r="BC92" s="61">
        <v>496</v>
      </c>
      <c r="BD92" s="61">
        <v>11793</v>
      </c>
      <c r="BE92" s="61">
        <v>12937</v>
      </c>
      <c r="BF92" s="61">
        <v>151</v>
      </c>
      <c r="BG92" s="61">
        <v>25580</v>
      </c>
      <c r="BH92" s="61">
        <v>3654</v>
      </c>
      <c r="BI92" s="61">
        <v>2</v>
      </c>
      <c r="BJ92" s="61">
        <v>54117</v>
      </c>
      <c r="BK92" s="61">
        <v>519</v>
      </c>
      <c r="BL92" s="61">
        <v>48521</v>
      </c>
      <c r="BM92" s="61">
        <v>5077</v>
      </c>
      <c r="BN92" s="61">
        <v>3301</v>
      </c>
      <c r="BO92" s="61">
        <v>3038</v>
      </c>
      <c r="BP92" s="61"/>
      <c r="BQ92" s="61">
        <v>64</v>
      </c>
      <c r="BR92" s="61">
        <v>267</v>
      </c>
      <c r="BS92" s="61">
        <v>326</v>
      </c>
      <c r="BT92" s="61">
        <v>556</v>
      </c>
      <c r="BU92" s="61">
        <v>891</v>
      </c>
      <c r="BV92" s="61">
        <v>1206</v>
      </c>
      <c r="BW92" s="61">
        <v>1377</v>
      </c>
      <c r="BX92" s="61">
        <v>1551</v>
      </c>
      <c r="BY92" s="61">
        <v>31</v>
      </c>
      <c r="BZ92" s="61">
        <v>70</v>
      </c>
      <c r="CA92" s="61"/>
      <c r="CB92" s="61">
        <v>734</v>
      </c>
      <c r="CC92" s="61">
        <v>2189</v>
      </c>
      <c r="CD92" s="61">
        <v>1448</v>
      </c>
      <c r="CE92" s="61">
        <v>40</v>
      </c>
      <c r="CF92" s="61">
        <v>37</v>
      </c>
      <c r="CG92" s="61">
        <v>1882</v>
      </c>
      <c r="CH92" s="61">
        <v>9</v>
      </c>
      <c r="CI92" s="61">
        <v>276</v>
      </c>
      <c r="CJ92" s="61">
        <v>60</v>
      </c>
      <c r="CK92" s="61">
        <v>262</v>
      </c>
      <c r="CL92" s="61">
        <v>1158</v>
      </c>
      <c r="CM92" s="61">
        <v>5</v>
      </c>
      <c r="CN92" s="61"/>
      <c r="CO92" s="61">
        <v>2</v>
      </c>
      <c r="CP92" s="61">
        <v>3741</v>
      </c>
      <c r="CQ92" s="61">
        <v>607</v>
      </c>
      <c r="CR92" s="61"/>
      <c r="CS92" s="61">
        <v>199</v>
      </c>
      <c r="CT92" s="61">
        <v>18</v>
      </c>
      <c r="CU92" s="61"/>
      <c r="CV92" s="61">
        <v>2</v>
      </c>
      <c r="CW92" s="61">
        <v>6</v>
      </c>
      <c r="CX92" s="61">
        <v>477</v>
      </c>
      <c r="CY92" s="61">
        <v>3663</v>
      </c>
      <c r="CZ92" s="61">
        <v>3</v>
      </c>
      <c r="DA92" s="61">
        <v>2087</v>
      </c>
      <c r="DB92" s="61">
        <v>109</v>
      </c>
      <c r="DC92" s="61"/>
      <c r="DD92" s="61">
        <v>6339</v>
      </c>
      <c r="DE92" s="61">
        <v>67</v>
      </c>
      <c r="DF92" s="61">
        <v>5731</v>
      </c>
      <c r="DG92" s="61">
        <v>541</v>
      </c>
      <c r="DH92" s="62" t="s">
        <v>2185</v>
      </c>
      <c r="DI92" s="61">
        <v>229</v>
      </c>
      <c r="DJ92" s="61">
        <v>37</v>
      </c>
      <c r="DK92" s="61">
        <v>46</v>
      </c>
      <c r="DL92" s="61"/>
      <c r="DM92" s="61">
        <v>2</v>
      </c>
      <c r="DN92" s="61">
        <v>1</v>
      </c>
    </row>
    <row r="93" spans="1:118" x14ac:dyDescent="0.25">
      <c r="A93" s="61">
        <v>106190432</v>
      </c>
      <c r="B93" s="62" t="s">
        <v>479</v>
      </c>
      <c r="C93" s="62" t="s">
        <v>2045</v>
      </c>
      <c r="D93" s="62" t="s">
        <v>348</v>
      </c>
      <c r="E93" s="62" t="s">
        <v>71</v>
      </c>
      <c r="F93" s="62" t="s">
        <v>2213</v>
      </c>
      <c r="G93" s="62" t="s">
        <v>480</v>
      </c>
      <c r="H93" s="62" t="s">
        <v>481</v>
      </c>
      <c r="I93" s="62" t="s">
        <v>482</v>
      </c>
      <c r="J93" s="62" t="s">
        <v>2184</v>
      </c>
      <c r="K93" s="62"/>
      <c r="L93" s="61">
        <v>29</v>
      </c>
      <c r="M93" s="61">
        <v>46</v>
      </c>
      <c r="N93" s="61">
        <v>18</v>
      </c>
      <c r="O93" s="62" t="s">
        <v>1847</v>
      </c>
      <c r="P93" s="62" t="s">
        <v>68</v>
      </c>
      <c r="Q93" s="62" t="s">
        <v>2167</v>
      </c>
      <c r="R93" s="62" t="s">
        <v>2167</v>
      </c>
      <c r="S93" s="62" t="s">
        <v>69</v>
      </c>
      <c r="T93" s="61">
        <v>31869</v>
      </c>
      <c r="U93" s="61">
        <v>27020</v>
      </c>
      <c r="V93" s="61">
        <v>2</v>
      </c>
      <c r="W93" s="61">
        <v>6676</v>
      </c>
      <c r="X93" s="61">
        <v>5621</v>
      </c>
      <c r="Y93" s="61">
        <v>8557</v>
      </c>
      <c r="Z93" s="61">
        <v>6743</v>
      </c>
      <c r="AA93" s="61">
        <v>6457</v>
      </c>
      <c r="AB93" s="61">
        <v>6998</v>
      </c>
      <c r="AC93" s="61">
        <v>6466</v>
      </c>
      <c r="AD93" s="61">
        <v>5185</v>
      </c>
      <c r="AE93" s="61">
        <v>4914</v>
      </c>
      <c r="AF93" s="61">
        <v>1274</v>
      </c>
      <c r="AG93" s="61"/>
      <c r="AH93" s="61">
        <v>5237</v>
      </c>
      <c r="AI93" s="61">
        <v>3948</v>
      </c>
      <c r="AJ93" s="61">
        <v>29878</v>
      </c>
      <c r="AK93" s="61">
        <v>130</v>
      </c>
      <c r="AL93" s="61">
        <v>65</v>
      </c>
      <c r="AM93" s="61">
        <v>506</v>
      </c>
      <c r="AN93" s="61">
        <v>19127</v>
      </c>
      <c r="AO93" s="61">
        <v>607</v>
      </c>
      <c r="AP93" s="61">
        <v>271</v>
      </c>
      <c r="AQ93" s="61">
        <v>45</v>
      </c>
      <c r="AR93" s="61">
        <v>401</v>
      </c>
      <c r="AS93" s="61">
        <v>69</v>
      </c>
      <c r="AT93" s="61">
        <v>4</v>
      </c>
      <c r="AU93" s="61"/>
      <c r="AV93" s="61">
        <v>13</v>
      </c>
      <c r="AW93" s="61">
        <v>524</v>
      </c>
      <c r="AX93" s="61">
        <v>31</v>
      </c>
      <c r="AY93" s="61">
        <v>56197</v>
      </c>
      <c r="AZ93" s="61">
        <v>347</v>
      </c>
      <c r="BA93" s="61">
        <v>2</v>
      </c>
      <c r="BB93" s="61">
        <v>2</v>
      </c>
      <c r="BC93" s="61">
        <v>373</v>
      </c>
      <c r="BD93" s="61">
        <v>15467</v>
      </c>
      <c r="BE93" s="61">
        <v>13815</v>
      </c>
      <c r="BF93" s="61">
        <v>165</v>
      </c>
      <c r="BG93" s="61">
        <v>24627</v>
      </c>
      <c r="BH93" s="61">
        <v>4810</v>
      </c>
      <c r="BI93" s="61">
        <v>7</v>
      </c>
      <c r="BJ93" s="61">
        <v>58891</v>
      </c>
      <c r="BK93" s="61">
        <v>694</v>
      </c>
      <c r="BL93" s="61">
        <v>50898</v>
      </c>
      <c r="BM93" s="61">
        <v>7299</v>
      </c>
      <c r="BN93" s="61">
        <v>2160</v>
      </c>
      <c r="BO93" s="61">
        <v>2048</v>
      </c>
      <c r="BP93" s="61"/>
      <c r="BQ93" s="61">
        <v>79</v>
      </c>
      <c r="BR93" s="61">
        <v>171</v>
      </c>
      <c r="BS93" s="61">
        <v>190</v>
      </c>
      <c r="BT93" s="61">
        <v>338</v>
      </c>
      <c r="BU93" s="61">
        <v>534</v>
      </c>
      <c r="BV93" s="61">
        <v>775</v>
      </c>
      <c r="BW93" s="61">
        <v>892</v>
      </c>
      <c r="BX93" s="61">
        <v>1074</v>
      </c>
      <c r="BY93" s="61">
        <v>54</v>
      </c>
      <c r="BZ93" s="61">
        <v>101</v>
      </c>
      <c r="CA93" s="61"/>
      <c r="CB93" s="61">
        <v>394</v>
      </c>
      <c r="CC93" s="61">
        <v>278</v>
      </c>
      <c r="CD93" s="61">
        <v>1376</v>
      </c>
      <c r="CE93" s="61">
        <v>9</v>
      </c>
      <c r="CF93" s="61">
        <v>22</v>
      </c>
      <c r="CG93" s="61">
        <v>2119</v>
      </c>
      <c r="CH93" s="61">
        <v>10</v>
      </c>
      <c r="CI93" s="61">
        <v>163</v>
      </c>
      <c r="CJ93" s="61">
        <v>26</v>
      </c>
      <c r="CK93" s="61">
        <v>171</v>
      </c>
      <c r="CL93" s="61">
        <v>654</v>
      </c>
      <c r="CM93" s="61">
        <v>11</v>
      </c>
      <c r="CN93" s="61"/>
      <c r="CO93" s="61">
        <v>1</v>
      </c>
      <c r="CP93" s="61">
        <v>2369</v>
      </c>
      <c r="CQ93" s="61">
        <v>653</v>
      </c>
      <c r="CR93" s="61"/>
      <c r="CS93" s="61">
        <v>119</v>
      </c>
      <c r="CT93" s="61">
        <v>15</v>
      </c>
      <c r="CU93" s="61"/>
      <c r="CV93" s="61"/>
      <c r="CW93" s="61">
        <v>21</v>
      </c>
      <c r="CX93" s="61">
        <v>343</v>
      </c>
      <c r="CY93" s="61">
        <v>2486</v>
      </c>
      <c r="CZ93" s="61">
        <v>2</v>
      </c>
      <c r="DA93" s="61">
        <v>1276</v>
      </c>
      <c r="DB93" s="61">
        <v>101</v>
      </c>
      <c r="DC93" s="61"/>
      <c r="DD93" s="61">
        <v>4208</v>
      </c>
      <c r="DE93" s="61">
        <v>70</v>
      </c>
      <c r="DF93" s="61">
        <v>3634</v>
      </c>
      <c r="DG93" s="61">
        <v>504</v>
      </c>
      <c r="DH93" s="62" t="s">
        <v>2185</v>
      </c>
      <c r="DI93" s="61">
        <v>218</v>
      </c>
      <c r="DJ93" s="61">
        <v>34</v>
      </c>
      <c r="DK93" s="61">
        <v>5</v>
      </c>
      <c r="DL93" s="61"/>
      <c r="DM93" s="61"/>
      <c r="DN93" s="61">
        <v>5</v>
      </c>
    </row>
    <row r="94" spans="1:118" x14ac:dyDescent="0.25">
      <c r="A94" s="61">
        <v>106190434</v>
      </c>
      <c r="B94" s="62" t="s">
        <v>483</v>
      </c>
      <c r="C94" s="62" t="s">
        <v>2046</v>
      </c>
      <c r="D94" s="62" t="s">
        <v>348</v>
      </c>
      <c r="E94" s="62" t="s">
        <v>71</v>
      </c>
      <c r="F94" s="62" t="s">
        <v>2213</v>
      </c>
      <c r="G94" s="62" t="s">
        <v>484</v>
      </c>
      <c r="H94" s="62" t="s">
        <v>348</v>
      </c>
      <c r="I94" s="62" t="s">
        <v>485</v>
      </c>
      <c r="J94" s="62" t="s">
        <v>2184</v>
      </c>
      <c r="K94" s="62"/>
      <c r="L94" s="61">
        <v>37</v>
      </c>
      <c r="M94" s="61">
        <v>54</v>
      </c>
      <c r="N94" s="61">
        <v>30</v>
      </c>
      <c r="O94" s="62" t="s">
        <v>1848</v>
      </c>
      <c r="P94" s="62" t="s">
        <v>68</v>
      </c>
      <c r="Q94" s="62" t="s">
        <v>2167</v>
      </c>
      <c r="R94" s="62" t="s">
        <v>2167</v>
      </c>
      <c r="S94" s="62" t="s">
        <v>69</v>
      </c>
      <c r="T94" s="61">
        <v>36460</v>
      </c>
      <c r="U94" s="61">
        <v>27396</v>
      </c>
      <c r="V94" s="61">
        <v>1</v>
      </c>
      <c r="W94" s="61">
        <v>5498</v>
      </c>
      <c r="X94" s="61">
        <v>5063</v>
      </c>
      <c r="Y94" s="61">
        <v>10617</v>
      </c>
      <c r="Z94" s="61">
        <v>7974</v>
      </c>
      <c r="AA94" s="61">
        <v>7015</v>
      </c>
      <c r="AB94" s="61">
        <v>8024</v>
      </c>
      <c r="AC94" s="61">
        <v>7095</v>
      </c>
      <c r="AD94" s="61">
        <v>5611</v>
      </c>
      <c r="AE94" s="61">
        <v>5896</v>
      </c>
      <c r="AF94" s="61">
        <v>1064</v>
      </c>
      <c r="AG94" s="61"/>
      <c r="AH94" s="61">
        <v>2290</v>
      </c>
      <c r="AI94" s="61">
        <v>30966</v>
      </c>
      <c r="AJ94" s="61">
        <v>17128</v>
      </c>
      <c r="AK94" s="61">
        <v>206</v>
      </c>
      <c r="AL94" s="61">
        <v>1208</v>
      </c>
      <c r="AM94" s="61">
        <v>1954</v>
      </c>
      <c r="AN94" s="61">
        <v>10105</v>
      </c>
      <c r="AO94" s="61">
        <v>583</v>
      </c>
      <c r="AP94" s="61">
        <v>408</v>
      </c>
      <c r="AQ94" s="61">
        <v>63</v>
      </c>
      <c r="AR94" s="61">
        <v>507</v>
      </c>
      <c r="AS94" s="61">
        <v>66</v>
      </c>
      <c r="AT94" s="61">
        <v>13</v>
      </c>
      <c r="AU94" s="61"/>
      <c r="AV94" s="61">
        <v>47</v>
      </c>
      <c r="AW94" s="61">
        <v>482</v>
      </c>
      <c r="AX94" s="61">
        <v>5</v>
      </c>
      <c r="AY94" s="61">
        <v>60680</v>
      </c>
      <c r="AZ94" s="61">
        <v>128</v>
      </c>
      <c r="BA94" s="61">
        <v>6</v>
      </c>
      <c r="BB94" s="61">
        <v>3</v>
      </c>
      <c r="BC94" s="61">
        <v>848</v>
      </c>
      <c r="BD94" s="61">
        <v>17141</v>
      </c>
      <c r="BE94" s="61">
        <v>15044</v>
      </c>
      <c r="BF94" s="61">
        <v>135</v>
      </c>
      <c r="BG94" s="61">
        <v>24060</v>
      </c>
      <c r="BH94" s="61">
        <v>7472</v>
      </c>
      <c r="BI94" s="61">
        <v>5</v>
      </c>
      <c r="BJ94" s="61">
        <v>63857</v>
      </c>
      <c r="BK94" s="61">
        <v>803</v>
      </c>
      <c r="BL94" s="61">
        <v>56829</v>
      </c>
      <c r="BM94" s="61">
        <v>6225</v>
      </c>
      <c r="BN94" s="61">
        <v>3191</v>
      </c>
      <c r="BO94" s="61">
        <v>2578</v>
      </c>
      <c r="BP94" s="61"/>
      <c r="BQ94" s="61">
        <v>36</v>
      </c>
      <c r="BR94" s="61">
        <v>300</v>
      </c>
      <c r="BS94" s="61">
        <v>315</v>
      </c>
      <c r="BT94" s="61">
        <v>445</v>
      </c>
      <c r="BU94" s="61">
        <v>794</v>
      </c>
      <c r="BV94" s="61">
        <v>1060</v>
      </c>
      <c r="BW94" s="61">
        <v>1224</v>
      </c>
      <c r="BX94" s="61">
        <v>1589</v>
      </c>
      <c r="BY94" s="61"/>
      <c r="BZ94" s="61">
        <v>6</v>
      </c>
      <c r="CA94" s="61"/>
      <c r="CB94" s="61">
        <v>317</v>
      </c>
      <c r="CC94" s="61">
        <v>3108</v>
      </c>
      <c r="CD94" s="61">
        <v>1017</v>
      </c>
      <c r="CE94" s="61">
        <v>25</v>
      </c>
      <c r="CF94" s="61">
        <v>23</v>
      </c>
      <c r="CG94" s="61">
        <v>1263</v>
      </c>
      <c r="CH94" s="61">
        <v>16</v>
      </c>
      <c r="CI94" s="61">
        <v>235</v>
      </c>
      <c r="CJ94" s="61">
        <v>53</v>
      </c>
      <c r="CK94" s="61">
        <v>223</v>
      </c>
      <c r="CL94" s="61">
        <v>1488</v>
      </c>
      <c r="CM94" s="61">
        <v>14</v>
      </c>
      <c r="CN94" s="61"/>
      <c r="CO94" s="61">
        <v>1</v>
      </c>
      <c r="CP94" s="61">
        <v>2930</v>
      </c>
      <c r="CQ94" s="61">
        <v>572</v>
      </c>
      <c r="CR94" s="61"/>
      <c r="CS94" s="61">
        <v>215</v>
      </c>
      <c r="CT94" s="61">
        <v>7</v>
      </c>
      <c r="CU94" s="61">
        <v>2</v>
      </c>
      <c r="CV94" s="61">
        <v>2</v>
      </c>
      <c r="CW94" s="61">
        <v>26</v>
      </c>
      <c r="CX94" s="61">
        <v>512</v>
      </c>
      <c r="CY94" s="61">
        <v>3303</v>
      </c>
      <c r="CZ94" s="61">
        <v>11</v>
      </c>
      <c r="DA94" s="61">
        <v>1791</v>
      </c>
      <c r="DB94" s="61">
        <v>152</v>
      </c>
      <c r="DC94" s="61"/>
      <c r="DD94" s="61">
        <v>5769</v>
      </c>
      <c r="DE94" s="61">
        <v>80</v>
      </c>
      <c r="DF94" s="61">
        <v>5170</v>
      </c>
      <c r="DG94" s="61">
        <v>519</v>
      </c>
      <c r="DH94" s="62" t="s">
        <v>2185</v>
      </c>
      <c r="DI94" s="61">
        <v>288</v>
      </c>
      <c r="DJ94" s="61">
        <v>53</v>
      </c>
      <c r="DK94" s="61">
        <v>18</v>
      </c>
      <c r="DL94" s="61"/>
      <c r="DM94" s="61"/>
      <c r="DN94" s="61">
        <v>1</v>
      </c>
    </row>
    <row r="95" spans="1:118" x14ac:dyDescent="0.25">
      <c r="A95" s="61">
        <v>106190470</v>
      </c>
      <c r="B95" s="62" t="s">
        <v>486</v>
      </c>
      <c r="C95" s="62" t="s">
        <v>2047</v>
      </c>
      <c r="D95" s="62" t="s">
        <v>348</v>
      </c>
      <c r="E95" s="62" t="s">
        <v>71</v>
      </c>
      <c r="F95" s="62" t="s">
        <v>2213</v>
      </c>
      <c r="G95" s="62" t="s">
        <v>487</v>
      </c>
      <c r="H95" s="62" t="s">
        <v>472</v>
      </c>
      <c r="I95" s="62" t="s">
        <v>488</v>
      </c>
      <c r="J95" s="62" t="s">
        <v>2186</v>
      </c>
      <c r="K95" s="62"/>
      <c r="L95" s="61">
        <v>33</v>
      </c>
      <c r="M95" s="61">
        <v>66</v>
      </c>
      <c r="N95" s="61">
        <v>26</v>
      </c>
      <c r="O95" s="62" t="s">
        <v>1849</v>
      </c>
      <c r="P95" s="62" t="s">
        <v>68</v>
      </c>
      <c r="Q95" s="62" t="s">
        <v>2167</v>
      </c>
      <c r="R95" s="62" t="s">
        <v>2167</v>
      </c>
      <c r="S95" s="62" t="s">
        <v>69</v>
      </c>
      <c r="T95" s="61">
        <v>33689</v>
      </c>
      <c r="U95" s="61">
        <v>25270</v>
      </c>
      <c r="V95" s="61"/>
      <c r="W95" s="61">
        <v>8956</v>
      </c>
      <c r="X95" s="61">
        <v>6087</v>
      </c>
      <c r="Y95" s="61">
        <v>9782</v>
      </c>
      <c r="Z95" s="61">
        <v>8376</v>
      </c>
      <c r="AA95" s="61">
        <v>7042</v>
      </c>
      <c r="AB95" s="61">
        <v>6495</v>
      </c>
      <c r="AC95" s="61">
        <v>4316</v>
      </c>
      <c r="AD95" s="61">
        <v>2950</v>
      </c>
      <c r="AE95" s="61">
        <v>3048</v>
      </c>
      <c r="AF95" s="61">
        <v>1907</v>
      </c>
      <c r="AG95" s="61"/>
      <c r="AH95" s="61">
        <v>4756</v>
      </c>
      <c r="AI95" s="61">
        <v>9627</v>
      </c>
      <c r="AJ95" s="61">
        <v>24323</v>
      </c>
      <c r="AK95" s="61">
        <v>75</v>
      </c>
      <c r="AL95" s="61">
        <v>3377</v>
      </c>
      <c r="AM95" s="61">
        <v>481</v>
      </c>
      <c r="AN95" s="61">
        <v>16320</v>
      </c>
      <c r="AO95" s="61">
        <v>552</v>
      </c>
      <c r="AP95" s="61">
        <v>925</v>
      </c>
      <c r="AQ95" s="61">
        <v>111</v>
      </c>
      <c r="AR95" s="61">
        <v>56</v>
      </c>
      <c r="AS95" s="61">
        <v>22</v>
      </c>
      <c r="AT95" s="61">
        <v>22</v>
      </c>
      <c r="AU95" s="61"/>
      <c r="AV95" s="61">
        <v>102</v>
      </c>
      <c r="AW95" s="61">
        <v>324</v>
      </c>
      <c r="AX95" s="61">
        <v>40</v>
      </c>
      <c r="AY95" s="61">
        <v>55644</v>
      </c>
      <c r="AZ95" s="61">
        <v>336</v>
      </c>
      <c r="BA95" s="61">
        <v>64</v>
      </c>
      <c r="BB95" s="61">
        <v>39</v>
      </c>
      <c r="BC95" s="61">
        <v>714</v>
      </c>
      <c r="BD95" s="61">
        <v>27103</v>
      </c>
      <c r="BE95" s="61">
        <v>8892</v>
      </c>
      <c r="BF95" s="61">
        <v>1196</v>
      </c>
      <c r="BG95" s="61">
        <v>17157</v>
      </c>
      <c r="BH95" s="61">
        <v>4609</v>
      </c>
      <c r="BI95" s="61">
        <v>2</v>
      </c>
      <c r="BJ95" s="61">
        <v>58959</v>
      </c>
      <c r="BK95" s="61">
        <v>1291</v>
      </c>
      <c r="BL95" s="61">
        <v>51408</v>
      </c>
      <c r="BM95" s="61">
        <v>6260</v>
      </c>
      <c r="BN95" s="61">
        <v>7911</v>
      </c>
      <c r="BO95" s="61">
        <v>6346</v>
      </c>
      <c r="BP95" s="61"/>
      <c r="BQ95" s="61">
        <v>233</v>
      </c>
      <c r="BR95" s="61">
        <v>762</v>
      </c>
      <c r="BS95" s="61">
        <v>929</v>
      </c>
      <c r="BT95" s="61">
        <v>1416</v>
      </c>
      <c r="BU95" s="61">
        <v>2309</v>
      </c>
      <c r="BV95" s="61">
        <v>2400</v>
      </c>
      <c r="BW95" s="61">
        <v>2334</v>
      </c>
      <c r="BX95" s="61">
        <v>3470</v>
      </c>
      <c r="BY95" s="61">
        <v>146</v>
      </c>
      <c r="BZ95" s="61">
        <v>258</v>
      </c>
      <c r="CA95" s="61"/>
      <c r="CB95" s="61">
        <v>1892</v>
      </c>
      <c r="CC95" s="61">
        <v>2346</v>
      </c>
      <c r="CD95" s="61">
        <v>3698</v>
      </c>
      <c r="CE95" s="61">
        <v>724</v>
      </c>
      <c r="CF95" s="61">
        <v>51</v>
      </c>
      <c r="CG95" s="61">
        <v>5506</v>
      </c>
      <c r="CH95" s="61">
        <v>40</v>
      </c>
      <c r="CI95" s="61">
        <v>337</v>
      </c>
      <c r="CJ95" s="61">
        <v>199</v>
      </c>
      <c r="CK95" s="61">
        <v>393</v>
      </c>
      <c r="CL95" s="61">
        <v>1658</v>
      </c>
      <c r="CM95" s="61">
        <v>122</v>
      </c>
      <c r="CN95" s="61"/>
      <c r="CO95" s="61">
        <v>32</v>
      </c>
      <c r="CP95" s="61">
        <v>8680</v>
      </c>
      <c r="CQ95" s="61">
        <v>2490</v>
      </c>
      <c r="CR95" s="61">
        <v>2</v>
      </c>
      <c r="CS95" s="61">
        <v>255</v>
      </c>
      <c r="CT95" s="61">
        <v>52</v>
      </c>
      <c r="CU95" s="61">
        <v>3</v>
      </c>
      <c r="CV95" s="61">
        <v>5</v>
      </c>
      <c r="CW95" s="61">
        <v>23</v>
      </c>
      <c r="CX95" s="61">
        <v>3174</v>
      </c>
      <c r="CY95" s="61">
        <v>7195</v>
      </c>
      <c r="CZ95" s="61">
        <v>113</v>
      </c>
      <c r="DA95" s="61">
        <v>2999</v>
      </c>
      <c r="DB95" s="61">
        <v>775</v>
      </c>
      <c r="DC95" s="61">
        <v>1</v>
      </c>
      <c r="DD95" s="61">
        <v>14257</v>
      </c>
      <c r="DE95" s="61">
        <v>677</v>
      </c>
      <c r="DF95" s="61">
        <v>12013</v>
      </c>
      <c r="DG95" s="61">
        <v>1567</v>
      </c>
      <c r="DH95" s="62" t="s">
        <v>2185</v>
      </c>
      <c r="DI95" s="61">
        <v>442</v>
      </c>
      <c r="DJ95" s="61">
        <v>29</v>
      </c>
      <c r="DK95" s="61">
        <v>8</v>
      </c>
      <c r="DL95" s="61"/>
      <c r="DM95" s="61">
        <v>6</v>
      </c>
      <c r="DN95" s="61"/>
    </row>
    <row r="96" spans="1:118" x14ac:dyDescent="0.25">
      <c r="A96" s="61">
        <v>106190475</v>
      </c>
      <c r="B96" s="62" t="s">
        <v>489</v>
      </c>
      <c r="C96" s="62" t="s">
        <v>1759</v>
      </c>
      <c r="D96" s="62" t="s">
        <v>348</v>
      </c>
      <c r="E96" s="62" t="s">
        <v>71</v>
      </c>
      <c r="F96" s="62" t="s">
        <v>2213</v>
      </c>
      <c r="G96" s="62" t="s">
        <v>490</v>
      </c>
      <c r="H96" s="62" t="s">
        <v>366</v>
      </c>
      <c r="I96" s="62" t="s">
        <v>491</v>
      </c>
      <c r="J96" s="62" t="s">
        <v>2184</v>
      </c>
      <c r="K96" s="62"/>
      <c r="L96" s="61">
        <v>47</v>
      </c>
      <c r="M96" s="61">
        <v>70</v>
      </c>
      <c r="N96" s="61">
        <v>33</v>
      </c>
      <c r="O96" s="62" t="s">
        <v>1850</v>
      </c>
      <c r="P96" s="62" t="s">
        <v>68</v>
      </c>
      <c r="Q96" s="62" t="s">
        <v>2167</v>
      </c>
      <c r="R96" s="62" t="s">
        <v>2167</v>
      </c>
      <c r="S96" s="62" t="s">
        <v>69</v>
      </c>
      <c r="T96" s="61">
        <v>11930</v>
      </c>
      <c r="U96" s="61">
        <v>9791</v>
      </c>
      <c r="V96" s="61">
        <v>6</v>
      </c>
      <c r="W96" s="61">
        <v>1440</v>
      </c>
      <c r="X96" s="61">
        <v>1993</v>
      </c>
      <c r="Y96" s="61">
        <v>4567</v>
      </c>
      <c r="Z96" s="61">
        <v>3571</v>
      </c>
      <c r="AA96" s="61">
        <v>3156</v>
      </c>
      <c r="AB96" s="61">
        <v>3031</v>
      </c>
      <c r="AC96" s="61">
        <v>1817</v>
      </c>
      <c r="AD96" s="61">
        <v>943</v>
      </c>
      <c r="AE96" s="61">
        <v>1026</v>
      </c>
      <c r="AF96" s="61">
        <v>183</v>
      </c>
      <c r="AG96" s="61"/>
      <c r="AH96" s="61">
        <v>1100</v>
      </c>
      <c r="AI96" s="61">
        <v>4657</v>
      </c>
      <c r="AJ96" s="61">
        <v>5735</v>
      </c>
      <c r="AK96" s="61">
        <v>32</v>
      </c>
      <c r="AL96" s="61">
        <v>452</v>
      </c>
      <c r="AM96" s="61">
        <v>64</v>
      </c>
      <c r="AN96" s="61">
        <v>9687</v>
      </c>
      <c r="AO96" s="61">
        <v>778</v>
      </c>
      <c r="AP96" s="61"/>
      <c r="AQ96" s="61">
        <v>34</v>
      </c>
      <c r="AR96" s="61">
        <v>22</v>
      </c>
      <c r="AS96" s="61">
        <v>3</v>
      </c>
      <c r="AT96" s="61">
        <v>11</v>
      </c>
      <c r="AU96" s="61"/>
      <c r="AV96" s="61">
        <v>42</v>
      </c>
      <c r="AW96" s="61">
        <v>22</v>
      </c>
      <c r="AX96" s="61">
        <v>1</v>
      </c>
      <c r="AY96" s="61">
        <v>20682</v>
      </c>
      <c r="AZ96" s="61">
        <v>104</v>
      </c>
      <c r="BA96" s="61">
        <v>17</v>
      </c>
      <c r="BB96" s="61">
        <v>8</v>
      </c>
      <c r="BC96" s="61">
        <v>2</v>
      </c>
      <c r="BD96" s="61">
        <v>10204</v>
      </c>
      <c r="BE96" s="61">
        <v>3693</v>
      </c>
      <c r="BF96" s="61">
        <v>253</v>
      </c>
      <c r="BG96" s="61">
        <v>4812</v>
      </c>
      <c r="BH96" s="61">
        <v>2765</v>
      </c>
      <c r="BI96" s="61"/>
      <c r="BJ96" s="61">
        <v>21727</v>
      </c>
      <c r="BK96" s="61">
        <v>197</v>
      </c>
      <c r="BL96" s="61">
        <v>20571</v>
      </c>
      <c r="BM96" s="61">
        <v>959</v>
      </c>
      <c r="BN96" s="61">
        <v>2273</v>
      </c>
      <c r="BO96" s="61">
        <v>2376</v>
      </c>
      <c r="BP96" s="61">
        <v>4</v>
      </c>
      <c r="BQ96" s="61">
        <v>97</v>
      </c>
      <c r="BR96" s="61">
        <v>544</v>
      </c>
      <c r="BS96" s="61">
        <v>567</v>
      </c>
      <c r="BT96" s="61">
        <v>630</v>
      </c>
      <c r="BU96" s="61">
        <v>703</v>
      </c>
      <c r="BV96" s="61">
        <v>674</v>
      </c>
      <c r="BW96" s="61">
        <v>539</v>
      </c>
      <c r="BX96" s="61">
        <v>899</v>
      </c>
      <c r="BY96" s="61"/>
      <c r="BZ96" s="61"/>
      <c r="CA96" s="61"/>
      <c r="CB96" s="61">
        <v>267</v>
      </c>
      <c r="CC96" s="61">
        <v>828</v>
      </c>
      <c r="CD96" s="61">
        <v>749</v>
      </c>
      <c r="CE96" s="61">
        <v>94</v>
      </c>
      <c r="CF96" s="61">
        <v>18</v>
      </c>
      <c r="CG96" s="61">
        <v>2691</v>
      </c>
      <c r="CH96" s="61">
        <v>6</v>
      </c>
      <c r="CI96" s="61">
        <v>255</v>
      </c>
      <c r="CJ96" s="61"/>
      <c r="CK96" s="61">
        <v>146</v>
      </c>
      <c r="CL96" s="61">
        <v>277</v>
      </c>
      <c r="CM96" s="61">
        <v>20</v>
      </c>
      <c r="CN96" s="61"/>
      <c r="CO96" s="61"/>
      <c r="CP96" s="61">
        <v>2902</v>
      </c>
      <c r="CQ96" s="61">
        <v>1000</v>
      </c>
      <c r="CR96" s="61">
        <v>2</v>
      </c>
      <c r="CS96" s="61">
        <v>16</v>
      </c>
      <c r="CT96" s="61">
        <v>33</v>
      </c>
      <c r="CU96" s="61">
        <v>1</v>
      </c>
      <c r="CV96" s="61">
        <v>1</v>
      </c>
      <c r="CW96" s="61"/>
      <c r="CX96" s="61">
        <v>1561</v>
      </c>
      <c r="CY96" s="61">
        <v>2277</v>
      </c>
      <c r="CZ96" s="61">
        <v>34</v>
      </c>
      <c r="DA96" s="61">
        <v>585</v>
      </c>
      <c r="DB96" s="61">
        <v>196</v>
      </c>
      <c r="DC96" s="61"/>
      <c r="DD96" s="61">
        <v>4653</v>
      </c>
      <c r="DE96" s="61">
        <v>78</v>
      </c>
      <c r="DF96" s="61">
        <v>4429</v>
      </c>
      <c r="DG96" s="61">
        <v>146</v>
      </c>
      <c r="DH96" s="62" t="s">
        <v>2185</v>
      </c>
      <c r="DI96" s="61">
        <v>208</v>
      </c>
      <c r="DJ96" s="61">
        <v>21</v>
      </c>
      <c r="DK96" s="61">
        <v>1</v>
      </c>
      <c r="DL96" s="61"/>
      <c r="DM96" s="61"/>
      <c r="DN96" s="61"/>
    </row>
    <row r="97" spans="1:118" x14ac:dyDescent="0.25">
      <c r="A97" s="61">
        <v>106190500</v>
      </c>
      <c r="B97" s="62" t="s">
        <v>492</v>
      </c>
      <c r="C97" s="62" t="s">
        <v>493</v>
      </c>
      <c r="D97" s="62" t="s">
        <v>348</v>
      </c>
      <c r="E97" s="62" t="s">
        <v>184</v>
      </c>
      <c r="F97" s="62" t="s">
        <v>2213</v>
      </c>
      <c r="G97" s="62" t="s">
        <v>494</v>
      </c>
      <c r="H97" s="62" t="s">
        <v>495</v>
      </c>
      <c r="I97" s="62" t="s">
        <v>496</v>
      </c>
      <c r="J97" s="62" t="s">
        <v>2189</v>
      </c>
      <c r="K97" s="62"/>
      <c r="L97" s="61">
        <v>33</v>
      </c>
      <c r="M97" s="61">
        <v>62</v>
      </c>
      <c r="N97" s="61">
        <v>26</v>
      </c>
      <c r="O97" s="62" t="s">
        <v>1851</v>
      </c>
      <c r="P97" s="62" t="s">
        <v>68</v>
      </c>
      <c r="Q97" s="62" t="s">
        <v>2167</v>
      </c>
      <c r="R97" s="62" t="s">
        <v>2167</v>
      </c>
      <c r="S97" s="62" t="s">
        <v>69</v>
      </c>
      <c r="T97" s="61">
        <v>12381</v>
      </c>
      <c r="U97" s="61">
        <v>11642</v>
      </c>
      <c r="V97" s="61"/>
      <c r="W97" s="61">
        <v>971</v>
      </c>
      <c r="X97" s="61">
        <v>1651</v>
      </c>
      <c r="Y97" s="61">
        <v>5218</v>
      </c>
      <c r="Z97" s="61">
        <v>4136</v>
      </c>
      <c r="AA97" s="61">
        <v>3647</v>
      </c>
      <c r="AB97" s="61">
        <v>3422</v>
      </c>
      <c r="AC97" s="61">
        <v>2241</v>
      </c>
      <c r="AD97" s="61">
        <v>1247</v>
      </c>
      <c r="AE97" s="61">
        <v>1385</v>
      </c>
      <c r="AF97" s="61">
        <v>105</v>
      </c>
      <c r="AG97" s="61"/>
      <c r="AH97" s="61">
        <v>1034</v>
      </c>
      <c r="AI97" s="61">
        <v>5942</v>
      </c>
      <c r="AJ97" s="61">
        <v>4021</v>
      </c>
      <c r="AK97" s="61">
        <v>43</v>
      </c>
      <c r="AL97" s="61">
        <v>869</v>
      </c>
      <c r="AM97" s="61">
        <v>18</v>
      </c>
      <c r="AN97" s="61">
        <v>12096</v>
      </c>
      <c r="AO97" s="61">
        <v>865</v>
      </c>
      <c r="AP97" s="61">
        <v>1092</v>
      </c>
      <c r="AQ97" s="61">
        <v>49</v>
      </c>
      <c r="AR97" s="61">
        <v>5</v>
      </c>
      <c r="AS97" s="61">
        <v>4</v>
      </c>
      <c r="AT97" s="61">
        <v>8</v>
      </c>
      <c r="AU97" s="61"/>
      <c r="AV97" s="61">
        <v>263</v>
      </c>
      <c r="AW97" s="61">
        <v>223</v>
      </c>
      <c r="AX97" s="61">
        <v>26</v>
      </c>
      <c r="AY97" s="61">
        <v>21396</v>
      </c>
      <c r="AZ97" s="61">
        <v>47</v>
      </c>
      <c r="BA97" s="61">
        <v>45</v>
      </c>
      <c r="BB97" s="61"/>
      <c r="BC97" s="61"/>
      <c r="BD97" s="61">
        <v>2021</v>
      </c>
      <c r="BE97" s="61">
        <v>4613</v>
      </c>
      <c r="BF97" s="61">
        <v>737</v>
      </c>
      <c r="BG97" s="61">
        <v>14090</v>
      </c>
      <c r="BH97" s="61">
        <v>2562</v>
      </c>
      <c r="BI97" s="61"/>
      <c r="BJ97" s="61">
        <v>24023</v>
      </c>
      <c r="BK97" s="61">
        <v>118</v>
      </c>
      <c r="BL97" s="61">
        <v>23303</v>
      </c>
      <c r="BM97" s="61">
        <v>602</v>
      </c>
      <c r="BN97" s="61">
        <v>1426</v>
      </c>
      <c r="BO97" s="61">
        <v>1283</v>
      </c>
      <c r="BP97" s="61"/>
      <c r="BQ97" s="61">
        <v>20</v>
      </c>
      <c r="BR97" s="61">
        <v>154</v>
      </c>
      <c r="BS97" s="61">
        <v>170</v>
      </c>
      <c r="BT97" s="61">
        <v>263</v>
      </c>
      <c r="BU97" s="61">
        <v>387</v>
      </c>
      <c r="BV97" s="61">
        <v>454</v>
      </c>
      <c r="BW97" s="61">
        <v>443</v>
      </c>
      <c r="BX97" s="61">
        <v>818</v>
      </c>
      <c r="BY97" s="61"/>
      <c r="BZ97" s="61"/>
      <c r="CA97" s="61"/>
      <c r="CB97" s="61">
        <v>138</v>
      </c>
      <c r="CC97" s="61">
        <v>582</v>
      </c>
      <c r="CD97" s="61">
        <v>320</v>
      </c>
      <c r="CE97" s="61">
        <v>89</v>
      </c>
      <c r="CF97" s="61">
        <v>1</v>
      </c>
      <c r="CG97" s="61">
        <v>1579</v>
      </c>
      <c r="CH97" s="61"/>
      <c r="CI97" s="61">
        <v>234</v>
      </c>
      <c r="CJ97" s="61">
        <v>114</v>
      </c>
      <c r="CK97" s="61">
        <v>66</v>
      </c>
      <c r="CL97" s="61">
        <v>123</v>
      </c>
      <c r="CM97" s="61">
        <v>71</v>
      </c>
      <c r="CN97" s="61"/>
      <c r="CO97" s="61">
        <v>11</v>
      </c>
      <c r="CP97" s="61">
        <v>1558</v>
      </c>
      <c r="CQ97" s="61">
        <v>491</v>
      </c>
      <c r="CR97" s="61">
        <v>1</v>
      </c>
      <c r="CS97" s="61">
        <v>23</v>
      </c>
      <c r="CT97" s="61">
        <v>14</v>
      </c>
      <c r="CU97" s="61">
        <v>3</v>
      </c>
      <c r="CV97" s="61"/>
      <c r="CW97" s="61"/>
      <c r="CX97" s="61">
        <v>441</v>
      </c>
      <c r="CY97" s="61">
        <v>1583</v>
      </c>
      <c r="CZ97" s="61">
        <v>35</v>
      </c>
      <c r="DA97" s="61">
        <v>558</v>
      </c>
      <c r="DB97" s="61">
        <v>92</v>
      </c>
      <c r="DC97" s="61"/>
      <c r="DD97" s="61">
        <v>2709</v>
      </c>
      <c r="DE97" s="61">
        <v>17</v>
      </c>
      <c r="DF97" s="61">
        <v>2625</v>
      </c>
      <c r="DG97" s="61">
        <v>67</v>
      </c>
      <c r="DH97" s="62" t="s">
        <v>2185</v>
      </c>
      <c r="DI97" s="61">
        <v>145</v>
      </c>
      <c r="DJ97" s="61">
        <v>18</v>
      </c>
      <c r="DK97" s="61"/>
      <c r="DL97" s="61"/>
      <c r="DM97" s="61"/>
      <c r="DN97" s="61"/>
    </row>
    <row r="98" spans="1:118" x14ac:dyDescent="0.25">
      <c r="A98" s="61">
        <v>106190517</v>
      </c>
      <c r="B98" s="62" t="s">
        <v>497</v>
      </c>
      <c r="C98" s="62" t="s">
        <v>498</v>
      </c>
      <c r="D98" s="62" t="s">
        <v>348</v>
      </c>
      <c r="E98" s="62" t="s">
        <v>71</v>
      </c>
      <c r="F98" s="62" t="s">
        <v>2213</v>
      </c>
      <c r="G98" s="62" t="s">
        <v>499</v>
      </c>
      <c r="H98" s="62" t="s">
        <v>500</v>
      </c>
      <c r="I98" s="62" t="s">
        <v>501</v>
      </c>
      <c r="J98" s="62" t="s">
        <v>2184</v>
      </c>
      <c r="K98" s="62"/>
      <c r="L98" s="61">
        <v>30</v>
      </c>
      <c r="M98" s="61">
        <v>45</v>
      </c>
      <c r="N98" s="61">
        <v>27</v>
      </c>
      <c r="O98" s="62" t="s">
        <v>1839</v>
      </c>
      <c r="P98" s="62" t="s">
        <v>68</v>
      </c>
      <c r="Q98" s="62" t="s">
        <v>2167</v>
      </c>
      <c r="R98" s="62" t="s">
        <v>2167</v>
      </c>
      <c r="S98" s="62" t="s">
        <v>69</v>
      </c>
      <c r="T98" s="61">
        <v>20447</v>
      </c>
      <c r="U98" s="61">
        <v>15532</v>
      </c>
      <c r="V98" s="61">
        <v>4</v>
      </c>
      <c r="W98" s="61">
        <v>5707</v>
      </c>
      <c r="X98" s="61">
        <v>3720</v>
      </c>
      <c r="Y98" s="61">
        <v>5229</v>
      </c>
      <c r="Z98" s="61">
        <v>4659</v>
      </c>
      <c r="AA98" s="61">
        <v>3963</v>
      </c>
      <c r="AB98" s="61">
        <v>3773</v>
      </c>
      <c r="AC98" s="61">
        <v>2965</v>
      </c>
      <c r="AD98" s="61">
        <v>2128</v>
      </c>
      <c r="AE98" s="61">
        <v>2527</v>
      </c>
      <c r="AF98" s="61">
        <v>1312</v>
      </c>
      <c r="AG98" s="61"/>
      <c r="AH98" s="61">
        <v>693</v>
      </c>
      <c r="AI98" s="61">
        <v>1848</v>
      </c>
      <c r="AJ98" s="61">
        <v>9195</v>
      </c>
      <c r="AK98" s="61">
        <v>14</v>
      </c>
      <c r="AL98" s="61">
        <v>1110</v>
      </c>
      <c r="AM98" s="61">
        <v>98</v>
      </c>
      <c r="AN98" s="61">
        <v>23025</v>
      </c>
      <c r="AO98" s="61">
        <v>127</v>
      </c>
      <c r="AP98" s="61">
        <v>229</v>
      </c>
      <c r="AQ98" s="61">
        <v>32</v>
      </c>
      <c r="AR98" s="61">
        <v>31</v>
      </c>
      <c r="AS98" s="61">
        <v>7</v>
      </c>
      <c r="AT98" s="61">
        <v>11</v>
      </c>
      <c r="AU98" s="61"/>
      <c r="AV98" s="61">
        <v>25</v>
      </c>
      <c r="AW98" s="61">
        <v>168</v>
      </c>
      <c r="AX98" s="61">
        <v>4</v>
      </c>
      <c r="AY98" s="61">
        <v>35026</v>
      </c>
      <c r="AZ98" s="61">
        <v>162</v>
      </c>
      <c r="BA98" s="61">
        <v>4</v>
      </c>
      <c r="BB98" s="61">
        <v>4</v>
      </c>
      <c r="BC98" s="61">
        <v>144</v>
      </c>
      <c r="BD98" s="61">
        <v>16147</v>
      </c>
      <c r="BE98" s="61">
        <v>6226</v>
      </c>
      <c r="BF98" s="61">
        <v>407</v>
      </c>
      <c r="BG98" s="61">
        <v>10131</v>
      </c>
      <c r="BH98" s="61">
        <v>3071</v>
      </c>
      <c r="BI98" s="61">
        <v>1</v>
      </c>
      <c r="BJ98" s="61">
        <v>35983</v>
      </c>
      <c r="BK98" s="61">
        <v>1010</v>
      </c>
      <c r="BL98" s="61">
        <v>33124</v>
      </c>
      <c r="BM98" s="61">
        <v>1849</v>
      </c>
      <c r="BN98" s="61">
        <v>4397</v>
      </c>
      <c r="BO98" s="61">
        <v>3753</v>
      </c>
      <c r="BP98" s="61"/>
      <c r="BQ98" s="61">
        <v>217</v>
      </c>
      <c r="BR98" s="61">
        <v>252</v>
      </c>
      <c r="BS98" s="61">
        <v>366</v>
      </c>
      <c r="BT98" s="61">
        <v>437</v>
      </c>
      <c r="BU98" s="61">
        <v>849</v>
      </c>
      <c r="BV98" s="61">
        <v>1242</v>
      </c>
      <c r="BW98" s="61">
        <v>1431</v>
      </c>
      <c r="BX98" s="61">
        <v>2878</v>
      </c>
      <c r="BY98" s="61">
        <v>181</v>
      </c>
      <c r="BZ98" s="61">
        <v>297</v>
      </c>
      <c r="CA98" s="61"/>
      <c r="CB98" s="61">
        <v>234</v>
      </c>
      <c r="CC98" s="61">
        <v>221</v>
      </c>
      <c r="CD98" s="61">
        <v>980</v>
      </c>
      <c r="CE98" s="61">
        <v>147</v>
      </c>
      <c r="CF98" s="61">
        <v>21</v>
      </c>
      <c r="CG98" s="61">
        <v>6543</v>
      </c>
      <c r="CH98" s="61">
        <v>4</v>
      </c>
      <c r="CI98" s="61">
        <v>137</v>
      </c>
      <c r="CJ98" s="61">
        <v>87</v>
      </c>
      <c r="CK98" s="61">
        <v>223</v>
      </c>
      <c r="CL98" s="61">
        <v>1643</v>
      </c>
      <c r="CM98" s="61">
        <v>61</v>
      </c>
      <c r="CN98" s="61"/>
      <c r="CO98" s="61">
        <v>18</v>
      </c>
      <c r="CP98" s="61">
        <v>4273</v>
      </c>
      <c r="CQ98" s="61">
        <v>1554</v>
      </c>
      <c r="CR98" s="61"/>
      <c r="CS98" s="61">
        <v>130</v>
      </c>
      <c r="CT98" s="61">
        <v>21</v>
      </c>
      <c r="CU98" s="61">
        <v>1</v>
      </c>
      <c r="CV98" s="61"/>
      <c r="CW98" s="61">
        <v>2</v>
      </c>
      <c r="CX98" s="61">
        <v>1233</v>
      </c>
      <c r="CY98" s="61">
        <v>5024</v>
      </c>
      <c r="CZ98" s="61">
        <v>34</v>
      </c>
      <c r="DA98" s="61">
        <v>1641</v>
      </c>
      <c r="DB98" s="61">
        <v>218</v>
      </c>
      <c r="DC98" s="61"/>
      <c r="DD98" s="61">
        <v>8150</v>
      </c>
      <c r="DE98" s="61">
        <v>590</v>
      </c>
      <c r="DF98" s="61">
        <v>7252</v>
      </c>
      <c r="DG98" s="61">
        <v>308</v>
      </c>
      <c r="DH98" s="62" t="s">
        <v>2185</v>
      </c>
      <c r="DI98" s="61">
        <v>249</v>
      </c>
      <c r="DJ98" s="61">
        <v>15</v>
      </c>
      <c r="DK98" s="61">
        <v>9</v>
      </c>
      <c r="DL98" s="61"/>
      <c r="DM98" s="61"/>
      <c r="DN98" s="61"/>
    </row>
    <row r="99" spans="1:118" x14ac:dyDescent="0.25">
      <c r="A99" s="61">
        <v>106190521</v>
      </c>
      <c r="B99" s="62" t="s">
        <v>502</v>
      </c>
      <c r="C99" s="62" t="s">
        <v>503</v>
      </c>
      <c r="D99" s="62" t="s">
        <v>348</v>
      </c>
      <c r="E99" s="62" t="s">
        <v>349</v>
      </c>
      <c r="F99" s="62" t="s">
        <v>2213</v>
      </c>
      <c r="G99" s="62" t="s">
        <v>504</v>
      </c>
      <c r="H99" s="62" t="s">
        <v>505</v>
      </c>
      <c r="I99" s="62" t="s">
        <v>506</v>
      </c>
      <c r="J99" s="62" t="s">
        <v>2187</v>
      </c>
      <c r="K99" s="62"/>
      <c r="L99" s="61">
        <v>43</v>
      </c>
      <c r="M99" s="61">
        <v>66</v>
      </c>
      <c r="N99" s="61">
        <v>35</v>
      </c>
      <c r="O99" s="62" t="s">
        <v>1852</v>
      </c>
      <c r="P99" s="62" t="s">
        <v>68</v>
      </c>
      <c r="Q99" s="62" t="s">
        <v>2167</v>
      </c>
      <c r="R99" s="62" t="s">
        <v>2167</v>
      </c>
      <c r="S99" s="62" t="s">
        <v>69</v>
      </c>
      <c r="T99" s="61">
        <v>20101</v>
      </c>
      <c r="U99" s="61">
        <v>15067</v>
      </c>
      <c r="V99" s="61"/>
      <c r="W99" s="61">
        <v>4324</v>
      </c>
      <c r="X99" s="61">
        <v>3669</v>
      </c>
      <c r="Y99" s="61">
        <v>7686</v>
      </c>
      <c r="Z99" s="61">
        <v>5558</v>
      </c>
      <c r="AA99" s="61">
        <v>4527</v>
      </c>
      <c r="AB99" s="61">
        <v>4522</v>
      </c>
      <c r="AC99" s="61">
        <v>2380</v>
      </c>
      <c r="AD99" s="61">
        <v>985</v>
      </c>
      <c r="AE99" s="61">
        <v>687</v>
      </c>
      <c r="AF99" s="61">
        <v>830</v>
      </c>
      <c r="AG99" s="61"/>
      <c r="AH99" s="61">
        <v>785</v>
      </c>
      <c r="AI99" s="61">
        <v>18078</v>
      </c>
      <c r="AJ99" s="61">
        <v>12386</v>
      </c>
      <c r="AK99" s="61">
        <v>30</v>
      </c>
      <c r="AL99" s="61">
        <v>1539</v>
      </c>
      <c r="AM99" s="61"/>
      <c r="AN99" s="61">
        <v>2350</v>
      </c>
      <c r="AO99" s="61">
        <v>1010</v>
      </c>
      <c r="AP99" s="61">
        <v>2768</v>
      </c>
      <c r="AQ99" s="61">
        <v>47</v>
      </c>
      <c r="AR99" s="61">
        <v>8</v>
      </c>
      <c r="AS99" s="61">
        <v>1</v>
      </c>
      <c r="AT99" s="61"/>
      <c r="AU99" s="61"/>
      <c r="AV99" s="61">
        <v>311</v>
      </c>
      <c r="AW99" s="61">
        <v>12</v>
      </c>
      <c r="AX99" s="61">
        <v>2</v>
      </c>
      <c r="AY99" s="61">
        <v>30930</v>
      </c>
      <c r="AZ99" s="61">
        <v>69</v>
      </c>
      <c r="BA99" s="61">
        <v>7</v>
      </c>
      <c r="BB99" s="61">
        <v>3</v>
      </c>
      <c r="BC99" s="61"/>
      <c r="BD99" s="61">
        <v>21923</v>
      </c>
      <c r="BE99" s="61">
        <v>2365</v>
      </c>
      <c r="BF99" s="61">
        <v>1512</v>
      </c>
      <c r="BG99" s="61">
        <v>180</v>
      </c>
      <c r="BH99" s="61">
        <v>9188</v>
      </c>
      <c r="BI99" s="61"/>
      <c r="BJ99" s="61">
        <v>35168</v>
      </c>
      <c r="BK99" s="61">
        <v>12</v>
      </c>
      <c r="BL99" s="61">
        <v>34520</v>
      </c>
      <c r="BM99" s="61">
        <v>636</v>
      </c>
      <c r="BN99" s="61">
        <v>2682</v>
      </c>
      <c r="BO99" s="61">
        <v>2328</v>
      </c>
      <c r="BP99" s="61"/>
      <c r="BQ99" s="61">
        <v>39</v>
      </c>
      <c r="BR99" s="61">
        <v>410</v>
      </c>
      <c r="BS99" s="61">
        <v>437</v>
      </c>
      <c r="BT99" s="61">
        <v>605</v>
      </c>
      <c r="BU99" s="61">
        <v>1115</v>
      </c>
      <c r="BV99" s="61">
        <v>1010</v>
      </c>
      <c r="BW99" s="61">
        <v>684</v>
      </c>
      <c r="BX99" s="61">
        <v>710</v>
      </c>
      <c r="BY99" s="61"/>
      <c r="BZ99" s="61"/>
      <c r="CA99" s="61"/>
      <c r="CB99" s="61">
        <v>248</v>
      </c>
      <c r="CC99" s="61">
        <v>2668</v>
      </c>
      <c r="CD99" s="61">
        <v>1420</v>
      </c>
      <c r="CE99" s="61">
        <v>175</v>
      </c>
      <c r="CF99" s="61">
        <v>67</v>
      </c>
      <c r="CG99" s="61">
        <v>427</v>
      </c>
      <c r="CH99" s="61">
        <v>5</v>
      </c>
      <c r="CI99" s="61">
        <v>226</v>
      </c>
      <c r="CJ99" s="61">
        <v>375</v>
      </c>
      <c r="CK99" s="61">
        <v>141</v>
      </c>
      <c r="CL99" s="61">
        <v>147</v>
      </c>
      <c r="CM99" s="61"/>
      <c r="CN99" s="61"/>
      <c r="CO99" s="61"/>
      <c r="CP99" s="61">
        <v>3326</v>
      </c>
      <c r="CQ99" s="61">
        <v>794</v>
      </c>
      <c r="CR99" s="61"/>
      <c r="CS99" s="61"/>
      <c r="CT99" s="61"/>
      <c r="CU99" s="61"/>
      <c r="CV99" s="61">
        <v>1</v>
      </c>
      <c r="CW99" s="61"/>
      <c r="CX99" s="61">
        <v>2612</v>
      </c>
      <c r="CY99" s="61">
        <v>1882</v>
      </c>
      <c r="CZ99" s="61">
        <v>26</v>
      </c>
      <c r="DA99" s="61">
        <v>278</v>
      </c>
      <c r="DB99" s="61">
        <v>212</v>
      </c>
      <c r="DC99" s="61"/>
      <c r="DD99" s="61">
        <v>5010</v>
      </c>
      <c r="DE99" s="61">
        <v>7</v>
      </c>
      <c r="DF99" s="61">
        <v>4896</v>
      </c>
      <c r="DG99" s="61">
        <v>107</v>
      </c>
      <c r="DH99" s="62" t="s">
        <v>2185</v>
      </c>
      <c r="DI99" s="61">
        <v>172</v>
      </c>
      <c r="DJ99" s="61">
        <v>10</v>
      </c>
      <c r="DK99" s="61"/>
      <c r="DL99" s="61"/>
      <c r="DM99" s="61"/>
      <c r="DN99" s="61"/>
    </row>
    <row r="100" spans="1:118" x14ac:dyDescent="0.25">
      <c r="A100" s="61">
        <v>106190522</v>
      </c>
      <c r="B100" s="62" t="s">
        <v>507</v>
      </c>
      <c r="C100" s="62" t="s">
        <v>508</v>
      </c>
      <c r="D100" s="62" t="s">
        <v>348</v>
      </c>
      <c r="E100" s="62" t="s">
        <v>71</v>
      </c>
      <c r="F100" s="62" t="s">
        <v>2213</v>
      </c>
      <c r="G100" s="62" t="s">
        <v>509</v>
      </c>
      <c r="H100" s="62" t="s">
        <v>437</v>
      </c>
      <c r="I100" s="62" t="s">
        <v>510</v>
      </c>
      <c r="J100" s="62" t="s">
        <v>2186</v>
      </c>
      <c r="K100" s="62"/>
      <c r="L100" s="61">
        <v>28</v>
      </c>
      <c r="M100" s="61">
        <v>43</v>
      </c>
      <c r="N100" s="61">
        <v>25</v>
      </c>
      <c r="O100" s="62" t="s">
        <v>1842</v>
      </c>
      <c r="P100" s="62" t="s">
        <v>68</v>
      </c>
      <c r="Q100" s="62" t="s">
        <v>2167</v>
      </c>
      <c r="R100" s="62" t="s">
        <v>2167</v>
      </c>
      <c r="S100" s="62" t="s">
        <v>69</v>
      </c>
      <c r="T100" s="61">
        <v>18166</v>
      </c>
      <c r="U100" s="61">
        <v>15365</v>
      </c>
      <c r="V100" s="61"/>
      <c r="W100" s="61">
        <v>3346</v>
      </c>
      <c r="X100" s="61">
        <v>2844</v>
      </c>
      <c r="Y100" s="61">
        <v>5200</v>
      </c>
      <c r="Z100" s="61">
        <v>4674</v>
      </c>
      <c r="AA100" s="61">
        <v>4238</v>
      </c>
      <c r="AB100" s="61">
        <v>4402</v>
      </c>
      <c r="AC100" s="61">
        <v>3467</v>
      </c>
      <c r="AD100" s="61">
        <v>2458</v>
      </c>
      <c r="AE100" s="61">
        <v>2271</v>
      </c>
      <c r="AF100" s="61">
        <v>631</v>
      </c>
      <c r="AG100" s="61"/>
      <c r="AH100" s="61">
        <v>1798</v>
      </c>
      <c r="AI100" s="61">
        <v>1364</v>
      </c>
      <c r="AJ100" s="61">
        <v>14007</v>
      </c>
      <c r="AK100" s="61">
        <v>1</v>
      </c>
      <c r="AL100" s="61">
        <v>6036</v>
      </c>
      <c r="AM100" s="61">
        <v>52</v>
      </c>
      <c r="AN100" s="61">
        <v>10273</v>
      </c>
      <c r="AO100" s="61">
        <v>252</v>
      </c>
      <c r="AP100" s="61">
        <v>637</v>
      </c>
      <c r="AQ100" s="61">
        <v>46</v>
      </c>
      <c r="AR100" s="61">
        <v>103</v>
      </c>
      <c r="AS100" s="61">
        <v>9</v>
      </c>
      <c r="AT100" s="61">
        <v>13</v>
      </c>
      <c r="AU100" s="61"/>
      <c r="AV100" s="61">
        <v>47</v>
      </c>
      <c r="AW100" s="61">
        <v>18</v>
      </c>
      <c r="AX100" s="61"/>
      <c r="AY100" s="61">
        <v>31989</v>
      </c>
      <c r="AZ100" s="61">
        <v>140</v>
      </c>
      <c r="BA100" s="61">
        <v>163</v>
      </c>
      <c r="BB100" s="61"/>
      <c r="BC100" s="61">
        <v>114</v>
      </c>
      <c r="BD100" s="61">
        <v>17886</v>
      </c>
      <c r="BE100" s="61">
        <v>6714</v>
      </c>
      <c r="BF100" s="61">
        <v>565</v>
      </c>
      <c r="BG100" s="61">
        <v>5578</v>
      </c>
      <c r="BH100" s="61">
        <v>2788</v>
      </c>
      <c r="BI100" s="61"/>
      <c r="BJ100" s="61">
        <v>33531</v>
      </c>
      <c r="BK100" s="61">
        <v>2627</v>
      </c>
      <c r="BL100" s="61">
        <v>26882</v>
      </c>
      <c r="BM100" s="61">
        <v>4022</v>
      </c>
      <c r="BN100" s="61">
        <v>2835</v>
      </c>
      <c r="BO100" s="61">
        <v>3033</v>
      </c>
      <c r="BP100" s="61"/>
      <c r="BQ100" s="61">
        <v>42</v>
      </c>
      <c r="BR100" s="61">
        <v>261</v>
      </c>
      <c r="BS100" s="61">
        <v>356</v>
      </c>
      <c r="BT100" s="61">
        <v>512</v>
      </c>
      <c r="BU100" s="61">
        <v>823</v>
      </c>
      <c r="BV100" s="61">
        <v>941</v>
      </c>
      <c r="BW100" s="61">
        <v>1151</v>
      </c>
      <c r="BX100" s="61">
        <v>1755</v>
      </c>
      <c r="BY100" s="61">
        <v>27</v>
      </c>
      <c r="BZ100" s="61"/>
      <c r="CA100" s="61"/>
      <c r="CB100" s="61">
        <v>552</v>
      </c>
      <c r="CC100" s="61">
        <v>258</v>
      </c>
      <c r="CD100" s="61">
        <v>1520</v>
      </c>
      <c r="CE100" s="61">
        <v>1143</v>
      </c>
      <c r="CF100" s="61">
        <v>8</v>
      </c>
      <c r="CG100" s="61">
        <v>2387</v>
      </c>
      <c r="CH100" s="61"/>
      <c r="CI100" s="61">
        <v>178</v>
      </c>
      <c r="CJ100" s="61">
        <v>969</v>
      </c>
      <c r="CK100" s="61">
        <v>220</v>
      </c>
      <c r="CL100" s="61">
        <v>826</v>
      </c>
      <c r="CM100" s="61">
        <v>190</v>
      </c>
      <c r="CN100" s="61"/>
      <c r="CO100" s="61">
        <v>4</v>
      </c>
      <c r="CP100" s="61">
        <v>3349</v>
      </c>
      <c r="CQ100" s="61">
        <v>1</v>
      </c>
      <c r="CR100" s="61">
        <v>3</v>
      </c>
      <c r="CS100" s="61">
        <v>100</v>
      </c>
      <c r="CT100" s="61">
        <v>10</v>
      </c>
      <c r="CU100" s="61">
        <v>1</v>
      </c>
      <c r="CV100" s="61"/>
      <c r="CW100" s="61">
        <v>17</v>
      </c>
      <c r="CX100" s="61">
        <v>1759</v>
      </c>
      <c r="CY100" s="61">
        <v>3432</v>
      </c>
      <c r="CZ100" s="61">
        <v>23</v>
      </c>
      <c r="DA100" s="61">
        <v>591</v>
      </c>
      <c r="DB100" s="61">
        <v>63</v>
      </c>
      <c r="DC100" s="61"/>
      <c r="DD100" s="61">
        <v>5868</v>
      </c>
      <c r="DE100" s="61">
        <v>1182</v>
      </c>
      <c r="DF100" s="61">
        <v>3963</v>
      </c>
      <c r="DG100" s="61">
        <v>723</v>
      </c>
      <c r="DH100" s="62" t="s">
        <v>2185</v>
      </c>
      <c r="DI100" s="61">
        <v>334</v>
      </c>
      <c r="DJ100" s="61">
        <v>15</v>
      </c>
      <c r="DK100" s="61"/>
      <c r="DL100" s="61"/>
      <c r="DM100" s="61"/>
      <c r="DN100" s="61"/>
    </row>
    <row r="101" spans="1:118" x14ac:dyDescent="0.25">
      <c r="A101" s="61">
        <v>106190524</v>
      </c>
      <c r="B101" s="62" t="s">
        <v>511</v>
      </c>
      <c r="C101" s="62" t="s">
        <v>512</v>
      </c>
      <c r="D101" s="62" t="s">
        <v>348</v>
      </c>
      <c r="E101" s="62" t="s">
        <v>321</v>
      </c>
      <c r="F101" s="62" t="s">
        <v>2213</v>
      </c>
      <c r="G101" s="62" t="s">
        <v>513</v>
      </c>
      <c r="H101" s="62" t="s">
        <v>481</v>
      </c>
      <c r="I101" s="62" t="s">
        <v>482</v>
      </c>
      <c r="J101" s="62" t="s">
        <v>2189</v>
      </c>
      <c r="K101" s="62"/>
      <c r="L101" s="61">
        <v>29</v>
      </c>
      <c r="M101" s="61">
        <v>46</v>
      </c>
      <c r="N101" s="61">
        <v>18</v>
      </c>
      <c r="O101" s="62" t="s">
        <v>1847</v>
      </c>
      <c r="P101" s="62" t="s">
        <v>68</v>
      </c>
      <c r="Q101" s="62" t="s">
        <v>2167</v>
      </c>
      <c r="R101" s="62" t="s">
        <v>2167</v>
      </c>
      <c r="S101" s="62" t="s">
        <v>69</v>
      </c>
      <c r="T101" s="61">
        <v>7397</v>
      </c>
      <c r="U101" s="61">
        <v>6977</v>
      </c>
      <c r="V101" s="61">
        <v>5</v>
      </c>
      <c r="W101" s="61">
        <v>1285</v>
      </c>
      <c r="X101" s="61">
        <v>1606</v>
      </c>
      <c r="Y101" s="61">
        <v>2560</v>
      </c>
      <c r="Z101" s="61">
        <v>2268</v>
      </c>
      <c r="AA101" s="61">
        <v>2070</v>
      </c>
      <c r="AB101" s="61">
        <v>2225</v>
      </c>
      <c r="AC101" s="61">
        <v>1239</v>
      </c>
      <c r="AD101" s="61">
        <v>582</v>
      </c>
      <c r="AE101" s="61">
        <v>425</v>
      </c>
      <c r="AF101" s="61">
        <v>119</v>
      </c>
      <c r="AG101" s="61"/>
      <c r="AH101" s="61">
        <v>874</v>
      </c>
      <c r="AI101" s="61">
        <v>1565</v>
      </c>
      <c r="AJ101" s="61">
        <v>8619</v>
      </c>
      <c r="AK101" s="61">
        <v>15</v>
      </c>
      <c r="AL101" s="61">
        <v>121</v>
      </c>
      <c r="AM101" s="61">
        <v>27</v>
      </c>
      <c r="AN101" s="61">
        <v>3158</v>
      </c>
      <c r="AO101" s="61">
        <v>247</v>
      </c>
      <c r="AP101" s="61">
        <v>318</v>
      </c>
      <c r="AQ101" s="61">
        <v>9</v>
      </c>
      <c r="AR101" s="61">
        <v>26</v>
      </c>
      <c r="AS101" s="61">
        <v>1</v>
      </c>
      <c r="AT101" s="61"/>
      <c r="AU101" s="61"/>
      <c r="AV101" s="61">
        <v>108</v>
      </c>
      <c r="AW101" s="61">
        <v>26</v>
      </c>
      <c r="AX101" s="61">
        <v>5</v>
      </c>
      <c r="AY101" s="61">
        <v>12388</v>
      </c>
      <c r="AZ101" s="61">
        <v>286</v>
      </c>
      <c r="BA101" s="61">
        <v>1</v>
      </c>
      <c r="BB101" s="61">
        <v>78</v>
      </c>
      <c r="BC101" s="61">
        <v>876</v>
      </c>
      <c r="BD101" s="61">
        <v>9008</v>
      </c>
      <c r="BE101" s="61">
        <v>2221</v>
      </c>
      <c r="BF101" s="61">
        <v>202</v>
      </c>
      <c r="BG101" s="61">
        <v>911</v>
      </c>
      <c r="BH101" s="61">
        <v>2034</v>
      </c>
      <c r="BI101" s="61">
        <v>3</v>
      </c>
      <c r="BJ101" s="61">
        <v>14379</v>
      </c>
      <c r="BK101" s="61">
        <v>560</v>
      </c>
      <c r="BL101" s="61">
        <v>9302</v>
      </c>
      <c r="BM101" s="61">
        <v>4517</v>
      </c>
      <c r="BN101" s="61">
        <v>2291</v>
      </c>
      <c r="BO101" s="61">
        <v>3294</v>
      </c>
      <c r="BP101" s="61"/>
      <c r="BQ101" s="61">
        <v>38</v>
      </c>
      <c r="BR101" s="61">
        <v>627</v>
      </c>
      <c r="BS101" s="61">
        <v>813</v>
      </c>
      <c r="BT101" s="61">
        <v>837</v>
      </c>
      <c r="BU101" s="61">
        <v>1024</v>
      </c>
      <c r="BV101" s="61">
        <v>873</v>
      </c>
      <c r="BW101" s="61">
        <v>629</v>
      </c>
      <c r="BX101" s="61">
        <v>744</v>
      </c>
      <c r="BY101" s="61"/>
      <c r="BZ101" s="61"/>
      <c r="CA101" s="61"/>
      <c r="CB101" s="61">
        <v>450</v>
      </c>
      <c r="CC101" s="61">
        <v>1057</v>
      </c>
      <c r="CD101" s="61">
        <v>1719</v>
      </c>
      <c r="CE101" s="61">
        <v>38</v>
      </c>
      <c r="CF101" s="61">
        <v>15</v>
      </c>
      <c r="CG101" s="61">
        <v>2299</v>
      </c>
      <c r="CH101" s="61">
        <v>7</v>
      </c>
      <c r="CI101" s="61">
        <v>152</v>
      </c>
      <c r="CJ101" s="61">
        <v>300</v>
      </c>
      <c r="CK101" s="61">
        <v>98</v>
      </c>
      <c r="CL101" s="61">
        <v>235</v>
      </c>
      <c r="CM101" s="61">
        <v>14</v>
      </c>
      <c r="CN101" s="61"/>
      <c r="CO101" s="61">
        <v>38</v>
      </c>
      <c r="CP101" s="61">
        <v>3475</v>
      </c>
      <c r="CQ101" s="61">
        <v>1198</v>
      </c>
      <c r="CR101" s="61">
        <v>2</v>
      </c>
      <c r="CS101" s="61">
        <v>17</v>
      </c>
      <c r="CT101" s="61">
        <v>26</v>
      </c>
      <c r="CU101" s="61"/>
      <c r="CV101" s="61"/>
      <c r="CW101" s="61"/>
      <c r="CX101" s="61">
        <v>2711</v>
      </c>
      <c r="CY101" s="61">
        <v>2129</v>
      </c>
      <c r="CZ101" s="61">
        <v>32</v>
      </c>
      <c r="DA101" s="61">
        <v>648</v>
      </c>
      <c r="DB101" s="61">
        <v>65</v>
      </c>
      <c r="DC101" s="61"/>
      <c r="DD101" s="61">
        <v>5585</v>
      </c>
      <c r="DE101" s="61">
        <v>359</v>
      </c>
      <c r="DF101" s="61">
        <v>4421</v>
      </c>
      <c r="DG101" s="61">
        <v>805</v>
      </c>
      <c r="DH101" s="62" t="s">
        <v>2185</v>
      </c>
      <c r="DI101" s="61">
        <v>145</v>
      </c>
      <c r="DJ101" s="61">
        <v>8</v>
      </c>
      <c r="DK101" s="61">
        <v>9</v>
      </c>
      <c r="DL101" s="61">
        <v>1</v>
      </c>
      <c r="DM101" s="61"/>
      <c r="DN101" s="61">
        <v>30</v>
      </c>
    </row>
    <row r="102" spans="1:118" x14ac:dyDescent="0.25">
      <c r="A102" s="61">
        <v>106190525</v>
      </c>
      <c r="B102" s="62" t="s">
        <v>514</v>
      </c>
      <c r="C102" s="62" t="s">
        <v>515</v>
      </c>
      <c r="D102" s="62" t="s">
        <v>348</v>
      </c>
      <c r="E102" s="62" t="s">
        <v>71</v>
      </c>
      <c r="F102" s="62" t="s">
        <v>2213</v>
      </c>
      <c r="G102" s="62" t="s">
        <v>516</v>
      </c>
      <c r="H102" s="62" t="s">
        <v>366</v>
      </c>
      <c r="I102" s="62" t="s">
        <v>517</v>
      </c>
      <c r="J102" s="62" t="s">
        <v>2186</v>
      </c>
      <c r="K102" s="62" t="s">
        <v>518</v>
      </c>
      <c r="L102" s="61">
        <v>47</v>
      </c>
      <c r="M102" s="61">
        <v>70</v>
      </c>
      <c r="N102" s="61">
        <v>33</v>
      </c>
      <c r="O102" s="62" t="s">
        <v>1850</v>
      </c>
      <c r="P102" s="62" t="s">
        <v>68</v>
      </c>
      <c r="Q102" s="62" t="s">
        <v>2167</v>
      </c>
      <c r="R102" s="62" t="s">
        <v>83</v>
      </c>
      <c r="S102" s="62" t="s">
        <v>69</v>
      </c>
      <c r="T102" s="61">
        <v>45527</v>
      </c>
      <c r="U102" s="61">
        <v>37173</v>
      </c>
      <c r="V102" s="61"/>
      <c r="W102" s="61">
        <v>20659</v>
      </c>
      <c r="X102" s="61">
        <v>10606</v>
      </c>
      <c r="Y102" s="61">
        <v>12638</v>
      </c>
      <c r="Z102" s="61">
        <v>9320</v>
      </c>
      <c r="AA102" s="61">
        <v>7416</v>
      </c>
      <c r="AB102" s="61">
        <v>6744</v>
      </c>
      <c r="AC102" s="61">
        <v>4377</v>
      </c>
      <c r="AD102" s="61">
        <v>2485</v>
      </c>
      <c r="AE102" s="61">
        <v>2028</v>
      </c>
      <c r="AF102" s="61">
        <v>6427</v>
      </c>
      <c r="AG102" s="61"/>
      <c r="AH102" s="61">
        <v>5823</v>
      </c>
      <c r="AI102" s="61">
        <v>18110</v>
      </c>
      <c r="AJ102" s="61">
        <v>43934</v>
      </c>
      <c r="AK102" s="61">
        <v>102</v>
      </c>
      <c r="AL102" s="61">
        <v>2281</v>
      </c>
      <c r="AM102" s="61">
        <v>188</v>
      </c>
      <c r="AN102" s="61">
        <v>12262</v>
      </c>
      <c r="AO102" s="61">
        <v>870</v>
      </c>
      <c r="AP102" s="61"/>
      <c r="AQ102" s="61">
        <v>69</v>
      </c>
      <c r="AR102" s="61">
        <v>66</v>
      </c>
      <c r="AS102" s="61">
        <v>5</v>
      </c>
      <c r="AT102" s="61">
        <v>22</v>
      </c>
      <c r="AU102" s="61"/>
      <c r="AV102" s="61">
        <v>23</v>
      </c>
      <c r="AW102" s="61">
        <v>374</v>
      </c>
      <c r="AX102" s="61"/>
      <c r="AY102" s="61">
        <v>77487</v>
      </c>
      <c r="AZ102" s="61">
        <v>288</v>
      </c>
      <c r="BA102" s="61">
        <v>3448</v>
      </c>
      <c r="BB102" s="61">
        <v>1</v>
      </c>
      <c r="BC102" s="61">
        <v>1</v>
      </c>
      <c r="BD102" s="61">
        <v>50627</v>
      </c>
      <c r="BE102" s="61">
        <v>7865</v>
      </c>
      <c r="BF102" s="61">
        <v>834</v>
      </c>
      <c r="BG102" s="61">
        <v>15368</v>
      </c>
      <c r="BH102" s="61">
        <v>8006</v>
      </c>
      <c r="BI102" s="61"/>
      <c r="BJ102" s="61">
        <v>82700</v>
      </c>
      <c r="BK102" s="61">
        <v>932</v>
      </c>
      <c r="BL102" s="61">
        <v>68655</v>
      </c>
      <c r="BM102" s="61">
        <v>13113</v>
      </c>
      <c r="BN102" s="61">
        <v>7914</v>
      </c>
      <c r="BO102" s="61">
        <v>6708</v>
      </c>
      <c r="BP102" s="61"/>
      <c r="BQ102" s="61">
        <v>211</v>
      </c>
      <c r="BR102" s="61">
        <v>1531</v>
      </c>
      <c r="BS102" s="61">
        <v>1396</v>
      </c>
      <c r="BT102" s="61">
        <v>1726</v>
      </c>
      <c r="BU102" s="61">
        <v>2540</v>
      </c>
      <c r="BV102" s="61">
        <v>2626</v>
      </c>
      <c r="BW102" s="61">
        <v>2190</v>
      </c>
      <c r="BX102" s="61">
        <v>2388</v>
      </c>
      <c r="BY102" s="61">
        <v>4</v>
      </c>
      <c r="BZ102" s="61">
        <v>10</v>
      </c>
      <c r="CA102" s="61"/>
      <c r="CB102" s="61">
        <v>2072</v>
      </c>
      <c r="CC102" s="61">
        <v>3181</v>
      </c>
      <c r="CD102" s="61">
        <v>4231</v>
      </c>
      <c r="CE102" s="61">
        <v>341</v>
      </c>
      <c r="CF102" s="61">
        <v>31</v>
      </c>
      <c r="CG102" s="61">
        <v>4746</v>
      </c>
      <c r="CH102" s="61">
        <v>20</v>
      </c>
      <c r="CI102" s="61">
        <v>545</v>
      </c>
      <c r="CJ102" s="61"/>
      <c r="CK102" s="61">
        <v>444</v>
      </c>
      <c r="CL102" s="61">
        <v>1549</v>
      </c>
      <c r="CM102" s="61">
        <v>224</v>
      </c>
      <c r="CN102" s="61"/>
      <c r="CO102" s="61"/>
      <c r="CP102" s="61">
        <v>9717</v>
      </c>
      <c r="CQ102" s="61">
        <v>1886</v>
      </c>
      <c r="CR102" s="61">
        <v>8</v>
      </c>
      <c r="CS102" s="61">
        <v>149</v>
      </c>
      <c r="CT102" s="61">
        <v>38</v>
      </c>
      <c r="CU102" s="61">
        <v>53</v>
      </c>
      <c r="CV102" s="61">
        <v>3</v>
      </c>
      <c r="CW102" s="61">
        <v>2</v>
      </c>
      <c r="CX102" s="61">
        <v>4746</v>
      </c>
      <c r="CY102" s="61">
        <v>6532</v>
      </c>
      <c r="CZ102" s="61">
        <v>187</v>
      </c>
      <c r="DA102" s="61">
        <v>2832</v>
      </c>
      <c r="DB102" s="61">
        <v>325</v>
      </c>
      <c r="DC102" s="61"/>
      <c r="DD102" s="61">
        <v>14622</v>
      </c>
      <c r="DE102" s="61">
        <v>737</v>
      </c>
      <c r="DF102" s="61">
        <v>12138</v>
      </c>
      <c r="DG102" s="61">
        <v>1747</v>
      </c>
      <c r="DH102" s="62" t="s">
        <v>2185</v>
      </c>
      <c r="DI102" s="61">
        <v>458</v>
      </c>
      <c r="DJ102" s="61">
        <v>53</v>
      </c>
      <c r="DK102" s="61">
        <v>46</v>
      </c>
      <c r="DL102" s="61"/>
      <c r="DM102" s="61">
        <v>4</v>
      </c>
      <c r="DN102" s="61"/>
    </row>
    <row r="103" spans="1:118" x14ac:dyDescent="0.25">
      <c r="A103" s="61">
        <v>106190529</v>
      </c>
      <c r="B103" s="62" t="s">
        <v>519</v>
      </c>
      <c r="C103" s="62" t="s">
        <v>520</v>
      </c>
      <c r="D103" s="62" t="s">
        <v>348</v>
      </c>
      <c r="E103" s="62" t="s">
        <v>71</v>
      </c>
      <c r="F103" s="62" t="s">
        <v>2213</v>
      </c>
      <c r="G103" s="62" t="s">
        <v>521</v>
      </c>
      <c r="H103" s="62" t="s">
        <v>522</v>
      </c>
      <c r="I103" s="62" t="s">
        <v>523</v>
      </c>
      <c r="J103" s="62" t="s">
        <v>2186</v>
      </c>
      <c r="K103" s="62"/>
      <c r="L103" s="61">
        <v>27</v>
      </c>
      <c r="M103" s="61">
        <v>49</v>
      </c>
      <c r="N103" s="61">
        <v>22</v>
      </c>
      <c r="O103" s="62" t="s">
        <v>1853</v>
      </c>
      <c r="P103" s="62" t="s">
        <v>68</v>
      </c>
      <c r="Q103" s="62" t="s">
        <v>2167</v>
      </c>
      <c r="R103" s="62" t="s">
        <v>2167</v>
      </c>
      <c r="S103" s="62" t="s">
        <v>69</v>
      </c>
      <c r="T103" s="61">
        <v>23204</v>
      </c>
      <c r="U103" s="61">
        <v>18721</v>
      </c>
      <c r="V103" s="61"/>
      <c r="W103" s="61">
        <v>6001</v>
      </c>
      <c r="X103" s="61">
        <v>4609</v>
      </c>
      <c r="Y103" s="61">
        <v>6144</v>
      </c>
      <c r="Z103" s="61">
        <v>5185</v>
      </c>
      <c r="AA103" s="61">
        <v>4796</v>
      </c>
      <c r="AB103" s="61">
        <v>4816</v>
      </c>
      <c r="AC103" s="61">
        <v>3419</v>
      </c>
      <c r="AD103" s="61">
        <v>2710</v>
      </c>
      <c r="AE103" s="61">
        <v>3206</v>
      </c>
      <c r="AF103" s="61">
        <v>1039</v>
      </c>
      <c r="AG103" s="61"/>
      <c r="AH103" s="61">
        <v>5608</v>
      </c>
      <c r="AI103" s="61">
        <v>1402</v>
      </c>
      <c r="AJ103" s="61">
        <v>12813</v>
      </c>
      <c r="AK103" s="61">
        <v>17</v>
      </c>
      <c r="AL103" s="61">
        <v>5788</v>
      </c>
      <c r="AM103" s="61">
        <v>4785</v>
      </c>
      <c r="AN103" s="61">
        <v>11512</v>
      </c>
      <c r="AO103" s="61">
        <v>1522</v>
      </c>
      <c r="AP103" s="61">
        <v>1080</v>
      </c>
      <c r="AQ103" s="61">
        <v>78</v>
      </c>
      <c r="AR103" s="61">
        <v>7</v>
      </c>
      <c r="AS103" s="61">
        <v>4</v>
      </c>
      <c r="AT103" s="61">
        <v>33</v>
      </c>
      <c r="AU103" s="61"/>
      <c r="AV103" s="61">
        <v>42</v>
      </c>
      <c r="AW103" s="61">
        <v>108</v>
      </c>
      <c r="AX103" s="61">
        <v>44</v>
      </c>
      <c r="AY103" s="61">
        <v>38811</v>
      </c>
      <c r="AZ103" s="61">
        <v>193</v>
      </c>
      <c r="BA103" s="61">
        <v>3</v>
      </c>
      <c r="BB103" s="61"/>
      <c r="BC103" s="61"/>
      <c r="BD103" s="61">
        <v>4604</v>
      </c>
      <c r="BE103" s="61">
        <v>8057</v>
      </c>
      <c r="BF103" s="61">
        <v>479</v>
      </c>
      <c r="BG103" s="61">
        <v>23728</v>
      </c>
      <c r="BH103" s="61">
        <v>5057</v>
      </c>
      <c r="BI103" s="61"/>
      <c r="BJ103" s="61">
        <v>41925</v>
      </c>
      <c r="BK103" s="61">
        <v>1749</v>
      </c>
      <c r="BL103" s="61">
        <v>36715</v>
      </c>
      <c r="BM103" s="61">
        <v>3461</v>
      </c>
      <c r="BN103" s="61">
        <v>6299</v>
      </c>
      <c r="BO103" s="61">
        <v>5298</v>
      </c>
      <c r="BP103" s="61"/>
      <c r="BQ103" s="61">
        <v>106</v>
      </c>
      <c r="BR103" s="61">
        <v>455</v>
      </c>
      <c r="BS103" s="61">
        <v>643</v>
      </c>
      <c r="BT103" s="61">
        <v>979</v>
      </c>
      <c r="BU103" s="61">
        <v>1550</v>
      </c>
      <c r="BV103" s="61">
        <v>1942</v>
      </c>
      <c r="BW103" s="61">
        <v>2217</v>
      </c>
      <c r="BX103" s="61">
        <v>3699</v>
      </c>
      <c r="BY103" s="61">
        <v>6</v>
      </c>
      <c r="BZ103" s="61"/>
      <c r="CA103" s="61"/>
      <c r="CB103" s="61">
        <v>2156</v>
      </c>
      <c r="CC103" s="61">
        <v>604</v>
      </c>
      <c r="CD103" s="61">
        <v>1993</v>
      </c>
      <c r="CE103" s="61">
        <v>1945</v>
      </c>
      <c r="CF103" s="61">
        <v>14</v>
      </c>
      <c r="CG103" s="61">
        <v>4882</v>
      </c>
      <c r="CH103" s="61">
        <v>3</v>
      </c>
      <c r="CI103" s="61">
        <v>515</v>
      </c>
      <c r="CJ103" s="61">
        <v>212</v>
      </c>
      <c r="CK103" s="61">
        <v>428</v>
      </c>
      <c r="CL103" s="61">
        <v>654</v>
      </c>
      <c r="CM103" s="61">
        <v>382</v>
      </c>
      <c r="CN103" s="61"/>
      <c r="CO103" s="61">
        <v>7</v>
      </c>
      <c r="CP103" s="61">
        <v>6782</v>
      </c>
      <c r="CQ103" s="61">
        <v>2344</v>
      </c>
      <c r="CR103" s="61">
        <v>1</v>
      </c>
      <c r="CS103" s="61">
        <v>204</v>
      </c>
      <c r="CT103" s="61">
        <v>64</v>
      </c>
      <c r="CU103" s="61"/>
      <c r="CV103" s="61"/>
      <c r="CW103" s="61">
        <v>1</v>
      </c>
      <c r="CX103" s="61">
        <v>890</v>
      </c>
      <c r="CY103" s="61">
        <v>6873</v>
      </c>
      <c r="CZ103" s="61">
        <v>50</v>
      </c>
      <c r="DA103" s="61">
        <v>3625</v>
      </c>
      <c r="DB103" s="61">
        <v>158</v>
      </c>
      <c r="DC103" s="61">
        <v>1</v>
      </c>
      <c r="DD103" s="61">
        <v>11597</v>
      </c>
      <c r="DE103" s="61">
        <v>1235</v>
      </c>
      <c r="DF103" s="61">
        <v>9245</v>
      </c>
      <c r="DG103" s="61">
        <v>1117</v>
      </c>
      <c r="DH103" s="62" t="s">
        <v>2185</v>
      </c>
      <c r="DI103" s="61">
        <v>400</v>
      </c>
      <c r="DJ103" s="61">
        <v>38</v>
      </c>
      <c r="DK103" s="61"/>
      <c r="DL103" s="61"/>
      <c r="DM103" s="61">
        <v>3</v>
      </c>
      <c r="DN103" s="61"/>
    </row>
    <row r="104" spans="1:118" x14ac:dyDescent="0.25">
      <c r="A104" s="61">
        <v>106190534</v>
      </c>
      <c r="B104" s="62" t="s">
        <v>524</v>
      </c>
      <c r="C104" s="62" t="s">
        <v>525</v>
      </c>
      <c r="D104" s="62" t="s">
        <v>348</v>
      </c>
      <c r="E104" s="62" t="s">
        <v>321</v>
      </c>
      <c r="F104" s="62" t="s">
        <v>2213</v>
      </c>
      <c r="G104" s="62" t="s">
        <v>1760</v>
      </c>
      <c r="H104" s="62" t="s">
        <v>348</v>
      </c>
      <c r="I104" s="62" t="s">
        <v>526</v>
      </c>
      <c r="J104" s="62" t="s">
        <v>2184</v>
      </c>
      <c r="K104" s="62"/>
      <c r="L104" s="61">
        <v>37</v>
      </c>
      <c r="M104" s="61">
        <v>50</v>
      </c>
      <c r="N104" s="61">
        <v>26</v>
      </c>
      <c r="O104" s="62" t="s">
        <v>1848</v>
      </c>
      <c r="P104" s="62" t="s">
        <v>68</v>
      </c>
      <c r="Q104" s="62" t="s">
        <v>2167</v>
      </c>
      <c r="R104" s="62" t="s">
        <v>2167</v>
      </c>
      <c r="S104" s="62" t="s">
        <v>69</v>
      </c>
      <c r="T104" s="61">
        <v>12587</v>
      </c>
      <c r="U104" s="61">
        <v>10457</v>
      </c>
      <c r="V104" s="61">
        <v>2</v>
      </c>
      <c r="W104" s="61">
        <v>1391</v>
      </c>
      <c r="X104" s="61">
        <v>1789</v>
      </c>
      <c r="Y104" s="61">
        <v>4613</v>
      </c>
      <c r="Z104" s="61">
        <v>3867</v>
      </c>
      <c r="AA104" s="61">
        <v>3448</v>
      </c>
      <c r="AB104" s="61">
        <v>3711</v>
      </c>
      <c r="AC104" s="61">
        <v>2240</v>
      </c>
      <c r="AD104" s="61">
        <v>999</v>
      </c>
      <c r="AE104" s="61">
        <v>835</v>
      </c>
      <c r="AF104" s="61">
        <v>153</v>
      </c>
      <c r="AG104" s="61"/>
      <c r="AH104" s="61">
        <v>760</v>
      </c>
      <c r="AI104" s="61">
        <v>10576</v>
      </c>
      <c r="AJ104" s="61">
        <v>4734</v>
      </c>
      <c r="AK104" s="61"/>
      <c r="AL104" s="61">
        <v>2616</v>
      </c>
      <c r="AM104" s="61">
        <v>89</v>
      </c>
      <c r="AN104" s="61">
        <v>4271</v>
      </c>
      <c r="AO104" s="61">
        <v>853</v>
      </c>
      <c r="AP104" s="61">
        <v>1102</v>
      </c>
      <c r="AQ104" s="61">
        <v>34</v>
      </c>
      <c r="AR104" s="61">
        <v>1</v>
      </c>
      <c r="AS104" s="61"/>
      <c r="AT104" s="61"/>
      <c r="AU104" s="61"/>
      <c r="AV104" s="61">
        <v>167</v>
      </c>
      <c r="AW104" s="61">
        <v>144</v>
      </c>
      <c r="AX104" s="61">
        <v>137</v>
      </c>
      <c r="AY104" s="61">
        <v>20424</v>
      </c>
      <c r="AZ104" s="61">
        <v>176</v>
      </c>
      <c r="BA104" s="61">
        <v>1</v>
      </c>
      <c r="BB104" s="61"/>
      <c r="BC104" s="61">
        <v>5</v>
      </c>
      <c r="BD104" s="61">
        <v>11444</v>
      </c>
      <c r="BE104" s="61">
        <v>3857</v>
      </c>
      <c r="BF104" s="61">
        <v>895</v>
      </c>
      <c r="BG104" s="61">
        <v>3226</v>
      </c>
      <c r="BH104" s="61">
        <v>3624</v>
      </c>
      <c r="BI104" s="61"/>
      <c r="BJ104" s="61">
        <v>23046</v>
      </c>
      <c r="BK104" s="61">
        <v>391</v>
      </c>
      <c r="BL104" s="61">
        <v>20928</v>
      </c>
      <c r="BM104" s="61">
        <v>1727</v>
      </c>
      <c r="BN104" s="61">
        <v>2619</v>
      </c>
      <c r="BO104" s="61">
        <v>2416</v>
      </c>
      <c r="BP104" s="61"/>
      <c r="BQ104" s="61">
        <v>26</v>
      </c>
      <c r="BR104" s="61">
        <v>182</v>
      </c>
      <c r="BS104" s="61">
        <v>279</v>
      </c>
      <c r="BT104" s="61">
        <v>477</v>
      </c>
      <c r="BU104" s="61">
        <v>931</v>
      </c>
      <c r="BV104" s="61">
        <v>1011</v>
      </c>
      <c r="BW104" s="61">
        <v>839</v>
      </c>
      <c r="BX104" s="61">
        <v>1290</v>
      </c>
      <c r="BY104" s="61"/>
      <c r="BZ104" s="61"/>
      <c r="CA104" s="61"/>
      <c r="CB104" s="61">
        <v>332</v>
      </c>
      <c r="CC104" s="61">
        <v>2161</v>
      </c>
      <c r="CD104" s="61">
        <v>785</v>
      </c>
      <c r="CE104" s="61">
        <v>440</v>
      </c>
      <c r="CF104" s="61">
        <v>12</v>
      </c>
      <c r="CG104" s="61">
        <v>1305</v>
      </c>
      <c r="CH104" s="61"/>
      <c r="CI104" s="61">
        <v>59</v>
      </c>
      <c r="CJ104" s="61">
        <v>231</v>
      </c>
      <c r="CK104" s="61">
        <v>163</v>
      </c>
      <c r="CL104" s="61">
        <v>677</v>
      </c>
      <c r="CM104" s="61">
        <v>62</v>
      </c>
      <c r="CN104" s="61"/>
      <c r="CO104" s="61">
        <v>109</v>
      </c>
      <c r="CP104" s="61">
        <v>2021</v>
      </c>
      <c r="CQ104" s="61">
        <v>1505</v>
      </c>
      <c r="CR104" s="61"/>
      <c r="CS104" s="61">
        <v>50</v>
      </c>
      <c r="CT104" s="61">
        <v>17</v>
      </c>
      <c r="CU104" s="61">
        <v>139</v>
      </c>
      <c r="CV104" s="61">
        <v>1</v>
      </c>
      <c r="CW104" s="61">
        <v>1</v>
      </c>
      <c r="CX104" s="61">
        <v>1516</v>
      </c>
      <c r="CY104" s="61">
        <v>3217</v>
      </c>
      <c r="CZ104" s="61">
        <v>32</v>
      </c>
      <c r="DA104" s="61">
        <v>193</v>
      </c>
      <c r="DB104" s="61">
        <v>76</v>
      </c>
      <c r="DC104" s="61">
        <v>1</v>
      </c>
      <c r="DD104" s="61">
        <v>5035</v>
      </c>
      <c r="DE104" s="61">
        <v>481</v>
      </c>
      <c r="DF104" s="61">
        <v>4038</v>
      </c>
      <c r="DG104" s="61">
        <v>516</v>
      </c>
      <c r="DH104" s="62" t="s">
        <v>2185</v>
      </c>
      <c r="DI104" s="61">
        <v>204</v>
      </c>
      <c r="DJ104" s="61">
        <v>16</v>
      </c>
      <c r="DK104" s="61">
        <v>2</v>
      </c>
      <c r="DL104" s="61"/>
      <c r="DM104" s="61"/>
      <c r="DN104" s="61"/>
    </row>
    <row r="105" spans="1:118" x14ac:dyDescent="0.25">
      <c r="A105" s="61">
        <v>106190547</v>
      </c>
      <c r="B105" s="62" t="s">
        <v>527</v>
      </c>
      <c r="C105" s="62" t="s">
        <v>528</v>
      </c>
      <c r="D105" s="62" t="s">
        <v>348</v>
      </c>
      <c r="E105" s="62" t="s">
        <v>349</v>
      </c>
      <c r="F105" s="62" t="s">
        <v>2213</v>
      </c>
      <c r="G105" s="62" t="s">
        <v>529</v>
      </c>
      <c r="H105" s="62" t="s">
        <v>434</v>
      </c>
      <c r="I105" s="62" t="s">
        <v>2048</v>
      </c>
      <c r="J105" s="62" t="s">
        <v>2189</v>
      </c>
      <c r="K105" s="62"/>
      <c r="L105" s="61">
        <v>27</v>
      </c>
      <c r="M105" s="61">
        <v>49</v>
      </c>
      <c r="N105" s="61">
        <v>22</v>
      </c>
      <c r="O105" s="62" t="s">
        <v>1841</v>
      </c>
      <c r="P105" s="62" t="s">
        <v>68</v>
      </c>
      <c r="Q105" s="62" t="s">
        <v>2167</v>
      </c>
      <c r="R105" s="62" t="s">
        <v>2167</v>
      </c>
      <c r="S105" s="62" t="s">
        <v>69</v>
      </c>
      <c r="T105" s="61">
        <v>9413</v>
      </c>
      <c r="U105" s="61">
        <v>6544</v>
      </c>
      <c r="V105" s="61"/>
      <c r="W105" s="61">
        <v>2641</v>
      </c>
      <c r="X105" s="61">
        <v>1860</v>
      </c>
      <c r="Y105" s="61">
        <v>2604</v>
      </c>
      <c r="Z105" s="61">
        <v>2216</v>
      </c>
      <c r="AA105" s="61">
        <v>1654</v>
      </c>
      <c r="AB105" s="61">
        <v>1723</v>
      </c>
      <c r="AC105" s="61">
        <v>1187</v>
      </c>
      <c r="AD105" s="61">
        <v>748</v>
      </c>
      <c r="AE105" s="61">
        <v>747</v>
      </c>
      <c r="AF105" s="61">
        <v>577</v>
      </c>
      <c r="AG105" s="61"/>
      <c r="AH105" s="61">
        <v>715</v>
      </c>
      <c r="AI105" s="61">
        <v>301</v>
      </c>
      <c r="AJ105" s="61">
        <v>14339</v>
      </c>
      <c r="AK105" s="61">
        <v>3</v>
      </c>
      <c r="AL105" s="61">
        <v>38</v>
      </c>
      <c r="AM105" s="61">
        <v>4</v>
      </c>
      <c r="AN105" s="61">
        <v>557</v>
      </c>
      <c r="AO105" s="61">
        <v>239</v>
      </c>
      <c r="AP105" s="61">
        <v>1144</v>
      </c>
      <c r="AQ105" s="61">
        <v>7</v>
      </c>
      <c r="AR105" s="61"/>
      <c r="AS105" s="61"/>
      <c r="AT105" s="61"/>
      <c r="AU105" s="61"/>
      <c r="AV105" s="61">
        <v>8</v>
      </c>
      <c r="AW105" s="61">
        <v>66</v>
      </c>
      <c r="AX105" s="61"/>
      <c r="AY105" s="61">
        <v>14423</v>
      </c>
      <c r="AZ105" s="61">
        <v>16</v>
      </c>
      <c r="BA105" s="61">
        <v>3</v>
      </c>
      <c r="BB105" s="61"/>
      <c r="BC105" s="61"/>
      <c r="BD105" s="61">
        <v>2695</v>
      </c>
      <c r="BE105" s="61">
        <v>2016</v>
      </c>
      <c r="BF105" s="61">
        <v>152</v>
      </c>
      <c r="BG105" s="61">
        <v>9729</v>
      </c>
      <c r="BH105" s="61">
        <v>1365</v>
      </c>
      <c r="BI105" s="61"/>
      <c r="BJ105" s="61">
        <v>15957</v>
      </c>
      <c r="BK105" s="61">
        <v>193</v>
      </c>
      <c r="BL105" s="61">
        <v>10346</v>
      </c>
      <c r="BM105" s="61">
        <v>5418</v>
      </c>
      <c r="BN105" s="61">
        <v>1347</v>
      </c>
      <c r="BO105" s="61">
        <v>1076</v>
      </c>
      <c r="BP105" s="61"/>
      <c r="BQ105" s="61">
        <v>61</v>
      </c>
      <c r="BR105" s="61">
        <v>158</v>
      </c>
      <c r="BS105" s="61">
        <v>179</v>
      </c>
      <c r="BT105" s="61">
        <v>231</v>
      </c>
      <c r="BU105" s="61">
        <v>395</v>
      </c>
      <c r="BV105" s="61">
        <v>429</v>
      </c>
      <c r="BW105" s="61">
        <v>392</v>
      </c>
      <c r="BX105" s="61">
        <v>531</v>
      </c>
      <c r="BY105" s="61">
        <v>14</v>
      </c>
      <c r="BZ105" s="61">
        <v>33</v>
      </c>
      <c r="CA105" s="61"/>
      <c r="CB105" s="61">
        <v>168</v>
      </c>
      <c r="CC105" s="61">
        <v>50</v>
      </c>
      <c r="CD105" s="61">
        <v>2087</v>
      </c>
      <c r="CE105" s="61">
        <v>8</v>
      </c>
      <c r="CF105" s="61">
        <v>1</v>
      </c>
      <c r="CG105" s="61">
        <v>109</v>
      </c>
      <c r="CH105" s="61"/>
      <c r="CI105" s="61">
        <v>127</v>
      </c>
      <c r="CJ105" s="61">
        <v>101</v>
      </c>
      <c r="CK105" s="61">
        <v>48</v>
      </c>
      <c r="CL105" s="61">
        <v>273</v>
      </c>
      <c r="CM105" s="61">
        <v>7</v>
      </c>
      <c r="CN105" s="61"/>
      <c r="CO105" s="61">
        <v>1</v>
      </c>
      <c r="CP105" s="61">
        <v>1613</v>
      </c>
      <c r="CQ105" s="61">
        <v>216</v>
      </c>
      <c r="CR105" s="61"/>
      <c r="CS105" s="61">
        <v>31</v>
      </c>
      <c r="CT105" s="61">
        <v>1</v>
      </c>
      <c r="CU105" s="61"/>
      <c r="CV105" s="61"/>
      <c r="CW105" s="61">
        <v>4</v>
      </c>
      <c r="CX105" s="61">
        <v>1100</v>
      </c>
      <c r="CY105" s="61">
        <v>1083</v>
      </c>
      <c r="CZ105" s="61">
        <v>15</v>
      </c>
      <c r="DA105" s="61">
        <v>195</v>
      </c>
      <c r="DB105" s="61">
        <v>27</v>
      </c>
      <c r="DC105" s="61">
        <v>3</v>
      </c>
      <c r="DD105" s="61">
        <v>2423</v>
      </c>
      <c r="DE105" s="61">
        <v>53</v>
      </c>
      <c r="DF105" s="61">
        <v>1088</v>
      </c>
      <c r="DG105" s="61">
        <v>1282</v>
      </c>
      <c r="DH105" s="62" t="s">
        <v>2185</v>
      </c>
      <c r="DI105" s="61">
        <v>101</v>
      </c>
      <c r="DJ105" s="61">
        <v>6</v>
      </c>
      <c r="DK105" s="61"/>
      <c r="DL105" s="61">
        <v>51</v>
      </c>
      <c r="DM105" s="61">
        <v>1</v>
      </c>
      <c r="DN105" s="61"/>
    </row>
    <row r="106" spans="1:118" x14ac:dyDescent="0.25">
      <c r="A106" s="61">
        <v>106190555</v>
      </c>
      <c r="B106" s="62" t="s">
        <v>530</v>
      </c>
      <c r="C106" s="62" t="s">
        <v>531</v>
      </c>
      <c r="D106" s="62" t="s">
        <v>348</v>
      </c>
      <c r="E106" s="62" t="s">
        <v>71</v>
      </c>
      <c r="F106" s="62" t="s">
        <v>2213</v>
      </c>
      <c r="G106" s="62" t="s">
        <v>532</v>
      </c>
      <c r="H106" s="62" t="s">
        <v>348</v>
      </c>
      <c r="I106" s="62" t="s">
        <v>533</v>
      </c>
      <c r="J106" s="62" t="s">
        <v>2191</v>
      </c>
      <c r="K106" s="62" t="s">
        <v>534</v>
      </c>
      <c r="L106" s="61">
        <v>28</v>
      </c>
      <c r="M106" s="61">
        <v>50</v>
      </c>
      <c r="N106" s="61">
        <v>26</v>
      </c>
      <c r="O106" s="62" t="s">
        <v>1854</v>
      </c>
      <c r="P106" s="62" t="s">
        <v>68</v>
      </c>
      <c r="Q106" s="62" t="s">
        <v>2167</v>
      </c>
      <c r="R106" s="62" t="s">
        <v>83</v>
      </c>
      <c r="S106" s="62" t="s">
        <v>69</v>
      </c>
      <c r="T106" s="61">
        <v>33630</v>
      </c>
      <c r="U106" s="61">
        <v>29486</v>
      </c>
      <c r="V106" s="61">
        <v>6</v>
      </c>
      <c r="W106" s="61">
        <v>3733</v>
      </c>
      <c r="X106" s="61">
        <v>3218</v>
      </c>
      <c r="Y106" s="61">
        <v>11394</v>
      </c>
      <c r="Z106" s="61">
        <v>10775</v>
      </c>
      <c r="AA106" s="61">
        <v>8624</v>
      </c>
      <c r="AB106" s="61">
        <v>8800</v>
      </c>
      <c r="AC106" s="61">
        <v>6518</v>
      </c>
      <c r="AD106" s="61">
        <v>4320</v>
      </c>
      <c r="AE106" s="61">
        <v>4853</v>
      </c>
      <c r="AF106" s="61">
        <v>857</v>
      </c>
      <c r="AG106" s="61">
        <v>30</v>
      </c>
      <c r="AH106" s="61">
        <v>3152</v>
      </c>
      <c r="AI106" s="61">
        <v>13977</v>
      </c>
      <c r="AJ106" s="61">
        <v>10841</v>
      </c>
      <c r="AK106" s="61">
        <v>49</v>
      </c>
      <c r="AL106" s="61">
        <v>3129</v>
      </c>
      <c r="AM106" s="61">
        <v>274</v>
      </c>
      <c r="AN106" s="61">
        <v>31700</v>
      </c>
      <c r="AO106" s="61">
        <v>38</v>
      </c>
      <c r="AP106" s="61">
        <v>1254</v>
      </c>
      <c r="AQ106" s="61">
        <v>129</v>
      </c>
      <c r="AR106" s="61">
        <v>560</v>
      </c>
      <c r="AS106" s="61">
        <v>15</v>
      </c>
      <c r="AT106" s="61">
        <v>6</v>
      </c>
      <c r="AU106" s="61"/>
      <c r="AV106" s="61"/>
      <c r="AW106" s="61">
        <v>823</v>
      </c>
      <c r="AX106" s="61">
        <v>14</v>
      </c>
      <c r="AY106" s="61">
        <v>58913</v>
      </c>
      <c r="AZ106" s="61">
        <v>175</v>
      </c>
      <c r="BA106" s="61"/>
      <c r="BB106" s="61"/>
      <c r="BC106" s="61">
        <v>1195</v>
      </c>
      <c r="BD106" s="61">
        <v>16108</v>
      </c>
      <c r="BE106" s="61">
        <v>14247</v>
      </c>
      <c r="BF106" s="61">
        <v>1619</v>
      </c>
      <c r="BG106" s="61">
        <v>24521</v>
      </c>
      <c r="BH106" s="61">
        <v>6627</v>
      </c>
      <c r="BI106" s="61"/>
      <c r="BJ106" s="61">
        <v>63122</v>
      </c>
      <c r="BK106" s="61">
        <v>2978</v>
      </c>
      <c r="BL106" s="61">
        <v>57637</v>
      </c>
      <c r="BM106" s="61">
        <v>2507</v>
      </c>
      <c r="BN106" s="61">
        <v>12158</v>
      </c>
      <c r="BO106" s="61">
        <v>12197</v>
      </c>
      <c r="BP106" s="61"/>
      <c r="BQ106" s="61">
        <v>361</v>
      </c>
      <c r="BR106" s="61">
        <v>1780</v>
      </c>
      <c r="BS106" s="61">
        <v>2184</v>
      </c>
      <c r="BT106" s="61">
        <v>2287</v>
      </c>
      <c r="BU106" s="61">
        <v>3317</v>
      </c>
      <c r="BV106" s="61">
        <v>4019</v>
      </c>
      <c r="BW106" s="61">
        <v>3784</v>
      </c>
      <c r="BX106" s="61">
        <v>6065</v>
      </c>
      <c r="BY106" s="61">
        <v>214</v>
      </c>
      <c r="BZ106" s="61">
        <v>344</v>
      </c>
      <c r="CA106" s="61"/>
      <c r="CB106" s="61">
        <v>1271</v>
      </c>
      <c r="CC106" s="61">
        <v>4671</v>
      </c>
      <c r="CD106" s="61">
        <v>3079</v>
      </c>
      <c r="CE106" s="61">
        <v>890</v>
      </c>
      <c r="CF106" s="61">
        <v>78</v>
      </c>
      <c r="CG106" s="61">
        <v>14347</v>
      </c>
      <c r="CH106" s="61">
        <v>19</v>
      </c>
      <c r="CI106" s="61">
        <v>236</v>
      </c>
      <c r="CJ106" s="61">
        <v>346</v>
      </c>
      <c r="CK106" s="61">
        <v>728</v>
      </c>
      <c r="CL106" s="61">
        <v>6165</v>
      </c>
      <c r="CM106" s="61">
        <v>409</v>
      </c>
      <c r="CN106" s="61"/>
      <c r="CO106" s="61">
        <v>19</v>
      </c>
      <c r="CP106" s="61">
        <v>12782</v>
      </c>
      <c r="CQ106" s="61">
        <v>3092</v>
      </c>
      <c r="CR106" s="61"/>
      <c r="CS106" s="61">
        <v>347</v>
      </c>
      <c r="CT106" s="61">
        <v>80</v>
      </c>
      <c r="CU106" s="61"/>
      <c r="CV106" s="61"/>
      <c r="CW106" s="61">
        <v>151</v>
      </c>
      <c r="CX106" s="61">
        <v>3747</v>
      </c>
      <c r="CY106" s="61">
        <v>13605</v>
      </c>
      <c r="CZ106" s="61">
        <v>261</v>
      </c>
      <c r="DA106" s="61">
        <v>6318</v>
      </c>
      <c r="DB106" s="61">
        <v>424</v>
      </c>
      <c r="DC106" s="61"/>
      <c r="DD106" s="61">
        <v>24355</v>
      </c>
      <c r="DE106" s="61">
        <v>2882</v>
      </c>
      <c r="DF106" s="61">
        <v>20341</v>
      </c>
      <c r="DG106" s="61">
        <v>1132</v>
      </c>
      <c r="DH106" s="62" t="s">
        <v>2185</v>
      </c>
      <c r="DI106" s="61">
        <v>886</v>
      </c>
      <c r="DJ106" s="61">
        <v>51</v>
      </c>
      <c r="DK106" s="61"/>
      <c r="DL106" s="61"/>
      <c r="DM106" s="61"/>
      <c r="DN106" s="61"/>
    </row>
    <row r="107" spans="1:118" x14ac:dyDescent="0.25">
      <c r="A107" s="61">
        <v>106190568</v>
      </c>
      <c r="B107" s="62" t="s">
        <v>535</v>
      </c>
      <c r="C107" s="62" t="s">
        <v>536</v>
      </c>
      <c r="D107" s="62" t="s">
        <v>348</v>
      </c>
      <c r="E107" s="62" t="s">
        <v>71</v>
      </c>
      <c r="F107" s="62" t="s">
        <v>2213</v>
      </c>
      <c r="G107" s="62" t="s">
        <v>537</v>
      </c>
      <c r="H107" s="62" t="s">
        <v>538</v>
      </c>
      <c r="I107" s="62" t="s">
        <v>539</v>
      </c>
      <c r="J107" s="62" t="s">
        <v>2186</v>
      </c>
      <c r="K107" s="62" t="s">
        <v>518</v>
      </c>
      <c r="L107" s="61">
        <v>30</v>
      </c>
      <c r="M107" s="61">
        <v>45</v>
      </c>
      <c r="N107" s="61">
        <v>27</v>
      </c>
      <c r="O107" s="62" t="s">
        <v>1847</v>
      </c>
      <c r="P107" s="62" t="s">
        <v>68</v>
      </c>
      <c r="Q107" s="62" t="s">
        <v>2167</v>
      </c>
      <c r="R107" s="62" t="s">
        <v>2167</v>
      </c>
      <c r="S107" s="62" t="s">
        <v>69</v>
      </c>
      <c r="T107" s="61">
        <v>25494</v>
      </c>
      <c r="U107" s="61">
        <v>22221</v>
      </c>
      <c r="V107" s="61">
        <v>3</v>
      </c>
      <c r="W107" s="61">
        <v>6457</v>
      </c>
      <c r="X107" s="61">
        <v>5513</v>
      </c>
      <c r="Y107" s="61">
        <v>8746</v>
      </c>
      <c r="Z107" s="61">
        <v>6326</v>
      </c>
      <c r="AA107" s="61">
        <v>5754</v>
      </c>
      <c r="AB107" s="61">
        <v>5574</v>
      </c>
      <c r="AC107" s="61">
        <v>3658</v>
      </c>
      <c r="AD107" s="61">
        <v>2240</v>
      </c>
      <c r="AE107" s="61">
        <v>2214</v>
      </c>
      <c r="AF107" s="61">
        <v>1236</v>
      </c>
      <c r="AG107" s="61"/>
      <c r="AH107" s="61">
        <v>2541</v>
      </c>
      <c r="AI107" s="61">
        <v>3764</v>
      </c>
      <c r="AJ107" s="61">
        <v>22885</v>
      </c>
      <c r="AK107" s="61">
        <v>68</v>
      </c>
      <c r="AL107" s="61">
        <v>3056</v>
      </c>
      <c r="AM107" s="61">
        <v>270</v>
      </c>
      <c r="AN107" s="61">
        <v>15134</v>
      </c>
      <c r="AO107" s="61">
        <v>619</v>
      </c>
      <c r="AP107" s="61">
        <v>1307</v>
      </c>
      <c r="AQ107" s="61">
        <v>87</v>
      </c>
      <c r="AR107" s="61">
        <v>171</v>
      </c>
      <c r="AS107" s="61">
        <v>24</v>
      </c>
      <c r="AT107" s="61"/>
      <c r="AU107" s="61"/>
      <c r="AV107" s="61"/>
      <c r="AW107" s="61">
        <v>44</v>
      </c>
      <c r="AX107" s="61">
        <v>1</v>
      </c>
      <c r="AY107" s="61">
        <v>45117</v>
      </c>
      <c r="AZ107" s="61">
        <v>160</v>
      </c>
      <c r="BA107" s="61"/>
      <c r="BB107" s="61">
        <v>4</v>
      </c>
      <c r="BC107" s="61"/>
      <c r="BD107" s="61">
        <v>26213</v>
      </c>
      <c r="BE107" s="61">
        <v>6485</v>
      </c>
      <c r="BF107" s="61">
        <v>851</v>
      </c>
      <c r="BG107" s="61">
        <v>9381</v>
      </c>
      <c r="BH107" s="61">
        <v>4788</v>
      </c>
      <c r="BI107" s="61"/>
      <c r="BJ107" s="61">
        <v>47718</v>
      </c>
      <c r="BK107" s="61">
        <v>879</v>
      </c>
      <c r="BL107" s="61">
        <v>37906</v>
      </c>
      <c r="BM107" s="61">
        <v>8933</v>
      </c>
      <c r="BN107" s="61">
        <v>4917</v>
      </c>
      <c r="BO107" s="61">
        <v>5042</v>
      </c>
      <c r="BP107" s="61">
        <v>1</v>
      </c>
      <c r="BQ107" s="61">
        <v>456</v>
      </c>
      <c r="BR107" s="61">
        <v>650</v>
      </c>
      <c r="BS107" s="61">
        <v>677</v>
      </c>
      <c r="BT107" s="61">
        <v>926</v>
      </c>
      <c r="BU107" s="61">
        <v>1397</v>
      </c>
      <c r="BV107" s="61">
        <v>1537</v>
      </c>
      <c r="BW107" s="61">
        <v>1517</v>
      </c>
      <c r="BX107" s="61">
        <v>2196</v>
      </c>
      <c r="BY107" s="61">
        <v>188</v>
      </c>
      <c r="BZ107" s="61">
        <v>416</v>
      </c>
      <c r="CA107" s="61"/>
      <c r="CB107" s="61">
        <v>751</v>
      </c>
      <c r="CC107" s="61">
        <v>535</v>
      </c>
      <c r="CD107" s="61">
        <v>2943</v>
      </c>
      <c r="CE107" s="61">
        <v>841</v>
      </c>
      <c r="CF107" s="61">
        <v>43</v>
      </c>
      <c r="CG107" s="61">
        <v>4823</v>
      </c>
      <c r="CH107" s="61">
        <v>24</v>
      </c>
      <c r="CI107" s="61">
        <v>284</v>
      </c>
      <c r="CJ107" s="61">
        <v>211</v>
      </c>
      <c r="CK107" s="61">
        <v>257</v>
      </c>
      <c r="CL107" s="61">
        <v>1071</v>
      </c>
      <c r="CM107" s="61">
        <v>100</v>
      </c>
      <c r="CN107" s="61"/>
      <c r="CO107" s="61">
        <v>254</v>
      </c>
      <c r="CP107" s="61">
        <v>6035</v>
      </c>
      <c r="CQ107" s="61">
        <v>1483</v>
      </c>
      <c r="CR107" s="61">
        <v>6</v>
      </c>
      <c r="CS107" s="61">
        <v>200</v>
      </c>
      <c r="CT107" s="61">
        <v>29</v>
      </c>
      <c r="CU107" s="61"/>
      <c r="CV107" s="61">
        <v>3</v>
      </c>
      <c r="CW107" s="61">
        <v>27</v>
      </c>
      <c r="CX107" s="61">
        <v>2826</v>
      </c>
      <c r="CY107" s="61">
        <v>4934</v>
      </c>
      <c r="CZ107" s="61">
        <v>92</v>
      </c>
      <c r="DA107" s="61">
        <v>1869</v>
      </c>
      <c r="DB107" s="61">
        <v>239</v>
      </c>
      <c r="DC107" s="61"/>
      <c r="DD107" s="61">
        <v>9960</v>
      </c>
      <c r="DE107" s="61">
        <v>592</v>
      </c>
      <c r="DF107" s="61">
        <v>8072</v>
      </c>
      <c r="DG107" s="61">
        <v>1296</v>
      </c>
      <c r="DH107" s="62" t="s">
        <v>2185</v>
      </c>
      <c r="DI107" s="61">
        <v>409</v>
      </c>
      <c r="DJ107" s="61">
        <v>25</v>
      </c>
      <c r="DK107" s="61"/>
      <c r="DL107" s="61">
        <v>184</v>
      </c>
      <c r="DM107" s="61"/>
      <c r="DN107" s="61"/>
    </row>
    <row r="108" spans="1:118" x14ac:dyDescent="0.25">
      <c r="A108" s="61">
        <v>106190570</v>
      </c>
      <c r="B108" s="62" t="s">
        <v>540</v>
      </c>
      <c r="C108" s="62" t="s">
        <v>541</v>
      </c>
      <c r="D108" s="62" t="s">
        <v>348</v>
      </c>
      <c r="E108" s="62" t="s">
        <v>321</v>
      </c>
      <c r="F108" s="62" t="s">
        <v>2213</v>
      </c>
      <c r="G108" s="62" t="s">
        <v>542</v>
      </c>
      <c r="H108" s="62" t="s">
        <v>543</v>
      </c>
      <c r="I108" s="62" t="s">
        <v>544</v>
      </c>
      <c r="J108" s="62" t="s">
        <v>2188</v>
      </c>
      <c r="K108" s="62"/>
      <c r="L108" s="61">
        <v>38</v>
      </c>
      <c r="M108" s="61">
        <v>57</v>
      </c>
      <c r="N108" s="61">
        <v>32</v>
      </c>
      <c r="O108" s="62" t="s">
        <v>1855</v>
      </c>
      <c r="P108" s="62" t="s">
        <v>68</v>
      </c>
      <c r="Q108" s="62" t="s">
        <v>2167</v>
      </c>
      <c r="R108" s="62" t="s">
        <v>2167</v>
      </c>
      <c r="S108" s="62" t="s">
        <v>69</v>
      </c>
      <c r="T108" s="61">
        <v>2692</v>
      </c>
      <c r="U108" s="61">
        <v>2658</v>
      </c>
      <c r="V108" s="61"/>
      <c r="W108" s="61">
        <v>481</v>
      </c>
      <c r="X108" s="61">
        <v>529</v>
      </c>
      <c r="Y108" s="61">
        <v>894</v>
      </c>
      <c r="Z108" s="61">
        <v>743</v>
      </c>
      <c r="AA108" s="61">
        <v>723</v>
      </c>
      <c r="AB108" s="61">
        <v>865</v>
      </c>
      <c r="AC108" s="61">
        <v>581</v>
      </c>
      <c r="AD108" s="61">
        <v>282</v>
      </c>
      <c r="AE108" s="61">
        <v>186</v>
      </c>
      <c r="AF108" s="61">
        <v>66</v>
      </c>
      <c r="AG108" s="61"/>
      <c r="AH108" s="61">
        <v>234</v>
      </c>
      <c r="AI108" s="61">
        <v>540</v>
      </c>
      <c r="AJ108" s="61">
        <v>3304</v>
      </c>
      <c r="AK108" s="61">
        <v>2</v>
      </c>
      <c r="AL108" s="61">
        <v>163</v>
      </c>
      <c r="AM108" s="61">
        <v>56</v>
      </c>
      <c r="AN108" s="61">
        <v>1051</v>
      </c>
      <c r="AO108" s="61">
        <v>474</v>
      </c>
      <c r="AP108" s="61">
        <v>441</v>
      </c>
      <c r="AQ108" s="61">
        <v>11</v>
      </c>
      <c r="AR108" s="61">
        <v>7</v>
      </c>
      <c r="AS108" s="61"/>
      <c r="AT108" s="61">
        <v>4</v>
      </c>
      <c r="AU108" s="61"/>
      <c r="AV108" s="61">
        <v>37</v>
      </c>
      <c r="AW108" s="61">
        <v>22</v>
      </c>
      <c r="AX108" s="61">
        <v>13</v>
      </c>
      <c r="AY108" s="61">
        <v>4070</v>
      </c>
      <c r="AZ108" s="61">
        <v>262</v>
      </c>
      <c r="BA108" s="61"/>
      <c r="BB108" s="61"/>
      <c r="BC108" s="61"/>
      <c r="BD108" s="61">
        <v>2466</v>
      </c>
      <c r="BE108" s="61">
        <v>1130</v>
      </c>
      <c r="BF108" s="61">
        <v>72</v>
      </c>
      <c r="BG108" s="61">
        <v>1094</v>
      </c>
      <c r="BH108" s="61">
        <v>588</v>
      </c>
      <c r="BI108" s="61"/>
      <c r="BJ108" s="61">
        <v>5350</v>
      </c>
      <c r="BK108" s="61">
        <v>47</v>
      </c>
      <c r="BL108" s="61">
        <v>4411</v>
      </c>
      <c r="BM108" s="61">
        <v>892</v>
      </c>
      <c r="BN108" s="61">
        <v>930</v>
      </c>
      <c r="BO108" s="61">
        <v>1162</v>
      </c>
      <c r="BP108" s="61"/>
      <c r="BQ108" s="61">
        <v>14</v>
      </c>
      <c r="BR108" s="61">
        <v>82</v>
      </c>
      <c r="BS108" s="61">
        <v>146</v>
      </c>
      <c r="BT108" s="61">
        <v>246</v>
      </c>
      <c r="BU108" s="61">
        <v>440</v>
      </c>
      <c r="BV108" s="61">
        <v>505</v>
      </c>
      <c r="BW108" s="61">
        <v>335</v>
      </c>
      <c r="BX108" s="61">
        <v>324</v>
      </c>
      <c r="BY108" s="61"/>
      <c r="BZ108" s="61"/>
      <c r="CA108" s="61"/>
      <c r="CB108" s="61">
        <v>130</v>
      </c>
      <c r="CC108" s="61">
        <v>331</v>
      </c>
      <c r="CD108" s="61">
        <v>905</v>
      </c>
      <c r="CE108" s="61">
        <v>46</v>
      </c>
      <c r="CF108" s="61">
        <v>13</v>
      </c>
      <c r="CG108" s="61">
        <v>663</v>
      </c>
      <c r="CH108" s="61">
        <v>4</v>
      </c>
      <c r="CI108" s="61">
        <v>203</v>
      </c>
      <c r="CJ108" s="61">
        <v>104</v>
      </c>
      <c r="CK108" s="61">
        <v>47</v>
      </c>
      <c r="CL108" s="61">
        <v>8</v>
      </c>
      <c r="CM108" s="61">
        <v>8</v>
      </c>
      <c r="CN108" s="61"/>
      <c r="CO108" s="61">
        <v>29</v>
      </c>
      <c r="CP108" s="61">
        <v>796</v>
      </c>
      <c r="CQ108" s="61">
        <v>800</v>
      </c>
      <c r="CR108" s="61">
        <v>4</v>
      </c>
      <c r="CS108" s="61">
        <v>7</v>
      </c>
      <c r="CT108" s="61">
        <v>83</v>
      </c>
      <c r="CU108" s="61"/>
      <c r="CV108" s="61"/>
      <c r="CW108" s="61">
        <v>3</v>
      </c>
      <c r="CX108" s="61">
        <v>802</v>
      </c>
      <c r="CY108" s="61">
        <v>1166</v>
      </c>
      <c r="CZ108" s="61">
        <v>34</v>
      </c>
      <c r="DA108" s="61">
        <v>73</v>
      </c>
      <c r="DB108" s="61">
        <v>17</v>
      </c>
      <c r="DC108" s="61"/>
      <c r="DD108" s="61">
        <v>2092</v>
      </c>
      <c r="DE108" s="61">
        <v>40</v>
      </c>
      <c r="DF108" s="61">
        <v>1663</v>
      </c>
      <c r="DG108" s="61">
        <v>389</v>
      </c>
      <c r="DH108" s="62" t="s">
        <v>2185</v>
      </c>
      <c r="DI108" s="61">
        <v>50</v>
      </c>
      <c r="DJ108" s="61">
        <v>4</v>
      </c>
      <c r="DK108" s="61">
        <v>9</v>
      </c>
      <c r="DL108" s="61"/>
      <c r="DM108" s="61"/>
      <c r="DN108" s="61"/>
    </row>
    <row r="109" spans="1:118" x14ac:dyDescent="0.25">
      <c r="A109" s="61">
        <v>106190587</v>
      </c>
      <c r="B109" s="62" t="s">
        <v>545</v>
      </c>
      <c r="C109" s="62" t="s">
        <v>546</v>
      </c>
      <c r="D109" s="62" t="s">
        <v>348</v>
      </c>
      <c r="E109" s="62" t="s">
        <v>321</v>
      </c>
      <c r="F109" s="62" t="s">
        <v>2213</v>
      </c>
      <c r="G109" s="62" t="s">
        <v>547</v>
      </c>
      <c r="H109" s="62" t="s">
        <v>366</v>
      </c>
      <c r="I109" s="62" t="s">
        <v>517</v>
      </c>
      <c r="J109" s="62" t="s">
        <v>2187</v>
      </c>
      <c r="K109" s="62"/>
      <c r="L109" s="61">
        <v>47</v>
      </c>
      <c r="M109" s="61">
        <v>70</v>
      </c>
      <c r="N109" s="61">
        <v>33</v>
      </c>
      <c r="O109" s="62" t="s">
        <v>1850</v>
      </c>
      <c r="P109" s="62" t="s">
        <v>68</v>
      </c>
      <c r="Q109" s="62" t="s">
        <v>2167</v>
      </c>
      <c r="R109" s="62" t="s">
        <v>2167</v>
      </c>
      <c r="S109" s="62" t="s">
        <v>69</v>
      </c>
      <c r="T109" s="61">
        <v>5322</v>
      </c>
      <c r="U109" s="61">
        <v>4804</v>
      </c>
      <c r="V109" s="61">
        <v>3</v>
      </c>
      <c r="W109" s="61">
        <v>546</v>
      </c>
      <c r="X109" s="61">
        <v>845</v>
      </c>
      <c r="Y109" s="61">
        <v>1950</v>
      </c>
      <c r="Z109" s="61">
        <v>1804</v>
      </c>
      <c r="AA109" s="61">
        <v>1539</v>
      </c>
      <c r="AB109" s="61">
        <v>1595</v>
      </c>
      <c r="AC109" s="61">
        <v>1020</v>
      </c>
      <c r="AD109" s="61">
        <v>414</v>
      </c>
      <c r="AE109" s="61">
        <v>334</v>
      </c>
      <c r="AF109" s="61">
        <v>82</v>
      </c>
      <c r="AG109" s="61"/>
      <c r="AH109" s="61">
        <v>805</v>
      </c>
      <c r="AI109" s="61">
        <v>3556</v>
      </c>
      <c r="AJ109" s="61">
        <v>3252</v>
      </c>
      <c r="AK109" s="61">
        <v>34</v>
      </c>
      <c r="AL109" s="61">
        <v>338</v>
      </c>
      <c r="AM109" s="61">
        <v>29</v>
      </c>
      <c r="AN109" s="61">
        <v>2115</v>
      </c>
      <c r="AO109" s="61">
        <v>237</v>
      </c>
      <c r="AP109" s="61">
        <v>578</v>
      </c>
      <c r="AQ109" s="61">
        <v>12</v>
      </c>
      <c r="AR109" s="61">
        <v>10</v>
      </c>
      <c r="AS109" s="61">
        <v>2</v>
      </c>
      <c r="AT109" s="61">
        <v>1</v>
      </c>
      <c r="AU109" s="61"/>
      <c r="AV109" s="61">
        <v>73</v>
      </c>
      <c r="AW109" s="61">
        <v>343</v>
      </c>
      <c r="AX109" s="61">
        <v>38</v>
      </c>
      <c r="AY109" s="61">
        <v>8396</v>
      </c>
      <c r="AZ109" s="61">
        <v>352</v>
      </c>
      <c r="BA109" s="61">
        <v>14</v>
      </c>
      <c r="BB109" s="61">
        <v>9</v>
      </c>
      <c r="BC109" s="61">
        <v>46</v>
      </c>
      <c r="BD109" s="61">
        <v>5739</v>
      </c>
      <c r="BE109" s="61">
        <v>2021</v>
      </c>
      <c r="BF109" s="61">
        <v>78</v>
      </c>
      <c r="BG109" s="61">
        <v>918</v>
      </c>
      <c r="BH109" s="61">
        <v>1373</v>
      </c>
      <c r="BI109" s="61"/>
      <c r="BJ109" s="61">
        <v>10129</v>
      </c>
      <c r="BK109" s="61">
        <v>141</v>
      </c>
      <c r="BL109" s="61">
        <v>9244</v>
      </c>
      <c r="BM109" s="61">
        <v>744</v>
      </c>
      <c r="BN109" s="61">
        <v>2109</v>
      </c>
      <c r="BO109" s="61">
        <v>3099</v>
      </c>
      <c r="BP109" s="61"/>
      <c r="BQ109" s="61">
        <v>74</v>
      </c>
      <c r="BR109" s="61">
        <v>783</v>
      </c>
      <c r="BS109" s="61">
        <v>794</v>
      </c>
      <c r="BT109" s="61">
        <v>864</v>
      </c>
      <c r="BU109" s="61">
        <v>1169</v>
      </c>
      <c r="BV109" s="61">
        <v>713</v>
      </c>
      <c r="BW109" s="61">
        <v>413</v>
      </c>
      <c r="BX109" s="61">
        <v>398</v>
      </c>
      <c r="BY109" s="61"/>
      <c r="BZ109" s="61"/>
      <c r="CA109" s="61"/>
      <c r="CB109" s="61">
        <v>456</v>
      </c>
      <c r="CC109" s="61">
        <v>1636</v>
      </c>
      <c r="CD109" s="61">
        <v>1185</v>
      </c>
      <c r="CE109" s="61">
        <v>51</v>
      </c>
      <c r="CF109" s="61">
        <v>18</v>
      </c>
      <c r="CG109" s="61">
        <v>1836</v>
      </c>
      <c r="CH109" s="61">
        <v>26</v>
      </c>
      <c r="CI109" s="61">
        <v>159</v>
      </c>
      <c r="CJ109" s="61">
        <v>185</v>
      </c>
      <c r="CK109" s="61">
        <v>68</v>
      </c>
      <c r="CL109" s="61">
        <v>119</v>
      </c>
      <c r="CM109" s="61">
        <v>7</v>
      </c>
      <c r="CN109" s="61"/>
      <c r="CO109" s="61">
        <v>72</v>
      </c>
      <c r="CP109" s="61">
        <v>3672</v>
      </c>
      <c r="CQ109" s="61">
        <v>710</v>
      </c>
      <c r="CR109" s="61">
        <v>4</v>
      </c>
      <c r="CS109" s="61">
        <v>25</v>
      </c>
      <c r="CT109" s="61">
        <v>181</v>
      </c>
      <c r="CU109" s="61"/>
      <c r="CV109" s="61">
        <v>1</v>
      </c>
      <c r="CW109" s="61">
        <v>2</v>
      </c>
      <c r="CX109" s="61">
        <v>3302</v>
      </c>
      <c r="CY109" s="61">
        <v>1644</v>
      </c>
      <c r="CZ109" s="61">
        <v>25</v>
      </c>
      <c r="DA109" s="61">
        <v>151</v>
      </c>
      <c r="DB109" s="61">
        <v>85</v>
      </c>
      <c r="DC109" s="61">
        <v>1</v>
      </c>
      <c r="DD109" s="61">
        <v>5208</v>
      </c>
      <c r="DE109" s="61">
        <v>229</v>
      </c>
      <c r="DF109" s="61">
        <v>4314</v>
      </c>
      <c r="DG109" s="61">
        <v>665</v>
      </c>
      <c r="DH109" s="62" t="s">
        <v>2185</v>
      </c>
      <c r="DI109" s="61">
        <v>157</v>
      </c>
      <c r="DJ109" s="61">
        <v>7</v>
      </c>
      <c r="DK109" s="61">
        <v>7</v>
      </c>
      <c r="DL109" s="61">
        <v>11</v>
      </c>
      <c r="DM109" s="61">
        <v>2</v>
      </c>
      <c r="DN109" s="61">
        <v>1</v>
      </c>
    </row>
    <row r="110" spans="1:118" x14ac:dyDescent="0.25">
      <c r="A110" s="61">
        <v>106190630</v>
      </c>
      <c r="B110" s="62" t="s">
        <v>548</v>
      </c>
      <c r="C110" s="62" t="s">
        <v>549</v>
      </c>
      <c r="D110" s="62" t="s">
        <v>348</v>
      </c>
      <c r="E110" s="62" t="s">
        <v>71</v>
      </c>
      <c r="F110" s="62" t="s">
        <v>2213</v>
      </c>
      <c r="G110" s="62" t="s">
        <v>550</v>
      </c>
      <c r="H110" s="62" t="s">
        <v>551</v>
      </c>
      <c r="I110" s="62" t="s">
        <v>552</v>
      </c>
      <c r="J110" s="62" t="s">
        <v>2186</v>
      </c>
      <c r="K110" s="62"/>
      <c r="L110" s="61">
        <v>35</v>
      </c>
      <c r="M110" s="61">
        <v>52</v>
      </c>
      <c r="N110" s="61">
        <v>20</v>
      </c>
      <c r="O110" s="62" t="s">
        <v>1856</v>
      </c>
      <c r="P110" s="62" t="s">
        <v>68</v>
      </c>
      <c r="Q110" s="62" t="s">
        <v>2167</v>
      </c>
      <c r="R110" s="62" t="s">
        <v>2167</v>
      </c>
      <c r="S110" s="62" t="s">
        <v>69</v>
      </c>
      <c r="T110" s="61">
        <v>47655</v>
      </c>
      <c r="U110" s="61">
        <v>36925</v>
      </c>
      <c r="V110" s="61"/>
      <c r="W110" s="61">
        <v>12762</v>
      </c>
      <c r="X110" s="61">
        <v>9379</v>
      </c>
      <c r="Y110" s="61">
        <v>14262</v>
      </c>
      <c r="Z110" s="61">
        <v>10829</v>
      </c>
      <c r="AA110" s="61">
        <v>9457</v>
      </c>
      <c r="AB110" s="61">
        <v>9555</v>
      </c>
      <c r="AC110" s="61">
        <v>6219</v>
      </c>
      <c r="AD110" s="61">
        <v>4036</v>
      </c>
      <c r="AE110" s="61">
        <v>4389</v>
      </c>
      <c r="AF110" s="61">
        <v>3692</v>
      </c>
      <c r="AG110" s="61"/>
      <c r="AH110" s="61">
        <v>3468</v>
      </c>
      <c r="AI110" s="61">
        <v>7475</v>
      </c>
      <c r="AJ110" s="61">
        <v>45863</v>
      </c>
      <c r="AK110" s="61">
        <v>16</v>
      </c>
      <c r="AL110" s="61">
        <v>5401</v>
      </c>
      <c r="AM110" s="61">
        <v>53</v>
      </c>
      <c r="AN110" s="61">
        <v>22304</v>
      </c>
      <c r="AO110" s="61">
        <v>747</v>
      </c>
      <c r="AP110" s="61">
        <v>1764</v>
      </c>
      <c r="AQ110" s="61">
        <v>139</v>
      </c>
      <c r="AR110" s="61">
        <v>40</v>
      </c>
      <c r="AS110" s="61">
        <v>69</v>
      </c>
      <c r="AT110" s="61">
        <v>26</v>
      </c>
      <c r="AU110" s="61"/>
      <c r="AV110" s="61">
        <v>598</v>
      </c>
      <c r="AW110" s="61">
        <v>248</v>
      </c>
      <c r="AX110" s="61">
        <v>74</v>
      </c>
      <c r="AY110" s="61">
        <v>80380</v>
      </c>
      <c r="AZ110" s="61">
        <v>369</v>
      </c>
      <c r="BA110" s="61">
        <v>25</v>
      </c>
      <c r="BB110" s="61">
        <v>61</v>
      </c>
      <c r="BC110" s="61">
        <v>29</v>
      </c>
      <c r="BD110" s="61">
        <v>48725</v>
      </c>
      <c r="BE110" s="61">
        <v>10700</v>
      </c>
      <c r="BF110" s="61">
        <v>2303</v>
      </c>
      <c r="BG110" s="61">
        <v>15165</v>
      </c>
      <c r="BH110" s="61">
        <v>7687</v>
      </c>
      <c r="BI110" s="61"/>
      <c r="BJ110" s="61">
        <v>84580</v>
      </c>
      <c r="BK110" s="61">
        <v>1062</v>
      </c>
      <c r="BL110" s="61">
        <v>71540</v>
      </c>
      <c r="BM110" s="61">
        <v>11978</v>
      </c>
      <c r="BN110" s="61">
        <v>5193</v>
      </c>
      <c r="BO110" s="61">
        <v>5101</v>
      </c>
      <c r="BP110" s="61"/>
      <c r="BQ110" s="61">
        <v>278</v>
      </c>
      <c r="BR110" s="61">
        <v>562</v>
      </c>
      <c r="BS110" s="61">
        <v>644</v>
      </c>
      <c r="BT110" s="61">
        <v>901</v>
      </c>
      <c r="BU110" s="61">
        <v>1586</v>
      </c>
      <c r="BV110" s="61">
        <v>1742</v>
      </c>
      <c r="BW110" s="61">
        <v>1783</v>
      </c>
      <c r="BX110" s="61">
        <v>2201</v>
      </c>
      <c r="BY110" s="61">
        <v>258</v>
      </c>
      <c r="BZ110" s="61">
        <v>339</v>
      </c>
      <c r="CA110" s="61"/>
      <c r="CB110" s="61">
        <v>713</v>
      </c>
      <c r="CC110" s="61">
        <v>882</v>
      </c>
      <c r="CD110" s="61">
        <v>4228</v>
      </c>
      <c r="CE110" s="61">
        <v>583</v>
      </c>
      <c r="CF110" s="61">
        <v>4</v>
      </c>
      <c r="CG110" s="61">
        <v>3881</v>
      </c>
      <c r="CH110" s="61">
        <v>3</v>
      </c>
      <c r="CI110" s="61">
        <v>393</v>
      </c>
      <c r="CJ110" s="61">
        <v>168</v>
      </c>
      <c r="CK110" s="61">
        <v>483</v>
      </c>
      <c r="CL110" s="61">
        <v>480</v>
      </c>
      <c r="CM110" s="61">
        <v>216</v>
      </c>
      <c r="CN110" s="61"/>
      <c r="CO110" s="61">
        <v>120</v>
      </c>
      <c r="CP110" s="61">
        <v>6730</v>
      </c>
      <c r="CQ110" s="61">
        <v>1417</v>
      </c>
      <c r="CR110" s="61">
        <v>22</v>
      </c>
      <c r="CS110" s="61">
        <v>208</v>
      </c>
      <c r="CT110" s="61">
        <v>17</v>
      </c>
      <c r="CU110" s="61">
        <v>35</v>
      </c>
      <c r="CV110" s="61"/>
      <c r="CW110" s="61">
        <v>5</v>
      </c>
      <c r="CX110" s="61">
        <v>3824</v>
      </c>
      <c r="CY110" s="61">
        <v>5050</v>
      </c>
      <c r="CZ110" s="61">
        <v>36</v>
      </c>
      <c r="DA110" s="61">
        <v>1309</v>
      </c>
      <c r="DB110" s="61">
        <v>75</v>
      </c>
      <c r="DC110" s="61"/>
      <c r="DD110" s="61">
        <v>10294</v>
      </c>
      <c r="DE110" s="61">
        <v>282</v>
      </c>
      <c r="DF110" s="61">
        <v>8688</v>
      </c>
      <c r="DG110" s="61">
        <v>1324</v>
      </c>
      <c r="DH110" s="62" t="s">
        <v>2185</v>
      </c>
      <c r="DI110" s="61">
        <v>437</v>
      </c>
      <c r="DJ110" s="61">
        <v>50</v>
      </c>
      <c r="DK110" s="61"/>
      <c r="DL110" s="61">
        <v>11</v>
      </c>
      <c r="DM110" s="61"/>
      <c r="DN110" s="61"/>
    </row>
    <row r="111" spans="1:118" x14ac:dyDescent="0.25">
      <c r="A111" s="61">
        <v>106190631</v>
      </c>
      <c r="B111" s="62" t="s">
        <v>553</v>
      </c>
      <c r="C111" s="62" t="s">
        <v>554</v>
      </c>
      <c r="D111" s="62" t="s">
        <v>348</v>
      </c>
      <c r="E111" s="62" t="s">
        <v>71</v>
      </c>
      <c r="F111" s="62" t="s">
        <v>2213</v>
      </c>
      <c r="G111" s="62" t="s">
        <v>555</v>
      </c>
      <c r="H111" s="62" t="s">
        <v>556</v>
      </c>
      <c r="I111" s="62" t="s">
        <v>557</v>
      </c>
      <c r="J111" s="62" t="s">
        <v>2191</v>
      </c>
      <c r="K111" s="62"/>
      <c r="L111" s="61">
        <v>38</v>
      </c>
      <c r="M111" s="61">
        <v>57</v>
      </c>
      <c r="N111" s="61">
        <v>32</v>
      </c>
      <c r="O111" s="62" t="s">
        <v>1857</v>
      </c>
      <c r="P111" s="62" t="s">
        <v>68</v>
      </c>
      <c r="Q111" s="62" t="s">
        <v>2167</v>
      </c>
      <c r="R111" s="62" t="s">
        <v>2167</v>
      </c>
      <c r="S111" s="62" t="s">
        <v>69</v>
      </c>
      <c r="T111" s="61">
        <v>35073</v>
      </c>
      <c r="U111" s="61">
        <v>26814</v>
      </c>
      <c r="V111" s="61"/>
      <c r="W111" s="61">
        <v>9986</v>
      </c>
      <c r="X111" s="61">
        <v>7555</v>
      </c>
      <c r="Y111" s="61">
        <v>9343</v>
      </c>
      <c r="Z111" s="61">
        <v>7937</v>
      </c>
      <c r="AA111" s="61">
        <v>6625</v>
      </c>
      <c r="AB111" s="61">
        <v>6334</v>
      </c>
      <c r="AC111" s="61">
        <v>4546</v>
      </c>
      <c r="AD111" s="61">
        <v>3516</v>
      </c>
      <c r="AE111" s="61">
        <v>3923</v>
      </c>
      <c r="AF111" s="61">
        <v>2121</v>
      </c>
      <c r="AG111" s="61">
        <v>1</v>
      </c>
      <c r="AH111" s="61">
        <v>1211</v>
      </c>
      <c r="AI111" s="61">
        <v>822</v>
      </c>
      <c r="AJ111" s="61">
        <v>50135</v>
      </c>
      <c r="AK111" s="61">
        <v>37</v>
      </c>
      <c r="AL111" s="61">
        <v>78</v>
      </c>
      <c r="AM111" s="61">
        <v>56</v>
      </c>
      <c r="AN111" s="61">
        <v>9548</v>
      </c>
      <c r="AO111" s="61">
        <v>2417</v>
      </c>
      <c r="AP111" s="61">
        <v>3181</v>
      </c>
      <c r="AQ111" s="61">
        <v>72</v>
      </c>
      <c r="AR111" s="61">
        <v>84</v>
      </c>
      <c r="AS111" s="61">
        <v>20</v>
      </c>
      <c r="AT111" s="61"/>
      <c r="AU111" s="61"/>
      <c r="AV111" s="61">
        <v>20</v>
      </c>
      <c r="AW111" s="61">
        <v>369</v>
      </c>
      <c r="AX111" s="61">
        <v>16</v>
      </c>
      <c r="AY111" s="61">
        <v>55187</v>
      </c>
      <c r="AZ111" s="61">
        <v>252</v>
      </c>
      <c r="BA111" s="61">
        <v>265</v>
      </c>
      <c r="BB111" s="61"/>
      <c r="BC111" s="61">
        <v>2</v>
      </c>
      <c r="BD111" s="61">
        <v>30107</v>
      </c>
      <c r="BE111" s="61">
        <v>11266</v>
      </c>
      <c r="BF111" s="61">
        <v>1047</v>
      </c>
      <c r="BG111" s="61">
        <v>15872</v>
      </c>
      <c r="BH111" s="61">
        <v>3595</v>
      </c>
      <c r="BI111" s="61"/>
      <c r="BJ111" s="61">
        <v>61887</v>
      </c>
      <c r="BK111" s="61">
        <v>214</v>
      </c>
      <c r="BL111" s="61">
        <v>53540</v>
      </c>
      <c r="BM111" s="61">
        <v>8133</v>
      </c>
      <c r="BN111" s="61">
        <v>6555</v>
      </c>
      <c r="BO111" s="61">
        <v>5576</v>
      </c>
      <c r="BP111" s="61"/>
      <c r="BQ111" s="61">
        <v>247</v>
      </c>
      <c r="BR111" s="61">
        <v>579</v>
      </c>
      <c r="BS111" s="61">
        <v>752</v>
      </c>
      <c r="BT111" s="61">
        <v>1167</v>
      </c>
      <c r="BU111" s="61">
        <v>1651</v>
      </c>
      <c r="BV111" s="61">
        <v>1916</v>
      </c>
      <c r="BW111" s="61">
        <v>2097</v>
      </c>
      <c r="BX111" s="61">
        <v>3363</v>
      </c>
      <c r="BY111" s="61">
        <v>166</v>
      </c>
      <c r="BZ111" s="61">
        <v>193</v>
      </c>
      <c r="CA111" s="61"/>
      <c r="CB111" s="61">
        <v>451</v>
      </c>
      <c r="CC111" s="61">
        <v>201</v>
      </c>
      <c r="CD111" s="61">
        <v>7566</v>
      </c>
      <c r="CE111" s="61">
        <v>26</v>
      </c>
      <c r="CF111" s="61">
        <v>3</v>
      </c>
      <c r="CG111" s="61">
        <v>3878</v>
      </c>
      <c r="CH111" s="61">
        <v>6</v>
      </c>
      <c r="CI111" s="61">
        <v>504</v>
      </c>
      <c r="CJ111" s="61">
        <v>121</v>
      </c>
      <c r="CK111" s="61">
        <v>343</v>
      </c>
      <c r="CL111" s="61">
        <v>2134</v>
      </c>
      <c r="CM111" s="61">
        <v>169</v>
      </c>
      <c r="CN111" s="61"/>
      <c r="CO111" s="61">
        <v>25</v>
      </c>
      <c r="CP111" s="61">
        <v>6744</v>
      </c>
      <c r="CQ111" s="61">
        <v>1745</v>
      </c>
      <c r="CR111" s="61"/>
      <c r="CS111" s="61">
        <v>304</v>
      </c>
      <c r="CT111" s="61">
        <v>30</v>
      </c>
      <c r="CU111" s="61">
        <v>9</v>
      </c>
      <c r="CV111" s="61"/>
      <c r="CW111" s="61">
        <v>3</v>
      </c>
      <c r="CX111" s="61">
        <v>2188</v>
      </c>
      <c r="CY111" s="61">
        <v>7151</v>
      </c>
      <c r="CZ111" s="61">
        <v>69</v>
      </c>
      <c r="DA111" s="61">
        <v>2557</v>
      </c>
      <c r="DB111" s="61">
        <v>166</v>
      </c>
      <c r="DC111" s="61"/>
      <c r="DD111" s="61">
        <v>12131</v>
      </c>
      <c r="DE111" s="61">
        <v>99</v>
      </c>
      <c r="DF111" s="61">
        <v>10245</v>
      </c>
      <c r="DG111" s="61">
        <v>1787</v>
      </c>
      <c r="DH111" s="62" t="s">
        <v>2185</v>
      </c>
      <c r="DI111" s="61">
        <v>548</v>
      </c>
      <c r="DJ111" s="61">
        <v>61</v>
      </c>
      <c r="DK111" s="61"/>
      <c r="DL111" s="61">
        <v>2</v>
      </c>
      <c r="DM111" s="61"/>
      <c r="DN111" s="61"/>
    </row>
    <row r="112" spans="1:118" x14ac:dyDescent="0.25">
      <c r="A112" s="61">
        <v>106190636</v>
      </c>
      <c r="B112" s="62" t="s">
        <v>558</v>
      </c>
      <c r="C112" s="62" t="s">
        <v>559</v>
      </c>
      <c r="D112" s="62" t="s">
        <v>348</v>
      </c>
      <c r="E112" s="62" t="s">
        <v>71</v>
      </c>
      <c r="F112" s="62" t="s">
        <v>2213</v>
      </c>
      <c r="G112" s="62" t="s">
        <v>560</v>
      </c>
      <c r="H112" s="62" t="s">
        <v>561</v>
      </c>
      <c r="I112" s="62" t="s">
        <v>562</v>
      </c>
      <c r="J112" s="62" t="s">
        <v>2186</v>
      </c>
      <c r="K112" s="62"/>
      <c r="L112" s="61">
        <v>32</v>
      </c>
      <c r="M112" s="61">
        <v>48</v>
      </c>
      <c r="N112" s="61">
        <v>22</v>
      </c>
      <c r="O112" s="62" t="s">
        <v>1858</v>
      </c>
      <c r="P112" s="62" t="s">
        <v>68</v>
      </c>
      <c r="Q112" s="62" t="s">
        <v>2167</v>
      </c>
      <c r="R112" s="62" t="s">
        <v>2167</v>
      </c>
      <c r="S112" s="62" t="s">
        <v>69</v>
      </c>
      <c r="T112" s="61">
        <v>23583</v>
      </c>
      <c r="U112" s="61">
        <v>19140</v>
      </c>
      <c r="V112" s="61">
        <v>1</v>
      </c>
      <c r="W112" s="61">
        <v>7953</v>
      </c>
      <c r="X112" s="61">
        <v>5256</v>
      </c>
      <c r="Y112" s="61">
        <v>7080</v>
      </c>
      <c r="Z112" s="61">
        <v>5164</v>
      </c>
      <c r="AA112" s="61">
        <v>4422</v>
      </c>
      <c r="AB112" s="61">
        <v>4500</v>
      </c>
      <c r="AC112" s="61">
        <v>3169</v>
      </c>
      <c r="AD112" s="61">
        <v>2068</v>
      </c>
      <c r="AE112" s="61">
        <v>1772</v>
      </c>
      <c r="AF112" s="61">
        <v>1340</v>
      </c>
      <c r="AG112" s="61"/>
      <c r="AH112" s="61">
        <v>3051</v>
      </c>
      <c r="AI112" s="61">
        <v>1441</v>
      </c>
      <c r="AJ112" s="61">
        <v>32289</v>
      </c>
      <c r="AK112" s="61">
        <v>36</v>
      </c>
      <c r="AL112" s="61">
        <v>512</v>
      </c>
      <c r="AM112" s="61">
        <v>71</v>
      </c>
      <c r="AN112" s="61">
        <v>5324</v>
      </c>
      <c r="AO112" s="61">
        <v>874</v>
      </c>
      <c r="AP112" s="61">
        <v>997</v>
      </c>
      <c r="AQ112" s="61">
        <v>45</v>
      </c>
      <c r="AR112" s="61">
        <v>2</v>
      </c>
      <c r="AS112" s="61">
        <v>12</v>
      </c>
      <c r="AT112" s="61"/>
      <c r="AU112" s="61"/>
      <c r="AV112" s="61"/>
      <c r="AW112" s="61">
        <v>201</v>
      </c>
      <c r="AX112" s="61">
        <v>1</v>
      </c>
      <c r="AY112" s="61">
        <v>40317</v>
      </c>
      <c r="AZ112" s="61">
        <v>247</v>
      </c>
      <c r="BA112" s="61">
        <v>15</v>
      </c>
      <c r="BB112" s="61"/>
      <c r="BC112" s="61"/>
      <c r="BD112" s="61">
        <v>156</v>
      </c>
      <c r="BE112" s="61">
        <v>6417</v>
      </c>
      <c r="BF112" s="61">
        <v>396</v>
      </c>
      <c r="BG112" s="61">
        <v>30006</v>
      </c>
      <c r="BH112" s="61">
        <v>5749</v>
      </c>
      <c r="BI112" s="61"/>
      <c r="BJ112" s="61">
        <v>42724</v>
      </c>
      <c r="BK112" s="61">
        <v>1239</v>
      </c>
      <c r="BL112" s="61">
        <v>33469</v>
      </c>
      <c r="BM112" s="61">
        <v>8016</v>
      </c>
      <c r="BN112" s="61">
        <v>5294</v>
      </c>
      <c r="BO112" s="61">
        <v>4372</v>
      </c>
      <c r="BP112" s="61"/>
      <c r="BQ112" s="61">
        <v>242</v>
      </c>
      <c r="BR112" s="61">
        <v>668</v>
      </c>
      <c r="BS112" s="61">
        <v>784</v>
      </c>
      <c r="BT112" s="61">
        <v>1099</v>
      </c>
      <c r="BU112" s="61">
        <v>1645</v>
      </c>
      <c r="BV112" s="61">
        <v>1525</v>
      </c>
      <c r="BW112" s="61">
        <v>1421</v>
      </c>
      <c r="BX112" s="61">
        <v>1739</v>
      </c>
      <c r="BY112" s="61">
        <v>270</v>
      </c>
      <c r="BZ112" s="61">
        <v>273</v>
      </c>
      <c r="CA112" s="61"/>
      <c r="CB112" s="61">
        <v>1128</v>
      </c>
      <c r="CC112" s="61">
        <v>302</v>
      </c>
      <c r="CD112" s="61">
        <v>6363</v>
      </c>
      <c r="CE112" s="61">
        <v>125</v>
      </c>
      <c r="CF112" s="61">
        <v>2</v>
      </c>
      <c r="CG112" s="61">
        <v>1733</v>
      </c>
      <c r="CH112" s="61">
        <v>13</v>
      </c>
      <c r="CI112" s="61">
        <v>7</v>
      </c>
      <c r="CJ112" s="61">
        <v>1092</v>
      </c>
      <c r="CK112" s="61">
        <v>225</v>
      </c>
      <c r="CL112" s="61">
        <v>45</v>
      </c>
      <c r="CM112" s="61"/>
      <c r="CN112" s="61"/>
      <c r="CO112" s="61">
        <v>137</v>
      </c>
      <c r="CP112" s="61">
        <v>6379</v>
      </c>
      <c r="CQ112" s="61">
        <v>108</v>
      </c>
      <c r="CR112" s="61">
        <v>4</v>
      </c>
      <c r="CS112" s="61">
        <v>1045</v>
      </c>
      <c r="CT112" s="61"/>
      <c r="CU112" s="61">
        <v>623</v>
      </c>
      <c r="CV112" s="61"/>
      <c r="CW112" s="61"/>
      <c r="CX112" s="61">
        <v>4590</v>
      </c>
      <c r="CY112" s="61">
        <v>3541</v>
      </c>
      <c r="CZ112" s="61">
        <v>82</v>
      </c>
      <c r="DA112" s="61">
        <v>1170</v>
      </c>
      <c r="DB112" s="61">
        <v>283</v>
      </c>
      <c r="DC112" s="61"/>
      <c r="DD112" s="61">
        <v>9666</v>
      </c>
      <c r="DE112" s="61">
        <v>671</v>
      </c>
      <c r="DF112" s="61">
        <v>6254</v>
      </c>
      <c r="DG112" s="61">
        <v>2741</v>
      </c>
      <c r="DH112" s="62" t="s">
        <v>2185</v>
      </c>
      <c r="DI112" s="61">
        <v>325</v>
      </c>
      <c r="DJ112" s="61">
        <v>30</v>
      </c>
      <c r="DK112" s="61"/>
      <c r="DL112" s="61">
        <v>13</v>
      </c>
      <c r="DM112" s="61">
        <v>1</v>
      </c>
      <c r="DN112" s="61"/>
    </row>
    <row r="113" spans="1:118" x14ac:dyDescent="0.25">
      <c r="A113" s="61">
        <v>106190673</v>
      </c>
      <c r="B113" s="62" t="s">
        <v>563</v>
      </c>
      <c r="C113" s="62" t="s">
        <v>564</v>
      </c>
      <c r="D113" s="62" t="s">
        <v>348</v>
      </c>
      <c r="E113" s="62" t="s">
        <v>321</v>
      </c>
      <c r="F113" s="62" t="s">
        <v>2213</v>
      </c>
      <c r="G113" s="62" t="s">
        <v>565</v>
      </c>
      <c r="H113" s="62" t="s">
        <v>566</v>
      </c>
      <c r="I113" s="62" t="s">
        <v>567</v>
      </c>
      <c r="J113" s="62" t="s">
        <v>2189</v>
      </c>
      <c r="K113" s="62"/>
      <c r="L113" s="61">
        <v>32</v>
      </c>
      <c r="M113" s="61">
        <v>41</v>
      </c>
      <c r="N113" s="61">
        <v>25</v>
      </c>
      <c r="O113" s="62" t="s">
        <v>1856</v>
      </c>
      <c r="P113" s="62" t="s">
        <v>68</v>
      </c>
      <c r="Q113" s="62" t="s">
        <v>2167</v>
      </c>
      <c r="R113" s="62" t="s">
        <v>2167</v>
      </c>
      <c r="S113" s="62" t="s">
        <v>69</v>
      </c>
      <c r="T113" s="61">
        <v>8862</v>
      </c>
      <c r="U113" s="61">
        <v>6881</v>
      </c>
      <c r="V113" s="61"/>
      <c r="W113" s="61">
        <v>1683</v>
      </c>
      <c r="X113" s="61">
        <v>1993</v>
      </c>
      <c r="Y113" s="61">
        <v>2757</v>
      </c>
      <c r="Z113" s="61">
        <v>2219</v>
      </c>
      <c r="AA113" s="61">
        <v>1974</v>
      </c>
      <c r="AB113" s="61">
        <v>1818</v>
      </c>
      <c r="AC113" s="61">
        <v>1171</v>
      </c>
      <c r="AD113" s="61">
        <v>879</v>
      </c>
      <c r="AE113" s="61">
        <v>1008</v>
      </c>
      <c r="AF113" s="61">
        <v>241</v>
      </c>
      <c r="AG113" s="61"/>
      <c r="AH113" s="61">
        <v>884</v>
      </c>
      <c r="AI113" s="61">
        <v>1071</v>
      </c>
      <c r="AJ113" s="61">
        <v>6254</v>
      </c>
      <c r="AK113" s="61">
        <v>19</v>
      </c>
      <c r="AL113" s="61">
        <v>105</v>
      </c>
      <c r="AM113" s="61">
        <v>48</v>
      </c>
      <c r="AN113" s="61">
        <v>7362</v>
      </c>
      <c r="AO113" s="61">
        <v>332</v>
      </c>
      <c r="AP113" s="61">
        <v>1034</v>
      </c>
      <c r="AQ113" s="61">
        <v>22</v>
      </c>
      <c r="AR113" s="61">
        <v>5</v>
      </c>
      <c r="AS113" s="61"/>
      <c r="AT113" s="61">
        <v>2</v>
      </c>
      <c r="AU113" s="61"/>
      <c r="AV113" s="61">
        <v>282</v>
      </c>
      <c r="AW113" s="61">
        <v>68</v>
      </c>
      <c r="AX113" s="61">
        <v>6</v>
      </c>
      <c r="AY113" s="61">
        <v>13930</v>
      </c>
      <c r="AZ113" s="61">
        <v>62</v>
      </c>
      <c r="BA113" s="61"/>
      <c r="BB113" s="61"/>
      <c r="BC113" s="61"/>
      <c r="BD113" s="61">
        <v>1477</v>
      </c>
      <c r="BE113" s="61">
        <v>2743</v>
      </c>
      <c r="BF113" s="61">
        <v>619</v>
      </c>
      <c r="BG113" s="61">
        <v>9648</v>
      </c>
      <c r="BH113" s="61">
        <v>1256</v>
      </c>
      <c r="BI113" s="61"/>
      <c r="BJ113" s="61">
        <v>15743</v>
      </c>
      <c r="BK113" s="61">
        <v>36</v>
      </c>
      <c r="BL113" s="61">
        <v>15472</v>
      </c>
      <c r="BM113" s="61">
        <v>235</v>
      </c>
      <c r="BN113" s="61">
        <v>1138</v>
      </c>
      <c r="BO113" s="61">
        <v>883</v>
      </c>
      <c r="BP113" s="61"/>
      <c r="BQ113" s="61">
        <v>17</v>
      </c>
      <c r="BR113" s="61">
        <v>63</v>
      </c>
      <c r="BS113" s="61">
        <v>99</v>
      </c>
      <c r="BT113" s="61">
        <v>156</v>
      </c>
      <c r="BU113" s="61">
        <v>272</v>
      </c>
      <c r="BV113" s="61">
        <v>354</v>
      </c>
      <c r="BW113" s="61">
        <v>411</v>
      </c>
      <c r="BX113" s="61">
        <v>649</v>
      </c>
      <c r="BY113" s="61"/>
      <c r="BZ113" s="61"/>
      <c r="CA113" s="61"/>
      <c r="CB113" s="61">
        <v>183</v>
      </c>
      <c r="CC113" s="61">
        <v>93</v>
      </c>
      <c r="CD113" s="61">
        <v>558</v>
      </c>
      <c r="CE113" s="61">
        <v>6</v>
      </c>
      <c r="CF113" s="61">
        <v>4</v>
      </c>
      <c r="CG113" s="61">
        <v>1174</v>
      </c>
      <c r="CH113" s="61">
        <v>3</v>
      </c>
      <c r="CI113" s="61">
        <v>246</v>
      </c>
      <c r="CJ113" s="61">
        <v>42</v>
      </c>
      <c r="CK113" s="61">
        <v>53</v>
      </c>
      <c r="CL113" s="61">
        <v>139</v>
      </c>
      <c r="CM113" s="61">
        <v>24</v>
      </c>
      <c r="CN113" s="61"/>
      <c r="CO113" s="61">
        <v>47</v>
      </c>
      <c r="CP113" s="61">
        <v>964</v>
      </c>
      <c r="CQ113" s="61">
        <v>433</v>
      </c>
      <c r="CR113" s="61"/>
      <c r="CS113" s="61">
        <v>37</v>
      </c>
      <c r="CT113" s="61">
        <v>22</v>
      </c>
      <c r="CU113" s="61">
        <v>13</v>
      </c>
      <c r="CV113" s="61"/>
      <c r="CW113" s="61"/>
      <c r="CX113" s="61">
        <v>31</v>
      </c>
      <c r="CY113" s="61">
        <v>1427</v>
      </c>
      <c r="CZ113" s="61">
        <v>45</v>
      </c>
      <c r="DA113" s="61">
        <v>496</v>
      </c>
      <c r="DB113" s="61">
        <v>22</v>
      </c>
      <c r="DC113" s="61"/>
      <c r="DD113" s="61">
        <v>2021</v>
      </c>
      <c r="DE113" s="61">
        <v>13</v>
      </c>
      <c r="DF113" s="61">
        <v>1965</v>
      </c>
      <c r="DG113" s="61">
        <v>43</v>
      </c>
      <c r="DH113" s="62" t="s">
        <v>2185</v>
      </c>
      <c r="DI113" s="61">
        <v>101</v>
      </c>
      <c r="DJ113" s="61">
        <v>8</v>
      </c>
      <c r="DK113" s="61"/>
      <c r="DL113" s="61"/>
      <c r="DM113" s="61"/>
      <c r="DN113" s="61">
        <v>1</v>
      </c>
    </row>
    <row r="114" spans="1:118" x14ac:dyDescent="0.25">
      <c r="A114" s="61">
        <v>106190680</v>
      </c>
      <c r="B114" s="62" t="s">
        <v>568</v>
      </c>
      <c r="C114" s="62" t="s">
        <v>569</v>
      </c>
      <c r="D114" s="62" t="s">
        <v>348</v>
      </c>
      <c r="E114" s="62" t="s">
        <v>71</v>
      </c>
      <c r="F114" s="62" t="s">
        <v>2213</v>
      </c>
      <c r="G114" s="62" t="s">
        <v>570</v>
      </c>
      <c r="H114" s="62" t="s">
        <v>571</v>
      </c>
      <c r="I114" s="62" t="s">
        <v>572</v>
      </c>
      <c r="J114" s="62" t="s">
        <v>2186</v>
      </c>
      <c r="K114" s="62"/>
      <c r="L114" s="61">
        <v>44</v>
      </c>
      <c r="M114" s="61">
        <v>70</v>
      </c>
      <c r="N114" s="61">
        <v>35</v>
      </c>
      <c r="O114" s="62" t="s">
        <v>1859</v>
      </c>
      <c r="P114" s="62" t="s">
        <v>68</v>
      </c>
      <c r="Q114" s="62" t="s">
        <v>2167</v>
      </c>
      <c r="R114" s="62" t="s">
        <v>2167</v>
      </c>
      <c r="S114" s="62" t="s">
        <v>69</v>
      </c>
      <c r="T114" s="61">
        <v>20591</v>
      </c>
      <c r="U114" s="61">
        <v>15870</v>
      </c>
      <c r="V114" s="61">
        <v>2</v>
      </c>
      <c r="W114" s="61">
        <v>4727</v>
      </c>
      <c r="X114" s="61">
        <v>4193</v>
      </c>
      <c r="Y114" s="61">
        <v>6220</v>
      </c>
      <c r="Z114" s="61">
        <v>5205</v>
      </c>
      <c r="AA114" s="61">
        <v>4761</v>
      </c>
      <c r="AB114" s="61">
        <v>4572</v>
      </c>
      <c r="AC114" s="61">
        <v>2779</v>
      </c>
      <c r="AD114" s="61">
        <v>1583</v>
      </c>
      <c r="AE114" s="61">
        <v>1680</v>
      </c>
      <c r="AF114" s="61">
        <v>743</v>
      </c>
      <c r="AG114" s="61"/>
      <c r="AH114" s="61">
        <v>552</v>
      </c>
      <c r="AI114" s="61">
        <v>3305</v>
      </c>
      <c r="AJ114" s="61">
        <v>18855</v>
      </c>
      <c r="AK114" s="61">
        <v>38</v>
      </c>
      <c r="AL114" s="61">
        <v>2931</v>
      </c>
      <c r="AM114" s="61">
        <v>356</v>
      </c>
      <c r="AN114" s="61">
        <v>10426</v>
      </c>
      <c r="AO114" s="61">
        <v>263</v>
      </c>
      <c r="AP114" s="61">
        <v>152</v>
      </c>
      <c r="AQ114" s="61">
        <v>28</v>
      </c>
      <c r="AR114" s="61">
        <v>18</v>
      </c>
      <c r="AS114" s="61">
        <v>10</v>
      </c>
      <c r="AT114" s="61">
        <v>7</v>
      </c>
      <c r="AU114" s="61"/>
      <c r="AV114" s="61">
        <v>131</v>
      </c>
      <c r="AW114" s="61">
        <v>400</v>
      </c>
      <c r="AX114" s="61">
        <v>4</v>
      </c>
      <c r="AY114" s="61">
        <v>35017</v>
      </c>
      <c r="AZ114" s="61">
        <v>202</v>
      </c>
      <c r="BA114" s="61">
        <v>15</v>
      </c>
      <c r="BB114" s="61">
        <v>20</v>
      </c>
      <c r="BC114" s="61">
        <v>185</v>
      </c>
      <c r="BD114" s="61">
        <v>18700</v>
      </c>
      <c r="BE114" s="61">
        <v>5224</v>
      </c>
      <c r="BF114" s="61">
        <v>1356</v>
      </c>
      <c r="BG114" s="61">
        <v>7543</v>
      </c>
      <c r="BH114" s="61">
        <v>3638</v>
      </c>
      <c r="BI114" s="61">
        <v>2</v>
      </c>
      <c r="BJ114" s="61">
        <v>36463</v>
      </c>
      <c r="BK114" s="61">
        <v>215</v>
      </c>
      <c r="BL114" s="61">
        <v>32822</v>
      </c>
      <c r="BM114" s="61">
        <v>3426</v>
      </c>
      <c r="BN114" s="61">
        <v>2190</v>
      </c>
      <c r="BO114" s="61">
        <v>1992</v>
      </c>
      <c r="BP114" s="61">
        <v>1</v>
      </c>
      <c r="BQ114" s="61">
        <v>66</v>
      </c>
      <c r="BR114" s="61">
        <v>259</v>
      </c>
      <c r="BS114" s="61">
        <v>338</v>
      </c>
      <c r="BT114" s="61">
        <v>430</v>
      </c>
      <c r="BU114" s="61">
        <v>766</v>
      </c>
      <c r="BV114" s="61">
        <v>761</v>
      </c>
      <c r="BW114" s="61">
        <v>660</v>
      </c>
      <c r="BX114" s="61">
        <v>903</v>
      </c>
      <c r="BY114" s="61"/>
      <c r="BZ114" s="61"/>
      <c r="CA114" s="61"/>
      <c r="CB114" s="61">
        <v>101</v>
      </c>
      <c r="CC114" s="61">
        <v>332</v>
      </c>
      <c r="CD114" s="61">
        <v>1403</v>
      </c>
      <c r="CE114" s="61">
        <v>360</v>
      </c>
      <c r="CF114" s="61">
        <v>44</v>
      </c>
      <c r="CG114" s="61">
        <v>1940</v>
      </c>
      <c r="CH114" s="61">
        <v>3</v>
      </c>
      <c r="CI114" s="61">
        <v>171</v>
      </c>
      <c r="CJ114" s="61">
        <v>59</v>
      </c>
      <c r="CK114" s="61">
        <v>122</v>
      </c>
      <c r="CL114" s="61">
        <v>301</v>
      </c>
      <c r="CM114" s="61">
        <v>73</v>
      </c>
      <c r="CN114" s="61"/>
      <c r="CO114" s="61">
        <v>21</v>
      </c>
      <c r="CP114" s="61">
        <v>2482</v>
      </c>
      <c r="CQ114" s="61">
        <v>779</v>
      </c>
      <c r="CR114" s="61">
        <v>23</v>
      </c>
      <c r="CS114" s="61">
        <v>76</v>
      </c>
      <c r="CT114" s="61">
        <v>65</v>
      </c>
      <c r="CU114" s="61"/>
      <c r="CV114" s="61">
        <v>3</v>
      </c>
      <c r="CW114" s="61">
        <v>8</v>
      </c>
      <c r="CX114" s="61">
        <v>1041</v>
      </c>
      <c r="CY114" s="61">
        <v>2074</v>
      </c>
      <c r="CZ114" s="61">
        <v>70</v>
      </c>
      <c r="DA114" s="61">
        <v>692</v>
      </c>
      <c r="DB114" s="61">
        <v>305</v>
      </c>
      <c r="DC114" s="61">
        <v>1</v>
      </c>
      <c r="DD114" s="61">
        <v>4183</v>
      </c>
      <c r="DE114" s="61">
        <v>56</v>
      </c>
      <c r="DF114" s="61">
        <v>3669</v>
      </c>
      <c r="DG114" s="61">
        <v>458</v>
      </c>
      <c r="DH114" s="62" t="s">
        <v>2185</v>
      </c>
      <c r="DI114" s="61">
        <v>356</v>
      </c>
      <c r="DJ114" s="61">
        <v>16</v>
      </c>
      <c r="DK114" s="61">
        <v>11</v>
      </c>
      <c r="DL114" s="61"/>
      <c r="DM114" s="61"/>
      <c r="DN114" s="61"/>
    </row>
    <row r="115" spans="1:118" x14ac:dyDescent="0.25">
      <c r="A115" s="61">
        <v>106190687</v>
      </c>
      <c r="B115" s="62" t="s">
        <v>573</v>
      </c>
      <c r="C115" s="62" t="s">
        <v>1761</v>
      </c>
      <c r="D115" s="62" t="s">
        <v>348</v>
      </c>
      <c r="E115" s="62" t="s">
        <v>574</v>
      </c>
      <c r="F115" s="62" t="s">
        <v>2213</v>
      </c>
      <c r="G115" s="62" t="s">
        <v>575</v>
      </c>
      <c r="H115" s="62" t="s">
        <v>576</v>
      </c>
      <c r="I115" s="62" t="s">
        <v>577</v>
      </c>
      <c r="J115" s="62" t="s">
        <v>2184</v>
      </c>
      <c r="K115" s="62"/>
      <c r="L115" s="61">
        <v>33</v>
      </c>
      <c r="M115" s="61">
        <v>50</v>
      </c>
      <c r="N115" s="61">
        <v>26</v>
      </c>
      <c r="O115" s="62" t="s">
        <v>1860</v>
      </c>
      <c r="P115" s="62" t="s">
        <v>68</v>
      </c>
      <c r="Q115" s="62" t="s">
        <v>2167</v>
      </c>
      <c r="R115" s="62" t="s">
        <v>2167</v>
      </c>
      <c r="S115" s="62" t="s">
        <v>69</v>
      </c>
      <c r="T115" s="61">
        <v>18440</v>
      </c>
      <c r="U115" s="61">
        <v>16960</v>
      </c>
      <c r="V115" s="61">
        <v>15</v>
      </c>
      <c r="W115" s="61">
        <v>3845</v>
      </c>
      <c r="X115" s="61">
        <v>3100</v>
      </c>
      <c r="Y115" s="61">
        <v>5967</v>
      </c>
      <c r="Z115" s="61">
        <v>5027</v>
      </c>
      <c r="AA115" s="61">
        <v>4702</v>
      </c>
      <c r="AB115" s="61">
        <v>4628</v>
      </c>
      <c r="AC115" s="61">
        <v>3272</v>
      </c>
      <c r="AD115" s="61">
        <v>2008</v>
      </c>
      <c r="AE115" s="61">
        <v>2166</v>
      </c>
      <c r="AF115" s="61">
        <v>697</v>
      </c>
      <c r="AG115" s="61">
        <v>3</v>
      </c>
      <c r="AH115" s="61">
        <v>1771</v>
      </c>
      <c r="AI115" s="61">
        <v>4047</v>
      </c>
      <c r="AJ115" s="61">
        <v>7984</v>
      </c>
      <c r="AK115" s="61">
        <v>124</v>
      </c>
      <c r="AL115" s="61">
        <v>2737</v>
      </c>
      <c r="AM115" s="61">
        <v>798</v>
      </c>
      <c r="AN115" s="61">
        <v>17954</v>
      </c>
      <c r="AO115" s="61">
        <v>409</v>
      </c>
      <c r="AP115" s="61">
        <v>210</v>
      </c>
      <c r="AQ115" s="61">
        <v>40</v>
      </c>
      <c r="AR115" s="61">
        <v>64</v>
      </c>
      <c r="AS115" s="61">
        <v>11</v>
      </c>
      <c r="AT115" s="61">
        <v>27</v>
      </c>
      <c r="AU115" s="61"/>
      <c r="AV115" s="61">
        <v>234</v>
      </c>
      <c r="AW115" s="61">
        <v>319</v>
      </c>
      <c r="AX115" s="61">
        <v>4</v>
      </c>
      <c r="AY115" s="61">
        <v>33981</v>
      </c>
      <c r="AZ115" s="61">
        <v>102</v>
      </c>
      <c r="BA115" s="61">
        <v>4</v>
      </c>
      <c r="BB115" s="61"/>
      <c r="BC115" s="61"/>
      <c r="BD115" s="61">
        <v>10434</v>
      </c>
      <c r="BE115" s="61">
        <v>4816</v>
      </c>
      <c r="BF115" s="61">
        <v>740</v>
      </c>
      <c r="BG115" s="61">
        <v>15079</v>
      </c>
      <c r="BH115" s="61">
        <v>4346</v>
      </c>
      <c r="BI115" s="61"/>
      <c r="BJ115" s="61">
        <v>35415</v>
      </c>
      <c r="BK115" s="61">
        <v>799</v>
      </c>
      <c r="BL115" s="61">
        <v>32717</v>
      </c>
      <c r="BM115" s="61">
        <v>1899</v>
      </c>
      <c r="BN115" s="61">
        <v>4355</v>
      </c>
      <c r="BO115" s="61">
        <v>4113</v>
      </c>
      <c r="BP115" s="61"/>
      <c r="BQ115" s="61">
        <v>217</v>
      </c>
      <c r="BR115" s="61">
        <v>452</v>
      </c>
      <c r="BS115" s="61">
        <v>487</v>
      </c>
      <c r="BT115" s="61">
        <v>751</v>
      </c>
      <c r="BU115" s="61">
        <v>1045</v>
      </c>
      <c r="BV115" s="61">
        <v>1356</v>
      </c>
      <c r="BW115" s="61">
        <v>1294</v>
      </c>
      <c r="BX115" s="61">
        <v>2472</v>
      </c>
      <c r="BY115" s="61">
        <v>124</v>
      </c>
      <c r="BZ115" s="61">
        <v>269</v>
      </c>
      <c r="CA115" s="61">
        <v>1</v>
      </c>
      <c r="CB115" s="61">
        <v>575</v>
      </c>
      <c r="CC115" s="61">
        <v>983</v>
      </c>
      <c r="CD115" s="61">
        <v>1414</v>
      </c>
      <c r="CE115" s="61">
        <v>527</v>
      </c>
      <c r="CF115" s="61">
        <v>59</v>
      </c>
      <c r="CG115" s="61">
        <v>4885</v>
      </c>
      <c r="CH115" s="61">
        <v>25</v>
      </c>
      <c r="CI115" s="61">
        <v>289</v>
      </c>
      <c r="CJ115" s="61">
        <v>195</v>
      </c>
      <c r="CK115" s="61">
        <v>231</v>
      </c>
      <c r="CL115" s="61">
        <v>1650</v>
      </c>
      <c r="CM115" s="61">
        <v>60</v>
      </c>
      <c r="CN115" s="61"/>
      <c r="CO115" s="61">
        <v>83</v>
      </c>
      <c r="CP115" s="61">
        <v>4332</v>
      </c>
      <c r="CQ115" s="61">
        <v>1325</v>
      </c>
      <c r="CR115" s="61">
        <v>1</v>
      </c>
      <c r="CS115" s="61">
        <v>265</v>
      </c>
      <c r="CT115" s="61">
        <v>37</v>
      </c>
      <c r="CU115" s="61"/>
      <c r="CV115" s="61"/>
      <c r="CW115" s="61"/>
      <c r="CX115" s="61">
        <v>1392</v>
      </c>
      <c r="CY115" s="61">
        <v>4544</v>
      </c>
      <c r="CZ115" s="61">
        <v>45</v>
      </c>
      <c r="DA115" s="61">
        <v>2152</v>
      </c>
      <c r="DB115" s="61">
        <v>335</v>
      </c>
      <c r="DC115" s="61"/>
      <c r="DD115" s="61">
        <v>8468</v>
      </c>
      <c r="DE115" s="61">
        <v>439</v>
      </c>
      <c r="DF115" s="61">
        <v>7488</v>
      </c>
      <c r="DG115" s="61">
        <v>541</v>
      </c>
      <c r="DH115" s="62" t="s">
        <v>2185</v>
      </c>
      <c r="DI115" s="61">
        <v>265</v>
      </c>
      <c r="DJ115" s="61">
        <v>21</v>
      </c>
      <c r="DK115" s="61">
        <v>10</v>
      </c>
      <c r="DL115" s="61"/>
      <c r="DM115" s="61"/>
      <c r="DN115" s="61"/>
    </row>
    <row r="116" spans="1:118" x14ac:dyDescent="0.25">
      <c r="A116" s="61">
        <v>106190696</v>
      </c>
      <c r="B116" s="62" t="s">
        <v>578</v>
      </c>
      <c r="C116" s="62" t="s">
        <v>579</v>
      </c>
      <c r="D116" s="62" t="s">
        <v>348</v>
      </c>
      <c r="E116" s="62" t="s">
        <v>184</v>
      </c>
      <c r="F116" s="62" t="s">
        <v>2213</v>
      </c>
      <c r="G116" s="62" t="s">
        <v>580</v>
      </c>
      <c r="H116" s="62" t="s">
        <v>581</v>
      </c>
      <c r="I116" s="62" t="s">
        <v>582</v>
      </c>
      <c r="J116" s="62" t="s">
        <v>2184</v>
      </c>
      <c r="K116" s="62"/>
      <c r="L116" s="61">
        <v>29</v>
      </c>
      <c r="M116" s="61">
        <v>39</v>
      </c>
      <c r="N116" s="61">
        <v>18</v>
      </c>
      <c r="O116" s="62" t="s">
        <v>1861</v>
      </c>
      <c r="P116" s="62" t="s">
        <v>68</v>
      </c>
      <c r="Q116" s="62" t="s">
        <v>2167</v>
      </c>
      <c r="R116" s="62" t="s">
        <v>2167</v>
      </c>
      <c r="S116" s="62" t="s">
        <v>69</v>
      </c>
      <c r="T116" s="61">
        <v>5969</v>
      </c>
      <c r="U116" s="61">
        <v>6154</v>
      </c>
      <c r="V116" s="61"/>
      <c r="W116" s="61">
        <v>1923</v>
      </c>
      <c r="X116" s="61">
        <v>1781</v>
      </c>
      <c r="Y116" s="61">
        <v>2256</v>
      </c>
      <c r="Z116" s="61">
        <v>1684</v>
      </c>
      <c r="AA116" s="61">
        <v>1596</v>
      </c>
      <c r="AB116" s="61">
        <v>1566</v>
      </c>
      <c r="AC116" s="61">
        <v>576</v>
      </c>
      <c r="AD116" s="61">
        <v>284</v>
      </c>
      <c r="AE116" s="61">
        <v>152</v>
      </c>
      <c r="AF116" s="61">
        <v>305</v>
      </c>
      <c r="AG116" s="61"/>
      <c r="AH116" s="61">
        <v>109</v>
      </c>
      <c r="AI116" s="61">
        <v>738</v>
      </c>
      <c r="AJ116" s="61">
        <v>9009</v>
      </c>
      <c r="AK116" s="61"/>
      <c r="AL116" s="61">
        <v>899</v>
      </c>
      <c r="AM116" s="61">
        <v>5</v>
      </c>
      <c r="AN116" s="61">
        <v>1363</v>
      </c>
      <c r="AO116" s="61">
        <v>123</v>
      </c>
      <c r="AP116" s="61">
        <v>373</v>
      </c>
      <c r="AQ116" s="61">
        <v>23</v>
      </c>
      <c r="AR116" s="61"/>
      <c r="AS116" s="61"/>
      <c r="AT116" s="61">
        <v>1</v>
      </c>
      <c r="AU116" s="61"/>
      <c r="AV116" s="61"/>
      <c r="AW116" s="61">
        <v>5</v>
      </c>
      <c r="AX116" s="61"/>
      <c r="AY116" s="61">
        <v>11419</v>
      </c>
      <c r="AZ116" s="61">
        <v>4</v>
      </c>
      <c r="BA116" s="61">
        <v>175</v>
      </c>
      <c r="BB116" s="61"/>
      <c r="BC116" s="61"/>
      <c r="BD116" s="61">
        <v>8871</v>
      </c>
      <c r="BE116" s="61">
        <v>790</v>
      </c>
      <c r="BF116" s="61">
        <v>262</v>
      </c>
      <c r="BG116" s="61">
        <v>971</v>
      </c>
      <c r="BH116" s="61">
        <v>1229</v>
      </c>
      <c r="BI116" s="61"/>
      <c r="BJ116" s="61">
        <v>12123</v>
      </c>
      <c r="BK116" s="61">
        <v>31</v>
      </c>
      <c r="BL116" s="61">
        <v>8891</v>
      </c>
      <c r="BM116" s="61">
        <v>3201</v>
      </c>
      <c r="BN116" s="61">
        <v>1222</v>
      </c>
      <c r="BO116" s="61">
        <v>1448</v>
      </c>
      <c r="BP116" s="61"/>
      <c r="BQ116" s="61">
        <v>64</v>
      </c>
      <c r="BR116" s="61">
        <v>299</v>
      </c>
      <c r="BS116" s="61">
        <v>387</v>
      </c>
      <c r="BT116" s="61">
        <v>477</v>
      </c>
      <c r="BU116" s="61">
        <v>611</v>
      </c>
      <c r="BV116" s="61">
        <v>348</v>
      </c>
      <c r="BW116" s="61">
        <v>231</v>
      </c>
      <c r="BX116" s="61">
        <v>234</v>
      </c>
      <c r="BY116" s="61">
        <v>7</v>
      </c>
      <c r="BZ116" s="61">
        <v>12</v>
      </c>
      <c r="CA116" s="61"/>
      <c r="CB116" s="61">
        <v>57</v>
      </c>
      <c r="CC116" s="61">
        <v>369</v>
      </c>
      <c r="CD116" s="61">
        <v>1427</v>
      </c>
      <c r="CE116" s="61">
        <v>84</v>
      </c>
      <c r="CF116" s="61"/>
      <c r="CG116" s="61">
        <v>733</v>
      </c>
      <c r="CH116" s="61"/>
      <c r="CI116" s="61">
        <v>13</v>
      </c>
      <c r="CJ116" s="61">
        <v>414</v>
      </c>
      <c r="CK116" s="61">
        <v>29</v>
      </c>
      <c r="CL116" s="61">
        <v>53</v>
      </c>
      <c r="CM116" s="61"/>
      <c r="CN116" s="61"/>
      <c r="CO116" s="61">
        <v>109</v>
      </c>
      <c r="CP116" s="61">
        <v>1957</v>
      </c>
      <c r="CQ116" s="61">
        <v>8</v>
      </c>
      <c r="CR116" s="61">
        <v>1</v>
      </c>
      <c r="CS116" s="61"/>
      <c r="CT116" s="61">
        <v>11</v>
      </c>
      <c r="CU116" s="61">
        <v>75</v>
      </c>
      <c r="CV116" s="61"/>
      <c r="CW116" s="61"/>
      <c r="CX116" s="61">
        <v>1834</v>
      </c>
      <c r="CY116" s="61">
        <v>638</v>
      </c>
      <c r="CZ116" s="61">
        <v>5</v>
      </c>
      <c r="DA116" s="61">
        <v>141</v>
      </c>
      <c r="DB116" s="61">
        <v>52</v>
      </c>
      <c r="DC116" s="61"/>
      <c r="DD116" s="61">
        <v>2670</v>
      </c>
      <c r="DE116" s="61">
        <v>14</v>
      </c>
      <c r="DF116" s="61">
        <v>2004</v>
      </c>
      <c r="DG116" s="61">
        <v>652</v>
      </c>
      <c r="DH116" s="62" t="s">
        <v>2185</v>
      </c>
      <c r="DI116" s="61">
        <v>231</v>
      </c>
      <c r="DJ116" s="61">
        <v>7</v>
      </c>
      <c r="DK116" s="61"/>
      <c r="DL116" s="61"/>
      <c r="DM116" s="61"/>
      <c r="DN116" s="61"/>
    </row>
    <row r="117" spans="1:118" x14ac:dyDescent="0.25">
      <c r="A117" s="61">
        <v>106190708</v>
      </c>
      <c r="B117" s="62" t="s">
        <v>583</v>
      </c>
      <c r="C117" s="62" t="s">
        <v>584</v>
      </c>
      <c r="D117" s="62" t="s">
        <v>348</v>
      </c>
      <c r="E117" s="62" t="s">
        <v>71</v>
      </c>
      <c r="F117" s="62" t="s">
        <v>2213</v>
      </c>
      <c r="G117" s="62" t="s">
        <v>585</v>
      </c>
      <c r="H117" s="62" t="s">
        <v>586</v>
      </c>
      <c r="I117" s="62" t="s">
        <v>587</v>
      </c>
      <c r="J117" s="62" t="s">
        <v>2187</v>
      </c>
      <c r="K117" s="62"/>
      <c r="L117" s="61">
        <v>30</v>
      </c>
      <c r="M117" s="61">
        <v>46</v>
      </c>
      <c r="N117" s="61">
        <v>18</v>
      </c>
      <c r="O117" s="62" t="s">
        <v>1862</v>
      </c>
      <c r="P117" s="62" t="s">
        <v>68</v>
      </c>
      <c r="Q117" s="62" t="s">
        <v>2167</v>
      </c>
      <c r="R117" s="62" t="s">
        <v>2167</v>
      </c>
      <c r="S117" s="62" t="s">
        <v>69</v>
      </c>
      <c r="T117" s="61">
        <v>11475</v>
      </c>
      <c r="U117" s="61">
        <v>10865</v>
      </c>
      <c r="V117" s="61">
        <v>1</v>
      </c>
      <c r="W117" s="61">
        <v>1696</v>
      </c>
      <c r="X117" s="61">
        <v>1762</v>
      </c>
      <c r="Y117" s="61">
        <v>4315</v>
      </c>
      <c r="Z117" s="61">
        <v>4076</v>
      </c>
      <c r="AA117" s="61">
        <v>3217</v>
      </c>
      <c r="AB117" s="61">
        <v>3234</v>
      </c>
      <c r="AC117" s="61">
        <v>1903</v>
      </c>
      <c r="AD117" s="61">
        <v>928</v>
      </c>
      <c r="AE117" s="61">
        <v>1005</v>
      </c>
      <c r="AF117" s="61">
        <v>205</v>
      </c>
      <c r="AG117" s="61"/>
      <c r="AH117" s="61">
        <v>421</v>
      </c>
      <c r="AI117" s="61">
        <v>2721</v>
      </c>
      <c r="AJ117" s="61">
        <v>4528</v>
      </c>
      <c r="AK117" s="61">
        <v>12</v>
      </c>
      <c r="AL117" s="61">
        <v>3151</v>
      </c>
      <c r="AM117" s="61">
        <v>130</v>
      </c>
      <c r="AN117" s="61">
        <v>11378</v>
      </c>
      <c r="AO117" s="61">
        <v>332</v>
      </c>
      <c r="AP117" s="61">
        <v>1564</v>
      </c>
      <c r="AQ117" s="61">
        <v>27</v>
      </c>
      <c r="AR117" s="61"/>
      <c r="AS117" s="61"/>
      <c r="AT117" s="61"/>
      <c r="AU117" s="61"/>
      <c r="AV117" s="61">
        <v>432</v>
      </c>
      <c r="AW117" s="61">
        <v>420</v>
      </c>
      <c r="AX117" s="61">
        <v>43</v>
      </c>
      <c r="AY117" s="61">
        <v>19390</v>
      </c>
      <c r="AZ117" s="61">
        <v>115</v>
      </c>
      <c r="BA117" s="61"/>
      <c r="BB117" s="61"/>
      <c r="BC117" s="61"/>
      <c r="BD117" s="61">
        <v>10445</v>
      </c>
      <c r="BE117" s="61">
        <v>3720</v>
      </c>
      <c r="BF117" s="61">
        <v>375</v>
      </c>
      <c r="BG117" s="61">
        <v>4426</v>
      </c>
      <c r="BH117" s="61">
        <v>3375</v>
      </c>
      <c r="BI117" s="61"/>
      <c r="BJ117" s="61">
        <v>22341</v>
      </c>
      <c r="BK117" s="61">
        <v>384</v>
      </c>
      <c r="BL117" s="61">
        <v>20803</v>
      </c>
      <c r="BM117" s="61">
        <v>1154</v>
      </c>
      <c r="BN117" s="61">
        <v>2823</v>
      </c>
      <c r="BO117" s="61">
        <v>2788</v>
      </c>
      <c r="BP117" s="61"/>
      <c r="BQ117" s="61">
        <v>17</v>
      </c>
      <c r="BR117" s="61">
        <v>201</v>
      </c>
      <c r="BS117" s="61">
        <v>277</v>
      </c>
      <c r="BT117" s="61">
        <v>460</v>
      </c>
      <c r="BU117" s="61">
        <v>911</v>
      </c>
      <c r="BV117" s="61">
        <v>1214</v>
      </c>
      <c r="BW117" s="61">
        <v>1033</v>
      </c>
      <c r="BX117" s="61">
        <v>1498</v>
      </c>
      <c r="BY117" s="61"/>
      <c r="BZ117" s="61"/>
      <c r="CA117" s="61"/>
      <c r="CB117" s="61">
        <v>179</v>
      </c>
      <c r="CC117" s="61">
        <v>544</v>
      </c>
      <c r="CD117" s="61">
        <v>783</v>
      </c>
      <c r="CE117" s="61">
        <v>745</v>
      </c>
      <c r="CF117" s="61">
        <v>81</v>
      </c>
      <c r="CG117" s="61">
        <v>3277</v>
      </c>
      <c r="CH117" s="61">
        <v>2</v>
      </c>
      <c r="CI117" s="61">
        <v>276</v>
      </c>
      <c r="CJ117" s="61">
        <v>259</v>
      </c>
      <c r="CK117" s="61">
        <v>188</v>
      </c>
      <c r="CL117" s="61">
        <v>290</v>
      </c>
      <c r="CM117" s="61">
        <v>17</v>
      </c>
      <c r="CN117" s="61"/>
      <c r="CO117" s="61">
        <v>235</v>
      </c>
      <c r="CP117" s="61">
        <v>2518</v>
      </c>
      <c r="CQ117" s="61">
        <v>1630</v>
      </c>
      <c r="CR117" s="61">
        <v>15</v>
      </c>
      <c r="CS117" s="61">
        <v>55</v>
      </c>
      <c r="CT117" s="61">
        <v>111</v>
      </c>
      <c r="CU117" s="61"/>
      <c r="CV117" s="61"/>
      <c r="CW117" s="61">
        <v>13</v>
      </c>
      <c r="CX117" s="61">
        <v>1500</v>
      </c>
      <c r="CY117" s="61">
        <v>3403</v>
      </c>
      <c r="CZ117" s="61">
        <v>21</v>
      </c>
      <c r="DA117" s="61">
        <v>592</v>
      </c>
      <c r="DB117" s="61">
        <v>95</v>
      </c>
      <c r="DC117" s="61"/>
      <c r="DD117" s="61">
        <v>5611</v>
      </c>
      <c r="DE117" s="61">
        <v>263</v>
      </c>
      <c r="DF117" s="61">
        <v>5024</v>
      </c>
      <c r="DG117" s="61">
        <v>324</v>
      </c>
      <c r="DH117" s="62" t="s">
        <v>2185</v>
      </c>
      <c r="DI117" s="61">
        <v>153</v>
      </c>
      <c r="DJ117" s="61">
        <v>12</v>
      </c>
      <c r="DK117" s="61"/>
      <c r="DL117" s="61">
        <v>18</v>
      </c>
      <c r="DM117" s="61"/>
      <c r="DN117" s="61">
        <v>4</v>
      </c>
    </row>
    <row r="118" spans="1:118" x14ac:dyDescent="0.25">
      <c r="A118" s="61">
        <v>106190754</v>
      </c>
      <c r="B118" s="62" t="s">
        <v>588</v>
      </c>
      <c r="C118" s="62" t="s">
        <v>589</v>
      </c>
      <c r="D118" s="62" t="s">
        <v>348</v>
      </c>
      <c r="E118" s="62" t="s">
        <v>71</v>
      </c>
      <c r="F118" s="62" t="s">
        <v>2213</v>
      </c>
      <c r="G118" s="62" t="s">
        <v>590</v>
      </c>
      <c r="H118" s="62" t="s">
        <v>591</v>
      </c>
      <c r="I118" s="62" t="s">
        <v>592</v>
      </c>
      <c r="J118" s="62" t="s">
        <v>2186</v>
      </c>
      <c r="K118" s="62" t="s">
        <v>82</v>
      </c>
      <c r="L118" s="61">
        <v>44</v>
      </c>
      <c r="M118" s="61">
        <v>63</v>
      </c>
      <c r="N118" s="61">
        <v>33</v>
      </c>
      <c r="O118" s="62" t="s">
        <v>1863</v>
      </c>
      <c r="P118" s="62" t="s">
        <v>68</v>
      </c>
      <c r="Q118" s="62" t="s">
        <v>2167</v>
      </c>
      <c r="R118" s="62" t="s">
        <v>2167</v>
      </c>
      <c r="S118" s="62" t="s">
        <v>69</v>
      </c>
      <c r="T118" s="61">
        <v>38546</v>
      </c>
      <c r="U118" s="61">
        <v>31083</v>
      </c>
      <c r="V118" s="61">
        <v>4</v>
      </c>
      <c r="W118" s="61">
        <v>11579</v>
      </c>
      <c r="X118" s="61">
        <v>8204</v>
      </c>
      <c r="Y118" s="61">
        <v>14314</v>
      </c>
      <c r="Z118" s="61">
        <v>9670</v>
      </c>
      <c r="AA118" s="61">
        <v>7495</v>
      </c>
      <c r="AB118" s="61">
        <v>7116</v>
      </c>
      <c r="AC118" s="61">
        <v>4485</v>
      </c>
      <c r="AD118" s="61">
        <v>2210</v>
      </c>
      <c r="AE118" s="61">
        <v>1605</v>
      </c>
      <c r="AF118" s="61">
        <v>2955</v>
      </c>
      <c r="AG118" s="61"/>
      <c r="AH118" s="61">
        <v>343</v>
      </c>
      <c r="AI118" s="61">
        <v>16663</v>
      </c>
      <c r="AJ118" s="61">
        <v>47103</v>
      </c>
      <c r="AK118" s="61">
        <v>12</v>
      </c>
      <c r="AL118" s="61">
        <v>3166</v>
      </c>
      <c r="AM118" s="61">
        <v>765</v>
      </c>
      <c r="AN118" s="61">
        <v>1581</v>
      </c>
      <c r="AO118" s="61">
        <v>1122</v>
      </c>
      <c r="AP118" s="61">
        <v>10333</v>
      </c>
      <c r="AQ118" s="61">
        <v>138</v>
      </c>
      <c r="AR118" s="61">
        <v>111</v>
      </c>
      <c r="AS118" s="61">
        <v>19</v>
      </c>
      <c r="AT118" s="61"/>
      <c r="AU118" s="61"/>
      <c r="AV118" s="61"/>
      <c r="AW118" s="61">
        <v>12</v>
      </c>
      <c r="AX118" s="61">
        <v>23</v>
      </c>
      <c r="AY118" s="61">
        <v>57449</v>
      </c>
      <c r="AZ118" s="61">
        <v>337</v>
      </c>
      <c r="BA118" s="61">
        <v>27</v>
      </c>
      <c r="BB118" s="61"/>
      <c r="BC118" s="61"/>
      <c r="BD118" s="61">
        <v>18781</v>
      </c>
      <c r="BE118" s="61">
        <v>3280</v>
      </c>
      <c r="BF118" s="61">
        <v>309</v>
      </c>
      <c r="BG118" s="61">
        <v>27552</v>
      </c>
      <c r="BH118" s="61">
        <v>19711</v>
      </c>
      <c r="BI118" s="61"/>
      <c r="BJ118" s="61">
        <v>69633</v>
      </c>
      <c r="BK118" s="61">
        <v>296</v>
      </c>
      <c r="BL118" s="61">
        <v>49565</v>
      </c>
      <c r="BM118" s="61">
        <v>19772</v>
      </c>
      <c r="BN118" s="61">
        <v>5162</v>
      </c>
      <c r="BO118" s="61">
        <v>5782</v>
      </c>
      <c r="BP118" s="61"/>
      <c r="BQ118" s="61">
        <v>380</v>
      </c>
      <c r="BR118" s="61">
        <v>1362</v>
      </c>
      <c r="BS118" s="61">
        <v>1350</v>
      </c>
      <c r="BT118" s="61">
        <v>1420</v>
      </c>
      <c r="BU118" s="61">
        <v>2108</v>
      </c>
      <c r="BV118" s="61">
        <v>1706</v>
      </c>
      <c r="BW118" s="61">
        <v>1176</v>
      </c>
      <c r="BX118" s="61">
        <v>1105</v>
      </c>
      <c r="BY118" s="61">
        <v>152</v>
      </c>
      <c r="BZ118" s="61">
        <v>185</v>
      </c>
      <c r="CA118" s="61"/>
      <c r="CB118" s="61">
        <v>70</v>
      </c>
      <c r="CC118" s="61">
        <v>3203</v>
      </c>
      <c r="CD118" s="61">
        <v>6605</v>
      </c>
      <c r="CE118" s="61">
        <v>382</v>
      </c>
      <c r="CF118" s="61">
        <v>100</v>
      </c>
      <c r="CG118" s="61">
        <v>584</v>
      </c>
      <c r="CH118" s="61"/>
      <c r="CI118" s="61">
        <v>412</v>
      </c>
      <c r="CJ118" s="61">
        <v>384</v>
      </c>
      <c r="CK118" s="61">
        <v>310</v>
      </c>
      <c r="CL118" s="61">
        <v>590</v>
      </c>
      <c r="CM118" s="61">
        <v>61</v>
      </c>
      <c r="CN118" s="61"/>
      <c r="CO118" s="61">
        <v>108</v>
      </c>
      <c r="CP118" s="61">
        <v>7847</v>
      </c>
      <c r="CQ118" s="61">
        <v>1071</v>
      </c>
      <c r="CR118" s="61"/>
      <c r="CS118" s="61">
        <v>101</v>
      </c>
      <c r="CT118" s="61">
        <v>44</v>
      </c>
      <c r="CU118" s="61">
        <v>7</v>
      </c>
      <c r="CV118" s="61"/>
      <c r="CW118" s="61"/>
      <c r="CX118" s="61">
        <v>4838</v>
      </c>
      <c r="CY118" s="61">
        <v>3072</v>
      </c>
      <c r="CZ118" s="61">
        <v>14</v>
      </c>
      <c r="DA118" s="61">
        <v>2333</v>
      </c>
      <c r="DB118" s="61">
        <v>626</v>
      </c>
      <c r="DC118" s="61">
        <v>61</v>
      </c>
      <c r="DD118" s="61">
        <v>10944</v>
      </c>
      <c r="DE118" s="61">
        <v>42</v>
      </c>
      <c r="DF118" s="61">
        <v>7104</v>
      </c>
      <c r="DG118" s="61">
        <v>3798</v>
      </c>
      <c r="DH118" s="62" t="s">
        <v>2185</v>
      </c>
      <c r="DI118" s="61">
        <v>384</v>
      </c>
      <c r="DJ118" s="61">
        <v>46</v>
      </c>
      <c r="DK118" s="61"/>
      <c r="DL118" s="61">
        <v>62</v>
      </c>
      <c r="DM118" s="61">
        <v>9</v>
      </c>
      <c r="DN118" s="61"/>
    </row>
    <row r="119" spans="1:118" x14ac:dyDescent="0.25">
      <c r="A119" s="61">
        <v>106190756</v>
      </c>
      <c r="B119" s="62" t="s">
        <v>593</v>
      </c>
      <c r="C119" s="62" t="s">
        <v>2049</v>
      </c>
      <c r="D119" s="62" t="s">
        <v>348</v>
      </c>
      <c r="E119" s="62" t="s">
        <v>71</v>
      </c>
      <c r="F119" s="62" t="s">
        <v>2213</v>
      </c>
      <c r="G119" s="62" t="s">
        <v>1762</v>
      </c>
      <c r="H119" s="62" t="s">
        <v>576</v>
      </c>
      <c r="I119" s="62" t="s">
        <v>577</v>
      </c>
      <c r="J119" s="62" t="s">
        <v>2184</v>
      </c>
      <c r="K119" s="62"/>
      <c r="L119" s="61">
        <v>33</v>
      </c>
      <c r="M119" s="61">
        <v>50</v>
      </c>
      <c r="N119" s="61">
        <v>26</v>
      </c>
      <c r="O119" s="62" t="s">
        <v>1860</v>
      </c>
      <c r="P119" s="62" t="s">
        <v>68</v>
      </c>
      <c r="Q119" s="62" t="s">
        <v>2167</v>
      </c>
      <c r="R119" s="62" t="s">
        <v>2167</v>
      </c>
      <c r="S119" s="62" t="s">
        <v>69</v>
      </c>
      <c r="T119" s="61">
        <v>11708</v>
      </c>
      <c r="U119" s="61">
        <v>10788</v>
      </c>
      <c r="V119" s="61">
        <v>4</v>
      </c>
      <c r="W119" s="61">
        <v>1015</v>
      </c>
      <c r="X119" s="61">
        <v>1268</v>
      </c>
      <c r="Y119" s="61">
        <v>3528</v>
      </c>
      <c r="Z119" s="61">
        <v>3391</v>
      </c>
      <c r="AA119" s="61">
        <v>3020</v>
      </c>
      <c r="AB119" s="61">
        <v>3124</v>
      </c>
      <c r="AC119" s="61">
        <v>2611</v>
      </c>
      <c r="AD119" s="61">
        <v>1927</v>
      </c>
      <c r="AE119" s="61">
        <v>2415</v>
      </c>
      <c r="AF119" s="61">
        <v>201</v>
      </c>
      <c r="AG119" s="61"/>
      <c r="AH119" s="61">
        <v>813</v>
      </c>
      <c r="AI119" s="61">
        <v>2022</v>
      </c>
      <c r="AJ119" s="61">
        <v>2821</v>
      </c>
      <c r="AK119" s="61">
        <v>45</v>
      </c>
      <c r="AL119" s="61">
        <v>2477</v>
      </c>
      <c r="AM119" s="61">
        <v>427</v>
      </c>
      <c r="AN119" s="61">
        <v>13895</v>
      </c>
      <c r="AO119" s="61">
        <v>180</v>
      </c>
      <c r="AP119" s="61">
        <v>221</v>
      </c>
      <c r="AQ119" s="61">
        <v>31</v>
      </c>
      <c r="AR119" s="61">
        <v>41</v>
      </c>
      <c r="AS119" s="61">
        <v>7</v>
      </c>
      <c r="AT119" s="61">
        <v>34</v>
      </c>
      <c r="AU119" s="61"/>
      <c r="AV119" s="61">
        <v>33</v>
      </c>
      <c r="AW119" s="61">
        <v>303</v>
      </c>
      <c r="AX119" s="61">
        <v>7</v>
      </c>
      <c r="AY119" s="61">
        <v>21296</v>
      </c>
      <c r="AZ119" s="61">
        <v>205</v>
      </c>
      <c r="BA119" s="61">
        <v>9</v>
      </c>
      <c r="BB119" s="61">
        <v>4</v>
      </c>
      <c r="BC119" s="61">
        <v>117</v>
      </c>
      <c r="BD119" s="61">
        <v>4717</v>
      </c>
      <c r="BE119" s="61">
        <v>5900</v>
      </c>
      <c r="BF119" s="61">
        <v>498</v>
      </c>
      <c r="BG119" s="61">
        <v>8553</v>
      </c>
      <c r="BH119" s="61">
        <v>2830</v>
      </c>
      <c r="BI119" s="61">
        <v>2</v>
      </c>
      <c r="BJ119" s="61">
        <v>22500</v>
      </c>
      <c r="BK119" s="61">
        <v>640</v>
      </c>
      <c r="BL119" s="61">
        <v>21313</v>
      </c>
      <c r="BM119" s="61">
        <v>547</v>
      </c>
      <c r="BN119" s="61">
        <v>3229</v>
      </c>
      <c r="BO119" s="61">
        <v>2936</v>
      </c>
      <c r="BP119" s="61"/>
      <c r="BQ119" s="61">
        <v>36</v>
      </c>
      <c r="BR119" s="61">
        <v>212</v>
      </c>
      <c r="BS119" s="61">
        <v>308</v>
      </c>
      <c r="BT119" s="61">
        <v>383</v>
      </c>
      <c r="BU119" s="61">
        <v>678</v>
      </c>
      <c r="BV119" s="61">
        <v>946</v>
      </c>
      <c r="BW119" s="61">
        <v>1311</v>
      </c>
      <c r="BX119" s="61">
        <v>2291</v>
      </c>
      <c r="BY119" s="61"/>
      <c r="BZ119" s="61"/>
      <c r="CA119" s="61"/>
      <c r="CB119" s="61">
        <v>265</v>
      </c>
      <c r="CC119" s="61">
        <v>355</v>
      </c>
      <c r="CD119" s="61">
        <v>479</v>
      </c>
      <c r="CE119" s="61">
        <v>553</v>
      </c>
      <c r="CF119" s="61">
        <v>37</v>
      </c>
      <c r="CG119" s="61">
        <v>4474</v>
      </c>
      <c r="CH119" s="61">
        <v>2</v>
      </c>
      <c r="CI119" s="61">
        <v>111</v>
      </c>
      <c r="CJ119" s="61">
        <v>100</v>
      </c>
      <c r="CK119" s="61">
        <v>243</v>
      </c>
      <c r="CL119" s="61">
        <v>841</v>
      </c>
      <c r="CM119" s="61">
        <v>53</v>
      </c>
      <c r="CN119" s="61"/>
      <c r="CO119" s="61">
        <v>12</v>
      </c>
      <c r="CP119" s="61">
        <v>3506</v>
      </c>
      <c r="CQ119" s="61">
        <v>1163</v>
      </c>
      <c r="CR119" s="61"/>
      <c r="CS119" s="61">
        <v>104</v>
      </c>
      <c r="CT119" s="61">
        <v>26</v>
      </c>
      <c r="CU119" s="61"/>
      <c r="CV119" s="61"/>
      <c r="CW119" s="61">
        <v>6</v>
      </c>
      <c r="CX119" s="61">
        <v>444</v>
      </c>
      <c r="CY119" s="61">
        <v>4114</v>
      </c>
      <c r="CZ119" s="61">
        <v>30</v>
      </c>
      <c r="DA119" s="61">
        <v>1428</v>
      </c>
      <c r="DB119" s="61">
        <v>149</v>
      </c>
      <c r="DC119" s="61"/>
      <c r="DD119" s="61">
        <v>6165</v>
      </c>
      <c r="DE119" s="61">
        <v>340</v>
      </c>
      <c r="DF119" s="61">
        <v>5633</v>
      </c>
      <c r="DG119" s="61">
        <v>192</v>
      </c>
      <c r="DH119" s="62" t="s">
        <v>2185</v>
      </c>
      <c r="DI119" s="61">
        <v>266</v>
      </c>
      <c r="DJ119" s="61">
        <v>27</v>
      </c>
      <c r="DK119" s="61">
        <v>12</v>
      </c>
      <c r="DL119" s="61"/>
      <c r="DM119" s="61"/>
      <c r="DN119" s="61"/>
    </row>
    <row r="120" spans="1:118" x14ac:dyDescent="0.25">
      <c r="A120" s="61">
        <v>106190758</v>
      </c>
      <c r="B120" s="62" t="s">
        <v>594</v>
      </c>
      <c r="C120" s="62" t="s">
        <v>595</v>
      </c>
      <c r="D120" s="62" t="s">
        <v>348</v>
      </c>
      <c r="E120" s="62" t="s">
        <v>71</v>
      </c>
      <c r="F120" s="62" t="s">
        <v>2213</v>
      </c>
      <c r="G120" s="62" t="s">
        <v>596</v>
      </c>
      <c r="H120" s="62" t="s">
        <v>597</v>
      </c>
      <c r="I120" s="62" t="s">
        <v>2050</v>
      </c>
      <c r="J120" s="62" t="s">
        <v>2186</v>
      </c>
      <c r="K120" s="62"/>
      <c r="L120" s="61">
        <v>30</v>
      </c>
      <c r="M120" s="61">
        <v>43</v>
      </c>
      <c r="N120" s="61">
        <v>25</v>
      </c>
      <c r="O120" s="62" t="s">
        <v>1864</v>
      </c>
      <c r="P120" s="62" t="s">
        <v>68</v>
      </c>
      <c r="Q120" s="62" t="s">
        <v>2167</v>
      </c>
      <c r="R120" s="62" t="s">
        <v>2167</v>
      </c>
      <c r="S120" s="62" t="s">
        <v>69</v>
      </c>
      <c r="T120" s="61">
        <v>29625</v>
      </c>
      <c r="U120" s="61">
        <v>23925</v>
      </c>
      <c r="V120" s="61">
        <v>8</v>
      </c>
      <c r="W120" s="61">
        <v>6308</v>
      </c>
      <c r="X120" s="61">
        <v>4704</v>
      </c>
      <c r="Y120" s="61">
        <v>9719</v>
      </c>
      <c r="Z120" s="61">
        <v>7777</v>
      </c>
      <c r="AA120" s="61">
        <v>6542</v>
      </c>
      <c r="AB120" s="61">
        <v>6560</v>
      </c>
      <c r="AC120" s="61">
        <v>4660</v>
      </c>
      <c r="AD120" s="61">
        <v>3002</v>
      </c>
      <c r="AE120" s="61">
        <v>3101</v>
      </c>
      <c r="AF120" s="61">
        <v>1185</v>
      </c>
      <c r="AG120" s="61"/>
      <c r="AH120" s="61">
        <v>1374</v>
      </c>
      <c r="AI120" s="61">
        <v>2915</v>
      </c>
      <c r="AJ120" s="61">
        <v>18287</v>
      </c>
      <c r="AK120" s="61">
        <v>13</v>
      </c>
      <c r="AL120" s="61">
        <v>2101</v>
      </c>
      <c r="AM120" s="61">
        <v>125</v>
      </c>
      <c r="AN120" s="61">
        <v>28743</v>
      </c>
      <c r="AO120" s="61">
        <v>595</v>
      </c>
      <c r="AP120" s="61">
        <v>370</v>
      </c>
      <c r="AQ120" s="61">
        <v>76</v>
      </c>
      <c r="AR120" s="61">
        <v>33</v>
      </c>
      <c r="AS120" s="61">
        <v>14</v>
      </c>
      <c r="AT120" s="61">
        <v>25</v>
      </c>
      <c r="AU120" s="61"/>
      <c r="AV120" s="61">
        <v>625</v>
      </c>
      <c r="AW120" s="61">
        <v>285</v>
      </c>
      <c r="AX120" s="61">
        <v>33</v>
      </c>
      <c r="AY120" s="61">
        <v>50863</v>
      </c>
      <c r="AZ120" s="61">
        <v>234</v>
      </c>
      <c r="BA120" s="61">
        <v>27</v>
      </c>
      <c r="BB120" s="61">
        <v>11</v>
      </c>
      <c r="BC120" s="61">
        <v>343</v>
      </c>
      <c r="BD120" s="61">
        <v>21781</v>
      </c>
      <c r="BE120" s="61">
        <v>8628</v>
      </c>
      <c r="BF120" s="61">
        <v>1210</v>
      </c>
      <c r="BG120" s="61">
        <v>16414</v>
      </c>
      <c r="BH120" s="61">
        <v>5525</v>
      </c>
      <c r="BI120" s="61"/>
      <c r="BJ120" s="61">
        <v>53558</v>
      </c>
      <c r="BK120" s="61">
        <v>3935</v>
      </c>
      <c r="BL120" s="61">
        <v>43203</v>
      </c>
      <c r="BM120" s="61">
        <v>6420</v>
      </c>
      <c r="BN120" s="61">
        <v>5402</v>
      </c>
      <c r="BO120" s="61">
        <v>5073</v>
      </c>
      <c r="BP120" s="61"/>
      <c r="BQ120" s="61">
        <v>62</v>
      </c>
      <c r="BR120" s="61">
        <v>533</v>
      </c>
      <c r="BS120" s="61">
        <v>707</v>
      </c>
      <c r="BT120" s="61">
        <v>1033</v>
      </c>
      <c r="BU120" s="61">
        <v>1561</v>
      </c>
      <c r="BV120" s="61">
        <v>1838</v>
      </c>
      <c r="BW120" s="61">
        <v>1874</v>
      </c>
      <c r="BX120" s="61">
        <v>2797</v>
      </c>
      <c r="BY120" s="61">
        <v>70</v>
      </c>
      <c r="BZ120" s="61"/>
      <c r="CA120" s="61"/>
      <c r="CB120" s="61">
        <v>346</v>
      </c>
      <c r="CC120" s="61">
        <v>451</v>
      </c>
      <c r="CD120" s="61">
        <v>2006</v>
      </c>
      <c r="CE120" s="61">
        <v>450</v>
      </c>
      <c r="CF120" s="61">
        <v>19</v>
      </c>
      <c r="CG120" s="61">
        <v>7196</v>
      </c>
      <c r="CH120" s="61">
        <v>7</v>
      </c>
      <c r="CI120" s="61">
        <v>171</v>
      </c>
      <c r="CJ120" s="61">
        <v>152</v>
      </c>
      <c r="CK120" s="61">
        <v>363</v>
      </c>
      <c r="CL120" s="61">
        <v>1033</v>
      </c>
      <c r="CM120" s="61">
        <v>169</v>
      </c>
      <c r="CN120" s="61"/>
      <c r="CO120" s="61">
        <v>32</v>
      </c>
      <c r="CP120" s="61">
        <v>6524</v>
      </c>
      <c r="CQ120" s="61">
        <v>1708</v>
      </c>
      <c r="CR120" s="61">
        <v>1</v>
      </c>
      <c r="CS120" s="61">
        <v>271</v>
      </c>
      <c r="CT120" s="61">
        <v>27</v>
      </c>
      <c r="CU120" s="61">
        <v>2</v>
      </c>
      <c r="CV120" s="61">
        <v>2</v>
      </c>
      <c r="CW120" s="61">
        <v>20</v>
      </c>
      <c r="CX120" s="61">
        <v>2173</v>
      </c>
      <c r="CY120" s="61">
        <v>5629</v>
      </c>
      <c r="CZ120" s="61">
        <v>67</v>
      </c>
      <c r="DA120" s="61">
        <v>2320</v>
      </c>
      <c r="DB120" s="61">
        <v>286</v>
      </c>
      <c r="DC120" s="61"/>
      <c r="DD120" s="61">
        <v>10475</v>
      </c>
      <c r="DE120" s="61">
        <v>1483</v>
      </c>
      <c r="DF120" s="61">
        <v>7933</v>
      </c>
      <c r="DG120" s="61">
        <v>1059</v>
      </c>
      <c r="DH120" s="62" t="s">
        <v>2185</v>
      </c>
      <c r="DI120" s="61">
        <v>446</v>
      </c>
      <c r="DJ120" s="61">
        <v>38</v>
      </c>
      <c r="DK120" s="61">
        <v>24</v>
      </c>
      <c r="DL120" s="61"/>
      <c r="DM120" s="61"/>
      <c r="DN120" s="61"/>
    </row>
    <row r="121" spans="1:118" x14ac:dyDescent="0.25">
      <c r="A121" s="61">
        <v>106190762</v>
      </c>
      <c r="B121" s="62" t="s">
        <v>598</v>
      </c>
      <c r="C121" s="62" t="s">
        <v>599</v>
      </c>
      <c r="D121" s="62" t="s">
        <v>348</v>
      </c>
      <c r="E121" s="62" t="s">
        <v>71</v>
      </c>
      <c r="F121" s="62" t="s">
        <v>2213</v>
      </c>
      <c r="G121" s="62" t="s">
        <v>600</v>
      </c>
      <c r="H121" s="62" t="s">
        <v>348</v>
      </c>
      <c r="I121" s="62" t="s">
        <v>601</v>
      </c>
      <c r="J121" s="62" t="s">
        <v>2186</v>
      </c>
      <c r="K121" s="62"/>
      <c r="L121" s="61">
        <v>34</v>
      </c>
      <c r="M121" s="61">
        <v>51</v>
      </c>
      <c r="N121" s="61">
        <v>24</v>
      </c>
      <c r="O121" s="62" t="s">
        <v>1832</v>
      </c>
      <c r="P121" s="62" t="s">
        <v>68</v>
      </c>
      <c r="Q121" s="62" t="s">
        <v>2167</v>
      </c>
      <c r="R121" s="62" t="s">
        <v>2167</v>
      </c>
      <c r="S121" s="62" t="s">
        <v>127</v>
      </c>
      <c r="T121" s="61">
        <v>10139</v>
      </c>
      <c r="U121" s="61">
        <v>9163</v>
      </c>
      <c r="V121" s="61"/>
      <c r="W121" s="61">
        <v>565</v>
      </c>
      <c r="X121" s="61">
        <v>959</v>
      </c>
      <c r="Y121" s="61">
        <v>3541</v>
      </c>
      <c r="Z121" s="61">
        <v>2898</v>
      </c>
      <c r="AA121" s="61">
        <v>2722</v>
      </c>
      <c r="AB121" s="61">
        <v>3023</v>
      </c>
      <c r="AC121" s="61">
        <v>2349</v>
      </c>
      <c r="AD121" s="61">
        <v>1741</v>
      </c>
      <c r="AE121" s="61">
        <v>1447</v>
      </c>
      <c r="AF121" s="61">
        <v>57</v>
      </c>
      <c r="AG121" s="61"/>
      <c r="AH121" s="61">
        <v>2987</v>
      </c>
      <c r="AI121" s="61">
        <v>3293</v>
      </c>
      <c r="AJ121" s="61">
        <v>9475</v>
      </c>
      <c r="AK121" s="61">
        <v>38</v>
      </c>
      <c r="AL121" s="61">
        <v>138</v>
      </c>
      <c r="AM121" s="61">
        <v>251</v>
      </c>
      <c r="AN121" s="61">
        <v>3120</v>
      </c>
      <c r="AO121" s="61">
        <v>267</v>
      </c>
      <c r="AP121" s="61">
        <v>596</v>
      </c>
      <c r="AQ121" s="61">
        <v>14</v>
      </c>
      <c r="AR121" s="61">
        <v>8</v>
      </c>
      <c r="AS121" s="61"/>
      <c r="AT121" s="61"/>
      <c r="AU121" s="61"/>
      <c r="AV121" s="61"/>
      <c r="AW121" s="61"/>
      <c r="AX121" s="61"/>
      <c r="AY121" s="61">
        <v>18239</v>
      </c>
      <c r="AZ121" s="61">
        <v>33</v>
      </c>
      <c r="BA121" s="61">
        <v>144</v>
      </c>
      <c r="BB121" s="61"/>
      <c r="BC121" s="61"/>
      <c r="BD121" s="61">
        <v>12420</v>
      </c>
      <c r="BE121" s="61">
        <v>1645</v>
      </c>
      <c r="BF121" s="61">
        <v>302</v>
      </c>
      <c r="BG121" s="61">
        <v>2420</v>
      </c>
      <c r="BH121" s="61">
        <v>2515</v>
      </c>
      <c r="BI121" s="61"/>
      <c r="BJ121" s="61">
        <v>19302</v>
      </c>
      <c r="BK121" s="61">
        <v>1289</v>
      </c>
      <c r="BL121" s="61">
        <v>14188</v>
      </c>
      <c r="BM121" s="61">
        <v>3825</v>
      </c>
      <c r="BN121" s="61">
        <v>2975</v>
      </c>
      <c r="BO121" s="61">
        <v>2767</v>
      </c>
      <c r="BP121" s="61"/>
      <c r="BQ121" s="61">
        <v>17</v>
      </c>
      <c r="BR121" s="61">
        <v>177</v>
      </c>
      <c r="BS121" s="61">
        <v>279</v>
      </c>
      <c r="BT121" s="61">
        <v>433</v>
      </c>
      <c r="BU121" s="61">
        <v>775</v>
      </c>
      <c r="BV121" s="61">
        <v>1088</v>
      </c>
      <c r="BW121" s="61">
        <v>1242</v>
      </c>
      <c r="BX121" s="61">
        <v>1731</v>
      </c>
      <c r="BY121" s="61"/>
      <c r="BZ121" s="61"/>
      <c r="CA121" s="61"/>
      <c r="CB121" s="61">
        <v>2110</v>
      </c>
      <c r="CC121" s="61">
        <v>662</v>
      </c>
      <c r="CD121" s="61">
        <v>2166</v>
      </c>
      <c r="CE121" s="61">
        <v>54</v>
      </c>
      <c r="CF121" s="61">
        <v>17</v>
      </c>
      <c r="CG121" s="61">
        <v>730</v>
      </c>
      <c r="CH121" s="61">
        <v>3</v>
      </c>
      <c r="CI121" s="61">
        <v>56</v>
      </c>
      <c r="CJ121" s="61">
        <v>183</v>
      </c>
      <c r="CK121" s="61">
        <v>180</v>
      </c>
      <c r="CL121" s="61">
        <v>242</v>
      </c>
      <c r="CM121" s="61">
        <v>149</v>
      </c>
      <c r="CN121" s="61"/>
      <c r="CO121" s="61">
        <v>41</v>
      </c>
      <c r="CP121" s="61">
        <v>3748</v>
      </c>
      <c r="CQ121" s="61">
        <v>1069</v>
      </c>
      <c r="CR121" s="61"/>
      <c r="CS121" s="61">
        <v>71</v>
      </c>
      <c r="CT121" s="61"/>
      <c r="CU121" s="61"/>
      <c r="CV121" s="61"/>
      <c r="CW121" s="61"/>
      <c r="CX121" s="61">
        <v>678</v>
      </c>
      <c r="CY121" s="61">
        <v>2594</v>
      </c>
      <c r="CZ121" s="61">
        <v>142</v>
      </c>
      <c r="DA121" s="61">
        <v>2328</v>
      </c>
      <c r="DB121" s="61"/>
      <c r="DC121" s="61"/>
      <c r="DD121" s="61">
        <v>5742</v>
      </c>
      <c r="DE121" s="61">
        <v>1423</v>
      </c>
      <c r="DF121" s="61">
        <v>2972</v>
      </c>
      <c r="DG121" s="61">
        <v>1347</v>
      </c>
      <c r="DH121" s="62" t="s">
        <v>2185</v>
      </c>
      <c r="DI121" s="61">
        <v>366</v>
      </c>
      <c r="DJ121" s="61">
        <v>8</v>
      </c>
      <c r="DK121" s="61"/>
      <c r="DL121" s="61">
        <v>1</v>
      </c>
      <c r="DM121" s="61">
        <v>3</v>
      </c>
      <c r="DN121" s="61"/>
    </row>
    <row r="122" spans="1:118" x14ac:dyDescent="0.25">
      <c r="A122" s="61">
        <v>106190766</v>
      </c>
      <c r="B122" s="62" t="s">
        <v>602</v>
      </c>
      <c r="C122" s="62" t="s">
        <v>603</v>
      </c>
      <c r="D122" s="62" t="s">
        <v>348</v>
      </c>
      <c r="E122" s="62" t="s">
        <v>321</v>
      </c>
      <c r="F122" s="62" t="s">
        <v>2213</v>
      </c>
      <c r="G122" s="62" t="s">
        <v>604</v>
      </c>
      <c r="H122" s="62" t="s">
        <v>543</v>
      </c>
      <c r="I122" s="62" t="s">
        <v>544</v>
      </c>
      <c r="J122" s="62" t="s">
        <v>2189</v>
      </c>
      <c r="K122" s="62"/>
      <c r="L122" s="61">
        <v>38</v>
      </c>
      <c r="M122" s="61">
        <v>57</v>
      </c>
      <c r="N122" s="61">
        <v>32</v>
      </c>
      <c r="O122" s="62" t="s">
        <v>1855</v>
      </c>
      <c r="P122" s="62" t="s">
        <v>68</v>
      </c>
      <c r="Q122" s="62" t="s">
        <v>2167</v>
      </c>
      <c r="R122" s="62" t="s">
        <v>2167</v>
      </c>
      <c r="S122" s="62" t="s">
        <v>69</v>
      </c>
      <c r="T122" s="61">
        <v>7576</v>
      </c>
      <c r="U122" s="61">
        <v>7062</v>
      </c>
      <c r="V122" s="61"/>
      <c r="W122" s="61">
        <v>1799</v>
      </c>
      <c r="X122" s="61">
        <v>1738</v>
      </c>
      <c r="Y122" s="61">
        <v>2773</v>
      </c>
      <c r="Z122" s="61">
        <v>2334</v>
      </c>
      <c r="AA122" s="61">
        <v>2006</v>
      </c>
      <c r="AB122" s="61">
        <v>1798</v>
      </c>
      <c r="AC122" s="61">
        <v>977</v>
      </c>
      <c r="AD122" s="61">
        <v>531</v>
      </c>
      <c r="AE122" s="61">
        <v>429</v>
      </c>
      <c r="AF122" s="61">
        <v>253</v>
      </c>
      <c r="AG122" s="61"/>
      <c r="AH122" s="61">
        <v>405</v>
      </c>
      <c r="AI122" s="61">
        <v>1861</v>
      </c>
      <c r="AJ122" s="61">
        <v>9052</v>
      </c>
      <c r="AK122" s="61"/>
      <c r="AL122" s="61">
        <v>201</v>
      </c>
      <c r="AM122" s="61"/>
      <c r="AN122" s="61">
        <v>3119</v>
      </c>
      <c r="AO122" s="61">
        <v>353</v>
      </c>
      <c r="AP122" s="61">
        <v>1228</v>
      </c>
      <c r="AQ122" s="61">
        <v>26</v>
      </c>
      <c r="AR122" s="61">
        <v>11</v>
      </c>
      <c r="AS122" s="61">
        <v>1</v>
      </c>
      <c r="AT122" s="61"/>
      <c r="AU122" s="61"/>
      <c r="AV122" s="61">
        <v>559</v>
      </c>
      <c r="AW122" s="61">
        <v>153</v>
      </c>
      <c r="AX122" s="61">
        <v>42</v>
      </c>
      <c r="AY122" s="61">
        <v>12096</v>
      </c>
      <c r="AZ122" s="61">
        <v>12</v>
      </c>
      <c r="BA122" s="61">
        <v>156</v>
      </c>
      <c r="BB122" s="61"/>
      <c r="BC122" s="61"/>
      <c r="BD122" s="61">
        <v>2603</v>
      </c>
      <c r="BE122" s="61">
        <v>7598</v>
      </c>
      <c r="BF122" s="61">
        <v>683</v>
      </c>
      <c r="BG122" s="61">
        <v>493</v>
      </c>
      <c r="BH122" s="61">
        <v>3261</v>
      </c>
      <c r="BI122" s="61"/>
      <c r="BJ122" s="61">
        <v>14638</v>
      </c>
      <c r="BK122" s="61">
        <v>11</v>
      </c>
      <c r="BL122" s="61">
        <v>14422</v>
      </c>
      <c r="BM122" s="61">
        <v>205</v>
      </c>
      <c r="BN122" s="61">
        <v>1503</v>
      </c>
      <c r="BO122" s="61">
        <v>1466</v>
      </c>
      <c r="BP122" s="61"/>
      <c r="BQ122" s="61">
        <v>98</v>
      </c>
      <c r="BR122" s="61">
        <v>207</v>
      </c>
      <c r="BS122" s="61">
        <v>316</v>
      </c>
      <c r="BT122" s="61">
        <v>356</v>
      </c>
      <c r="BU122" s="61">
        <v>549</v>
      </c>
      <c r="BV122" s="61">
        <v>523</v>
      </c>
      <c r="BW122" s="61">
        <v>373</v>
      </c>
      <c r="BX122" s="61">
        <v>455</v>
      </c>
      <c r="BY122" s="61">
        <v>10</v>
      </c>
      <c r="BZ122" s="61">
        <v>82</v>
      </c>
      <c r="CA122" s="61"/>
      <c r="CB122" s="61">
        <v>146</v>
      </c>
      <c r="CC122" s="61">
        <v>317</v>
      </c>
      <c r="CD122" s="61">
        <v>1490</v>
      </c>
      <c r="CE122" s="61">
        <v>86</v>
      </c>
      <c r="CF122" s="61">
        <v>8</v>
      </c>
      <c r="CG122" s="61">
        <v>916</v>
      </c>
      <c r="CH122" s="61">
        <v>6</v>
      </c>
      <c r="CI122" s="61">
        <v>193</v>
      </c>
      <c r="CJ122" s="61">
        <v>216</v>
      </c>
      <c r="CK122" s="61">
        <v>92</v>
      </c>
      <c r="CL122" s="61">
        <v>65</v>
      </c>
      <c r="CM122" s="61"/>
      <c r="CN122" s="61"/>
      <c r="CO122" s="61">
        <v>67</v>
      </c>
      <c r="CP122" s="61">
        <v>1858</v>
      </c>
      <c r="CQ122" s="61">
        <v>472</v>
      </c>
      <c r="CR122" s="61">
        <v>4</v>
      </c>
      <c r="CS122" s="61"/>
      <c r="CT122" s="61"/>
      <c r="CU122" s="61">
        <v>2</v>
      </c>
      <c r="CV122" s="61"/>
      <c r="CW122" s="61"/>
      <c r="CX122" s="61">
        <v>1422</v>
      </c>
      <c r="CY122" s="61">
        <v>1199</v>
      </c>
      <c r="CZ122" s="61">
        <v>20</v>
      </c>
      <c r="DA122" s="61">
        <v>239</v>
      </c>
      <c r="DB122" s="61">
        <v>89</v>
      </c>
      <c r="DC122" s="61"/>
      <c r="DD122" s="61">
        <v>2969</v>
      </c>
      <c r="DE122" s="61">
        <v>5</v>
      </c>
      <c r="DF122" s="61">
        <v>2889</v>
      </c>
      <c r="DG122" s="61">
        <v>75</v>
      </c>
      <c r="DH122" s="62" t="s">
        <v>2185</v>
      </c>
      <c r="DI122" s="61">
        <v>117</v>
      </c>
      <c r="DJ122" s="61">
        <v>8</v>
      </c>
      <c r="DK122" s="61">
        <v>1</v>
      </c>
      <c r="DL122" s="61"/>
      <c r="DM122" s="61"/>
      <c r="DN122" s="61"/>
    </row>
    <row r="123" spans="1:118" x14ac:dyDescent="0.25">
      <c r="A123" s="61">
        <v>106190796</v>
      </c>
      <c r="B123" s="62" t="s">
        <v>605</v>
      </c>
      <c r="C123" s="62" t="s">
        <v>606</v>
      </c>
      <c r="D123" s="62" t="s">
        <v>348</v>
      </c>
      <c r="E123" s="62" t="s">
        <v>574</v>
      </c>
      <c r="F123" s="62" t="s">
        <v>2213</v>
      </c>
      <c r="G123" s="62" t="s">
        <v>607</v>
      </c>
      <c r="H123" s="62" t="s">
        <v>348</v>
      </c>
      <c r="I123" s="62" t="s">
        <v>608</v>
      </c>
      <c r="J123" s="62" t="s">
        <v>2186</v>
      </c>
      <c r="K123" s="62" t="s">
        <v>609</v>
      </c>
      <c r="L123" s="61">
        <v>33</v>
      </c>
      <c r="M123" s="61">
        <v>54</v>
      </c>
      <c r="N123" s="61">
        <v>26</v>
      </c>
      <c r="O123" s="62" t="s">
        <v>1865</v>
      </c>
      <c r="P123" s="62" t="s">
        <v>68</v>
      </c>
      <c r="Q123" s="62" t="s">
        <v>2167</v>
      </c>
      <c r="R123" s="62" t="s">
        <v>83</v>
      </c>
      <c r="S123" s="62" t="s">
        <v>223</v>
      </c>
      <c r="T123" s="61">
        <v>17643</v>
      </c>
      <c r="U123" s="61">
        <v>16627</v>
      </c>
      <c r="V123" s="61">
        <v>4</v>
      </c>
      <c r="W123" s="61">
        <v>2551</v>
      </c>
      <c r="X123" s="61">
        <v>3774</v>
      </c>
      <c r="Y123" s="61">
        <v>8021</v>
      </c>
      <c r="Z123" s="61">
        <v>4835</v>
      </c>
      <c r="AA123" s="61">
        <v>3813</v>
      </c>
      <c r="AB123" s="61">
        <v>3952</v>
      </c>
      <c r="AC123" s="61">
        <v>3126</v>
      </c>
      <c r="AD123" s="61">
        <v>1823</v>
      </c>
      <c r="AE123" s="61">
        <v>1761</v>
      </c>
      <c r="AF123" s="61">
        <v>617</v>
      </c>
      <c r="AG123" s="61">
        <v>1</v>
      </c>
      <c r="AH123" s="61">
        <v>3552</v>
      </c>
      <c r="AI123" s="61">
        <v>4312</v>
      </c>
      <c r="AJ123" s="61">
        <v>6800</v>
      </c>
      <c r="AK123" s="61">
        <v>95</v>
      </c>
      <c r="AL123" s="61">
        <v>2795</v>
      </c>
      <c r="AM123" s="61">
        <v>642</v>
      </c>
      <c r="AN123" s="61">
        <v>16078</v>
      </c>
      <c r="AO123" s="61">
        <v>1304</v>
      </c>
      <c r="AP123" s="61">
        <v>339</v>
      </c>
      <c r="AQ123" s="61">
        <v>49</v>
      </c>
      <c r="AR123" s="61">
        <v>158</v>
      </c>
      <c r="AS123" s="61">
        <v>10</v>
      </c>
      <c r="AT123" s="61">
        <v>23</v>
      </c>
      <c r="AU123" s="61"/>
      <c r="AV123" s="61">
        <v>52</v>
      </c>
      <c r="AW123" s="61">
        <v>1791</v>
      </c>
      <c r="AX123" s="61">
        <v>1</v>
      </c>
      <c r="AY123" s="61">
        <v>30464</v>
      </c>
      <c r="AZ123" s="61">
        <v>29</v>
      </c>
      <c r="BA123" s="61">
        <v>7</v>
      </c>
      <c r="BB123" s="61"/>
      <c r="BC123" s="61">
        <v>1</v>
      </c>
      <c r="BD123" s="61">
        <v>7583</v>
      </c>
      <c r="BE123" s="61">
        <v>5129</v>
      </c>
      <c r="BF123" s="61">
        <v>1049</v>
      </c>
      <c r="BG123" s="61">
        <v>17173</v>
      </c>
      <c r="BH123" s="61">
        <v>3340</v>
      </c>
      <c r="BI123" s="61"/>
      <c r="BJ123" s="61">
        <v>34274</v>
      </c>
      <c r="BK123" s="61">
        <v>1293</v>
      </c>
      <c r="BL123" s="61">
        <v>31371</v>
      </c>
      <c r="BM123" s="61">
        <v>1610</v>
      </c>
      <c r="BN123" s="61">
        <v>4460</v>
      </c>
      <c r="BO123" s="61">
        <v>5702</v>
      </c>
      <c r="BP123" s="61">
        <v>1</v>
      </c>
      <c r="BQ123" s="61">
        <v>454</v>
      </c>
      <c r="BR123" s="61">
        <v>935</v>
      </c>
      <c r="BS123" s="61">
        <v>1002</v>
      </c>
      <c r="BT123" s="61">
        <v>1087</v>
      </c>
      <c r="BU123" s="61">
        <v>1629</v>
      </c>
      <c r="BV123" s="61">
        <v>1799</v>
      </c>
      <c r="BW123" s="61">
        <v>1328</v>
      </c>
      <c r="BX123" s="61">
        <v>1281</v>
      </c>
      <c r="BY123" s="61">
        <v>122</v>
      </c>
      <c r="BZ123" s="61">
        <v>526</v>
      </c>
      <c r="CA123" s="61"/>
      <c r="CB123" s="61">
        <v>922</v>
      </c>
      <c r="CC123" s="61">
        <v>1268</v>
      </c>
      <c r="CD123" s="61">
        <v>2433</v>
      </c>
      <c r="CE123" s="61">
        <v>599</v>
      </c>
      <c r="CF123" s="61">
        <v>83</v>
      </c>
      <c r="CG123" s="61">
        <v>4822</v>
      </c>
      <c r="CH123" s="61">
        <v>36</v>
      </c>
      <c r="CI123" s="61">
        <v>339</v>
      </c>
      <c r="CJ123" s="61">
        <v>112</v>
      </c>
      <c r="CK123" s="61">
        <v>374</v>
      </c>
      <c r="CL123" s="61">
        <v>1686</v>
      </c>
      <c r="CM123" s="61">
        <v>160</v>
      </c>
      <c r="CN123" s="61"/>
      <c r="CO123" s="61">
        <v>40</v>
      </c>
      <c r="CP123" s="61">
        <v>6499</v>
      </c>
      <c r="CQ123" s="61">
        <v>683</v>
      </c>
      <c r="CR123" s="61">
        <v>5</v>
      </c>
      <c r="CS123" s="61">
        <v>169</v>
      </c>
      <c r="CT123" s="61">
        <v>95</v>
      </c>
      <c r="CU123" s="61">
        <v>1</v>
      </c>
      <c r="CV123" s="61"/>
      <c r="CW123" s="61"/>
      <c r="CX123" s="61">
        <v>2139</v>
      </c>
      <c r="CY123" s="61">
        <v>4217</v>
      </c>
      <c r="CZ123" s="61">
        <v>160</v>
      </c>
      <c r="DA123" s="61">
        <v>3185</v>
      </c>
      <c r="DB123" s="61">
        <v>462</v>
      </c>
      <c r="DC123" s="61"/>
      <c r="DD123" s="61">
        <v>10163</v>
      </c>
      <c r="DE123" s="61">
        <v>616</v>
      </c>
      <c r="DF123" s="61">
        <v>8668</v>
      </c>
      <c r="DG123" s="61">
        <v>879</v>
      </c>
      <c r="DH123" s="62" t="s">
        <v>2185</v>
      </c>
      <c r="DI123" s="61">
        <v>466</v>
      </c>
      <c r="DJ123" s="61">
        <v>33</v>
      </c>
      <c r="DK123" s="61">
        <v>46</v>
      </c>
      <c r="DL123" s="61"/>
      <c r="DM123" s="61"/>
      <c r="DN123" s="61"/>
    </row>
    <row r="124" spans="1:118" x14ac:dyDescent="0.25">
      <c r="A124" s="61">
        <v>106190812</v>
      </c>
      <c r="B124" s="62" t="s">
        <v>610</v>
      </c>
      <c r="C124" s="62" t="s">
        <v>611</v>
      </c>
      <c r="D124" s="62" t="s">
        <v>348</v>
      </c>
      <c r="E124" s="62" t="s">
        <v>71</v>
      </c>
      <c r="F124" s="62" t="s">
        <v>2213</v>
      </c>
      <c r="G124" s="62" t="s">
        <v>612</v>
      </c>
      <c r="H124" s="62" t="s">
        <v>613</v>
      </c>
      <c r="I124" s="62" t="s">
        <v>614</v>
      </c>
      <c r="J124" s="62" t="s">
        <v>2186</v>
      </c>
      <c r="K124" s="62"/>
      <c r="L124" s="61">
        <v>29</v>
      </c>
      <c r="M124" s="61">
        <v>46</v>
      </c>
      <c r="N124" s="61">
        <v>18</v>
      </c>
      <c r="O124" s="62" t="s">
        <v>1847</v>
      </c>
      <c r="P124" s="62" t="s">
        <v>68</v>
      </c>
      <c r="Q124" s="62" t="s">
        <v>2167</v>
      </c>
      <c r="R124" s="62" t="s">
        <v>2167</v>
      </c>
      <c r="S124" s="62" t="s">
        <v>69</v>
      </c>
      <c r="T124" s="61">
        <v>34322</v>
      </c>
      <c r="U124" s="61">
        <v>26565</v>
      </c>
      <c r="V124" s="61"/>
      <c r="W124" s="61">
        <v>13020</v>
      </c>
      <c r="X124" s="61">
        <v>7371</v>
      </c>
      <c r="Y124" s="61">
        <v>10263</v>
      </c>
      <c r="Z124" s="61">
        <v>8195</v>
      </c>
      <c r="AA124" s="61">
        <v>6385</v>
      </c>
      <c r="AB124" s="61">
        <v>6268</v>
      </c>
      <c r="AC124" s="61">
        <v>3534</v>
      </c>
      <c r="AD124" s="61">
        <v>1569</v>
      </c>
      <c r="AE124" s="61">
        <v>1206</v>
      </c>
      <c r="AF124" s="61">
        <v>3076</v>
      </c>
      <c r="AG124" s="61"/>
      <c r="AH124" s="61">
        <v>1092</v>
      </c>
      <c r="AI124" s="61">
        <v>3297</v>
      </c>
      <c r="AJ124" s="61">
        <v>43361</v>
      </c>
      <c r="AK124" s="61">
        <v>46</v>
      </c>
      <c r="AL124" s="61">
        <v>931</v>
      </c>
      <c r="AM124" s="61">
        <v>142</v>
      </c>
      <c r="AN124" s="61">
        <v>12018</v>
      </c>
      <c r="AO124" s="61">
        <v>532</v>
      </c>
      <c r="AP124" s="61">
        <v>2502</v>
      </c>
      <c r="AQ124" s="61">
        <v>68</v>
      </c>
      <c r="AR124" s="61">
        <v>11</v>
      </c>
      <c r="AS124" s="61"/>
      <c r="AT124" s="61"/>
      <c r="AU124" s="61"/>
      <c r="AV124" s="61">
        <v>101</v>
      </c>
      <c r="AW124" s="61">
        <v>185</v>
      </c>
      <c r="AX124" s="61"/>
      <c r="AY124" s="61">
        <v>57462</v>
      </c>
      <c r="AZ124" s="61">
        <v>22</v>
      </c>
      <c r="BA124" s="61">
        <v>3</v>
      </c>
      <c r="BB124" s="61"/>
      <c r="BC124" s="61"/>
      <c r="BD124" s="61">
        <v>14262</v>
      </c>
      <c r="BE124" s="61">
        <v>4815</v>
      </c>
      <c r="BF124" s="61">
        <v>203</v>
      </c>
      <c r="BG124" s="61">
        <v>35953</v>
      </c>
      <c r="BH124" s="61">
        <v>5654</v>
      </c>
      <c r="BI124" s="61"/>
      <c r="BJ124" s="61">
        <v>60887</v>
      </c>
      <c r="BK124" s="61">
        <v>1313</v>
      </c>
      <c r="BL124" s="61">
        <v>37523</v>
      </c>
      <c r="BM124" s="61">
        <v>22051</v>
      </c>
      <c r="BN124" s="61">
        <v>3433</v>
      </c>
      <c r="BO124" s="61">
        <v>3314</v>
      </c>
      <c r="BP124" s="61"/>
      <c r="BQ124" s="61">
        <v>195</v>
      </c>
      <c r="BR124" s="61">
        <v>375</v>
      </c>
      <c r="BS124" s="61">
        <v>518</v>
      </c>
      <c r="BT124" s="61">
        <v>748</v>
      </c>
      <c r="BU124" s="61">
        <v>1214</v>
      </c>
      <c r="BV124" s="61">
        <v>1297</v>
      </c>
      <c r="BW124" s="61">
        <v>893</v>
      </c>
      <c r="BX124" s="61">
        <v>1025</v>
      </c>
      <c r="BY124" s="61">
        <v>194</v>
      </c>
      <c r="BZ124" s="61">
        <v>288</v>
      </c>
      <c r="CA124" s="61"/>
      <c r="CB124" s="61">
        <v>252</v>
      </c>
      <c r="CC124" s="61">
        <v>451</v>
      </c>
      <c r="CD124" s="61">
        <v>3313</v>
      </c>
      <c r="CE124" s="61">
        <v>131</v>
      </c>
      <c r="CF124" s="61">
        <v>3</v>
      </c>
      <c r="CG124" s="61">
        <v>2585</v>
      </c>
      <c r="CH124" s="61">
        <v>12</v>
      </c>
      <c r="CI124" s="61">
        <v>126</v>
      </c>
      <c r="CJ124" s="61">
        <v>253</v>
      </c>
      <c r="CK124" s="61">
        <v>83</v>
      </c>
      <c r="CL124" s="61">
        <v>418</v>
      </c>
      <c r="CM124" s="61">
        <v>33</v>
      </c>
      <c r="CN124" s="61"/>
      <c r="CO124" s="61">
        <v>22</v>
      </c>
      <c r="CP124" s="61">
        <v>4850</v>
      </c>
      <c r="CQ124" s="61">
        <v>936</v>
      </c>
      <c r="CR124" s="61"/>
      <c r="CS124" s="61">
        <v>13</v>
      </c>
      <c r="CT124" s="61">
        <v>2</v>
      </c>
      <c r="CU124" s="61">
        <v>9</v>
      </c>
      <c r="CV124" s="61"/>
      <c r="CW124" s="61">
        <v>2</v>
      </c>
      <c r="CX124" s="61">
        <v>1293</v>
      </c>
      <c r="CY124" s="61">
        <v>1733</v>
      </c>
      <c r="CZ124" s="61">
        <v>40</v>
      </c>
      <c r="DA124" s="61">
        <v>3573</v>
      </c>
      <c r="DB124" s="61">
        <v>108</v>
      </c>
      <c r="DC124" s="61"/>
      <c r="DD124" s="61">
        <v>6747</v>
      </c>
      <c r="DE124" s="61">
        <v>594</v>
      </c>
      <c r="DF124" s="61">
        <v>4141</v>
      </c>
      <c r="DG124" s="61">
        <v>2012</v>
      </c>
      <c r="DH124" s="62" t="s">
        <v>2185</v>
      </c>
      <c r="DI124" s="61">
        <v>350</v>
      </c>
      <c r="DJ124" s="61">
        <v>27</v>
      </c>
      <c r="DK124" s="61">
        <v>1</v>
      </c>
      <c r="DL124" s="61"/>
      <c r="DM124" s="61"/>
      <c r="DN124" s="61"/>
    </row>
    <row r="125" spans="1:118" x14ac:dyDescent="0.25">
      <c r="A125" s="61">
        <v>106190818</v>
      </c>
      <c r="B125" s="62" t="s">
        <v>615</v>
      </c>
      <c r="C125" s="62" t="s">
        <v>616</v>
      </c>
      <c r="D125" s="62" t="s">
        <v>348</v>
      </c>
      <c r="E125" s="62" t="s">
        <v>71</v>
      </c>
      <c r="F125" s="62" t="s">
        <v>2213</v>
      </c>
      <c r="G125" s="62" t="s">
        <v>617</v>
      </c>
      <c r="H125" s="62" t="s">
        <v>437</v>
      </c>
      <c r="I125" s="62" t="s">
        <v>618</v>
      </c>
      <c r="J125" s="62" t="s">
        <v>2187</v>
      </c>
      <c r="K125" s="62"/>
      <c r="L125" s="61">
        <v>28</v>
      </c>
      <c r="M125" s="61">
        <v>43</v>
      </c>
      <c r="N125" s="61">
        <v>25</v>
      </c>
      <c r="O125" s="62" t="s">
        <v>1866</v>
      </c>
      <c r="P125" s="62" t="s">
        <v>68</v>
      </c>
      <c r="Q125" s="62" t="s">
        <v>2167</v>
      </c>
      <c r="R125" s="62" t="s">
        <v>2167</v>
      </c>
      <c r="S125" s="62" t="s">
        <v>69</v>
      </c>
      <c r="T125" s="61">
        <v>9748</v>
      </c>
      <c r="U125" s="61">
        <v>8079</v>
      </c>
      <c r="V125" s="61">
        <v>6</v>
      </c>
      <c r="W125" s="61">
        <v>1738</v>
      </c>
      <c r="X125" s="61">
        <v>1956</v>
      </c>
      <c r="Y125" s="61">
        <v>2647</v>
      </c>
      <c r="Z125" s="61">
        <v>2383</v>
      </c>
      <c r="AA125" s="61">
        <v>2300</v>
      </c>
      <c r="AB125" s="61">
        <v>2426</v>
      </c>
      <c r="AC125" s="61">
        <v>1823</v>
      </c>
      <c r="AD125" s="61">
        <v>1195</v>
      </c>
      <c r="AE125" s="61">
        <v>1128</v>
      </c>
      <c r="AF125" s="61">
        <v>237</v>
      </c>
      <c r="AG125" s="61"/>
      <c r="AH125" s="61">
        <v>1017</v>
      </c>
      <c r="AI125" s="61">
        <v>923</v>
      </c>
      <c r="AJ125" s="61">
        <v>2811</v>
      </c>
      <c r="AK125" s="61">
        <v>98</v>
      </c>
      <c r="AL125" s="61"/>
      <c r="AM125" s="61">
        <v>1548</v>
      </c>
      <c r="AN125" s="61">
        <v>11436</v>
      </c>
      <c r="AO125" s="61">
        <v>529</v>
      </c>
      <c r="AP125" s="61">
        <v>232</v>
      </c>
      <c r="AQ125" s="61">
        <v>26</v>
      </c>
      <c r="AR125" s="61">
        <v>7</v>
      </c>
      <c r="AS125" s="61">
        <v>8</v>
      </c>
      <c r="AT125" s="61">
        <v>28</v>
      </c>
      <c r="AU125" s="61"/>
      <c r="AV125" s="61">
        <v>19</v>
      </c>
      <c r="AW125" s="61">
        <v>47</v>
      </c>
      <c r="AX125" s="61">
        <v>2</v>
      </c>
      <c r="AY125" s="61">
        <v>16753</v>
      </c>
      <c r="AZ125" s="61">
        <v>178</v>
      </c>
      <c r="BA125" s="61">
        <v>1</v>
      </c>
      <c r="BB125" s="61"/>
      <c r="BC125" s="61"/>
      <c r="BD125" s="61">
        <v>5730</v>
      </c>
      <c r="BE125" s="61">
        <v>3011</v>
      </c>
      <c r="BF125" s="61">
        <v>313</v>
      </c>
      <c r="BG125" s="61">
        <v>7096</v>
      </c>
      <c r="BH125" s="61">
        <v>1683</v>
      </c>
      <c r="BI125" s="61"/>
      <c r="BJ125" s="61">
        <v>17833</v>
      </c>
      <c r="BK125" s="61">
        <v>414</v>
      </c>
      <c r="BL125" s="61">
        <v>17221</v>
      </c>
      <c r="BM125" s="61">
        <v>198</v>
      </c>
      <c r="BN125" s="61">
        <v>1967</v>
      </c>
      <c r="BO125" s="61">
        <v>1649</v>
      </c>
      <c r="BP125" s="61"/>
      <c r="BQ125" s="61">
        <v>19</v>
      </c>
      <c r="BR125" s="61">
        <v>115</v>
      </c>
      <c r="BS125" s="61">
        <v>178</v>
      </c>
      <c r="BT125" s="61">
        <v>254</v>
      </c>
      <c r="BU125" s="61">
        <v>443</v>
      </c>
      <c r="BV125" s="61">
        <v>631</v>
      </c>
      <c r="BW125" s="61">
        <v>758</v>
      </c>
      <c r="BX125" s="61">
        <v>1218</v>
      </c>
      <c r="BY125" s="61"/>
      <c r="BZ125" s="61"/>
      <c r="CA125" s="61"/>
      <c r="CB125" s="61">
        <v>187</v>
      </c>
      <c r="CC125" s="61">
        <v>140</v>
      </c>
      <c r="CD125" s="61">
        <v>370</v>
      </c>
      <c r="CE125" s="61"/>
      <c r="CF125" s="61">
        <v>83</v>
      </c>
      <c r="CG125" s="61">
        <v>2828</v>
      </c>
      <c r="CH125" s="61">
        <v>8</v>
      </c>
      <c r="CI125" s="61">
        <v>230</v>
      </c>
      <c r="CJ125" s="61">
        <v>67</v>
      </c>
      <c r="CK125" s="61">
        <v>89</v>
      </c>
      <c r="CL125" s="61">
        <v>263</v>
      </c>
      <c r="CM125" s="61">
        <v>33</v>
      </c>
      <c r="CN125" s="61"/>
      <c r="CO125" s="61">
        <v>26</v>
      </c>
      <c r="CP125" s="61">
        <v>1696</v>
      </c>
      <c r="CQ125" s="61">
        <v>1067</v>
      </c>
      <c r="CR125" s="61">
        <v>1</v>
      </c>
      <c r="CS125" s="61">
        <v>114</v>
      </c>
      <c r="CT125" s="61">
        <v>30</v>
      </c>
      <c r="CU125" s="61"/>
      <c r="CV125" s="61"/>
      <c r="CW125" s="61"/>
      <c r="CX125" s="61">
        <v>521</v>
      </c>
      <c r="CY125" s="61">
        <v>2150</v>
      </c>
      <c r="CZ125" s="61">
        <v>16</v>
      </c>
      <c r="DA125" s="61">
        <v>879</v>
      </c>
      <c r="DB125" s="61">
        <v>49</v>
      </c>
      <c r="DC125" s="61">
        <v>1</v>
      </c>
      <c r="DD125" s="61">
        <v>3616</v>
      </c>
      <c r="DE125" s="61">
        <v>184</v>
      </c>
      <c r="DF125" s="61">
        <v>3361</v>
      </c>
      <c r="DG125" s="61">
        <v>71</v>
      </c>
      <c r="DH125" s="62" t="s">
        <v>2185</v>
      </c>
      <c r="DI125" s="61">
        <v>158</v>
      </c>
      <c r="DJ125" s="61">
        <v>13</v>
      </c>
      <c r="DK125" s="61"/>
      <c r="DL125" s="61">
        <v>3</v>
      </c>
      <c r="DM125" s="61"/>
      <c r="DN125" s="61"/>
    </row>
    <row r="126" spans="1:118" x14ac:dyDescent="0.25">
      <c r="A126" s="61">
        <v>106190859</v>
      </c>
      <c r="B126" s="62" t="s">
        <v>619</v>
      </c>
      <c r="C126" s="62" t="s">
        <v>620</v>
      </c>
      <c r="D126" s="62" t="s">
        <v>348</v>
      </c>
      <c r="E126" s="62" t="s">
        <v>184</v>
      </c>
      <c r="F126" s="62" t="s">
        <v>2213</v>
      </c>
      <c r="G126" s="62" t="s">
        <v>621</v>
      </c>
      <c r="H126" s="62" t="s">
        <v>2051</v>
      </c>
      <c r="I126" s="62" t="s">
        <v>622</v>
      </c>
      <c r="J126" s="62" t="s">
        <v>2184</v>
      </c>
      <c r="K126" s="62"/>
      <c r="L126" s="61">
        <v>30</v>
      </c>
      <c r="M126" s="61">
        <v>45</v>
      </c>
      <c r="N126" s="61">
        <v>27</v>
      </c>
      <c r="O126" s="62" t="s">
        <v>1867</v>
      </c>
      <c r="P126" s="62" t="s">
        <v>68</v>
      </c>
      <c r="Q126" s="62" t="s">
        <v>2167</v>
      </c>
      <c r="R126" s="62" t="s">
        <v>2167</v>
      </c>
      <c r="S126" s="62" t="s">
        <v>69</v>
      </c>
      <c r="T126" s="61">
        <v>25252</v>
      </c>
      <c r="U126" s="61">
        <v>20795</v>
      </c>
      <c r="V126" s="61"/>
      <c r="W126" s="61">
        <v>5455</v>
      </c>
      <c r="X126" s="61">
        <v>5011</v>
      </c>
      <c r="Y126" s="61">
        <v>7798</v>
      </c>
      <c r="Z126" s="61">
        <v>6865</v>
      </c>
      <c r="AA126" s="61">
        <v>5871</v>
      </c>
      <c r="AB126" s="61">
        <v>5698</v>
      </c>
      <c r="AC126" s="61">
        <v>3619</v>
      </c>
      <c r="AD126" s="61">
        <v>2380</v>
      </c>
      <c r="AE126" s="61">
        <v>2559</v>
      </c>
      <c r="AF126" s="61">
        <v>791</v>
      </c>
      <c r="AG126" s="61"/>
      <c r="AH126" s="61">
        <v>1624</v>
      </c>
      <c r="AI126" s="61">
        <v>2677</v>
      </c>
      <c r="AJ126" s="61">
        <v>11003</v>
      </c>
      <c r="AK126" s="61">
        <v>14</v>
      </c>
      <c r="AL126" s="61">
        <v>11605</v>
      </c>
      <c r="AM126" s="61">
        <v>559</v>
      </c>
      <c r="AN126" s="61">
        <v>18565</v>
      </c>
      <c r="AO126" s="61">
        <v>702</v>
      </c>
      <c r="AP126" s="61">
        <v>1211</v>
      </c>
      <c r="AQ126" s="61">
        <v>57</v>
      </c>
      <c r="AR126" s="61">
        <v>13</v>
      </c>
      <c r="AS126" s="61">
        <v>7</v>
      </c>
      <c r="AT126" s="61">
        <v>4</v>
      </c>
      <c r="AU126" s="61">
        <v>2</v>
      </c>
      <c r="AV126" s="61">
        <v>233</v>
      </c>
      <c r="AW126" s="61">
        <v>333</v>
      </c>
      <c r="AX126" s="61">
        <v>4</v>
      </c>
      <c r="AY126" s="61">
        <v>43268</v>
      </c>
      <c r="AZ126" s="61">
        <v>103</v>
      </c>
      <c r="BA126" s="61">
        <v>1</v>
      </c>
      <c r="BB126" s="61">
        <v>4</v>
      </c>
      <c r="BC126" s="61">
        <v>85</v>
      </c>
      <c r="BD126" s="61">
        <v>11635</v>
      </c>
      <c r="BE126" s="61">
        <v>7226</v>
      </c>
      <c r="BF126" s="61">
        <v>9481</v>
      </c>
      <c r="BG126" s="61">
        <v>12113</v>
      </c>
      <c r="BH126" s="61">
        <v>5592</v>
      </c>
      <c r="BI126" s="61"/>
      <c r="BJ126" s="61">
        <v>46047</v>
      </c>
      <c r="BK126" s="61">
        <v>877</v>
      </c>
      <c r="BL126" s="61">
        <v>42340</v>
      </c>
      <c r="BM126" s="61">
        <v>2830</v>
      </c>
      <c r="BN126" s="61">
        <v>4174</v>
      </c>
      <c r="BO126" s="61">
        <v>3473</v>
      </c>
      <c r="BP126" s="61">
        <v>1</v>
      </c>
      <c r="BQ126" s="61">
        <v>79</v>
      </c>
      <c r="BR126" s="61">
        <v>497</v>
      </c>
      <c r="BS126" s="61">
        <v>693</v>
      </c>
      <c r="BT126" s="61">
        <v>621</v>
      </c>
      <c r="BU126" s="61">
        <v>949</v>
      </c>
      <c r="BV126" s="61">
        <v>1134</v>
      </c>
      <c r="BW126" s="61">
        <v>1339</v>
      </c>
      <c r="BX126" s="61">
        <v>2308</v>
      </c>
      <c r="BY126" s="61">
        <v>9</v>
      </c>
      <c r="BZ126" s="61">
        <v>19</v>
      </c>
      <c r="CA126" s="61"/>
      <c r="CB126" s="61">
        <v>426</v>
      </c>
      <c r="CC126" s="61">
        <v>334</v>
      </c>
      <c r="CD126" s="61">
        <v>866</v>
      </c>
      <c r="CE126" s="61">
        <v>1878</v>
      </c>
      <c r="CF126" s="61">
        <v>58</v>
      </c>
      <c r="CG126" s="61">
        <v>4081</v>
      </c>
      <c r="CH126" s="61">
        <v>5</v>
      </c>
      <c r="CI126" s="61">
        <v>281</v>
      </c>
      <c r="CJ126" s="61">
        <v>233</v>
      </c>
      <c r="CK126" s="61">
        <v>292</v>
      </c>
      <c r="CL126" s="61">
        <v>677</v>
      </c>
      <c r="CM126" s="61">
        <v>20</v>
      </c>
      <c r="CN126" s="61"/>
      <c r="CO126" s="61">
        <v>22</v>
      </c>
      <c r="CP126" s="61">
        <v>4564</v>
      </c>
      <c r="CQ126" s="61">
        <v>1355</v>
      </c>
      <c r="CR126" s="61"/>
      <c r="CS126" s="61">
        <v>126</v>
      </c>
      <c r="CT126" s="61">
        <v>34</v>
      </c>
      <c r="CU126" s="61"/>
      <c r="CV126" s="61">
        <v>1</v>
      </c>
      <c r="CW126" s="61">
        <v>42</v>
      </c>
      <c r="CX126" s="61">
        <v>1397</v>
      </c>
      <c r="CY126" s="61">
        <v>4234</v>
      </c>
      <c r="CZ126" s="61">
        <v>200</v>
      </c>
      <c r="DA126" s="61">
        <v>1631</v>
      </c>
      <c r="DB126" s="61">
        <v>186</v>
      </c>
      <c r="DC126" s="61"/>
      <c r="DD126" s="61">
        <v>7648</v>
      </c>
      <c r="DE126" s="61">
        <v>360</v>
      </c>
      <c r="DF126" s="61">
        <v>6897</v>
      </c>
      <c r="DG126" s="61">
        <v>391</v>
      </c>
      <c r="DH126" s="62" t="s">
        <v>2185</v>
      </c>
      <c r="DI126" s="61">
        <v>225</v>
      </c>
      <c r="DJ126" s="61">
        <v>30</v>
      </c>
      <c r="DK126" s="61"/>
      <c r="DL126" s="61">
        <v>20</v>
      </c>
      <c r="DM126" s="61">
        <v>1</v>
      </c>
      <c r="DN126" s="61"/>
    </row>
    <row r="127" spans="1:118" x14ac:dyDescent="0.25">
      <c r="A127" s="61">
        <v>106190878</v>
      </c>
      <c r="B127" s="62" t="s">
        <v>623</v>
      </c>
      <c r="C127" s="62" t="s">
        <v>624</v>
      </c>
      <c r="D127" s="62" t="s">
        <v>348</v>
      </c>
      <c r="E127" s="62" t="s">
        <v>71</v>
      </c>
      <c r="F127" s="62" t="s">
        <v>2213</v>
      </c>
      <c r="G127" s="62" t="s">
        <v>625</v>
      </c>
      <c r="H127" s="62" t="s">
        <v>348</v>
      </c>
      <c r="I127" s="62" t="s">
        <v>626</v>
      </c>
      <c r="J127" s="62" t="s">
        <v>2186</v>
      </c>
      <c r="K127" s="62"/>
      <c r="L127" s="61">
        <v>34</v>
      </c>
      <c r="M127" s="61">
        <v>53</v>
      </c>
      <c r="N127" s="61">
        <v>24</v>
      </c>
      <c r="O127" s="62" t="s">
        <v>1832</v>
      </c>
      <c r="P127" s="62" t="s">
        <v>68</v>
      </c>
      <c r="Q127" s="62" t="s">
        <v>2167</v>
      </c>
      <c r="R127" s="62" t="s">
        <v>83</v>
      </c>
      <c r="S127" s="62" t="s">
        <v>69</v>
      </c>
      <c r="T127" s="61">
        <v>28254</v>
      </c>
      <c r="U127" s="61">
        <v>21631</v>
      </c>
      <c r="V127" s="61">
        <v>2</v>
      </c>
      <c r="W127" s="61">
        <v>8846</v>
      </c>
      <c r="X127" s="61">
        <v>5472</v>
      </c>
      <c r="Y127" s="61">
        <v>8545</v>
      </c>
      <c r="Z127" s="61">
        <v>6206</v>
      </c>
      <c r="AA127" s="61">
        <v>5404</v>
      </c>
      <c r="AB127" s="61">
        <v>5068</v>
      </c>
      <c r="AC127" s="61">
        <v>3600</v>
      </c>
      <c r="AD127" s="61">
        <v>2363</v>
      </c>
      <c r="AE127" s="61">
        <v>1910</v>
      </c>
      <c r="AF127" s="61">
        <v>2472</v>
      </c>
      <c r="AG127" s="61">
        <v>1</v>
      </c>
      <c r="AH127" s="61">
        <v>326</v>
      </c>
      <c r="AI127" s="61">
        <v>1347</v>
      </c>
      <c r="AJ127" s="61">
        <v>44601</v>
      </c>
      <c r="AK127" s="61">
        <v>10</v>
      </c>
      <c r="AL127" s="61">
        <v>1210</v>
      </c>
      <c r="AM127" s="61">
        <v>98</v>
      </c>
      <c r="AN127" s="61">
        <v>2295</v>
      </c>
      <c r="AO127" s="61">
        <v>705</v>
      </c>
      <c r="AP127" s="61">
        <v>3465</v>
      </c>
      <c r="AQ127" s="61">
        <v>41</v>
      </c>
      <c r="AR127" s="61">
        <v>129</v>
      </c>
      <c r="AS127" s="61">
        <v>27</v>
      </c>
      <c r="AT127" s="61">
        <v>5</v>
      </c>
      <c r="AU127" s="61"/>
      <c r="AV127" s="61">
        <v>239</v>
      </c>
      <c r="AW127" s="61">
        <v>27</v>
      </c>
      <c r="AX127" s="61"/>
      <c r="AY127" s="61">
        <v>44828</v>
      </c>
      <c r="AZ127" s="61">
        <v>351</v>
      </c>
      <c r="BA127" s="61">
        <v>1</v>
      </c>
      <c r="BB127" s="61"/>
      <c r="BC127" s="61">
        <v>59</v>
      </c>
      <c r="BD127" s="61">
        <v>33273</v>
      </c>
      <c r="BE127" s="61">
        <v>6953</v>
      </c>
      <c r="BF127" s="61">
        <v>1222</v>
      </c>
      <c r="BG127" s="61">
        <v>4358</v>
      </c>
      <c r="BH127" s="61">
        <v>4081</v>
      </c>
      <c r="BI127" s="61"/>
      <c r="BJ127" s="61">
        <v>49887</v>
      </c>
      <c r="BK127" s="61">
        <v>70</v>
      </c>
      <c r="BL127" s="61">
        <v>30443</v>
      </c>
      <c r="BM127" s="61">
        <v>19374</v>
      </c>
      <c r="BN127" s="61">
        <v>4767</v>
      </c>
      <c r="BO127" s="61">
        <v>5049</v>
      </c>
      <c r="BP127" s="61">
        <v>3</v>
      </c>
      <c r="BQ127" s="61">
        <v>302</v>
      </c>
      <c r="BR127" s="61">
        <v>855</v>
      </c>
      <c r="BS127" s="61">
        <v>998</v>
      </c>
      <c r="BT127" s="61">
        <v>1327</v>
      </c>
      <c r="BU127" s="61">
        <v>1718</v>
      </c>
      <c r="BV127" s="61">
        <v>1552</v>
      </c>
      <c r="BW127" s="61">
        <v>1267</v>
      </c>
      <c r="BX127" s="61">
        <v>1281</v>
      </c>
      <c r="BY127" s="61">
        <v>274</v>
      </c>
      <c r="BZ127" s="61">
        <v>245</v>
      </c>
      <c r="CA127" s="61"/>
      <c r="CB127" s="61">
        <v>186</v>
      </c>
      <c r="CC127" s="61">
        <v>684</v>
      </c>
      <c r="CD127" s="61">
        <v>7932</v>
      </c>
      <c r="CE127" s="61">
        <v>303</v>
      </c>
      <c r="CF127" s="61">
        <v>7</v>
      </c>
      <c r="CG127" s="61">
        <v>707</v>
      </c>
      <c r="CH127" s="61"/>
      <c r="CI127" s="61">
        <v>233</v>
      </c>
      <c r="CJ127" s="61">
        <v>266</v>
      </c>
      <c r="CK127" s="61">
        <v>254</v>
      </c>
      <c r="CL127" s="61">
        <v>979</v>
      </c>
      <c r="CM127" s="61">
        <v>110</v>
      </c>
      <c r="CN127" s="61"/>
      <c r="CO127" s="61">
        <v>7</v>
      </c>
      <c r="CP127" s="61">
        <v>6627</v>
      </c>
      <c r="CQ127" s="61">
        <v>1095</v>
      </c>
      <c r="CR127" s="61">
        <v>45</v>
      </c>
      <c r="CS127" s="61">
        <v>93</v>
      </c>
      <c r="CT127" s="61">
        <v>84</v>
      </c>
      <c r="CU127" s="61">
        <v>1</v>
      </c>
      <c r="CV127" s="61"/>
      <c r="CW127" s="61"/>
      <c r="CX127" s="61">
        <v>5078</v>
      </c>
      <c r="CY127" s="61">
        <v>3731</v>
      </c>
      <c r="CZ127" s="61">
        <v>281</v>
      </c>
      <c r="DA127" s="61">
        <v>551</v>
      </c>
      <c r="DB127" s="61">
        <v>175</v>
      </c>
      <c r="DC127" s="61">
        <v>3</v>
      </c>
      <c r="DD127" s="61">
        <v>9819</v>
      </c>
      <c r="DE127" s="61">
        <v>26</v>
      </c>
      <c r="DF127" s="61">
        <v>5218</v>
      </c>
      <c r="DG127" s="61">
        <v>4575</v>
      </c>
      <c r="DH127" s="62" t="s">
        <v>2185</v>
      </c>
      <c r="DI127" s="61">
        <v>353</v>
      </c>
      <c r="DJ127" s="61">
        <v>28</v>
      </c>
      <c r="DK127" s="61">
        <v>7</v>
      </c>
      <c r="DL127" s="61">
        <v>3</v>
      </c>
      <c r="DM127" s="61">
        <v>8</v>
      </c>
      <c r="DN127" s="61">
        <v>17</v>
      </c>
    </row>
    <row r="128" spans="1:118" x14ac:dyDescent="0.25">
      <c r="A128" s="61">
        <v>106190883</v>
      </c>
      <c r="B128" s="62" t="s">
        <v>627</v>
      </c>
      <c r="C128" s="62" t="s">
        <v>628</v>
      </c>
      <c r="D128" s="62" t="s">
        <v>348</v>
      </c>
      <c r="E128" s="62" t="s">
        <v>184</v>
      </c>
      <c r="F128" s="62" t="s">
        <v>2213</v>
      </c>
      <c r="G128" s="62" t="s">
        <v>629</v>
      </c>
      <c r="H128" s="62" t="s">
        <v>556</v>
      </c>
      <c r="I128" s="62" t="s">
        <v>630</v>
      </c>
      <c r="J128" s="62" t="s">
        <v>2187</v>
      </c>
      <c r="K128" s="62"/>
      <c r="L128" s="61">
        <v>38</v>
      </c>
      <c r="M128" s="61">
        <v>57</v>
      </c>
      <c r="N128" s="61">
        <v>32</v>
      </c>
      <c r="O128" s="62" t="s">
        <v>1857</v>
      </c>
      <c r="P128" s="62" t="s">
        <v>68</v>
      </c>
      <c r="Q128" s="62" t="s">
        <v>2167</v>
      </c>
      <c r="R128" s="62" t="s">
        <v>2167</v>
      </c>
      <c r="S128" s="62" t="s">
        <v>69</v>
      </c>
      <c r="T128" s="61">
        <v>14067</v>
      </c>
      <c r="U128" s="61">
        <v>10874</v>
      </c>
      <c r="V128" s="61"/>
      <c r="W128" s="61">
        <v>4078</v>
      </c>
      <c r="X128" s="61">
        <v>3163</v>
      </c>
      <c r="Y128" s="61">
        <v>4351</v>
      </c>
      <c r="Z128" s="61">
        <v>3553</v>
      </c>
      <c r="AA128" s="61">
        <v>2847</v>
      </c>
      <c r="AB128" s="61">
        <v>2622</v>
      </c>
      <c r="AC128" s="61">
        <v>1526</v>
      </c>
      <c r="AD128" s="61">
        <v>929</v>
      </c>
      <c r="AE128" s="61">
        <v>979</v>
      </c>
      <c r="AF128" s="61">
        <v>893</v>
      </c>
      <c r="AG128" s="61"/>
      <c r="AH128" s="61">
        <v>2233</v>
      </c>
      <c r="AI128" s="61">
        <v>572</v>
      </c>
      <c r="AJ128" s="61">
        <v>16498</v>
      </c>
      <c r="AK128" s="61">
        <v>14</v>
      </c>
      <c r="AL128" s="61">
        <v>968</v>
      </c>
      <c r="AM128" s="61">
        <v>60</v>
      </c>
      <c r="AN128" s="61">
        <v>4596</v>
      </c>
      <c r="AO128" s="61">
        <v>814</v>
      </c>
      <c r="AP128" s="61">
        <v>519</v>
      </c>
      <c r="AQ128" s="61">
        <v>34</v>
      </c>
      <c r="AR128" s="61">
        <v>1</v>
      </c>
      <c r="AS128" s="61">
        <v>3</v>
      </c>
      <c r="AT128" s="61"/>
      <c r="AU128" s="61"/>
      <c r="AV128" s="61">
        <v>47</v>
      </c>
      <c r="AW128" s="61">
        <v>206</v>
      </c>
      <c r="AX128" s="61">
        <v>6</v>
      </c>
      <c r="AY128" s="61">
        <v>22880</v>
      </c>
      <c r="AZ128" s="61">
        <v>125</v>
      </c>
      <c r="BA128" s="61">
        <v>255</v>
      </c>
      <c r="BB128" s="61"/>
      <c r="BC128" s="61"/>
      <c r="BD128" s="61">
        <v>3876</v>
      </c>
      <c r="BE128" s="61">
        <v>2830</v>
      </c>
      <c r="BF128" s="61">
        <v>321</v>
      </c>
      <c r="BG128" s="61">
        <v>16068</v>
      </c>
      <c r="BH128" s="61">
        <v>1846</v>
      </c>
      <c r="BI128" s="61"/>
      <c r="BJ128" s="61">
        <v>24941</v>
      </c>
      <c r="BK128" s="61">
        <v>963</v>
      </c>
      <c r="BL128" s="61">
        <v>20284</v>
      </c>
      <c r="BM128" s="61">
        <v>3694</v>
      </c>
      <c r="BN128" s="61">
        <v>2712</v>
      </c>
      <c r="BO128" s="61">
        <v>2225</v>
      </c>
      <c r="BP128" s="61"/>
      <c r="BQ128" s="61">
        <v>64</v>
      </c>
      <c r="BR128" s="61">
        <v>336</v>
      </c>
      <c r="BS128" s="61">
        <v>463</v>
      </c>
      <c r="BT128" s="61">
        <v>607</v>
      </c>
      <c r="BU128" s="61">
        <v>878</v>
      </c>
      <c r="BV128" s="61">
        <v>827</v>
      </c>
      <c r="BW128" s="61">
        <v>652</v>
      </c>
      <c r="BX128" s="61">
        <v>1110</v>
      </c>
      <c r="BY128" s="61"/>
      <c r="BZ128" s="61"/>
      <c r="CA128" s="61"/>
      <c r="CB128" s="61">
        <v>857</v>
      </c>
      <c r="CC128" s="61">
        <v>110</v>
      </c>
      <c r="CD128" s="61">
        <v>2403</v>
      </c>
      <c r="CE128" s="61">
        <v>187</v>
      </c>
      <c r="CF128" s="61">
        <v>25</v>
      </c>
      <c r="CG128" s="61">
        <v>1355</v>
      </c>
      <c r="CH128" s="61"/>
      <c r="CI128" s="61">
        <v>421</v>
      </c>
      <c r="CJ128" s="61">
        <v>169</v>
      </c>
      <c r="CK128" s="61">
        <v>125</v>
      </c>
      <c r="CL128" s="61">
        <v>289</v>
      </c>
      <c r="CM128" s="61">
        <v>3</v>
      </c>
      <c r="CN128" s="61"/>
      <c r="CO128" s="61">
        <v>15</v>
      </c>
      <c r="CP128" s="61">
        <v>3092</v>
      </c>
      <c r="CQ128" s="61">
        <v>711</v>
      </c>
      <c r="CR128" s="61">
        <v>1</v>
      </c>
      <c r="CS128" s="61">
        <v>34</v>
      </c>
      <c r="CT128" s="61">
        <v>21</v>
      </c>
      <c r="CU128" s="61">
        <v>55</v>
      </c>
      <c r="CV128" s="61"/>
      <c r="CW128" s="61"/>
      <c r="CX128" s="61">
        <v>1820</v>
      </c>
      <c r="CY128" s="61">
        <v>1832</v>
      </c>
      <c r="CZ128" s="61">
        <v>29</v>
      </c>
      <c r="DA128" s="61">
        <v>1155</v>
      </c>
      <c r="DB128" s="61">
        <v>70</v>
      </c>
      <c r="DC128" s="61">
        <v>31</v>
      </c>
      <c r="DD128" s="61">
        <v>4937</v>
      </c>
      <c r="DE128" s="61">
        <v>640</v>
      </c>
      <c r="DF128" s="61">
        <v>3447</v>
      </c>
      <c r="DG128" s="61">
        <v>850</v>
      </c>
      <c r="DH128" s="62" t="s">
        <v>2185</v>
      </c>
      <c r="DI128" s="61">
        <v>178</v>
      </c>
      <c r="DJ128" s="61">
        <v>11</v>
      </c>
      <c r="DK128" s="61"/>
      <c r="DL128" s="61">
        <v>51</v>
      </c>
      <c r="DM128" s="61">
        <v>1</v>
      </c>
      <c r="DN128" s="61"/>
    </row>
    <row r="129" spans="1:118" x14ac:dyDescent="0.25">
      <c r="A129" s="61">
        <v>106190949</v>
      </c>
      <c r="B129" s="62" t="s">
        <v>631</v>
      </c>
      <c r="C129" s="62" t="s">
        <v>632</v>
      </c>
      <c r="D129" s="62" t="s">
        <v>348</v>
      </c>
      <c r="E129" s="62" t="s">
        <v>71</v>
      </c>
      <c r="F129" s="62" t="s">
        <v>2213</v>
      </c>
      <c r="G129" s="62" t="s">
        <v>633</v>
      </c>
      <c r="H129" s="62" t="s">
        <v>634</v>
      </c>
      <c r="I129" s="62" t="s">
        <v>635</v>
      </c>
      <c r="J129" s="62" t="s">
        <v>2184</v>
      </c>
      <c r="K129" s="62" t="s">
        <v>82</v>
      </c>
      <c r="L129" s="61">
        <v>25</v>
      </c>
      <c r="M129" s="61">
        <v>38</v>
      </c>
      <c r="N129" s="61">
        <v>27</v>
      </c>
      <c r="O129" s="62" t="s">
        <v>1868</v>
      </c>
      <c r="P129" s="62" t="s">
        <v>68</v>
      </c>
      <c r="Q129" s="62" t="s">
        <v>2167</v>
      </c>
      <c r="R129" s="62" t="s">
        <v>2167</v>
      </c>
      <c r="S129" s="62" t="s">
        <v>69</v>
      </c>
      <c r="T129" s="61">
        <v>29943</v>
      </c>
      <c r="U129" s="61">
        <v>24350</v>
      </c>
      <c r="V129" s="61"/>
      <c r="W129" s="61">
        <v>7829</v>
      </c>
      <c r="X129" s="61">
        <v>7070</v>
      </c>
      <c r="Y129" s="61">
        <v>9473</v>
      </c>
      <c r="Z129" s="61">
        <v>7124</v>
      </c>
      <c r="AA129" s="61">
        <v>6641</v>
      </c>
      <c r="AB129" s="61">
        <v>6173</v>
      </c>
      <c r="AC129" s="61">
        <v>3759</v>
      </c>
      <c r="AD129" s="61">
        <v>2568</v>
      </c>
      <c r="AE129" s="61">
        <v>2424</v>
      </c>
      <c r="AF129" s="61">
        <v>1232</v>
      </c>
      <c r="AG129" s="61"/>
      <c r="AH129" s="61">
        <v>1701</v>
      </c>
      <c r="AI129" s="61">
        <v>3079</v>
      </c>
      <c r="AJ129" s="61">
        <v>11466</v>
      </c>
      <c r="AK129" s="61">
        <v>17</v>
      </c>
      <c r="AL129" s="61">
        <v>1830</v>
      </c>
      <c r="AM129" s="61">
        <v>94</v>
      </c>
      <c r="AN129" s="61">
        <v>36106</v>
      </c>
      <c r="AO129" s="61">
        <v>2015</v>
      </c>
      <c r="AP129" s="61">
        <v>1106</v>
      </c>
      <c r="AQ129" s="61">
        <v>84</v>
      </c>
      <c r="AR129" s="61">
        <v>60</v>
      </c>
      <c r="AS129" s="61"/>
      <c r="AT129" s="61">
        <v>2</v>
      </c>
      <c r="AU129" s="61"/>
      <c r="AV129" s="61">
        <v>470</v>
      </c>
      <c r="AW129" s="61">
        <v>49</v>
      </c>
      <c r="AX129" s="61"/>
      <c r="AY129" s="61">
        <v>49903</v>
      </c>
      <c r="AZ129" s="61">
        <v>46</v>
      </c>
      <c r="BA129" s="61">
        <v>542</v>
      </c>
      <c r="BB129" s="61"/>
      <c r="BC129" s="61"/>
      <c r="BD129" s="61">
        <v>10253</v>
      </c>
      <c r="BE129" s="61">
        <v>7233</v>
      </c>
      <c r="BF129" s="61">
        <v>1981</v>
      </c>
      <c r="BG129" s="61">
        <v>30669</v>
      </c>
      <c r="BH129" s="61">
        <v>4056</v>
      </c>
      <c r="BI129" s="61">
        <v>101</v>
      </c>
      <c r="BJ129" s="61">
        <v>54293</v>
      </c>
      <c r="BK129" s="61">
        <v>72</v>
      </c>
      <c r="BL129" s="61">
        <v>52764</v>
      </c>
      <c r="BM129" s="61">
        <v>1457</v>
      </c>
      <c r="BN129" s="61">
        <v>4838</v>
      </c>
      <c r="BO129" s="61">
        <v>4341</v>
      </c>
      <c r="BP129" s="61"/>
      <c r="BQ129" s="61">
        <v>271</v>
      </c>
      <c r="BR129" s="61">
        <v>908</v>
      </c>
      <c r="BS129" s="61">
        <v>786</v>
      </c>
      <c r="BT129" s="61">
        <v>1081</v>
      </c>
      <c r="BU129" s="61">
        <v>1577</v>
      </c>
      <c r="BV129" s="61">
        <v>1389</v>
      </c>
      <c r="BW129" s="61">
        <v>1408</v>
      </c>
      <c r="BX129" s="61">
        <v>1731</v>
      </c>
      <c r="BY129" s="61">
        <v>13</v>
      </c>
      <c r="BZ129" s="61">
        <v>15</v>
      </c>
      <c r="CA129" s="61"/>
      <c r="CB129" s="61">
        <v>362</v>
      </c>
      <c r="CC129" s="61">
        <v>436</v>
      </c>
      <c r="CD129" s="61">
        <v>1193</v>
      </c>
      <c r="CE129" s="61">
        <v>203</v>
      </c>
      <c r="CF129" s="61">
        <v>24</v>
      </c>
      <c r="CG129" s="61">
        <v>6957</v>
      </c>
      <c r="CH129" s="61">
        <v>4</v>
      </c>
      <c r="CI129" s="61">
        <v>7</v>
      </c>
      <c r="CJ129" s="61">
        <v>196</v>
      </c>
      <c r="CK129" s="61">
        <v>63</v>
      </c>
      <c r="CL129" s="61">
        <v>1025</v>
      </c>
      <c r="CM129" s="61">
        <v>21</v>
      </c>
      <c r="CN129" s="61"/>
      <c r="CO129" s="61"/>
      <c r="CP129" s="61">
        <v>6638</v>
      </c>
      <c r="CQ129" s="61">
        <v>852</v>
      </c>
      <c r="CR129" s="61">
        <v>15</v>
      </c>
      <c r="CS129" s="61">
        <v>32</v>
      </c>
      <c r="CT129" s="61">
        <v>19</v>
      </c>
      <c r="CU129" s="61">
        <v>311</v>
      </c>
      <c r="CV129" s="61"/>
      <c r="CW129" s="61"/>
      <c r="CX129" s="61">
        <v>1908</v>
      </c>
      <c r="CY129" s="61">
        <v>4155</v>
      </c>
      <c r="CZ129" s="61">
        <v>217</v>
      </c>
      <c r="DA129" s="61">
        <v>2753</v>
      </c>
      <c r="DB129" s="61">
        <v>146</v>
      </c>
      <c r="DC129" s="61"/>
      <c r="DD129" s="61">
        <v>9179</v>
      </c>
      <c r="DE129" s="61">
        <v>133</v>
      </c>
      <c r="DF129" s="61">
        <v>8543</v>
      </c>
      <c r="DG129" s="61">
        <v>503</v>
      </c>
      <c r="DH129" s="62" t="s">
        <v>2185</v>
      </c>
      <c r="DI129" s="61">
        <v>238</v>
      </c>
      <c r="DJ129" s="61">
        <v>36</v>
      </c>
      <c r="DK129" s="61"/>
      <c r="DL129" s="61">
        <v>16</v>
      </c>
      <c r="DM129" s="61"/>
      <c r="DN129" s="61"/>
    </row>
    <row r="130" spans="1:118" x14ac:dyDescent="0.25">
      <c r="A130" s="61">
        <v>106191227</v>
      </c>
      <c r="B130" s="62" t="s">
        <v>636</v>
      </c>
      <c r="C130" s="62" t="s">
        <v>637</v>
      </c>
      <c r="D130" s="62" t="s">
        <v>348</v>
      </c>
      <c r="E130" s="62" t="s">
        <v>100</v>
      </c>
      <c r="F130" s="62" t="s">
        <v>2213</v>
      </c>
      <c r="G130" s="62" t="s">
        <v>638</v>
      </c>
      <c r="H130" s="62" t="s">
        <v>472</v>
      </c>
      <c r="I130" s="62" t="s">
        <v>639</v>
      </c>
      <c r="J130" s="62" t="s">
        <v>2186</v>
      </c>
      <c r="K130" s="62" t="s">
        <v>534</v>
      </c>
      <c r="L130" s="61">
        <v>43</v>
      </c>
      <c r="M130" s="61">
        <v>66</v>
      </c>
      <c r="N130" s="61">
        <v>35</v>
      </c>
      <c r="O130" s="62" t="s">
        <v>1846</v>
      </c>
      <c r="P130" s="62" t="s">
        <v>68</v>
      </c>
      <c r="Q130" s="62" t="s">
        <v>2167</v>
      </c>
      <c r="R130" s="62" t="s">
        <v>83</v>
      </c>
      <c r="S130" s="62" t="s">
        <v>69</v>
      </c>
      <c r="T130" s="61">
        <v>26985</v>
      </c>
      <c r="U130" s="61">
        <v>28930</v>
      </c>
      <c r="V130" s="61">
        <v>6</v>
      </c>
      <c r="W130" s="61">
        <v>8552</v>
      </c>
      <c r="X130" s="61">
        <v>8005</v>
      </c>
      <c r="Y130" s="61">
        <v>7835</v>
      </c>
      <c r="Z130" s="61">
        <v>6502</v>
      </c>
      <c r="AA130" s="61">
        <v>7742</v>
      </c>
      <c r="AB130" s="61">
        <v>8500</v>
      </c>
      <c r="AC130" s="61">
        <v>4676</v>
      </c>
      <c r="AD130" s="61">
        <v>1305</v>
      </c>
      <c r="AE130" s="61">
        <v>657</v>
      </c>
      <c r="AF130" s="61">
        <v>2147</v>
      </c>
      <c r="AG130" s="61"/>
      <c r="AH130" s="61">
        <v>3278</v>
      </c>
      <c r="AI130" s="61">
        <v>12616</v>
      </c>
      <c r="AJ130" s="61">
        <v>33017</v>
      </c>
      <c r="AK130" s="61">
        <v>60</v>
      </c>
      <c r="AL130" s="61">
        <v>364</v>
      </c>
      <c r="AM130" s="61">
        <v>12</v>
      </c>
      <c r="AN130" s="61">
        <v>6574</v>
      </c>
      <c r="AO130" s="61">
        <v>15</v>
      </c>
      <c r="AP130" s="61">
        <v>392</v>
      </c>
      <c r="AQ130" s="61">
        <v>21</v>
      </c>
      <c r="AR130" s="61">
        <v>7</v>
      </c>
      <c r="AS130" s="61">
        <v>2</v>
      </c>
      <c r="AT130" s="61">
        <v>24</v>
      </c>
      <c r="AU130" s="61">
        <v>1</v>
      </c>
      <c r="AV130" s="61">
        <v>166</v>
      </c>
      <c r="AW130" s="61">
        <v>3003</v>
      </c>
      <c r="AX130" s="61">
        <v>14</v>
      </c>
      <c r="AY130" s="61">
        <v>51930</v>
      </c>
      <c r="AZ130" s="61">
        <v>94</v>
      </c>
      <c r="BA130" s="61">
        <v>209</v>
      </c>
      <c r="BB130" s="61"/>
      <c r="BC130" s="61">
        <v>43</v>
      </c>
      <c r="BD130" s="61">
        <v>35854</v>
      </c>
      <c r="BE130" s="61">
        <v>2662</v>
      </c>
      <c r="BF130" s="61">
        <v>841</v>
      </c>
      <c r="BG130" s="61">
        <v>2114</v>
      </c>
      <c r="BH130" s="61">
        <v>14162</v>
      </c>
      <c r="BI130" s="61">
        <v>288</v>
      </c>
      <c r="BJ130" s="61">
        <v>55921</v>
      </c>
      <c r="BK130" s="61">
        <v>653</v>
      </c>
      <c r="BL130" s="61">
        <v>38022</v>
      </c>
      <c r="BM130" s="61">
        <v>17246</v>
      </c>
      <c r="BN130" s="61">
        <v>5473</v>
      </c>
      <c r="BO130" s="61">
        <v>6967</v>
      </c>
      <c r="BP130" s="61"/>
      <c r="BQ130" s="61">
        <v>745</v>
      </c>
      <c r="BR130" s="61">
        <v>1636</v>
      </c>
      <c r="BS130" s="61">
        <v>1508</v>
      </c>
      <c r="BT130" s="61">
        <v>1849</v>
      </c>
      <c r="BU130" s="61">
        <v>2562</v>
      </c>
      <c r="BV130" s="61">
        <v>1819</v>
      </c>
      <c r="BW130" s="61">
        <v>771</v>
      </c>
      <c r="BX130" s="61">
        <v>668</v>
      </c>
      <c r="BY130" s="61">
        <v>306</v>
      </c>
      <c r="BZ130" s="61">
        <v>576</v>
      </c>
      <c r="CA130" s="61"/>
      <c r="CB130" s="61">
        <v>969</v>
      </c>
      <c r="CC130" s="61">
        <v>2873</v>
      </c>
      <c r="CD130" s="61">
        <v>6715</v>
      </c>
      <c r="CE130" s="61">
        <v>29</v>
      </c>
      <c r="CF130" s="61">
        <v>14</v>
      </c>
      <c r="CG130" s="61">
        <v>1829</v>
      </c>
      <c r="CH130" s="61">
        <v>11</v>
      </c>
      <c r="CI130" s="61">
        <v>561</v>
      </c>
      <c r="CJ130" s="61">
        <v>336</v>
      </c>
      <c r="CK130" s="61">
        <v>361</v>
      </c>
      <c r="CL130" s="61">
        <v>94</v>
      </c>
      <c r="CM130" s="61">
        <v>153</v>
      </c>
      <c r="CN130" s="61"/>
      <c r="CO130" s="61">
        <v>21</v>
      </c>
      <c r="CP130" s="61">
        <v>10156</v>
      </c>
      <c r="CQ130" s="61">
        <v>448</v>
      </c>
      <c r="CR130" s="61">
        <v>29</v>
      </c>
      <c r="CS130" s="61">
        <v>129</v>
      </c>
      <c r="CT130" s="61">
        <v>88</v>
      </c>
      <c r="CU130" s="61">
        <v>55</v>
      </c>
      <c r="CV130" s="61"/>
      <c r="CW130" s="61">
        <v>9</v>
      </c>
      <c r="CX130" s="61">
        <v>7789</v>
      </c>
      <c r="CY130" s="61">
        <v>1465</v>
      </c>
      <c r="CZ130" s="61">
        <v>289</v>
      </c>
      <c r="DA130" s="61">
        <v>577</v>
      </c>
      <c r="DB130" s="61">
        <v>2261</v>
      </c>
      <c r="DC130" s="61">
        <v>59</v>
      </c>
      <c r="DD130" s="61">
        <v>12440</v>
      </c>
      <c r="DE130" s="61">
        <v>271</v>
      </c>
      <c r="DF130" s="61">
        <v>8017</v>
      </c>
      <c r="DG130" s="61">
        <v>4152</v>
      </c>
      <c r="DH130" s="62" t="s">
        <v>2185</v>
      </c>
      <c r="DI130" s="61">
        <v>453</v>
      </c>
      <c r="DJ130" s="61">
        <v>84</v>
      </c>
      <c r="DK130" s="61"/>
      <c r="DL130" s="61"/>
      <c r="DM130" s="61"/>
      <c r="DN130" s="61"/>
    </row>
    <row r="131" spans="1:118" x14ac:dyDescent="0.25">
      <c r="A131" s="61">
        <v>106191228</v>
      </c>
      <c r="B131" s="62" t="s">
        <v>640</v>
      </c>
      <c r="C131" s="62" t="s">
        <v>641</v>
      </c>
      <c r="D131" s="62" t="s">
        <v>348</v>
      </c>
      <c r="E131" s="62" t="s">
        <v>100</v>
      </c>
      <c r="F131" s="62" t="s">
        <v>2213</v>
      </c>
      <c r="G131" s="62" t="s">
        <v>642</v>
      </c>
      <c r="H131" s="62" t="s">
        <v>348</v>
      </c>
      <c r="I131" s="62" t="s">
        <v>626</v>
      </c>
      <c r="J131" s="62" t="s">
        <v>2191</v>
      </c>
      <c r="K131" s="62" t="s">
        <v>534</v>
      </c>
      <c r="L131" s="61">
        <v>34</v>
      </c>
      <c r="M131" s="61">
        <v>51</v>
      </c>
      <c r="N131" s="61">
        <v>24</v>
      </c>
      <c r="O131" s="62" t="s">
        <v>1832</v>
      </c>
      <c r="P131" s="62" t="s">
        <v>68</v>
      </c>
      <c r="Q131" s="62" t="s">
        <v>2167</v>
      </c>
      <c r="R131" s="62" t="s">
        <v>83</v>
      </c>
      <c r="S131" s="62" t="s">
        <v>223</v>
      </c>
      <c r="T131" s="61">
        <v>48701</v>
      </c>
      <c r="U131" s="61">
        <v>63193</v>
      </c>
      <c r="V131" s="61">
        <v>12</v>
      </c>
      <c r="W131" s="61">
        <v>8582</v>
      </c>
      <c r="X131" s="61">
        <v>9402</v>
      </c>
      <c r="Y131" s="61">
        <v>18028</v>
      </c>
      <c r="Z131" s="61">
        <v>18351</v>
      </c>
      <c r="AA131" s="61">
        <v>20576</v>
      </c>
      <c r="AB131" s="61">
        <v>20888</v>
      </c>
      <c r="AC131" s="61">
        <v>10492</v>
      </c>
      <c r="AD131" s="61">
        <v>2627</v>
      </c>
      <c r="AE131" s="61">
        <v>964</v>
      </c>
      <c r="AF131" s="61">
        <v>1996</v>
      </c>
      <c r="AG131" s="61"/>
      <c r="AH131" s="61">
        <v>4280</v>
      </c>
      <c r="AI131" s="61">
        <v>16470</v>
      </c>
      <c r="AJ131" s="61">
        <v>76148</v>
      </c>
      <c r="AK131" s="61">
        <v>161</v>
      </c>
      <c r="AL131" s="61">
        <v>1669</v>
      </c>
      <c r="AM131" s="61">
        <v>1380</v>
      </c>
      <c r="AN131" s="61">
        <v>11798</v>
      </c>
      <c r="AO131" s="61">
        <v>2392</v>
      </c>
      <c r="AP131" s="61">
        <v>5558</v>
      </c>
      <c r="AQ131" s="61">
        <v>110</v>
      </c>
      <c r="AR131" s="61">
        <v>4</v>
      </c>
      <c r="AS131" s="61">
        <v>1</v>
      </c>
      <c r="AT131" s="61">
        <v>48</v>
      </c>
      <c r="AU131" s="61">
        <v>2</v>
      </c>
      <c r="AV131" s="61">
        <v>7503</v>
      </c>
      <c r="AW131" s="61">
        <v>3122</v>
      </c>
      <c r="AX131" s="61">
        <v>11</v>
      </c>
      <c r="AY131" s="61">
        <v>90570</v>
      </c>
      <c r="AZ131" s="61">
        <v>98</v>
      </c>
      <c r="BA131" s="61">
        <v>516</v>
      </c>
      <c r="BB131" s="61"/>
      <c r="BC131" s="61">
        <v>1971</v>
      </c>
      <c r="BD131" s="61">
        <v>80486</v>
      </c>
      <c r="BE131" s="61">
        <v>5505</v>
      </c>
      <c r="BF131" s="61">
        <v>11178</v>
      </c>
      <c r="BG131" s="61">
        <v>4053</v>
      </c>
      <c r="BH131" s="61">
        <v>10664</v>
      </c>
      <c r="BI131" s="61">
        <v>20</v>
      </c>
      <c r="BJ131" s="61">
        <v>111906</v>
      </c>
      <c r="BK131" s="61">
        <v>2496</v>
      </c>
      <c r="BL131" s="61">
        <v>63909</v>
      </c>
      <c r="BM131" s="61">
        <v>45501</v>
      </c>
      <c r="BN131" s="61">
        <v>8556</v>
      </c>
      <c r="BO131" s="61">
        <v>12637</v>
      </c>
      <c r="BP131" s="61">
        <v>1</v>
      </c>
      <c r="BQ131" s="61">
        <v>1036</v>
      </c>
      <c r="BR131" s="61">
        <v>2624</v>
      </c>
      <c r="BS131" s="61">
        <v>2847</v>
      </c>
      <c r="BT131" s="61">
        <v>3601</v>
      </c>
      <c r="BU131" s="61">
        <v>4713</v>
      </c>
      <c r="BV131" s="61">
        <v>3306</v>
      </c>
      <c r="BW131" s="61">
        <v>1222</v>
      </c>
      <c r="BX131" s="61">
        <v>858</v>
      </c>
      <c r="BY131" s="61">
        <v>321</v>
      </c>
      <c r="BZ131" s="61">
        <v>666</v>
      </c>
      <c r="CA131" s="61"/>
      <c r="CB131" s="61">
        <v>1401</v>
      </c>
      <c r="CC131" s="61">
        <v>2799</v>
      </c>
      <c r="CD131" s="61">
        <v>13858</v>
      </c>
      <c r="CE131" s="61">
        <v>356</v>
      </c>
      <c r="CF131" s="61">
        <v>114</v>
      </c>
      <c r="CG131" s="61">
        <v>2653</v>
      </c>
      <c r="CH131" s="61">
        <v>13</v>
      </c>
      <c r="CI131" s="61">
        <v>690</v>
      </c>
      <c r="CJ131" s="61">
        <v>824</v>
      </c>
      <c r="CK131" s="61">
        <v>536</v>
      </c>
      <c r="CL131" s="61">
        <v>54</v>
      </c>
      <c r="CM131" s="61">
        <v>366</v>
      </c>
      <c r="CN131" s="61"/>
      <c r="CO131" s="61">
        <v>171</v>
      </c>
      <c r="CP131" s="61">
        <v>16485</v>
      </c>
      <c r="CQ131" s="61">
        <v>660</v>
      </c>
      <c r="CR131" s="61">
        <v>914</v>
      </c>
      <c r="CS131" s="61">
        <v>114</v>
      </c>
      <c r="CT131" s="61">
        <v>128</v>
      </c>
      <c r="CU131" s="61">
        <v>133</v>
      </c>
      <c r="CV131" s="61">
        <v>5</v>
      </c>
      <c r="CW131" s="61">
        <v>114</v>
      </c>
      <c r="CX131" s="61">
        <v>16518</v>
      </c>
      <c r="CY131" s="61">
        <v>2598</v>
      </c>
      <c r="CZ131" s="61">
        <v>566</v>
      </c>
      <c r="DA131" s="61">
        <v>849</v>
      </c>
      <c r="DB131" s="61">
        <v>661</v>
      </c>
      <c r="DC131" s="61">
        <v>2</v>
      </c>
      <c r="DD131" s="61">
        <v>21194</v>
      </c>
      <c r="DE131" s="61">
        <v>910</v>
      </c>
      <c r="DF131" s="61">
        <v>11322</v>
      </c>
      <c r="DG131" s="61">
        <v>8962</v>
      </c>
      <c r="DH131" s="62" t="s">
        <v>2185</v>
      </c>
      <c r="DI131" s="61">
        <v>676</v>
      </c>
      <c r="DJ131" s="61">
        <v>106</v>
      </c>
      <c r="DK131" s="61"/>
      <c r="DL131" s="61"/>
      <c r="DM131" s="61"/>
      <c r="DN131" s="61"/>
    </row>
    <row r="132" spans="1:118" x14ac:dyDescent="0.25">
      <c r="A132" s="61">
        <v>106191230</v>
      </c>
      <c r="B132" s="62" t="s">
        <v>2201</v>
      </c>
      <c r="C132" s="62" t="s">
        <v>2202</v>
      </c>
      <c r="D132" s="62" t="s">
        <v>348</v>
      </c>
      <c r="E132" s="62" t="s">
        <v>100</v>
      </c>
      <c r="F132" s="62" t="s">
        <v>2213</v>
      </c>
      <c r="G132" s="62" t="s">
        <v>2203</v>
      </c>
      <c r="H132" s="62" t="s">
        <v>348</v>
      </c>
      <c r="I132" s="62" t="s">
        <v>2204</v>
      </c>
      <c r="J132" s="62" t="s">
        <v>2186</v>
      </c>
      <c r="K132" s="62"/>
      <c r="L132" s="61">
        <v>44</v>
      </c>
      <c r="M132" s="61">
        <v>64</v>
      </c>
      <c r="N132" s="61">
        <v>35</v>
      </c>
      <c r="O132" s="62" t="s">
        <v>2205</v>
      </c>
      <c r="P132" s="62" t="s">
        <v>68</v>
      </c>
      <c r="Q132" s="62" t="s">
        <v>2167</v>
      </c>
      <c r="R132" s="62" t="s">
        <v>83</v>
      </c>
      <c r="S132" s="62" t="s">
        <v>69</v>
      </c>
      <c r="T132" s="61">
        <v>10288</v>
      </c>
      <c r="U132" s="61">
        <v>8186</v>
      </c>
      <c r="V132" s="61">
        <v>6</v>
      </c>
      <c r="W132" s="61">
        <v>1258</v>
      </c>
      <c r="X132" s="61">
        <v>1641</v>
      </c>
      <c r="Y132" s="61">
        <v>3647</v>
      </c>
      <c r="Z132" s="61">
        <v>3120</v>
      </c>
      <c r="AA132" s="61">
        <v>2982</v>
      </c>
      <c r="AB132" s="61">
        <v>3266</v>
      </c>
      <c r="AC132" s="61">
        <v>1559</v>
      </c>
      <c r="AD132" s="61">
        <v>471</v>
      </c>
      <c r="AE132" s="61">
        <v>284</v>
      </c>
      <c r="AF132" s="61">
        <v>252</v>
      </c>
      <c r="AG132" s="61"/>
      <c r="AH132" s="61">
        <v>88</v>
      </c>
      <c r="AI132" s="61">
        <v>8748</v>
      </c>
      <c r="AJ132" s="61">
        <v>8465</v>
      </c>
      <c r="AK132" s="61">
        <v>27</v>
      </c>
      <c r="AL132" s="61">
        <v>82</v>
      </c>
      <c r="AM132" s="61">
        <v>204</v>
      </c>
      <c r="AN132" s="61">
        <v>866</v>
      </c>
      <c r="AO132" s="61">
        <v>530</v>
      </c>
      <c r="AP132" s="61">
        <v>558</v>
      </c>
      <c r="AQ132" s="61">
        <v>18</v>
      </c>
      <c r="AR132" s="61">
        <v>7</v>
      </c>
      <c r="AS132" s="61">
        <v>34</v>
      </c>
      <c r="AT132" s="61"/>
      <c r="AU132" s="61"/>
      <c r="AV132" s="61"/>
      <c r="AW132" s="61">
        <v>238</v>
      </c>
      <c r="AX132" s="61">
        <v>66</v>
      </c>
      <c r="AY132" s="61">
        <v>16924</v>
      </c>
      <c r="AZ132" s="61">
        <v>7</v>
      </c>
      <c r="BA132" s="61">
        <v>11</v>
      </c>
      <c r="BB132" s="61">
        <v>38</v>
      </c>
      <c r="BC132" s="61"/>
      <c r="BD132" s="61">
        <v>10049</v>
      </c>
      <c r="BE132" s="61">
        <v>1238</v>
      </c>
      <c r="BF132" s="61">
        <v>4085</v>
      </c>
      <c r="BG132" s="61">
        <v>3108</v>
      </c>
      <c r="BH132" s="61"/>
      <c r="BI132" s="61"/>
      <c r="BJ132" s="61">
        <v>18480</v>
      </c>
      <c r="BK132" s="61">
        <v>54</v>
      </c>
      <c r="BL132" s="61">
        <v>14385</v>
      </c>
      <c r="BM132" s="61">
        <v>4041</v>
      </c>
      <c r="BN132" s="61">
        <v>830</v>
      </c>
      <c r="BO132" s="61">
        <v>761</v>
      </c>
      <c r="BP132" s="61"/>
      <c r="BQ132" s="61">
        <v>18</v>
      </c>
      <c r="BR132" s="61">
        <v>165</v>
      </c>
      <c r="BS132" s="61">
        <v>157</v>
      </c>
      <c r="BT132" s="61">
        <v>256</v>
      </c>
      <c r="BU132" s="61">
        <v>438</v>
      </c>
      <c r="BV132" s="61">
        <v>320</v>
      </c>
      <c r="BW132" s="61">
        <v>120</v>
      </c>
      <c r="BX132" s="61">
        <v>116</v>
      </c>
      <c r="BY132" s="61"/>
      <c r="BZ132" s="61">
        <v>1</v>
      </c>
      <c r="CA132" s="61"/>
      <c r="CB132" s="61">
        <v>6</v>
      </c>
      <c r="CC132" s="61">
        <v>811</v>
      </c>
      <c r="CD132" s="61">
        <v>678</v>
      </c>
      <c r="CE132" s="61"/>
      <c r="CF132" s="61">
        <v>11</v>
      </c>
      <c r="CG132" s="61">
        <v>83</v>
      </c>
      <c r="CH132" s="61">
        <v>2</v>
      </c>
      <c r="CI132" s="61">
        <v>61</v>
      </c>
      <c r="CJ132" s="61">
        <v>63</v>
      </c>
      <c r="CK132" s="61">
        <v>32</v>
      </c>
      <c r="CL132" s="61">
        <v>55</v>
      </c>
      <c r="CM132" s="61">
        <v>4</v>
      </c>
      <c r="CN132" s="61"/>
      <c r="CO132" s="61">
        <v>26</v>
      </c>
      <c r="CP132" s="61">
        <v>1260</v>
      </c>
      <c r="CQ132" s="61">
        <v>51</v>
      </c>
      <c r="CR132" s="61">
        <v>2</v>
      </c>
      <c r="CS132" s="61">
        <v>20</v>
      </c>
      <c r="CT132" s="61">
        <v>8</v>
      </c>
      <c r="CU132" s="61">
        <v>6</v>
      </c>
      <c r="CV132" s="61">
        <v>3</v>
      </c>
      <c r="CW132" s="61"/>
      <c r="CX132" s="61">
        <v>1102</v>
      </c>
      <c r="CY132" s="61">
        <v>356</v>
      </c>
      <c r="CZ132" s="61">
        <v>3</v>
      </c>
      <c r="DA132" s="61">
        <v>53</v>
      </c>
      <c r="DB132" s="61">
        <v>77</v>
      </c>
      <c r="DC132" s="61"/>
      <c r="DD132" s="61">
        <v>1591</v>
      </c>
      <c r="DE132" s="61">
        <v>6</v>
      </c>
      <c r="DF132" s="61">
        <v>1154</v>
      </c>
      <c r="DG132" s="61">
        <v>431</v>
      </c>
      <c r="DH132" s="62" t="s">
        <v>2185</v>
      </c>
      <c r="DI132" s="61">
        <v>461</v>
      </c>
      <c r="DJ132" s="61">
        <v>30</v>
      </c>
      <c r="DK132" s="61">
        <v>46</v>
      </c>
      <c r="DL132" s="61">
        <v>3</v>
      </c>
      <c r="DM132" s="61"/>
      <c r="DN132" s="61"/>
    </row>
    <row r="133" spans="1:118" x14ac:dyDescent="0.25">
      <c r="A133" s="61">
        <v>106191231</v>
      </c>
      <c r="B133" s="62" t="s">
        <v>643</v>
      </c>
      <c r="C133" s="62" t="s">
        <v>644</v>
      </c>
      <c r="D133" s="62" t="s">
        <v>348</v>
      </c>
      <c r="E133" s="62" t="s">
        <v>100</v>
      </c>
      <c r="F133" s="62" t="s">
        <v>2213</v>
      </c>
      <c r="G133" s="62" t="s">
        <v>645</v>
      </c>
      <c r="H133" s="62" t="s">
        <v>646</v>
      </c>
      <c r="I133" s="62" t="s">
        <v>647</v>
      </c>
      <c r="J133" s="62" t="s">
        <v>2186</v>
      </c>
      <c r="K133" s="62"/>
      <c r="L133" s="61">
        <v>29</v>
      </c>
      <c r="M133" s="61">
        <v>39</v>
      </c>
      <c r="N133" s="61">
        <v>18</v>
      </c>
      <c r="O133" s="62" t="s">
        <v>1869</v>
      </c>
      <c r="P133" s="62" t="s">
        <v>68</v>
      </c>
      <c r="Q133" s="62" t="s">
        <v>2167</v>
      </c>
      <c r="R133" s="62" t="s">
        <v>83</v>
      </c>
      <c r="S133" s="62" t="s">
        <v>69</v>
      </c>
      <c r="T133" s="61">
        <v>27540</v>
      </c>
      <c r="U133" s="61">
        <v>26383</v>
      </c>
      <c r="V133" s="61"/>
      <c r="W133" s="61">
        <v>2229</v>
      </c>
      <c r="X133" s="61">
        <v>4126</v>
      </c>
      <c r="Y133" s="61">
        <v>9212</v>
      </c>
      <c r="Z133" s="61">
        <v>9390</v>
      </c>
      <c r="AA133" s="61">
        <v>10366</v>
      </c>
      <c r="AB133" s="61">
        <v>10448</v>
      </c>
      <c r="AC133" s="61">
        <v>5710</v>
      </c>
      <c r="AD133" s="61">
        <v>1345</v>
      </c>
      <c r="AE133" s="61">
        <v>594</v>
      </c>
      <c r="AF133" s="61">
        <v>503</v>
      </c>
      <c r="AG133" s="61"/>
      <c r="AH133" s="61">
        <v>2266</v>
      </c>
      <c r="AI133" s="61">
        <v>3498</v>
      </c>
      <c r="AJ133" s="61">
        <v>37710</v>
      </c>
      <c r="AK133" s="61">
        <v>92</v>
      </c>
      <c r="AL133" s="61">
        <v>343</v>
      </c>
      <c r="AM133" s="61">
        <v>54</v>
      </c>
      <c r="AN133" s="61">
        <v>9960</v>
      </c>
      <c r="AO133" s="61">
        <v>3435</v>
      </c>
      <c r="AP133" s="61">
        <v>2079</v>
      </c>
      <c r="AQ133" s="61">
        <v>10</v>
      </c>
      <c r="AR133" s="61">
        <v>15</v>
      </c>
      <c r="AS133" s="61">
        <v>2</v>
      </c>
      <c r="AT133" s="61"/>
      <c r="AU133" s="61"/>
      <c r="AV133" s="61">
        <v>366</v>
      </c>
      <c r="AW133" s="61">
        <v>872</v>
      </c>
      <c r="AX133" s="61">
        <v>145</v>
      </c>
      <c r="AY133" s="61">
        <v>46713</v>
      </c>
      <c r="AZ133" s="61">
        <v>115</v>
      </c>
      <c r="BA133" s="61">
        <v>158</v>
      </c>
      <c r="BB133" s="61"/>
      <c r="BC133" s="61">
        <v>12</v>
      </c>
      <c r="BD133" s="61">
        <v>40001</v>
      </c>
      <c r="BE133" s="61">
        <v>2973</v>
      </c>
      <c r="BF133" s="61">
        <v>572</v>
      </c>
      <c r="BG133" s="61">
        <v>2440</v>
      </c>
      <c r="BH133" s="61">
        <v>7937</v>
      </c>
      <c r="BI133" s="61"/>
      <c r="BJ133" s="61">
        <v>53923</v>
      </c>
      <c r="BK133" s="61">
        <v>1421</v>
      </c>
      <c r="BL133" s="61">
        <v>27743</v>
      </c>
      <c r="BM133" s="61">
        <v>24759</v>
      </c>
      <c r="BN133" s="61">
        <v>3685</v>
      </c>
      <c r="BO133" s="61">
        <v>4222</v>
      </c>
      <c r="BP133" s="61"/>
      <c r="BQ133" s="61">
        <v>152</v>
      </c>
      <c r="BR133" s="61">
        <v>695</v>
      </c>
      <c r="BS133" s="61">
        <v>916</v>
      </c>
      <c r="BT133" s="61">
        <v>1382</v>
      </c>
      <c r="BU133" s="61">
        <v>2088</v>
      </c>
      <c r="BV133" s="61">
        <v>1510</v>
      </c>
      <c r="BW133" s="61">
        <v>611</v>
      </c>
      <c r="BX133" s="61">
        <v>441</v>
      </c>
      <c r="BY133" s="61">
        <v>37</v>
      </c>
      <c r="BZ133" s="61">
        <v>75</v>
      </c>
      <c r="CA133" s="61"/>
      <c r="CB133" s="61">
        <v>517</v>
      </c>
      <c r="CC133" s="61">
        <v>427</v>
      </c>
      <c r="CD133" s="61">
        <v>5252</v>
      </c>
      <c r="CE133" s="61">
        <v>28</v>
      </c>
      <c r="CF133" s="61">
        <v>2</v>
      </c>
      <c r="CG133" s="61">
        <v>1661</v>
      </c>
      <c r="CH133" s="61">
        <v>20</v>
      </c>
      <c r="CI133" s="61">
        <v>201</v>
      </c>
      <c r="CJ133" s="61">
        <v>199</v>
      </c>
      <c r="CK133" s="61">
        <v>129</v>
      </c>
      <c r="CL133" s="61">
        <v>158</v>
      </c>
      <c r="CM133" s="61">
        <v>6</v>
      </c>
      <c r="CN133" s="61"/>
      <c r="CO133" s="61">
        <v>60</v>
      </c>
      <c r="CP133" s="61">
        <v>6744</v>
      </c>
      <c r="CQ133" s="61">
        <v>331</v>
      </c>
      <c r="CR133" s="61">
        <v>7</v>
      </c>
      <c r="CS133" s="61">
        <v>4</v>
      </c>
      <c r="CT133" s="61">
        <v>16</v>
      </c>
      <c r="CU133" s="61">
        <v>39</v>
      </c>
      <c r="CV133" s="61"/>
      <c r="CW133" s="61">
        <v>7</v>
      </c>
      <c r="CX133" s="61">
        <v>6048</v>
      </c>
      <c r="CY133" s="61">
        <v>1083</v>
      </c>
      <c r="CZ133" s="61">
        <v>287</v>
      </c>
      <c r="DA133" s="61">
        <v>97</v>
      </c>
      <c r="DB133" s="61">
        <v>392</v>
      </c>
      <c r="DC133" s="61"/>
      <c r="DD133" s="61">
        <v>7907</v>
      </c>
      <c r="DE133" s="61">
        <v>370</v>
      </c>
      <c r="DF133" s="61">
        <v>3635</v>
      </c>
      <c r="DG133" s="61">
        <v>3902</v>
      </c>
      <c r="DH133" s="62" t="s">
        <v>2185</v>
      </c>
      <c r="DI133" s="61">
        <v>355</v>
      </c>
      <c r="DJ133" s="61">
        <v>51</v>
      </c>
      <c r="DK133" s="61"/>
      <c r="DL133" s="61">
        <v>1</v>
      </c>
      <c r="DM133" s="61">
        <v>6</v>
      </c>
      <c r="DN133" s="61"/>
    </row>
    <row r="134" spans="1:118" x14ac:dyDescent="0.25">
      <c r="A134" s="61">
        <v>106191450</v>
      </c>
      <c r="B134" s="62" t="s">
        <v>649</v>
      </c>
      <c r="C134" s="62" t="s">
        <v>2052</v>
      </c>
      <c r="D134" s="62" t="s">
        <v>348</v>
      </c>
      <c r="E134" s="62" t="s">
        <v>71</v>
      </c>
      <c r="F134" s="62" t="s">
        <v>2213</v>
      </c>
      <c r="G134" s="62" t="s">
        <v>650</v>
      </c>
      <c r="H134" s="62" t="s">
        <v>651</v>
      </c>
      <c r="I134" s="62" t="s">
        <v>652</v>
      </c>
      <c r="J134" s="62" t="s">
        <v>2184</v>
      </c>
      <c r="K134" s="62"/>
      <c r="L134" s="61">
        <v>30</v>
      </c>
      <c r="M134" s="61">
        <v>45</v>
      </c>
      <c r="N134" s="61">
        <v>27</v>
      </c>
      <c r="O134" s="62" t="s">
        <v>1839</v>
      </c>
      <c r="P134" s="62" t="s">
        <v>68</v>
      </c>
      <c r="Q134" s="62" t="s">
        <v>2167</v>
      </c>
      <c r="R134" s="62" t="s">
        <v>2167</v>
      </c>
      <c r="S134" s="62" t="s">
        <v>69</v>
      </c>
      <c r="T134" s="61">
        <v>19681</v>
      </c>
      <c r="U134" s="61">
        <v>16654</v>
      </c>
      <c r="V134" s="61"/>
      <c r="W134" s="61">
        <v>2806</v>
      </c>
      <c r="X134" s="61">
        <v>3094</v>
      </c>
      <c r="Y134" s="61">
        <v>4720</v>
      </c>
      <c r="Z134" s="61">
        <v>3776</v>
      </c>
      <c r="AA134" s="61">
        <v>3814</v>
      </c>
      <c r="AB134" s="61">
        <v>4184</v>
      </c>
      <c r="AC134" s="61">
        <v>4719</v>
      </c>
      <c r="AD134" s="61">
        <v>3883</v>
      </c>
      <c r="AE134" s="61">
        <v>4873</v>
      </c>
      <c r="AF134" s="61">
        <v>466</v>
      </c>
      <c r="AG134" s="61"/>
      <c r="AH134" s="61">
        <v>3186</v>
      </c>
      <c r="AI134" s="61">
        <v>2613</v>
      </c>
      <c r="AJ134" s="61">
        <v>8579</v>
      </c>
      <c r="AK134" s="61">
        <v>76</v>
      </c>
      <c r="AL134" s="61">
        <v>383</v>
      </c>
      <c r="AM134" s="61">
        <v>258</v>
      </c>
      <c r="AN134" s="61">
        <v>21240</v>
      </c>
      <c r="AO134" s="61">
        <v>293</v>
      </c>
      <c r="AP134" s="61">
        <v>240</v>
      </c>
      <c r="AQ134" s="61">
        <v>14</v>
      </c>
      <c r="AR134" s="61">
        <v>272</v>
      </c>
      <c r="AS134" s="61">
        <v>65</v>
      </c>
      <c r="AT134" s="61">
        <v>4</v>
      </c>
      <c r="AU134" s="61"/>
      <c r="AV134" s="61">
        <v>24</v>
      </c>
      <c r="AW134" s="61">
        <v>489</v>
      </c>
      <c r="AX134" s="61">
        <v>2</v>
      </c>
      <c r="AY134" s="61">
        <v>34599</v>
      </c>
      <c r="AZ134" s="61">
        <v>187</v>
      </c>
      <c r="BA134" s="61"/>
      <c r="BB134" s="61"/>
      <c r="BC134" s="61">
        <v>139</v>
      </c>
      <c r="BD134" s="61">
        <v>5652</v>
      </c>
      <c r="BE134" s="61">
        <v>11313</v>
      </c>
      <c r="BF134" s="61">
        <v>76</v>
      </c>
      <c r="BG134" s="61">
        <v>16734</v>
      </c>
      <c r="BH134" s="61">
        <v>2555</v>
      </c>
      <c r="BI134" s="61">
        <v>5</v>
      </c>
      <c r="BJ134" s="61">
        <v>36335</v>
      </c>
      <c r="BK134" s="61">
        <v>815</v>
      </c>
      <c r="BL134" s="61">
        <v>33102</v>
      </c>
      <c r="BM134" s="61">
        <v>2418</v>
      </c>
      <c r="BN134" s="61">
        <v>2949</v>
      </c>
      <c r="BO134" s="61">
        <v>2527</v>
      </c>
      <c r="BP134" s="61"/>
      <c r="BQ134" s="61">
        <v>49</v>
      </c>
      <c r="BR134" s="61">
        <v>139</v>
      </c>
      <c r="BS134" s="61">
        <v>156</v>
      </c>
      <c r="BT134" s="61">
        <v>299</v>
      </c>
      <c r="BU134" s="61">
        <v>547</v>
      </c>
      <c r="BV134" s="61">
        <v>933</v>
      </c>
      <c r="BW134" s="61">
        <v>1235</v>
      </c>
      <c r="BX134" s="61">
        <v>2082</v>
      </c>
      <c r="BY134" s="61">
        <v>17</v>
      </c>
      <c r="BZ134" s="61">
        <v>19</v>
      </c>
      <c r="CA134" s="61"/>
      <c r="CB134" s="61">
        <v>414</v>
      </c>
      <c r="CC134" s="61">
        <v>204</v>
      </c>
      <c r="CD134" s="61">
        <v>691</v>
      </c>
      <c r="CE134" s="61">
        <v>9</v>
      </c>
      <c r="CF134" s="61">
        <v>15</v>
      </c>
      <c r="CG134" s="61">
        <v>4132</v>
      </c>
      <c r="CH134" s="61">
        <v>11</v>
      </c>
      <c r="CI134" s="61">
        <v>192</v>
      </c>
      <c r="CJ134" s="61">
        <v>47</v>
      </c>
      <c r="CK134" s="61">
        <v>200</v>
      </c>
      <c r="CL134" s="61">
        <v>1457</v>
      </c>
      <c r="CM134" s="61">
        <v>6</v>
      </c>
      <c r="CN134" s="61"/>
      <c r="CO134" s="61">
        <v>7</v>
      </c>
      <c r="CP134" s="61">
        <v>2774</v>
      </c>
      <c r="CQ134" s="61">
        <v>596</v>
      </c>
      <c r="CR134" s="61"/>
      <c r="CS134" s="61">
        <v>166</v>
      </c>
      <c r="CT134" s="61">
        <v>22</v>
      </c>
      <c r="CU134" s="61">
        <v>1</v>
      </c>
      <c r="CV134" s="61"/>
      <c r="CW134" s="61">
        <v>7</v>
      </c>
      <c r="CX134" s="61">
        <v>266</v>
      </c>
      <c r="CY134" s="61">
        <v>3818</v>
      </c>
      <c r="CZ134" s="61">
        <v>6</v>
      </c>
      <c r="DA134" s="61">
        <v>1301</v>
      </c>
      <c r="DB134" s="61">
        <v>84</v>
      </c>
      <c r="DC134" s="61">
        <v>1</v>
      </c>
      <c r="DD134" s="61">
        <v>5476</v>
      </c>
      <c r="DE134" s="61">
        <v>147</v>
      </c>
      <c r="DF134" s="61">
        <v>5077</v>
      </c>
      <c r="DG134" s="61">
        <v>252</v>
      </c>
      <c r="DH134" s="62" t="s">
        <v>2185</v>
      </c>
      <c r="DI134" s="61">
        <v>262</v>
      </c>
      <c r="DJ134" s="61">
        <v>27</v>
      </c>
      <c r="DK134" s="61">
        <v>7</v>
      </c>
      <c r="DL134" s="61"/>
      <c r="DM134" s="61"/>
      <c r="DN134" s="61">
        <v>1</v>
      </c>
    </row>
    <row r="135" spans="1:118" x14ac:dyDescent="0.25">
      <c r="A135" s="61">
        <v>106196035</v>
      </c>
      <c r="B135" s="62" t="s">
        <v>653</v>
      </c>
      <c r="C135" s="62" t="s">
        <v>2053</v>
      </c>
      <c r="D135" s="62" t="s">
        <v>348</v>
      </c>
      <c r="E135" s="62" t="s">
        <v>71</v>
      </c>
      <c r="F135" s="62" t="s">
        <v>2213</v>
      </c>
      <c r="G135" s="62" t="s">
        <v>654</v>
      </c>
      <c r="H135" s="62" t="s">
        <v>655</v>
      </c>
      <c r="I135" s="62" t="s">
        <v>656</v>
      </c>
      <c r="J135" s="62" t="s">
        <v>2184</v>
      </c>
      <c r="K135" s="62"/>
      <c r="L135" s="61">
        <v>32</v>
      </c>
      <c r="M135" s="61">
        <v>48</v>
      </c>
      <c r="N135" s="61">
        <v>22</v>
      </c>
      <c r="O135" s="62" t="s">
        <v>1843</v>
      </c>
      <c r="P135" s="62" t="s">
        <v>68</v>
      </c>
      <c r="Q135" s="62" t="s">
        <v>2167</v>
      </c>
      <c r="R135" s="62" t="s">
        <v>2167</v>
      </c>
      <c r="S135" s="62" t="s">
        <v>69</v>
      </c>
      <c r="T135" s="61">
        <v>40448</v>
      </c>
      <c r="U135" s="61">
        <v>34118</v>
      </c>
      <c r="V135" s="61">
        <v>1</v>
      </c>
      <c r="W135" s="61">
        <v>10633</v>
      </c>
      <c r="X135" s="61">
        <v>8273</v>
      </c>
      <c r="Y135" s="61">
        <v>10527</v>
      </c>
      <c r="Z135" s="61">
        <v>8434</v>
      </c>
      <c r="AA135" s="61">
        <v>8139</v>
      </c>
      <c r="AB135" s="61">
        <v>8090</v>
      </c>
      <c r="AC135" s="61">
        <v>7411</v>
      </c>
      <c r="AD135" s="61">
        <v>6208</v>
      </c>
      <c r="AE135" s="61">
        <v>4837</v>
      </c>
      <c r="AF135" s="61">
        <v>2013</v>
      </c>
      <c r="AG135" s="61">
        <v>2</v>
      </c>
      <c r="AH135" s="61">
        <v>7164</v>
      </c>
      <c r="AI135" s="61">
        <v>2572</v>
      </c>
      <c r="AJ135" s="61">
        <v>51887</v>
      </c>
      <c r="AK135" s="61">
        <v>191</v>
      </c>
      <c r="AL135" s="61">
        <v>1099</v>
      </c>
      <c r="AM135" s="61">
        <v>1181</v>
      </c>
      <c r="AN135" s="61">
        <v>10473</v>
      </c>
      <c r="AO135" s="61">
        <v>1082</v>
      </c>
      <c r="AP135" s="61">
        <v>294</v>
      </c>
      <c r="AQ135" s="61">
        <v>30</v>
      </c>
      <c r="AR135" s="61">
        <v>782</v>
      </c>
      <c r="AS135" s="61">
        <v>117</v>
      </c>
      <c r="AT135" s="61">
        <v>13</v>
      </c>
      <c r="AU135" s="61"/>
      <c r="AV135" s="61">
        <v>149</v>
      </c>
      <c r="AW135" s="61">
        <v>750</v>
      </c>
      <c r="AX135" s="61">
        <v>10</v>
      </c>
      <c r="AY135" s="61">
        <v>71169</v>
      </c>
      <c r="AZ135" s="61">
        <v>109</v>
      </c>
      <c r="BA135" s="61">
        <v>2</v>
      </c>
      <c r="BB135" s="61">
        <v>2</v>
      </c>
      <c r="BC135" s="61">
        <v>50</v>
      </c>
      <c r="BD135" s="61">
        <v>19455</v>
      </c>
      <c r="BE135" s="61">
        <v>14736</v>
      </c>
      <c r="BF135" s="61">
        <v>201</v>
      </c>
      <c r="BG135" s="61">
        <v>33212</v>
      </c>
      <c r="BH135" s="61">
        <v>6963</v>
      </c>
      <c r="BI135" s="61"/>
      <c r="BJ135" s="61">
        <v>74567</v>
      </c>
      <c r="BK135" s="61">
        <v>1454</v>
      </c>
      <c r="BL135" s="61">
        <v>60961</v>
      </c>
      <c r="BM135" s="61">
        <v>12152</v>
      </c>
      <c r="BN135" s="61">
        <v>3457</v>
      </c>
      <c r="BO135" s="61">
        <v>3418</v>
      </c>
      <c r="BP135" s="61"/>
      <c r="BQ135" s="61">
        <v>83</v>
      </c>
      <c r="BR135" s="61">
        <v>271</v>
      </c>
      <c r="BS135" s="61">
        <v>341</v>
      </c>
      <c r="BT135" s="61">
        <v>563</v>
      </c>
      <c r="BU135" s="61">
        <v>909</v>
      </c>
      <c r="BV135" s="61">
        <v>1449</v>
      </c>
      <c r="BW135" s="61">
        <v>1634</v>
      </c>
      <c r="BX135" s="61">
        <v>1622</v>
      </c>
      <c r="BY135" s="61">
        <v>1</v>
      </c>
      <c r="BZ135" s="61">
        <v>2</v>
      </c>
      <c r="CA135" s="61"/>
      <c r="CB135" s="61">
        <v>1026</v>
      </c>
      <c r="CC135" s="61">
        <v>315</v>
      </c>
      <c r="CD135" s="61">
        <v>3608</v>
      </c>
      <c r="CE135" s="61">
        <v>24</v>
      </c>
      <c r="CF135" s="61">
        <v>16</v>
      </c>
      <c r="CG135" s="61">
        <v>1865</v>
      </c>
      <c r="CH135" s="61">
        <v>21</v>
      </c>
      <c r="CI135" s="61">
        <v>298</v>
      </c>
      <c r="CJ135" s="61">
        <v>35</v>
      </c>
      <c r="CK135" s="61">
        <v>195</v>
      </c>
      <c r="CL135" s="61">
        <v>2119</v>
      </c>
      <c r="CM135" s="61">
        <v>5</v>
      </c>
      <c r="CN135" s="61"/>
      <c r="CO135" s="61">
        <v>3</v>
      </c>
      <c r="CP135" s="61">
        <v>3370</v>
      </c>
      <c r="CQ135" s="61">
        <v>564</v>
      </c>
      <c r="CR135" s="61"/>
      <c r="CS135" s="61">
        <v>265</v>
      </c>
      <c r="CT135" s="61">
        <v>8</v>
      </c>
      <c r="CU135" s="61"/>
      <c r="CV135" s="61"/>
      <c r="CW135" s="61">
        <v>10</v>
      </c>
      <c r="CX135" s="61">
        <v>431</v>
      </c>
      <c r="CY135" s="61">
        <v>4102</v>
      </c>
      <c r="CZ135" s="61">
        <v>4</v>
      </c>
      <c r="DA135" s="61">
        <v>2235</v>
      </c>
      <c r="DB135" s="61">
        <v>103</v>
      </c>
      <c r="DC135" s="61"/>
      <c r="DD135" s="61">
        <v>6875</v>
      </c>
      <c r="DE135" s="61">
        <v>245</v>
      </c>
      <c r="DF135" s="61">
        <v>5483</v>
      </c>
      <c r="DG135" s="61">
        <v>1147</v>
      </c>
      <c r="DH135" s="62" t="s">
        <v>2185</v>
      </c>
      <c r="DI135" s="61">
        <v>272</v>
      </c>
      <c r="DJ135" s="61">
        <v>40</v>
      </c>
      <c r="DK135" s="61">
        <v>8</v>
      </c>
      <c r="DL135" s="61"/>
      <c r="DM135" s="61"/>
      <c r="DN135" s="61">
        <v>3</v>
      </c>
    </row>
    <row r="136" spans="1:118" x14ac:dyDescent="0.25">
      <c r="A136" s="61">
        <v>106196403</v>
      </c>
      <c r="B136" s="62" t="s">
        <v>657</v>
      </c>
      <c r="C136" s="62" t="s">
        <v>658</v>
      </c>
      <c r="D136" s="62" t="s">
        <v>348</v>
      </c>
      <c r="E136" s="62" t="s">
        <v>71</v>
      </c>
      <c r="F136" s="62" t="s">
        <v>2213</v>
      </c>
      <c r="G136" s="62" t="s">
        <v>659</v>
      </c>
      <c r="H136" s="62" t="s">
        <v>416</v>
      </c>
      <c r="I136" s="62" t="s">
        <v>648</v>
      </c>
      <c r="J136" s="62" t="s">
        <v>2186</v>
      </c>
      <c r="K136" s="62"/>
      <c r="L136" s="61">
        <v>40</v>
      </c>
      <c r="M136" s="61">
        <v>58</v>
      </c>
      <c r="N136" s="61">
        <v>32</v>
      </c>
      <c r="O136" s="62" t="s">
        <v>1838</v>
      </c>
      <c r="P136" s="62" t="s">
        <v>68</v>
      </c>
      <c r="Q136" s="62" t="s">
        <v>2167</v>
      </c>
      <c r="R136" s="62" t="s">
        <v>2167</v>
      </c>
      <c r="S136" s="62" t="s">
        <v>69</v>
      </c>
      <c r="T136" s="61">
        <v>46462</v>
      </c>
      <c r="U136" s="61">
        <v>35325</v>
      </c>
      <c r="V136" s="61"/>
      <c r="W136" s="61">
        <v>10517</v>
      </c>
      <c r="X136" s="61">
        <v>8435</v>
      </c>
      <c r="Y136" s="61">
        <v>11785</v>
      </c>
      <c r="Z136" s="61">
        <v>10374</v>
      </c>
      <c r="AA136" s="61">
        <v>9579</v>
      </c>
      <c r="AB136" s="61">
        <v>9375</v>
      </c>
      <c r="AC136" s="61">
        <v>8366</v>
      </c>
      <c r="AD136" s="61">
        <v>6240</v>
      </c>
      <c r="AE136" s="61">
        <v>4924</v>
      </c>
      <c r="AF136" s="61">
        <v>2192</v>
      </c>
      <c r="AG136" s="61"/>
      <c r="AH136" s="61">
        <v>4579</v>
      </c>
      <c r="AI136" s="61">
        <v>13936</v>
      </c>
      <c r="AJ136" s="61">
        <v>50062</v>
      </c>
      <c r="AK136" s="61">
        <v>197</v>
      </c>
      <c r="AL136" s="61">
        <v>712</v>
      </c>
      <c r="AM136" s="61">
        <v>932</v>
      </c>
      <c r="AN136" s="61">
        <v>11369</v>
      </c>
      <c r="AO136" s="61">
        <v>860</v>
      </c>
      <c r="AP136" s="61">
        <v>680</v>
      </c>
      <c r="AQ136" s="61">
        <v>42</v>
      </c>
      <c r="AR136" s="61">
        <v>500</v>
      </c>
      <c r="AS136" s="61">
        <v>92</v>
      </c>
      <c r="AT136" s="61">
        <v>9</v>
      </c>
      <c r="AU136" s="61"/>
      <c r="AV136" s="61">
        <v>32</v>
      </c>
      <c r="AW136" s="61">
        <v>687</v>
      </c>
      <c r="AX136" s="61">
        <v>4</v>
      </c>
      <c r="AY136" s="61">
        <v>78254</v>
      </c>
      <c r="AZ136" s="61">
        <v>161</v>
      </c>
      <c r="BA136" s="61">
        <v>2</v>
      </c>
      <c r="BB136" s="61">
        <v>2</v>
      </c>
      <c r="BC136" s="61">
        <v>449</v>
      </c>
      <c r="BD136" s="61">
        <v>19135</v>
      </c>
      <c r="BE136" s="61">
        <v>15678</v>
      </c>
      <c r="BF136" s="61">
        <v>235</v>
      </c>
      <c r="BG136" s="61">
        <v>41455</v>
      </c>
      <c r="BH136" s="61">
        <v>5282</v>
      </c>
      <c r="BI136" s="61">
        <v>2</v>
      </c>
      <c r="BJ136" s="61">
        <v>81787</v>
      </c>
      <c r="BK136" s="61">
        <v>732</v>
      </c>
      <c r="BL136" s="61">
        <v>67275</v>
      </c>
      <c r="BM136" s="61">
        <v>13780</v>
      </c>
      <c r="BN136" s="61">
        <v>4541</v>
      </c>
      <c r="BO136" s="61">
        <v>4342</v>
      </c>
      <c r="BP136" s="61"/>
      <c r="BQ136" s="61">
        <v>222</v>
      </c>
      <c r="BR136" s="61">
        <v>497</v>
      </c>
      <c r="BS136" s="61">
        <v>603</v>
      </c>
      <c r="BT136" s="61">
        <v>864</v>
      </c>
      <c r="BU136" s="61">
        <v>1255</v>
      </c>
      <c r="BV136" s="61">
        <v>1722</v>
      </c>
      <c r="BW136" s="61">
        <v>1766</v>
      </c>
      <c r="BX136" s="61">
        <v>1734</v>
      </c>
      <c r="BY136" s="61">
        <v>56</v>
      </c>
      <c r="BZ136" s="61">
        <v>164</v>
      </c>
      <c r="CA136" s="61"/>
      <c r="CB136" s="61">
        <v>614</v>
      </c>
      <c r="CC136" s="61">
        <v>1766</v>
      </c>
      <c r="CD136" s="61">
        <v>4282</v>
      </c>
      <c r="CE136" s="61">
        <v>26</v>
      </c>
      <c r="CF136" s="61">
        <v>26</v>
      </c>
      <c r="CG136" s="61">
        <v>2138</v>
      </c>
      <c r="CH136" s="61">
        <v>31</v>
      </c>
      <c r="CI136" s="61">
        <v>362</v>
      </c>
      <c r="CJ136" s="61">
        <v>74</v>
      </c>
      <c r="CK136" s="61">
        <v>233</v>
      </c>
      <c r="CL136" s="61">
        <v>1702</v>
      </c>
      <c r="CM136" s="61">
        <v>36</v>
      </c>
      <c r="CN136" s="61"/>
      <c r="CO136" s="61">
        <v>13</v>
      </c>
      <c r="CP136" s="61">
        <v>5464</v>
      </c>
      <c r="CQ136" s="61">
        <v>653</v>
      </c>
      <c r="CR136" s="61"/>
      <c r="CS136" s="61">
        <v>308</v>
      </c>
      <c r="CT136" s="61">
        <v>23</v>
      </c>
      <c r="CU136" s="61"/>
      <c r="CV136" s="61">
        <v>1</v>
      </c>
      <c r="CW136" s="61">
        <v>14</v>
      </c>
      <c r="CX136" s="61">
        <v>760</v>
      </c>
      <c r="CY136" s="61">
        <v>4564</v>
      </c>
      <c r="CZ136" s="61">
        <v>13</v>
      </c>
      <c r="DA136" s="61">
        <v>3338</v>
      </c>
      <c r="DB136" s="61">
        <v>208</v>
      </c>
      <c r="DC136" s="61"/>
      <c r="DD136" s="61">
        <v>8883</v>
      </c>
      <c r="DE136" s="61">
        <v>101</v>
      </c>
      <c r="DF136" s="61">
        <v>7139</v>
      </c>
      <c r="DG136" s="61">
        <v>1643</v>
      </c>
      <c r="DH136" s="62" t="s">
        <v>2185</v>
      </c>
      <c r="DI136" s="61">
        <v>352</v>
      </c>
      <c r="DJ136" s="61">
        <v>63</v>
      </c>
      <c r="DK136" s="61">
        <v>13</v>
      </c>
      <c r="DL136" s="61"/>
      <c r="DM136" s="61"/>
      <c r="DN136" s="61"/>
    </row>
    <row r="137" spans="1:118" x14ac:dyDescent="0.25">
      <c r="A137" s="61">
        <v>106196405</v>
      </c>
      <c r="B137" s="62" t="s">
        <v>660</v>
      </c>
      <c r="C137" s="62" t="s">
        <v>661</v>
      </c>
      <c r="D137" s="62" t="s">
        <v>348</v>
      </c>
      <c r="E137" s="62" t="s">
        <v>184</v>
      </c>
      <c r="F137" s="62" t="s">
        <v>2213</v>
      </c>
      <c r="G137" s="62" t="s">
        <v>662</v>
      </c>
      <c r="H137" s="62" t="s">
        <v>663</v>
      </c>
      <c r="I137" s="62" t="s">
        <v>664</v>
      </c>
      <c r="J137" s="62" t="s">
        <v>2187</v>
      </c>
      <c r="K137" s="62"/>
      <c r="L137" s="61">
        <v>25</v>
      </c>
      <c r="M137" s="61">
        <v>36</v>
      </c>
      <c r="N137" s="61">
        <v>21</v>
      </c>
      <c r="O137" s="62" t="s">
        <v>1870</v>
      </c>
      <c r="P137" s="62" t="s">
        <v>68</v>
      </c>
      <c r="Q137" s="62" t="s">
        <v>2167</v>
      </c>
      <c r="R137" s="62" t="s">
        <v>2167</v>
      </c>
      <c r="S137" s="62" t="s">
        <v>69</v>
      </c>
      <c r="T137" s="61">
        <v>38435</v>
      </c>
      <c r="U137" s="61">
        <v>27886</v>
      </c>
      <c r="V137" s="61"/>
      <c r="W137" s="61">
        <v>9759</v>
      </c>
      <c r="X137" s="61">
        <v>8326</v>
      </c>
      <c r="Y137" s="61">
        <v>12529</v>
      </c>
      <c r="Z137" s="61">
        <v>9594</v>
      </c>
      <c r="AA137" s="61">
        <v>8158</v>
      </c>
      <c r="AB137" s="61">
        <v>7923</v>
      </c>
      <c r="AC137" s="61">
        <v>4463</v>
      </c>
      <c r="AD137" s="61">
        <v>2386</v>
      </c>
      <c r="AE137" s="61">
        <v>1620</v>
      </c>
      <c r="AF137" s="61">
        <v>1563</v>
      </c>
      <c r="AG137" s="61"/>
      <c r="AH137" s="61">
        <v>314</v>
      </c>
      <c r="AI137" s="61">
        <v>17020</v>
      </c>
      <c r="AJ137" s="61">
        <v>26229</v>
      </c>
      <c r="AK137" s="61">
        <v>44</v>
      </c>
      <c r="AL137" s="61">
        <v>4213</v>
      </c>
      <c r="AM137" s="61">
        <v>691</v>
      </c>
      <c r="AN137" s="61">
        <v>17810</v>
      </c>
      <c r="AO137" s="61">
        <v>305</v>
      </c>
      <c r="AP137" s="61">
        <v>513</v>
      </c>
      <c r="AQ137" s="61">
        <v>59</v>
      </c>
      <c r="AR137" s="61">
        <v>20</v>
      </c>
      <c r="AS137" s="61">
        <v>7</v>
      </c>
      <c r="AT137" s="61">
        <v>1</v>
      </c>
      <c r="AU137" s="61"/>
      <c r="AV137" s="61">
        <v>931</v>
      </c>
      <c r="AW137" s="61">
        <v>117</v>
      </c>
      <c r="AX137" s="61"/>
      <c r="AY137" s="61">
        <v>64248</v>
      </c>
      <c r="AZ137" s="61">
        <v>36</v>
      </c>
      <c r="BA137" s="61">
        <v>8</v>
      </c>
      <c r="BB137" s="61"/>
      <c r="BC137" s="61">
        <v>75</v>
      </c>
      <c r="BD137" s="61">
        <v>32466</v>
      </c>
      <c r="BE137" s="61">
        <v>8037</v>
      </c>
      <c r="BF137" s="61">
        <v>1508</v>
      </c>
      <c r="BG137" s="61">
        <v>16175</v>
      </c>
      <c r="BH137" s="61">
        <v>8135</v>
      </c>
      <c r="BI137" s="61"/>
      <c r="BJ137" s="61">
        <v>66321</v>
      </c>
      <c r="BK137" s="61">
        <v>100</v>
      </c>
      <c r="BL137" s="61">
        <v>63273</v>
      </c>
      <c r="BM137" s="61">
        <v>2948</v>
      </c>
      <c r="BN137" s="61">
        <v>3626</v>
      </c>
      <c r="BO137" s="61">
        <v>3343</v>
      </c>
      <c r="BP137" s="61"/>
      <c r="BQ137" s="61">
        <v>70</v>
      </c>
      <c r="BR137" s="61">
        <v>448</v>
      </c>
      <c r="BS137" s="61">
        <v>524</v>
      </c>
      <c r="BT137" s="61">
        <v>861</v>
      </c>
      <c r="BU137" s="61">
        <v>1551</v>
      </c>
      <c r="BV137" s="61">
        <v>1372</v>
      </c>
      <c r="BW137" s="61">
        <v>1116</v>
      </c>
      <c r="BX137" s="61">
        <v>1027</v>
      </c>
      <c r="BY137" s="61"/>
      <c r="BZ137" s="61"/>
      <c r="CA137" s="61"/>
      <c r="CB137" s="61">
        <v>78</v>
      </c>
      <c r="CC137" s="61">
        <v>1544</v>
      </c>
      <c r="CD137" s="61">
        <v>1763</v>
      </c>
      <c r="CE137" s="61">
        <v>453</v>
      </c>
      <c r="CF137" s="61">
        <v>46</v>
      </c>
      <c r="CG137" s="61">
        <v>3078</v>
      </c>
      <c r="CH137" s="61">
        <v>7</v>
      </c>
      <c r="CI137" s="61">
        <v>116</v>
      </c>
      <c r="CJ137" s="61">
        <v>162</v>
      </c>
      <c r="CK137" s="61">
        <v>227</v>
      </c>
      <c r="CL137" s="61">
        <v>961</v>
      </c>
      <c r="CM137" s="61">
        <v>60</v>
      </c>
      <c r="CN137" s="61"/>
      <c r="CO137" s="61"/>
      <c r="CP137" s="61">
        <v>4401</v>
      </c>
      <c r="CQ137" s="61">
        <v>685</v>
      </c>
      <c r="CR137" s="61">
        <v>145</v>
      </c>
      <c r="CS137" s="61">
        <v>196</v>
      </c>
      <c r="CT137" s="61">
        <v>10</v>
      </c>
      <c r="CU137" s="61">
        <v>1</v>
      </c>
      <c r="CV137" s="61"/>
      <c r="CW137" s="61">
        <v>5</v>
      </c>
      <c r="CX137" s="61">
        <v>2263</v>
      </c>
      <c r="CY137" s="61">
        <v>3467</v>
      </c>
      <c r="CZ137" s="61">
        <v>111</v>
      </c>
      <c r="DA137" s="61">
        <v>848</v>
      </c>
      <c r="DB137" s="61">
        <v>280</v>
      </c>
      <c r="DC137" s="61"/>
      <c r="DD137" s="61">
        <v>6969</v>
      </c>
      <c r="DE137" s="61">
        <v>50</v>
      </c>
      <c r="DF137" s="61">
        <v>6450</v>
      </c>
      <c r="DG137" s="61">
        <v>469</v>
      </c>
      <c r="DH137" s="62" t="s">
        <v>2185</v>
      </c>
      <c r="DI137" s="61">
        <v>157</v>
      </c>
      <c r="DJ137" s="61">
        <v>35</v>
      </c>
      <c r="DK137" s="61">
        <v>1</v>
      </c>
      <c r="DL137" s="61"/>
      <c r="DM137" s="61"/>
      <c r="DN137" s="61"/>
    </row>
    <row r="138" spans="1:118" x14ac:dyDescent="0.25">
      <c r="A138" s="61">
        <v>106201281</v>
      </c>
      <c r="B138" s="62" t="s">
        <v>665</v>
      </c>
      <c r="C138" s="62" t="s">
        <v>666</v>
      </c>
      <c r="D138" s="62" t="s">
        <v>667</v>
      </c>
      <c r="E138" s="62" t="s">
        <v>71</v>
      </c>
      <c r="F138" s="62" t="s">
        <v>2213</v>
      </c>
      <c r="G138" s="62" t="s">
        <v>668</v>
      </c>
      <c r="H138" s="62" t="s">
        <v>667</v>
      </c>
      <c r="I138" s="62" t="s">
        <v>669</v>
      </c>
      <c r="J138" s="62" t="s">
        <v>2189</v>
      </c>
      <c r="K138" s="62"/>
      <c r="L138" s="61">
        <v>16</v>
      </c>
      <c r="M138" s="61">
        <v>5</v>
      </c>
      <c r="N138" s="61">
        <v>12</v>
      </c>
      <c r="O138" s="62" t="s">
        <v>1871</v>
      </c>
      <c r="P138" s="62" t="s">
        <v>120</v>
      </c>
      <c r="Q138" s="62" t="s">
        <v>2167</v>
      </c>
      <c r="R138" s="62" t="s">
        <v>2167</v>
      </c>
      <c r="S138" s="62" t="s">
        <v>69</v>
      </c>
      <c r="T138" s="61">
        <v>22610</v>
      </c>
      <c r="U138" s="61">
        <v>16801</v>
      </c>
      <c r="V138" s="61"/>
      <c r="W138" s="61">
        <v>3751</v>
      </c>
      <c r="X138" s="61">
        <v>4664</v>
      </c>
      <c r="Y138" s="61">
        <v>8232</v>
      </c>
      <c r="Z138" s="61">
        <v>6674</v>
      </c>
      <c r="AA138" s="61">
        <v>5170</v>
      </c>
      <c r="AB138" s="61">
        <v>4473</v>
      </c>
      <c r="AC138" s="61">
        <v>2808</v>
      </c>
      <c r="AD138" s="61">
        <v>1563</v>
      </c>
      <c r="AE138" s="61">
        <v>1506</v>
      </c>
      <c r="AF138" s="61">
        <v>570</v>
      </c>
      <c r="AG138" s="61"/>
      <c r="AH138" s="61">
        <v>464</v>
      </c>
      <c r="AI138" s="61">
        <v>1831</v>
      </c>
      <c r="AJ138" s="61">
        <v>27415</v>
      </c>
      <c r="AK138" s="61">
        <v>29</v>
      </c>
      <c r="AL138" s="61">
        <v>12</v>
      </c>
      <c r="AM138" s="61">
        <v>1208</v>
      </c>
      <c r="AN138" s="61">
        <v>8452</v>
      </c>
      <c r="AO138" s="61">
        <v>3293</v>
      </c>
      <c r="AP138" s="61">
        <v>3212</v>
      </c>
      <c r="AQ138" s="61">
        <v>71</v>
      </c>
      <c r="AR138" s="61"/>
      <c r="AS138" s="61">
        <v>2</v>
      </c>
      <c r="AT138" s="61"/>
      <c r="AU138" s="61"/>
      <c r="AV138" s="61">
        <v>574</v>
      </c>
      <c r="AW138" s="61">
        <v>267</v>
      </c>
      <c r="AX138" s="61"/>
      <c r="AY138" s="61">
        <v>31867</v>
      </c>
      <c r="AZ138" s="61">
        <v>121</v>
      </c>
      <c r="BA138" s="61"/>
      <c r="BB138" s="61"/>
      <c r="BC138" s="61"/>
      <c r="BD138" s="61">
        <v>23775</v>
      </c>
      <c r="BE138" s="61">
        <v>5095</v>
      </c>
      <c r="BF138" s="61">
        <v>1069</v>
      </c>
      <c r="BG138" s="61">
        <v>4714</v>
      </c>
      <c r="BH138" s="61">
        <v>4758</v>
      </c>
      <c r="BI138" s="61"/>
      <c r="BJ138" s="61">
        <v>39411</v>
      </c>
      <c r="BK138" s="61">
        <v>191</v>
      </c>
      <c r="BL138" s="61">
        <v>27521</v>
      </c>
      <c r="BM138" s="61">
        <v>11699</v>
      </c>
      <c r="BN138" s="61">
        <v>1073</v>
      </c>
      <c r="BO138" s="61">
        <v>1042</v>
      </c>
      <c r="BP138" s="61"/>
      <c r="BQ138" s="61">
        <v>30</v>
      </c>
      <c r="BR138" s="61">
        <v>169</v>
      </c>
      <c r="BS138" s="61">
        <v>177</v>
      </c>
      <c r="BT138" s="61">
        <v>217</v>
      </c>
      <c r="BU138" s="61">
        <v>402</v>
      </c>
      <c r="BV138" s="61">
        <v>334</v>
      </c>
      <c r="BW138" s="61">
        <v>337</v>
      </c>
      <c r="BX138" s="61">
        <v>449</v>
      </c>
      <c r="BY138" s="61"/>
      <c r="BZ138" s="61"/>
      <c r="CA138" s="61"/>
      <c r="CB138" s="61">
        <v>50</v>
      </c>
      <c r="CC138" s="61">
        <v>112</v>
      </c>
      <c r="CD138" s="61">
        <v>1096</v>
      </c>
      <c r="CE138" s="61">
        <v>1</v>
      </c>
      <c r="CF138" s="61"/>
      <c r="CG138" s="61">
        <v>855</v>
      </c>
      <c r="CH138" s="61">
        <v>1</v>
      </c>
      <c r="CI138" s="61">
        <v>80</v>
      </c>
      <c r="CJ138" s="61">
        <v>37</v>
      </c>
      <c r="CK138" s="61">
        <v>42</v>
      </c>
      <c r="CL138" s="61">
        <v>247</v>
      </c>
      <c r="CM138" s="61"/>
      <c r="CN138" s="61"/>
      <c r="CO138" s="61"/>
      <c r="CP138" s="61">
        <v>1357</v>
      </c>
      <c r="CQ138" s="61">
        <v>290</v>
      </c>
      <c r="CR138" s="61">
        <v>60</v>
      </c>
      <c r="CS138" s="61"/>
      <c r="CT138" s="61"/>
      <c r="CU138" s="61">
        <v>1</v>
      </c>
      <c r="CV138" s="61"/>
      <c r="CW138" s="61"/>
      <c r="CX138" s="61">
        <v>879</v>
      </c>
      <c r="CY138" s="61">
        <v>934</v>
      </c>
      <c r="CZ138" s="61">
        <v>72</v>
      </c>
      <c r="DA138" s="61">
        <v>208</v>
      </c>
      <c r="DB138" s="61">
        <v>22</v>
      </c>
      <c r="DC138" s="61"/>
      <c r="DD138" s="61">
        <v>2115</v>
      </c>
      <c r="DE138" s="61">
        <v>24</v>
      </c>
      <c r="DF138" s="61">
        <v>1604</v>
      </c>
      <c r="DG138" s="61">
        <v>487</v>
      </c>
      <c r="DH138" s="62" t="s">
        <v>2185</v>
      </c>
      <c r="DI138" s="61">
        <v>106</v>
      </c>
      <c r="DJ138" s="61">
        <v>16</v>
      </c>
      <c r="DK138" s="61"/>
      <c r="DL138" s="61">
        <v>4</v>
      </c>
      <c r="DM138" s="61"/>
      <c r="DN138" s="61">
        <v>1</v>
      </c>
    </row>
    <row r="139" spans="1:118" x14ac:dyDescent="0.25">
      <c r="A139" s="61">
        <v>106204019</v>
      </c>
      <c r="B139" s="62" t="s">
        <v>670</v>
      </c>
      <c r="C139" s="62" t="s">
        <v>2054</v>
      </c>
      <c r="D139" s="62" t="s">
        <v>667</v>
      </c>
      <c r="E139" s="62" t="s">
        <v>71</v>
      </c>
      <c r="F139" s="62" t="s">
        <v>2213</v>
      </c>
      <c r="G139" s="62" t="s">
        <v>2055</v>
      </c>
      <c r="H139" s="62" t="s">
        <v>667</v>
      </c>
      <c r="I139" s="62" t="s">
        <v>2056</v>
      </c>
      <c r="J139" s="62" t="s">
        <v>2186</v>
      </c>
      <c r="K139" s="62"/>
      <c r="L139" s="61">
        <v>16</v>
      </c>
      <c r="M139" s="61">
        <v>5</v>
      </c>
      <c r="N139" s="61">
        <v>12</v>
      </c>
      <c r="O139" s="62" t="s">
        <v>1871</v>
      </c>
      <c r="P139" s="62" t="s">
        <v>120</v>
      </c>
      <c r="Q139" s="62" t="s">
        <v>2167</v>
      </c>
      <c r="R139" s="62" t="s">
        <v>2167</v>
      </c>
      <c r="S139" s="62" t="s">
        <v>69</v>
      </c>
      <c r="T139" s="61">
        <v>52760</v>
      </c>
      <c r="U139" s="61">
        <v>57751</v>
      </c>
      <c r="V139" s="61"/>
      <c r="W139" s="61">
        <v>68097</v>
      </c>
      <c r="X139" s="61">
        <v>22542</v>
      </c>
      <c r="Y139" s="61">
        <v>268</v>
      </c>
      <c r="Z139" s="61">
        <v>130</v>
      </c>
      <c r="AA139" s="61">
        <v>66</v>
      </c>
      <c r="AB139" s="61">
        <v>54</v>
      </c>
      <c r="AC139" s="61">
        <v>13</v>
      </c>
      <c r="AD139" s="61">
        <v>3</v>
      </c>
      <c r="AE139" s="61"/>
      <c r="AF139" s="61">
        <v>19338</v>
      </c>
      <c r="AG139" s="61"/>
      <c r="AH139" s="61">
        <v>3217</v>
      </c>
      <c r="AI139" s="61">
        <v>4400</v>
      </c>
      <c r="AJ139" s="61">
        <v>83915</v>
      </c>
      <c r="AK139" s="61">
        <v>50</v>
      </c>
      <c r="AL139" s="61">
        <v>1326</v>
      </c>
      <c r="AM139" s="61">
        <v>36</v>
      </c>
      <c r="AN139" s="61">
        <v>17567</v>
      </c>
      <c r="AO139" s="61">
        <v>265</v>
      </c>
      <c r="AP139" s="61">
        <v>47</v>
      </c>
      <c r="AQ139" s="61">
        <v>5</v>
      </c>
      <c r="AR139" s="61"/>
      <c r="AS139" s="61"/>
      <c r="AT139" s="61">
        <v>1</v>
      </c>
      <c r="AU139" s="61"/>
      <c r="AV139" s="61"/>
      <c r="AW139" s="61"/>
      <c r="AX139" s="61"/>
      <c r="AY139" s="61">
        <v>110130</v>
      </c>
      <c r="AZ139" s="61"/>
      <c r="BA139" s="61"/>
      <c r="BB139" s="61"/>
      <c r="BC139" s="61"/>
      <c r="BD139" s="61">
        <v>93731</v>
      </c>
      <c r="BE139" s="61">
        <v>14</v>
      </c>
      <c r="BF139" s="61">
        <v>873</v>
      </c>
      <c r="BG139" s="61">
        <v>14143</v>
      </c>
      <c r="BH139" s="61">
        <v>1750</v>
      </c>
      <c r="BI139" s="61"/>
      <c r="BJ139" s="61">
        <v>110511</v>
      </c>
      <c r="BK139" s="61">
        <v>312</v>
      </c>
      <c r="BL139" s="61">
        <v>85852</v>
      </c>
      <c r="BM139" s="61">
        <v>24347</v>
      </c>
      <c r="BN139" s="61">
        <v>3954</v>
      </c>
      <c r="BO139" s="61">
        <v>4916</v>
      </c>
      <c r="BP139" s="61"/>
      <c r="BQ139" s="61">
        <v>2349</v>
      </c>
      <c r="BR139" s="61">
        <v>36</v>
      </c>
      <c r="BS139" s="61"/>
      <c r="BT139" s="61"/>
      <c r="BU139" s="61"/>
      <c r="BV139" s="61"/>
      <c r="BW139" s="61"/>
      <c r="BX139" s="61"/>
      <c r="BY139" s="61">
        <v>2359</v>
      </c>
      <c r="BZ139" s="61">
        <v>4126</v>
      </c>
      <c r="CA139" s="61"/>
      <c r="CB139" s="61">
        <v>378</v>
      </c>
      <c r="CC139" s="61">
        <v>455</v>
      </c>
      <c r="CD139" s="61">
        <v>6027</v>
      </c>
      <c r="CE139" s="61">
        <v>95</v>
      </c>
      <c r="CF139" s="61">
        <v>2</v>
      </c>
      <c r="CG139" s="61">
        <v>1907</v>
      </c>
      <c r="CH139" s="61">
        <v>6</v>
      </c>
      <c r="CI139" s="61">
        <v>1</v>
      </c>
      <c r="CJ139" s="61">
        <v>4</v>
      </c>
      <c r="CK139" s="61">
        <v>10</v>
      </c>
      <c r="CL139" s="61">
        <v>10</v>
      </c>
      <c r="CM139" s="61">
        <v>2</v>
      </c>
      <c r="CN139" s="61"/>
      <c r="CO139" s="61"/>
      <c r="CP139" s="61">
        <v>8734</v>
      </c>
      <c r="CQ139" s="61">
        <v>10</v>
      </c>
      <c r="CR139" s="61"/>
      <c r="CS139" s="61"/>
      <c r="CT139" s="61"/>
      <c r="CU139" s="61">
        <v>52</v>
      </c>
      <c r="CV139" s="61"/>
      <c r="CW139" s="61"/>
      <c r="CX139" s="61">
        <v>6903</v>
      </c>
      <c r="CY139" s="61">
        <v>6</v>
      </c>
      <c r="CZ139" s="61">
        <v>92</v>
      </c>
      <c r="DA139" s="61">
        <v>1860</v>
      </c>
      <c r="DB139" s="61">
        <v>9</v>
      </c>
      <c r="DC139" s="61"/>
      <c r="DD139" s="61">
        <v>8870</v>
      </c>
      <c r="DE139" s="61">
        <v>91</v>
      </c>
      <c r="DF139" s="61">
        <v>6771</v>
      </c>
      <c r="DG139" s="61">
        <v>2008</v>
      </c>
      <c r="DH139" s="62" t="s">
        <v>2185</v>
      </c>
      <c r="DI139" s="61">
        <v>356</v>
      </c>
      <c r="DJ139" s="61">
        <v>39</v>
      </c>
      <c r="DK139" s="61"/>
      <c r="DL139" s="61">
        <v>63</v>
      </c>
      <c r="DM139" s="61">
        <v>21</v>
      </c>
      <c r="DN139" s="61">
        <v>26</v>
      </c>
    </row>
    <row r="140" spans="1:118" x14ac:dyDescent="0.25">
      <c r="A140" s="61">
        <v>106210992</v>
      </c>
      <c r="B140" s="62" t="s">
        <v>671</v>
      </c>
      <c r="C140" s="62" t="s">
        <v>2057</v>
      </c>
      <c r="D140" s="62" t="s">
        <v>672</v>
      </c>
      <c r="E140" s="62" t="s">
        <v>71</v>
      </c>
      <c r="F140" s="62" t="s">
        <v>2213</v>
      </c>
      <c r="G140" s="62" t="s">
        <v>673</v>
      </c>
      <c r="H140" s="62" t="s">
        <v>674</v>
      </c>
      <c r="I140" s="62" t="s">
        <v>675</v>
      </c>
      <c r="J140" s="62" t="s">
        <v>2189</v>
      </c>
      <c r="K140" s="62"/>
      <c r="L140" s="61">
        <v>2</v>
      </c>
      <c r="M140" s="61">
        <v>10</v>
      </c>
      <c r="N140" s="61">
        <v>2</v>
      </c>
      <c r="O140" s="62" t="s">
        <v>1872</v>
      </c>
      <c r="P140" s="62" t="s">
        <v>68</v>
      </c>
      <c r="Q140" s="62" t="s">
        <v>2167</v>
      </c>
      <c r="R140" s="62" t="s">
        <v>2167</v>
      </c>
      <c r="S140" s="62" t="s">
        <v>69</v>
      </c>
      <c r="T140" s="61">
        <v>13231</v>
      </c>
      <c r="U140" s="61">
        <v>11336</v>
      </c>
      <c r="V140" s="61"/>
      <c r="W140" s="61">
        <v>1568</v>
      </c>
      <c r="X140" s="61">
        <v>2211</v>
      </c>
      <c r="Y140" s="61">
        <v>2157</v>
      </c>
      <c r="Z140" s="61">
        <v>2143</v>
      </c>
      <c r="AA140" s="61">
        <v>2633</v>
      </c>
      <c r="AB140" s="61">
        <v>3429</v>
      </c>
      <c r="AC140" s="61">
        <v>3604</v>
      </c>
      <c r="AD140" s="61">
        <v>3078</v>
      </c>
      <c r="AE140" s="61">
        <v>3567</v>
      </c>
      <c r="AF140" s="61">
        <v>177</v>
      </c>
      <c r="AG140" s="61"/>
      <c r="AH140" s="61">
        <v>1117</v>
      </c>
      <c r="AI140" s="61">
        <v>1183</v>
      </c>
      <c r="AJ140" s="61">
        <v>3043</v>
      </c>
      <c r="AK140" s="61">
        <v>83</v>
      </c>
      <c r="AL140" s="61">
        <v>728</v>
      </c>
      <c r="AM140" s="61">
        <v>432</v>
      </c>
      <c r="AN140" s="61">
        <v>17981</v>
      </c>
      <c r="AO140" s="61">
        <v>202</v>
      </c>
      <c r="AP140" s="61">
        <v>196</v>
      </c>
      <c r="AQ140" s="61">
        <v>43</v>
      </c>
      <c r="AR140" s="61">
        <v>87</v>
      </c>
      <c r="AS140" s="61">
        <v>62</v>
      </c>
      <c r="AT140" s="61">
        <v>25</v>
      </c>
      <c r="AU140" s="61"/>
      <c r="AV140" s="61">
        <v>74</v>
      </c>
      <c r="AW140" s="61">
        <v>225</v>
      </c>
      <c r="AX140" s="61">
        <v>7</v>
      </c>
      <c r="AY140" s="61">
        <v>23473</v>
      </c>
      <c r="AZ140" s="61">
        <v>98</v>
      </c>
      <c r="BA140" s="61">
        <v>3</v>
      </c>
      <c r="BB140" s="61">
        <v>5</v>
      </c>
      <c r="BC140" s="61">
        <v>67</v>
      </c>
      <c r="BD140" s="61">
        <v>2323</v>
      </c>
      <c r="BE140" s="61">
        <v>8370</v>
      </c>
      <c r="BF140" s="61">
        <v>516</v>
      </c>
      <c r="BG140" s="61">
        <v>11888</v>
      </c>
      <c r="BH140" s="61">
        <v>1470</v>
      </c>
      <c r="BI140" s="61"/>
      <c r="BJ140" s="61">
        <v>24567</v>
      </c>
      <c r="BK140" s="61">
        <v>262</v>
      </c>
      <c r="BL140" s="61">
        <v>23193</v>
      </c>
      <c r="BM140" s="61">
        <v>1112</v>
      </c>
      <c r="BN140" s="61">
        <v>1548</v>
      </c>
      <c r="BO140" s="61">
        <v>1486</v>
      </c>
      <c r="BP140" s="61">
        <v>2</v>
      </c>
      <c r="BQ140" s="61">
        <v>18</v>
      </c>
      <c r="BR140" s="61">
        <v>65</v>
      </c>
      <c r="BS140" s="61">
        <v>82</v>
      </c>
      <c r="BT140" s="61">
        <v>177</v>
      </c>
      <c r="BU140" s="61">
        <v>346</v>
      </c>
      <c r="BV140" s="61">
        <v>613</v>
      </c>
      <c r="BW140" s="61">
        <v>658</v>
      </c>
      <c r="BX140" s="61">
        <v>1077</v>
      </c>
      <c r="BY140" s="61"/>
      <c r="BZ140" s="61"/>
      <c r="CA140" s="61"/>
      <c r="CB140" s="61">
        <v>126</v>
      </c>
      <c r="CC140" s="61">
        <v>86</v>
      </c>
      <c r="CD140" s="61">
        <v>134</v>
      </c>
      <c r="CE140" s="61">
        <v>28</v>
      </c>
      <c r="CF140" s="61">
        <v>10</v>
      </c>
      <c r="CG140" s="61">
        <v>2642</v>
      </c>
      <c r="CH140" s="61">
        <v>10</v>
      </c>
      <c r="CI140" s="61">
        <v>166</v>
      </c>
      <c r="CJ140" s="61">
        <v>29</v>
      </c>
      <c r="CK140" s="61">
        <v>108</v>
      </c>
      <c r="CL140" s="61">
        <v>345</v>
      </c>
      <c r="CM140" s="61">
        <v>20</v>
      </c>
      <c r="CN140" s="61"/>
      <c r="CO140" s="61">
        <v>12</v>
      </c>
      <c r="CP140" s="61">
        <v>1867</v>
      </c>
      <c r="CQ140" s="61">
        <v>328</v>
      </c>
      <c r="CR140" s="61"/>
      <c r="CS140" s="61">
        <v>137</v>
      </c>
      <c r="CT140" s="61">
        <v>4</v>
      </c>
      <c r="CU140" s="61"/>
      <c r="CV140" s="61">
        <v>3</v>
      </c>
      <c r="CW140" s="61">
        <v>16</v>
      </c>
      <c r="CX140" s="61">
        <v>32</v>
      </c>
      <c r="CY140" s="61">
        <v>2119</v>
      </c>
      <c r="CZ140" s="61">
        <v>10</v>
      </c>
      <c r="DA140" s="61">
        <v>832</v>
      </c>
      <c r="DB140" s="61">
        <v>43</v>
      </c>
      <c r="DC140" s="61"/>
      <c r="DD140" s="61">
        <v>3036</v>
      </c>
      <c r="DE140" s="61">
        <v>32</v>
      </c>
      <c r="DF140" s="61">
        <v>2950</v>
      </c>
      <c r="DG140" s="61">
        <v>54</v>
      </c>
      <c r="DH140" s="62" t="s">
        <v>2185</v>
      </c>
      <c r="DI140" s="61">
        <v>116</v>
      </c>
      <c r="DJ140" s="61">
        <v>15</v>
      </c>
      <c r="DK140" s="61"/>
      <c r="DL140" s="61"/>
      <c r="DM140" s="61"/>
      <c r="DN140" s="61">
        <v>1</v>
      </c>
    </row>
    <row r="141" spans="1:118" x14ac:dyDescent="0.25">
      <c r="A141" s="61">
        <v>106211006</v>
      </c>
      <c r="B141" s="62" t="s">
        <v>676</v>
      </c>
      <c r="C141" s="62" t="s">
        <v>677</v>
      </c>
      <c r="D141" s="62" t="s">
        <v>672</v>
      </c>
      <c r="E141" s="62" t="s">
        <v>71</v>
      </c>
      <c r="F141" s="62" t="s">
        <v>2213</v>
      </c>
      <c r="G141" s="62" t="s">
        <v>678</v>
      </c>
      <c r="H141" s="62" t="s">
        <v>679</v>
      </c>
      <c r="I141" s="62" t="s">
        <v>680</v>
      </c>
      <c r="J141" s="62" t="s">
        <v>2184</v>
      </c>
      <c r="K141" s="62" t="s">
        <v>138</v>
      </c>
      <c r="L141" s="61">
        <v>2</v>
      </c>
      <c r="M141" s="61">
        <v>10</v>
      </c>
      <c r="N141" s="61">
        <v>2</v>
      </c>
      <c r="O141" s="62" t="s">
        <v>1872</v>
      </c>
      <c r="P141" s="62" t="s">
        <v>68</v>
      </c>
      <c r="Q141" s="62" t="s">
        <v>2167</v>
      </c>
      <c r="R141" s="62" t="s">
        <v>2167</v>
      </c>
      <c r="S141" s="62" t="s">
        <v>69</v>
      </c>
      <c r="T141" s="61">
        <v>16108</v>
      </c>
      <c r="U141" s="61">
        <v>14973</v>
      </c>
      <c r="V141" s="61">
        <v>2</v>
      </c>
      <c r="W141" s="61">
        <v>3818</v>
      </c>
      <c r="X141" s="61">
        <v>2968</v>
      </c>
      <c r="Y141" s="61">
        <v>3637</v>
      </c>
      <c r="Z141" s="61">
        <v>3806</v>
      </c>
      <c r="AA141" s="61">
        <v>3985</v>
      </c>
      <c r="AB141" s="61">
        <v>3914</v>
      </c>
      <c r="AC141" s="61">
        <v>3457</v>
      </c>
      <c r="AD141" s="61">
        <v>2463</v>
      </c>
      <c r="AE141" s="61">
        <v>2331</v>
      </c>
      <c r="AF141" s="61">
        <v>704</v>
      </c>
      <c r="AG141" s="61"/>
      <c r="AH141" s="61">
        <v>1007</v>
      </c>
      <c r="AI141" s="61">
        <v>1700</v>
      </c>
      <c r="AJ141" s="61">
        <v>7162</v>
      </c>
      <c r="AK141" s="61">
        <v>81</v>
      </c>
      <c r="AL141" s="61">
        <v>237</v>
      </c>
      <c r="AM141" s="61">
        <v>18</v>
      </c>
      <c r="AN141" s="61">
        <v>20878</v>
      </c>
      <c r="AO141" s="61">
        <v>83</v>
      </c>
      <c r="AP141" s="61">
        <v>161</v>
      </c>
      <c r="AQ141" s="61">
        <v>42</v>
      </c>
      <c r="AR141" s="61">
        <v>18</v>
      </c>
      <c r="AS141" s="61">
        <v>3</v>
      </c>
      <c r="AT141" s="61">
        <v>1</v>
      </c>
      <c r="AU141" s="61"/>
      <c r="AV141" s="61">
        <v>162</v>
      </c>
      <c r="AW141" s="61">
        <v>151</v>
      </c>
      <c r="AX141" s="61">
        <v>7</v>
      </c>
      <c r="AY141" s="61">
        <v>30211</v>
      </c>
      <c r="AZ141" s="61">
        <v>92</v>
      </c>
      <c r="BA141" s="61">
        <v>6</v>
      </c>
      <c r="BB141" s="61">
        <v>3</v>
      </c>
      <c r="BC141" s="61">
        <v>140</v>
      </c>
      <c r="BD141" s="61">
        <v>10646</v>
      </c>
      <c r="BE141" s="61">
        <v>6752</v>
      </c>
      <c r="BF141" s="61">
        <v>1131</v>
      </c>
      <c r="BG141" s="61">
        <v>10497</v>
      </c>
      <c r="BH141" s="61">
        <v>2057</v>
      </c>
      <c r="BI141" s="61"/>
      <c r="BJ141" s="61">
        <v>31083</v>
      </c>
      <c r="BK141" s="61">
        <v>140</v>
      </c>
      <c r="BL141" s="61">
        <v>28388</v>
      </c>
      <c r="BM141" s="61">
        <v>2555</v>
      </c>
      <c r="BN141" s="61">
        <v>2460</v>
      </c>
      <c r="BO141" s="61">
        <v>2640</v>
      </c>
      <c r="BP141" s="61"/>
      <c r="BQ141" s="61">
        <v>59</v>
      </c>
      <c r="BR141" s="61">
        <v>197</v>
      </c>
      <c r="BS141" s="61">
        <v>241</v>
      </c>
      <c r="BT141" s="61">
        <v>373</v>
      </c>
      <c r="BU141" s="61">
        <v>726</v>
      </c>
      <c r="BV141" s="61">
        <v>885</v>
      </c>
      <c r="BW141" s="61">
        <v>946</v>
      </c>
      <c r="BX141" s="61">
        <v>1574</v>
      </c>
      <c r="BY141" s="61">
        <v>34</v>
      </c>
      <c r="BZ141" s="61">
        <v>65</v>
      </c>
      <c r="CA141" s="61"/>
      <c r="CB141" s="61">
        <v>187</v>
      </c>
      <c r="CC141" s="61">
        <v>236</v>
      </c>
      <c r="CD141" s="61">
        <v>486</v>
      </c>
      <c r="CE141" s="61">
        <v>25</v>
      </c>
      <c r="CF141" s="61">
        <v>6</v>
      </c>
      <c r="CG141" s="61">
        <v>4149</v>
      </c>
      <c r="CH141" s="61">
        <v>11</v>
      </c>
      <c r="CI141" s="61">
        <v>152</v>
      </c>
      <c r="CJ141" s="61">
        <v>75</v>
      </c>
      <c r="CK141" s="61">
        <v>207</v>
      </c>
      <c r="CL141" s="61">
        <v>536</v>
      </c>
      <c r="CM141" s="61">
        <v>39</v>
      </c>
      <c r="CN141" s="61"/>
      <c r="CO141" s="61">
        <v>5</v>
      </c>
      <c r="CP141" s="61">
        <v>2607</v>
      </c>
      <c r="CQ141" s="61">
        <v>1179</v>
      </c>
      <c r="CR141" s="61">
        <v>115</v>
      </c>
      <c r="CS141" s="61">
        <v>147</v>
      </c>
      <c r="CT141" s="61">
        <v>27</v>
      </c>
      <c r="CU141" s="61">
        <v>2</v>
      </c>
      <c r="CV141" s="61"/>
      <c r="CW141" s="61">
        <v>7</v>
      </c>
      <c r="CX141" s="61">
        <v>904</v>
      </c>
      <c r="CY141" s="61">
        <v>3042</v>
      </c>
      <c r="CZ141" s="61">
        <v>191</v>
      </c>
      <c r="DA141" s="61">
        <v>906</v>
      </c>
      <c r="DB141" s="61">
        <v>56</v>
      </c>
      <c r="DC141" s="61">
        <v>1</v>
      </c>
      <c r="DD141" s="61">
        <v>5100</v>
      </c>
      <c r="DE141" s="61">
        <v>29</v>
      </c>
      <c r="DF141" s="61">
        <v>4922</v>
      </c>
      <c r="DG141" s="61">
        <v>149</v>
      </c>
      <c r="DH141" s="62" t="s">
        <v>2185</v>
      </c>
      <c r="DI141" s="61">
        <v>235</v>
      </c>
      <c r="DJ141" s="61">
        <v>22</v>
      </c>
      <c r="DK141" s="61"/>
      <c r="DL141" s="61">
        <v>3</v>
      </c>
      <c r="DM141" s="61"/>
      <c r="DN141" s="61">
        <v>2</v>
      </c>
    </row>
    <row r="142" spans="1:118" x14ac:dyDescent="0.25">
      <c r="A142" s="61">
        <v>106214034</v>
      </c>
      <c r="B142" s="62" t="s">
        <v>681</v>
      </c>
      <c r="C142" s="62" t="s">
        <v>682</v>
      </c>
      <c r="D142" s="62" t="s">
        <v>672</v>
      </c>
      <c r="E142" s="62" t="s">
        <v>71</v>
      </c>
      <c r="F142" s="62" t="s">
        <v>2213</v>
      </c>
      <c r="G142" s="62" t="s">
        <v>2058</v>
      </c>
      <c r="H142" s="62" t="s">
        <v>683</v>
      </c>
      <c r="I142" s="62" t="s">
        <v>684</v>
      </c>
      <c r="J142" s="62" t="s">
        <v>2190</v>
      </c>
      <c r="K142" s="62"/>
      <c r="L142" s="61">
        <v>2</v>
      </c>
      <c r="M142" s="61">
        <v>10</v>
      </c>
      <c r="N142" s="61">
        <v>2</v>
      </c>
      <c r="O142" s="62" t="s">
        <v>1873</v>
      </c>
      <c r="P142" s="62" t="s">
        <v>68</v>
      </c>
      <c r="Q142" s="62" t="s">
        <v>2167</v>
      </c>
      <c r="R142" s="62" t="s">
        <v>2167</v>
      </c>
      <c r="S142" s="62" t="s">
        <v>69</v>
      </c>
      <c r="T142" s="61">
        <v>7253</v>
      </c>
      <c r="U142" s="61">
        <v>6026</v>
      </c>
      <c r="V142" s="61"/>
      <c r="W142" s="61">
        <v>1383</v>
      </c>
      <c r="X142" s="61">
        <v>1401</v>
      </c>
      <c r="Y142" s="61">
        <v>1490</v>
      </c>
      <c r="Z142" s="61">
        <v>1584</v>
      </c>
      <c r="AA142" s="61">
        <v>1713</v>
      </c>
      <c r="AB142" s="61">
        <v>1740</v>
      </c>
      <c r="AC142" s="61">
        <v>1431</v>
      </c>
      <c r="AD142" s="61">
        <v>1132</v>
      </c>
      <c r="AE142" s="61">
        <v>1264</v>
      </c>
      <c r="AF142" s="61">
        <v>141</v>
      </c>
      <c r="AG142" s="61"/>
      <c r="AH142" s="61">
        <v>358</v>
      </c>
      <c r="AI142" s="61">
        <v>603</v>
      </c>
      <c r="AJ142" s="61">
        <v>3194</v>
      </c>
      <c r="AK142" s="61">
        <v>26</v>
      </c>
      <c r="AL142" s="61">
        <v>378</v>
      </c>
      <c r="AM142" s="61">
        <v>174</v>
      </c>
      <c r="AN142" s="61">
        <v>8546</v>
      </c>
      <c r="AO142" s="61">
        <v>156</v>
      </c>
      <c r="AP142" s="61">
        <v>57</v>
      </c>
      <c r="AQ142" s="61">
        <v>12</v>
      </c>
      <c r="AR142" s="61">
        <v>16</v>
      </c>
      <c r="AS142" s="61">
        <v>19</v>
      </c>
      <c r="AT142" s="61">
        <v>22</v>
      </c>
      <c r="AU142" s="61"/>
      <c r="AV142" s="61">
        <v>55</v>
      </c>
      <c r="AW142" s="61">
        <v>77</v>
      </c>
      <c r="AX142" s="61">
        <v>9</v>
      </c>
      <c r="AY142" s="61">
        <v>12632</v>
      </c>
      <c r="AZ142" s="61">
        <v>34</v>
      </c>
      <c r="BA142" s="61"/>
      <c r="BB142" s="61">
        <v>12</v>
      </c>
      <c r="BC142" s="61">
        <v>97</v>
      </c>
      <c r="BD142" s="61">
        <v>4704</v>
      </c>
      <c r="BE142" s="61">
        <v>3472</v>
      </c>
      <c r="BF142" s="61">
        <v>353</v>
      </c>
      <c r="BG142" s="61">
        <v>3719</v>
      </c>
      <c r="BH142" s="61">
        <v>1001</v>
      </c>
      <c r="BI142" s="61">
        <v>30</v>
      </c>
      <c r="BJ142" s="61">
        <v>13279</v>
      </c>
      <c r="BK142" s="61">
        <v>219</v>
      </c>
      <c r="BL142" s="61">
        <v>11345</v>
      </c>
      <c r="BM142" s="61">
        <v>1715</v>
      </c>
      <c r="BN142" s="61">
        <v>672</v>
      </c>
      <c r="BO142" s="61">
        <v>632</v>
      </c>
      <c r="BP142" s="61"/>
      <c r="BQ142" s="61">
        <v>12</v>
      </c>
      <c r="BR142" s="61">
        <v>42</v>
      </c>
      <c r="BS142" s="61">
        <v>69</v>
      </c>
      <c r="BT142" s="61">
        <v>113</v>
      </c>
      <c r="BU142" s="61">
        <v>156</v>
      </c>
      <c r="BV142" s="61">
        <v>219</v>
      </c>
      <c r="BW142" s="61">
        <v>247</v>
      </c>
      <c r="BX142" s="61">
        <v>446</v>
      </c>
      <c r="BY142" s="61"/>
      <c r="BZ142" s="61"/>
      <c r="CA142" s="61"/>
      <c r="CB142" s="61">
        <v>56</v>
      </c>
      <c r="CC142" s="61">
        <v>38</v>
      </c>
      <c r="CD142" s="61">
        <v>153</v>
      </c>
      <c r="CE142" s="61">
        <v>30</v>
      </c>
      <c r="CF142" s="61">
        <v>7</v>
      </c>
      <c r="CG142" s="61">
        <v>1020</v>
      </c>
      <c r="CH142" s="61"/>
      <c r="CI142" s="61">
        <v>81</v>
      </c>
      <c r="CJ142" s="61">
        <v>5</v>
      </c>
      <c r="CK142" s="61">
        <v>35</v>
      </c>
      <c r="CL142" s="61">
        <v>168</v>
      </c>
      <c r="CM142" s="61">
        <v>18</v>
      </c>
      <c r="CN142" s="61"/>
      <c r="CO142" s="61">
        <v>9</v>
      </c>
      <c r="CP142" s="61">
        <v>709</v>
      </c>
      <c r="CQ142" s="61">
        <v>216</v>
      </c>
      <c r="CR142" s="61">
        <v>1</v>
      </c>
      <c r="CS142" s="61">
        <v>44</v>
      </c>
      <c r="CT142" s="61">
        <v>10</v>
      </c>
      <c r="CU142" s="61"/>
      <c r="CV142" s="61">
        <v>1</v>
      </c>
      <c r="CW142" s="61">
        <v>7</v>
      </c>
      <c r="CX142" s="61">
        <v>225</v>
      </c>
      <c r="CY142" s="61">
        <v>827</v>
      </c>
      <c r="CZ142" s="61">
        <v>19</v>
      </c>
      <c r="DA142" s="61">
        <v>204</v>
      </c>
      <c r="DB142" s="61">
        <v>29</v>
      </c>
      <c r="DC142" s="61"/>
      <c r="DD142" s="61">
        <v>1304</v>
      </c>
      <c r="DE142" s="61">
        <v>37</v>
      </c>
      <c r="DF142" s="61">
        <v>1187</v>
      </c>
      <c r="DG142" s="61">
        <v>80</v>
      </c>
      <c r="DH142" s="62" t="s">
        <v>2185</v>
      </c>
      <c r="DI142" s="61">
        <v>47</v>
      </c>
      <c r="DJ142" s="61">
        <v>9</v>
      </c>
      <c r="DK142" s="61">
        <v>60</v>
      </c>
      <c r="DL142" s="61">
        <v>21</v>
      </c>
      <c r="DM142" s="61"/>
      <c r="DN142" s="61"/>
    </row>
    <row r="143" spans="1:118" x14ac:dyDescent="0.25">
      <c r="A143" s="61">
        <v>106220733</v>
      </c>
      <c r="B143" s="62" t="s">
        <v>685</v>
      </c>
      <c r="C143" s="62" t="s">
        <v>686</v>
      </c>
      <c r="D143" s="62" t="s">
        <v>687</v>
      </c>
      <c r="E143" s="62" t="s">
        <v>94</v>
      </c>
      <c r="F143" s="62" t="s">
        <v>2213</v>
      </c>
      <c r="G143" s="62" t="s">
        <v>688</v>
      </c>
      <c r="H143" s="62" t="s">
        <v>687</v>
      </c>
      <c r="I143" s="62" t="s">
        <v>689</v>
      </c>
      <c r="J143" s="62" t="s">
        <v>2190</v>
      </c>
      <c r="K143" s="62"/>
      <c r="L143" s="61">
        <v>4</v>
      </c>
      <c r="M143" s="61">
        <v>5</v>
      </c>
      <c r="N143" s="61">
        <v>8</v>
      </c>
      <c r="O143" s="62" t="s">
        <v>1874</v>
      </c>
      <c r="P143" s="62" t="s">
        <v>120</v>
      </c>
      <c r="Q143" s="62" t="s">
        <v>120</v>
      </c>
      <c r="R143" s="62" t="s">
        <v>2167</v>
      </c>
      <c r="S143" s="62" t="s">
        <v>127</v>
      </c>
      <c r="T143" s="61">
        <v>3155</v>
      </c>
      <c r="U143" s="61">
        <v>2689</v>
      </c>
      <c r="V143" s="61"/>
      <c r="W143" s="61">
        <v>490</v>
      </c>
      <c r="X143" s="61">
        <v>524</v>
      </c>
      <c r="Y143" s="61">
        <v>745</v>
      </c>
      <c r="Z143" s="61">
        <v>661</v>
      </c>
      <c r="AA143" s="61">
        <v>598</v>
      </c>
      <c r="AB143" s="61">
        <v>926</v>
      </c>
      <c r="AC143" s="61">
        <v>729</v>
      </c>
      <c r="AD143" s="61">
        <v>567</v>
      </c>
      <c r="AE143" s="61">
        <v>551</v>
      </c>
      <c r="AF143" s="61">
        <v>53</v>
      </c>
      <c r="AG143" s="61"/>
      <c r="AH143" s="61">
        <v>72</v>
      </c>
      <c r="AI143" s="61">
        <v>38</v>
      </c>
      <c r="AJ143" s="61">
        <v>369</v>
      </c>
      <c r="AK143" s="61">
        <v>226</v>
      </c>
      <c r="AL143" s="61">
        <v>33</v>
      </c>
      <c r="AM143" s="61">
        <v>20</v>
      </c>
      <c r="AN143" s="61">
        <v>5086</v>
      </c>
      <c r="AO143" s="61">
        <v>601</v>
      </c>
      <c r="AP143" s="61">
        <v>274</v>
      </c>
      <c r="AQ143" s="61">
        <v>6</v>
      </c>
      <c r="AR143" s="61"/>
      <c r="AS143" s="61"/>
      <c r="AT143" s="61">
        <v>2</v>
      </c>
      <c r="AU143" s="61"/>
      <c r="AV143" s="61">
        <v>43</v>
      </c>
      <c r="AW143" s="61">
        <v>15</v>
      </c>
      <c r="AX143" s="61">
        <v>26</v>
      </c>
      <c r="AY143" s="61">
        <v>4830</v>
      </c>
      <c r="AZ143" s="61">
        <v>6</v>
      </c>
      <c r="BA143" s="61">
        <v>2</v>
      </c>
      <c r="BB143" s="61">
        <v>32</v>
      </c>
      <c r="BC143" s="61"/>
      <c r="BD143" s="61">
        <v>513</v>
      </c>
      <c r="BE143" s="61">
        <v>1668</v>
      </c>
      <c r="BF143" s="61">
        <v>130</v>
      </c>
      <c r="BG143" s="61">
        <v>3125</v>
      </c>
      <c r="BH143" s="61">
        <v>408</v>
      </c>
      <c r="BI143" s="61"/>
      <c r="BJ143" s="61">
        <v>5844</v>
      </c>
      <c r="BK143" s="61">
        <v>28</v>
      </c>
      <c r="BL143" s="61">
        <v>5773</v>
      </c>
      <c r="BM143" s="61">
        <v>43</v>
      </c>
      <c r="BN143" s="61">
        <v>94</v>
      </c>
      <c r="BO143" s="61">
        <v>65</v>
      </c>
      <c r="BP143" s="61"/>
      <c r="BQ143" s="61"/>
      <c r="BR143" s="61">
        <v>5</v>
      </c>
      <c r="BS143" s="61">
        <v>3</v>
      </c>
      <c r="BT143" s="61">
        <v>5</v>
      </c>
      <c r="BU143" s="61">
        <v>18</v>
      </c>
      <c r="BV143" s="61">
        <v>18</v>
      </c>
      <c r="BW143" s="61">
        <v>40</v>
      </c>
      <c r="BX143" s="61">
        <v>70</v>
      </c>
      <c r="BY143" s="61"/>
      <c r="BZ143" s="61"/>
      <c r="CA143" s="61"/>
      <c r="CB143" s="61"/>
      <c r="CC143" s="61"/>
      <c r="CD143" s="61"/>
      <c r="CE143" s="61"/>
      <c r="CF143" s="61"/>
      <c r="CG143" s="61">
        <v>152</v>
      </c>
      <c r="CH143" s="61">
        <v>7</v>
      </c>
      <c r="CI143" s="61">
        <v>9</v>
      </c>
      <c r="CJ143" s="61">
        <v>3</v>
      </c>
      <c r="CK143" s="61">
        <v>6</v>
      </c>
      <c r="CL143" s="61"/>
      <c r="CM143" s="61"/>
      <c r="CN143" s="61"/>
      <c r="CO143" s="61"/>
      <c r="CP143" s="61">
        <v>101</v>
      </c>
      <c r="CQ143" s="61">
        <v>34</v>
      </c>
      <c r="CR143" s="61"/>
      <c r="CS143" s="61">
        <v>1</v>
      </c>
      <c r="CT143" s="61"/>
      <c r="CU143" s="61"/>
      <c r="CV143" s="61">
        <v>1</v>
      </c>
      <c r="CW143" s="61">
        <v>4</v>
      </c>
      <c r="CX143" s="61">
        <v>5</v>
      </c>
      <c r="CY143" s="61">
        <v>122</v>
      </c>
      <c r="CZ143" s="61">
        <v>3</v>
      </c>
      <c r="DA143" s="61">
        <v>28</v>
      </c>
      <c r="DB143" s="61">
        <v>1</v>
      </c>
      <c r="DC143" s="61"/>
      <c r="DD143" s="61">
        <v>159</v>
      </c>
      <c r="DE143" s="61"/>
      <c r="DF143" s="61">
        <v>159</v>
      </c>
      <c r="DG143" s="61"/>
      <c r="DH143" s="62" t="s">
        <v>2185</v>
      </c>
      <c r="DI143" s="61">
        <v>34</v>
      </c>
      <c r="DJ143" s="61">
        <v>4</v>
      </c>
      <c r="DK143" s="61">
        <v>1</v>
      </c>
      <c r="DL143" s="61">
        <v>6</v>
      </c>
      <c r="DM143" s="61"/>
      <c r="DN143" s="61"/>
    </row>
    <row r="144" spans="1:118" x14ac:dyDescent="0.25">
      <c r="A144" s="61">
        <v>106230949</v>
      </c>
      <c r="B144" s="62" t="s">
        <v>690</v>
      </c>
      <c r="C144" s="62" t="s">
        <v>691</v>
      </c>
      <c r="D144" s="62" t="s">
        <v>692</v>
      </c>
      <c r="E144" s="62" t="s">
        <v>71</v>
      </c>
      <c r="F144" s="62" t="s">
        <v>2213</v>
      </c>
      <c r="G144" s="62" t="s">
        <v>693</v>
      </c>
      <c r="H144" s="62" t="s">
        <v>694</v>
      </c>
      <c r="I144" s="62" t="s">
        <v>695</v>
      </c>
      <c r="J144" s="62" t="s">
        <v>2190</v>
      </c>
      <c r="K144" s="62"/>
      <c r="L144" s="61">
        <v>2</v>
      </c>
      <c r="M144" s="61">
        <v>2</v>
      </c>
      <c r="N144" s="61">
        <v>2</v>
      </c>
      <c r="O144" s="62" t="s">
        <v>1875</v>
      </c>
      <c r="P144" s="62" t="s">
        <v>120</v>
      </c>
      <c r="Q144" s="62" t="s">
        <v>120</v>
      </c>
      <c r="R144" s="62" t="s">
        <v>2167</v>
      </c>
      <c r="S144" s="62" t="s">
        <v>69</v>
      </c>
      <c r="T144" s="61">
        <v>4105</v>
      </c>
      <c r="U144" s="61">
        <v>4028</v>
      </c>
      <c r="V144" s="61">
        <v>1</v>
      </c>
      <c r="W144" s="61">
        <v>930</v>
      </c>
      <c r="X144" s="61">
        <v>893</v>
      </c>
      <c r="Y144" s="61">
        <v>1291</v>
      </c>
      <c r="Z144" s="61">
        <v>1147</v>
      </c>
      <c r="AA144" s="61">
        <v>943</v>
      </c>
      <c r="AB144" s="61">
        <v>976</v>
      </c>
      <c r="AC144" s="61">
        <v>941</v>
      </c>
      <c r="AD144" s="61">
        <v>514</v>
      </c>
      <c r="AE144" s="61">
        <v>383</v>
      </c>
      <c r="AF144" s="61">
        <v>116</v>
      </c>
      <c r="AG144" s="61"/>
      <c r="AH144" s="61">
        <v>35</v>
      </c>
      <c r="AI144" s="61">
        <v>99</v>
      </c>
      <c r="AJ144" s="61">
        <v>783</v>
      </c>
      <c r="AK144" s="61">
        <v>550</v>
      </c>
      <c r="AL144" s="61">
        <v>125</v>
      </c>
      <c r="AM144" s="61">
        <v>39</v>
      </c>
      <c r="AN144" s="61">
        <v>6503</v>
      </c>
      <c r="AO144" s="61">
        <v>231</v>
      </c>
      <c r="AP144" s="61">
        <v>86</v>
      </c>
      <c r="AQ144" s="61">
        <v>12</v>
      </c>
      <c r="AR144" s="61">
        <v>14</v>
      </c>
      <c r="AS144" s="61">
        <v>4</v>
      </c>
      <c r="AT144" s="61">
        <v>1</v>
      </c>
      <c r="AU144" s="61"/>
      <c r="AV144" s="61">
        <v>88</v>
      </c>
      <c r="AW144" s="61">
        <v>49</v>
      </c>
      <c r="AX144" s="61"/>
      <c r="AY144" s="61">
        <v>7615</v>
      </c>
      <c r="AZ144" s="61">
        <v>22</v>
      </c>
      <c r="BA144" s="61">
        <v>4</v>
      </c>
      <c r="BB144" s="61"/>
      <c r="BC144" s="61">
        <v>8</v>
      </c>
      <c r="BD144" s="61">
        <v>4028</v>
      </c>
      <c r="BE144" s="61">
        <v>1717</v>
      </c>
      <c r="BF144" s="61">
        <v>387</v>
      </c>
      <c r="BG144" s="61">
        <v>1348</v>
      </c>
      <c r="BH144" s="61">
        <v>654</v>
      </c>
      <c r="BI144" s="61"/>
      <c r="BJ144" s="61">
        <v>8134</v>
      </c>
      <c r="BK144" s="61">
        <v>16</v>
      </c>
      <c r="BL144" s="61">
        <v>7894</v>
      </c>
      <c r="BM144" s="61">
        <v>224</v>
      </c>
      <c r="BN144" s="61">
        <v>270</v>
      </c>
      <c r="BO144" s="61">
        <v>303</v>
      </c>
      <c r="BP144" s="61"/>
      <c r="BQ144" s="61">
        <v>14</v>
      </c>
      <c r="BR144" s="61">
        <v>29</v>
      </c>
      <c r="BS144" s="61">
        <v>44</v>
      </c>
      <c r="BT144" s="61">
        <v>46</v>
      </c>
      <c r="BU144" s="61">
        <v>98</v>
      </c>
      <c r="BV144" s="61">
        <v>127</v>
      </c>
      <c r="BW144" s="61">
        <v>102</v>
      </c>
      <c r="BX144" s="61">
        <v>109</v>
      </c>
      <c r="BY144" s="61"/>
      <c r="BZ144" s="61">
        <v>4</v>
      </c>
      <c r="CA144" s="61"/>
      <c r="CB144" s="61">
        <v>2</v>
      </c>
      <c r="CC144" s="61">
        <v>9</v>
      </c>
      <c r="CD144" s="61">
        <v>36</v>
      </c>
      <c r="CE144" s="61">
        <v>5</v>
      </c>
      <c r="CF144" s="61">
        <v>7</v>
      </c>
      <c r="CG144" s="61">
        <v>475</v>
      </c>
      <c r="CH144" s="61">
        <v>39</v>
      </c>
      <c r="CI144" s="61">
        <v>47</v>
      </c>
      <c r="CJ144" s="61">
        <v>5</v>
      </c>
      <c r="CK144" s="61">
        <v>12</v>
      </c>
      <c r="CL144" s="61">
        <v>42</v>
      </c>
      <c r="CM144" s="61">
        <v>3</v>
      </c>
      <c r="CN144" s="61"/>
      <c r="CO144" s="61"/>
      <c r="CP144" s="61">
        <v>321</v>
      </c>
      <c r="CQ144" s="61">
        <v>121</v>
      </c>
      <c r="CR144" s="61"/>
      <c r="CS144" s="61">
        <v>14</v>
      </c>
      <c r="CT144" s="61">
        <v>4</v>
      </c>
      <c r="CU144" s="61">
        <v>2</v>
      </c>
      <c r="CV144" s="61"/>
      <c r="CW144" s="61"/>
      <c r="CX144" s="61">
        <v>173</v>
      </c>
      <c r="CY144" s="61">
        <v>307</v>
      </c>
      <c r="CZ144" s="61">
        <v>18</v>
      </c>
      <c r="DA144" s="61">
        <v>66</v>
      </c>
      <c r="DB144" s="61">
        <v>9</v>
      </c>
      <c r="DC144" s="61"/>
      <c r="DD144" s="61">
        <v>573</v>
      </c>
      <c r="DE144" s="61"/>
      <c r="DF144" s="61">
        <v>561</v>
      </c>
      <c r="DG144" s="61">
        <v>12</v>
      </c>
      <c r="DH144" s="62" t="s">
        <v>2185</v>
      </c>
      <c r="DI144" s="61">
        <v>38</v>
      </c>
      <c r="DJ144" s="61">
        <v>5</v>
      </c>
      <c r="DK144" s="61"/>
      <c r="DL144" s="61"/>
      <c r="DM144" s="61"/>
      <c r="DN144" s="61">
        <v>2</v>
      </c>
    </row>
    <row r="145" spans="1:118" x14ac:dyDescent="0.25">
      <c r="A145" s="61">
        <v>106231013</v>
      </c>
      <c r="B145" s="62" t="s">
        <v>696</v>
      </c>
      <c r="C145" s="62" t="s">
        <v>697</v>
      </c>
      <c r="D145" s="62" t="s">
        <v>692</v>
      </c>
      <c r="E145" s="62" t="s">
        <v>94</v>
      </c>
      <c r="F145" s="62" t="s">
        <v>2213</v>
      </c>
      <c r="G145" s="62" t="s">
        <v>698</v>
      </c>
      <c r="H145" s="62" t="s">
        <v>699</v>
      </c>
      <c r="I145" s="62" t="s">
        <v>700</v>
      </c>
      <c r="J145" s="62" t="s">
        <v>2190</v>
      </c>
      <c r="K145" s="62"/>
      <c r="L145" s="61">
        <v>2</v>
      </c>
      <c r="M145" s="61">
        <v>2</v>
      </c>
      <c r="N145" s="61">
        <v>2</v>
      </c>
      <c r="O145" s="62" t="s">
        <v>1876</v>
      </c>
      <c r="P145" s="62" t="s">
        <v>120</v>
      </c>
      <c r="Q145" s="62" t="s">
        <v>120</v>
      </c>
      <c r="R145" s="62" t="s">
        <v>2167</v>
      </c>
      <c r="S145" s="62" t="s">
        <v>127</v>
      </c>
      <c r="T145" s="61">
        <v>4986</v>
      </c>
      <c r="U145" s="61">
        <v>4681</v>
      </c>
      <c r="V145" s="61"/>
      <c r="W145" s="61">
        <v>808</v>
      </c>
      <c r="X145" s="61">
        <v>748</v>
      </c>
      <c r="Y145" s="61">
        <v>1108</v>
      </c>
      <c r="Z145" s="61">
        <v>1106</v>
      </c>
      <c r="AA145" s="61">
        <v>1192</v>
      </c>
      <c r="AB145" s="61">
        <v>1271</v>
      </c>
      <c r="AC145" s="61">
        <v>1518</v>
      </c>
      <c r="AD145" s="61">
        <v>1024</v>
      </c>
      <c r="AE145" s="61">
        <v>724</v>
      </c>
      <c r="AF145" s="61">
        <v>168</v>
      </c>
      <c r="AG145" s="61"/>
      <c r="AH145" s="61">
        <v>69</v>
      </c>
      <c r="AI145" s="61">
        <v>80</v>
      </c>
      <c r="AJ145" s="61">
        <v>1111</v>
      </c>
      <c r="AK145" s="61">
        <v>81</v>
      </c>
      <c r="AL145" s="61">
        <v>297</v>
      </c>
      <c r="AM145" s="61">
        <v>61</v>
      </c>
      <c r="AN145" s="61">
        <v>7968</v>
      </c>
      <c r="AO145" s="61">
        <v>230</v>
      </c>
      <c r="AP145" s="61">
        <v>104</v>
      </c>
      <c r="AQ145" s="61">
        <v>17</v>
      </c>
      <c r="AR145" s="61">
        <v>4</v>
      </c>
      <c r="AS145" s="61">
        <v>4</v>
      </c>
      <c r="AT145" s="61"/>
      <c r="AU145" s="61"/>
      <c r="AV145" s="61">
        <v>59</v>
      </c>
      <c r="AW145" s="61">
        <v>77</v>
      </c>
      <c r="AX145" s="61">
        <v>2</v>
      </c>
      <c r="AY145" s="61">
        <v>9118</v>
      </c>
      <c r="AZ145" s="61">
        <v>27</v>
      </c>
      <c r="BA145" s="61">
        <v>3</v>
      </c>
      <c r="BB145" s="61">
        <v>17</v>
      </c>
      <c r="BC145" s="61">
        <v>4</v>
      </c>
      <c r="BD145" s="61">
        <v>340</v>
      </c>
      <c r="BE145" s="61">
        <v>3030</v>
      </c>
      <c r="BF145" s="61">
        <v>495</v>
      </c>
      <c r="BG145" s="61">
        <v>5399</v>
      </c>
      <c r="BH145" s="61">
        <v>403</v>
      </c>
      <c r="BI145" s="61"/>
      <c r="BJ145" s="61">
        <v>9667</v>
      </c>
      <c r="BK145" s="61">
        <v>51</v>
      </c>
      <c r="BL145" s="61">
        <v>8987</v>
      </c>
      <c r="BM145" s="61">
        <v>629</v>
      </c>
      <c r="BN145" s="61">
        <v>326</v>
      </c>
      <c r="BO145" s="61">
        <v>340</v>
      </c>
      <c r="BP145" s="61"/>
      <c r="BQ145" s="61">
        <v>8</v>
      </c>
      <c r="BR145" s="61">
        <v>27</v>
      </c>
      <c r="BS145" s="61">
        <v>19</v>
      </c>
      <c r="BT145" s="61">
        <v>49</v>
      </c>
      <c r="BU145" s="61">
        <v>97</v>
      </c>
      <c r="BV145" s="61">
        <v>123</v>
      </c>
      <c r="BW145" s="61">
        <v>150</v>
      </c>
      <c r="BX145" s="61">
        <v>186</v>
      </c>
      <c r="BY145" s="61">
        <v>1</v>
      </c>
      <c r="BZ145" s="61">
        <v>6</v>
      </c>
      <c r="CA145" s="61"/>
      <c r="CB145" s="61">
        <v>2</v>
      </c>
      <c r="CC145" s="61">
        <v>2</v>
      </c>
      <c r="CD145" s="61">
        <v>29</v>
      </c>
      <c r="CE145" s="61">
        <v>14</v>
      </c>
      <c r="CF145" s="61"/>
      <c r="CG145" s="61">
        <v>612</v>
      </c>
      <c r="CH145" s="61">
        <v>7</v>
      </c>
      <c r="CI145" s="61">
        <v>66</v>
      </c>
      <c r="CJ145" s="61">
        <v>15</v>
      </c>
      <c r="CK145" s="61">
        <v>25</v>
      </c>
      <c r="CL145" s="61">
        <v>79</v>
      </c>
      <c r="CM145" s="61">
        <v>2</v>
      </c>
      <c r="CN145" s="61"/>
      <c r="CO145" s="61">
        <v>3</v>
      </c>
      <c r="CP145" s="61">
        <v>318</v>
      </c>
      <c r="CQ145" s="61">
        <v>146</v>
      </c>
      <c r="CR145" s="61">
        <v>1</v>
      </c>
      <c r="CS145" s="61">
        <v>8</v>
      </c>
      <c r="CT145" s="61">
        <v>2</v>
      </c>
      <c r="CU145" s="61"/>
      <c r="CV145" s="61">
        <v>1</v>
      </c>
      <c r="CW145" s="61"/>
      <c r="CX145" s="61">
        <v>131</v>
      </c>
      <c r="CY145" s="61">
        <v>437</v>
      </c>
      <c r="CZ145" s="61">
        <v>6</v>
      </c>
      <c r="DA145" s="61">
        <v>86</v>
      </c>
      <c r="DB145" s="61">
        <v>6</v>
      </c>
      <c r="DC145" s="61"/>
      <c r="DD145" s="61">
        <v>666</v>
      </c>
      <c r="DE145" s="61">
        <v>7</v>
      </c>
      <c r="DF145" s="61">
        <v>638</v>
      </c>
      <c r="DG145" s="61">
        <v>21</v>
      </c>
      <c r="DH145" s="62" t="s">
        <v>2185</v>
      </c>
      <c r="DI145" s="61">
        <v>49</v>
      </c>
      <c r="DJ145" s="61">
        <v>8</v>
      </c>
      <c r="DK145" s="61"/>
      <c r="DL145" s="61">
        <v>1</v>
      </c>
      <c r="DM145" s="61"/>
      <c r="DN145" s="61"/>
    </row>
    <row r="146" spans="1:118" x14ac:dyDescent="0.25">
      <c r="A146" s="61">
        <v>106231396</v>
      </c>
      <c r="B146" s="62" t="s">
        <v>701</v>
      </c>
      <c r="C146" s="62" t="s">
        <v>1763</v>
      </c>
      <c r="D146" s="62" t="s">
        <v>692</v>
      </c>
      <c r="E146" s="62" t="s">
        <v>71</v>
      </c>
      <c r="F146" s="62" t="s">
        <v>2213</v>
      </c>
      <c r="G146" s="62" t="s">
        <v>702</v>
      </c>
      <c r="H146" s="62" t="s">
        <v>703</v>
      </c>
      <c r="I146" s="62" t="s">
        <v>704</v>
      </c>
      <c r="J146" s="62" t="s">
        <v>2188</v>
      </c>
      <c r="K146" s="62" t="s">
        <v>126</v>
      </c>
      <c r="L146" s="61">
        <v>2</v>
      </c>
      <c r="M146" s="61">
        <v>2</v>
      </c>
      <c r="N146" s="61">
        <v>2</v>
      </c>
      <c r="O146" s="62" t="s">
        <v>1877</v>
      </c>
      <c r="P146" s="62" t="s">
        <v>120</v>
      </c>
      <c r="Q146" s="62" t="s">
        <v>120</v>
      </c>
      <c r="R146" s="62" t="s">
        <v>2167</v>
      </c>
      <c r="S146" s="62" t="s">
        <v>69</v>
      </c>
      <c r="T146" s="61">
        <v>14203</v>
      </c>
      <c r="U146" s="61">
        <v>12487</v>
      </c>
      <c r="V146" s="61"/>
      <c r="W146" s="61">
        <v>3159</v>
      </c>
      <c r="X146" s="61">
        <v>2917</v>
      </c>
      <c r="Y146" s="61">
        <v>4418</v>
      </c>
      <c r="Z146" s="61">
        <v>4010</v>
      </c>
      <c r="AA146" s="61">
        <v>3352</v>
      </c>
      <c r="AB146" s="61">
        <v>2931</v>
      </c>
      <c r="AC146" s="61">
        <v>2482</v>
      </c>
      <c r="AD146" s="61">
        <v>1483</v>
      </c>
      <c r="AE146" s="61">
        <v>1345</v>
      </c>
      <c r="AF146" s="61">
        <v>593</v>
      </c>
      <c r="AG146" s="61"/>
      <c r="AH146" s="61">
        <v>170</v>
      </c>
      <c r="AI146" s="61">
        <v>404</v>
      </c>
      <c r="AJ146" s="61">
        <v>6173</v>
      </c>
      <c r="AK146" s="61">
        <v>1726</v>
      </c>
      <c r="AL146" s="61">
        <v>565</v>
      </c>
      <c r="AM146" s="61">
        <v>115</v>
      </c>
      <c r="AN146" s="61">
        <v>17537</v>
      </c>
      <c r="AO146" s="61">
        <v>426</v>
      </c>
      <c r="AP146" s="61">
        <v>164</v>
      </c>
      <c r="AQ146" s="61">
        <v>26</v>
      </c>
      <c r="AR146" s="61">
        <v>45</v>
      </c>
      <c r="AS146" s="61">
        <v>5</v>
      </c>
      <c r="AT146" s="61"/>
      <c r="AU146" s="61"/>
      <c r="AV146" s="61">
        <v>187</v>
      </c>
      <c r="AW146" s="61">
        <v>243</v>
      </c>
      <c r="AX146" s="61">
        <v>1</v>
      </c>
      <c r="AY146" s="61">
        <v>25388</v>
      </c>
      <c r="AZ146" s="61">
        <v>56</v>
      </c>
      <c r="BA146" s="61">
        <v>24</v>
      </c>
      <c r="BB146" s="61"/>
      <c r="BC146" s="61">
        <v>116</v>
      </c>
      <c r="BD146" s="61">
        <v>13345</v>
      </c>
      <c r="BE146" s="61">
        <v>5329</v>
      </c>
      <c r="BF146" s="61">
        <v>1045</v>
      </c>
      <c r="BG146" s="61">
        <v>5045</v>
      </c>
      <c r="BH146" s="61">
        <v>1926</v>
      </c>
      <c r="BI146" s="61"/>
      <c r="BJ146" s="61">
        <v>26690</v>
      </c>
      <c r="BK146" s="61">
        <v>46</v>
      </c>
      <c r="BL146" s="61">
        <v>23966</v>
      </c>
      <c r="BM146" s="61">
        <v>2678</v>
      </c>
      <c r="BN146" s="61">
        <v>1092</v>
      </c>
      <c r="BO146" s="61">
        <v>1066</v>
      </c>
      <c r="BP146" s="61"/>
      <c r="BQ146" s="61">
        <v>35</v>
      </c>
      <c r="BR146" s="61">
        <v>113</v>
      </c>
      <c r="BS146" s="61">
        <v>148</v>
      </c>
      <c r="BT146" s="61">
        <v>162</v>
      </c>
      <c r="BU146" s="61">
        <v>333</v>
      </c>
      <c r="BV146" s="61">
        <v>454</v>
      </c>
      <c r="BW146" s="61">
        <v>351</v>
      </c>
      <c r="BX146" s="61">
        <v>503</v>
      </c>
      <c r="BY146" s="61">
        <v>22</v>
      </c>
      <c r="BZ146" s="61">
        <v>37</v>
      </c>
      <c r="CA146" s="61"/>
      <c r="CB146" s="61">
        <v>19</v>
      </c>
      <c r="CC146" s="61">
        <v>27</v>
      </c>
      <c r="CD146" s="61">
        <v>259</v>
      </c>
      <c r="CE146" s="61">
        <v>27</v>
      </c>
      <c r="CF146" s="61">
        <v>6</v>
      </c>
      <c r="CG146" s="61">
        <v>1693</v>
      </c>
      <c r="CH146" s="61">
        <v>127</v>
      </c>
      <c r="CI146" s="61">
        <v>111</v>
      </c>
      <c r="CJ146" s="61">
        <v>36</v>
      </c>
      <c r="CK146" s="61">
        <v>78</v>
      </c>
      <c r="CL146" s="61">
        <v>228</v>
      </c>
      <c r="CM146" s="61">
        <v>1</v>
      </c>
      <c r="CN146" s="61"/>
      <c r="CO146" s="61"/>
      <c r="CP146" s="61">
        <v>1381</v>
      </c>
      <c r="CQ146" s="61">
        <v>266</v>
      </c>
      <c r="CR146" s="61">
        <v>5</v>
      </c>
      <c r="CS146" s="61">
        <v>32</v>
      </c>
      <c r="CT146" s="61">
        <v>11</v>
      </c>
      <c r="CU146" s="61"/>
      <c r="CV146" s="61"/>
      <c r="CW146" s="61"/>
      <c r="CX146" s="61">
        <v>564</v>
      </c>
      <c r="CY146" s="61">
        <v>1206</v>
      </c>
      <c r="CZ146" s="61">
        <v>73</v>
      </c>
      <c r="DA146" s="61">
        <v>300</v>
      </c>
      <c r="DB146" s="61">
        <v>15</v>
      </c>
      <c r="DC146" s="61"/>
      <c r="DD146" s="61">
        <v>2158</v>
      </c>
      <c r="DE146" s="61">
        <v>6</v>
      </c>
      <c r="DF146" s="61">
        <v>1989</v>
      </c>
      <c r="DG146" s="61">
        <v>163</v>
      </c>
      <c r="DH146" s="62" t="s">
        <v>2185</v>
      </c>
      <c r="DI146" s="61">
        <v>67</v>
      </c>
      <c r="DJ146" s="61">
        <v>14</v>
      </c>
      <c r="DK146" s="61"/>
      <c r="DL146" s="61">
        <v>9</v>
      </c>
      <c r="DM146" s="61"/>
      <c r="DN146" s="61">
        <v>9</v>
      </c>
    </row>
    <row r="147" spans="1:118" x14ac:dyDescent="0.25">
      <c r="A147" s="61">
        <v>106234038</v>
      </c>
      <c r="B147" s="62" t="s">
        <v>2206</v>
      </c>
      <c r="C147" s="62" t="s">
        <v>2207</v>
      </c>
      <c r="D147" s="62" t="s">
        <v>692</v>
      </c>
      <c r="E147" s="62" t="s">
        <v>71</v>
      </c>
      <c r="F147" s="62"/>
      <c r="G147" s="62" t="s">
        <v>2208</v>
      </c>
      <c r="H147" s="62" t="s">
        <v>694</v>
      </c>
      <c r="I147" s="62" t="s">
        <v>695</v>
      </c>
      <c r="J147" s="62" t="s">
        <v>2190</v>
      </c>
      <c r="K147" s="62"/>
      <c r="L147" s="61">
        <v>2</v>
      </c>
      <c r="M147" s="61">
        <v>2</v>
      </c>
      <c r="N147" s="61">
        <v>2</v>
      </c>
      <c r="O147" s="62" t="s">
        <v>1875</v>
      </c>
      <c r="P147" s="62" t="s">
        <v>120</v>
      </c>
      <c r="Q147" s="62" t="s">
        <v>120</v>
      </c>
      <c r="R147" s="62" t="s">
        <v>2167</v>
      </c>
      <c r="S147" s="62" t="s">
        <v>69</v>
      </c>
      <c r="T147" s="61">
        <v>956</v>
      </c>
      <c r="U147" s="61">
        <v>947</v>
      </c>
      <c r="V147" s="61"/>
      <c r="W147" s="61">
        <v>218</v>
      </c>
      <c r="X147" s="61">
        <v>185</v>
      </c>
      <c r="Y147" s="61">
        <v>298</v>
      </c>
      <c r="Z147" s="61">
        <v>250</v>
      </c>
      <c r="AA147" s="61">
        <v>231</v>
      </c>
      <c r="AB147" s="61">
        <v>226</v>
      </c>
      <c r="AC147" s="61">
        <v>239</v>
      </c>
      <c r="AD147" s="61">
        <v>128</v>
      </c>
      <c r="AE147" s="61">
        <v>92</v>
      </c>
      <c r="AF147" s="61">
        <v>35</v>
      </c>
      <c r="AG147" s="61">
        <v>1</v>
      </c>
      <c r="AH147" s="61">
        <v>13</v>
      </c>
      <c r="AI147" s="61">
        <v>10</v>
      </c>
      <c r="AJ147" s="61">
        <v>180</v>
      </c>
      <c r="AK147" s="61">
        <v>137</v>
      </c>
      <c r="AL147" s="61">
        <v>30</v>
      </c>
      <c r="AM147" s="61">
        <v>7</v>
      </c>
      <c r="AN147" s="61">
        <v>1526</v>
      </c>
      <c r="AO147" s="61">
        <v>43</v>
      </c>
      <c r="AP147" s="61">
        <v>13</v>
      </c>
      <c r="AQ147" s="61"/>
      <c r="AR147" s="61">
        <v>2</v>
      </c>
      <c r="AS147" s="61"/>
      <c r="AT147" s="61">
        <v>1</v>
      </c>
      <c r="AU147" s="61"/>
      <c r="AV147" s="61">
        <v>17</v>
      </c>
      <c r="AW147" s="61">
        <v>16</v>
      </c>
      <c r="AX147" s="61"/>
      <c r="AY147" s="61">
        <v>1801</v>
      </c>
      <c r="AZ147" s="61">
        <v>7</v>
      </c>
      <c r="BA147" s="61"/>
      <c r="BB147" s="61"/>
      <c r="BC147" s="61">
        <v>3</v>
      </c>
      <c r="BD147" s="61">
        <v>944</v>
      </c>
      <c r="BE147" s="61">
        <v>378</v>
      </c>
      <c r="BF147" s="61">
        <v>120</v>
      </c>
      <c r="BG147" s="61">
        <v>318</v>
      </c>
      <c r="BH147" s="61">
        <v>143</v>
      </c>
      <c r="BI147" s="61"/>
      <c r="BJ147" s="61">
        <v>1903</v>
      </c>
      <c r="BK147" s="61">
        <v>4</v>
      </c>
      <c r="BL147" s="61">
        <v>1842</v>
      </c>
      <c r="BM147" s="61">
        <v>57</v>
      </c>
      <c r="BN147" s="61">
        <v>59</v>
      </c>
      <c r="BO147" s="61">
        <v>72</v>
      </c>
      <c r="BP147" s="61"/>
      <c r="BQ147" s="61">
        <v>1</v>
      </c>
      <c r="BR147" s="61">
        <v>5</v>
      </c>
      <c r="BS147" s="61">
        <v>8</v>
      </c>
      <c r="BT147" s="61">
        <v>11</v>
      </c>
      <c r="BU147" s="61">
        <v>29</v>
      </c>
      <c r="BV147" s="61">
        <v>27</v>
      </c>
      <c r="BW147" s="61">
        <v>27</v>
      </c>
      <c r="BX147" s="61">
        <v>21</v>
      </c>
      <c r="BY147" s="61"/>
      <c r="BZ147" s="61">
        <v>2</v>
      </c>
      <c r="CA147" s="61"/>
      <c r="CB147" s="61"/>
      <c r="CC147" s="61"/>
      <c r="CD147" s="61">
        <v>6</v>
      </c>
      <c r="CE147" s="61">
        <v>3</v>
      </c>
      <c r="CF147" s="61"/>
      <c r="CG147" s="61">
        <v>113</v>
      </c>
      <c r="CH147" s="61">
        <v>9</v>
      </c>
      <c r="CI147" s="61">
        <v>10</v>
      </c>
      <c r="CJ147" s="61">
        <v>1</v>
      </c>
      <c r="CK147" s="61">
        <v>4</v>
      </c>
      <c r="CL147" s="61">
        <v>11</v>
      </c>
      <c r="CM147" s="61"/>
      <c r="CN147" s="61"/>
      <c r="CO147" s="61"/>
      <c r="CP147" s="61">
        <v>85</v>
      </c>
      <c r="CQ147" s="61">
        <v>19</v>
      </c>
      <c r="CR147" s="61"/>
      <c r="CS147" s="61">
        <v>1</v>
      </c>
      <c r="CT147" s="61"/>
      <c r="CU147" s="61"/>
      <c r="CV147" s="61"/>
      <c r="CW147" s="61"/>
      <c r="CX147" s="61">
        <v>44</v>
      </c>
      <c r="CY147" s="61">
        <v>65</v>
      </c>
      <c r="CZ147" s="61">
        <v>2</v>
      </c>
      <c r="DA147" s="61">
        <v>16</v>
      </c>
      <c r="DB147" s="61">
        <v>4</v>
      </c>
      <c r="DC147" s="61"/>
      <c r="DD147" s="61">
        <v>131</v>
      </c>
      <c r="DE147" s="61">
        <v>1</v>
      </c>
      <c r="DF147" s="61">
        <v>126</v>
      </c>
      <c r="DG147" s="61">
        <v>4</v>
      </c>
      <c r="DH147" s="62" t="s">
        <v>2185</v>
      </c>
      <c r="DI147" s="61">
        <v>25</v>
      </c>
      <c r="DJ147" s="61">
        <v>5</v>
      </c>
      <c r="DK147" s="61"/>
      <c r="DL147" s="61"/>
      <c r="DM147" s="61"/>
      <c r="DN147" s="61"/>
    </row>
    <row r="148" spans="1:118" x14ac:dyDescent="0.25">
      <c r="A148" s="61">
        <v>106240924</v>
      </c>
      <c r="B148" s="62" t="s">
        <v>705</v>
      </c>
      <c r="C148" s="62" t="s">
        <v>706</v>
      </c>
      <c r="D148" s="62" t="s">
        <v>707</v>
      </c>
      <c r="E148" s="62" t="s">
        <v>71</v>
      </c>
      <c r="F148" s="62" t="s">
        <v>2213</v>
      </c>
      <c r="G148" s="62" t="s">
        <v>708</v>
      </c>
      <c r="H148" s="62" t="s">
        <v>709</v>
      </c>
      <c r="I148" s="62" t="s">
        <v>710</v>
      </c>
      <c r="J148" s="62" t="s">
        <v>2190</v>
      </c>
      <c r="K148" s="62"/>
      <c r="L148" s="61">
        <v>16</v>
      </c>
      <c r="M148" s="61">
        <v>21</v>
      </c>
      <c r="N148" s="61">
        <v>12</v>
      </c>
      <c r="O148" s="62" t="s">
        <v>1878</v>
      </c>
      <c r="P148" s="62" t="s">
        <v>120</v>
      </c>
      <c r="Q148" s="62" t="s">
        <v>120</v>
      </c>
      <c r="R148" s="62" t="s">
        <v>2167</v>
      </c>
      <c r="S148" s="62" t="s">
        <v>69</v>
      </c>
      <c r="T148" s="61">
        <v>19275</v>
      </c>
      <c r="U148" s="61">
        <v>14633</v>
      </c>
      <c r="V148" s="61"/>
      <c r="W148" s="61">
        <v>6606</v>
      </c>
      <c r="X148" s="61">
        <v>4792</v>
      </c>
      <c r="Y148" s="61">
        <v>5264</v>
      </c>
      <c r="Z148" s="61">
        <v>4884</v>
      </c>
      <c r="AA148" s="61">
        <v>3701</v>
      </c>
      <c r="AB148" s="61">
        <v>3280</v>
      </c>
      <c r="AC148" s="61">
        <v>1932</v>
      </c>
      <c r="AD148" s="61">
        <v>1230</v>
      </c>
      <c r="AE148" s="61">
        <v>1022</v>
      </c>
      <c r="AF148" s="61">
        <v>1197</v>
      </c>
      <c r="AG148" s="61"/>
      <c r="AH148" s="61">
        <v>350</v>
      </c>
      <c r="AI148" s="61">
        <v>1618</v>
      </c>
      <c r="AJ148" s="61">
        <v>23855</v>
      </c>
      <c r="AK148" s="61">
        <v>54</v>
      </c>
      <c r="AL148" s="61">
        <v>702</v>
      </c>
      <c r="AM148" s="61">
        <v>62</v>
      </c>
      <c r="AN148" s="61">
        <v>7267</v>
      </c>
      <c r="AO148" s="61">
        <v>355</v>
      </c>
      <c r="AP148" s="61">
        <v>133</v>
      </c>
      <c r="AQ148" s="61">
        <v>23</v>
      </c>
      <c r="AR148" s="61">
        <v>24</v>
      </c>
      <c r="AS148" s="61">
        <v>6</v>
      </c>
      <c r="AT148" s="61">
        <v>1</v>
      </c>
      <c r="AU148" s="61"/>
      <c r="AV148" s="61">
        <v>15</v>
      </c>
      <c r="AW148" s="61">
        <v>96</v>
      </c>
      <c r="AX148" s="61">
        <v>1</v>
      </c>
      <c r="AY148" s="61">
        <v>32456</v>
      </c>
      <c r="AZ148" s="61">
        <v>60</v>
      </c>
      <c r="BA148" s="61">
        <v>4</v>
      </c>
      <c r="BB148" s="61">
        <v>42</v>
      </c>
      <c r="BC148" s="61">
        <v>399</v>
      </c>
      <c r="BD148" s="61">
        <v>22461</v>
      </c>
      <c r="BE148" s="61">
        <v>4383</v>
      </c>
      <c r="BF148" s="61">
        <v>801</v>
      </c>
      <c r="BG148" s="61">
        <v>4119</v>
      </c>
      <c r="BH148" s="61">
        <v>2028</v>
      </c>
      <c r="BI148" s="61">
        <v>116</v>
      </c>
      <c r="BJ148" s="61">
        <v>33908</v>
      </c>
      <c r="BK148" s="61">
        <v>143</v>
      </c>
      <c r="BL148" s="61">
        <v>26772</v>
      </c>
      <c r="BM148" s="61">
        <v>6993</v>
      </c>
      <c r="BN148" s="61">
        <v>476</v>
      </c>
      <c r="BO148" s="61">
        <v>356</v>
      </c>
      <c r="BP148" s="61"/>
      <c r="BQ148" s="61">
        <v>14</v>
      </c>
      <c r="BR148" s="61">
        <v>54</v>
      </c>
      <c r="BS148" s="61">
        <v>70</v>
      </c>
      <c r="BT148" s="61">
        <v>78</v>
      </c>
      <c r="BU148" s="61">
        <v>108</v>
      </c>
      <c r="BV148" s="61">
        <v>125</v>
      </c>
      <c r="BW148" s="61">
        <v>161</v>
      </c>
      <c r="BX148" s="61">
        <v>208</v>
      </c>
      <c r="BY148" s="61">
        <v>5</v>
      </c>
      <c r="BZ148" s="61">
        <v>9</v>
      </c>
      <c r="CA148" s="61"/>
      <c r="CB148" s="61">
        <v>16</v>
      </c>
      <c r="CC148" s="61">
        <v>42</v>
      </c>
      <c r="CD148" s="61">
        <v>388</v>
      </c>
      <c r="CE148" s="61">
        <v>41</v>
      </c>
      <c r="CF148" s="61">
        <v>2</v>
      </c>
      <c r="CG148" s="61">
        <v>340</v>
      </c>
      <c r="CH148" s="61">
        <v>3</v>
      </c>
      <c r="CI148" s="61">
        <v>46</v>
      </c>
      <c r="CJ148" s="61">
        <v>10</v>
      </c>
      <c r="CK148" s="61">
        <v>17</v>
      </c>
      <c r="CL148" s="61">
        <v>106</v>
      </c>
      <c r="CM148" s="61">
        <v>5</v>
      </c>
      <c r="CN148" s="61"/>
      <c r="CO148" s="61">
        <v>3</v>
      </c>
      <c r="CP148" s="61">
        <v>518</v>
      </c>
      <c r="CQ148" s="61">
        <v>108</v>
      </c>
      <c r="CR148" s="61"/>
      <c r="CS148" s="61">
        <v>14</v>
      </c>
      <c r="CT148" s="61">
        <v>5</v>
      </c>
      <c r="CU148" s="61"/>
      <c r="CV148" s="61"/>
      <c r="CW148" s="61"/>
      <c r="CX148" s="61">
        <v>267</v>
      </c>
      <c r="CY148" s="61">
        <v>482</v>
      </c>
      <c r="CZ148" s="61">
        <v>7</v>
      </c>
      <c r="DA148" s="61">
        <v>70</v>
      </c>
      <c r="DB148" s="61">
        <v>6</v>
      </c>
      <c r="DC148" s="61"/>
      <c r="DD148" s="61">
        <v>832</v>
      </c>
      <c r="DE148" s="61">
        <v>18</v>
      </c>
      <c r="DF148" s="61">
        <v>684</v>
      </c>
      <c r="DG148" s="61">
        <v>130</v>
      </c>
      <c r="DH148" s="62" t="s">
        <v>2185</v>
      </c>
      <c r="DI148" s="61">
        <v>44</v>
      </c>
      <c r="DJ148" s="61">
        <v>9</v>
      </c>
      <c r="DK148" s="61">
        <v>242</v>
      </c>
      <c r="DL148" s="61">
        <v>51</v>
      </c>
      <c r="DM148" s="61"/>
      <c r="DN148" s="61"/>
    </row>
    <row r="149" spans="1:118" x14ac:dyDescent="0.25">
      <c r="A149" s="61">
        <v>106240942</v>
      </c>
      <c r="B149" s="62" t="s">
        <v>711</v>
      </c>
      <c r="C149" s="62" t="s">
        <v>712</v>
      </c>
      <c r="D149" s="62" t="s">
        <v>707</v>
      </c>
      <c r="E149" s="62" t="s">
        <v>71</v>
      </c>
      <c r="F149" s="62" t="s">
        <v>2213</v>
      </c>
      <c r="G149" s="62" t="s">
        <v>713</v>
      </c>
      <c r="H149" s="62" t="s">
        <v>707</v>
      </c>
      <c r="I149" s="62" t="s">
        <v>714</v>
      </c>
      <c r="J149" s="62" t="s">
        <v>2187</v>
      </c>
      <c r="K149" s="62"/>
      <c r="L149" s="61">
        <v>16</v>
      </c>
      <c r="M149" s="61">
        <v>21</v>
      </c>
      <c r="N149" s="61">
        <v>12</v>
      </c>
      <c r="O149" s="62" t="s">
        <v>1879</v>
      </c>
      <c r="P149" s="62" t="s">
        <v>68</v>
      </c>
      <c r="Q149" s="62" t="s">
        <v>2167</v>
      </c>
      <c r="R149" s="62" t="s">
        <v>2167</v>
      </c>
      <c r="S149" s="62" t="s">
        <v>69</v>
      </c>
      <c r="T149" s="61">
        <v>35857</v>
      </c>
      <c r="U149" s="61">
        <v>27971</v>
      </c>
      <c r="V149" s="61"/>
      <c r="W149" s="61">
        <v>11510</v>
      </c>
      <c r="X149" s="61">
        <v>8277</v>
      </c>
      <c r="Y149" s="61">
        <v>11377</v>
      </c>
      <c r="Z149" s="61">
        <v>8820</v>
      </c>
      <c r="AA149" s="61">
        <v>6568</v>
      </c>
      <c r="AB149" s="61">
        <v>6455</v>
      </c>
      <c r="AC149" s="61">
        <v>3834</v>
      </c>
      <c r="AD149" s="61">
        <v>2328</v>
      </c>
      <c r="AE149" s="61">
        <v>2139</v>
      </c>
      <c r="AF149" s="61">
        <v>2520</v>
      </c>
      <c r="AG149" s="61"/>
      <c r="AH149" s="61">
        <v>2143</v>
      </c>
      <c r="AI149" s="61">
        <v>5000</v>
      </c>
      <c r="AJ149" s="61">
        <v>32084</v>
      </c>
      <c r="AK149" s="61">
        <v>23</v>
      </c>
      <c r="AL149" s="61">
        <v>393</v>
      </c>
      <c r="AM149" s="61">
        <v>436</v>
      </c>
      <c r="AN149" s="61">
        <v>23749</v>
      </c>
      <c r="AO149" s="61">
        <v>1146</v>
      </c>
      <c r="AP149" s="61">
        <v>5127</v>
      </c>
      <c r="AQ149" s="61">
        <v>82</v>
      </c>
      <c r="AR149" s="61">
        <v>27584</v>
      </c>
      <c r="AS149" s="61">
        <v>2</v>
      </c>
      <c r="AT149" s="61">
        <v>1</v>
      </c>
      <c r="AU149" s="61"/>
      <c r="AV149" s="61">
        <v>96</v>
      </c>
      <c r="AW149" s="61">
        <v>98</v>
      </c>
      <c r="AX149" s="61">
        <v>2</v>
      </c>
      <c r="AY149" s="61">
        <v>29400</v>
      </c>
      <c r="AZ149" s="61">
        <v>86</v>
      </c>
      <c r="BA149" s="61">
        <v>196</v>
      </c>
      <c r="BB149" s="61"/>
      <c r="BC149" s="61">
        <v>8</v>
      </c>
      <c r="BD149" s="61">
        <v>32299</v>
      </c>
      <c r="BE149" s="61">
        <v>19612</v>
      </c>
      <c r="BF149" s="61">
        <v>981</v>
      </c>
      <c r="BG149" s="61">
        <v>7234</v>
      </c>
      <c r="BH149" s="61">
        <v>3702</v>
      </c>
      <c r="BI149" s="61"/>
      <c r="BJ149" s="61">
        <v>63828</v>
      </c>
      <c r="BK149" s="61">
        <v>497</v>
      </c>
      <c r="BL149" s="61">
        <v>55273</v>
      </c>
      <c r="BM149" s="61">
        <v>8058</v>
      </c>
      <c r="BN149" s="61">
        <v>3544</v>
      </c>
      <c r="BO149" s="61">
        <v>3085</v>
      </c>
      <c r="BP149" s="61"/>
      <c r="BQ149" s="61">
        <v>69</v>
      </c>
      <c r="BR149" s="61">
        <v>367</v>
      </c>
      <c r="BS149" s="61">
        <v>479</v>
      </c>
      <c r="BT149" s="61">
        <v>696</v>
      </c>
      <c r="BU149" s="61">
        <v>1063</v>
      </c>
      <c r="BV149" s="61">
        <v>1311</v>
      </c>
      <c r="BW149" s="61">
        <v>1252</v>
      </c>
      <c r="BX149" s="61">
        <v>1389</v>
      </c>
      <c r="BY149" s="61">
        <v>3</v>
      </c>
      <c r="BZ149" s="61"/>
      <c r="CA149" s="61"/>
      <c r="CB149" s="61">
        <v>313</v>
      </c>
      <c r="CC149" s="61">
        <v>484</v>
      </c>
      <c r="CD149" s="61">
        <v>2216</v>
      </c>
      <c r="CE149" s="61">
        <v>28</v>
      </c>
      <c r="CF149" s="61">
        <v>22</v>
      </c>
      <c r="CG149" s="61">
        <v>3562</v>
      </c>
      <c r="CH149" s="61">
        <v>4</v>
      </c>
      <c r="CI149" s="61">
        <v>180</v>
      </c>
      <c r="CJ149" s="61">
        <v>123</v>
      </c>
      <c r="CK149" s="61">
        <v>209</v>
      </c>
      <c r="CL149" s="61">
        <v>4761</v>
      </c>
      <c r="CM149" s="61">
        <v>11</v>
      </c>
      <c r="CN149" s="61"/>
      <c r="CO149" s="61">
        <v>11</v>
      </c>
      <c r="CP149" s="61">
        <v>36</v>
      </c>
      <c r="CQ149" s="61">
        <v>1102</v>
      </c>
      <c r="CR149" s="61">
        <v>9</v>
      </c>
      <c r="CS149" s="61">
        <v>118</v>
      </c>
      <c r="CT149" s="61">
        <v>41</v>
      </c>
      <c r="CU149" s="61"/>
      <c r="CV149" s="61">
        <v>2</v>
      </c>
      <c r="CW149" s="61">
        <v>24</v>
      </c>
      <c r="CX149" s="61">
        <v>2186</v>
      </c>
      <c r="CY149" s="61">
        <v>3705</v>
      </c>
      <c r="CZ149" s="61">
        <v>82</v>
      </c>
      <c r="DA149" s="61">
        <v>640</v>
      </c>
      <c r="DB149" s="61">
        <v>16</v>
      </c>
      <c r="DC149" s="61"/>
      <c r="DD149" s="61">
        <v>6629</v>
      </c>
      <c r="DE149" s="61">
        <v>192</v>
      </c>
      <c r="DF149" s="61">
        <v>5732</v>
      </c>
      <c r="DG149" s="61">
        <v>705</v>
      </c>
      <c r="DH149" s="62" t="s">
        <v>2185</v>
      </c>
      <c r="DI149" s="61">
        <v>186</v>
      </c>
      <c r="DJ149" s="61">
        <v>26</v>
      </c>
      <c r="DK149" s="61"/>
      <c r="DL149" s="61"/>
      <c r="DM149" s="61"/>
      <c r="DN149" s="61">
        <v>2</v>
      </c>
    </row>
    <row r="150" spans="1:118" x14ac:dyDescent="0.25">
      <c r="A150" s="61">
        <v>106250955</v>
      </c>
      <c r="B150" s="62" t="s">
        <v>715</v>
      </c>
      <c r="C150" s="62" t="s">
        <v>716</v>
      </c>
      <c r="D150" s="62" t="s">
        <v>717</v>
      </c>
      <c r="E150" s="62" t="s">
        <v>94</v>
      </c>
      <c r="F150" s="62" t="s">
        <v>2213</v>
      </c>
      <c r="G150" s="62" t="s">
        <v>1764</v>
      </c>
      <c r="H150" s="62" t="s">
        <v>718</v>
      </c>
      <c r="I150" s="62" t="s">
        <v>719</v>
      </c>
      <c r="J150" s="62" t="s">
        <v>2190</v>
      </c>
      <c r="K150" s="62"/>
      <c r="L150" s="61">
        <v>1</v>
      </c>
      <c r="M150" s="61">
        <v>1</v>
      </c>
      <c r="N150" s="61">
        <v>1</v>
      </c>
      <c r="O150" s="62" t="s">
        <v>1880</v>
      </c>
      <c r="P150" s="62" t="s">
        <v>241</v>
      </c>
      <c r="Q150" s="62" t="s">
        <v>120</v>
      </c>
      <c r="R150" s="62" t="s">
        <v>2167</v>
      </c>
      <c r="S150" s="62" t="s">
        <v>127</v>
      </c>
      <c r="T150" s="61">
        <v>205</v>
      </c>
      <c r="U150" s="61">
        <v>164</v>
      </c>
      <c r="V150" s="61"/>
      <c r="W150" s="61">
        <v>38</v>
      </c>
      <c r="X150" s="61">
        <v>27</v>
      </c>
      <c r="Y150" s="61">
        <v>48</v>
      </c>
      <c r="Z150" s="61">
        <v>47</v>
      </c>
      <c r="AA150" s="61">
        <v>34</v>
      </c>
      <c r="AB150" s="61">
        <v>36</v>
      </c>
      <c r="AC150" s="61">
        <v>43</v>
      </c>
      <c r="AD150" s="61">
        <v>38</v>
      </c>
      <c r="AE150" s="61">
        <v>49</v>
      </c>
      <c r="AF150" s="61">
        <v>9</v>
      </c>
      <c r="AG150" s="61"/>
      <c r="AH150" s="61">
        <v>5</v>
      </c>
      <c r="AI150" s="61"/>
      <c r="AJ150" s="61">
        <v>19</v>
      </c>
      <c r="AK150" s="61">
        <v>53</v>
      </c>
      <c r="AL150" s="61"/>
      <c r="AM150" s="61">
        <v>3</v>
      </c>
      <c r="AN150" s="61">
        <v>289</v>
      </c>
      <c r="AO150" s="61">
        <v>52</v>
      </c>
      <c r="AP150" s="61"/>
      <c r="AQ150" s="61">
        <v>1</v>
      </c>
      <c r="AR150" s="61"/>
      <c r="AS150" s="61"/>
      <c r="AT150" s="61"/>
      <c r="AU150" s="61"/>
      <c r="AV150" s="61"/>
      <c r="AW150" s="61"/>
      <c r="AX150" s="61">
        <v>1</v>
      </c>
      <c r="AY150" s="61">
        <v>314</v>
      </c>
      <c r="AZ150" s="61">
        <v>1</v>
      </c>
      <c r="BA150" s="61"/>
      <c r="BB150" s="61"/>
      <c r="BC150" s="61"/>
      <c r="BD150" s="61">
        <v>129</v>
      </c>
      <c r="BE150" s="61">
        <v>97</v>
      </c>
      <c r="BF150" s="61">
        <v>2</v>
      </c>
      <c r="BG150" s="61">
        <v>74</v>
      </c>
      <c r="BH150" s="61">
        <v>67</v>
      </c>
      <c r="BI150" s="61"/>
      <c r="BJ150" s="61">
        <v>369</v>
      </c>
      <c r="BK150" s="61">
        <v>12</v>
      </c>
      <c r="BL150" s="61">
        <v>344</v>
      </c>
      <c r="BM150" s="61">
        <v>13</v>
      </c>
      <c r="BN150" s="61">
        <v>9</v>
      </c>
      <c r="BO150" s="61">
        <v>9</v>
      </c>
      <c r="BP150" s="61"/>
      <c r="BQ150" s="61"/>
      <c r="BR150" s="61"/>
      <c r="BS150" s="61"/>
      <c r="BT150" s="61">
        <v>2</v>
      </c>
      <c r="BU150" s="61">
        <v>1</v>
      </c>
      <c r="BV150" s="61">
        <v>4</v>
      </c>
      <c r="BW150" s="61">
        <v>5</v>
      </c>
      <c r="BX150" s="61">
        <v>6</v>
      </c>
      <c r="BY150" s="61"/>
      <c r="BZ150" s="61"/>
      <c r="CA150" s="61"/>
      <c r="CB150" s="61"/>
      <c r="CC150" s="61"/>
      <c r="CD150" s="61">
        <v>1</v>
      </c>
      <c r="CE150" s="61"/>
      <c r="CF150" s="61"/>
      <c r="CG150" s="61">
        <v>16</v>
      </c>
      <c r="CH150" s="61">
        <v>1</v>
      </c>
      <c r="CI150" s="61">
        <v>1</v>
      </c>
      <c r="CJ150" s="61"/>
      <c r="CK150" s="61"/>
      <c r="CL150" s="61"/>
      <c r="CM150" s="61"/>
      <c r="CN150" s="61"/>
      <c r="CO150" s="61"/>
      <c r="CP150" s="61">
        <v>15</v>
      </c>
      <c r="CQ150" s="61">
        <v>1</v>
      </c>
      <c r="CR150" s="61"/>
      <c r="CS150" s="61"/>
      <c r="CT150" s="61"/>
      <c r="CU150" s="61"/>
      <c r="CV150" s="61"/>
      <c r="CW150" s="61">
        <v>1</v>
      </c>
      <c r="CX150" s="61"/>
      <c r="CY150" s="61">
        <v>13</v>
      </c>
      <c r="CZ150" s="61">
        <v>2</v>
      </c>
      <c r="DA150" s="61">
        <v>2</v>
      </c>
      <c r="DB150" s="61">
        <v>1</v>
      </c>
      <c r="DC150" s="61"/>
      <c r="DD150" s="61">
        <v>18</v>
      </c>
      <c r="DE150" s="61">
        <v>1</v>
      </c>
      <c r="DF150" s="61">
        <v>17</v>
      </c>
      <c r="DG150" s="61"/>
      <c r="DH150" s="62" t="s">
        <v>2185</v>
      </c>
      <c r="DI150" s="61">
        <v>26</v>
      </c>
      <c r="DJ150" s="61">
        <v>1</v>
      </c>
      <c r="DK150" s="61"/>
      <c r="DL150" s="61"/>
      <c r="DM150" s="61"/>
      <c r="DN150" s="61"/>
    </row>
    <row r="151" spans="1:118" x14ac:dyDescent="0.25">
      <c r="A151" s="61">
        <v>106250956</v>
      </c>
      <c r="B151" s="62" t="s">
        <v>720</v>
      </c>
      <c r="C151" s="62" t="s">
        <v>721</v>
      </c>
      <c r="D151" s="62" t="s">
        <v>717</v>
      </c>
      <c r="E151" s="62" t="s">
        <v>94</v>
      </c>
      <c r="F151" s="62" t="s">
        <v>2213</v>
      </c>
      <c r="G151" s="62" t="s">
        <v>722</v>
      </c>
      <c r="H151" s="62" t="s">
        <v>723</v>
      </c>
      <c r="I151" s="62" t="s">
        <v>724</v>
      </c>
      <c r="J151" s="62" t="s">
        <v>2188</v>
      </c>
      <c r="K151" s="62"/>
      <c r="L151" s="61">
        <v>1</v>
      </c>
      <c r="M151" s="61">
        <v>1</v>
      </c>
      <c r="N151" s="61">
        <v>1</v>
      </c>
      <c r="O151" s="62" t="s">
        <v>1881</v>
      </c>
      <c r="P151" s="62" t="s">
        <v>241</v>
      </c>
      <c r="Q151" s="62" t="s">
        <v>120</v>
      </c>
      <c r="R151" s="62" t="s">
        <v>2167</v>
      </c>
      <c r="S151" s="62" t="s">
        <v>127</v>
      </c>
      <c r="T151" s="61">
        <v>2472</v>
      </c>
      <c r="U151" s="61">
        <v>1826</v>
      </c>
      <c r="V151" s="61">
        <v>3</v>
      </c>
      <c r="W151" s="61">
        <v>532</v>
      </c>
      <c r="X151" s="61">
        <v>360</v>
      </c>
      <c r="Y151" s="61">
        <v>651</v>
      </c>
      <c r="Z151" s="61">
        <v>470</v>
      </c>
      <c r="AA151" s="61">
        <v>487</v>
      </c>
      <c r="AB151" s="61">
        <v>677</v>
      </c>
      <c r="AC151" s="61">
        <v>452</v>
      </c>
      <c r="AD151" s="61">
        <v>369</v>
      </c>
      <c r="AE151" s="61">
        <v>177</v>
      </c>
      <c r="AF151" s="61">
        <v>126</v>
      </c>
      <c r="AG151" s="61"/>
      <c r="AH151" s="61">
        <v>44</v>
      </c>
      <c r="AI151" s="61">
        <v>35</v>
      </c>
      <c r="AJ151" s="61">
        <v>287</v>
      </c>
      <c r="AK151" s="61">
        <v>252</v>
      </c>
      <c r="AL151" s="61">
        <v>60</v>
      </c>
      <c r="AM151" s="61">
        <v>111</v>
      </c>
      <c r="AN151" s="61">
        <v>3512</v>
      </c>
      <c r="AO151" s="61">
        <v>236</v>
      </c>
      <c r="AP151" s="61">
        <v>38</v>
      </c>
      <c r="AQ151" s="61">
        <v>11</v>
      </c>
      <c r="AR151" s="61"/>
      <c r="AS151" s="61"/>
      <c r="AT151" s="61">
        <v>1</v>
      </c>
      <c r="AU151" s="61"/>
      <c r="AV151" s="61">
        <v>34</v>
      </c>
      <c r="AW151" s="61">
        <v>3</v>
      </c>
      <c r="AX151" s="61"/>
      <c r="AY151" s="61">
        <v>3964</v>
      </c>
      <c r="AZ151" s="61">
        <v>13</v>
      </c>
      <c r="BA151" s="61"/>
      <c r="BB151" s="61">
        <v>1</v>
      </c>
      <c r="BC151" s="61"/>
      <c r="BD151" s="61">
        <v>2174</v>
      </c>
      <c r="BE151" s="61">
        <v>1100</v>
      </c>
      <c r="BF151" s="61">
        <v>72</v>
      </c>
      <c r="BG151" s="61">
        <v>629</v>
      </c>
      <c r="BH151" s="61">
        <v>326</v>
      </c>
      <c r="BI151" s="61"/>
      <c r="BJ151" s="61">
        <v>4301</v>
      </c>
      <c r="BK151" s="61">
        <v>1</v>
      </c>
      <c r="BL151" s="61">
        <v>4258</v>
      </c>
      <c r="BM151" s="61">
        <v>42</v>
      </c>
      <c r="BN151" s="61">
        <v>98</v>
      </c>
      <c r="BO151" s="61">
        <v>47</v>
      </c>
      <c r="BP151" s="61"/>
      <c r="BQ151" s="61">
        <v>3</v>
      </c>
      <c r="BR151" s="61">
        <v>4</v>
      </c>
      <c r="BS151" s="61">
        <v>6</v>
      </c>
      <c r="BT151" s="61">
        <v>12</v>
      </c>
      <c r="BU151" s="61">
        <v>26</v>
      </c>
      <c r="BV151" s="61">
        <v>24</v>
      </c>
      <c r="BW151" s="61">
        <v>26</v>
      </c>
      <c r="BX151" s="61">
        <v>37</v>
      </c>
      <c r="BY151" s="61">
        <v>1</v>
      </c>
      <c r="BZ151" s="61">
        <v>6</v>
      </c>
      <c r="CA151" s="61"/>
      <c r="CB151" s="61">
        <v>4</v>
      </c>
      <c r="CC151" s="61"/>
      <c r="CD151" s="61">
        <v>3</v>
      </c>
      <c r="CE151" s="61"/>
      <c r="CF151" s="61">
        <v>2</v>
      </c>
      <c r="CG151" s="61">
        <v>128</v>
      </c>
      <c r="CH151" s="61">
        <v>8</v>
      </c>
      <c r="CI151" s="61">
        <v>15</v>
      </c>
      <c r="CJ151" s="61">
        <v>4</v>
      </c>
      <c r="CK151" s="61">
        <v>5</v>
      </c>
      <c r="CL151" s="61"/>
      <c r="CM151" s="61"/>
      <c r="CN151" s="61"/>
      <c r="CO151" s="61"/>
      <c r="CP151" s="61">
        <v>95</v>
      </c>
      <c r="CQ151" s="61">
        <v>26</v>
      </c>
      <c r="CR151" s="61"/>
      <c r="CS151" s="61"/>
      <c r="CT151" s="61"/>
      <c r="CU151" s="61"/>
      <c r="CV151" s="61"/>
      <c r="CW151" s="61"/>
      <c r="CX151" s="61">
        <v>47</v>
      </c>
      <c r="CY151" s="61">
        <v>86</v>
      </c>
      <c r="CZ151" s="61"/>
      <c r="DA151" s="61">
        <v>7</v>
      </c>
      <c r="DB151" s="61">
        <v>5</v>
      </c>
      <c r="DC151" s="61"/>
      <c r="DD151" s="61">
        <v>145</v>
      </c>
      <c r="DE151" s="61">
        <v>1</v>
      </c>
      <c r="DF151" s="61">
        <v>143</v>
      </c>
      <c r="DG151" s="61">
        <v>1</v>
      </c>
      <c r="DH151" s="62" t="s">
        <v>2185</v>
      </c>
      <c r="DI151" s="61">
        <v>87</v>
      </c>
      <c r="DJ151" s="61">
        <v>5</v>
      </c>
      <c r="DK151" s="61"/>
      <c r="DL151" s="61"/>
      <c r="DM151" s="61"/>
      <c r="DN151" s="61"/>
    </row>
    <row r="152" spans="1:118" x14ac:dyDescent="0.25">
      <c r="A152" s="61">
        <v>106260011</v>
      </c>
      <c r="B152" s="62" t="s">
        <v>725</v>
      </c>
      <c r="C152" s="62" t="s">
        <v>726</v>
      </c>
      <c r="D152" s="62" t="s">
        <v>727</v>
      </c>
      <c r="E152" s="62" t="s">
        <v>94</v>
      </c>
      <c r="F152" s="62" t="s">
        <v>2213</v>
      </c>
      <c r="G152" s="62" t="s">
        <v>728</v>
      </c>
      <c r="H152" s="62" t="s">
        <v>729</v>
      </c>
      <c r="I152" s="62" t="s">
        <v>730</v>
      </c>
      <c r="J152" s="62" t="s">
        <v>2190</v>
      </c>
      <c r="K152" s="62"/>
      <c r="L152" s="61">
        <v>8</v>
      </c>
      <c r="M152" s="61">
        <v>5</v>
      </c>
      <c r="N152" s="61">
        <v>8</v>
      </c>
      <c r="O152" s="62" t="s">
        <v>1882</v>
      </c>
      <c r="P152" s="62" t="s">
        <v>120</v>
      </c>
      <c r="Q152" s="62" t="s">
        <v>120</v>
      </c>
      <c r="R152" s="62" t="s">
        <v>2167</v>
      </c>
      <c r="S152" s="62" t="s">
        <v>127</v>
      </c>
      <c r="T152" s="61">
        <v>3447</v>
      </c>
      <c r="U152" s="61">
        <v>4702</v>
      </c>
      <c r="V152" s="61"/>
      <c r="W152" s="61">
        <v>823</v>
      </c>
      <c r="X152" s="61">
        <v>1305</v>
      </c>
      <c r="Y152" s="61">
        <v>1627</v>
      </c>
      <c r="Z152" s="61">
        <v>1102</v>
      </c>
      <c r="AA152" s="61">
        <v>987</v>
      </c>
      <c r="AB152" s="61">
        <v>938</v>
      </c>
      <c r="AC152" s="61">
        <v>742</v>
      </c>
      <c r="AD152" s="61">
        <v>381</v>
      </c>
      <c r="AE152" s="61">
        <v>125</v>
      </c>
      <c r="AF152" s="61">
        <v>119</v>
      </c>
      <c r="AG152" s="61"/>
      <c r="AH152" s="61">
        <v>345</v>
      </c>
      <c r="AI152" s="61">
        <v>70</v>
      </c>
      <c r="AJ152" s="61">
        <v>1173</v>
      </c>
      <c r="AK152" s="61">
        <v>59</v>
      </c>
      <c r="AL152" s="61">
        <v>115</v>
      </c>
      <c r="AM152" s="61">
        <v>54</v>
      </c>
      <c r="AN152" s="61">
        <v>6333</v>
      </c>
      <c r="AO152" s="61">
        <v>112</v>
      </c>
      <c r="AP152" s="61">
        <v>43</v>
      </c>
      <c r="AQ152" s="61">
        <v>2</v>
      </c>
      <c r="AR152" s="61"/>
      <c r="AS152" s="61"/>
      <c r="AT152" s="61"/>
      <c r="AU152" s="61"/>
      <c r="AV152" s="61">
        <v>2</v>
      </c>
      <c r="AW152" s="61"/>
      <c r="AX152" s="61"/>
      <c r="AY152" s="61">
        <v>5118</v>
      </c>
      <c r="AZ152" s="61">
        <v>1</v>
      </c>
      <c r="BA152" s="61"/>
      <c r="BB152" s="61"/>
      <c r="BC152" s="61"/>
      <c r="BD152" s="61">
        <v>1838</v>
      </c>
      <c r="BE152" s="61">
        <v>812</v>
      </c>
      <c r="BF152" s="61">
        <v>260</v>
      </c>
      <c r="BG152" s="61">
        <v>4770</v>
      </c>
      <c r="BH152" s="61">
        <v>469</v>
      </c>
      <c r="BI152" s="61"/>
      <c r="BJ152" s="61">
        <v>8149</v>
      </c>
      <c r="BK152" s="61">
        <v>72</v>
      </c>
      <c r="BL152" s="61">
        <v>7455</v>
      </c>
      <c r="BM152" s="61">
        <v>622</v>
      </c>
      <c r="BN152" s="61">
        <v>140</v>
      </c>
      <c r="BO152" s="61">
        <v>179</v>
      </c>
      <c r="BP152" s="61"/>
      <c r="BQ152" s="61">
        <v>31</v>
      </c>
      <c r="BR152" s="61">
        <v>37</v>
      </c>
      <c r="BS152" s="61">
        <v>30</v>
      </c>
      <c r="BT152" s="61">
        <v>35</v>
      </c>
      <c r="BU152" s="61">
        <v>63</v>
      </c>
      <c r="BV152" s="61">
        <v>54</v>
      </c>
      <c r="BW152" s="61">
        <v>37</v>
      </c>
      <c r="BX152" s="61">
        <v>22</v>
      </c>
      <c r="BY152" s="61">
        <v>2</v>
      </c>
      <c r="BZ152" s="61">
        <v>8</v>
      </c>
      <c r="CA152" s="61"/>
      <c r="CB152" s="61">
        <v>8</v>
      </c>
      <c r="CC152" s="61"/>
      <c r="CD152" s="61">
        <v>38</v>
      </c>
      <c r="CE152" s="61">
        <v>7</v>
      </c>
      <c r="CF152" s="61">
        <v>2</v>
      </c>
      <c r="CG152" s="61">
        <v>262</v>
      </c>
      <c r="CH152" s="61">
        <v>2</v>
      </c>
      <c r="CI152" s="61">
        <v>3</v>
      </c>
      <c r="CJ152" s="61">
        <v>2</v>
      </c>
      <c r="CK152" s="61">
        <v>3</v>
      </c>
      <c r="CL152" s="61"/>
      <c r="CM152" s="61"/>
      <c r="CN152" s="61"/>
      <c r="CO152" s="61">
        <v>15</v>
      </c>
      <c r="CP152" s="61">
        <v>284</v>
      </c>
      <c r="CQ152" s="61">
        <v>2</v>
      </c>
      <c r="CR152" s="61"/>
      <c r="CS152" s="61"/>
      <c r="CT152" s="61"/>
      <c r="CU152" s="61">
        <v>10</v>
      </c>
      <c r="CV152" s="61"/>
      <c r="CW152" s="61"/>
      <c r="CX152" s="61">
        <v>69</v>
      </c>
      <c r="CY152" s="61">
        <v>93</v>
      </c>
      <c r="CZ152" s="61">
        <v>8</v>
      </c>
      <c r="DA152" s="61">
        <v>149</v>
      </c>
      <c r="DB152" s="61"/>
      <c r="DC152" s="61"/>
      <c r="DD152" s="61">
        <v>319</v>
      </c>
      <c r="DE152" s="61">
        <v>2</v>
      </c>
      <c r="DF152" s="61">
        <v>293</v>
      </c>
      <c r="DG152" s="61">
        <v>24</v>
      </c>
      <c r="DH152" s="62" t="s">
        <v>2185</v>
      </c>
      <c r="DI152" s="61">
        <v>17</v>
      </c>
      <c r="DJ152" s="61">
        <v>18</v>
      </c>
      <c r="DK152" s="61"/>
      <c r="DL152" s="61">
        <v>2871</v>
      </c>
      <c r="DM152" s="61"/>
      <c r="DN152" s="61"/>
    </row>
    <row r="153" spans="1:118" x14ac:dyDescent="0.25">
      <c r="A153" s="61">
        <v>106270744</v>
      </c>
      <c r="B153" s="62" t="s">
        <v>731</v>
      </c>
      <c r="C153" s="62" t="s">
        <v>1765</v>
      </c>
      <c r="D153" s="62" t="s">
        <v>732</v>
      </c>
      <c r="E153" s="62" t="s">
        <v>71</v>
      </c>
      <c r="F153" s="62" t="s">
        <v>2213</v>
      </c>
      <c r="G153" s="62" t="s">
        <v>733</v>
      </c>
      <c r="H153" s="62" t="s">
        <v>732</v>
      </c>
      <c r="I153" s="62" t="s">
        <v>734</v>
      </c>
      <c r="J153" s="62" t="s">
        <v>2184</v>
      </c>
      <c r="K153" s="62"/>
      <c r="L153" s="61">
        <v>20</v>
      </c>
      <c r="M153" s="61">
        <v>29</v>
      </c>
      <c r="N153" s="61">
        <v>17</v>
      </c>
      <c r="O153" s="62" t="s">
        <v>1883</v>
      </c>
      <c r="P153" s="62" t="s">
        <v>68</v>
      </c>
      <c r="Q153" s="62" t="s">
        <v>2167</v>
      </c>
      <c r="R153" s="62" t="s">
        <v>2167</v>
      </c>
      <c r="S153" s="62" t="s">
        <v>69</v>
      </c>
      <c r="T153" s="61">
        <v>26666</v>
      </c>
      <c r="U153" s="61">
        <v>21348</v>
      </c>
      <c r="V153" s="61"/>
      <c r="W153" s="61">
        <v>6666</v>
      </c>
      <c r="X153" s="61">
        <v>4871</v>
      </c>
      <c r="Y153" s="61">
        <v>7536</v>
      </c>
      <c r="Z153" s="61">
        <v>6057</v>
      </c>
      <c r="AA153" s="61">
        <v>4702</v>
      </c>
      <c r="AB153" s="61">
        <v>5231</v>
      </c>
      <c r="AC153" s="61">
        <v>4612</v>
      </c>
      <c r="AD153" s="61">
        <v>3319</v>
      </c>
      <c r="AE153" s="61">
        <v>3690</v>
      </c>
      <c r="AF153" s="61">
        <v>1330</v>
      </c>
      <c r="AG153" s="61"/>
      <c r="AH153" s="61">
        <v>2708</v>
      </c>
      <c r="AI153" s="61">
        <v>3300</v>
      </c>
      <c r="AJ153" s="61">
        <v>12042</v>
      </c>
      <c r="AK153" s="61">
        <v>58</v>
      </c>
      <c r="AL153" s="61">
        <v>3472</v>
      </c>
      <c r="AM153" s="61">
        <v>1147</v>
      </c>
      <c r="AN153" s="61">
        <v>25287</v>
      </c>
      <c r="AO153" s="61">
        <v>233</v>
      </c>
      <c r="AP153" s="61">
        <v>1422</v>
      </c>
      <c r="AQ153" s="61">
        <v>59</v>
      </c>
      <c r="AR153" s="61">
        <v>39</v>
      </c>
      <c r="AS153" s="61">
        <v>19</v>
      </c>
      <c r="AT153" s="61">
        <v>4</v>
      </c>
      <c r="AU153" s="61">
        <v>1</v>
      </c>
      <c r="AV153" s="61">
        <v>10</v>
      </c>
      <c r="AW153" s="61">
        <v>205</v>
      </c>
      <c r="AX153" s="61">
        <v>2</v>
      </c>
      <c r="AY153" s="61">
        <v>45912</v>
      </c>
      <c r="AZ153" s="61">
        <v>89</v>
      </c>
      <c r="BA153" s="61">
        <v>7</v>
      </c>
      <c r="BB153" s="61"/>
      <c r="BC153" s="61">
        <v>2</v>
      </c>
      <c r="BD153" s="61">
        <v>19109</v>
      </c>
      <c r="BE153" s="61">
        <v>9776</v>
      </c>
      <c r="BF153" s="61">
        <v>4900</v>
      </c>
      <c r="BG153" s="61">
        <v>11629</v>
      </c>
      <c r="BH153" s="61">
        <v>2593</v>
      </c>
      <c r="BI153" s="61">
        <v>7</v>
      </c>
      <c r="BJ153" s="61">
        <v>48014</v>
      </c>
      <c r="BK153" s="61">
        <v>743</v>
      </c>
      <c r="BL153" s="61">
        <v>43492</v>
      </c>
      <c r="BM153" s="61">
        <v>3779</v>
      </c>
      <c r="BN153" s="61">
        <v>3618</v>
      </c>
      <c r="BO153" s="61">
        <v>3507</v>
      </c>
      <c r="BP153" s="61"/>
      <c r="BQ153" s="61">
        <v>142</v>
      </c>
      <c r="BR153" s="61">
        <v>484</v>
      </c>
      <c r="BS153" s="61">
        <v>491</v>
      </c>
      <c r="BT153" s="61">
        <v>592</v>
      </c>
      <c r="BU153" s="61">
        <v>963</v>
      </c>
      <c r="BV153" s="61">
        <v>1202</v>
      </c>
      <c r="BW153" s="61">
        <v>1065</v>
      </c>
      <c r="BX153" s="61">
        <v>1959</v>
      </c>
      <c r="BY153" s="61">
        <v>87</v>
      </c>
      <c r="BZ153" s="61">
        <v>140</v>
      </c>
      <c r="CA153" s="61"/>
      <c r="CB153" s="61">
        <v>454</v>
      </c>
      <c r="CC153" s="61">
        <v>416</v>
      </c>
      <c r="CD153" s="61">
        <v>866</v>
      </c>
      <c r="CE153" s="61">
        <v>454</v>
      </c>
      <c r="CF153" s="61">
        <v>90</v>
      </c>
      <c r="CG153" s="61">
        <v>4834</v>
      </c>
      <c r="CH153" s="61">
        <v>11</v>
      </c>
      <c r="CI153" s="61">
        <v>77</v>
      </c>
      <c r="CJ153" s="61">
        <v>100</v>
      </c>
      <c r="CK153" s="61">
        <v>282</v>
      </c>
      <c r="CL153" s="61">
        <v>1003</v>
      </c>
      <c r="CM153" s="61">
        <v>128</v>
      </c>
      <c r="CN153" s="61"/>
      <c r="CO153" s="61">
        <v>20</v>
      </c>
      <c r="CP153" s="61">
        <v>4340</v>
      </c>
      <c r="CQ153" s="61">
        <v>912</v>
      </c>
      <c r="CR153" s="61">
        <v>2</v>
      </c>
      <c r="CS153" s="61">
        <v>182</v>
      </c>
      <c r="CT153" s="61">
        <v>78</v>
      </c>
      <c r="CU153" s="61"/>
      <c r="CV153" s="61"/>
      <c r="CW153" s="61"/>
      <c r="CX153" s="61">
        <v>1429</v>
      </c>
      <c r="CY153" s="61">
        <v>3770</v>
      </c>
      <c r="CZ153" s="61">
        <v>400</v>
      </c>
      <c r="DA153" s="61">
        <v>1445</v>
      </c>
      <c r="DB153" s="61">
        <v>81</v>
      </c>
      <c r="DC153" s="61"/>
      <c r="DD153" s="61">
        <v>7125</v>
      </c>
      <c r="DE153" s="61">
        <v>115</v>
      </c>
      <c r="DF153" s="61">
        <v>6748</v>
      </c>
      <c r="DG153" s="61">
        <v>262</v>
      </c>
      <c r="DH153" s="62" t="s">
        <v>2185</v>
      </c>
      <c r="DI153" s="61">
        <v>258</v>
      </c>
      <c r="DJ153" s="61">
        <v>33</v>
      </c>
      <c r="DK153" s="61"/>
      <c r="DL153" s="61">
        <v>10</v>
      </c>
      <c r="DM153" s="61">
        <v>1</v>
      </c>
      <c r="DN153" s="61"/>
    </row>
    <row r="154" spans="1:118" x14ac:dyDescent="0.25">
      <c r="A154" s="61">
        <v>106270777</v>
      </c>
      <c r="B154" s="62" t="s">
        <v>735</v>
      </c>
      <c r="C154" s="62" t="s">
        <v>736</v>
      </c>
      <c r="D154" s="62" t="s">
        <v>732</v>
      </c>
      <c r="E154" s="62" t="s">
        <v>71</v>
      </c>
      <c r="F154" s="62" t="s">
        <v>2213</v>
      </c>
      <c r="G154" s="62" t="s">
        <v>737</v>
      </c>
      <c r="H154" s="62" t="s">
        <v>738</v>
      </c>
      <c r="I154" s="62" t="s">
        <v>739</v>
      </c>
      <c r="J154" s="62" t="s">
        <v>2189</v>
      </c>
      <c r="K154" s="62"/>
      <c r="L154" s="61">
        <v>20</v>
      </c>
      <c r="M154" s="61">
        <v>30</v>
      </c>
      <c r="N154" s="61">
        <v>12</v>
      </c>
      <c r="O154" s="62" t="s">
        <v>1884</v>
      </c>
      <c r="P154" s="62" t="s">
        <v>120</v>
      </c>
      <c r="Q154" s="62" t="s">
        <v>120</v>
      </c>
      <c r="R154" s="62" t="s">
        <v>2167</v>
      </c>
      <c r="S154" s="62" t="s">
        <v>69</v>
      </c>
      <c r="T154" s="61">
        <v>6837</v>
      </c>
      <c r="U154" s="61">
        <v>5357</v>
      </c>
      <c r="V154" s="61"/>
      <c r="W154" s="61">
        <v>2915</v>
      </c>
      <c r="X154" s="61">
        <v>1708</v>
      </c>
      <c r="Y154" s="61">
        <v>2079</v>
      </c>
      <c r="Z154" s="61">
        <v>1651</v>
      </c>
      <c r="AA154" s="61">
        <v>1092</v>
      </c>
      <c r="AB154" s="61">
        <v>868</v>
      </c>
      <c r="AC154" s="61">
        <v>613</v>
      </c>
      <c r="AD154" s="61">
        <v>325</v>
      </c>
      <c r="AE154" s="61">
        <v>275</v>
      </c>
      <c r="AF154" s="61">
        <v>668</v>
      </c>
      <c r="AG154" s="61"/>
      <c r="AH154" s="61">
        <v>45</v>
      </c>
      <c r="AI154" s="61">
        <v>100</v>
      </c>
      <c r="AJ154" s="61">
        <v>10016</v>
      </c>
      <c r="AK154" s="61">
        <v>6</v>
      </c>
      <c r="AL154" s="61">
        <v>10</v>
      </c>
      <c r="AM154" s="61">
        <v>5</v>
      </c>
      <c r="AN154" s="61">
        <v>2012</v>
      </c>
      <c r="AO154" s="61">
        <v>286</v>
      </c>
      <c r="AP154" s="61">
        <v>36</v>
      </c>
      <c r="AQ154" s="61">
        <v>10</v>
      </c>
      <c r="AR154" s="61"/>
      <c r="AS154" s="61"/>
      <c r="AT154" s="61"/>
      <c r="AU154" s="61"/>
      <c r="AV154" s="61"/>
      <c r="AW154" s="61"/>
      <c r="AX154" s="61"/>
      <c r="AY154" s="61">
        <v>11856</v>
      </c>
      <c r="AZ154" s="61">
        <v>4</v>
      </c>
      <c r="BA154" s="61"/>
      <c r="BB154" s="61"/>
      <c r="BC154" s="61"/>
      <c r="BD154" s="61">
        <v>7785</v>
      </c>
      <c r="BE154" s="61">
        <v>1135</v>
      </c>
      <c r="BF154" s="61">
        <v>445</v>
      </c>
      <c r="BG154" s="61">
        <v>1772</v>
      </c>
      <c r="BH154" s="61">
        <v>1049</v>
      </c>
      <c r="BI154" s="61">
        <v>8</v>
      </c>
      <c r="BJ154" s="61">
        <v>12194</v>
      </c>
      <c r="BK154" s="61">
        <v>88</v>
      </c>
      <c r="BL154" s="61">
        <v>5966</v>
      </c>
      <c r="BM154" s="61">
        <v>6140</v>
      </c>
      <c r="BN154" s="61">
        <v>221</v>
      </c>
      <c r="BO154" s="61">
        <v>191</v>
      </c>
      <c r="BP154" s="61"/>
      <c r="BQ154" s="61">
        <v>21</v>
      </c>
      <c r="BR154" s="61">
        <v>31</v>
      </c>
      <c r="BS154" s="61">
        <v>61</v>
      </c>
      <c r="BT154" s="61">
        <v>50</v>
      </c>
      <c r="BU154" s="61">
        <v>60</v>
      </c>
      <c r="BV154" s="61">
        <v>52</v>
      </c>
      <c r="BW154" s="61">
        <v>41</v>
      </c>
      <c r="BX154" s="61">
        <v>49</v>
      </c>
      <c r="BY154" s="61">
        <v>12</v>
      </c>
      <c r="BZ154" s="61">
        <v>35</v>
      </c>
      <c r="CA154" s="61"/>
      <c r="CB154" s="61">
        <v>4</v>
      </c>
      <c r="CC154" s="61">
        <v>1</v>
      </c>
      <c r="CD154" s="61">
        <v>294</v>
      </c>
      <c r="CE154" s="61"/>
      <c r="CF154" s="61"/>
      <c r="CG154" s="61">
        <v>113</v>
      </c>
      <c r="CH154" s="61"/>
      <c r="CI154" s="61">
        <v>1</v>
      </c>
      <c r="CJ154" s="61">
        <v>9</v>
      </c>
      <c r="CK154" s="61"/>
      <c r="CL154" s="61">
        <v>10</v>
      </c>
      <c r="CM154" s="61"/>
      <c r="CN154" s="61"/>
      <c r="CO154" s="61">
        <v>48</v>
      </c>
      <c r="CP154" s="61">
        <v>324</v>
      </c>
      <c r="CQ154" s="61"/>
      <c r="CR154" s="61"/>
      <c r="CS154" s="61"/>
      <c r="CT154" s="61"/>
      <c r="CU154" s="61">
        <v>18</v>
      </c>
      <c r="CV154" s="61"/>
      <c r="CW154" s="61">
        <v>2</v>
      </c>
      <c r="CX154" s="61">
        <v>195</v>
      </c>
      <c r="CY154" s="61">
        <v>131</v>
      </c>
      <c r="CZ154" s="61">
        <v>7</v>
      </c>
      <c r="DA154" s="61">
        <v>67</v>
      </c>
      <c r="DB154" s="61">
        <v>11</v>
      </c>
      <c r="DC154" s="61">
        <v>1</v>
      </c>
      <c r="DD154" s="61">
        <v>412</v>
      </c>
      <c r="DE154" s="61">
        <v>4</v>
      </c>
      <c r="DF154" s="61">
        <v>219</v>
      </c>
      <c r="DG154" s="61">
        <v>189</v>
      </c>
      <c r="DH154" s="62" t="s">
        <v>2185</v>
      </c>
      <c r="DI154" s="61">
        <v>119</v>
      </c>
      <c r="DJ154" s="61">
        <v>6</v>
      </c>
      <c r="DK154" s="61">
        <v>2</v>
      </c>
      <c r="DL154" s="61"/>
      <c r="DM154" s="61"/>
      <c r="DN154" s="61"/>
    </row>
    <row r="155" spans="1:118" x14ac:dyDescent="0.25">
      <c r="A155" s="61">
        <v>106270875</v>
      </c>
      <c r="B155" s="62" t="s">
        <v>740</v>
      </c>
      <c r="C155" s="62" t="s">
        <v>741</v>
      </c>
      <c r="D155" s="62" t="s">
        <v>732</v>
      </c>
      <c r="E155" s="62" t="s">
        <v>94</v>
      </c>
      <c r="F155" s="62" t="s">
        <v>2213</v>
      </c>
      <c r="G155" s="62" t="s">
        <v>742</v>
      </c>
      <c r="H155" s="62" t="s">
        <v>743</v>
      </c>
      <c r="I155" s="62" t="s">
        <v>744</v>
      </c>
      <c r="J155" s="62" t="s">
        <v>2184</v>
      </c>
      <c r="K155" s="62"/>
      <c r="L155" s="61">
        <v>20</v>
      </c>
      <c r="M155" s="61">
        <v>30</v>
      </c>
      <c r="N155" s="61">
        <v>12</v>
      </c>
      <c r="O155" s="62" t="s">
        <v>1885</v>
      </c>
      <c r="P155" s="62" t="s">
        <v>68</v>
      </c>
      <c r="Q155" s="62" t="s">
        <v>2167</v>
      </c>
      <c r="R155" s="62" t="s">
        <v>2167</v>
      </c>
      <c r="S155" s="62" t="s">
        <v>69</v>
      </c>
      <c r="T155" s="61">
        <v>27640</v>
      </c>
      <c r="U155" s="61">
        <v>20400</v>
      </c>
      <c r="V155" s="61"/>
      <c r="W155" s="61">
        <v>9337</v>
      </c>
      <c r="X155" s="61">
        <v>5602</v>
      </c>
      <c r="Y155" s="61">
        <v>8091</v>
      </c>
      <c r="Z155" s="61">
        <v>6585</v>
      </c>
      <c r="AA155" s="61">
        <v>4852</v>
      </c>
      <c r="AB155" s="61">
        <v>4515</v>
      </c>
      <c r="AC155" s="61">
        <v>3029</v>
      </c>
      <c r="AD155" s="61">
        <v>1867</v>
      </c>
      <c r="AE155" s="61">
        <v>2025</v>
      </c>
      <c r="AF155" s="61">
        <v>2137</v>
      </c>
      <c r="AG155" s="61"/>
      <c r="AH155" s="61">
        <v>1049</v>
      </c>
      <c r="AI155" s="61">
        <v>1154</v>
      </c>
      <c r="AJ155" s="61">
        <v>35238</v>
      </c>
      <c r="AK155" s="61">
        <v>33</v>
      </c>
      <c r="AL155" s="61">
        <v>2318</v>
      </c>
      <c r="AM155" s="61"/>
      <c r="AN155" s="61">
        <v>8248</v>
      </c>
      <c r="AO155" s="61">
        <v>227</v>
      </c>
      <c r="AP155" s="61">
        <v>212</v>
      </c>
      <c r="AQ155" s="61">
        <v>41</v>
      </c>
      <c r="AR155" s="61"/>
      <c r="AS155" s="61">
        <v>1</v>
      </c>
      <c r="AT155" s="61"/>
      <c r="AU155" s="61"/>
      <c r="AV155" s="61">
        <v>15</v>
      </c>
      <c r="AW155" s="61">
        <v>4</v>
      </c>
      <c r="AX155" s="61"/>
      <c r="AY155" s="61">
        <v>47490</v>
      </c>
      <c r="AZ155" s="61">
        <v>1</v>
      </c>
      <c r="BA155" s="61">
        <v>23</v>
      </c>
      <c r="BB155" s="61"/>
      <c r="BC155" s="61"/>
      <c r="BD155" s="61">
        <v>27375</v>
      </c>
      <c r="BE155" s="61">
        <v>6696</v>
      </c>
      <c r="BF155" s="61">
        <v>1136</v>
      </c>
      <c r="BG155" s="61">
        <v>10964</v>
      </c>
      <c r="BH155" s="61">
        <v>1736</v>
      </c>
      <c r="BI155" s="61">
        <v>133</v>
      </c>
      <c r="BJ155" s="61">
        <v>48040</v>
      </c>
      <c r="BK155" s="61">
        <v>142</v>
      </c>
      <c r="BL155" s="61">
        <v>34021</v>
      </c>
      <c r="BM155" s="61">
        <v>13877</v>
      </c>
      <c r="BN155" s="61">
        <v>3606</v>
      </c>
      <c r="BO155" s="61">
        <v>3388</v>
      </c>
      <c r="BP155" s="61"/>
      <c r="BQ155" s="61">
        <v>175</v>
      </c>
      <c r="BR155" s="61">
        <v>414</v>
      </c>
      <c r="BS155" s="61">
        <v>528</v>
      </c>
      <c r="BT155" s="61">
        <v>635</v>
      </c>
      <c r="BU155" s="61">
        <v>1047</v>
      </c>
      <c r="BV155" s="61">
        <v>1216</v>
      </c>
      <c r="BW155" s="61">
        <v>1124</v>
      </c>
      <c r="BX155" s="61">
        <v>1618</v>
      </c>
      <c r="BY155" s="61">
        <v>72</v>
      </c>
      <c r="BZ155" s="61">
        <v>165</v>
      </c>
      <c r="CA155" s="61"/>
      <c r="CB155" s="61">
        <v>365</v>
      </c>
      <c r="CC155" s="61">
        <v>135</v>
      </c>
      <c r="CD155" s="61">
        <v>3628</v>
      </c>
      <c r="CE155" s="61">
        <v>379</v>
      </c>
      <c r="CF155" s="61"/>
      <c r="CG155" s="61">
        <v>2481</v>
      </c>
      <c r="CH155" s="61">
        <v>6</v>
      </c>
      <c r="CI155" s="61">
        <v>74</v>
      </c>
      <c r="CJ155" s="61">
        <v>95</v>
      </c>
      <c r="CK155" s="61">
        <v>268</v>
      </c>
      <c r="CL155" s="61">
        <v>1413</v>
      </c>
      <c r="CM155" s="61">
        <v>180</v>
      </c>
      <c r="CN155" s="61"/>
      <c r="CO155" s="61"/>
      <c r="CP155" s="61">
        <v>3827</v>
      </c>
      <c r="CQ155" s="61">
        <v>993</v>
      </c>
      <c r="CR155" s="61">
        <v>34</v>
      </c>
      <c r="CS155" s="61">
        <v>97</v>
      </c>
      <c r="CT155" s="61">
        <v>4</v>
      </c>
      <c r="CU155" s="61">
        <v>9</v>
      </c>
      <c r="CV155" s="61"/>
      <c r="CW155" s="61"/>
      <c r="CX155" s="61">
        <v>1765</v>
      </c>
      <c r="CY155" s="61">
        <v>3719</v>
      </c>
      <c r="CZ155" s="61">
        <v>73</v>
      </c>
      <c r="DA155" s="61">
        <v>1370</v>
      </c>
      <c r="DB155" s="61">
        <v>67</v>
      </c>
      <c r="DC155" s="61"/>
      <c r="DD155" s="61">
        <v>6994</v>
      </c>
      <c r="DE155" s="61">
        <v>111</v>
      </c>
      <c r="DF155" s="61">
        <v>5109</v>
      </c>
      <c r="DG155" s="61">
        <v>1774</v>
      </c>
      <c r="DH155" s="62" t="s">
        <v>2185</v>
      </c>
      <c r="DI155" s="61">
        <v>269</v>
      </c>
      <c r="DJ155" s="61">
        <v>20</v>
      </c>
      <c r="DK155" s="61">
        <v>26</v>
      </c>
      <c r="DL155" s="61"/>
      <c r="DM155" s="61"/>
      <c r="DN155" s="61"/>
    </row>
    <row r="156" spans="1:118" x14ac:dyDescent="0.25">
      <c r="A156" s="61">
        <v>106274043</v>
      </c>
      <c r="B156" s="62" t="s">
        <v>745</v>
      </c>
      <c r="C156" s="62" t="s">
        <v>746</v>
      </c>
      <c r="D156" s="62" t="s">
        <v>732</v>
      </c>
      <c r="E156" s="62" t="s">
        <v>100</v>
      </c>
      <c r="F156" s="62" t="s">
        <v>2213</v>
      </c>
      <c r="G156" s="62" t="s">
        <v>747</v>
      </c>
      <c r="H156" s="62" t="s">
        <v>743</v>
      </c>
      <c r="I156" s="62" t="s">
        <v>748</v>
      </c>
      <c r="J156" s="62" t="s">
        <v>2187</v>
      </c>
      <c r="K156" s="62" t="s">
        <v>82</v>
      </c>
      <c r="L156" s="61">
        <v>20</v>
      </c>
      <c r="M156" s="61">
        <v>30</v>
      </c>
      <c r="N156" s="61">
        <v>12</v>
      </c>
      <c r="O156" s="62" t="s">
        <v>1885</v>
      </c>
      <c r="P156" s="62" t="s">
        <v>68</v>
      </c>
      <c r="Q156" s="62" t="s">
        <v>2167</v>
      </c>
      <c r="R156" s="62" t="s">
        <v>2167</v>
      </c>
      <c r="S156" s="62" t="s">
        <v>69</v>
      </c>
      <c r="T156" s="61">
        <v>25722</v>
      </c>
      <c r="U156" s="61">
        <v>23165</v>
      </c>
      <c r="V156" s="61"/>
      <c r="W156" s="61">
        <v>9982</v>
      </c>
      <c r="X156" s="61">
        <v>6037</v>
      </c>
      <c r="Y156" s="61">
        <v>8943</v>
      </c>
      <c r="Z156" s="61">
        <v>7063</v>
      </c>
      <c r="AA156" s="61">
        <v>5378</v>
      </c>
      <c r="AB156" s="61">
        <v>4672</v>
      </c>
      <c r="AC156" s="61">
        <v>2444</v>
      </c>
      <c r="AD156" s="61">
        <v>1038</v>
      </c>
      <c r="AE156" s="61">
        <v>571</v>
      </c>
      <c r="AF156" s="61">
        <v>2759</v>
      </c>
      <c r="AG156" s="61"/>
      <c r="AH156" s="61">
        <v>1113</v>
      </c>
      <c r="AI156" s="61">
        <v>1676</v>
      </c>
      <c r="AJ156" s="61">
        <v>38769</v>
      </c>
      <c r="AK156" s="61">
        <v>173</v>
      </c>
      <c r="AL156" s="61">
        <v>226</v>
      </c>
      <c r="AM156" s="61">
        <v>276</v>
      </c>
      <c r="AN156" s="61">
        <v>6654</v>
      </c>
      <c r="AO156" s="61">
        <v>335</v>
      </c>
      <c r="AP156" s="61">
        <v>3108</v>
      </c>
      <c r="AQ156" s="61">
        <v>62</v>
      </c>
      <c r="AR156" s="61">
        <v>26</v>
      </c>
      <c r="AS156" s="61">
        <v>3</v>
      </c>
      <c r="AT156" s="61">
        <v>15</v>
      </c>
      <c r="AU156" s="61"/>
      <c r="AV156" s="61"/>
      <c r="AW156" s="61">
        <v>274</v>
      </c>
      <c r="AX156" s="61"/>
      <c r="AY156" s="61">
        <v>45011</v>
      </c>
      <c r="AZ156" s="61">
        <v>36</v>
      </c>
      <c r="BA156" s="61">
        <v>1</v>
      </c>
      <c r="BB156" s="61"/>
      <c r="BC156" s="61"/>
      <c r="BD156" s="61">
        <v>34229</v>
      </c>
      <c r="BE156" s="61">
        <v>3678</v>
      </c>
      <c r="BF156" s="61">
        <v>1562</v>
      </c>
      <c r="BG156" s="61">
        <v>5810</v>
      </c>
      <c r="BH156" s="61">
        <v>3608</v>
      </c>
      <c r="BI156" s="61"/>
      <c r="BJ156" s="61">
        <v>48887</v>
      </c>
      <c r="BK156" s="61">
        <v>794</v>
      </c>
      <c r="BL156" s="61">
        <v>27207</v>
      </c>
      <c r="BM156" s="61">
        <v>20886</v>
      </c>
      <c r="BN156" s="61">
        <v>1792</v>
      </c>
      <c r="BO156" s="61">
        <v>2533</v>
      </c>
      <c r="BP156" s="61"/>
      <c r="BQ156" s="61">
        <v>212</v>
      </c>
      <c r="BR156" s="61">
        <v>677</v>
      </c>
      <c r="BS156" s="61">
        <v>615</v>
      </c>
      <c r="BT156" s="61">
        <v>636</v>
      </c>
      <c r="BU156" s="61">
        <v>732</v>
      </c>
      <c r="BV156" s="61">
        <v>554</v>
      </c>
      <c r="BW156" s="61">
        <v>312</v>
      </c>
      <c r="BX156" s="61">
        <v>273</v>
      </c>
      <c r="BY156" s="61">
        <v>145</v>
      </c>
      <c r="BZ156" s="61">
        <v>169</v>
      </c>
      <c r="CA156" s="61"/>
      <c r="CB156" s="61">
        <v>183</v>
      </c>
      <c r="CC156" s="61">
        <v>187</v>
      </c>
      <c r="CD156" s="61">
        <v>2671</v>
      </c>
      <c r="CE156" s="61">
        <v>24</v>
      </c>
      <c r="CF156" s="61">
        <v>14</v>
      </c>
      <c r="CG156" s="61">
        <v>1218</v>
      </c>
      <c r="CH156" s="61">
        <v>28</v>
      </c>
      <c r="CI156" s="61">
        <v>48</v>
      </c>
      <c r="CJ156" s="61">
        <v>229</v>
      </c>
      <c r="CK156" s="61">
        <v>33</v>
      </c>
      <c r="CL156" s="61">
        <v>344</v>
      </c>
      <c r="CM156" s="61">
        <v>183</v>
      </c>
      <c r="CN156" s="61"/>
      <c r="CO156" s="61">
        <v>163</v>
      </c>
      <c r="CP156" s="61">
        <v>2853</v>
      </c>
      <c r="CQ156" s="61">
        <v>129</v>
      </c>
      <c r="CR156" s="61">
        <v>208</v>
      </c>
      <c r="CS156" s="61">
        <v>12</v>
      </c>
      <c r="CT156" s="61">
        <v>30</v>
      </c>
      <c r="CU156" s="61">
        <v>90</v>
      </c>
      <c r="CV156" s="61"/>
      <c r="CW156" s="61"/>
      <c r="CX156" s="61">
        <v>2146</v>
      </c>
      <c r="CY156" s="61">
        <v>1056</v>
      </c>
      <c r="CZ156" s="61">
        <v>396</v>
      </c>
      <c r="DA156" s="61">
        <v>624</v>
      </c>
      <c r="DB156" s="61">
        <v>95</v>
      </c>
      <c r="DC156" s="61">
        <v>8</v>
      </c>
      <c r="DD156" s="61">
        <v>4325</v>
      </c>
      <c r="DE156" s="61">
        <v>84</v>
      </c>
      <c r="DF156" s="61">
        <v>2835</v>
      </c>
      <c r="DG156" s="61">
        <v>1406</v>
      </c>
      <c r="DH156" s="62" t="s">
        <v>2185</v>
      </c>
      <c r="DI156" s="61">
        <v>172</v>
      </c>
      <c r="DJ156" s="61">
        <v>19</v>
      </c>
      <c r="DK156" s="61">
        <v>1</v>
      </c>
      <c r="DL156" s="61">
        <v>15</v>
      </c>
      <c r="DM156" s="61">
        <v>3</v>
      </c>
      <c r="DN156" s="61"/>
    </row>
    <row r="157" spans="1:118" x14ac:dyDescent="0.25">
      <c r="A157" s="61">
        <v>106281047</v>
      </c>
      <c r="B157" s="62" t="s">
        <v>749</v>
      </c>
      <c r="C157" s="62" t="s">
        <v>2059</v>
      </c>
      <c r="D157" s="62" t="s">
        <v>750</v>
      </c>
      <c r="E157" s="62" t="s">
        <v>71</v>
      </c>
      <c r="F157" s="62" t="s">
        <v>2213</v>
      </c>
      <c r="G157" s="62" t="s">
        <v>751</v>
      </c>
      <c r="H157" s="62" t="s">
        <v>750</v>
      </c>
      <c r="I157" s="62" t="s">
        <v>752</v>
      </c>
      <c r="J157" s="62" t="s">
        <v>2184</v>
      </c>
      <c r="K157" s="62" t="s">
        <v>138</v>
      </c>
      <c r="L157" s="61">
        <v>5</v>
      </c>
      <c r="M157" s="61">
        <v>4</v>
      </c>
      <c r="N157" s="61">
        <v>3</v>
      </c>
      <c r="O157" s="62" t="s">
        <v>1886</v>
      </c>
      <c r="P157" s="62" t="s">
        <v>68</v>
      </c>
      <c r="Q157" s="62" t="s">
        <v>2167</v>
      </c>
      <c r="R157" s="62" t="s">
        <v>2167</v>
      </c>
      <c r="S157" s="62" t="s">
        <v>69</v>
      </c>
      <c r="T157" s="61">
        <v>14231</v>
      </c>
      <c r="U157" s="61">
        <v>12910</v>
      </c>
      <c r="V157" s="61"/>
      <c r="W157" s="61">
        <v>2935</v>
      </c>
      <c r="X157" s="61">
        <v>2405</v>
      </c>
      <c r="Y157" s="61">
        <v>4219</v>
      </c>
      <c r="Z157" s="61">
        <v>3427</v>
      </c>
      <c r="AA157" s="61">
        <v>3208</v>
      </c>
      <c r="AB157" s="61">
        <v>3371</v>
      </c>
      <c r="AC157" s="61">
        <v>2700</v>
      </c>
      <c r="AD157" s="61">
        <v>1884</v>
      </c>
      <c r="AE157" s="61">
        <v>2395</v>
      </c>
      <c r="AF157" s="61">
        <v>597</v>
      </c>
      <c r="AG157" s="61"/>
      <c r="AH157" s="61">
        <v>463</v>
      </c>
      <c r="AI157" s="61">
        <v>455</v>
      </c>
      <c r="AJ157" s="61">
        <v>8472</v>
      </c>
      <c r="AK157" s="61">
        <v>12</v>
      </c>
      <c r="AL157" s="61">
        <v>138</v>
      </c>
      <c r="AM157" s="61">
        <v>238</v>
      </c>
      <c r="AN157" s="61">
        <v>17363</v>
      </c>
      <c r="AO157" s="61">
        <v>686</v>
      </c>
      <c r="AP157" s="61">
        <v>258</v>
      </c>
      <c r="AQ157" s="61">
        <v>33</v>
      </c>
      <c r="AR157" s="61">
        <v>18</v>
      </c>
      <c r="AS157" s="61">
        <v>2</v>
      </c>
      <c r="AT157" s="61">
        <v>3</v>
      </c>
      <c r="AU157" s="61"/>
      <c r="AV157" s="61">
        <v>124</v>
      </c>
      <c r="AW157" s="61">
        <v>235</v>
      </c>
      <c r="AX157" s="61">
        <v>1</v>
      </c>
      <c r="AY157" s="61">
        <v>25501</v>
      </c>
      <c r="AZ157" s="61">
        <v>40</v>
      </c>
      <c r="BA157" s="61"/>
      <c r="BB157" s="61"/>
      <c r="BC157" s="61">
        <v>189</v>
      </c>
      <c r="BD157" s="61">
        <v>10146</v>
      </c>
      <c r="BE157" s="61">
        <v>6251</v>
      </c>
      <c r="BF157" s="61">
        <v>1386</v>
      </c>
      <c r="BG157" s="61">
        <v>6315</v>
      </c>
      <c r="BH157" s="61">
        <v>3043</v>
      </c>
      <c r="BI157" s="61"/>
      <c r="BJ157" s="61">
        <v>27141</v>
      </c>
      <c r="BK157" s="61">
        <v>91</v>
      </c>
      <c r="BL157" s="61">
        <v>24041</v>
      </c>
      <c r="BM157" s="61">
        <v>3009</v>
      </c>
      <c r="BN157" s="61">
        <v>1702</v>
      </c>
      <c r="BO157" s="61">
        <v>2001</v>
      </c>
      <c r="BP157" s="61"/>
      <c r="BQ157" s="61">
        <v>37</v>
      </c>
      <c r="BR157" s="61">
        <v>198</v>
      </c>
      <c r="BS157" s="61">
        <v>199</v>
      </c>
      <c r="BT157" s="61">
        <v>293</v>
      </c>
      <c r="BU157" s="61">
        <v>535</v>
      </c>
      <c r="BV157" s="61">
        <v>624</v>
      </c>
      <c r="BW157" s="61">
        <v>678</v>
      </c>
      <c r="BX157" s="61">
        <v>1129</v>
      </c>
      <c r="BY157" s="61">
        <v>3</v>
      </c>
      <c r="BZ157" s="61">
        <v>7</v>
      </c>
      <c r="CA157" s="61"/>
      <c r="CB157" s="61">
        <v>95</v>
      </c>
      <c r="CC157" s="61">
        <v>77</v>
      </c>
      <c r="CD157" s="61">
        <v>611</v>
      </c>
      <c r="CE157" s="61">
        <v>53</v>
      </c>
      <c r="CF157" s="61">
        <v>51</v>
      </c>
      <c r="CG157" s="61">
        <v>2816</v>
      </c>
      <c r="CH157" s="61"/>
      <c r="CI157" s="61">
        <v>85</v>
      </c>
      <c r="CJ157" s="61">
        <v>51</v>
      </c>
      <c r="CK157" s="61">
        <v>172</v>
      </c>
      <c r="CL157" s="61">
        <v>352</v>
      </c>
      <c r="CM157" s="61">
        <v>65</v>
      </c>
      <c r="CN157" s="61"/>
      <c r="CO157" s="61">
        <v>23</v>
      </c>
      <c r="CP157" s="61">
        <v>1893</v>
      </c>
      <c r="CQ157" s="61">
        <v>740</v>
      </c>
      <c r="CR157" s="61">
        <v>12</v>
      </c>
      <c r="CS157" s="61">
        <v>100</v>
      </c>
      <c r="CT157" s="61">
        <v>113</v>
      </c>
      <c r="CU157" s="61">
        <v>77</v>
      </c>
      <c r="CV157" s="61"/>
      <c r="CW157" s="61">
        <v>20</v>
      </c>
      <c r="CX157" s="61">
        <v>631</v>
      </c>
      <c r="CY157" s="61">
        <v>2224</v>
      </c>
      <c r="CZ157" s="61">
        <v>148</v>
      </c>
      <c r="DA157" s="61">
        <v>574</v>
      </c>
      <c r="DB157" s="61">
        <v>126</v>
      </c>
      <c r="DC157" s="61"/>
      <c r="DD157" s="61">
        <v>3703</v>
      </c>
      <c r="DE157" s="61">
        <v>20</v>
      </c>
      <c r="DF157" s="61">
        <v>3393</v>
      </c>
      <c r="DG157" s="61">
        <v>290</v>
      </c>
      <c r="DH157" s="62" t="s">
        <v>2185</v>
      </c>
      <c r="DI157" s="61">
        <v>211</v>
      </c>
      <c r="DJ157" s="61">
        <v>18</v>
      </c>
      <c r="DK157" s="61">
        <v>51</v>
      </c>
      <c r="DL157" s="61"/>
      <c r="DM157" s="61"/>
      <c r="DN157" s="61"/>
    </row>
    <row r="158" spans="1:118" x14ac:dyDescent="0.25">
      <c r="A158" s="61">
        <v>106281078</v>
      </c>
      <c r="B158" s="62" t="s">
        <v>753</v>
      </c>
      <c r="C158" s="62" t="s">
        <v>754</v>
      </c>
      <c r="D158" s="62" t="s">
        <v>750</v>
      </c>
      <c r="E158" s="62" t="s">
        <v>71</v>
      </c>
      <c r="F158" s="62" t="s">
        <v>2213</v>
      </c>
      <c r="G158" s="62" t="s">
        <v>755</v>
      </c>
      <c r="H158" s="62" t="s">
        <v>756</v>
      </c>
      <c r="I158" s="62" t="s">
        <v>757</v>
      </c>
      <c r="J158" s="62" t="s">
        <v>2187</v>
      </c>
      <c r="K158" s="62"/>
      <c r="L158" s="61">
        <v>5</v>
      </c>
      <c r="M158" s="61">
        <v>4</v>
      </c>
      <c r="N158" s="61">
        <v>3</v>
      </c>
      <c r="O158" s="62" t="s">
        <v>1887</v>
      </c>
      <c r="P158" s="62" t="s">
        <v>120</v>
      </c>
      <c r="Q158" s="62" t="s">
        <v>2167</v>
      </c>
      <c r="R158" s="62" t="s">
        <v>2167</v>
      </c>
      <c r="S158" s="62" t="s">
        <v>127</v>
      </c>
      <c r="T158" s="61">
        <v>3922</v>
      </c>
      <c r="U158" s="61">
        <v>3669</v>
      </c>
      <c r="V158" s="61">
        <v>1</v>
      </c>
      <c r="W158" s="61">
        <v>663</v>
      </c>
      <c r="X158" s="61">
        <v>667</v>
      </c>
      <c r="Y158" s="61">
        <v>1193</v>
      </c>
      <c r="Z158" s="61">
        <v>911</v>
      </c>
      <c r="AA158" s="61">
        <v>904</v>
      </c>
      <c r="AB158" s="61">
        <v>990</v>
      </c>
      <c r="AC158" s="61">
        <v>873</v>
      </c>
      <c r="AD158" s="61">
        <v>649</v>
      </c>
      <c r="AE158" s="61">
        <v>628</v>
      </c>
      <c r="AF158" s="61">
        <v>114</v>
      </c>
      <c r="AG158" s="61"/>
      <c r="AH158" s="61">
        <v>144</v>
      </c>
      <c r="AI158" s="61">
        <v>113</v>
      </c>
      <c r="AJ158" s="61">
        <v>2121</v>
      </c>
      <c r="AK158" s="61">
        <v>12</v>
      </c>
      <c r="AL158" s="61">
        <v>173</v>
      </c>
      <c r="AM158" s="61">
        <v>82</v>
      </c>
      <c r="AN158" s="61">
        <v>4947</v>
      </c>
      <c r="AO158" s="61">
        <v>175</v>
      </c>
      <c r="AP158" s="61">
        <v>35</v>
      </c>
      <c r="AQ158" s="61">
        <v>3</v>
      </c>
      <c r="AR158" s="61">
        <v>22</v>
      </c>
      <c r="AS158" s="61">
        <v>4</v>
      </c>
      <c r="AT158" s="61">
        <v>5</v>
      </c>
      <c r="AU158" s="61"/>
      <c r="AV158" s="61">
        <v>6</v>
      </c>
      <c r="AW158" s="61">
        <v>38</v>
      </c>
      <c r="AX158" s="61"/>
      <c r="AY158" s="61">
        <v>7287</v>
      </c>
      <c r="AZ158" s="61">
        <v>7</v>
      </c>
      <c r="BA158" s="61"/>
      <c r="BB158" s="61"/>
      <c r="BC158" s="61">
        <v>10</v>
      </c>
      <c r="BD158" s="61">
        <v>1655</v>
      </c>
      <c r="BE158" s="61">
        <v>1736</v>
      </c>
      <c r="BF158" s="61">
        <v>785</v>
      </c>
      <c r="BG158" s="61">
        <v>2874</v>
      </c>
      <c r="BH158" s="61">
        <v>542</v>
      </c>
      <c r="BI158" s="61"/>
      <c r="BJ158" s="61">
        <v>7592</v>
      </c>
      <c r="BK158" s="61">
        <v>26</v>
      </c>
      <c r="BL158" s="61">
        <v>6433</v>
      </c>
      <c r="BM158" s="61">
        <v>1133</v>
      </c>
      <c r="BN158" s="61">
        <v>505</v>
      </c>
      <c r="BO158" s="61">
        <v>523</v>
      </c>
      <c r="BP158" s="61"/>
      <c r="BQ158" s="61">
        <v>8</v>
      </c>
      <c r="BR158" s="61">
        <v>65</v>
      </c>
      <c r="BS158" s="61">
        <v>83</v>
      </c>
      <c r="BT158" s="61">
        <v>98</v>
      </c>
      <c r="BU158" s="61">
        <v>148</v>
      </c>
      <c r="BV158" s="61">
        <v>187</v>
      </c>
      <c r="BW158" s="61">
        <v>169</v>
      </c>
      <c r="BX158" s="61">
        <v>270</v>
      </c>
      <c r="BY158" s="61"/>
      <c r="BZ158" s="61"/>
      <c r="CA158" s="61"/>
      <c r="CB158" s="61">
        <v>6</v>
      </c>
      <c r="CC158" s="61">
        <v>13</v>
      </c>
      <c r="CD158" s="61">
        <v>116</v>
      </c>
      <c r="CE158" s="61">
        <v>14</v>
      </c>
      <c r="CF158" s="61">
        <v>11</v>
      </c>
      <c r="CG158" s="61">
        <v>863</v>
      </c>
      <c r="CH158" s="61">
        <v>5</v>
      </c>
      <c r="CI158" s="61">
        <v>38</v>
      </c>
      <c r="CJ158" s="61">
        <v>23</v>
      </c>
      <c r="CK158" s="61">
        <v>31</v>
      </c>
      <c r="CL158" s="61">
        <v>111</v>
      </c>
      <c r="CM158" s="61">
        <v>9</v>
      </c>
      <c r="CN158" s="61"/>
      <c r="CO158" s="61"/>
      <c r="CP158" s="61">
        <v>681</v>
      </c>
      <c r="CQ158" s="61">
        <v>101</v>
      </c>
      <c r="CR158" s="61"/>
      <c r="CS158" s="61">
        <v>16</v>
      </c>
      <c r="CT158" s="61">
        <v>10</v>
      </c>
      <c r="CU158" s="61">
        <v>1</v>
      </c>
      <c r="CV158" s="61"/>
      <c r="CW158" s="61"/>
      <c r="CX158" s="61">
        <v>177</v>
      </c>
      <c r="CY158" s="61">
        <v>564</v>
      </c>
      <c r="CZ158" s="61">
        <v>13</v>
      </c>
      <c r="DA158" s="61">
        <v>255</v>
      </c>
      <c r="DB158" s="61">
        <v>16</v>
      </c>
      <c r="DC158" s="61">
        <v>3</v>
      </c>
      <c r="DD158" s="61">
        <v>1028</v>
      </c>
      <c r="DE158" s="61">
        <v>4</v>
      </c>
      <c r="DF158" s="61">
        <v>956</v>
      </c>
      <c r="DG158" s="61">
        <v>68</v>
      </c>
      <c r="DH158" s="62" t="s">
        <v>2185</v>
      </c>
      <c r="DI158" s="61">
        <v>151</v>
      </c>
      <c r="DJ158" s="61">
        <v>8</v>
      </c>
      <c r="DK158" s="61"/>
      <c r="DL158" s="61"/>
      <c r="DM158" s="61"/>
      <c r="DN158" s="61">
        <v>7</v>
      </c>
    </row>
    <row r="159" spans="1:118" x14ac:dyDescent="0.25">
      <c r="A159" s="61">
        <v>106291023</v>
      </c>
      <c r="B159" s="62" t="s">
        <v>758</v>
      </c>
      <c r="C159" s="62" t="s">
        <v>759</v>
      </c>
      <c r="D159" s="62" t="s">
        <v>760</v>
      </c>
      <c r="E159" s="62" t="s">
        <v>71</v>
      </c>
      <c r="F159" s="62" t="s">
        <v>2213</v>
      </c>
      <c r="G159" s="62" t="s">
        <v>761</v>
      </c>
      <c r="H159" s="62" t="s">
        <v>762</v>
      </c>
      <c r="I159" s="62" t="s">
        <v>763</v>
      </c>
      <c r="J159" s="62" t="s">
        <v>2189</v>
      </c>
      <c r="K159" s="62"/>
      <c r="L159" s="61">
        <v>1</v>
      </c>
      <c r="M159" s="61">
        <v>1</v>
      </c>
      <c r="N159" s="61">
        <v>1</v>
      </c>
      <c r="O159" s="62" t="s">
        <v>1888</v>
      </c>
      <c r="P159" s="62" t="s">
        <v>120</v>
      </c>
      <c r="Q159" s="62" t="s">
        <v>120</v>
      </c>
      <c r="R159" s="62" t="s">
        <v>2167</v>
      </c>
      <c r="S159" s="62" t="s">
        <v>69</v>
      </c>
      <c r="T159" s="61">
        <v>14432</v>
      </c>
      <c r="U159" s="61">
        <v>12797</v>
      </c>
      <c r="V159" s="61">
        <v>2</v>
      </c>
      <c r="W159" s="61">
        <v>2312</v>
      </c>
      <c r="X159" s="61">
        <v>2767</v>
      </c>
      <c r="Y159" s="61">
        <v>3822</v>
      </c>
      <c r="Z159" s="61">
        <v>3407</v>
      </c>
      <c r="AA159" s="61">
        <v>2794</v>
      </c>
      <c r="AB159" s="61">
        <v>3590</v>
      </c>
      <c r="AC159" s="61">
        <v>3390</v>
      </c>
      <c r="AD159" s="61">
        <v>2273</v>
      </c>
      <c r="AE159" s="61">
        <v>2534</v>
      </c>
      <c r="AF159" s="61">
        <v>342</v>
      </c>
      <c r="AG159" s="61"/>
      <c r="AH159" s="61">
        <v>160</v>
      </c>
      <c r="AI159" s="61">
        <v>225</v>
      </c>
      <c r="AJ159" s="61">
        <v>749</v>
      </c>
      <c r="AK159" s="61">
        <v>95</v>
      </c>
      <c r="AL159" s="61">
        <v>268</v>
      </c>
      <c r="AM159" s="61">
        <v>556</v>
      </c>
      <c r="AN159" s="61">
        <v>25178</v>
      </c>
      <c r="AO159" s="61">
        <v>601</v>
      </c>
      <c r="AP159" s="61">
        <v>303</v>
      </c>
      <c r="AQ159" s="61">
        <v>26</v>
      </c>
      <c r="AR159" s="61">
        <v>19</v>
      </c>
      <c r="AS159" s="61">
        <v>2</v>
      </c>
      <c r="AT159" s="61">
        <v>12</v>
      </c>
      <c r="AU159" s="61"/>
      <c r="AV159" s="61">
        <v>155</v>
      </c>
      <c r="AW159" s="61">
        <v>196</v>
      </c>
      <c r="AX159" s="61">
        <v>11</v>
      </c>
      <c r="AY159" s="61">
        <v>25795</v>
      </c>
      <c r="AZ159" s="61">
        <v>104</v>
      </c>
      <c r="BA159" s="61"/>
      <c r="BB159" s="61">
        <v>1</v>
      </c>
      <c r="BC159" s="61">
        <v>6</v>
      </c>
      <c r="BD159" s="61">
        <v>10827</v>
      </c>
      <c r="BE159" s="61">
        <v>7676</v>
      </c>
      <c r="BF159" s="61">
        <v>1308</v>
      </c>
      <c r="BG159" s="61">
        <v>5059</v>
      </c>
      <c r="BH159" s="61">
        <v>2358</v>
      </c>
      <c r="BI159" s="61">
        <v>3</v>
      </c>
      <c r="BJ159" s="61">
        <v>27231</v>
      </c>
      <c r="BK159" s="61">
        <v>112</v>
      </c>
      <c r="BL159" s="61">
        <v>27014</v>
      </c>
      <c r="BM159" s="61">
        <v>105</v>
      </c>
      <c r="BN159" s="61">
        <v>2084</v>
      </c>
      <c r="BO159" s="61">
        <v>1901</v>
      </c>
      <c r="BP159" s="61"/>
      <c r="BQ159" s="61">
        <v>51</v>
      </c>
      <c r="BR159" s="61">
        <v>160</v>
      </c>
      <c r="BS159" s="61">
        <v>183</v>
      </c>
      <c r="BT159" s="61">
        <v>220</v>
      </c>
      <c r="BU159" s="61">
        <v>535</v>
      </c>
      <c r="BV159" s="61">
        <v>764</v>
      </c>
      <c r="BW159" s="61">
        <v>822</v>
      </c>
      <c r="BX159" s="61">
        <v>1206</v>
      </c>
      <c r="BY159" s="61">
        <v>14</v>
      </c>
      <c r="BZ159" s="61">
        <v>30</v>
      </c>
      <c r="CA159" s="61"/>
      <c r="CB159" s="61">
        <v>29</v>
      </c>
      <c r="CC159" s="61">
        <v>15</v>
      </c>
      <c r="CD159" s="61">
        <v>38</v>
      </c>
      <c r="CE159" s="61">
        <v>9</v>
      </c>
      <c r="CF159" s="61">
        <v>48</v>
      </c>
      <c r="CG159" s="61">
        <v>3838</v>
      </c>
      <c r="CH159" s="61">
        <v>8</v>
      </c>
      <c r="CI159" s="61">
        <v>199</v>
      </c>
      <c r="CJ159" s="61">
        <v>69</v>
      </c>
      <c r="CK159" s="61">
        <v>136</v>
      </c>
      <c r="CL159" s="61">
        <v>284</v>
      </c>
      <c r="CM159" s="61">
        <v>8</v>
      </c>
      <c r="CN159" s="61"/>
      <c r="CO159" s="61">
        <v>23</v>
      </c>
      <c r="CP159" s="61">
        <v>2330</v>
      </c>
      <c r="CQ159" s="61">
        <v>843</v>
      </c>
      <c r="CR159" s="61">
        <v>8</v>
      </c>
      <c r="CS159" s="61">
        <v>64</v>
      </c>
      <c r="CT159" s="61">
        <v>19</v>
      </c>
      <c r="CU159" s="61"/>
      <c r="CV159" s="61"/>
      <c r="CW159" s="61"/>
      <c r="CX159" s="61">
        <v>744</v>
      </c>
      <c r="CY159" s="61">
        <v>2701</v>
      </c>
      <c r="CZ159" s="61">
        <v>48</v>
      </c>
      <c r="DA159" s="61">
        <v>439</v>
      </c>
      <c r="DB159" s="61">
        <v>53</v>
      </c>
      <c r="DC159" s="61"/>
      <c r="DD159" s="61">
        <v>3985</v>
      </c>
      <c r="DE159" s="61">
        <v>4</v>
      </c>
      <c r="DF159" s="61">
        <v>3971</v>
      </c>
      <c r="DG159" s="61">
        <v>10</v>
      </c>
      <c r="DH159" s="62" t="s">
        <v>2185</v>
      </c>
      <c r="DI159" s="61">
        <v>104</v>
      </c>
      <c r="DJ159" s="61">
        <v>18</v>
      </c>
      <c r="DK159" s="61"/>
      <c r="DL159" s="61"/>
      <c r="DM159" s="61"/>
      <c r="DN159" s="61">
        <v>2</v>
      </c>
    </row>
    <row r="160" spans="1:118" x14ac:dyDescent="0.25">
      <c r="A160" s="61">
        <v>106291053</v>
      </c>
      <c r="B160" s="62" t="s">
        <v>764</v>
      </c>
      <c r="C160" s="62" t="s">
        <v>765</v>
      </c>
      <c r="D160" s="62" t="s">
        <v>760</v>
      </c>
      <c r="E160" s="62" t="s">
        <v>94</v>
      </c>
      <c r="F160" s="62" t="s">
        <v>2213</v>
      </c>
      <c r="G160" s="62" t="s">
        <v>766</v>
      </c>
      <c r="H160" s="62" t="s">
        <v>767</v>
      </c>
      <c r="I160" s="62" t="s">
        <v>768</v>
      </c>
      <c r="J160" s="62" t="s">
        <v>2188</v>
      </c>
      <c r="K160" s="62"/>
      <c r="L160" s="61">
        <v>4</v>
      </c>
      <c r="M160" s="61">
        <v>1</v>
      </c>
      <c r="N160" s="61">
        <v>1</v>
      </c>
      <c r="O160" s="62" t="s">
        <v>1889</v>
      </c>
      <c r="P160" s="62" t="s">
        <v>120</v>
      </c>
      <c r="Q160" s="62" t="s">
        <v>120</v>
      </c>
      <c r="R160" s="62" t="s">
        <v>2167</v>
      </c>
      <c r="S160" s="62" t="s">
        <v>69</v>
      </c>
      <c r="T160" s="61">
        <v>5672</v>
      </c>
      <c r="U160" s="61">
        <v>6211</v>
      </c>
      <c r="V160" s="61"/>
      <c r="W160" s="61">
        <v>1216</v>
      </c>
      <c r="X160" s="61">
        <v>1526</v>
      </c>
      <c r="Y160" s="61">
        <v>2025</v>
      </c>
      <c r="Z160" s="61">
        <v>1744</v>
      </c>
      <c r="AA160" s="61">
        <v>1438</v>
      </c>
      <c r="AB160" s="61">
        <v>1367</v>
      </c>
      <c r="AC160" s="61">
        <v>1177</v>
      </c>
      <c r="AD160" s="61">
        <v>816</v>
      </c>
      <c r="AE160" s="61">
        <v>376</v>
      </c>
      <c r="AF160" s="61">
        <v>198</v>
      </c>
      <c r="AG160" s="61"/>
      <c r="AH160" s="61">
        <v>265</v>
      </c>
      <c r="AI160" s="61">
        <v>118</v>
      </c>
      <c r="AJ160" s="61">
        <v>1934</v>
      </c>
      <c r="AK160" s="61">
        <v>13</v>
      </c>
      <c r="AL160" s="61">
        <v>318</v>
      </c>
      <c r="AM160" s="61">
        <v>18</v>
      </c>
      <c r="AN160" s="61">
        <v>9217</v>
      </c>
      <c r="AO160" s="61">
        <v>228</v>
      </c>
      <c r="AP160" s="61">
        <v>26</v>
      </c>
      <c r="AQ160" s="61">
        <v>4</v>
      </c>
      <c r="AR160" s="61">
        <v>51</v>
      </c>
      <c r="AS160" s="61"/>
      <c r="AT160" s="61"/>
      <c r="AU160" s="61"/>
      <c r="AV160" s="61">
        <v>205</v>
      </c>
      <c r="AW160" s="61">
        <v>48</v>
      </c>
      <c r="AX160" s="61">
        <v>5</v>
      </c>
      <c r="AY160" s="61">
        <v>11107</v>
      </c>
      <c r="AZ160" s="61">
        <v>4</v>
      </c>
      <c r="BA160" s="61">
        <v>1</v>
      </c>
      <c r="BB160" s="61">
        <v>186</v>
      </c>
      <c r="BC160" s="61"/>
      <c r="BD160" s="61">
        <v>677</v>
      </c>
      <c r="BE160" s="61">
        <v>1634</v>
      </c>
      <c r="BF160" s="61">
        <v>432</v>
      </c>
      <c r="BG160" s="61">
        <v>7919</v>
      </c>
      <c r="BH160" s="61">
        <v>1216</v>
      </c>
      <c r="BI160" s="61">
        <v>5</v>
      </c>
      <c r="BJ160" s="61">
        <v>11883</v>
      </c>
      <c r="BK160" s="61">
        <v>41</v>
      </c>
      <c r="BL160" s="61">
        <v>10977</v>
      </c>
      <c r="BM160" s="61">
        <v>865</v>
      </c>
      <c r="BN160" s="61">
        <v>404</v>
      </c>
      <c r="BO160" s="61">
        <v>425</v>
      </c>
      <c r="BP160" s="61"/>
      <c r="BQ160" s="61">
        <v>21</v>
      </c>
      <c r="BR160" s="61">
        <v>63</v>
      </c>
      <c r="BS160" s="61">
        <v>84</v>
      </c>
      <c r="BT160" s="61">
        <v>88</v>
      </c>
      <c r="BU160" s="61">
        <v>123</v>
      </c>
      <c r="BV160" s="61">
        <v>172</v>
      </c>
      <c r="BW160" s="61">
        <v>132</v>
      </c>
      <c r="BX160" s="61">
        <v>137</v>
      </c>
      <c r="BY160" s="61">
        <v>1</v>
      </c>
      <c r="BZ160" s="61">
        <v>8</v>
      </c>
      <c r="CA160" s="61"/>
      <c r="CB160" s="61">
        <v>10</v>
      </c>
      <c r="CC160" s="61">
        <v>5</v>
      </c>
      <c r="CD160" s="61">
        <v>63</v>
      </c>
      <c r="CE160" s="61">
        <v>14</v>
      </c>
      <c r="CF160" s="61"/>
      <c r="CG160" s="61">
        <v>737</v>
      </c>
      <c r="CH160" s="61"/>
      <c r="CI160" s="61">
        <v>36</v>
      </c>
      <c r="CJ160" s="61">
        <v>4</v>
      </c>
      <c r="CK160" s="61">
        <v>10</v>
      </c>
      <c r="CL160" s="61">
        <v>82</v>
      </c>
      <c r="CM160" s="61"/>
      <c r="CN160" s="61"/>
      <c r="CO160" s="61">
        <v>1</v>
      </c>
      <c r="CP160" s="61">
        <v>599</v>
      </c>
      <c r="CQ160" s="61">
        <v>84</v>
      </c>
      <c r="CR160" s="61">
        <v>1</v>
      </c>
      <c r="CS160" s="61">
        <v>9</v>
      </c>
      <c r="CT160" s="61">
        <v>2</v>
      </c>
      <c r="CU160" s="61">
        <v>1</v>
      </c>
      <c r="CV160" s="61"/>
      <c r="CW160" s="61"/>
      <c r="CX160" s="61">
        <v>132</v>
      </c>
      <c r="CY160" s="61">
        <v>370</v>
      </c>
      <c r="CZ160" s="61">
        <v>16</v>
      </c>
      <c r="DA160" s="61">
        <v>265</v>
      </c>
      <c r="DB160" s="61">
        <v>46</v>
      </c>
      <c r="DC160" s="61"/>
      <c r="DD160" s="61">
        <v>829</v>
      </c>
      <c r="DE160" s="61">
        <v>3</v>
      </c>
      <c r="DF160" s="61">
        <v>789</v>
      </c>
      <c r="DG160" s="61">
        <v>37</v>
      </c>
      <c r="DH160" s="62" t="s">
        <v>2185</v>
      </c>
      <c r="DI160" s="61">
        <v>72</v>
      </c>
      <c r="DJ160" s="61">
        <v>15</v>
      </c>
      <c r="DK160" s="61"/>
      <c r="DL160" s="61">
        <v>18</v>
      </c>
      <c r="DM160" s="61"/>
      <c r="DN160" s="61"/>
    </row>
    <row r="161" spans="1:118" x14ac:dyDescent="0.25">
      <c r="A161" s="61">
        <v>106300032</v>
      </c>
      <c r="B161" s="62" t="s">
        <v>769</v>
      </c>
      <c r="C161" s="62" t="s">
        <v>2060</v>
      </c>
      <c r="D161" s="62" t="s">
        <v>770</v>
      </c>
      <c r="E161" s="62" t="s">
        <v>71</v>
      </c>
      <c r="F161" s="62" t="s">
        <v>2213</v>
      </c>
      <c r="G161" s="62" t="s">
        <v>2061</v>
      </c>
      <c r="H161" s="62" t="s">
        <v>770</v>
      </c>
      <c r="I161" s="62" t="s">
        <v>771</v>
      </c>
      <c r="J161" s="62" t="s">
        <v>2184</v>
      </c>
      <c r="K161" s="62" t="s">
        <v>1087</v>
      </c>
      <c r="L161" s="61">
        <v>46</v>
      </c>
      <c r="M161" s="61">
        <v>68</v>
      </c>
      <c r="N161" s="61">
        <v>37</v>
      </c>
      <c r="O161" s="62" t="s">
        <v>1890</v>
      </c>
      <c r="P161" s="62" t="s">
        <v>68</v>
      </c>
      <c r="Q161" s="62" t="s">
        <v>2167</v>
      </c>
      <c r="R161" s="62" t="s">
        <v>2167</v>
      </c>
      <c r="S161" s="62" t="s">
        <v>69</v>
      </c>
      <c r="T161" s="61">
        <v>32999</v>
      </c>
      <c r="U161" s="61">
        <v>37858</v>
      </c>
      <c r="V161" s="61">
        <v>11</v>
      </c>
      <c r="W161" s="61">
        <v>43520</v>
      </c>
      <c r="X161" s="61">
        <v>15055</v>
      </c>
      <c r="Y161" s="61">
        <v>458</v>
      </c>
      <c r="Z161" s="61">
        <v>171</v>
      </c>
      <c r="AA161" s="61">
        <v>76</v>
      </c>
      <c r="AB161" s="61">
        <v>68</v>
      </c>
      <c r="AC161" s="61">
        <v>26</v>
      </c>
      <c r="AD161" s="61">
        <v>12</v>
      </c>
      <c r="AE161" s="61">
        <v>5</v>
      </c>
      <c r="AF161" s="61">
        <v>11477</v>
      </c>
      <c r="AG161" s="61"/>
      <c r="AH161" s="61">
        <v>3633</v>
      </c>
      <c r="AI161" s="61">
        <v>1149</v>
      </c>
      <c r="AJ161" s="61">
        <v>47209</v>
      </c>
      <c r="AK161" s="61">
        <v>102</v>
      </c>
      <c r="AL161" s="61">
        <v>3294</v>
      </c>
      <c r="AM161" s="61">
        <v>997</v>
      </c>
      <c r="AN161" s="61">
        <v>14484</v>
      </c>
      <c r="AO161" s="61">
        <v>293</v>
      </c>
      <c r="AP161" s="61">
        <v>275</v>
      </c>
      <c r="AQ161" s="61">
        <v>3</v>
      </c>
      <c r="AR161" s="61">
        <v>17</v>
      </c>
      <c r="AS161" s="61"/>
      <c r="AT161" s="61"/>
      <c r="AU161" s="61"/>
      <c r="AV161" s="61"/>
      <c r="AW161" s="61">
        <v>8</v>
      </c>
      <c r="AX161" s="61"/>
      <c r="AY161" s="61">
        <v>70021</v>
      </c>
      <c r="AZ161" s="61">
        <v>3</v>
      </c>
      <c r="BA161" s="61">
        <v>5</v>
      </c>
      <c r="BB161" s="61"/>
      <c r="BC161" s="61">
        <v>164</v>
      </c>
      <c r="BD161" s="61">
        <v>54906</v>
      </c>
      <c r="BE161" s="61">
        <v>38</v>
      </c>
      <c r="BF161" s="61">
        <v>1671</v>
      </c>
      <c r="BG161" s="61">
        <v>12058</v>
      </c>
      <c r="BH161" s="61">
        <v>2109</v>
      </c>
      <c r="BI161" s="61">
        <v>86</v>
      </c>
      <c r="BJ161" s="61">
        <v>70868</v>
      </c>
      <c r="BK161" s="61">
        <v>461</v>
      </c>
      <c r="BL161" s="61">
        <v>50234</v>
      </c>
      <c r="BM161" s="61">
        <v>20173</v>
      </c>
      <c r="BN161" s="61">
        <v>2813</v>
      </c>
      <c r="BO161" s="61">
        <v>3424</v>
      </c>
      <c r="BP161" s="61">
        <v>2</v>
      </c>
      <c r="BQ161" s="61">
        <v>1800</v>
      </c>
      <c r="BR161" s="61">
        <v>109</v>
      </c>
      <c r="BS161" s="61"/>
      <c r="BT161" s="61"/>
      <c r="BU161" s="61"/>
      <c r="BV161" s="61"/>
      <c r="BW161" s="61"/>
      <c r="BX161" s="61"/>
      <c r="BY161" s="61">
        <v>1563</v>
      </c>
      <c r="BZ161" s="61">
        <v>2767</v>
      </c>
      <c r="CA161" s="61"/>
      <c r="CB161" s="61">
        <v>533</v>
      </c>
      <c r="CC161" s="61">
        <v>182</v>
      </c>
      <c r="CD161" s="61">
        <v>3342</v>
      </c>
      <c r="CE161" s="61">
        <v>337</v>
      </c>
      <c r="CF161" s="61">
        <v>46</v>
      </c>
      <c r="CG161" s="61">
        <v>1789</v>
      </c>
      <c r="CH161" s="61">
        <v>10</v>
      </c>
      <c r="CI161" s="61">
        <v>19</v>
      </c>
      <c r="CJ161" s="61">
        <v>9</v>
      </c>
      <c r="CK161" s="61">
        <v>21</v>
      </c>
      <c r="CL161" s="61">
        <v>15</v>
      </c>
      <c r="CM161" s="61">
        <v>8</v>
      </c>
      <c r="CN161" s="61"/>
      <c r="CO161" s="61"/>
      <c r="CP161" s="61">
        <v>6136</v>
      </c>
      <c r="CQ161" s="61"/>
      <c r="CR161" s="61"/>
      <c r="CS161" s="61">
        <v>1</v>
      </c>
      <c r="CT161" s="61"/>
      <c r="CU161" s="61">
        <v>17</v>
      </c>
      <c r="CV161" s="61"/>
      <c r="CW161" s="61">
        <v>10</v>
      </c>
      <c r="CX161" s="61">
        <v>4003</v>
      </c>
      <c r="CY161" s="61">
        <v>6</v>
      </c>
      <c r="CZ161" s="61">
        <v>67</v>
      </c>
      <c r="DA161" s="61">
        <v>2125</v>
      </c>
      <c r="DB161" s="61">
        <v>38</v>
      </c>
      <c r="DC161" s="61"/>
      <c r="DD161" s="61">
        <v>6239</v>
      </c>
      <c r="DE161" s="61">
        <v>59</v>
      </c>
      <c r="DF161" s="61">
        <v>4804</v>
      </c>
      <c r="DG161" s="61">
        <v>1376</v>
      </c>
      <c r="DH161" s="62" t="s">
        <v>2185</v>
      </c>
      <c r="DI161" s="61">
        <v>279</v>
      </c>
      <c r="DJ161" s="61">
        <v>31</v>
      </c>
      <c r="DK161" s="61"/>
      <c r="DL161" s="61">
        <v>79</v>
      </c>
      <c r="DM161" s="61">
        <v>3</v>
      </c>
      <c r="DN161" s="61"/>
    </row>
    <row r="162" spans="1:118" x14ac:dyDescent="0.25">
      <c r="A162" s="61">
        <v>106300225</v>
      </c>
      <c r="B162" s="62" t="s">
        <v>772</v>
      </c>
      <c r="C162" s="62" t="s">
        <v>773</v>
      </c>
      <c r="D162" s="62" t="s">
        <v>770</v>
      </c>
      <c r="E162" s="62" t="s">
        <v>71</v>
      </c>
      <c r="F162" s="62" t="s">
        <v>2213</v>
      </c>
      <c r="G162" s="62" t="s">
        <v>774</v>
      </c>
      <c r="H162" s="62" t="s">
        <v>775</v>
      </c>
      <c r="I162" s="62" t="s">
        <v>776</v>
      </c>
      <c r="J162" s="62" t="s">
        <v>2184</v>
      </c>
      <c r="K162" s="62"/>
      <c r="L162" s="61">
        <v>48</v>
      </c>
      <c r="M162" s="61">
        <v>72</v>
      </c>
      <c r="N162" s="61">
        <v>34</v>
      </c>
      <c r="O162" s="62" t="s">
        <v>1891</v>
      </c>
      <c r="P162" s="62" t="s">
        <v>68</v>
      </c>
      <c r="Q162" s="62" t="s">
        <v>2167</v>
      </c>
      <c r="R162" s="62" t="s">
        <v>2167</v>
      </c>
      <c r="S162" s="62" t="s">
        <v>69</v>
      </c>
      <c r="T162" s="61">
        <v>15357</v>
      </c>
      <c r="U162" s="61">
        <v>11047</v>
      </c>
      <c r="V162" s="61"/>
      <c r="W162" s="61">
        <v>1675</v>
      </c>
      <c r="X162" s="61">
        <v>2101</v>
      </c>
      <c r="Y162" s="61">
        <v>3902</v>
      </c>
      <c r="Z162" s="61">
        <v>3291</v>
      </c>
      <c r="AA162" s="61">
        <v>3391</v>
      </c>
      <c r="AB162" s="61">
        <v>3682</v>
      </c>
      <c r="AC162" s="61">
        <v>2739</v>
      </c>
      <c r="AD162" s="61">
        <v>2498</v>
      </c>
      <c r="AE162" s="61">
        <v>2829</v>
      </c>
      <c r="AF162" s="61">
        <v>296</v>
      </c>
      <c r="AG162" s="61"/>
      <c r="AH162" s="61">
        <v>4074</v>
      </c>
      <c r="AI162" s="61">
        <v>627</v>
      </c>
      <c r="AJ162" s="61">
        <v>6069</v>
      </c>
      <c r="AK162" s="61">
        <v>15</v>
      </c>
      <c r="AL162" s="61">
        <v>1068</v>
      </c>
      <c r="AM162" s="61">
        <v>4</v>
      </c>
      <c r="AN162" s="61">
        <v>14547</v>
      </c>
      <c r="AO162" s="61">
        <v>542</v>
      </c>
      <c r="AP162" s="61"/>
      <c r="AQ162" s="61">
        <v>32</v>
      </c>
      <c r="AR162" s="61">
        <v>301</v>
      </c>
      <c r="AS162" s="61">
        <v>21</v>
      </c>
      <c r="AT162" s="61">
        <v>8</v>
      </c>
      <c r="AU162" s="61"/>
      <c r="AV162" s="61">
        <v>5</v>
      </c>
      <c r="AW162" s="61">
        <v>150</v>
      </c>
      <c r="AX162" s="61">
        <v>1</v>
      </c>
      <c r="AY162" s="61">
        <v>25037</v>
      </c>
      <c r="AZ162" s="61">
        <v>293</v>
      </c>
      <c r="BA162" s="61">
        <v>11</v>
      </c>
      <c r="BB162" s="61"/>
      <c r="BC162" s="61">
        <v>2</v>
      </c>
      <c r="BD162" s="61">
        <v>7760</v>
      </c>
      <c r="BE162" s="61">
        <v>7258</v>
      </c>
      <c r="BF162" s="61">
        <v>394</v>
      </c>
      <c r="BG162" s="61">
        <v>9682</v>
      </c>
      <c r="BH162" s="61">
        <v>1310</v>
      </c>
      <c r="BI162" s="61"/>
      <c r="BJ162" s="61">
        <v>26404</v>
      </c>
      <c r="BK162" s="61">
        <v>977</v>
      </c>
      <c r="BL162" s="61">
        <v>24464</v>
      </c>
      <c r="BM162" s="61">
        <v>963</v>
      </c>
      <c r="BN162" s="61">
        <v>3639</v>
      </c>
      <c r="BO162" s="61">
        <v>3309</v>
      </c>
      <c r="BP162" s="61"/>
      <c r="BQ162" s="61">
        <v>30</v>
      </c>
      <c r="BR162" s="61">
        <v>308</v>
      </c>
      <c r="BS162" s="61">
        <v>413</v>
      </c>
      <c r="BT162" s="61">
        <v>698</v>
      </c>
      <c r="BU162" s="61">
        <v>1083</v>
      </c>
      <c r="BV162" s="61">
        <v>1200</v>
      </c>
      <c r="BW162" s="61">
        <v>1442</v>
      </c>
      <c r="BX162" s="61">
        <v>1765</v>
      </c>
      <c r="BY162" s="61">
        <v>9</v>
      </c>
      <c r="BZ162" s="61"/>
      <c r="CA162" s="61"/>
      <c r="CB162" s="61">
        <v>1357</v>
      </c>
      <c r="CC162" s="61">
        <v>115</v>
      </c>
      <c r="CD162" s="61">
        <v>1189</v>
      </c>
      <c r="CE162" s="61">
        <v>163</v>
      </c>
      <c r="CF162" s="61">
        <v>3</v>
      </c>
      <c r="CG162" s="61">
        <v>4120</v>
      </c>
      <c r="CH162" s="61">
        <v>1</v>
      </c>
      <c r="CI162" s="61">
        <v>122</v>
      </c>
      <c r="CJ162" s="61"/>
      <c r="CK162" s="61">
        <v>190</v>
      </c>
      <c r="CL162" s="61">
        <v>1375</v>
      </c>
      <c r="CM162" s="61">
        <v>25</v>
      </c>
      <c r="CN162" s="61"/>
      <c r="CO162" s="61">
        <v>1</v>
      </c>
      <c r="CP162" s="61">
        <v>3877</v>
      </c>
      <c r="CQ162" s="61">
        <v>1190</v>
      </c>
      <c r="CR162" s="61">
        <v>1</v>
      </c>
      <c r="CS162" s="61">
        <v>144</v>
      </c>
      <c r="CT162" s="61">
        <v>19</v>
      </c>
      <c r="CU162" s="61">
        <v>1</v>
      </c>
      <c r="CV162" s="61">
        <v>2</v>
      </c>
      <c r="CW162" s="61"/>
      <c r="CX162" s="61">
        <v>1042</v>
      </c>
      <c r="CY162" s="61">
        <v>4087</v>
      </c>
      <c r="CZ162" s="61">
        <v>33</v>
      </c>
      <c r="DA162" s="61">
        <v>1679</v>
      </c>
      <c r="DB162" s="61">
        <v>107</v>
      </c>
      <c r="DC162" s="61"/>
      <c r="DD162" s="61">
        <v>6948</v>
      </c>
      <c r="DE162" s="61">
        <v>675</v>
      </c>
      <c r="DF162" s="61">
        <v>5938</v>
      </c>
      <c r="DG162" s="61">
        <v>335</v>
      </c>
      <c r="DH162" s="62" t="s">
        <v>2185</v>
      </c>
      <c r="DI162" s="61">
        <v>218</v>
      </c>
      <c r="DJ162" s="61">
        <v>14</v>
      </c>
      <c r="DK162" s="61"/>
      <c r="DL162" s="61">
        <v>1</v>
      </c>
      <c r="DM162" s="61">
        <v>1</v>
      </c>
      <c r="DN162" s="61"/>
    </row>
    <row r="163" spans="1:118" x14ac:dyDescent="0.25">
      <c r="A163" s="61">
        <v>106301098</v>
      </c>
      <c r="B163" s="62" t="s">
        <v>779</v>
      </c>
      <c r="C163" s="62" t="s">
        <v>780</v>
      </c>
      <c r="D163" s="62" t="s">
        <v>770</v>
      </c>
      <c r="E163" s="62" t="s">
        <v>349</v>
      </c>
      <c r="F163" s="62" t="s">
        <v>2213</v>
      </c>
      <c r="G163" s="62" t="s">
        <v>781</v>
      </c>
      <c r="H163" s="62" t="s">
        <v>777</v>
      </c>
      <c r="I163" s="62" t="s">
        <v>782</v>
      </c>
      <c r="J163" s="62" t="s">
        <v>2184</v>
      </c>
      <c r="K163" s="62"/>
      <c r="L163" s="61">
        <v>46</v>
      </c>
      <c r="M163" s="61">
        <v>69</v>
      </c>
      <c r="N163" s="61">
        <v>29</v>
      </c>
      <c r="O163" s="62" t="s">
        <v>1892</v>
      </c>
      <c r="P163" s="62" t="s">
        <v>68</v>
      </c>
      <c r="Q163" s="62" t="s">
        <v>2167</v>
      </c>
      <c r="R163" s="62" t="s">
        <v>2167</v>
      </c>
      <c r="S163" s="62" t="s">
        <v>69</v>
      </c>
      <c r="T163" s="61">
        <v>19052</v>
      </c>
      <c r="U163" s="61">
        <v>14828</v>
      </c>
      <c r="V163" s="61"/>
      <c r="W163" s="61">
        <v>3512</v>
      </c>
      <c r="X163" s="61">
        <v>3390</v>
      </c>
      <c r="Y163" s="61">
        <v>6064</v>
      </c>
      <c r="Z163" s="61">
        <v>4720</v>
      </c>
      <c r="AA163" s="61">
        <v>4222</v>
      </c>
      <c r="AB163" s="61">
        <v>4421</v>
      </c>
      <c r="AC163" s="61">
        <v>2923</v>
      </c>
      <c r="AD163" s="61">
        <v>1948</v>
      </c>
      <c r="AE163" s="61">
        <v>1957</v>
      </c>
      <c r="AF163" s="61">
        <v>722</v>
      </c>
      <c r="AG163" s="61">
        <v>1</v>
      </c>
      <c r="AH163" s="61">
        <v>1986</v>
      </c>
      <c r="AI163" s="61">
        <v>1590</v>
      </c>
      <c r="AJ163" s="61">
        <v>18355</v>
      </c>
      <c r="AK163" s="61">
        <v>10</v>
      </c>
      <c r="AL163" s="61">
        <v>1452</v>
      </c>
      <c r="AM163" s="61">
        <v>11</v>
      </c>
      <c r="AN163" s="61">
        <v>10476</v>
      </c>
      <c r="AO163" s="61">
        <v>677</v>
      </c>
      <c r="AP163" s="61">
        <v>771</v>
      </c>
      <c r="AQ163" s="61">
        <v>51</v>
      </c>
      <c r="AR163" s="61">
        <v>67</v>
      </c>
      <c r="AS163" s="61">
        <v>22</v>
      </c>
      <c r="AT163" s="61">
        <v>1</v>
      </c>
      <c r="AU163" s="61">
        <v>2</v>
      </c>
      <c r="AV163" s="61">
        <v>48</v>
      </c>
      <c r="AW163" s="61">
        <v>111</v>
      </c>
      <c r="AX163" s="61">
        <v>4</v>
      </c>
      <c r="AY163" s="61">
        <v>31808</v>
      </c>
      <c r="AZ163" s="61">
        <v>247</v>
      </c>
      <c r="BA163" s="61">
        <v>67</v>
      </c>
      <c r="BB163" s="61"/>
      <c r="BC163" s="61"/>
      <c r="BD163" s="61">
        <v>14768</v>
      </c>
      <c r="BE163" s="61">
        <v>6457</v>
      </c>
      <c r="BF163" s="61">
        <v>428</v>
      </c>
      <c r="BG163" s="61">
        <v>9863</v>
      </c>
      <c r="BH163" s="61">
        <v>2364</v>
      </c>
      <c r="BI163" s="61"/>
      <c r="BJ163" s="61">
        <v>33880</v>
      </c>
      <c r="BK163" s="61">
        <v>592</v>
      </c>
      <c r="BL163" s="61">
        <v>26780</v>
      </c>
      <c r="BM163" s="61">
        <v>6508</v>
      </c>
      <c r="BN163" s="61">
        <v>4702</v>
      </c>
      <c r="BO163" s="61">
        <v>4185</v>
      </c>
      <c r="BP163" s="61"/>
      <c r="BQ163" s="61">
        <v>86</v>
      </c>
      <c r="BR163" s="61">
        <v>536</v>
      </c>
      <c r="BS163" s="61">
        <v>661</v>
      </c>
      <c r="BT163" s="61">
        <v>1084</v>
      </c>
      <c r="BU163" s="61">
        <v>1705</v>
      </c>
      <c r="BV163" s="61">
        <v>1726</v>
      </c>
      <c r="BW163" s="61">
        <v>1400</v>
      </c>
      <c r="BX163" s="61">
        <v>1671</v>
      </c>
      <c r="BY163" s="61">
        <v>18</v>
      </c>
      <c r="BZ163" s="61"/>
      <c r="CA163" s="61"/>
      <c r="CB163" s="61">
        <v>872</v>
      </c>
      <c r="CC163" s="61">
        <v>326</v>
      </c>
      <c r="CD163" s="61">
        <v>3572</v>
      </c>
      <c r="CE163" s="61">
        <v>420</v>
      </c>
      <c r="CF163" s="61">
        <v>2</v>
      </c>
      <c r="CG163" s="61">
        <v>3693</v>
      </c>
      <c r="CH163" s="61">
        <v>2</v>
      </c>
      <c r="CI163" s="61">
        <v>255</v>
      </c>
      <c r="CJ163" s="61">
        <v>363</v>
      </c>
      <c r="CK163" s="61">
        <v>178</v>
      </c>
      <c r="CL163" s="61">
        <v>915</v>
      </c>
      <c r="CM163" s="61">
        <v>10</v>
      </c>
      <c r="CN163" s="61"/>
      <c r="CO163" s="61">
        <v>20</v>
      </c>
      <c r="CP163" s="61">
        <v>5319</v>
      </c>
      <c r="CQ163" s="61">
        <v>1592</v>
      </c>
      <c r="CR163" s="61"/>
      <c r="CS163" s="61">
        <v>171</v>
      </c>
      <c r="CT163" s="61">
        <v>59</v>
      </c>
      <c r="CU163" s="61">
        <v>2</v>
      </c>
      <c r="CV163" s="61"/>
      <c r="CW163" s="61">
        <v>3</v>
      </c>
      <c r="CX163" s="61">
        <v>3344</v>
      </c>
      <c r="CY163" s="61">
        <v>3739</v>
      </c>
      <c r="CZ163" s="61">
        <v>43</v>
      </c>
      <c r="DA163" s="61">
        <v>1599</v>
      </c>
      <c r="DB163" s="61">
        <v>152</v>
      </c>
      <c r="DC163" s="61">
        <v>10</v>
      </c>
      <c r="DD163" s="61">
        <v>8887</v>
      </c>
      <c r="DE163" s="61">
        <v>359</v>
      </c>
      <c r="DF163" s="61">
        <v>6784</v>
      </c>
      <c r="DG163" s="61">
        <v>1744</v>
      </c>
      <c r="DH163" s="62" t="s">
        <v>2185</v>
      </c>
      <c r="DI163" s="61">
        <v>223</v>
      </c>
      <c r="DJ163" s="61">
        <v>21</v>
      </c>
      <c r="DK163" s="61"/>
      <c r="DL163" s="61">
        <v>4</v>
      </c>
      <c r="DM163" s="61"/>
      <c r="DN163" s="61"/>
    </row>
    <row r="164" spans="1:118" x14ac:dyDescent="0.25">
      <c r="A164" s="61">
        <v>106301140</v>
      </c>
      <c r="B164" s="62" t="s">
        <v>783</v>
      </c>
      <c r="C164" s="62" t="s">
        <v>2062</v>
      </c>
      <c r="D164" s="62" t="s">
        <v>770</v>
      </c>
      <c r="E164" s="62" t="s">
        <v>184</v>
      </c>
      <c r="F164" s="62" t="s">
        <v>2213</v>
      </c>
      <c r="G164" s="62" t="s">
        <v>784</v>
      </c>
      <c r="H164" s="62" t="s">
        <v>770</v>
      </c>
      <c r="I164" s="62" t="s">
        <v>785</v>
      </c>
      <c r="J164" s="62" t="s">
        <v>2189</v>
      </c>
      <c r="K164" s="62"/>
      <c r="L164" s="61">
        <v>45</v>
      </c>
      <c r="M164" s="61">
        <v>68</v>
      </c>
      <c r="N164" s="61">
        <v>37</v>
      </c>
      <c r="O164" s="62" t="s">
        <v>1893</v>
      </c>
      <c r="P164" s="62" t="s">
        <v>68</v>
      </c>
      <c r="Q164" s="62" t="s">
        <v>2167</v>
      </c>
      <c r="R164" s="62" t="s">
        <v>2167</v>
      </c>
      <c r="S164" s="62" t="s">
        <v>69</v>
      </c>
      <c r="T164" s="61">
        <v>4232</v>
      </c>
      <c r="U164" s="61">
        <v>3658</v>
      </c>
      <c r="V164" s="61"/>
      <c r="W164" s="61">
        <v>403</v>
      </c>
      <c r="X164" s="61">
        <v>895</v>
      </c>
      <c r="Y164" s="61">
        <v>1787</v>
      </c>
      <c r="Z164" s="61">
        <v>1358</v>
      </c>
      <c r="AA164" s="61">
        <v>1161</v>
      </c>
      <c r="AB164" s="61">
        <v>1108</v>
      </c>
      <c r="AC164" s="61">
        <v>568</v>
      </c>
      <c r="AD164" s="61">
        <v>272</v>
      </c>
      <c r="AE164" s="61">
        <v>292</v>
      </c>
      <c r="AF164" s="61">
        <v>46</v>
      </c>
      <c r="AG164" s="61"/>
      <c r="AH164" s="61">
        <v>349</v>
      </c>
      <c r="AI164" s="61">
        <v>207</v>
      </c>
      <c r="AJ164" s="61">
        <v>2922</v>
      </c>
      <c r="AK164" s="61">
        <v>10</v>
      </c>
      <c r="AL164" s="61">
        <v>644</v>
      </c>
      <c r="AM164" s="61">
        <v>15</v>
      </c>
      <c r="AN164" s="61">
        <v>3743</v>
      </c>
      <c r="AO164" s="61">
        <v>207</v>
      </c>
      <c r="AP164" s="61">
        <v>327</v>
      </c>
      <c r="AQ164" s="61">
        <v>18</v>
      </c>
      <c r="AR164" s="61">
        <v>5</v>
      </c>
      <c r="AS164" s="61">
        <v>5</v>
      </c>
      <c r="AT164" s="61">
        <v>13</v>
      </c>
      <c r="AU164" s="61"/>
      <c r="AV164" s="61">
        <v>6</v>
      </c>
      <c r="AW164" s="61">
        <v>57</v>
      </c>
      <c r="AX164" s="61">
        <v>8</v>
      </c>
      <c r="AY164" s="61">
        <v>7206</v>
      </c>
      <c r="AZ164" s="61">
        <v>16</v>
      </c>
      <c r="BA164" s="61">
        <v>9</v>
      </c>
      <c r="BB164" s="61">
        <v>2</v>
      </c>
      <c r="BC164" s="61">
        <v>11</v>
      </c>
      <c r="BD164" s="61">
        <v>744</v>
      </c>
      <c r="BE164" s="61">
        <v>1030</v>
      </c>
      <c r="BF164" s="61">
        <v>204</v>
      </c>
      <c r="BG164" s="61">
        <v>5290</v>
      </c>
      <c r="BH164" s="61">
        <v>622</v>
      </c>
      <c r="BI164" s="61"/>
      <c r="BJ164" s="61">
        <v>7890</v>
      </c>
      <c r="BK164" s="61">
        <v>101</v>
      </c>
      <c r="BL164" s="61">
        <v>6982</v>
      </c>
      <c r="BM164" s="61">
        <v>807</v>
      </c>
      <c r="BN164" s="61">
        <v>615</v>
      </c>
      <c r="BO164" s="61">
        <v>561</v>
      </c>
      <c r="BP164" s="61"/>
      <c r="BQ164" s="61">
        <v>16</v>
      </c>
      <c r="BR164" s="61">
        <v>126</v>
      </c>
      <c r="BS164" s="61">
        <v>133</v>
      </c>
      <c r="BT164" s="61">
        <v>151</v>
      </c>
      <c r="BU164" s="61">
        <v>204</v>
      </c>
      <c r="BV164" s="61">
        <v>166</v>
      </c>
      <c r="BW164" s="61">
        <v>139</v>
      </c>
      <c r="BX164" s="61">
        <v>241</v>
      </c>
      <c r="BY164" s="61"/>
      <c r="BZ164" s="61"/>
      <c r="CA164" s="61"/>
      <c r="CB164" s="61">
        <v>57</v>
      </c>
      <c r="CC164" s="61">
        <v>49</v>
      </c>
      <c r="CD164" s="61">
        <v>275</v>
      </c>
      <c r="CE164" s="61">
        <v>107</v>
      </c>
      <c r="CF164" s="61">
        <v>2</v>
      </c>
      <c r="CG164" s="61">
        <v>685</v>
      </c>
      <c r="CH164" s="61">
        <v>1</v>
      </c>
      <c r="CI164" s="61">
        <v>61</v>
      </c>
      <c r="CJ164" s="61">
        <v>46</v>
      </c>
      <c r="CK164" s="61">
        <v>14</v>
      </c>
      <c r="CL164" s="61">
        <v>54</v>
      </c>
      <c r="CM164" s="61">
        <v>9</v>
      </c>
      <c r="CN164" s="61"/>
      <c r="CO164" s="61">
        <v>47</v>
      </c>
      <c r="CP164" s="61">
        <v>743</v>
      </c>
      <c r="CQ164" s="61">
        <v>166</v>
      </c>
      <c r="CR164" s="61">
        <v>1</v>
      </c>
      <c r="CS164" s="61">
        <v>18</v>
      </c>
      <c r="CT164" s="61">
        <v>13</v>
      </c>
      <c r="CU164" s="61"/>
      <c r="CV164" s="61"/>
      <c r="CW164" s="61">
        <v>3</v>
      </c>
      <c r="CX164" s="61">
        <v>266</v>
      </c>
      <c r="CY164" s="61">
        <v>522</v>
      </c>
      <c r="CZ164" s="61">
        <v>13</v>
      </c>
      <c r="DA164" s="61">
        <v>362</v>
      </c>
      <c r="DB164" s="61">
        <v>13</v>
      </c>
      <c r="DC164" s="61"/>
      <c r="DD164" s="61">
        <v>1176</v>
      </c>
      <c r="DE164" s="61">
        <v>36</v>
      </c>
      <c r="DF164" s="61">
        <v>1024</v>
      </c>
      <c r="DG164" s="61">
        <v>116</v>
      </c>
      <c r="DH164" s="62" t="s">
        <v>2185</v>
      </c>
      <c r="DI164" s="61">
        <v>114</v>
      </c>
      <c r="DJ164" s="61">
        <v>8</v>
      </c>
      <c r="DK164" s="61"/>
      <c r="DL164" s="61"/>
      <c r="DM164" s="61"/>
      <c r="DN164" s="61">
        <v>1</v>
      </c>
    </row>
    <row r="165" spans="1:118" x14ac:dyDescent="0.25">
      <c r="A165" s="61">
        <v>106301175</v>
      </c>
      <c r="B165" s="62" t="s">
        <v>786</v>
      </c>
      <c r="C165" s="62" t="s">
        <v>2063</v>
      </c>
      <c r="D165" s="62" t="s">
        <v>770</v>
      </c>
      <c r="E165" s="62" t="s">
        <v>184</v>
      </c>
      <c r="F165" s="62" t="s">
        <v>2213</v>
      </c>
      <c r="G165" s="62" t="s">
        <v>787</v>
      </c>
      <c r="H165" s="62" t="s">
        <v>775</v>
      </c>
      <c r="I165" s="62" t="s">
        <v>776</v>
      </c>
      <c r="J165" s="62" t="s">
        <v>2184</v>
      </c>
      <c r="K165" s="62"/>
      <c r="L165" s="61">
        <v>48</v>
      </c>
      <c r="M165" s="61">
        <v>72</v>
      </c>
      <c r="N165" s="61">
        <v>34</v>
      </c>
      <c r="O165" s="62" t="s">
        <v>1891</v>
      </c>
      <c r="P165" s="62" t="s">
        <v>68</v>
      </c>
      <c r="Q165" s="62" t="s">
        <v>2167</v>
      </c>
      <c r="R165" s="62" t="s">
        <v>2167</v>
      </c>
      <c r="S165" s="62" t="s">
        <v>69</v>
      </c>
      <c r="T165" s="61">
        <v>24213</v>
      </c>
      <c r="U165" s="61">
        <v>19306</v>
      </c>
      <c r="V165" s="61"/>
      <c r="W165" s="61">
        <v>5269</v>
      </c>
      <c r="X165" s="61">
        <v>4204</v>
      </c>
      <c r="Y165" s="61">
        <v>7092</v>
      </c>
      <c r="Z165" s="61">
        <v>5710</v>
      </c>
      <c r="AA165" s="61">
        <v>6074</v>
      </c>
      <c r="AB165" s="61">
        <v>5729</v>
      </c>
      <c r="AC165" s="61">
        <v>3790</v>
      </c>
      <c r="AD165" s="61">
        <v>2444</v>
      </c>
      <c r="AE165" s="61">
        <v>2180</v>
      </c>
      <c r="AF165" s="61">
        <v>1027</v>
      </c>
      <c r="AG165" s="61"/>
      <c r="AH165" s="61">
        <v>11159</v>
      </c>
      <c r="AI165" s="61">
        <v>689</v>
      </c>
      <c r="AJ165" s="61">
        <v>17148</v>
      </c>
      <c r="AK165" s="61">
        <v>48</v>
      </c>
      <c r="AL165" s="61">
        <v>3292</v>
      </c>
      <c r="AM165" s="61">
        <v>759</v>
      </c>
      <c r="AN165" s="61">
        <v>10424</v>
      </c>
      <c r="AO165" s="61">
        <v>531</v>
      </c>
      <c r="AP165" s="61">
        <v>1603</v>
      </c>
      <c r="AQ165" s="61">
        <v>71</v>
      </c>
      <c r="AR165" s="61">
        <v>43</v>
      </c>
      <c r="AS165" s="61">
        <v>4</v>
      </c>
      <c r="AT165" s="61">
        <v>3</v>
      </c>
      <c r="AU165" s="61"/>
      <c r="AV165" s="61"/>
      <c r="AW165" s="61">
        <v>361</v>
      </c>
      <c r="AX165" s="61">
        <v>3</v>
      </c>
      <c r="AY165" s="61">
        <v>40484</v>
      </c>
      <c r="AZ165" s="61">
        <v>410</v>
      </c>
      <c r="BA165" s="61">
        <v>4</v>
      </c>
      <c r="BB165" s="61"/>
      <c r="BC165" s="61"/>
      <c r="BD165" s="61">
        <v>14095</v>
      </c>
      <c r="BE165" s="61">
        <v>7016</v>
      </c>
      <c r="BF165" s="61">
        <v>367</v>
      </c>
      <c r="BG165" s="61">
        <v>18728</v>
      </c>
      <c r="BH165" s="61">
        <v>3313</v>
      </c>
      <c r="BI165" s="61"/>
      <c r="BJ165" s="61">
        <v>43519</v>
      </c>
      <c r="BK165" s="61">
        <v>6573</v>
      </c>
      <c r="BL165" s="61">
        <v>30288</v>
      </c>
      <c r="BM165" s="61">
        <v>6658</v>
      </c>
      <c r="BN165" s="61">
        <v>5197</v>
      </c>
      <c r="BO165" s="61">
        <v>5196</v>
      </c>
      <c r="BP165" s="61"/>
      <c r="BQ165" s="61">
        <v>287</v>
      </c>
      <c r="BR165" s="61">
        <v>595</v>
      </c>
      <c r="BS165" s="61">
        <v>695</v>
      </c>
      <c r="BT165" s="61">
        <v>1038</v>
      </c>
      <c r="BU165" s="61">
        <v>1669</v>
      </c>
      <c r="BV165" s="61">
        <v>1829</v>
      </c>
      <c r="BW165" s="61">
        <v>1849</v>
      </c>
      <c r="BX165" s="61">
        <v>2049</v>
      </c>
      <c r="BY165" s="61">
        <v>149</v>
      </c>
      <c r="BZ165" s="61">
        <v>233</v>
      </c>
      <c r="CA165" s="61"/>
      <c r="CB165" s="61">
        <v>4000</v>
      </c>
      <c r="CC165" s="61">
        <v>157</v>
      </c>
      <c r="CD165" s="61">
        <v>2772</v>
      </c>
      <c r="CE165" s="61">
        <v>609</v>
      </c>
      <c r="CF165" s="61">
        <v>97</v>
      </c>
      <c r="CG165" s="61">
        <v>2756</v>
      </c>
      <c r="CH165" s="61">
        <v>2</v>
      </c>
      <c r="CI165" s="61">
        <v>480</v>
      </c>
      <c r="CJ165" s="61">
        <v>250</v>
      </c>
      <c r="CK165" s="61">
        <v>354</v>
      </c>
      <c r="CL165" s="61">
        <v>2007</v>
      </c>
      <c r="CM165" s="61">
        <v>69</v>
      </c>
      <c r="CN165" s="61"/>
      <c r="CO165" s="61">
        <v>40</v>
      </c>
      <c r="CP165" s="61">
        <v>5205</v>
      </c>
      <c r="CQ165" s="61">
        <v>1749</v>
      </c>
      <c r="CR165" s="61">
        <v>1</v>
      </c>
      <c r="CS165" s="61">
        <v>195</v>
      </c>
      <c r="CT165" s="61">
        <v>36</v>
      </c>
      <c r="CU165" s="61">
        <v>4</v>
      </c>
      <c r="CV165" s="61"/>
      <c r="CW165" s="61">
        <v>2</v>
      </c>
      <c r="CX165" s="61">
        <v>2919</v>
      </c>
      <c r="CY165" s="61">
        <v>4815</v>
      </c>
      <c r="CZ165" s="61">
        <v>1294</v>
      </c>
      <c r="DA165" s="61">
        <v>1204</v>
      </c>
      <c r="DB165" s="61">
        <v>161</v>
      </c>
      <c r="DC165" s="61"/>
      <c r="DD165" s="61">
        <v>10393</v>
      </c>
      <c r="DE165" s="61">
        <v>3087</v>
      </c>
      <c r="DF165" s="61">
        <v>5855</v>
      </c>
      <c r="DG165" s="61">
        <v>1451</v>
      </c>
      <c r="DH165" s="62" t="s">
        <v>2185</v>
      </c>
      <c r="DI165" s="61">
        <v>293</v>
      </c>
      <c r="DJ165" s="61">
        <v>25</v>
      </c>
      <c r="DK165" s="61">
        <v>2</v>
      </c>
      <c r="DL165" s="61"/>
      <c r="DM165" s="61"/>
      <c r="DN165" s="61">
        <v>1</v>
      </c>
    </row>
    <row r="166" spans="1:118" x14ac:dyDescent="0.25">
      <c r="A166" s="61">
        <v>106301188</v>
      </c>
      <c r="B166" s="62" t="s">
        <v>788</v>
      </c>
      <c r="C166" s="62" t="s">
        <v>2064</v>
      </c>
      <c r="D166" s="62" t="s">
        <v>770</v>
      </c>
      <c r="E166" s="62" t="s">
        <v>184</v>
      </c>
      <c r="F166" s="62" t="s">
        <v>2213</v>
      </c>
      <c r="G166" s="62" t="s">
        <v>789</v>
      </c>
      <c r="H166" s="62" t="s">
        <v>777</v>
      </c>
      <c r="I166" s="62" t="s">
        <v>790</v>
      </c>
      <c r="J166" s="62" t="s">
        <v>2187</v>
      </c>
      <c r="K166" s="62"/>
      <c r="L166" s="61">
        <v>46</v>
      </c>
      <c r="M166" s="61">
        <v>69</v>
      </c>
      <c r="N166" s="61">
        <v>34</v>
      </c>
      <c r="O166" s="62" t="s">
        <v>1892</v>
      </c>
      <c r="P166" s="62" t="s">
        <v>68</v>
      </c>
      <c r="Q166" s="62" t="s">
        <v>2167</v>
      </c>
      <c r="R166" s="62" t="s">
        <v>2167</v>
      </c>
      <c r="S166" s="62" t="s">
        <v>69</v>
      </c>
      <c r="T166" s="61">
        <v>6744</v>
      </c>
      <c r="U166" s="61">
        <v>6389</v>
      </c>
      <c r="V166" s="61"/>
      <c r="W166" s="61">
        <v>1481</v>
      </c>
      <c r="X166" s="61">
        <v>1676</v>
      </c>
      <c r="Y166" s="61">
        <v>2785</v>
      </c>
      <c r="Z166" s="61">
        <v>2202</v>
      </c>
      <c r="AA166" s="61">
        <v>1819</v>
      </c>
      <c r="AB166" s="61">
        <v>1575</v>
      </c>
      <c r="AC166" s="61">
        <v>767</v>
      </c>
      <c r="AD166" s="61">
        <v>301</v>
      </c>
      <c r="AE166" s="61">
        <v>229</v>
      </c>
      <c r="AF166" s="61">
        <v>298</v>
      </c>
      <c r="AG166" s="61"/>
      <c r="AH166" s="61">
        <v>417</v>
      </c>
      <c r="AI166" s="61">
        <v>522</v>
      </c>
      <c r="AJ166" s="61">
        <v>7584</v>
      </c>
      <c r="AK166" s="61">
        <v>21</v>
      </c>
      <c r="AL166" s="61">
        <v>591</v>
      </c>
      <c r="AM166" s="61">
        <v>76</v>
      </c>
      <c r="AN166" s="61">
        <v>3922</v>
      </c>
      <c r="AO166" s="61">
        <v>254</v>
      </c>
      <c r="AP166" s="61">
        <v>351</v>
      </c>
      <c r="AQ166" s="61">
        <v>33</v>
      </c>
      <c r="AR166" s="61">
        <v>14</v>
      </c>
      <c r="AS166" s="61">
        <v>8</v>
      </c>
      <c r="AT166" s="61"/>
      <c r="AU166" s="61"/>
      <c r="AV166" s="61">
        <v>835</v>
      </c>
      <c r="AW166" s="61">
        <v>175</v>
      </c>
      <c r="AX166" s="61">
        <v>2</v>
      </c>
      <c r="AY166" s="61">
        <v>11379</v>
      </c>
      <c r="AZ166" s="61">
        <v>8</v>
      </c>
      <c r="BA166" s="61">
        <v>3</v>
      </c>
      <c r="BB166" s="61">
        <v>2</v>
      </c>
      <c r="BC166" s="61">
        <v>66</v>
      </c>
      <c r="BD166" s="61">
        <v>1992</v>
      </c>
      <c r="BE166" s="61">
        <v>1228</v>
      </c>
      <c r="BF166" s="61">
        <v>659</v>
      </c>
      <c r="BG166" s="61">
        <v>7321</v>
      </c>
      <c r="BH166" s="61">
        <v>1932</v>
      </c>
      <c r="BI166" s="61">
        <v>1</v>
      </c>
      <c r="BJ166" s="61">
        <v>13133</v>
      </c>
      <c r="BK166" s="61">
        <v>94</v>
      </c>
      <c r="BL166" s="61">
        <v>9977</v>
      </c>
      <c r="BM166" s="61">
        <v>3062</v>
      </c>
      <c r="BN166" s="61">
        <v>1059</v>
      </c>
      <c r="BO166" s="61">
        <v>1465</v>
      </c>
      <c r="BP166" s="61"/>
      <c r="BQ166" s="61">
        <v>71</v>
      </c>
      <c r="BR166" s="61">
        <v>459</v>
      </c>
      <c r="BS166" s="61">
        <v>397</v>
      </c>
      <c r="BT166" s="61">
        <v>493</v>
      </c>
      <c r="BU166" s="61">
        <v>518</v>
      </c>
      <c r="BV166" s="61">
        <v>284</v>
      </c>
      <c r="BW166" s="61">
        <v>146</v>
      </c>
      <c r="BX166" s="61">
        <v>156</v>
      </c>
      <c r="BY166" s="61"/>
      <c r="BZ166" s="61"/>
      <c r="CA166" s="61"/>
      <c r="CB166" s="61">
        <v>162</v>
      </c>
      <c r="CC166" s="61">
        <v>109</v>
      </c>
      <c r="CD166" s="61">
        <v>920</v>
      </c>
      <c r="CE166" s="61">
        <v>102</v>
      </c>
      <c r="CF166" s="61">
        <v>24</v>
      </c>
      <c r="CG166" s="61">
        <v>1206</v>
      </c>
      <c r="CH166" s="61">
        <v>1</v>
      </c>
      <c r="CI166" s="61">
        <v>38</v>
      </c>
      <c r="CJ166" s="61">
        <v>179</v>
      </c>
      <c r="CK166" s="61">
        <v>53</v>
      </c>
      <c r="CL166" s="61">
        <v>20</v>
      </c>
      <c r="CM166" s="61">
        <v>8</v>
      </c>
      <c r="CN166" s="61"/>
      <c r="CO166" s="61">
        <v>77</v>
      </c>
      <c r="CP166" s="61">
        <v>1754</v>
      </c>
      <c r="CQ166" s="61">
        <v>169</v>
      </c>
      <c r="CR166" s="61">
        <v>123</v>
      </c>
      <c r="CS166" s="61">
        <v>10</v>
      </c>
      <c r="CT166" s="61">
        <v>29</v>
      </c>
      <c r="CU166" s="61">
        <v>50</v>
      </c>
      <c r="CV166" s="61"/>
      <c r="CW166" s="61">
        <v>5</v>
      </c>
      <c r="CX166" s="61">
        <v>1192</v>
      </c>
      <c r="CY166" s="61">
        <v>801</v>
      </c>
      <c r="CZ166" s="61">
        <v>237</v>
      </c>
      <c r="DA166" s="61">
        <v>240</v>
      </c>
      <c r="DB166" s="61">
        <v>51</v>
      </c>
      <c r="DC166" s="61">
        <v>3</v>
      </c>
      <c r="DD166" s="61">
        <v>2524</v>
      </c>
      <c r="DE166" s="61">
        <v>50</v>
      </c>
      <c r="DF166" s="61">
        <v>2159</v>
      </c>
      <c r="DG166" s="61">
        <v>315</v>
      </c>
      <c r="DH166" s="62" t="s">
        <v>2185</v>
      </c>
      <c r="DI166" s="61">
        <v>188</v>
      </c>
      <c r="DJ166" s="61">
        <v>11</v>
      </c>
      <c r="DK166" s="61">
        <v>3</v>
      </c>
      <c r="DL166" s="61"/>
      <c r="DM166" s="61"/>
      <c r="DN166" s="61">
        <v>9</v>
      </c>
    </row>
    <row r="167" spans="1:118" x14ac:dyDescent="0.25">
      <c r="A167" s="61">
        <v>106301205</v>
      </c>
      <c r="B167" s="62" t="s">
        <v>791</v>
      </c>
      <c r="C167" s="62" t="s">
        <v>792</v>
      </c>
      <c r="D167" s="62" t="s">
        <v>770</v>
      </c>
      <c r="E167" s="62" t="s">
        <v>71</v>
      </c>
      <c r="F167" s="62" t="s">
        <v>2213</v>
      </c>
      <c r="G167" s="62" t="s">
        <v>793</v>
      </c>
      <c r="H167" s="62" t="s">
        <v>794</v>
      </c>
      <c r="I167" s="62" t="s">
        <v>795</v>
      </c>
      <c r="J167" s="62" t="s">
        <v>2186</v>
      </c>
      <c r="K167" s="62"/>
      <c r="L167" s="61">
        <v>48</v>
      </c>
      <c r="M167" s="61">
        <v>74</v>
      </c>
      <c r="N167" s="61">
        <v>37</v>
      </c>
      <c r="O167" s="62" t="s">
        <v>1894</v>
      </c>
      <c r="P167" s="62" t="s">
        <v>68</v>
      </c>
      <c r="Q167" s="62" t="s">
        <v>2167</v>
      </c>
      <c r="R167" s="62" t="s">
        <v>2167</v>
      </c>
      <c r="S167" s="62" t="s">
        <v>69</v>
      </c>
      <c r="T167" s="61">
        <v>52035</v>
      </c>
      <c r="U167" s="61">
        <v>42964</v>
      </c>
      <c r="V167" s="61">
        <v>4</v>
      </c>
      <c r="W167" s="61">
        <v>6408</v>
      </c>
      <c r="X167" s="61">
        <v>7864</v>
      </c>
      <c r="Y167" s="61">
        <v>15346</v>
      </c>
      <c r="Z167" s="61">
        <v>13569</v>
      </c>
      <c r="AA167" s="61">
        <v>12081</v>
      </c>
      <c r="AB167" s="61">
        <v>12029</v>
      </c>
      <c r="AC167" s="61">
        <v>9271</v>
      </c>
      <c r="AD167" s="61">
        <v>7950</v>
      </c>
      <c r="AE167" s="61">
        <v>9472</v>
      </c>
      <c r="AF167" s="61">
        <v>1013</v>
      </c>
      <c r="AG167" s="61"/>
      <c r="AH167" s="61">
        <v>8049</v>
      </c>
      <c r="AI167" s="61">
        <v>2599</v>
      </c>
      <c r="AJ167" s="61">
        <v>12801</v>
      </c>
      <c r="AK167" s="61">
        <v>64</v>
      </c>
      <c r="AL167" s="61">
        <v>821</v>
      </c>
      <c r="AM167" s="61">
        <v>1007</v>
      </c>
      <c r="AN167" s="61">
        <v>69662</v>
      </c>
      <c r="AO167" s="61">
        <v>574</v>
      </c>
      <c r="AP167" s="61">
        <v>1685</v>
      </c>
      <c r="AQ167" s="61">
        <v>132</v>
      </c>
      <c r="AR167" s="61">
        <v>429</v>
      </c>
      <c r="AS167" s="61">
        <v>44</v>
      </c>
      <c r="AT167" s="61">
        <v>20</v>
      </c>
      <c r="AU167" s="61"/>
      <c r="AV167" s="61">
        <v>287</v>
      </c>
      <c r="AW167" s="61">
        <v>967</v>
      </c>
      <c r="AX167" s="61">
        <v>11</v>
      </c>
      <c r="AY167" s="61">
        <v>88368</v>
      </c>
      <c r="AZ167" s="61">
        <v>319</v>
      </c>
      <c r="BA167" s="61">
        <v>339</v>
      </c>
      <c r="BB167" s="61">
        <v>7</v>
      </c>
      <c r="BC167" s="61">
        <v>1793</v>
      </c>
      <c r="BD167" s="61">
        <v>22612</v>
      </c>
      <c r="BE167" s="61">
        <v>18237</v>
      </c>
      <c r="BF167" s="61">
        <v>1506</v>
      </c>
      <c r="BG167" s="61">
        <v>44843</v>
      </c>
      <c r="BH167" s="61">
        <v>7805</v>
      </c>
      <c r="BI167" s="61"/>
      <c r="BJ167" s="61">
        <v>95003</v>
      </c>
      <c r="BK167" s="61">
        <v>4691</v>
      </c>
      <c r="BL167" s="61">
        <v>86331</v>
      </c>
      <c r="BM167" s="61">
        <v>3981</v>
      </c>
      <c r="BN167" s="61">
        <v>8308</v>
      </c>
      <c r="BO167" s="61">
        <v>8157</v>
      </c>
      <c r="BP167" s="61">
        <v>2</v>
      </c>
      <c r="BQ167" s="61">
        <v>148</v>
      </c>
      <c r="BR167" s="61">
        <v>867</v>
      </c>
      <c r="BS167" s="61">
        <v>1127</v>
      </c>
      <c r="BT167" s="61">
        <v>1446</v>
      </c>
      <c r="BU167" s="61">
        <v>2134</v>
      </c>
      <c r="BV167" s="61">
        <v>2563</v>
      </c>
      <c r="BW167" s="61">
        <v>3361</v>
      </c>
      <c r="BX167" s="61">
        <v>4818</v>
      </c>
      <c r="BY167" s="61">
        <v>3</v>
      </c>
      <c r="BZ167" s="61"/>
      <c r="CA167" s="61"/>
      <c r="CB167" s="61">
        <v>1261</v>
      </c>
      <c r="CC167" s="61">
        <v>236</v>
      </c>
      <c r="CD167" s="61">
        <v>1331</v>
      </c>
      <c r="CE167" s="61">
        <v>50</v>
      </c>
      <c r="CF167" s="61">
        <v>41</v>
      </c>
      <c r="CG167" s="61">
        <v>13541</v>
      </c>
      <c r="CH167" s="61">
        <v>7</v>
      </c>
      <c r="CI167" s="61">
        <v>425</v>
      </c>
      <c r="CJ167" s="61">
        <v>212</v>
      </c>
      <c r="CK167" s="61">
        <v>578</v>
      </c>
      <c r="CL167" s="61">
        <v>3133</v>
      </c>
      <c r="CM167" s="61">
        <v>241</v>
      </c>
      <c r="CN167" s="61"/>
      <c r="CO167" s="61">
        <v>11</v>
      </c>
      <c r="CP167" s="61">
        <v>8851</v>
      </c>
      <c r="CQ167" s="61">
        <v>2291</v>
      </c>
      <c r="CR167" s="61">
        <v>6</v>
      </c>
      <c r="CS167" s="61">
        <v>588</v>
      </c>
      <c r="CT167" s="61">
        <v>118</v>
      </c>
      <c r="CU167" s="61">
        <v>1</v>
      </c>
      <c r="CV167" s="61"/>
      <c r="CW167" s="61">
        <v>11</v>
      </c>
      <c r="CX167" s="61">
        <v>1947</v>
      </c>
      <c r="CY167" s="61">
        <v>9525</v>
      </c>
      <c r="CZ167" s="61">
        <v>115</v>
      </c>
      <c r="DA167" s="61">
        <v>4640</v>
      </c>
      <c r="DB167" s="61">
        <v>240</v>
      </c>
      <c r="DC167" s="61"/>
      <c r="DD167" s="61">
        <v>16467</v>
      </c>
      <c r="DE167" s="61">
        <v>875</v>
      </c>
      <c r="DF167" s="61">
        <v>15064</v>
      </c>
      <c r="DG167" s="61">
        <v>528</v>
      </c>
      <c r="DH167" s="62" t="s">
        <v>2185</v>
      </c>
      <c r="DI167" s="61">
        <v>443</v>
      </c>
      <c r="DJ167" s="61">
        <v>56</v>
      </c>
      <c r="DK167" s="61">
        <v>26</v>
      </c>
      <c r="DL167" s="61">
        <v>2</v>
      </c>
      <c r="DM167" s="61">
        <v>1</v>
      </c>
      <c r="DN167" s="61"/>
    </row>
    <row r="168" spans="1:118" x14ac:dyDescent="0.25">
      <c r="A168" s="61">
        <v>106301209</v>
      </c>
      <c r="B168" s="62" t="s">
        <v>796</v>
      </c>
      <c r="C168" s="62" t="s">
        <v>797</v>
      </c>
      <c r="D168" s="62" t="s">
        <v>770</v>
      </c>
      <c r="E168" s="62" t="s">
        <v>71</v>
      </c>
      <c r="F168" s="62" t="s">
        <v>2213</v>
      </c>
      <c r="G168" s="62" t="s">
        <v>798</v>
      </c>
      <c r="H168" s="62" t="s">
        <v>799</v>
      </c>
      <c r="I168" s="62" t="s">
        <v>800</v>
      </c>
      <c r="J168" s="62" t="s">
        <v>2189</v>
      </c>
      <c r="K168" s="62"/>
      <c r="L168" s="61">
        <v>48</v>
      </c>
      <c r="M168" s="61">
        <v>72</v>
      </c>
      <c r="N168" s="61">
        <v>34</v>
      </c>
      <c r="O168" s="62" t="s">
        <v>1895</v>
      </c>
      <c r="P168" s="62" t="s">
        <v>68</v>
      </c>
      <c r="Q168" s="62" t="s">
        <v>2167</v>
      </c>
      <c r="R168" s="62" t="s">
        <v>2167</v>
      </c>
      <c r="S168" s="62" t="s">
        <v>69</v>
      </c>
      <c r="T168" s="61">
        <v>7520</v>
      </c>
      <c r="U168" s="61">
        <v>8169</v>
      </c>
      <c r="V168" s="61"/>
      <c r="W168" s="61">
        <v>1181</v>
      </c>
      <c r="X168" s="61">
        <v>1691</v>
      </c>
      <c r="Y168" s="61">
        <v>3355</v>
      </c>
      <c r="Z168" s="61">
        <v>2733</v>
      </c>
      <c r="AA168" s="61">
        <v>2335</v>
      </c>
      <c r="AB168" s="61">
        <v>2206</v>
      </c>
      <c r="AC168" s="61">
        <v>1010</v>
      </c>
      <c r="AD168" s="61">
        <v>570</v>
      </c>
      <c r="AE168" s="61">
        <v>480</v>
      </c>
      <c r="AF168" s="61">
        <v>127</v>
      </c>
      <c r="AG168" s="61">
        <v>1</v>
      </c>
      <c r="AH168" s="61">
        <v>932</v>
      </c>
      <c r="AI168" s="61">
        <v>524</v>
      </c>
      <c r="AJ168" s="61">
        <v>3452</v>
      </c>
      <c r="AK168" s="61">
        <v>15</v>
      </c>
      <c r="AL168" s="61">
        <v>819</v>
      </c>
      <c r="AM168" s="61">
        <v>166</v>
      </c>
      <c r="AN168" s="61">
        <v>9781</v>
      </c>
      <c r="AO168" s="61">
        <v>266</v>
      </c>
      <c r="AP168" s="61">
        <v>580</v>
      </c>
      <c r="AQ168" s="61">
        <v>59</v>
      </c>
      <c r="AR168" s="61"/>
      <c r="AS168" s="61">
        <v>2</v>
      </c>
      <c r="AT168" s="61">
        <v>4</v>
      </c>
      <c r="AU168" s="61"/>
      <c r="AV168" s="61">
        <v>155</v>
      </c>
      <c r="AW168" s="61">
        <v>299</v>
      </c>
      <c r="AX168" s="61">
        <v>36</v>
      </c>
      <c r="AY168" s="61">
        <v>14051</v>
      </c>
      <c r="AZ168" s="61">
        <v>36</v>
      </c>
      <c r="BA168" s="61">
        <v>7</v>
      </c>
      <c r="BB168" s="61">
        <v>14</v>
      </c>
      <c r="BC168" s="61">
        <v>151</v>
      </c>
      <c r="BD168" s="61">
        <v>7152</v>
      </c>
      <c r="BE168" s="61">
        <v>1313</v>
      </c>
      <c r="BF168" s="61">
        <v>307</v>
      </c>
      <c r="BG168" s="61">
        <v>4751</v>
      </c>
      <c r="BH168" s="61">
        <v>2166</v>
      </c>
      <c r="BI168" s="61"/>
      <c r="BJ168" s="61">
        <v>15689</v>
      </c>
      <c r="BK168" s="61">
        <v>191</v>
      </c>
      <c r="BL168" s="61">
        <v>14784</v>
      </c>
      <c r="BM168" s="61">
        <v>714</v>
      </c>
      <c r="BN168" s="61">
        <v>1411</v>
      </c>
      <c r="BO168" s="61">
        <v>1515</v>
      </c>
      <c r="BP168" s="61"/>
      <c r="BQ168" s="61">
        <v>26</v>
      </c>
      <c r="BR168" s="61">
        <v>176</v>
      </c>
      <c r="BS168" s="61">
        <v>261</v>
      </c>
      <c r="BT168" s="61">
        <v>377</v>
      </c>
      <c r="BU168" s="61">
        <v>522</v>
      </c>
      <c r="BV168" s="61">
        <v>503</v>
      </c>
      <c r="BW168" s="61">
        <v>484</v>
      </c>
      <c r="BX168" s="61">
        <v>577</v>
      </c>
      <c r="BY168" s="61"/>
      <c r="BZ168" s="61"/>
      <c r="CA168" s="61"/>
      <c r="CB168" s="61">
        <v>350</v>
      </c>
      <c r="CC168" s="61">
        <v>85</v>
      </c>
      <c r="CD168" s="61">
        <v>392</v>
      </c>
      <c r="CE168" s="61">
        <v>137</v>
      </c>
      <c r="CF168" s="61">
        <v>24</v>
      </c>
      <c r="CG168" s="61">
        <v>1935</v>
      </c>
      <c r="CH168" s="61">
        <v>3</v>
      </c>
      <c r="CI168" s="61">
        <v>53</v>
      </c>
      <c r="CJ168" s="61">
        <v>432</v>
      </c>
      <c r="CK168" s="61">
        <v>79</v>
      </c>
      <c r="CL168" s="61">
        <v>178</v>
      </c>
      <c r="CM168" s="61">
        <v>5</v>
      </c>
      <c r="CN168" s="61"/>
      <c r="CO168" s="61">
        <v>44</v>
      </c>
      <c r="CP168" s="61">
        <v>1673</v>
      </c>
      <c r="CQ168" s="61">
        <v>261</v>
      </c>
      <c r="CR168" s="61">
        <v>4</v>
      </c>
      <c r="CS168" s="61">
        <v>47</v>
      </c>
      <c r="CT168" s="61">
        <v>44</v>
      </c>
      <c r="CU168" s="61">
        <v>79</v>
      </c>
      <c r="CV168" s="61">
        <v>3</v>
      </c>
      <c r="CW168" s="61">
        <v>19</v>
      </c>
      <c r="CX168" s="61">
        <v>852</v>
      </c>
      <c r="CY168" s="61">
        <v>1576</v>
      </c>
      <c r="CZ168" s="61">
        <v>36</v>
      </c>
      <c r="DA168" s="61">
        <v>334</v>
      </c>
      <c r="DB168" s="61">
        <v>128</v>
      </c>
      <c r="DC168" s="61"/>
      <c r="DD168" s="61">
        <v>2926</v>
      </c>
      <c r="DE168" s="61">
        <v>117</v>
      </c>
      <c r="DF168" s="61">
        <v>2665</v>
      </c>
      <c r="DG168" s="61">
        <v>144</v>
      </c>
      <c r="DH168" s="62" t="s">
        <v>2185</v>
      </c>
      <c r="DI168" s="61">
        <v>131</v>
      </c>
      <c r="DJ168" s="61">
        <v>12</v>
      </c>
      <c r="DK168" s="61">
        <v>22</v>
      </c>
      <c r="DL168" s="61">
        <v>7</v>
      </c>
      <c r="DM168" s="61">
        <v>1</v>
      </c>
      <c r="DN168" s="61">
        <v>4</v>
      </c>
    </row>
    <row r="169" spans="1:118" x14ac:dyDescent="0.25">
      <c r="A169" s="61">
        <v>106301234</v>
      </c>
      <c r="B169" s="62" t="s">
        <v>801</v>
      </c>
      <c r="C169" s="62" t="s">
        <v>802</v>
      </c>
      <c r="D169" s="62" t="s">
        <v>770</v>
      </c>
      <c r="E169" s="62" t="s">
        <v>321</v>
      </c>
      <c r="F169" s="62" t="s">
        <v>2213</v>
      </c>
      <c r="G169" s="62" t="s">
        <v>803</v>
      </c>
      <c r="H169" s="62" t="s">
        <v>804</v>
      </c>
      <c r="I169" s="62" t="s">
        <v>805</v>
      </c>
      <c r="J169" s="62" t="s">
        <v>2189</v>
      </c>
      <c r="K169" s="62"/>
      <c r="L169" s="61">
        <v>38</v>
      </c>
      <c r="M169" s="61">
        <v>65</v>
      </c>
      <c r="N169" s="61">
        <v>29</v>
      </c>
      <c r="O169" s="62" t="s">
        <v>1896</v>
      </c>
      <c r="P169" s="62" t="s">
        <v>68</v>
      </c>
      <c r="Q169" s="62" t="s">
        <v>2167</v>
      </c>
      <c r="R169" s="62" t="s">
        <v>2167</v>
      </c>
      <c r="S169" s="62" t="s">
        <v>69</v>
      </c>
      <c r="T169" s="61">
        <v>7598</v>
      </c>
      <c r="U169" s="61">
        <v>6103</v>
      </c>
      <c r="V169" s="61"/>
      <c r="W169" s="61">
        <v>1622</v>
      </c>
      <c r="X169" s="61">
        <v>1658</v>
      </c>
      <c r="Y169" s="61">
        <v>2263</v>
      </c>
      <c r="Z169" s="61">
        <v>2059</v>
      </c>
      <c r="AA169" s="61">
        <v>1744</v>
      </c>
      <c r="AB169" s="61">
        <v>1743</v>
      </c>
      <c r="AC169" s="61">
        <v>977</v>
      </c>
      <c r="AD169" s="61">
        <v>666</v>
      </c>
      <c r="AE169" s="61">
        <v>673</v>
      </c>
      <c r="AF169" s="61">
        <v>296</v>
      </c>
      <c r="AG169" s="61"/>
      <c r="AH169" s="61">
        <v>2683</v>
      </c>
      <c r="AI169" s="61">
        <v>1586</v>
      </c>
      <c r="AJ169" s="61">
        <v>4348</v>
      </c>
      <c r="AK169" s="61">
        <v>23</v>
      </c>
      <c r="AL169" s="61">
        <v>339</v>
      </c>
      <c r="AM169" s="61">
        <v>72</v>
      </c>
      <c r="AN169" s="61">
        <v>4650</v>
      </c>
      <c r="AO169" s="61">
        <v>265</v>
      </c>
      <c r="AP169" s="61">
        <v>727</v>
      </c>
      <c r="AQ169" s="61">
        <v>25</v>
      </c>
      <c r="AR169" s="61"/>
      <c r="AS169" s="61">
        <v>7</v>
      </c>
      <c r="AT169" s="61"/>
      <c r="AU169" s="61"/>
      <c r="AV169" s="61">
        <v>42</v>
      </c>
      <c r="AW169" s="61">
        <v>106</v>
      </c>
      <c r="AX169" s="61">
        <v>27</v>
      </c>
      <c r="AY169" s="61">
        <v>12208</v>
      </c>
      <c r="AZ169" s="61">
        <v>90</v>
      </c>
      <c r="BA169" s="61">
        <v>11</v>
      </c>
      <c r="BB169" s="61">
        <v>4</v>
      </c>
      <c r="BC169" s="61">
        <v>167</v>
      </c>
      <c r="BD169" s="61">
        <v>6160</v>
      </c>
      <c r="BE169" s="61">
        <v>1516</v>
      </c>
      <c r="BF169" s="61">
        <v>177</v>
      </c>
      <c r="BG169" s="61">
        <v>4430</v>
      </c>
      <c r="BH169" s="61">
        <v>1378</v>
      </c>
      <c r="BI169" s="61">
        <v>40</v>
      </c>
      <c r="BJ169" s="61">
        <v>13701</v>
      </c>
      <c r="BK169" s="61">
        <v>404</v>
      </c>
      <c r="BL169" s="61">
        <v>12560</v>
      </c>
      <c r="BM169" s="61">
        <v>737</v>
      </c>
      <c r="BN169" s="61">
        <v>1808</v>
      </c>
      <c r="BO169" s="61">
        <v>1407</v>
      </c>
      <c r="BP169" s="61"/>
      <c r="BQ169" s="61">
        <v>42</v>
      </c>
      <c r="BR169" s="61">
        <v>224</v>
      </c>
      <c r="BS169" s="61">
        <v>271</v>
      </c>
      <c r="BT169" s="61">
        <v>281</v>
      </c>
      <c r="BU169" s="61">
        <v>523</v>
      </c>
      <c r="BV169" s="61">
        <v>545</v>
      </c>
      <c r="BW169" s="61">
        <v>565</v>
      </c>
      <c r="BX169" s="61">
        <v>762</v>
      </c>
      <c r="BY169" s="61">
        <v>2</v>
      </c>
      <c r="BZ169" s="61"/>
      <c r="CA169" s="61"/>
      <c r="CB169" s="61">
        <v>855</v>
      </c>
      <c r="CC169" s="61">
        <v>308</v>
      </c>
      <c r="CD169" s="61">
        <v>805</v>
      </c>
      <c r="CE169" s="61">
        <v>55</v>
      </c>
      <c r="CF169" s="61">
        <v>15</v>
      </c>
      <c r="CG169" s="61">
        <v>1177</v>
      </c>
      <c r="CH169" s="61"/>
      <c r="CI169" s="61">
        <v>84</v>
      </c>
      <c r="CJ169" s="61">
        <v>464</v>
      </c>
      <c r="CK169" s="61">
        <v>84</v>
      </c>
      <c r="CL169" s="61">
        <v>187</v>
      </c>
      <c r="CM169" s="61">
        <v>3</v>
      </c>
      <c r="CN169" s="61"/>
      <c r="CO169" s="61">
        <v>38</v>
      </c>
      <c r="CP169" s="61">
        <v>1726</v>
      </c>
      <c r="CQ169" s="61">
        <v>451</v>
      </c>
      <c r="CR169" s="61"/>
      <c r="CS169" s="61">
        <v>45</v>
      </c>
      <c r="CT169" s="61">
        <v>12</v>
      </c>
      <c r="CU169" s="61">
        <v>91</v>
      </c>
      <c r="CV169" s="61">
        <v>3</v>
      </c>
      <c r="CW169" s="61">
        <v>24</v>
      </c>
      <c r="CX169" s="61">
        <v>905</v>
      </c>
      <c r="CY169" s="61">
        <v>1884</v>
      </c>
      <c r="CZ169" s="61">
        <v>25</v>
      </c>
      <c r="DA169" s="61">
        <v>313</v>
      </c>
      <c r="DB169" s="61">
        <v>88</v>
      </c>
      <c r="DC169" s="61"/>
      <c r="DD169" s="61">
        <v>3215</v>
      </c>
      <c r="DE169" s="61">
        <v>332</v>
      </c>
      <c r="DF169" s="61">
        <v>2640</v>
      </c>
      <c r="DG169" s="61">
        <v>243</v>
      </c>
      <c r="DH169" s="62" t="s">
        <v>2185</v>
      </c>
      <c r="DI169" s="61">
        <v>141</v>
      </c>
      <c r="DJ169" s="61">
        <v>10</v>
      </c>
      <c r="DK169" s="61"/>
      <c r="DL169" s="61">
        <v>22</v>
      </c>
      <c r="DM169" s="61"/>
      <c r="DN169" s="61">
        <v>3</v>
      </c>
    </row>
    <row r="170" spans="1:118" x14ac:dyDescent="0.25">
      <c r="A170" s="61">
        <v>106301248</v>
      </c>
      <c r="B170" s="62" t="s">
        <v>806</v>
      </c>
      <c r="C170" s="62" t="s">
        <v>807</v>
      </c>
      <c r="D170" s="62" t="s">
        <v>770</v>
      </c>
      <c r="E170" s="62" t="s">
        <v>184</v>
      </c>
      <c r="F170" s="62" t="s">
        <v>2213</v>
      </c>
      <c r="G170" s="62" t="s">
        <v>808</v>
      </c>
      <c r="H170" s="62" t="s">
        <v>809</v>
      </c>
      <c r="I170" s="62" t="s">
        <v>810</v>
      </c>
      <c r="J170" s="62" t="s">
        <v>2187</v>
      </c>
      <c r="K170" s="62"/>
      <c r="L170" s="61">
        <v>47</v>
      </c>
      <c r="M170" s="61">
        <v>72</v>
      </c>
      <c r="N170" s="61">
        <v>34</v>
      </c>
      <c r="O170" s="62" t="s">
        <v>1897</v>
      </c>
      <c r="P170" s="62" t="s">
        <v>68</v>
      </c>
      <c r="Q170" s="62" t="s">
        <v>2167</v>
      </c>
      <c r="R170" s="62" t="s">
        <v>2167</v>
      </c>
      <c r="S170" s="62" t="s">
        <v>69</v>
      </c>
      <c r="T170" s="61">
        <v>15120</v>
      </c>
      <c r="U170" s="61">
        <v>11274</v>
      </c>
      <c r="V170" s="61">
        <v>1</v>
      </c>
      <c r="W170" s="61">
        <v>2150</v>
      </c>
      <c r="X170" s="61">
        <v>2196</v>
      </c>
      <c r="Y170" s="61">
        <v>3506</v>
      </c>
      <c r="Z170" s="61">
        <v>2963</v>
      </c>
      <c r="AA170" s="61">
        <v>3107</v>
      </c>
      <c r="AB170" s="61">
        <v>3209</v>
      </c>
      <c r="AC170" s="61">
        <v>2537</v>
      </c>
      <c r="AD170" s="61">
        <v>2533</v>
      </c>
      <c r="AE170" s="61">
        <v>3814</v>
      </c>
      <c r="AF170" s="61">
        <v>380</v>
      </c>
      <c r="AG170" s="61"/>
      <c r="AH170" s="61">
        <v>2095</v>
      </c>
      <c r="AI170" s="61">
        <v>1317</v>
      </c>
      <c r="AJ170" s="61">
        <v>5368</v>
      </c>
      <c r="AK170" s="61">
        <v>19</v>
      </c>
      <c r="AL170" s="61">
        <v>226</v>
      </c>
      <c r="AM170" s="61">
        <v>79</v>
      </c>
      <c r="AN170" s="61">
        <v>17291</v>
      </c>
      <c r="AO170" s="61">
        <v>422</v>
      </c>
      <c r="AP170" s="61">
        <v>484</v>
      </c>
      <c r="AQ170" s="61">
        <v>64</v>
      </c>
      <c r="AR170" s="61">
        <v>155</v>
      </c>
      <c r="AS170" s="61">
        <v>22</v>
      </c>
      <c r="AT170" s="61">
        <v>2</v>
      </c>
      <c r="AU170" s="61"/>
      <c r="AV170" s="61"/>
      <c r="AW170" s="61">
        <v>50</v>
      </c>
      <c r="AX170" s="61"/>
      <c r="AY170" s="61">
        <v>24550</v>
      </c>
      <c r="AZ170" s="61">
        <v>479</v>
      </c>
      <c r="BA170" s="61">
        <v>154</v>
      </c>
      <c r="BB170" s="61"/>
      <c r="BC170" s="61"/>
      <c r="BD170" s="61">
        <v>3881</v>
      </c>
      <c r="BE170" s="61">
        <v>7958</v>
      </c>
      <c r="BF170" s="61">
        <v>891</v>
      </c>
      <c r="BG170" s="61">
        <v>11335</v>
      </c>
      <c r="BH170" s="61">
        <v>2330</v>
      </c>
      <c r="BI170" s="61"/>
      <c r="BJ170" s="61">
        <v>26395</v>
      </c>
      <c r="BK170" s="61">
        <v>113</v>
      </c>
      <c r="BL170" s="61">
        <v>25709</v>
      </c>
      <c r="BM170" s="61">
        <v>573</v>
      </c>
      <c r="BN170" s="61">
        <v>3137</v>
      </c>
      <c r="BO170" s="61">
        <v>2736</v>
      </c>
      <c r="BP170" s="61"/>
      <c r="BQ170" s="61">
        <v>30</v>
      </c>
      <c r="BR170" s="61">
        <v>224</v>
      </c>
      <c r="BS170" s="61">
        <v>228</v>
      </c>
      <c r="BT170" s="61">
        <v>399</v>
      </c>
      <c r="BU170" s="61">
        <v>700</v>
      </c>
      <c r="BV170" s="61">
        <v>979</v>
      </c>
      <c r="BW170" s="61">
        <v>1254</v>
      </c>
      <c r="BX170" s="61">
        <v>2059</v>
      </c>
      <c r="BY170" s="61"/>
      <c r="BZ170" s="61"/>
      <c r="CA170" s="61"/>
      <c r="CB170" s="61">
        <v>513</v>
      </c>
      <c r="CC170" s="61">
        <v>206</v>
      </c>
      <c r="CD170" s="61">
        <v>700</v>
      </c>
      <c r="CE170" s="61">
        <v>48</v>
      </c>
      <c r="CF170" s="61">
        <v>16</v>
      </c>
      <c r="CG170" s="61">
        <v>4390</v>
      </c>
      <c r="CH170" s="61"/>
      <c r="CI170" s="61">
        <v>261</v>
      </c>
      <c r="CJ170" s="61">
        <v>119</v>
      </c>
      <c r="CK170" s="61">
        <v>210</v>
      </c>
      <c r="CL170" s="61">
        <v>979</v>
      </c>
      <c r="CM170" s="61">
        <v>58</v>
      </c>
      <c r="CN170" s="61"/>
      <c r="CO170" s="61">
        <v>47</v>
      </c>
      <c r="CP170" s="61">
        <v>2588</v>
      </c>
      <c r="CQ170" s="61">
        <v>1340</v>
      </c>
      <c r="CR170" s="61"/>
      <c r="CS170" s="61">
        <v>203</v>
      </c>
      <c r="CT170" s="61">
        <v>64</v>
      </c>
      <c r="CU170" s="61"/>
      <c r="CV170" s="61"/>
      <c r="CW170" s="61">
        <v>4</v>
      </c>
      <c r="CX170" s="61">
        <v>342</v>
      </c>
      <c r="CY170" s="61">
        <v>3328</v>
      </c>
      <c r="CZ170" s="61">
        <v>767</v>
      </c>
      <c r="DA170" s="61">
        <v>1411</v>
      </c>
      <c r="DB170" s="61">
        <v>25</v>
      </c>
      <c r="DC170" s="61"/>
      <c r="DD170" s="61">
        <v>5873</v>
      </c>
      <c r="DE170" s="61">
        <v>58</v>
      </c>
      <c r="DF170" s="61">
        <v>5709</v>
      </c>
      <c r="DG170" s="61">
        <v>106</v>
      </c>
      <c r="DH170" s="62" t="s">
        <v>2185</v>
      </c>
      <c r="DI170" s="61">
        <v>167</v>
      </c>
      <c r="DJ170" s="61">
        <v>20</v>
      </c>
      <c r="DK170" s="61">
        <v>13</v>
      </c>
      <c r="DL170" s="61"/>
      <c r="DM170" s="61"/>
      <c r="DN170" s="61"/>
    </row>
    <row r="171" spans="1:118" x14ac:dyDescent="0.25">
      <c r="A171" s="61">
        <v>106301258</v>
      </c>
      <c r="B171" s="62" t="s">
        <v>811</v>
      </c>
      <c r="C171" s="62" t="s">
        <v>2065</v>
      </c>
      <c r="D171" s="62" t="s">
        <v>770</v>
      </c>
      <c r="E171" s="62" t="s">
        <v>184</v>
      </c>
      <c r="F171" s="62" t="s">
        <v>2213</v>
      </c>
      <c r="G171" s="62" t="s">
        <v>812</v>
      </c>
      <c r="H171" s="62" t="s">
        <v>813</v>
      </c>
      <c r="I171" s="62" t="s">
        <v>814</v>
      </c>
      <c r="J171" s="62" t="s">
        <v>2187</v>
      </c>
      <c r="K171" s="62"/>
      <c r="L171" s="61">
        <v>46</v>
      </c>
      <c r="M171" s="61">
        <v>69</v>
      </c>
      <c r="N171" s="61">
        <v>34</v>
      </c>
      <c r="O171" s="62" t="s">
        <v>1898</v>
      </c>
      <c r="P171" s="62" t="s">
        <v>68</v>
      </c>
      <c r="Q171" s="62" t="s">
        <v>2167</v>
      </c>
      <c r="R171" s="62" t="s">
        <v>2167</v>
      </c>
      <c r="S171" s="62" t="s">
        <v>69</v>
      </c>
      <c r="T171" s="61">
        <v>10421</v>
      </c>
      <c r="U171" s="61">
        <v>8424</v>
      </c>
      <c r="V171" s="61"/>
      <c r="W171" s="61">
        <v>2809</v>
      </c>
      <c r="X171" s="61">
        <v>2693</v>
      </c>
      <c r="Y171" s="61">
        <v>3616</v>
      </c>
      <c r="Z171" s="61">
        <v>3219</v>
      </c>
      <c r="AA171" s="61">
        <v>2510</v>
      </c>
      <c r="AB171" s="61">
        <v>1875</v>
      </c>
      <c r="AC171" s="61">
        <v>923</v>
      </c>
      <c r="AD171" s="61">
        <v>462</v>
      </c>
      <c r="AE171" s="61">
        <v>284</v>
      </c>
      <c r="AF171" s="61">
        <v>454</v>
      </c>
      <c r="AG171" s="61"/>
      <c r="AH171" s="61">
        <v>303</v>
      </c>
      <c r="AI171" s="61">
        <v>341</v>
      </c>
      <c r="AJ171" s="61">
        <v>16058</v>
      </c>
      <c r="AK171" s="61">
        <v>7</v>
      </c>
      <c r="AL171" s="61">
        <v>127</v>
      </c>
      <c r="AM171" s="61">
        <v>3</v>
      </c>
      <c r="AN171" s="61">
        <v>2006</v>
      </c>
      <c r="AO171" s="61">
        <v>236</v>
      </c>
      <c r="AP171" s="61">
        <v>255</v>
      </c>
      <c r="AQ171" s="61">
        <v>22</v>
      </c>
      <c r="AR171" s="61">
        <v>1</v>
      </c>
      <c r="AS171" s="61">
        <v>18</v>
      </c>
      <c r="AT171" s="61">
        <v>2</v>
      </c>
      <c r="AU171" s="61"/>
      <c r="AV171" s="61">
        <v>22</v>
      </c>
      <c r="AW171" s="61">
        <v>105</v>
      </c>
      <c r="AX171" s="61">
        <v>4</v>
      </c>
      <c r="AY171" s="61">
        <v>18074</v>
      </c>
      <c r="AZ171" s="61">
        <v>37</v>
      </c>
      <c r="BA171" s="61">
        <v>26</v>
      </c>
      <c r="BB171" s="61">
        <v>9</v>
      </c>
      <c r="BC171" s="61">
        <v>25</v>
      </c>
      <c r="BD171" s="61">
        <v>3689</v>
      </c>
      <c r="BE171" s="61">
        <v>1134</v>
      </c>
      <c r="BF171" s="61">
        <v>423</v>
      </c>
      <c r="BG171" s="61">
        <v>11130</v>
      </c>
      <c r="BH171" s="61">
        <v>2467</v>
      </c>
      <c r="BI171" s="61">
        <v>2</v>
      </c>
      <c r="BJ171" s="61">
        <v>18845</v>
      </c>
      <c r="BK171" s="61">
        <v>66</v>
      </c>
      <c r="BL171" s="61">
        <v>8471</v>
      </c>
      <c r="BM171" s="61">
        <v>10308</v>
      </c>
      <c r="BN171" s="61">
        <v>794</v>
      </c>
      <c r="BO171" s="61">
        <v>771</v>
      </c>
      <c r="BP171" s="61"/>
      <c r="BQ171" s="61">
        <v>28</v>
      </c>
      <c r="BR171" s="61">
        <v>132</v>
      </c>
      <c r="BS171" s="61">
        <v>188</v>
      </c>
      <c r="BT171" s="61">
        <v>215</v>
      </c>
      <c r="BU171" s="61">
        <v>295</v>
      </c>
      <c r="BV171" s="61">
        <v>262</v>
      </c>
      <c r="BW171" s="61">
        <v>207</v>
      </c>
      <c r="BX171" s="61">
        <v>237</v>
      </c>
      <c r="BY171" s="61"/>
      <c r="BZ171" s="61">
        <v>1</v>
      </c>
      <c r="CA171" s="61"/>
      <c r="CB171" s="61">
        <v>102</v>
      </c>
      <c r="CC171" s="61">
        <v>27</v>
      </c>
      <c r="CD171" s="61">
        <v>1043</v>
      </c>
      <c r="CE171" s="61">
        <v>17</v>
      </c>
      <c r="CF171" s="61">
        <v>1</v>
      </c>
      <c r="CG171" s="61">
        <v>374</v>
      </c>
      <c r="CH171" s="61">
        <v>1</v>
      </c>
      <c r="CI171" s="61">
        <v>102</v>
      </c>
      <c r="CJ171" s="61">
        <v>47</v>
      </c>
      <c r="CK171" s="61">
        <v>36</v>
      </c>
      <c r="CL171" s="61">
        <v>62</v>
      </c>
      <c r="CM171" s="61">
        <v>5</v>
      </c>
      <c r="CN171" s="61"/>
      <c r="CO171" s="61">
        <v>31</v>
      </c>
      <c r="CP171" s="61">
        <v>896</v>
      </c>
      <c r="CQ171" s="61">
        <v>338</v>
      </c>
      <c r="CR171" s="61">
        <v>1</v>
      </c>
      <c r="CS171" s="61">
        <v>6</v>
      </c>
      <c r="CT171" s="61">
        <v>28</v>
      </c>
      <c r="CU171" s="61"/>
      <c r="CV171" s="61"/>
      <c r="CW171" s="61">
        <v>4</v>
      </c>
      <c r="CX171" s="61">
        <v>796</v>
      </c>
      <c r="CY171" s="61">
        <v>602</v>
      </c>
      <c r="CZ171" s="61">
        <v>7</v>
      </c>
      <c r="DA171" s="61">
        <v>115</v>
      </c>
      <c r="DB171" s="61">
        <v>45</v>
      </c>
      <c r="DC171" s="61"/>
      <c r="DD171" s="61">
        <v>1565</v>
      </c>
      <c r="DE171" s="61">
        <v>55</v>
      </c>
      <c r="DF171" s="61">
        <v>730</v>
      </c>
      <c r="DG171" s="61">
        <v>780</v>
      </c>
      <c r="DH171" s="62" t="s">
        <v>2185</v>
      </c>
      <c r="DI171" s="61">
        <v>178</v>
      </c>
      <c r="DJ171" s="61">
        <v>10</v>
      </c>
      <c r="DK171" s="61">
        <v>9</v>
      </c>
      <c r="DL171" s="61"/>
      <c r="DM171" s="61"/>
      <c r="DN171" s="61">
        <v>9</v>
      </c>
    </row>
    <row r="172" spans="1:118" x14ac:dyDescent="0.25">
      <c r="A172" s="61">
        <v>106301262</v>
      </c>
      <c r="B172" s="62" t="s">
        <v>815</v>
      </c>
      <c r="C172" s="62" t="s">
        <v>816</v>
      </c>
      <c r="D172" s="62" t="s">
        <v>770</v>
      </c>
      <c r="E172" s="62" t="s">
        <v>71</v>
      </c>
      <c r="F172" s="62" t="s">
        <v>2213</v>
      </c>
      <c r="G172" s="62" t="s">
        <v>817</v>
      </c>
      <c r="H172" s="62" t="s">
        <v>818</v>
      </c>
      <c r="I172" s="62" t="s">
        <v>819</v>
      </c>
      <c r="J172" s="62" t="s">
        <v>2186</v>
      </c>
      <c r="K172" s="62" t="s">
        <v>82</v>
      </c>
      <c r="L172" s="61">
        <v>45</v>
      </c>
      <c r="M172" s="61">
        <v>73</v>
      </c>
      <c r="N172" s="61">
        <v>36</v>
      </c>
      <c r="O172" s="62" t="s">
        <v>1899</v>
      </c>
      <c r="P172" s="62" t="s">
        <v>68</v>
      </c>
      <c r="Q172" s="62" t="s">
        <v>2167</v>
      </c>
      <c r="R172" s="62" t="s">
        <v>2167</v>
      </c>
      <c r="S172" s="62" t="s">
        <v>69</v>
      </c>
      <c r="T172" s="61">
        <v>20604</v>
      </c>
      <c r="U172" s="61">
        <v>15231</v>
      </c>
      <c r="V172" s="61">
        <v>2</v>
      </c>
      <c r="W172" s="61">
        <v>2</v>
      </c>
      <c r="X172" s="61">
        <v>1459</v>
      </c>
      <c r="Y172" s="61">
        <v>6583</v>
      </c>
      <c r="Z172" s="61">
        <v>5126</v>
      </c>
      <c r="AA172" s="61">
        <v>5582</v>
      </c>
      <c r="AB172" s="61">
        <v>5667</v>
      </c>
      <c r="AC172" s="61">
        <v>4168</v>
      </c>
      <c r="AD172" s="61">
        <v>3222</v>
      </c>
      <c r="AE172" s="61">
        <v>4025</v>
      </c>
      <c r="AF172" s="61">
        <v>3</v>
      </c>
      <c r="AG172" s="61"/>
      <c r="AH172" s="61">
        <v>1214</v>
      </c>
      <c r="AI172" s="61">
        <v>748</v>
      </c>
      <c r="AJ172" s="61">
        <v>5282</v>
      </c>
      <c r="AK172" s="61">
        <v>8</v>
      </c>
      <c r="AL172" s="61">
        <v>2994</v>
      </c>
      <c r="AM172" s="61">
        <v>194</v>
      </c>
      <c r="AN172" s="61">
        <v>25397</v>
      </c>
      <c r="AO172" s="61">
        <v>489</v>
      </c>
      <c r="AP172" s="61">
        <v>857</v>
      </c>
      <c r="AQ172" s="61">
        <v>74</v>
      </c>
      <c r="AR172" s="61">
        <v>489</v>
      </c>
      <c r="AS172" s="61">
        <v>53</v>
      </c>
      <c r="AT172" s="61">
        <v>5</v>
      </c>
      <c r="AU172" s="61"/>
      <c r="AV172" s="61">
        <v>46</v>
      </c>
      <c r="AW172" s="61">
        <v>195</v>
      </c>
      <c r="AX172" s="61">
        <v>6</v>
      </c>
      <c r="AY172" s="61">
        <v>33412</v>
      </c>
      <c r="AZ172" s="61">
        <v>178</v>
      </c>
      <c r="BA172" s="61">
        <v>1</v>
      </c>
      <c r="BB172" s="61"/>
      <c r="BC172" s="61">
        <v>32</v>
      </c>
      <c r="BD172" s="61">
        <v>9061</v>
      </c>
      <c r="BE172" s="61">
        <v>10090</v>
      </c>
      <c r="BF172" s="61">
        <v>906</v>
      </c>
      <c r="BG172" s="61">
        <v>12823</v>
      </c>
      <c r="BH172" s="61">
        <v>2957</v>
      </c>
      <c r="BI172" s="61"/>
      <c r="BJ172" s="61">
        <v>35837</v>
      </c>
      <c r="BK172" s="61">
        <v>368</v>
      </c>
      <c r="BL172" s="61">
        <v>33346</v>
      </c>
      <c r="BM172" s="61">
        <v>2123</v>
      </c>
      <c r="BN172" s="61">
        <v>5337</v>
      </c>
      <c r="BO172" s="61">
        <v>5194</v>
      </c>
      <c r="BP172" s="61">
        <v>1</v>
      </c>
      <c r="BQ172" s="61">
        <v>102</v>
      </c>
      <c r="BR172" s="61">
        <v>665</v>
      </c>
      <c r="BS172" s="61">
        <v>615</v>
      </c>
      <c r="BT172" s="61">
        <v>1003</v>
      </c>
      <c r="BU172" s="61">
        <v>1484</v>
      </c>
      <c r="BV172" s="61">
        <v>1723</v>
      </c>
      <c r="BW172" s="61">
        <v>1881</v>
      </c>
      <c r="BX172" s="61">
        <v>3059</v>
      </c>
      <c r="BY172" s="61"/>
      <c r="BZ172" s="61"/>
      <c r="CA172" s="61"/>
      <c r="CB172" s="61">
        <v>389</v>
      </c>
      <c r="CC172" s="61">
        <v>143</v>
      </c>
      <c r="CD172" s="61">
        <v>1017</v>
      </c>
      <c r="CE172" s="61">
        <v>736</v>
      </c>
      <c r="CF172" s="61">
        <v>41</v>
      </c>
      <c r="CG172" s="61">
        <v>8202</v>
      </c>
      <c r="CH172" s="61">
        <v>4</v>
      </c>
      <c r="CI172" s="61">
        <v>51</v>
      </c>
      <c r="CJ172" s="61">
        <v>134</v>
      </c>
      <c r="CK172" s="61">
        <v>373</v>
      </c>
      <c r="CL172" s="61">
        <v>2115</v>
      </c>
      <c r="CM172" s="61">
        <v>233</v>
      </c>
      <c r="CN172" s="61"/>
      <c r="CO172" s="61">
        <v>9</v>
      </c>
      <c r="CP172" s="61">
        <v>5522</v>
      </c>
      <c r="CQ172" s="61">
        <v>1463</v>
      </c>
      <c r="CR172" s="61">
        <v>4</v>
      </c>
      <c r="CS172" s="61">
        <v>257</v>
      </c>
      <c r="CT172" s="61">
        <v>89</v>
      </c>
      <c r="CU172" s="61">
        <v>271</v>
      </c>
      <c r="CV172" s="61"/>
      <c r="CW172" s="61">
        <v>11</v>
      </c>
      <c r="CX172" s="61">
        <v>1563</v>
      </c>
      <c r="CY172" s="61">
        <v>5905</v>
      </c>
      <c r="CZ172" s="61">
        <v>147</v>
      </c>
      <c r="DA172" s="61">
        <v>2662</v>
      </c>
      <c r="DB172" s="61">
        <v>255</v>
      </c>
      <c r="DC172" s="61"/>
      <c r="DD172" s="61">
        <v>10532</v>
      </c>
      <c r="DE172" s="61">
        <v>151</v>
      </c>
      <c r="DF172" s="61">
        <v>9854</v>
      </c>
      <c r="DG172" s="61">
        <v>527</v>
      </c>
      <c r="DH172" s="62" t="s">
        <v>2185</v>
      </c>
      <c r="DI172" s="61">
        <v>345</v>
      </c>
      <c r="DJ172" s="61">
        <v>33</v>
      </c>
      <c r="DK172" s="61"/>
      <c r="DL172" s="61"/>
      <c r="DM172" s="61"/>
      <c r="DN172" s="61"/>
    </row>
    <row r="173" spans="1:118" x14ac:dyDescent="0.25">
      <c r="A173" s="61">
        <v>106301279</v>
      </c>
      <c r="B173" s="62" t="s">
        <v>820</v>
      </c>
      <c r="C173" s="62" t="s">
        <v>821</v>
      </c>
      <c r="D173" s="62" t="s">
        <v>770</v>
      </c>
      <c r="E173" s="62" t="s">
        <v>574</v>
      </c>
      <c r="F173" s="62" t="s">
        <v>2213</v>
      </c>
      <c r="G173" s="62" t="s">
        <v>822</v>
      </c>
      <c r="H173" s="62" t="s">
        <v>770</v>
      </c>
      <c r="I173" s="62" t="s">
        <v>771</v>
      </c>
      <c r="J173" s="62" t="s">
        <v>2186</v>
      </c>
      <c r="K173" s="62" t="s">
        <v>222</v>
      </c>
      <c r="L173" s="61">
        <v>46</v>
      </c>
      <c r="M173" s="61">
        <v>69</v>
      </c>
      <c r="N173" s="61">
        <v>34</v>
      </c>
      <c r="O173" s="62" t="s">
        <v>1900</v>
      </c>
      <c r="P173" s="62" t="s">
        <v>68</v>
      </c>
      <c r="Q173" s="62" t="s">
        <v>2167</v>
      </c>
      <c r="R173" s="62" t="s">
        <v>83</v>
      </c>
      <c r="S173" s="62" t="s">
        <v>223</v>
      </c>
      <c r="T173" s="61">
        <v>22354</v>
      </c>
      <c r="U173" s="61">
        <v>17153</v>
      </c>
      <c r="V173" s="61"/>
      <c r="W173" s="61">
        <v>1617</v>
      </c>
      <c r="X173" s="61">
        <v>2850</v>
      </c>
      <c r="Y173" s="61">
        <v>9108</v>
      </c>
      <c r="Z173" s="61">
        <v>7688</v>
      </c>
      <c r="AA173" s="61">
        <v>5855</v>
      </c>
      <c r="AB173" s="61">
        <v>5572</v>
      </c>
      <c r="AC173" s="61">
        <v>3110</v>
      </c>
      <c r="AD173" s="61">
        <v>1779</v>
      </c>
      <c r="AE173" s="61">
        <v>1484</v>
      </c>
      <c r="AF173" s="61">
        <v>444</v>
      </c>
      <c r="AG173" s="61"/>
      <c r="AH173" s="61">
        <v>3750</v>
      </c>
      <c r="AI173" s="61">
        <v>1614</v>
      </c>
      <c r="AJ173" s="61">
        <v>18548</v>
      </c>
      <c r="AK173" s="61">
        <v>65</v>
      </c>
      <c r="AL173" s="61">
        <v>346</v>
      </c>
      <c r="AM173" s="61">
        <v>29</v>
      </c>
      <c r="AN173" s="61">
        <v>15155</v>
      </c>
      <c r="AO173" s="61">
        <v>393</v>
      </c>
      <c r="AP173" s="61">
        <v>546</v>
      </c>
      <c r="AQ173" s="61">
        <v>89</v>
      </c>
      <c r="AR173" s="61">
        <v>15</v>
      </c>
      <c r="AS173" s="61">
        <v>1</v>
      </c>
      <c r="AT173" s="61">
        <v>11</v>
      </c>
      <c r="AU173" s="61"/>
      <c r="AV173" s="61">
        <v>42</v>
      </c>
      <c r="AW173" s="61">
        <v>273</v>
      </c>
      <c r="AX173" s="61">
        <v>18</v>
      </c>
      <c r="AY173" s="61">
        <v>37428</v>
      </c>
      <c r="AZ173" s="61">
        <v>197</v>
      </c>
      <c r="BA173" s="61">
        <v>411</v>
      </c>
      <c r="BB173" s="61">
        <v>13</v>
      </c>
      <c r="BC173" s="61">
        <v>35</v>
      </c>
      <c r="BD173" s="61">
        <v>20252</v>
      </c>
      <c r="BE173" s="61">
        <v>5324</v>
      </c>
      <c r="BF173" s="61">
        <v>985</v>
      </c>
      <c r="BG173" s="61">
        <v>8817</v>
      </c>
      <c r="BH173" s="61">
        <v>4045</v>
      </c>
      <c r="BI173" s="61">
        <v>84</v>
      </c>
      <c r="BJ173" s="61">
        <v>39507</v>
      </c>
      <c r="BK173" s="61">
        <v>921</v>
      </c>
      <c r="BL173" s="61">
        <v>32539</v>
      </c>
      <c r="BM173" s="61">
        <v>6047</v>
      </c>
      <c r="BN173" s="61">
        <v>5471</v>
      </c>
      <c r="BO173" s="61">
        <v>5738</v>
      </c>
      <c r="BP173" s="61"/>
      <c r="BQ173" s="61">
        <v>601</v>
      </c>
      <c r="BR173" s="61">
        <v>1615</v>
      </c>
      <c r="BS173" s="61">
        <v>1466</v>
      </c>
      <c r="BT173" s="61">
        <v>1523</v>
      </c>
      <c r="BU173" s="61">
        <v>1935</v>
      </c>
      <c r="BV173" s="61">
        <v>1603</v>
      </c>
      <c r="BW173" s="61">
        <v>1213</v>
      </c>
      <c r="BX173" s="61">
        <v>1176</v>
      </c>
      <c r="BY173" s="61">
        <v>15</v>
      </c>
      <c r="BZ173" s="61">
        <v>62</v>
      </c>
      <c r="CA173" s="61"/>
      <c r="CB173" s="61">
        <v>1636</v>
      </c>
      <c r="CC173" s="61">
        <v>389</v>
      </c>
      <c r="CD173" s="61">
        <v>4247</v>
      </c>
      <c r="CE173" s="61">
        <v>193</v>
      </c>
      <c r="CF173" s="61">
        <v>18</v>
      </c>
      <c r="CG173" s="61">
        <v>4712</v>
      </c>
      <c r="CH173" s="61">
        <v>14</v>
      </c>
      <c r="CI173" s="61">
        <v>412</v>
      </c>
      <c r="CJ173" s="61">
        <v>148</v>
      </c>
      <c r="CK173" s="61">
        <v>331</v>
      </c>
      <c r="CL173" s="61">
        <v>1172</v>
      </c>
      <c r="CM173" s="61">
        <v>224</v>
      </c>
      <c r="CN173" s="61"/>
      <c r="CO173" s="61">
        <v>118</v>
      </c>
      <c r="CP173" s="61">
        <v>7404</v>
      </c>
      <c r="CQ173" s="61">
        <v>1042</v>
      </c>
      <c r="CR173" s="61">
        <v>16</v>
      </c>
      <c r="CS173" s="61">
        <v>157</v>
      </c>
      <c r="CT173" s="61">
        <v>126</v>
      </c>
      <c r="CU173" s="61">
        <v>19</v>
      </c>
      <c r="CV173" s="61">
        <v>30</v>
      </c>
      <c r="CW173" s="61">
        <v>10</v>
      </c>
      <c r="CX173" s="61">
        <v>4965</v>
      </c>
      <c r="CY173" s="61">
        <v>3518</v>
      </c>
      <c r="CZ173" s="61">
        <v>204</v>
      </c>
      <c r="DA173" s="61">
        <v>2252</v>
      </c>
      <c r="DB173" s="61">
        <v>270</v>
      </c>
      <c r="DC173" s="61"/>
      <c r="DD173" s="61">
        <v>11209</v>
      </c>
      <c r="DE173" s="61">
        <v>615</v>
      </c>
      <c r="DF173" s="61">
        <v>8821</v>
      </c>
      <c r="DG173" s="61">
        <v>1773</v>
      </c>
      <c r="DH173" s="62" t="s">
        <v>2185</v>
      </c>
      <c r="DI173" s="61">
        <v>411</v>
      </c>
      <c r="DJ173" s="61">
        <v>36</v>
      </c>
      <c r="DK173" s="61">
        <v>8</v>
      </c>
      <c r="DL173" s="61">
        <v>27</v>
      </c>
      <c r="DM173" s="61"/>
      <c r="DN173" s="61"/>
    </row>
    <row r="174" spans="1:118" x14ac:dyDescent="0.25">
      <c r="A174" s="61">
        <v>106301283</v>
      </c>
      <c r="B174" s="62" t="s">
        <v>823</v>
      </c>
      <c r="C174" s="62" t="s">
        <v>824</v>
      </c>
      <c r="D174" s="62" t="s">
        <v>770</v>
      </c>
      <c r="E174" s="62" t="s">
        <v>321</v>
      </c>
      <c r="F174" s="62" t="s">
        <v>2213</v>
      </c>
      <c r="G174" s="62" t="s">
        <v>825</v>
      </c>
      <c r="H174" s="62" t="s">
        <v>826</v>
      </c>
      <c r="I174" s="62" t="s">
        <v>2066</v>
      </c>
      <c r="J174" s="62" t="s">
        <v>2187</v>
      </c>
      <c r="K174" s="62"/>
      <c r="L174" s="61">
        <v>46</v>
      </c>
      <c r="M174" s="61">
        <v>69</v>
      </c>
      <c r="N174" s="61">
        <v>34</v>
      </c>
      <c r="O174" s="62" t="s">
        <v>1900</v>
      </c>
      <c r="P174" s="62" t="s">
        <v>68</v>
      </c>
      <c r="Q174" s="62" t="s">
        <v>2167</v>
      </c>
      <c r="R174" s="62" t="s">
        <v>2167</v>
      </c>
      <c r="S174" s="62" t="s">
        <v>69</v>
      </c>
      <c r="T174" s="61">
        <v>13162</v>
      </c>
      <c r="U174" s="61">
        <v>11061</v>
      </c>
      <c r="V174" s="61"/>
      <c r="W174" s="61">
        <v>2858</v>
      </c>
      <c r="X174" s="61">
        <v>2804</v>
      </c>
      <c r="Y174" s="61">
        <v>4545</v>
      </c>
      <c r="Z174" s="61">
        <v>3834</v>
      </c>
      <c r="AA174" s="61">
        <v>3407</v>
      </c>
      <c r="AB174" s="61">
        <v>3034</v>
      </c>
      <c r="AC174" s="61">
        <v>1515</v>
      </c>
      <c r="AD174" s="61">
        <v>831</v>
      </c>
      <c r="AE174" s="61">
        <v>886</v>
      </c>
      <c r="AF174" s="61">
        <v>509</v>
      </c>
      <c r="AG174" s="61"/>
      <c r="AH174" s="61">
        <v>3447</v>
      </c>
      <c r="AI174" s="61">
        <v>702</v>
      </c>
      <c r="AJ174" s="61">
        <v>13476</v>
      </c>
      <c r="AK174" s="61">
        <v>3</v>
      </c>
      <c r="AL174" s="61">
        <v>199</v>
      </c>
      <c r="AM174" s="61">
        <v>55</v>
      </c>
      <c r="AN174" s="61">
        <v>6341</v>
      </c>
      <c r="AO174" s="61">
        <v>710</v>
      </c>
      <c r="AP174" s="61">
        <v>1521</v>
      </c>
      <c r="AQ174" s="61">
        <v>74</v>
      </c>
      <c r="AR174" s="61">
        <v>2</v>
      </c>
      <c r="AS174" s="61"/>
      <c r="AT174" s="61"/>
      <c r="AU174" s="61"/>
      <c r="AV174" s="61">
        <v>109</v>
      </c>
      <c r="AW174" s="61">
        <v>26</v>
      </c>
      <c r="AX174" s="61">
        <v>2</v>
      </c>
      <c r="AY174" s="61">
        <v>21775</v>
      </c>
      <c r="AZ174" s="61">
        <v>4</v>
      </c>
      <c r="BA174" s="61"/>
      <c r="BB174" s="61"/>
      <c r="BC174" s="61"/>
      <c r="BD174" s="61">
        <v>15006</v>
      </c>
      <c r="BE174" s="61">
        <v>3068</v>
      </c>
      <c r="BF174" s="61">
        <v>235</v>
      </c>
      <c r="BG174" s="61">
        <v>3037</v>
      </c>
      <c r="BH174" s="61">
        <v>2877</v>
      </c>
      <c r="BI174" s="61"/>
      <c r="BJ174" s="61">
        <v>24223</v>
      </c>
      <c r="BK174" s="61">
        <v>1335</v>
      </c>
      <c r="BL174" s="61">
        <v>17662</v>
      </c>
      <c r="BM174" s="61">
        <v>5226</v>
      </c>
      <c r="BN174" s="61">
        <v>1865</v>
      </c>
      <c r="BO174" s="61">
        <v>1680</v>
      </c>
      <c r="BP174" s="61"/>
      <c r="BQ174" s="61">
        <v>51</v>
      </c>
      <c r="BR174" s="61">
        <v>213</v>
      </c>
      <c r="BS174" s="61">
        <v>246</v>
      </c>
      <c r="BT174" s="61">
        <v>390</v>
      </c>
      <c r="BU174" s="61">
        <v>580</v>
      </c>
      <c r="BV174" s="61">
        <v>507</v>
      </c>
      <c r="BW174" s="61">
        <v>537</v>
      </c>
      <c r="BX174" s="61">
        <v>1005</v>
      </c>
      <c r="BY174" s="61">
        <v>16</v>
      </c>
      <c r="BZ174" s="61"/>
      <c r="CA174" s="61"/>
      <c r="CB174" s="61">
        <v>1398</v>
      </c>
      <c r="CC174" s="61">
        <v>69</v>
      </c>
      <c r="CD174" s="61">
        <v>1107</v>
      </c>
      <c r="CE174" s="61">
        <v>17</v>
      </c>
      <c r="CF174" s="61">
        <v>2</v>
      </c>
      <c r="CG174" s="61">
        <v>951</v>
      </c>
      <c r="CH174" s="61">
        <v>1</v>
      </c>
      <c r="CI174" s="61">
        <v>11</v>
      </c>
      <c r="CJ174" s="61">
        <v>1019</v>
      </c>
      <c r="CK174" s="61">
        <v>83</v>
      </c>
      <c r="CL174" s="61">
        <v>144</v>
      </c>
      <c r="CM174" s="61">
        <v>5</v>
      </c>
      <c r="CN174" s="61"/>
      <c r="CO174" s="61">
        <v>26</v>
      </c>
      <c r="CP174" s="61">
        <v>2042</v>
      </c>
      <c r="CQ174" s="61">
        <v>13</v>
      </c>
      <c r="CR174" s="61"/>
      <c r="CS174" s="61">
        <v>9</v>
      </c>
      <c r="CT174" s="61"/>
      <c r="CU174" s="61">
        <v>192</v>
      </c>
      <c r="CV174" s="61"/>
      <c r="CW174" s="61"/>
      <c r="CX174" s="61">
        <v>1315</v>
      </c>
      <c r="CY174" s="61">
        <v>1846</v>
      </c>
      <c r="CZ174" s="61">
        <v>11</v>
      </c>
      <c r="DA174" s="61">
        <v>297</v>
      </c>
      <c r="DB174" s="61">
        <v>76</v>
      </c>
      <c r="DC174" s="61"/>
      <c r="DD174" s="61">
        <v>3545</v>
      </c>
      <c r="DE174" s="61">
        <v>950</v>
      </c>
      <c r="DF174" s="61">
        <v>2013</v>
      </c>
      <c r="DG174" s="61">
        <v>582</v>
      </c>
      <c r="DH174" s="62" t="s">
        <v>2185</v>
      </c>
      <c r="DI174" s="61">
        <v>167</v>
      </c>
      <c r="DJ174" s="61">
        <v>12</v>
      </c>
      <c r="DK174" s="61"/>
      <c r="DL174" s="61"/>
      <c r="DM174" s="61">
        <v>1</v>
      </c>
      <c r="DN174" s="61"/>
    </row>
    <row r="175" spans="1:118" x14ac:dyDescent="0.25">
      <c r="A175" s="61">
        <v>106301297</v>
      </c>
      <c r="B175" s="62" t="s">
        <v>827</v>
      </c>
      <c r="C175" s="62" t="s">
        <v>828</v>
      </c>
      <c r="D175" s="62" t="s">
        <v>770</v>
      </c>
      <c r="E175" s="62" t="s">
        <v>184</v>
      </c>
      <c r="F175" s="62" t="s">
        <v>2213</v>
      </c>
      <c r="G175" s="62" t="s">
        <v>829</v>
      </c>
      <c r="H175" s="62" t="s">
        <v>830</v>
      </c>
      <c r="I175" s="62" t="s">
        <v>831</v>
      </c>
      <c r="J175" s="62" t="s">
        <v>2189</v>
      </c>
      <c r="K175" s="62"/>
      <c r="L175" s="61">
        <v>39</v>
      </c>
      <c r="M175" s="61">
        <v>55</v>
      </c>
      <c r="N175" s="61">
        <v>29</v>
      </c>
      <c r="O175" s="62" t="s">
        <v>1901</v>
      </c>
      <c r="P175" s="62" t="s">
        <v>68</v>
      </c>
      <c r="Q175" s="62" t="s">
        <v>2167</v>
      </c>
      <c r="R175" s="62" t="s">
        <v>2167</v>
      </c>
      <c r="S175" s="62" t="s">
        <v>69</v>
      </c>
      <c r="T175" s="61">
        <v>15924</v>
      </c>
      <c r="U175" s="61">
        <v>11646</v>
      </c>
      <c r="V175" s="61"/>
      <c r="W175" s="61">
        <v>2744</v>
      </c>
      <c r="X175" s="61">
        <v>3203</v>
      </c>
      <c r="Y175" s="61">
        <v>4340</v>
      </c>
      <c r="Z175" s="61">
        <v>3693</v>
      </c>
      <c r="AA175" s="61">
        <v>3522</v>
      </c>
      <c r="AB175" s="61">
        <v>3497</v>
      </c>
      <c r="AC175" s="61">
        <v>2172</v>
      </c>
      <c r="AD175" s="61">
        <v>1799</v>
      </c>
      <c r="AE175" s="61">
        <v>2281</v>
      </c>
      <c r="AF175" s="61">
        <v>319</v>
      </c>
      <c r="AG175" s="61"/>
      <c r="AH175" s="61">
        <v>1362</v>
      </c>
      <c r="AI175" s="61">
        <v>867</v>
      </c>
      <c r="AJ175" s="61">
        <v>7511</v>
      </c>
      <c r="AK175" s="61">
        <v>21</v>
      </c>
      <c r="AL175" s="61">
        <v>2549</v>
      </c>
      <c r="AM175" s="61">
        <v>175</v>
      </c>
      <c r="AN175" s="61">
        <v>15085</v>
      </c>
      <c r="AO175" s="61">
        <v>549</v>
      </c>
      <c r="AP175" s="61">
        <v>243</v>
      </c>
      <c r="AQ175" s="61">
        <v>26</v>
      </c>
      <c r="AR175" s="61">
        <v>175</v>
      </c>
      <c r="AS175" s="61">
        <v>36</v>
      </c>
      <c r="AT175" s="61"/>
      <c r="AU175" s="61"/>
      <c r="AV175" s="61"/>
      <c r="AW175" s="61">
        <v>94</v>
      </c>
      <c r="AX175" s="61">
        <v>1</v>
      </c>
      <c r="AY175" s="61">
        <v>26271</v>
      </c>
      <c r="AZ175" s="61">
        <v>172</v>
      </c>
      <c r="BA175" s="61">
        <v>2</v>
      </c>
      <c r="BB175" s="61">
        <v>1</v>
      </c>
      <c r="BC175" s="61"/>
      <c r="BD175" s="61">
        <v>5662</v>
      </c>
      <c r="BE175" s="61">
        <v>5594</v>
      </c>
      <c r="BF175" s="61">
        <v>569</v>
      </c>
      <c r="BG175" s="61">
        <v>14084</v>
      </c>
      <c r="BH175" s="61">
        <v>1661</v>
      </c>
      <c r="BI175" s="61"/>
      <c r="BJ175" s="61">
        <v>27570</v>
      </c>
      <c r="BK175" s="61">
        <v>187</v>
      </c>
      <c r="BL175" s="61">
        <v>26241</v>
      </c>
      <c r="BM175" s="61">
        <v>1142</v>
      </c>
      <c r="BN175" s="61">
        <v>1419</v>
      </c>
      <c r="BO175" s="61">
        <v>1250</v>
      </c>
      <c r="BP175" s="61"/>
      <c r="BQ175" s="61">
        <v>26</v>
      </c>
      <c r="BR175" s="61">
        <v>140</v>
      </c>
      <c r="BS175" s="61">
        <v>177</v>
      </c>
      <c r="BT175" s="61">
        <v>285</v>
      </c>
      <c r="BU175" s="61">
        <v>446</v>
      </c>
      <c r="BV175" s="61">
        <v>417</v>
      </c>
      <c r="BW175" s="61">
        <v>425</v>
      </c>
      <c r="BX175" s="61">
        <v>753</v>
      </c>
      <c r="BY175" s="61"/>
      <c r="BZ175" s="61"/>
      <c r="CA175" s="61"/>
      <c r="CB175" s="61">
        <v>169</v>
      </c>
      <c r="CC175" s="61">
        <v>74</v>
      </c>
      <c r="CD175" s="61">
        <v>453</v>
      </c>
      <c r="CE175" s="61">
        <v>192</v>
      </c>
      <c r="CF175" s="61">
        <v>12</v>
      </c>
      <c r="CG175" s="61">
        <v>1768</v>
      </c>
      <c r="CH175" s="61">
        <v>1</v>
      </c>
      <c r="CI175" s="61">
        <v>211</v>
      </c>
      <c r="CJ175" s="61">
        <v>55</v>
      </c>
      <c r="CK175" s="61">
        <v>62</v>
      </c>
      <c r="CL175" s="61">
        <v>361</v>
      </c>
      <c r="CM175" s="61"/>
      <c r="CN175" s="61"/>
      <c r="CO175" s="61">
        <v>3</v>
      </c>
      <c r="CP175" s="61">
        <v>1427</v>
      </c>
      <c r="CQ175" s="61">
        <v>434</v>
      </c>
      <c r="CR175" s="61"/>
      <c r="CS175" s="61">
        <v>104</v>
      </c>
      <c r="CT175" s="61">
        <v>10</v>
      </c>
      <c r="CU175" s="61">
        <v>1</v>
      </c>
      <c r="CV175" s="61"/>
      <c r="CW175" s="61">
        <v>1</v>
      </c>
      <c r="CX175" s="61">
        <v>343</v>
      </c>
      <c r="CY175" s="61">
        <v>1268</v>
      </c>
      <c r="CZ175" s="61">
        <v>387</v>
      </c>
      <c r="DA175" s="61">
        <v>616</v>
      </c>
      <c r="DB175" s="61">
        <v>55</v>
      </c>
      <c r="DC175" s="61"/>
      <c r="DD175" s="61">
        <v>2669</v>
      </c>
      <c r="DE175" s="61">
        <v>39</v>
      </c>
      <c r="DF175" s="61">
        <v>2526</v>
      </c>
      <c r="DG175" s="61">
        <v>104</v>
      </c>
      <c r="DH175" s="62" t="s">
        <v>2185</v>
      </c>
      <c r="DI175" s="61">
        <v>114</v>
      </c>
      <c r="DJ175" s="61">
        <v>20</v>
      </c>
      <c r="DK175" s="61"/>
      <c r="DL175" s="61"/>
      <c r="DM175" s="61"/>
      <c r="DN175" s="61"/>
    </row>
    <row r="176" spans="1:118" x14ac:dyDescent="0.25">
      <c r="A176" s="61">
        <v>106301317</v>
      </c>
      <c r="B176" s="62" t="s">
        <v>832</v>
      </c>
      <c r="C176" s="62" t="s">
        <v>833</v>
      </c>
      <c r="D176" s="62" t="s">
        <v>770</v>
      </c>
      <c r="E176" s="62" t="s">
        <v>71</v>
      </c>
      <c r="F176" s="62" t="s">
        <v>2213</v>
      </c>
      <c r="G176" s="62" t="s">
        <v>834</v>
      </c>
      <c r="H176" s="62" t="s">
        <v>835</v>
      </c>
      <c r="I176" s="62" t="s">
        <v>836</v>
      </c>
      <c r="J176" s="62" t="s">
        <v>2184</v>
      </c>
      <c r="K176" s="62"/>
      <c r="L176" s="61">
        <v>45</v>
      </c>
      <c r="M176" s="61">
        <v>73</v>
      </c>
      <c r="N176" s="61">
        <v>36</v>
      </c>
      <c r="O176" s="62" t="s">
        <v>1902</v>
      </c>
      <c r="P176" s="62" t="s">
        <v>68</v>
      </c>
      <c r="Q176" s="62" t="s">
        <v>2167</v>
      </c>
      <c r="R176" s="62" t="s">
        <v>2167</v>
      </c>
      <c r="S176" s="62" t="s">
        <v>69</v>
      </c>
      <c r="T176" s="61">
        <v>23474</v>
      </c>
      <c r="U176" s="61">
        <v>18497</v>
      </c>
      <c r="V176" s="61">
        <v>4</v>
      </c>
      <c r="W176" s="61">
        <v>2955</v>
      </c>
      <c r="X176" s="61">
        <v>3510</v>
      </c>
      <c r="Y176" s="61">
        <v>5678</v>
      </c>
      <c r="Z176" s="61">
        <v>4883</v>
      </c>
      <c r="AA176" s="61">
        <v>4825</v>
      </c>
      <c r="AB176" s="61">
        <v>5126</v>
      </c>
      <c r="AC176" s="61">
        <v>4321</v>
      </c>
      <c r="AD176" s="61">
        <v>3966</v>
      </c>
      <c r="AE176" s="61">
        <v>6327</v>
      </c>
      <c r="AF176" s="61">
        <v>384</v>
      </c>
      <c r="AG176" s="61"/>
      <c r="AH176" s="61">
        <v>1906</v>
      </c>
      <c r="AI176" s="61">
        <v>968</v>
      </c>
      <c r="AJ176" s="61">
        <v>6561</v>
      </c>
      <c r="AK176" s="61">
        <v>30</v>
      </c>
      <c r="AL176" s="61">
        <v>2074</v>
      </c>
      <c r="AM176" s="61">
        <v>250</v>
      </c>
      <c r="AN176" s="61">
        <v>30186</v>
      </c>
      <c r="AO176" s="61">
        <v>510</v>
      </c>
      <c r="AP176" s="61"/>
      <c r="AQ176" s="61">
        <v>106</v>
      </c>
      <c r="AR176" s="61">
        <v>719</v>
      </c>
      <c r="AS176" s="61">
        <v>53</v>
      </c>
      <c r="AT176" s="61">
        <v>53</v>
      </c>
      <c r="AU176" s="61"/>
      <c r="AV176" s="61">
        <v>96</v>
      </c>
      <c r="AW176" s="61">
        <v>314</v>
      </c>
      <c r="AX176" s="61"/>
      <c r="AY176" s="61">
        <v>39735</v>
      </c>
      <c r="AZ176" s="61">
        <v>379</v>
      </c>
      <c r="BA176" s="61">
        <v>4</v>
      </c>
      <c r="BB176" s="61"/>
      <c r="BC176" s="61">
        <v>1</v>
      </c>
      <c r="BD176" s="61">
        <v>9878</v>
      </c>
      <c r="BE176" s="61">
        <v>12916</v>
      </c>
      <c r="BF176" s="61">
        <v>1799</v>
      </c>
      <c r="BG176" s="61">
        <v>14586</v>
      </c>
      <c r="BH176" s="61">
        <v>2796</v>
      </c>
      <c r="BI176" s="61"/>
      <c r="BJ176" s="61">
        <v>41975</v>
      </c>
      <c r="BK176" s="61">
        <v>729</v>
      </c>
      <c r="BL176" s="61">
        <v>39560</v>
      </c>
      <c r="BM176" s="61">
        <v>1686</v>
      </c>
      <c r="BN176" s="61">
        <v>4771</v>
      </c>
      <c r="BO176" s="61">
        <v>4052</v>
      </c>
      <c r="BP176" s="61"/>
      <c r="BQ176" s="61">
        <v>56</v>
      </c>
      <c r="BR176" s="61">
        <v>252</v>
      </c>
      <c r="BS176" s="61">
        <v>373</v>
      </c>
      <c r="BT176" s="61">
        <v>589</v>
      </c>
      <c r="BU176" s="61">
        <v>982</v>
      </c>
      <c r="BV176" s="61">
        <v>1287</v>
      </c>
      <c r="BW176" s="61">
        <v>1712</v>
      </c>
      <c r="BX176" s="61">
        <v>3569</v>
      </c>
      <c r="BY176" s="61">
        <v>3</v>
      </c>
      <c r="BZ176" s="61"/>
      <c r="CA176" s="61"/>
      <c r="CB176" s="61">
        <v>414</v>
      </c>
      <c r="CC176" s="61">
        <v>118</v>
      </c>
      <c r="CD176" s="61">
        <v>766</v>
      </c>
      <c r="CE176" s="61">
        <v>409</v>
      </c>
      <c r="CF176" s="61">
        <v>56</v>
      </c>
      <c r="CG176" s="61">
        <v>7047</v>
      </c>
      <c r="CH176" s="61">
        <v>13</v>
      </c>
      <c r="CI176" s="61">
        <v>235</v>
      </c>
      <c r="CJ176" s="61"/>
      <c r="CK176" s="61">
        <v>312</v>
      </c>
      <c r="CL176" s="61">
        <v>2238</v>
      </c>
      <c r="CM176" s="61">
        <v>74</v>
      </c>
      <c r="CN176" s="61"/>
      <c r="CO176" s="61"/>
      <c r="CP176" s="61">
        <v>4063</v>
      </c>
      <c r="CQ176" s="61">
        <v>1528</v>
      </c>
      <c r="CR176" s="61">
        <v>3</v>
      </c>
      <c r="CS176" s="61">
        <v>336</v>
      </c>
      <c r="CT176" s="61">
        <v>32</v>
      </c>
      <c r="CU176" s="61"/>
      <c r="CV176" s="61"/>
      <c r="CW176" s="61">
        <v>2</v>
      </c>
      <c r="CX176" s="61">
        <v>760</v>
      </c>
      <c r="CY176" s="61">
        <v>6052</v>
      </c>
      <c r="CZ176" s="61">
        <v>97</v>
      </c>
      <c r="DA176" s="61">
        <v>1740</v>
      </c>
      <c r="DB176" s="61">
        <v>174</v>
      </c>
      <c r="DC176" s="61"/>
      <c r="DD176" s="61">
        <v>8823</v>
      </c>
      <c r="DE176" s="61">
        <v>245</v>
      </c>
      <c r="DF176" s="61">
        <v>8342</v>
      </c>
      <c r="DG176" s="61">
        <v>236</v>
      </c>
      <c r="DH176" s="62" t="s">
        <v>2185</v>
      </c>
      <c r="DI176" s="61">
        <v>252</v>
      </c>
      <c r="DJ176" s="61">
        <v>31</v>
      </c>
      <c r="DK176" s="61">
        <v>1</v>
      </c>
      <c r="DL176" s="61">
        <v>4</v>
      </c>
      <c r="DM176" s="61"/>
      <c r="DN176" s="61"/>
    </row>
    <row r="177" spans="1:118" x14ac:dyDescent="0.25">
      <c r="A177" s="61">
        <v>106301337</v>
      </c>
      <c r="B177" s="62" t="s">
        <v>837</v>
      </c>
      <c r="C177" s="62" t="s">
        <v>838</v>
      </c>
      <c r="D177" s="62" t="s">
        <v>770</v>
      </c>
      <c r="E177" s="62" t="s">
        <v>71</v>
      </c>
      <c r="F177" s="62" t="s">
        <v>2213</v>
      </c>
      <c r="G177" s="62" t="s">
        <v>839</v>
      </c>
      <c r="H177" s="62" t="s">
        <v>840</v>
      </c>
      <c r="I177" s="62" t="s">
        <v>841</v>
      </c>
      <c r="J177" s="62" t="s">
        <v>2187</v>
      </c>
      <c r="K177" s="62"/>
      <c r="L177" s="61">
        <v>48</v>
      </c>
      <c r="M177" s="61">
        <v>74</v>
      </c>
      <c r="N177" s="61">
        <v>37</v>
      </c>
      <c r="O177" s="62" t="s">
        <v>1903</v>
      </c>
      <c r="P177" s="62" t="s">
        <v>68</v>
      </c>
      <c r="Q177" s="62" t="s">
        <v>2167</v>
      </c>
      <c r="R177" s="62" t="s">
        <v>2167</v>
      </c>
      <c r="S177" s="62" t="s">
        <v>69</v>
      </c>
      <c r="T177" s="61">
        <v>5795</v>
      </c>
      <c r="U177" s="61">
        <v>5359</v>
      </c>
      <c r="V177" s="61"/>
      <c r="W177" s="61">
        <v>508</v>
      </c>
      <c r="X177" s="61">
        <v>1026</v>
      </c>
      <c r="Y177" s="61">
        <v>1992</v>
      </c>
      <c r="Z177" s="61">
        <v>1389</v>
      </c>
      <c r="AA177" s="61">
        <v>1536</v>
      </c>
      <c r="AB177" s="61">
        <v>1824</v>
      </c>
      <c r="AC177" s="61">
        <v>1209</v>
      </c>
      <c r="AD177" s="61">
        <v>776</v>
      </c>
      <c r="AE177" s="61">
        <v>859</v>
      </c>
      <c r="AF177" s="61">
        <v>35</v>
      </c>
      <c r="AG177" s="61"/>
      <c r="AH177" s="61">
        <v>211</v>
      </c>
      <c r="AI177" s="61">
        <v>275</v>
      </c>
      <c r="AJ177" s="61">
        <v>828</v>
      </c>
      <c r="AK177" s="61">
        <v>11</v>
      </c>
      <c r="AL177" s="61">
        <v>673</v>
      </c>
      <c r="AM177" s="61">
        <v>7</v>
      </c>
      <c r="AN177" s="61">
        <v>9149</v>
      </c>
      <c r="AO177" s="61">
        <v>187</v>
      </c>
      <c r="AP177" s="61">
        <v>265</v>
      </c>
      <c r="AQ177" s="61">
        <v>19</v>
      </c>
      <c r="AR177" s="61">
        <v>8</v>
      </c>
      <c r="AS177" s="61">
        <v>6</v>
      </c>
      <c r="AT177" s="61"/>
      <c r="AU177" s="61"/>
      <c r="AV177" s="61">
        <v>82</v>
      </c>
      <c r="AW177" s="61">
        <v>281</v>
      </c>
      <c r="AX177" s="61">
        <v>21</v>
      </c>
      <c r="AY177" s="61">
        <v>10253</v>
      </c>
      <c r="AZ177" s="61">
        <v>11</v>
      </c>
      <c r="BA177" s="61"/>
      <c r="BB177" s="61"/>
      <c r="BC177" s="61">
        <v>21</v>
      </c>
      <c r="BD177" s="61">
        <v>2819</v>
      </c>
      <c r="BE177" s="61">
        <v>2556</v>
      </c>
      <c r="BF177" s="61">
        <v>359</v>
      </c>
      <c r="BG177" s="61">
        <v>4635</v>
      </c>
      <c r="BH177" s="61">
        <v>785</v>
      </c>
      <c r="BI177" s="61"/>
      <c r="BJ177" s="61">
        <v>11154</v>
      </c>
      <c r="BK177" s="61">
        <v>78</v>
      </c>
      <c r="BL177" s="61">
        <v>10889</v>
      </c>
      <c r="BM177" s="61">
        <v>187</v>
      </c>
      <c r="BN177" s="61">
        <v>1407</v>
      </c>
      <c r="BO177" s="61">
        <v>1512</v>
      </c>
      <c r="BP177" s="61"/>
      <c r="BQ177" s="61">
        <v>100</v>
      </c>
      <c r="BR177" s="61">
        <v>644</v>
      </c>
      <c r="BS177" s="61">
        <v>391</v>
      </c>
      <c r="BT177" s="61">
        <v>423</v>
      </c>
      <c r="BU177" s="61">
        <v>453</v>
      </c>
      <c r="BV177" s="61">
        <v>300</v>
      </c>
      <c r="BW177" s="61">
        <v>200</v>
      </c>
      <c r="BX177" s="61">
        <v>408</v>
      </c>
      <c r="BY177" s="61"/>
      <c r="BZ177" s="61"/>
      <c r="CA177" s="61"/>
      <c r="CB177" s="61">
        <v>40</v>
      </c>
      <c r="CC177" s="61">
        <v>53</v>
      </c>
      <c r="CD177" s="61">
        <v>150</v>
      </c>
      <c r="CE177" s="61">
        <v>118</v>
      </c>
      <c r="CF177" s="61">
        <v>5</v>
      </c>
      <c r="CG177" s="61">
        <v>2548</v>
      </c>
      <c r="CH177" s="61">
        <v>5</v>
      </c>
      <c r="CI177" s="61">
        <v>44</v>
      </c>
      <c r="CJ177" s="61">
        <v>274</v>
      </c>
      <c r="CK177" s="61">
        <v>6</v>
      </c>
      <c r="CL177" s="61">
        <v>192</v>
      </c>
      <c r="CM177" s="61">
        <v>17</v>
      </c>
      <c r="CN177" s="61"/>
      <c r="CO177" s="61">
        <v>55</v>
      </c>
      <c r="CP177" s="61">
        <v>1953</v>
      </c>
      <c r="CQ177" s="61">
        <v>155</v>
      </c>
      <c r="CR177" s="61">
        <v>1</v>
      </c>
      <c r="CS177" s="61">
        <v>33</v>
      </c>
      <c r="CT177" s="61">
        <v>82</v>
      </c>
      <c r="CU177" s="61">
        <v>32</v>
      </c>
      <c r="CV177" s="61"/>
      <c r="CW177" s="61">
        <v>75</v>
      </c>
      <c r="CX177" s="61">
        <v>350</v>
      </c>
      <c r="CY177" s="61">
        <v>898</v>
      </c>
      <c r="CZ177" s="61">
        <v>36</v>
      </c>
      <c r="DA177" s="61">
        <v>1543</v>
      </c>
      <c r="DB177" s="61">
        <v>92</v>
      </c>
      <c r="DC177" s="61"/>
      <c r="DD177" s="61">
        <v>2919</v>
      </c>
      <c r="DE177" s="61">
        <v>15</v>
      </c>
      <c r="DF177" s="61">
        <v>2881</v>
      </c>
      <c r="DG177" s="61">
        <v>23</v>
      </c>
      <c r="DH177" s="62" t="s">
        <v>2185</v>
      </c>
      <c r="DI177" s="61">
        <v>188</v>
      </c>
      <c r="DJ177" s="61">
        <v>12</v>
      </c>
      <c r="DK177" s="61"/>
      <c r="DL177" s="61"/>
      <c r="DM177" s="61"/>
      <c r="DN177" s="61"/>
    </row>
    <row r="178" spans="1:118" x14ac:dyDescent="0.25">
      <c r="A178" s="61">
        <v>106301340</v>
      </c>
      <c r="B178" s="62" t="s">
        <v>842</v>
      </c>
      <c r="C178" s="62" t="s">
        <v>843</v>
      </c>
      <c r="D178" s="62" t="s">
        <v>770</v>
      </c>
      <c r="E178" s="62" t="s">
        <v>71</v>
      </c>
      <c r="F178" s="62" t="s">
        <v>2213</v>
      </c>
      <c r="G178" s="62" t="s">
        <v>844</v>
      </c>
      <c r="H178" s="62" t="s">
        <v>770</v>
      </c>
      <c r="I178" s="62" t="s">
        <v>771</v>
      </c>
      <c r="J178" s="62" t="s">
        <v>2186</v>
      </c>
      <c r="K178" s="62"/>
      <c r="L178" s="61">
        <v>46</v>
      </c>
      <c r="M178" s="61">
        <v>68</v>
      </c>
      <c r="N178" s="61">
        <v>37</v>
      </c>
      <c r="O178" s="62" t="s">
        <v>1890</v>
      </c>
      <c r="P178" s="62" t="s">
        <v>68</v>
      </c>
      <c r="Q178" s="62" t="s">
        <v>2167</v>
      </c>
      <c r="R178" s="62" t="s">
        <v>2167</v>
      </c>
      <c r="S178" s="62" t="s">
        <v>69</v>
      </c>
      <c r="T178" s="61">
        <v>38294</v>
      </c>
      <c r="U178" s="61">
        <v>25979</v>
      </c>
      <c r="V178" s="61"/>
      <c r="W178" s="61">
        <v>3825</v>
      </c>
      <c r="X178" s="61">
        <v>6615</v>
      </c>
      <c r="Y178" s="61">
        <v>12351</v>
      </c>
      <c r="Z178" s="61">
        <v>9839</v>
      </c>
      <c r="AA178" s="61">
        <v>8367</v>
      </c>
      <c r="AB178" s="61">
        <v>7553</v>
      </c>
      <c r="AC178" s="61">
        <v>5626</v>
      </c>
      <c r="AD178" s="61">
        <v>4386</v>
      </c>
      <c r="AE178" s="61">
        <v>5107</v>
      </c>
      <c r="AF178" s="61">
        <v>604</v>
      </c>
      <c r="AG178" s="61"/>
      <c r="AH178" s="61">
        <v>2156</v>
      </c>
      <c r="AI178" s="61">
        <v>1289</v>
      </c>
      <c r="AJ178" s="61">
        <v>34449</v>
      </c>
      <c r="AK178" s="61">
        <v>19</v>
      </c>
      <c r="AL178" s="61">
        <v>2417</v>
      </c>
      <c r="AM178" s="61">
        <v>137</v>
      </c>
      <c r="AN178" s="61">
        <v>23806</v>
      </c>
      <c r="AO178" s="61">
        <v>537</v>
      </c>
      <c r="AP178" s="61">
        <v>416</v>
      </c>
      <c r="AQ178" s="61">
        <v>63</v>
      </c>
      <c r="AR178" s="61">
        <v>184</v>
      </c>
      <c r="AS178" s="61">
        <v>32</v>
      </c>
      <c r="AT178" s="61">
        <v>28</v>
      </c>
      <c r="AU178" s="61"/>
      <c r="AV178" s="61">
        <v>139</v>
      </c>
      <c r="AW178" s="61">
        <v>475</v>
      </c>
      <c r="AX178" s="61">
        <v>14</v>
      </c>
      <c r="AY178" s="61">
        <v>61138</v>
      </c>
      <c r="AZ178" s="61">
        <v>281</v>
      </c>
      <c r="BA178" s="61">
        <v>2</v>
      </c>
      <c r="BB178" s="61"/>
      <c r="BC178" s="61">
        <v>957</v>
      </c>
      <c r="BD178" s="61">
        <v>28156</v>
      </c>
      <c r="BE178" s="61">
        <v>15998</v>
      </c>
      <c r="BF178" s="61">
        <v>977</v>
      </c>
      <c r="BG178" s="61">
        <v>13433</v>
      </c>
      <c r="BH178" s="61">
        <v>5709</v>
      </c>
      <c r="BI178" s="61"/>
      <c r="BJ178" s="61">
        <v>64273</v>
      </c>
      <c r="BK178" s="61">
        <v>251</v>
      </c>
      <c r="BL178" s="61">
        <v>52759</v>
      </c>
      <c r="BM178" s="61">
        <v>11263</v>
      </c>
      <c r="BN178" s="61">
        <v>5705</v>
      </c>
      <c r="BO178" s="61">
        <v>5472</v>
      </c>
      <c r="BP178" s="61"/>
      <c r="BQ178" s="61">
        <v>150</v>
      </c>
      <c r="BR178" s="61">
        <v>871</v>
      </c>
      <c r="BS178" s="61">
        <v>884</v>
      </c>
      <c r="BT178" s="61">
        <v>1234</v>
      </c>
      <c r="BU178" s="61">
        <v>1693</v>
      </c>
      <c r="BV178" s="61">
        <v>1924</v>
      </c>
      <c r="BW178" s="61">
        <v>1754</v>
      </c>
      <c r="BX178" s="61">
        <v>2667</v>
      </c>
      <c r="BY178" s="61"/>
      <c r="BZ178" s="61"/>
      <c r="CA178" s="61"/>
      <c r="CB178" s="61">
        <v>620</v>
      </c>
      <c r="CC178" s="61">
        <v>235</v>
      </c>
      <c r="CD178" s="61">
        <v>3475</v>
      </c>
      <c r="CE178" s="61">
        <v>277</v>
      </c>
      <c r="CF178" s="61">
        <v>24</v>
      </c>
      <c r="CG178" s="61">
        <v>6541</v>
      </c>
      <c r="CH178" s="61">
        <v>5</v>
      </c>
      <c r="CI178" s="61">
        <v>62</v>
      </c>
      <c r="CJ178" s="61">
        <v>202</v>
      </c>
      <c r="CK178" s="61">
        <v>332</v>
      </c>
      <c r="CL178" s="61">
        <v>1824</v>
      </c>
      <c r="CM178" s="61">
        <v>3</v>
      </c>
      <c r="CN178" s="61"/>
      <c r="CO178" s="61">
        <v>35</v>
      </c>
      <c r="CP178" s="61">
        <v>6686</v>
      </c>
      <c r="CQ178" s="61">
        <v>1559</v>
      </c>
      <c r="CR178" s="61">
        <v>3</v>
      </c>
      <c r="CS178" s="61">
        <v>263</v>
      </c>
      <c r="CT178" s="61">
        <v>49</v>
      </c>
      <c r="CU178" s="61">
        <v>148</v>
      </c>
      <c r="CV178" s="61"/>
      <c r="CW178" s="61">
        <v>11</v>
      </c>
      <c r="CX178" s="61">
        <v>2056</v>
      </c>
      <c r="CY178" s="61">
        <v>5955</v>
      </c>
      <c r="CZ178" s="61">
        <v>67</v>
      </c>
      <c r="DA178" s="61">
        <v>2803</v>
      </c>
      <c r="DB178" s="61">
        <v>296</v>
      </c>
      <c r="DC178" s="61"/>
      <c r="DD178" s="61">
        <v>11177</v>
      </c>
      <c r="DE178" s="61">
        <v>149</v>
      </c>
      <c r="DF178" s="61">
        <v>9519</v>
      </c>
      <c r="DG178" s="61">
        <v>1509</v>
      </c>
      <c r="DH178" s="62" t="s">
        <v>2185</v>
      </c>
      <c r="DI178" s="61">
        <v>457</v>
      </c>
      <c r="DJ178" s="61">
        <v>53</v>
      </c>
      <c r="DK178" s="61">
        <v>7</v>
      </c>
      <c r="DL178" s="61"/>
      <c r="DM178" s="61"/>
      <c r="DN178" s="61"/>
    </row>
    <row r="179" spans="1:118" x14ac:dyDescent="0.25">
      <c r="A179" s="61">
        <v>106301342</v>
      </c>
      <c r="B179" s="62" t="s">
        <v>845</v>
      </c>
      <c r="C179" s="62" t="s">
        <v>846</v>
      </c>
      <c r="D179" s="62" t="s">
        <v>770</v>
      </c>
      <c r="E179" s="62" t="s">
        <v>71</v>
      </c>
      <c r="F179" s="62" t="s">
        <v>2213</v>
      </c>
      <c r="G179" s="62" t="s">
        <v>847</v>
      </c>
      <c r="H179" s="62" t="s">
        <v>848</v>
      </c>
      <c r="I179" s="62" t="s">
        <v>849</v>
      </c>
      <c r="J179" s="62" t="s">
        <v>2186</v>
      </c>
      <c r="K179" s="62"/>
      <c r="L179" s="61">
        <v>39</v>
      </c>
      <c r="M179" s="61">
        <v>65</v>
      </c>
      <c r="N179" s="61">
        <v>29</v>
      </c>
      <c r="O179" s="62" t="s">
        <v>1904</v>
      </c>
      <c r="P179" s="62" t="s">
        <v>68</v>
      </c>
      <c r="Q179" s="62" t="s">
        <v>2167</v>
      </c>
      <c r="R179" s="62" t="s">
        <v>2167</v>
      </c>
      <c r="S179" s="62" t="s">
        <v>69</v>
      </c>
      <c r="T179" s="61">
        <v>32874</v>
      </c>
      <c r="U179" s="61">
        <v>25358</v>
      </c>
      <c r="V179" s="61"/>
      <c r="W179" s="61">
        <v>5573</v>
      </c>
      <c r="X179" s="61">
        <v>5332</v>
      </c>
      <c r="Y179" s="61">
        <v>8475</v>
      </c>
      <c r="Z179" s="61">
        <v>6897</v>
      </c>
      <c r="AA179" s="61">
        <v>6837</v>
      </c>
      <c r="AB179" s="61">
        <v>7335</v>
      </c>
      <c r="AC179" s="61">
        <v>5732</v>
      </c>
      <c r="AD179" s="61">
        <v>4693</v>
      </c>
      <c r="AE179" s="61">
        <v>6274</v>
      </c>
      <c r="AF179" s="61">
        <v>1084</v>
      </c>
      <c r="AG179" s="61"/>
      <c r="AH179" s="61">
        <v>5112</v>
      </c>
      <c r="AI179" s="61">
        <v>1678</v>
      </c>
      <c r="AJ179" s="61">
        <v>19058</v>
      </c>
      <c r="AK179" s="61">
        <v>43</v>
      </c>
      <c r="AL179" s="61">
        <v>4919</v>
      </c>
      <c r="AM179" s="61">
        <v>417</v>
      </c>
      <c r="AN179" s="61">
        <v>27005</v>
      </c>
      <c r="AO179" s="61">
        <v>1584</v>
      </c>
      <c r="AP179" s="61">
        <v>1884</v>
      </c>
      <c r="AQ179" s="61">
        <v>126</v>
      </c>
      <c r="AR179" s="61">
        <v>336</v>
      </c>
      <c r="AS179" s="61">
        <v>34</v>
      </c>
      <c r="AT179" s="61">
        <v>7</v>
      </c>
      <c r="AU179" s="61"/>
      <c r="AV179" s="61">
        <v>85</v>
      </c>
      <c r="AW179" s="61">
        <v>152</v>
      </c>
      <c r="AX179" s="61">
        <v>11</v>
      </c>
      <c r="AY179" s="61">
        <v>53467</v>
      </c>
      <c r="AZ179" s="61">
        <v>457</v>
      </c>
      <c r="BA179" s="61">
        <v>1</v>
      </c>
      <c r="BB179" s="61"/>
      <c r="BC179" s="61">
        <v>79</v>
      </c>
      <c r="BD179" s="61">
        <v>18857</v>
      </c>
      <c r="BE179" s="61">
        <v>17540</v>
      </c>
      <c r="BF179" s="61">
        <v>1089</v>
      </c>
      <c r="BG179" s="61">
        <v>15416</v>
      </c>
      <c r="BH179" s="61">
        <v>5330</v>
      </c>
      <c r="BI179" s="61"/>
      <c r="BJ179" s="61">
        <v>58232</v>
      </c>
      <c r="BK179" s="61">
        <v>1361</v>
      </c>
      <c r="BL179" s="61">
        <v>52138</v>
      </c>
      <c r="BM179" s="61">
        <v>4733</v>
      </c>
      <c r="BN179" s="61">
        <v>4525</v>
      </c>
      <c r="BO179" s="61">
        <v>4026</v>
      </c>
      <c r="BP179" s="61"/>
      <c r="BQ179" s="61">
        <v>49</v>
      </c>
      <c r="BR179" s="61">
        <v>278</v>
      </c>
      <c r="BS179" s="61">
        <v>362</v>
      </c>
      <c r="BT179" s="61">
        <v>635</v>
      </c>
      <c r="BU179" s="61">
        <v>1130</v>
      </c>
      <c r="BV179" s="61">
        <v>1506</v>
      </c>
      <c r="BW179" s="61">
        <v>1799</v>
      </c>
      <c r="BX179" s="61">
        <v>2789</v>
      </c>
      <c r="BY179" s="61">
        <v>3</v>
      </c>
      <c r="BZ179" s="61"/>
      <c r="CA179" s="61"/>
      <c r="CB179" s="61">
        <v>1019</v>
      </c>
      <c r="CC179" s="61">
        <v>187</v>
      </c>
      <c r="CD179" s="61">
        <v>1668</v>
      </c>
      <c r="CE179" s="61">
        <v>421</v>
      </c>
      <c r="CF179" s="61">
        <v>63</v>
      </c>
      <c r="CG179" s="61">
        <v>5188</v>
      </c>
      <c r="CH179" s="61">
        <v>5</v>
      </c>
      <c r="CI179" s="61">
        <v>178</v>
      </c>
      <c r="CJ179" s="61">
        <v>81</v>
      </c>
      <c r="CK179" s="61">
        <v>324</v>
      </c>
      <c r="CL179" s="61">
        <v>1870</v>
      </c>
      <c r="CM179" s="61">
        <v>240</v>
      </c>
      <c r="CN179" s="61"/>
      <c r="CO179" s="61">
        <v>19</v>
      </c>
      <c r="CP179" s="61">
        <v>3530</v>
      </c>
      <c r="CQ179" s="61">
        <v>1672</v>
      </c>
      <c r="CR179" s="61">
        <v>2</v>
      </c>
      <c r="CS179" s="61">
        <v>323</v>
      </c>
      <c r="CT179" s="61">
        <v>23</v>
      </c>
      <c r="CU179" s="61">
        <v>281</v>
      </c>
      <c r="CV179" s="61"/>
      <c r="CW179" s="61">
        <v>8</v>
      </c>
      <c r="CX179" s="61">
        <v>1240</v>
      </c>
      <c r="CY179" s="61">
        <v>5579</v>
      </c>
      <c r="CZ179" s="61">
        <v>58</v>
      </c>
      <c r="DA179" s="61">
        <v>1521</v>
      </c>
      <c r="DB179" s="61">
        <v>153</v>
      </c>
      <c r="DC179" s="61"/>
      <c r="DD179" s="61">
        <v>8551</v>
      </c>
      <c r="DE179" s="61">
        <v>489</v>
      </c>
      <c r="DF179" s="61">
        <v>7429</v>
      </c>
      <c r="DG179" s="61">
        <v>633</v>
      </c>
      <c r="DH179" s="62" t="s">
        <v>2185</v>
      </c>
      <c r="DI179" s="61">
        <v>329</v>
      </c>
      <c r="DJ179" s="61">
        <v>36</v>
      </c>
      <c r="DK179" s="61">
        <v>9</v>
      </c>
      <c r="DL179" s="61"/>
      <c r="DM179" s="61"/>
      <c r="DN179" s="61"/>
    </row>
    <row r="180" spans="1:118" x14ac:dyDescent="0.25">
      <c r="A180" s="61">
        <v>106301379</v>
      </c>
      <c r="B180" s="62" t="s">
        <v>850</v>
      </c>
      <c r="C180" s="62" t="s">
        <v>851</v>
      </c>
      <c r="D180" s="62" t="s">
        <v>770</v>
      </c>
      <c r="E180" s="62" t="s">
        <v>321</v>
      </c>
      <c r="F180" s="62" t="s">
        <v>2213</v>
      </c>
      <c r="G180" s="62" t="s">
        <v>852</v>
      </c>
      <c r="H180" s="62" t="s">
        <v>777</v>
      </c>
      <c r="I180" s="62" t="s">
        <v>778</v>
      </c>
      <c r="J180" s="62" t="s">
        <v>2184</v>
      </c>
      <c r="K180" s="62"/>
      <c r="L180" s="61">
        <v>46</v>
      </c>
      <c r="M180" s="61">
        <v>65</v>
      </c>
      <c r="N180" s="61">
        <v>29</v>
      </c>
      <c r="O180" s="62" t="s">
        <v>1905</v>
      </c>
      <c r="P180" s="62" t="s">
        <v>68</v>
      </c>
      <c r="Q180" s="62" t="s">
        <v>2167</v>
      </c>
      <c r="R180" s="62" t="s">
        <v>2167</v>
      </c>
      <c r="S180" s="62" t="s">
        <v>69</v>
      </c>
      <c r="T180" s="61">
        <v>11936</v>
      </c>
      <c r="U180" s="61">
        <v>11461</v>
      </c>
      <c r="V180" s="61"/>
      <c r="W180" s="61">
        <v>2212</v>
      </c>
      <c r="X180" s="61">
        <v>2330</v>
      </c>
      <c r="Y180" s="61">
        <v>4109</v>
      </c>
      <c r="Z180" s="61">
        <v>3584</v>
      </c>
      <c r="AA180" s="61">
        <v>3275</v>
      </c>
      <c r="AB180" s="61">
        <v>3368</v>
      </c>
      <c r="AC180" s="61">
        <v>1893</v>
      </c>
      <c r="AD180" s="61">
        <v>1106</v>
      </c>
      <c r="AE180" s="61">
        <v>1215</v>
      </c>
      <c r="AF180" s="61">
        <v>304</v>
      </c>
      <c r="AG180" s="61">
        <v>1</v>
      </c>
      <c r="AH180" s="61">
        <v>2285</v>
      </c>
      <c r="AI180" s="61">
        <v>1739</v>
      </c>
      <c r="AJ180" s="61">
        <v>8717</v>
      </c>
      <c r="AK180" s="61">
        <v>14</v>
      </c>
      <c r="AL180" s="61">
        <v>625</v>
      </c>
      <c r="AM180" s="61">
        <v>100</v>
      </c>
      <c r="AN180" s="61">
        <v>9917</v>
      </c>
      <c r="AO180" s="61">
        <v>744</v>
      </c>
      <c r="AP180" s="61">
        <v>2091</v>
      </c>
      <c r="AQ180" s="61">
        <v>99</v>
      </c>
      <c r="AR180" s="61">
        <v>3</v>
      </c>
      <c r="AS180" s="61">
        <v>10</v>
      </c>
      <c r="AT180" s="61">
        <v>3</v>
      </c>
      <c r="AU180" s="61"/>
      <c r="AV180" s="61">
        <v>21</v>
      </c>
      <c r="AW180" s="61">
        <v>469</v>
      </c>
      <c r="AX180" s="61">
        <v>14</v>
      </c>
      <c r="AY180" s="61">
        <v>19369</v>
      </c>
      <c r="AZ180" s="61">
        <v>75</v>
      </c>
      <c r="BA180" s="61">
        <v>2</v>
      </c>
      <c r="BB180" s="61">
        <v>19</v>
      </c>
      <c r="BC180" s="61">
        <v>431</v>
      </c>
      <c r="BD180" s="61">
        <v>12376</v>
      </c>
      <c r="BE180" s="61">
        <v>2642</v>
      </c>
      <c r="BF180" s="61">
        <v>230</v>
      </c>
      <c r="BG180" s="61">
        <v>5129</v>
      </c>
      <c r="BH180" s="61">
        <v>2957</v>
      </c>
      <c r="BI180" s="61">
        <v>63</v>
      </c>
      <c r="BJ180" s="61">
        <v>23397</v>
      </c>
      <c r="BK180" s="61">
        <v>1007</v>
      </c>
      <c r="BL180" s="61">
        <v>19697</v>
      </c>
      <c r="BM180" s="61">
        <v>2693</v>
      </c>
      <c r="BN180" s="61">
        <v>2823</v>
      </c>
      <c r="BO180" s="61">
        <v>2663</v>
      </c>
      <c r="BP180" s="61"/>
      <c r="BQ180" s="61">
        <v>51</v>
      </c>
      <c r="BR180" s="61">
        <v>224</v>
      </c>
      <c r="BS180" s="61">
        <v>315</v>
      </c>
      <c r="BT180" s="61">
        <v>531</v>
      </c>
      <c r="BU180" s="61">
        <v>942</v>
      </c>
      <c r="BV180" s="61">
        <v>1067</v>
      </c>
      <c r="BW180" s="61">
        <v>1002</v>
      </c>
      <c r="BX180" s="61">
        <v>1354</v>
      </c>
      <c r="BY180" s="61"/>
      <c r="BZ180" s="61"/>
      <c r="CA180" s="61"/>
      <c r="CB180" s="61">
        <v>978</v>
      </c>
      <c r="CC180" s="61">
        <v>206</v>
      </c>
      <c r="CD180" s="61">
        <v>1213</v>
      </c>
      <c r="CE180" s="61">
        <v>119</v>
      </c>
      <c r="CF180" s="61">
        <v>15</v>
      </c>
      <c r="CG180" s="61">
        <v>2952</v>
      </c>
      <c r="CH180" s="61">
        <v>3</v>
      </c>
      <c r="CI180" s="61">
        <v>98</v>
      </c>
      <c r="CJ180" s="61">
        <v>755</v>
      </c>
      <c r="CK180" s="61">
        <v>257</v>
      </c>
      <c r="CL180" s="61">
        <v>220</v>
      </c>
      <c r="CM180" s="61">
        <v>10</v>
      </c>
      <c r="CN180" s="61"/>
      <c r="CO180" s="61">
        <v>68</v>
      </c>
      <c r="CP180" s="61">
        <v>3130</v>
      </c>
      <c r="CQ180" s="61">
        <v>692</v>
      </c>
      <c r="CR180" s="61">
        <v>2</v>
      </c>
      <c r="CS180" s="61">
        <v>56</v>
      </c>
      <c r="CT180" s="61">
        <v>20</v>
      </c>
      <c r="CU180" s="61">
        <v>129</v>
      </c>
      <c r="CV180" s="61">
        <v>10</v>
      </c>
      <c r="CW180" s="61">
        <v>34</v>
      </c>
      <c r="CX180" s="61">
        <v>1564</v>
      </c>
      <c r="CY180" s="61">
        <v>3260</v>
      </c>
      <c r="CZ180" s="61">
        <v>42</v>
      </c>
      <c r="DA180" s="61">
        <v>498</v>
      </c>
      <c r="DB180" s="61">
        <v>122</v>
      </c>
      <c r="DC180" s="61"/>
      <c r="DD180" s="61">
        <v>5486</v>
      </c>
      <c r="DE180" s="61">
        <v>645</v>
      </c>
      <c r="DF180" s="61">
        <v>4277</v>
      </c>
      <c r="DG180" s="61">
        <v>564</v>
      </c>
      <c r="DH180" s="62" t="s">
        <v>2185</v>
      </c>
      <c r="DI180" s="61">
        <v>219</v>
      </c>
      <c r="DJ180" s="61">
        <v>24</v>
      </c>
      <c r="DK180" s="61">
        <v>21</v>
      </c>
      <c r="DL180" s="61">
        <v>26</v>
      </c>
      <c r="DM180" s="61">
        <v>1</v>
      </c>
      <c r="DN180" s="61">
        <v>4</v>
      </c>
    </row>
    <row r="181" spans="1:118" x14ac:dyDescent="0.25">
      <c r="A181" s="61">
        <v>106301566</v>
      </c>
      <c r="B181" s="62" t="s">
        <v>853</v>
      </c>
      <c r="C181" s="62" t="s">
        <v>2067</v>
      </c>
      <c r="D181" s="62" t="s">
        <v>770</v>
      </c>
      <c r="E181" s="62" t="s">
        <v>184</v>
      </c>
      <c r="F181" s="62" t="s">
        <v>2213</v>
      </c>
      <c r="G181" s="62" t="s">
        <v>854</v>
      </c>
      <c r="H181" s="62" t="s">
        <v>813</v>
      </c>
      <c r="I181" s="62" t="s">
        <v>855</v>
      </c>
      <c r="J181" s="62" t="s">
        <v>2184</v>
      </c>
      <c r="K181" s="62" t="s">
        <v>82</v>
      </c>
      <c r="L181" s="61">
        <v>46</v>
      </c>
      <c r="M181" s="61">
        <v>69</v>
      </c>
      <c r="N181" s="61">
        <v>34</v>
      </c>
      <c r="O181" s="62" t="s">
        <v>1890</v>
      </c>
      <c r="P181" s="62" t="s">
        <v>68</v>
      </c>
      <c r="Q181" s="62" t="s">
        <v>2167</v>
      </c>
      <c r="R181" s="62" t="s">
        <v>2167</v>
      </c>
      <c r="S181" s="62" t="s">
        <v>69</v>
      </c>
      <c r="T181" s="61">
        <v>10352</v>
      </c>
      <c r="U181" s="61">
        <v>9436</v>
      </c>
      <c r="V181" s="61"/>
      <c r="W181" s="61">
        <v>1493</v>
      </c>
      <c r="X181" s="61">
        <v>1932</v>
      </c>
      <c r="Y181" s="61">
        <v>4379</v>
      </c>
      <c r="Z181" s="61">
        <v>3549</v>
      </c>
      <c r="AA181" s="61">
        <v>2950</v>
      </c>
      <c r="AB181" s="61">
        <v>2542</v>
      </c>
      <c r="AC181" s="61">
        <v>1368</v>
      </c>
      <c r="AD181" s="61">
        <v>616</v>
      </c>
      <c r="AE181" s="61">
        <v>600</v>
      </c>
      <c r="AF181" s="61">
        <v>359</v>
      </c>
      <c r="AG181" s="61"/>
      <c r="AH181" s="61">
        <v>716</v>
      </c>
      <c r="AI181" s="61">
        <v>745</v>
      </c>
      <c r="AJ181" s="61">
        <v>12361</v>
      </c>
      <c r="AK181" s="61">
        <v>14</v>
      </c>
      <c r="AL181" s="61">
        <v>603</v>
      </c>
      <c r="AM181" s="61">
        <v>32</v>
      </c>
      <c r="AN181" s="61">
        <v>5317</v>
      </c>
      <c r="AO181" s="61">
        <v>376</v>
      </c>
      <c r="AP181" s="61">
        <v>519</v>
      </c>
      <c r="AQ181" s="61">
        <v>90</v>
      </c>
      <c r="AR181" s="61">
        <v>1</v>
      </c>
      <c r="AS181" s="61">
        <v>12</v>
      </c>
      <c r="AT181" s="61">
        <v>5</v>
      </c>
      <c r="AU181" s="61"/>
      <c r="AV181" s="61">
        <v>232</v>
      </c>
      <c r="AW181" s="61">
        <v>212</v>
      </c>
      <c r="AX181" s="61">
        <v>3</v>
      </c>
      <c r="AY181" s="61">
        <v>18200</v>
      </c>
      <c r="AZ181" s="61">
        <v>36</v>
      </c>
      <c r="BA181" s="61">
        <v>19</v>
      </c>
      <c r="BB181" s="61">
        <v>3</v>
      </c>
      <c r="BC181" s="61">
        <v>64</v>
      </c>
      <c r="BD181" s="61">
        <v>3373</v>
      </c>
      <c r="BE181" s="61">
        <v>2061</v>
      </c>
      <c r="BF181" s="61">
        <v>1006</v>
      </c>
      <c r="BG181" s="61">
        <v>11099</v>
      </c>
      <c r="BH181" s="61">
        <v>2245</v>
      </c>
      <c r="BI181" s="61">
        <v>4</v>
      </c>
      <c r="BJ181" s="61">
        <v>19788</v>
      </c>
      <c r="BK181" s="61">
        <v>128</v>
      </c>
      <c r="BL181" s="61">
        <v>13689</v>
      </c>
      <c r="BM181" s="61">
        <v>5971</v>
      </c>
      <c r="BN181" s="61">
        <v>2090</v>
      </c>
      <c r="BO181" s="61">
        <v>2573</v>
      </c>
      <c r="BP181" s="61"/>
      <c r="BQ181" s="61">
        <v>124</v>
      </c>
      <c r="BR181" s="61">
        <v>529</v>
      </c>
      <c r="BS181" s="61">
        <v>526</v>
      </c>
      <c r="BT181" s="61">
        <v>523</v>
      </c>
      <c r="BU181" s="61">
        <v>891</v>
      </c>
      <c r="BV181" s="61">
        <v>762</v>
      </c>
      <c r="BW181" s="61">
        <v>557</v>
      </c>
      <c r="BX181" s="61">
        <v>722</v>
      </c>
      <c r="BY181" s="61">
        <v>12</v>
      </c>
      <c r="BZ181" s="61">
        <v>17</v>
      </c>
      <c r="CA181" s="61"/>
      <c r="CB181" s="61">
        <v>351</v>
      </c>
      <c r="CC181" s="61">
        <v>125</v>
      </c>
      <c r="CD181" s="61">
        <v>2170</v>
      </c>
      <c r="CE181" s="61">
        <v>165</v>
      </c>
      <c r="CF181" s="61">
        <v>9</v>
      </c>
      <c r="CG181" s="61">
        <v>1843</v>
      </c>
      <c r="CH181" s="61"/>
      <c r="CI181" s="61">
        <v>210</v>
      </c>
      <c r="CJ181" s="61">
        <v>185</v>
      </c>
      <c r="CK181" s="61">
        <v>188</v>
      </c>
      <c r="CL181" s="61">
        <v>193</v>
      </c>
      <c r="CM181" s="61">
        <v>151</v>
      </c>
      <c r="CN181" s="61"/>
      <c r="CO181" s="61">
        <v>20</v>
      </c>
      <c r="CP181" s="61">
        <v>2922</v>
      </c>
      <c r="CQ181" s="61">
        <v>619</v>
      </c>
      <c r="CR181" s="61">
        <v>27</v>
      </c>
      <c r="CS181" s="61">
        <v>83</v>
      </c>
      <c r="CT181" s="61">
        <v>28</v>
      </c>
      <c r="CU181" s="61"/>
      <c r="CV181" s="61"/>
      <c r="CW181" s="61">
        <v>5</v>
      </c>
      <c r="CX181" s="61">
        <v>1913</v>
      </c>
      <c r="CY181" s="61">
        <v>1637</v>
      </c>
      <c r="CZ181" s="61">
        <v>176</v>
      </c>
      <c r="DA181" s="61">
        <v>822</v>
      </c>
      <c r="DB181" s="61">
        <v>115</v>
      </c>
      <c r="DC181" s="61"/>
      <c r="DD181" s="61">
        <v>4663</v>
      </c>
      <c r="DE181" s="61">
        <v>94</v>
      </c>
      <c r="DF181" s="61">
        <v>3259</v>
      </c>
      <c r="DG181" s="61">
        <v>1310</v>
      </c>
      <c r="DH181" s="62" t="s">
        <v>2185</v>
      </c>
      <c r="DI181" s="61">
        <v>282</v>
      </c>
      <c r="DJ181" s="61">
        <v>20</v>
      </c>
      <c r="DK181" s="61">
        <v>16</v>
      </c>
      <c r="DL181" s="61"/>
      <c r="DM181" s="61"/>
      <c r="DN181" s="61">
        <v>32</v>
      </c>
    </row>
    <row r="182" spans="1:118" x14ac:dyDescent="0.25">
      <c r="A182" s="61">
        <v>106304113</v>
      </c>
      <c r="B182" s="62" t="s">
        <v>856</v>
      </c>
      <c r="C182" s="62" t="s">
        <v>2068</v>
      </c>
      <c r="D182" s="62" t="s">
        <v>770</v>
      </c>
      <c r="E182" s="62" t="s">
        <v>71</v>
      </c>
      <c r="F182" s="62" t="s">
        <v>2213</v>
      </c>
      <c r="G182" s="62" t="s">
        <v>857</v>
      </c>
      <c r="H182" s="62" t="s">
        <v>818</v>
      </c>
      <c r="I182" s="62" t="s">
        <v>819</v>
      </c>
      <c r="J182" s="62" t="s">
        <v>2188</v>
      </c>
      <c r="K182" s="62"/>
      <c r="L182" s="61">
        <v>45</v>
      </c>
      <c r="M182" s="61">
        <v>73</v>
      </c>
      <c r="N182" s="61">
        <v>36</v>
      </c>
      <c r="O182" s="62" t="s">
        <v>1899</v>
      </c>
      <c r="P182" s="62" t="s">
        <v>68</v>
      </c>
      <c r="Q182" s="62" t="s">
        <v>2167</v>
      </c>
      <c r="R182" s="62" t="s">
        <v>2167</v>
      </c>
      <c r="S182" s="62" t="s">
        <v>69</v>
      </c>
      <c r="T182" s="61">
        <v>5804</v>
      </c>
      <c r="U182" s="61">
        <v>6925</v>
      </c>
      <c r="V182" s="61"/>
      <c r="W182" s="61">
        <v>6757</v>
      </c>
      <c r="X182" s="61">
        <v>4758</v>
      </c>
      <c r="Y182" s="61"/>
      <c r="Z182" s="61"/>
      <c r="AA182" s="61"/>
      <c r="AB182" s="61"/>
      <c r="AC182" s="61"/>
      <c r="AD182" s="61"/>
      <c r="AE182" s="61"/>
      <c r="AF182" s="61">
        <v>1214</v>
      </c>
      <c r="AG182" s="61"/>
      <c r="AH182" s="61">
        <v>483</v>
      </c>
      <c r="AI182" s="61">
        <v>201</v>
      </c>
      <c r="AJ182" s="61">
        <v>3346</v>
      </c>
      <c r="AK182" s="61">
        <v>4</v>
      </c>
      <c r="AL182" s="61">
        <v>979</v>
      </c>
      <c r="AM182" s="61">
        <v>38</v>
      </c>
      <c r="AN182" s="61">
        <v>7678</v>
      </c>
      <c r="AO182" s="61">
        <v>112</v>
      </c>
      <c r="AP182" s="61">
        <v>22</v>
      </c>
      <c r="AQ182" s="61">
        <v>5</v>
      </c>
      <c r="AR182" s="61"/>
      <c r="AS182" s="61"/>
      <c r="AT182" s="61"/>
      <c r="AU182" s="61"/>
      <c r="AV182" s="61"/>
      <c r="AW182" s="61">
        <v>66</v>
      </c>
      <c r="AX182" s="61"/>
      <c r="AY182" s="61">
        <v>12513</v>
      </c>
      <c r="AZ182" s="61">
        <v>1</v>
      </c>
      <c r="BA182" s="61"/>
      <c r="BB182" s="61"/>
      <c r="BC182" s="61">
        <v>10</v>
      </c>
      <c r="BD182" s="61">
        <v>5392</v>
      </c>
      <c r="BE182" s="61">
        <v>220</v>
      </c>
      <c r="BF182" s="61">
        <v>305</v>
      </c>
      <c r="BG182" s="61">
        <v>6110</v>
      </c>
      <c r="BH182" s="61">
        <v>702</v>
      </c>
      <c r="BI182" s="61"/>
      <c r="BJ182" s="61">
        <v>12729</v>
      </c>
      <c r="BK182" s="61">
        <v>33</v>
      </c>
      <c r="BL182" s="61">
        <v>11462</v>
      </c>
      <c r="BM182" s="61">
        <v>1234</v>
      </c>
      <c r="BN182" s="61">
        <v>509</v>
      </c>
      <c r="BO182" s="61">
        <v>621</v>
      </c>
      <c r="BP182" s="61"/>
      <c r="BQ182" s="61">
        <v>385</v>
      </c>
      <c r="BR182" s="61"/>
      <c r="BS182" s="61"/>
      <c r="BT182" s="61"/>
      <c r="BU182" s="61"/>
      <c r="BV182" s="61"/>
      <c r="BW182" s="61"/>
      <c r="BX182" s="61"/>
      <c r="BY182" s="61">
        <v>219</v>
      </c>
      <c r="BZ182" s="61">
        <v>526</v>
      </c>
      <c r="CA182" s="61"/>
      <c r="CB182" s="61">
        <v>55</v>
      </c>
      <c r="CC182" s="61">
        <v>24</v>
      </c>
      <c r="CD182" s="61">
        <v>246</v>
      </c>
      <c r="CE182" s="61">
        <v>94</v>
      </c>
      <c r="CF182" s="61">
        <v>5</v>
      </c>
      <c r="CG182" s="61">
        <v>706</v>
      </c>
      <c r="CH182" s="61"/>
      <c r="CI182" s="61"/>
      <c r="CJ182" s="61"/>
      <c r="CK182" s="61">
        <v>3</v>
      </c>
      <c r="CL182" s="61">
        <v>5</v>
      </c>
      <c r="CM182" s="61"/>
      <c r="CN182" s="61"/>
      <c r="CO182" s="61">
        <v>1</v>
      </c>
      <c r="CP182" s="61">
        <v>1087</v>
      </c>
      <c r="CQ182" s="61"/>
      <c r="CR182" s="61"/>
      <c r="CS182" s="61"/>
      <c r="CT182" s="61">
        <v>10</v>
      </c>
      <c r="CU182" s="61">
        <v>22</v>
      </c>
      <c r="CV182" s="61"/>
      <c r="CW182" s="61">
        <v>2</v>
      </c>
      <c r="CX182" s="61">
        <v>423</v>
      </c>
      <c r="CY182" s="61"/>
      <c r="CZ182" s="61">
        <v>24</v>
      </c>
      <c r="DA182" s="61">
        <v>655</v>
      </c>
      <c r="DB182" s="61">
        <v>28</v>
      </c>
      <c r="DC182" s="61"/>
      <c r="DD182" s="61">
        <v>1130</v>
      </c>
      <c r="DE182" s="61">
        <v>6</v>
      </c>
      <c r="DF182" s="61">
        <v>1025</v>
      </c>
      <c r="DG182" s="61">
        <v>99</v>
      </c>
      <c r="DH182" s="62" t="s">
        <v>2185</v>
      </c>
      <c r="DI182" s="61">
        <v>54</v>
      </c>
      <c r="DJ182" s="61">
        <v>33</v>
      </c>
      <c r="DK182" s="61"/>
      <c r="DL182" s="61"/>
      <c r="DM182" s="61"/>
      <c r="DN182" s="61"/>
    </row>
    <row r="183" spans="1:118" x14ac:dyDescent="0.25">
      <c r="A183" s="61">
        <v>106304409</v>
      </c>
      <c r="B183" s="62" t="s">
        <v>858</v>
      </c>
      <c r="C183" s="62" t="s">
        <v>2069</v>
      </c>
      <c r="D183" s="62" t="s">
        <v>770</v>
      </c>
      <c r="E183" s="62" t="s">
        <v>71</v>
      </c>
      <c r="F183" s="62" t="s">
        <v>2213</v>
      </c>
      <c r="G183" s="62" t="s">
        <v>859</v>
      </c>
      <c r="H183" s="62" t="s">
        <v>777</v>
      </c>
      <c r="I183" s="62" t="s">
        <v>860</v>
      </c>
      <c r="J183" s="62" t="s">
        <v>2184</v>
      </c>
      <c r="K183" s="62"/>
      <c r="L183" s="61">
        <v>46</v>
      </c>
      <c r="M183" s="61">
        <v>68</v>
      </c>
      <c r="N183" s="61">
        <v>37</v>
      </c>
      <c r="O183" s="62" t="s">
        <v>1901</v>
      </c>
      <c r="P183" s="62" t="s">
        <v>68</v>
      </c>
      <c r="Q183" s="62" t="s">
        <v>2167</v>
      </c>
      <c r="R183" s="62" t="s">
        <v>2167</v>
      </c>
      <c r="S183" s="62" t="s">
        <v>69</v>
      </c>
      <c r="T183" s="61">
        <v>50586</v>
      </c>
      <c r="U183" s="61">
        <v>40838</v>
      </c>
      <c r="V183" s="61">
        <v>2</v>
      </c>
      <c r="W183" s="61">
        <v>9344</v>
      </c>
      <c r="X183" s="61">
        <v>8971</v>
      </c>
      <c r="Y183" s="61">
        <v>13042</v>
      </c>
      <c r="Z183" s="61">
        <v>11272</v>
      </c>
      <c r="AA183" s="61">
        <v>10817</v>
      </c>
      <c r="AB183" s="61">
        <v>11408</v>
      </c>
      <c r="AC183" s="61">
        <v>10074</v>
      </c>
      <c r="AD183" s="61">
        <v>7670</v>
      </c>
      <c r="AE183" s="61">
        <v>6732</v>
      </c>
      <c r="AF183" s="61">
        <v>2096</v>
      </c>
      <c r="AG183" s="61"/>
      <c r="AH183" s="61">
        <v>11408</v>
      </c>
      <c r="AI183" s="61">
        <v>3931</v>
      </c>
      <c r="AJ183" s="61">
        <v>27052</v>
      </c>
      <c r="AK183" s="61">
        <v>287</v>
      </c>
      <c r="AL183" s="61">
        <v>496</v>
      </c>
      <c r="AM183" s="61">
        <v>864</v>
      </c>
      <c r="AN183" s="61">
        <v>47388</v>
      </c>
      <c r="AO183" s="61">
        <v>407</v>
      </c>
      <c r="AP183" s="61">
        <v>495</v>
      </c>
      <c r="AQ183" s="61">
        <v>61</v>
      </c>
      <c r="AR183" s="61">
        <v>511</v>
      </c>
      <c r="AS183" s="61">
        <v>78</v>
      </c>
      <c r="AT183" s="61">
        <v>49</v>
      </c>
      <c r="AU183" s="61"/>
      <c r="AV183" s="61">
        <v>16</v>
      </c>
      <c r="AW183" s="61">
        <v>872</v>
      </c>
      <c r="AX183" s="61"/>
      <c r="AY183" s="61">
        <v>88463</v>
      </c>
      <c r="AZ183" s="61">
        <v>362</v>
      </c>
      <c r="BA183" s="61"/>
      <c r="BB183" s="61"/>
      <c r="BC183" s="61">
        <v>111</v>
      </c>
      <c r="BD183" s="61">
        <v>15438</v>
      </c>
      <c r="BE183" s="61">
        <v>19470</v>
      </c>
      <c r="BF183" s="61">
        <v>420</v>
      </c>
      <c r="BG183" s="61">
        <v>53224</v>
      </c>
      <c r="BH183" s="61">
        <v>2873</v>
      </c>
      <c r="BI183" s="61">
        <v>1</v>
      </c>
      <c r="BJ183" s="61">
        <v>91426</v>
      </c>
      <c r="BK183" s="61">
        <v>2086</v>
      </c>
      <c r="BL183" s="61">
        <v>81581</v>
      </c>
      <c r="BM183" s="61">
        <v>7759</v>
      </c>
      <c r="BN183" s="61">
        <v>6791</v>
      </c>
      <c r="BO183" s="61">
        <v>6251</v>
      </c>
      <c r="BP183" s="61">
        <v>1</v>
      </c>
      <c r="BQ183" s="61">
        <v>307</v>
      </c>
      <c r="BR183" s="61">
        <v>595</v>
      </c>
      <c r="BS183" s="61">
        <v>723</v>
      </c>
      <c r="BT183" s="61">
        <v>1135</v>
      </c>
      <c r="BU183" s="61">
        <v>1808</v>
      </c>
      <c r="BV183" s="61">
        <v>2449</v>
      </c>
      <c r="BW183" s="61">
        <v>2677</v>
      </c>
      <c r="BX183" s="61">
        <v>2927</v>
      </c>
      <c r="BY183" s="61">
        <v>142</v>
      </c>
      <c r="BZ183" s="61">
        <v>280</v>
      </c>
      <c r="CA183" s="61"/>
      <c r="CB183" s="61">
        <v>1589</v>
      </c>
      <c r="CC183" s="61">
        <v>421</v>
      </c>
      <c r="CD183" s="61">
        <v>2540</v>
      </c>
      <c r="CE183" s="61">
        <v>27</v>
      </c>
      <c r="CF183" s="61">
        <v>44</v>
      </c>
      <c r="CG183" s="61">
        <v>8394</v>
      </c>
      <c r="CH183" s="61">
        <v>28</v>
      </c>
      <c r="CI183" s="61">
        <v>379</v>
      </c>
      <c r="CJ183" s="61">
        <v>112</v>
      </c>
      <c r="CK183" s="61">
        <v>328</v>
      </c>
      <c r="CL183" s="61">
        <v>2326</v>
      </c>
      <c r="CM183" s="61">
        <v>26</v>
      </c>
      <c r="CN183" s="61"/>
      <c r="CO183" s="61">
        <v>1</v>
      </c>
      <c r="CP183" s="61">
        <v>8317</v>
      </c>
      <c r="CQ183" s="61">
        <v>1139</v>
      </c>
      <c r="CR183" s="61"/>
      <c r="CS183" s="61">
        <v>377</v>
      </c>
      <c r="CT183" s="61">
        <v>28</v>
      </c>
      <c r="CU183" s="61">
        <v>1</v>
      </c>
      <c r="CV183" s="61"/>
      <c r="CW183" s="61">
        <v>8</v>
      </c>
      <c r="CX183" s="61">
        <v>924</v>
      </c>
      <c r="CY183" s="61">
        <v>6963</v>
      </c>
      <c r="CZ183" s="61">
        <v>12</v>
      </c>
      <c r="DA183" s="61">
        <v>5038</v>
      </c>
      <c r="DB183" s="61">
        <v>106</v>
      </c>
      <c r="DC183" s="61"/>
      <c r="DD183" s="61">
        <v>13043</v>
      </c>
      <c r="DE183" s="61">
        <v>375</v>
      </c>
      <c r="DF183" s="61">
        <v>11720</v>
      </c>
      <c r="DG183" s="61">
        <v>948</v>
      </c>
      <c r="DH183" s="62" t="s">
        <v>2185</v>
      </c>
      <c r="DI183" s="61">
        <v>262</v>
      </c>
      <c r="DJ183" s="61">
        <v>36</v>
      </c>
      <c r="DK183" s="61">
        <v>1</v>
      </c>
      <c r="DL183" s="61"/>
      <c r="DM183" s="61"/>
      <c r="DN183" s="61">
        <v>1</v>
      </c>
    </row>
    <row r="184" spans="1:118" x14ac:dyDescent="0.25">
      <c r="A184" s="61">
        <v>106304460</v>
      </c>
      <c r="B184" s="62" t="s">
        <v>2070</v>
      </c>
      <c r="C184" s="62" t="s">
        <v>2071</v>
      </c>
      <c r="D184" s="62" t="s">
        <v>770</v>
      </c>
      <c r="E184" s="62" t="s">
        <v>321</v>
      </c>
      <c r="F184" s="62" t="s">
        <v>2213</v>
      </c>
      <c r="G184" s="62" t="s">
        <v>2072</v>
      </c>
      <c r="H184" s="62" t="s">
        <v>2073</v>
      </c>
      <c r="I184" s="62" t="s">
        <v>2074</v>
      </c>
      <c r="J184" s="62" t="s">
        <v>2188</v>
      </c>
      <c r="K184" s="62"/>
      <c r="L184" s="61">
        <v>45</v>
      </c>
      <c r="M184" s="61">
        <v>74</v>
      </c>
      <c r="N184" s="61">
        <v>37</v>
      </c>
      <c r="O184" s="62" t="s">
        <v>2075</v>
      </c>
      <c r="P184" s="62" t="s">
        <v>68</v>
      </c>
      <c r="Q184" s="62" t="s">
        <v>2167</v>
      </c>
      <c r="R184" s="62" t="s">
        <v>2167</v>
      </c>
      <c r="S184" s="62"/>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v>9</v>
      </c>
      <c r="BO184" s="61">
        <v>6</v>
      </c>
      <c r="BP184" s="61"/>
      <c r="BQ184" s="61"/>
      <c r="BR184" s="61"/>
      <c r="BS184" s="61">
        <v>1</v>
      </c>
      <c r="BT184" s="61"/>
      <c r="BU184" s="61">
        <v>1</v>
      </c>
      <c r="BV184" s="61">
        <v>3</v>
      </c>
      <c r="BW184" s="61">
        <v>4</v>
      </c>
      <c r="BX184" s="61">
        <v>6</v>
      </c>
      <c r="BY184" s="61"/>
      <c r="BZ184" s="61"/>
      <c r="CA184" s="61"/>
      <c r="CB184" s="61">
        <v>2</v>
      </c>
      <c r="CC184" s="61"/>
      <c r="CD184" s="61">
        <v>1</v>
      </c>
      <c r="CE184" s="61"/>
      <c r="CF184" s="61"/>
      <c r="CG184" s="61">
        <v>12</v>
      </c>
      <c r="CH184" s="61"/>
      <c r="CI184" s="61"/>
      <c r="CJ184" s="61"/>
      <c r="CK184" s="61"/>
      <c r="CL184" s="61">
        <v>4</v>
      </c>
      <c r="CM184" s="61"/>
      <c r="CN184" s="61"/>
      <c r="CO184" s="61"/>
      <c r="CP184" s="61">
        <v>3</v>
      </c>
      <c r="CQ184" s="61">
        <v>8</v>
      </c>
      <c r="CR184" s="61"/>
      <c r="CS184" s="61"/>
      <c r="CT184" s="61"/>
      <c r="CU184" s="61"/>
      <c r="CV184" s="61"/>
      <c r="CW184" s="61"/>
      <c r="CX184" s="61">
        <v>2</v>
      </c>
      <c r="CY184" s="61">
        <v>10</v>
      </c>
      <c r="CZ184" s="61"/>
      <c r="DA184" s="61">
        <v>3</v>
      </c>
      <c r="DB184" s="61"/>
      <c r="DC184" s="61"/>
      <c r="DD184" s="61">
        <v>15</v>
      </c>
      <c r="DE184" s="61">
        <v>2</v>
      </c>
      <c r="DF184" s="61">
        <v>13</v>
      </c>
      <c r="DG184" s="61"/>
      <c r="DH184" s="62" t="s">
        <v>2185</v>
      </c>
      <c r="DI184" s="61">
        <v>70</v>
      </c>
      <c r="DJ184" s="61">
        <v>0</v>
      </c>
      <c r="DK184" s="61"/>
      <c r="DL184" s="61"/>
      <c r="DM184" s="61"/>
      <c r="DN184" s="61"/>
    </row>
    <row r="185" spans="1:118" x14ac:dyDescent="0.25">
      <c r="A185" s="61">
        <v>106310791</v>
      </c>
      <c r="B185" s="62" t="s">
        <v>861</v>
      </c>
      <c r="C185" s="62" t="s">
        <v>862</v>
      </c>
      <c r="D185" s="62" t="s">
        <v>863</v>
      </c>
      <c r="E185" s="62" t="s">
        <v>71</v>
      </c>
      <c r="F185" s="62" t="s">
        <v>2213</v>
      </c>
      <c r="G185" s="62" t="s">
        <v>864</v>
      </c>
      <c r="H185" s="62" t="s">
        <v>865</v>
      </c>
      <c r="I185" s="62" t="s">
        <v>866</v>
      </c>
      <c r="J185" s="62" t="s">
        <v>2188</v>
      </c>
      <c r="K185" s="62"/>
      <c r="L185" s="61">
        <v>1</v>
      </c>
      <c r="M185" s="61">
        <v>1</v>
      </c>
      <c r="N185" s="61">
        <v>1</v>
      </c>
      <c r="O185" s="62" t="s">
        <v>1906</v>
      </c>
      <c r="P185" s="62" t="s">
        <v>68</v>
      </c>
      <c r="Q185" s="62" t="s">
        <v>2167</v>
      </c>
      <c r="R185" s="62" t="s">
        <v>2167</v>
      </c>
      <c r="S185" s="62" t="s">
        <v>69</v>
      </c>
      <c r="T185" s="61">
        <v>12894</v>
      </c>
      <c r="U185" s="61">
        <v>11114</v>
      </c>
      <c r="V185" s="61"/>
      <c r="W185" s="61">
        <v>1916</v>
      </c>
      <c r="X185" s="61">
        <v>2136</v>
      </c>
      <c r="Y185" s="61">
        <v>3470</v>
      </c>
      <c r="Z185" s="61">
        <v>3164</v>
      </c>
      <c r="AA185" s="61">
        <v>2761</v>
      </c>
      <c r="AB185" s="61">
        <v>3363</v>
      </c>
      <c r="AC185" s="61">
        <v>2749</v>
      </c>
      <c r="AD185" s="61">
        <v>1953</v>
      </c>
      <c r="AE185" s="61">
        <v>2209</v>
      </c>
      <c r="AF185" s="61">
        <v>287</v>
      </c>
      <c r="AG185" s="61"/>
      <c r="AH185" s="61">
        <v>255</v>
      </c>
      <c r="AI185" s="61">
        <v>312</v>
      </c>
      <c r="AJ185" s="61">
        <v>1901</v>
      </c>
      <c r="AK185" s="61">
        <v>111</v>
      </c>
      <c r="AL185" s="61">
        <v>194</v>
      </c>
      <c r="AM185" s="61">
        <v>451</v>
      </c>
      <c r="AN185" s="61">
        <v>20784</v>
      </c>
      <c r="AO185" s="61">
        <v>425</v>
      </c>
      <c r="AP185" s="61">
        <v>138</v>
      </c>
      <c r="AQ185" s="61">
        <v>42</v>
      </c>
      <c r="AR185" s="61">
        <v>130</v>
      </c>
      <c r="AS185" s="61">
        <v>28</v>
      </c>
      <c r="AT185" s="61">
        <v>16</v>
      </c>
      <c r="AU185" s="61"/>
      <c r="AV185" s="61">
        <v>132</v>
      </c>
      <c r="AW185" s="61">
        <v>325</v>
      </c>
      <c r="AX185" s="61">
        <v>15</v>
      </c>
      <c r="AY185" s="61">
        <v>21996</v>
      </c>
      <c r="AZ185" s="61">
        <v>266</v>
      </c>
      <c r="BA185" s="61"/>
      <c r="BB185" s="61">
        <v>56</v>
      </c>
      <c r="BC185" s="61">
        <v>142</v>
      </c>
      <c r="BD185" s="61">
        <v>9375</v>
      </c>
      <c r="BE185" s="61">
        <v>6506</v>
      </c>
      <c r="BF185" s="61">
        <v>816</v>
      </c>
      <c r="BG185" s="61">
        <v>5349</v>
      </c>
      <c r="BH185" s="61">
        <v>1876</v>
      </c>
      <c r="BI185" s="61">
        <v>86</v>
      </c>
      <c r="BJ185" s="61">
        <v>24008</v>
      </c>
      <c r="BK185" s="61">
        <v>156</v>
      </c>
      <c r="BL185" s="61">
        <v>23332</v>
      </c>
      <c r="BM185" s="61">
        <v>520</v>
      </c>
      <c r="BN185" s="61">
        <v>1460</v>
      </c>
      <c r="BO185" s="61">
        <v>1299</v>
      </c>
      <c r="BP185" s="61"/>
      <c r="BQ185" s="61">
        <v>31</v>
      </c>
      <c r="BR185" s="61">
        <v>91</v>
      </c>
      <c r="BS185" s="61">
        <v>112</v>
      </c>
      <c r="BT185" s="61">
        <v>171</v>
      </c>
      <c r="BU185" s="61">
        <v>413</v>
      </c>
      <c r="BV185" s="61">
        <v>558</v>
      </c>
      <c r="BW185" s="61">
        <v>598</v>
      </c>
      <c r="BX185" s="61">
        <v>773</v>
      </c>
      <c r="BY185" s="61">
        <v>2</v>
      </c>
      <c r="BZ185" s="61">
        <v>10</v>
      </c>
      <c r="CA185" s="61"/>
      <c r="CB185" s="61">
        <v>31</v>
      </c>
      <c r="CC185" s="61">
        <v>18</v>
      </c>
      <c r="CD185" s="61">
        <v>108</v>
      </c>
      <c r="CE185" s="61">
        <v>18</v>
      </c>
      <c r="CF185" s="61">
        <v>52</v>
      </c>
      <c r="CG185" s="61">
        <v>2523</v>
      </c>
      <c r="CH185" s="61">
        <v>9</v>
      </c>
      <c r="CI185" s="61">
        <v>105</v>
      </c>
      <c r="CJ185" s="61">
        <v>33</v>
      </c>
      <c r="CK185" s="61">
        <v>94</v>
      </c>
      <c r="CL185" s="61">
        <v>239</v>
      </c>
      <c r="CM185" s="61">
        <v>9</v>
      </c>
      <c r="CN185" s="61"/>
      <c r="CO185" s="61">
        <v>10</v>
      </c>
      <c r="CP185" s="61">
        <v>1387</v>
      </c>
      <c r="CQ185" s="61">
        <v>752</v>
      </c>
      <c r="CR185" s="61"/>
      <c r="CS185" s="61">
        <v>76</v>
      </c>
      <c r="CT185" s="61">
        <v>10</v>
      </c>
      <c r="CU185" s="61">
        <v>1</v>
      </c>
      <c r="CV185" s="61"/>
      <c r="CW185" s="61">
        <v>43</v>
      </c>
      <c r="CX185" s="61">
        <v>486</v>
      </c>
      <c r="CY185" s="61">
        <v>1842</v>
      </c>
      <c r="CZ185" s="61">
        <v>63</v>
      </c>
      <c r="DA185" s="61">
        <v>335</v>
      </c>
      <c r="DB185" s="61">
        <v>33</v>
      </c>
      <c r="DC185" s="61"/>
      <c r="DD185" s="61">
        <v>2759</v>
      </c>
      <c r="DE185" s="61">
        <v>26</v>
      </c>
      <c r="DF185" s="61">
        <v>2712</v>
      </c>
      <c r="DG185" s="61">
        <v>21</v>
      </c>
      <c r="DH185" s="62" t="s">
        <v>2185</v>
      </c>
      <c r="DI185" s="61">
        <v>72</v>
      </c>
      <c r="DJ185" s="61">
        <v>14</v>
      </c>
      <c r="DK185" s="61">
        <v>155</v>
      </c>
      <c r="DL185" s="61">
        <v>142</v>
      </c>
      <c r="DM185" s="61"/>
      <c r="DN185" s="61"/>
    </row>
    <row r="186" spans="1:118" x14ac:dyDescent="0.25">
      <c r="A186" s="61">
        <v>106311000</v>
      </c>
      <c r="B186" s="62" t="s">
        <v>867</v>
      </c>
      <c r="C186" s="62" t="s">
        <v>868</v>
      </c>
      <c r="D186" s="62" t="s">
        <v>863</v>
      </c>
      <c r="E186" s="62" t="s">
        <v>71</v>
      </c>
      <c r="F186" s="62" t="s">
        <v>2213</v>
      </c>
      <c r="G186" s="62" t="s">
        <v>869</v>
      </c>
      <c r="H186" s="62" t="s">
        <v>870</v>
      </c>
      <c r="I186" s="62" t="s">
        <v>871</v>
      </c>
      <c r="J186" s="62" t="s">
        <v>2186</v>
      </c>
      <c r="K186" s="62" t="s">
        <v>82</v>
      </c>
      <c r="L186" s="61">
        <v>4</v>
      </c>
      <c r="M186" s="61">
        <v>6</v>
      </c>
      <c r="N186" s="61">
        <v>4</v>
      </c>
      <c r="O186" s="62" t="s">
        <v>1907</v>
      </c>
      <c r="P186" s="62" t="s">
        <v>68</v>
      </c>
      <c r="Q186" s="62" t="s">
        <v>2167</v>
      </c>
      <c r="R186" s="62" t="s">
        <v>2167</v>
      </c>
      <c r="S186" s="62" t="s">
        <v>69</v>
      </c>
      <c r="T186" s="61">
        <v>34759</v>
      </c>
      <c r="U186" s="61">
        <v>25804</v>
      </c>
      <c r="V186" s="61">
        <v>3</v>
      </c>
      <c r="W186" s="61">
        <v>6708</v>
      </c>
      <c r="X186" s="61">
        <v>6539</v>
      </c>
      <c r="Y186" s="61">
        <v>9800</v>
      </c>
      <c r="Z186" s="61">
        <v>8835</v>
      </c>
      <c r="AA186" s="61">
        <v>7102</v>
      </c>
      <c r="AB186" s="61">
        <v>6921</v>
      </c>
      <c r="AC186" s="61">
        <v>4917</v>
      </c>
      <c r="AD186" s="61">
        <v>3805</v>
      </c>
      <c r="AE186" s="61">
        <v>4597</v>
      </c>
      <c r="AF186" s="61">
        <v>1342</v>
      </c>
      <c r="AG186" s="61"/>
      <c r="AH186" s="61">
        <v>2069</v>
      </c>
      <c r="AI186" s="61">
        <v>2335</v>
      </c>
      <c r="AJ186" s="61">
        <v>8704</v>
      </c>
      <c r="AK186" s="61">
        <v>190</v>
      </c>
      <c r="AL186" s="61">
        <v>1809</v>
      </c>
      <c r="AM186" s="61">
        <v>1474</v>
      </c>
      <c r="AN186" s="61">
        <v>43985</v>
      </c>
      <c r="AO186" s="61">
        <v>484</v>
      </c>
      <c r="AP186" s="61">
        <v>342</v>
      </c>
      <c r="AQ186" s="61">
        <v>90</v>
      </c>
      <c r="AR186" s="61">
        <v>378</v>
      </c>
      <c r="AS186" s="61">
        <v>112</v>
      </c>
      <c r="AT186" s="61">
        <v>6</v>
      </c>
      <c r="AU186" s="61"/>
      <c r="AV186" s="61">
        <v>164</v>
      </c>
      <c r="AW186" s="61">
        <v>920</v>
      </c>
      <c r="AX186" s="61">
        <v>9</v>
      </c>
      <c r="AY186" s="61">
        <v>57008</v>
      </c>
      <c r="AZ186" s="61">
        <v>394</v>
      </c>
      <c r="BA186" s="61">
        <v>12</v>
      </c>
      <c r="BB186" s="61">
        <v>48</v>
      </c>
      <c r="BC186" s="61">
        <v>287</v>
      </c>
      <c r="BD186" s="61">
        <v>23957</v>
      </c>
      <c r="BE186" s="61">
        <v>12516</v>
      </c>
      <c r="BF186" s="61">
        <v>2559</v>
      </c>
      <c r="BG186" s="61">
        <v>17422</v>
      </c>
      <c r="BH186" s="61">
        <v>4025</v>
      </c>
      <c r="BI186" s="61">
        <v>87</v>
      </c>
      <c r="BJ186" s="61">
        <v>60566</v>
      </c>
      <c r="BK186" s="61">
        <v>1403</v>
      </c>
      <c r="BL186" s="61">
        <v>57082</v>
      </c>
      <c r="BM186" s="61">
        <v>2081</v>
      </c>
      <c r="BN186" s="61">
        <v>5895</v>
      </c>
      <c r="BO186" s="61">
        <v>5486</v>
      </c>
      <c r="BP186" s="61"/>
      <c r="BQ186" s="61">
        <v>265</v>
      </c>
      <c r="BR186" s="61">
        <v>623</v>
      </c>
      <c r="BS186" s="61">
        <v>866</v>
      </c>
      <c r="BT186" s="61">
        <v>1007</v>
      </c>
      <c r="BU186" s="61">
        <v>1572</v>
      </c>
      <c r="BV186" s="61">
        <v>1865</v>
      </c>
      <c r="BW186" s="61">
        <v>2134</v>
      </c>
      <c r="BX186" s="61">
        <v>2924</v>
      </c>
      <c r="BY186" s="61">
        <v>37</v>
      </c>
      <c r="BZ186" s="61">
        <v>88</v>
      </c>
      <c r="CA186" s="61"/>
      <c r="CB186" s="61">
        <v>415</v>
      </c>
      <c r="CC186" s="61">
        <v>304</v>
      </c>
      <c r="CD186" s="61">
        <v>906</v>
      </c>
      <c r="CE186" s="61">
        <v>220</v>
      </c>
      <c r="CF186" s="61">
        <v>150</v>
      </c>
      <c r="CG186" s="61">
        <v>9301</v>
      </c>
      <c r="CH186" s="61">
        <v>85</v>
      </c>
      <c r="CI186" s="61">
        <v>304</v>
      </c>
      <c r="CJ186" s="61">
        <v>141</v>
      </c>
      <c r="CK186" s="61">
        <v>378</v>
      </c>
      <c r="CL186" s="61">
        <v>1964</v>
      </c>
      <c r="CM186" s="61">
        <v>278</v>
      </c>
      <c r="CN186" s="61"/>
      <c r="CO186" s="61">
        <v>34</v>
      </c>
      <c r="CP186" s="61">
        <v>6189</v>
      </c>
      <c r="CQ186" s="61">
        <v>1617</v>
      </c>
      <c r="CR186" s="61"/>
      <c r="CS186" s="61">
        <v>367</v>
      </c>
      <c r="CT186" s="61">
        <v>85</v>
      </c>
      <c r="CU186" s="61"/>
      <c r="CV186" s="61">
        <v>13</v>
      </c>
      <c r="CW186" s="61">
        <v>10</v>
      </c>
      <c r="CX186" s="61">
        <v>2036</v>
      </c>
      <c r="CY186" s="61">
        <v>6546</v>
      </c>
      <c r="CZ186" s="61">
        <v>281</v>
      </c>
      <c r="DA186" s="61">
        <v>2364</v>
      </c>
      <c r="DB186" s="61">
        <v>154</v>
      </c>
      <c r="DC186" s="61"/>
      <c r="DD186" s="61">
        <v>11381</v>
      </c>
      <c r="DE186" s="61">
        <v>314</v>
      </c>
      <c r="DF186" s="61">
        <v>10864</v>
      </c>
      <c r="DG186" s="61">
        <v>203</v>
      </c>
      <c r="DH186" s="62" t="s">
        <v>2185</v>
      </c>
      <c r="DI186" s="61">
        <v>328</v>
      </c>
      <c r="DJ186" s="61">
        <v>34</v>
      </c>
      <c r="DK186" s="61">
        <v>167</v>
      </c>
      <c r="DL186" s="61">
        <v>145</v>
      </c>
      <c r="DM186" s="61">
        <v>1</v>
      </c>
      <c r="DN186" s="61"/>
    </row>
    <row r="187" spans="1:118" x14ac:dyDescent="0.25">
      <c r="A187" s="61">
        <v>106314024</v>
      </c>
      <c r="B187" s="62" t="s">
        <v>872</v>
      </c>
      <c r="C187" s="62" t="s">
        <v>2076</v>
      </c>
      <c r="D187" s="62" t="s">
        <v>863</v>
      </c>
      <c r="E187" s="62" t="s">
        <v>71</v>
      </c>
      <c r="F187" s="62" t="s">
        <v>2213</v>
      </c>
      <c r="G187" s="62" t="s">
        <v>873</v>
      </c>
      <c r="H187" s="62" t="s">
        <v>870</v>
      </c>
      <c r="I187" s="62" t="s">
        <v>871</v>
      </c>
      <c r="J187" s="62" t="s">
        <v>2186</v>
      </c>
      <c r="K187" s="62"/>
      <c r="L187" s="61">
        <v>4</v>
      </c>
      <c r="M187" s="61">
        <v>6</v>
      </c>
      <c r="N187" s="61">
        <v>4</v>
      </c>
      <c r="O187" s="62" t="s">
        <v>1907</v>
      </c>
      <c r="P187" s="62" t="s">
        <v>68</v>
      </c>
      <c r="Q187" s="62" t="s">
        <v>2167</v>
      </c>
      <c r="R187" s="62" t="s">
        <v>2167</v>
      </c>
      <c r="S187" s="62" t="s">
        <v>69</v>
      </c>
      <c r="T187" s="61">
        <v>51934</v>
      </c>
      <c r="U187" s="61">
        <v>40364</v>
      </c>
      <c r="V187" s="61">
        <v>1</v>
      </c>
      <c r="W187" s="61">
        <v>9851</v>
      </c>
      <c r="X187" s="61">
        <v>9784</v>
      </c>
      <c r="Y187" s="61">
        <v>12188</v>
      </c>
      <c r="Z187" s="61">
        <v>10765</v>
      </c>
      <c r="AA187" s="61">
        <v>9851</v>
      </c>
      <c r="AB187" s="61">
        <v>10525</v>
      </c>
      <c r="AC187" s="61">
        <v>9576</v>
      </c>
      <c r="AD187" s="61">
        <v>8473</v>
      </c>
      <c r="AE187" s="61">
        <v>9489</v>
      </c>
      <c r="AF187" s="61">
        <v>1797</v>
      </c>
      <c r="AG187" s="61"/>
      <c r="AH187" s="61">
        <v>4646</v>
      </c>
      <c r="AI187" s="61">
        <v>4828</v>
      </c>
      <c r="AJ187" s="61">
        <v>11392</v>
      </c>
      <c r="AK187" s="61">
        <v>543</v>
      </c>
      <c r="AL187" s="61">
        <v>968</v>
      </c>
      <c r="AM187" s="61">
        <v>1781</v>
      </c>
      <c r="AN187" s="61">
        <v>68141</v>
      </c>
      <c r="AO187" s="61">
        <v>174</v>
      </c>
      <c r="AP187" s="61">
        <v>1192</v>
      </c>
      <c r="AQ187" s="61">
        <v>147</v>
      </c>
      <c r="AR187" s="61">
        <v>502</v>
      </c>
      <c r="AS187" s="61">
        <v>148</v>
      </c>
      <c r="AT187" s="61">
        <v>27</v>
      </c>
      <c r="AU187" s="61"/>
      <c r="AV187" s="61">
        <v>5</v>
      </c>
      <c r="AW187" s="61">
        <v>843</v>
      </c>
      <c r="AX187" s="61">
        <v>18</v>
      </c>
      <c r="AY187" s="61">
        <v>88430</v>
      </c>
      <c r="AZ187" s="61">
        <v>645</v>
      </c>
      <c r="BA187" s="61">
        <v>1</v>
      </c>
      <c r="BB187" s="61">
        <v>12</v>
      </c>
      <c r="BC187" s="61">
        <v>155</v>
      </c>
      <c r="BD187" s="61">
        <v>16935</v>
      </c>
      <c r="BE187" s="61">
        <v>23704</v>
      </c>
      <c r="BF187" s="61">
        <v>1173</v>
      </c>
      <c r="BG187" s="61">
        <v>44966</v>
      </c>
      <c r="BH187" s="61">
        <v>5521</v>
      </c>
      <c r="BI187" s="61"/>
      <c r="BJ187" s="61">
        <v>92299</v>
      </c>
      <c r="BK187" s="61">
        <v>1510</v>
      </c>
      <c r="BL187" s="61">
        <v>88963</v>
      </c>
      <c r="BM187" s="61">
        <v>1826</v>
      </c>
      <c r="BN187" s="61">
        <v>4489</v>
      </c>
      <c r="BO187" s="61">
        <v>4137</v>
      </c>
      <c r="BP187" s="61"/>
      <c r="BQ187" s="61">
        <v>216</v>
      </c>
      <c r="BR187" s="61">
        <v>289</v>
      </c>
      <c r="BS187" s="61">
        <v>371</v>
      </c>
      <c r="BT187" s="61">
        <v>500</v>
      </c>
      <c r="BU187" s="61">
        <v>1032</v>
      </c>
      <c r="BV187" s="61">
        <v>1601</v>
      </c>
      <c r="BW187" s="61">
        <v>1852</v>
      </c>
      <c r="BX187" s="61">
        <v>2280</v>
      </c>
      <c r="BY187" s="61">
        <v>141</v>
      </c>
      <c r="BZ187" s="61">
        <v>344</v>
      </c>
      <c r="CA187" s="61"/>
      <c r="CB187" s="61">
        <v>408</v>
      </c>
      <c r="CC187" s="61">
        <v>305</v>
      </c>
      <c r="CD187" s="61">
        <v>724</v>
      </c>
      <c r="CE187" s="61">
        <v>49</v>
      </c>
      <c r="CF187" s="61">
        <v>12</v>
      </c>
      <c r="CG187" s="61">
        <v>7072</v>
      </c>
      <c r="CH187" s="61">
        <v>56</v>
      </c>
      <c r="CI187" s="61">
        <v>317</v>
      </c>
      <c r="CJ187" s="61">
        <v>46</v>
      </c>
      <c r="CK187" s="61">
        <v>357</v>
      </c>
      <c r="CL187" s="61">
        <v>993</v>
      </c>
      <c r="CM187" s="61">
        <v>31</v>
      </c>
      <c r="CN187" s="61"/>
      <c r="CO187" s="61">
        <v>149</v>
      </c>
      <c r="CP187" s="61">
        <v>5469</v>
      </c>
      <c r="CQ187" s="61">
        <v>989</v>
      </c>
      <c r="CR187" s="61"/>
      <c r="CS187" s="61">
        <v>239</v>
      </c>
      <c r="CT187" s="61">
        <v>13</v>
      </c>
      <c r="CU187" s="61"/>
      <c r="CV187" s="61">
        <v>6</v>
      </c>
      <c r="CW187" s="61">
        <v>17</v>
      </c>
      <c r="CX187" s="61">
        <v>658</v>
      </c>
      <c r="CY187" s="61">
        <v>5182</v>
      </c>
      <c r="CZ187" s="61">
        <v>25</v>
      </c>
      <c r="DA187" s="61">
        <v>2627</v>
      </c>
      <c r="DB187" s="61">
        <v>134</v>
      </c>
      <c r="DC187" s="61"/>
      <c r="DD187" s="61">
        <v>8626</v>
      </c>
      <c r="DE187" s="61">
        <v>122</v>
      </c>
      <c r="DF187" s="61">
        <v>8373</v>
      </c>
      <c r="DG187" s="61">
        <v>131</v>
      </c>
      <c r="DH187" s="62" t="s">
        <v>2185</v>
      </c>
      <c r="DI187" s="61">
        <v>340</v>
      </c>
      <c r="DJ187" s="61">
        <v>73</v>
      </c>
      <c r="DK187" s="61"/>
      <c r="DL187" s="61"/>
      <c r="DM187" s="61"/>
      <c r="DN187" s="61"/>
    </row>
    <row r="188" spans="1:118" x14ac:dyDescent="0.25">
      <c r="A188" s="61">
        <v>106320859</v>
      </c>
      <c r="B188" s="62" t="s">
        <v>874</v>
      </c>
      <c r="C188" s="62" t="s">
        <v>875</v>
      </c>
      <c r="D188" s="62" t="s">
        <v>876</v>
      </c>
      <c r="E188" s="62" t="s">
        <v>94</v>
      </c>
      <c r="F188" s="62" t="s">
        <v>2213</v>
      </c>
      <c r="G188" s="62" t="s">
        <v>877</v>
      </c>
      <c r="H188" s="62" t="s">
        <v>878</v>
      </c>
      <c r="I188" s="62" t="s">
        <v>879</v>
      </c>
      <c r="J188" s="62" t="s">
        <v>2188</v>
      </c>
      <c r="K188" s="62"/>
      <c r="L188" s="61">
        <v>1</v>
      </c>
      <c r="M188" s="61">
        <v>1</v>
      </c>
      <c r="N188" s="61">
        <v>1</v>
      </c>
      <c r="O188" s="62" t="s">
        <v>1908</v>
      </c>
      <c r="P188" s="62" t="s">
        <v>241</v>
      </c>
      <c r="Q188" s="62" t="s">
        <v>120</v>
      </c>
      <c r="R188" s="62" t="s">
        <v>2167</v>
      </c>
      <c r="S188" s="62" t="s">
        <v>69</v>
      </c>
      <c r="T188" s="61">
        <v>1907</v>
      </c>
      <c r="U188" s="61">
        <v>1613</v>
      </c>
      <c r="V188" s="61"/>
      <c r="W188" s="61">
        <v>339</v>
      </c>
      <c r="X188" s="61">
        <v>303</v>
      </c>
      <c r="Y188" s="61">
        <v>418</v>
      </c>
      <c r="Z188" s="61">
        <v>391</v>
      </c>
      <c r="AA188" s="61">
        <v>322</v>
      </c>
      <c r="AB188" s="61">
        <v>498</v>
      </c>
      <c r="AC188" s="61">
        <v>568</v>
      </c>
      <c r="AD188" s="61">
        <v>377</v>
      </c>
      <c r="AE188" s="61">
        <v>259</v>
      </c>
      <c r="AF188" s="61">
        <v>45</v>
      </c>
      <c r="AG188" s="61"/>
      <c r="AH188" s="61">
        <v>13</v>
      </c>
      <c r="AI188" s="61">
        <v>17</v>
      </c>
      <c r="AJ188" s="61">
        <v>274</v>
      </c>
      <c r="AK188" s="61">
        <v>28</v>
      </c>
      <c r="AL188" s="61">
        <v>26</v>
      </c>
      <c r="AM188" s="61">
        <v>61</v>
      </c>
      <c r="AN188" s="61">
        <v>3101</v>
      </c>
      <c r="AO188" s="61">
        <v>257</v>
      </c>
      <c r="AP188" s="61">
        <v>64</v>
      </c>
      <c r="AQ188" s="61">
        <v>4</v>
      </c>
      <c r="AR188" s="61"/>
      <c r="AS188" s="61"/>
      <c r="AT188" s="61"/>
      <c r="AU188" s="61"/>
      <c r="AV188" s="61">
        <v>6</v>
      </c>
      <c r="AW188" s="61">
        <v>2</v>
      </c>
      <c r="AX188" s="61">
        <v>1</v>
      </c>
      <c r="AY188" s="61">
        <v>3139</v>
      </c>
      <c r="AZ188" s="61">
        <v>5</v>
      </c>
      <c r="BA188" s="61"/>
      <c r="BB188" s="61">
        <v>42</v>
      </c>
      <c r="BC188" s="61"/>
      <c r="BD188" s="61">
        <v>585</v>
      </c>
      <c r="BE188" s="61">
        <v>1133</v>
      </c>
      <c r="BF188" s="61">
        <v>87</v>
      </c>
      <c r="BG188" s="61">
        <v>1635</v>
      </c>
      <c r="BH188" s="61">
        <v>80</v>
      </c>
      <c r="BI188" s="61"/>
      <c r="BJ188" s="61">
        <v>3520</v>
      </c>
      <c r="BK188" s="61">
        <v>2</v>
      </c>
      <c r="BL188" s="61">
        <v>3449</v>
      </c>
      <c r="BM188" s="61">
        <v>69</v>
      </c>
      <c r="BN188" s="61">
        <v>76</v>
      </c>
      <c r="BO188" s="61">
        <v>58</v>
      </c>
      <c r="BP188" s="61"/>
      <c r="BQ188" s="61"/>
      <c r="BR188" s="61">
        <v>2</v>
      </c>
      <c r="BS188" s="61">
        <v>7</v>
      </c>
      <c r="BT188" s="61">
        <v>9</v>
      </c>
      <c r="BU188" s="61">
        <v>18</v>
      </c>
      <c r="BV188" s="61">
        <v>28</v>
      </c>
      <c r="BW188" s="61">
        <v>30</v>
      </c>
      <c r="BX188" s="61">
        <v>40</v>
      </c>
      <c r="BY188" s="61"/>
      <c r="BZ188" s="61"/>
      <c r="CA188" s="61"/>
      <c r="CB188" s="61"/>
      <c r="CC188" s="61">
        <v>2</v>
      </c>
      <c r="CD188" s="61">
        <v>7</v>
      </c>
      <c r="CE188" s="61"/>
      <c r="CF188" s="61"/>
      <c r="CG188" s="61">
        <v>125</v>
      </c>
      <c r="CH188" s="61"/>
      <c r="CI188" s="61">
        <v>3</v>
      </c>
      <c r="CJ188" s="61">
        <v>1</v>
      </c>
      <c r="CK188" s="61">
        <v>5</v>
      </c>
      <c r="CL188" s="61"/>
      <c r="CM188" s="61"/>
      <c r="CN188" s="61"/>
      <c r="CO188" s="61">
        <v>5</v>
      </c>
      <c r="CP188" s="61">
        <v>93</v>
      </c>
      <c r="CQ188" s="61">
        <v>6</v>
      </c>
      <c r="CR188" s="61"/>
      <c r="CS188" s="61"/>
      <c r="CT188" s="61"/>
      <c r="CU188" s="61">
        <v>20</v>
      </c>
      <c r="CV188" s="61"/>
      <c r="CW188" s="61">
        <v>1</v>
      </c>
      <c r="CX188" s="61">
        <v>32</v>
      </c>
      <c r="CY188" s="61">
        <v>89</v>
      </c>
      <c r="CZ188" s="61">
        <v>1</v>
      </c>
      <c r="DA188" s="61">
        <v>11</v>
      </c>
      <c r="DB188" s="61">
        <v>1</v>
      </c>
      <c r="DC188" s="61"/>
      <c r="DD188" s="61">
        <v>134</v>
      </c>
      <c r="DE188" s="61"/>
      <c r="DF188" s="61">
        <v>133</v>
      </c>
      <c r="DG188" s="61">
        <v>1</v>
      </c>
      <c r="DH188" s="62" t="s">
        <v>2185</v>
      </c>
      <c r="DI188" s="61">
        <v>75</v>
      </c>
      <c r="DJ188" s="61">
        <v>1</v>
      </c>
      <c r="DK188" s="61"/>
      <c r="DL188" s="61"/>
      <c r="DM188" s="61"/>
      <c r="DN188" s="61"/>
    </row>
    <row r="189" spans="1:118" x14ac:dyDescent="0.25">
      <c r="A189" s="61">
        <v>106320986</v>
      </c>
      <c r="B189" s="62" t="s">
        <v>880</v>
      </c>
      <c r="C189" s="62" t="s">
        <v>881</v>
      </c>
      <c r="D189" s="62" t="s">
        <v>876</v>
      </c>
      <c r="E189" s="62" t="s">
        <v>94</v>
      </c>
      <c r="F189" s="62" t="s">
        <v>2213</v>
      </c>
      <c r="G189" s="62" t="s">
        <v>882</v>
      </c>
      <c r="H189" s="62" t="s">
        <v>883</v>
      </c>
      <c r="I189" s="62" t="s">
        <v>884</v>
      </c>
      <c r="J189" s="62" t="s">
        <v>2190</v>
      </c>
      <c r="K189" s="62"/>
      <c r="L189" s="61">
        <v>1</v>
      </c>
      <c r="M189" s="61">
        <v>1</v>
      </c>
      <c r="N189" s="61">
        <v>1</v>
      </c>
      <c r="O189" s="62" t="s">
        <v>1909</v>
      </c>
      <c r="P189" s="62" t="s">
        <v>241</v>
      </c>
      <c r="Q189" s="62" t="s">
        <v>120</v>
      </c>
      <c r="R189" s="62" t="s">
        <v>2167</v>
      </c>
      <c r="S189" s="62" t="s">
        <v>127</v>
      </c>
      <c r="T189" s="61">
        <v>2060</v>
      </c>
      <c r="U189" s="61">
        <v>1750</v>
      </c>
      <c r="V189" s="61"/>
      <c r="W189" s="61">
        <v>339</v>
      </c>
      <c r="X189" s="61">
        <v>468</v>
      </c>
      <c r="Y189" s="61">
        <v>576</v>
      </c>
      <c r="Z189" s="61">
        <v>395</v>
      </c>
      <c r="AA189" s="61">
        <v>414</v>
      </c>
      <c r="AB189" s="61">
        <v>543</v>
      </c>
      <c r="AC189" s="61">
        <v>483</v>
      </c>
      <c r="AD189" s="61">
        <v>301</v>
      </c>
      <c r="AE189" s="61">
        <v>228</v>
      </c>
      <c r="AF189" s="61">
        <v>63</v>
      </c>
      <c r="AG189" s="61"/>
      <c r="AH189" s="61">
        <v>12</v>
      </c>
      <c r="AI189" s="61">
        <v>107</v>
      </c>
      <c r="AJ189" s="61">
        <v>157</v>
      </c>
      <c r="AK189" s="61">
        <v>69</v>
      </c>
      <c r="AL189" s="61">
        <v>74</v>
      </c>
      <c r="AM189" s="61">
        <v>18</v>
      </c>
      <c r="AN189" s="61">
        <v>3373</v>
      </c>
      <c r="AO189" s="61">
        <v>167</v>
      </c>
      <c r="AP189" s="61">
        <v>55</v>
      </c>
      <c r="AQ189" s="61">
        <v>8</v>
      </c>
      <c r="AR189" s="61"/>
      <c r="AS189" s="61"/>
      <c r="AT189" s="61"/>
      <c r="AU189" s="61"/>
      <c r="AV189" s="61">
        <v>25</v>
      </c>
      <c r="AW189" s="61">
        <v>10</v>
      </c>
      <c r="AX189" s="61">
        <v>2</v>
      </c>
      <c r="AY189" s="61">
        <v>3537</v>
      </c>
      <c r="AZ189" s="61">
        <v>1</v>
      </c>
      <c r="BA189" s="61"/>
      <c r="BB189" s="61">
        <v>1</v>
      </c>
      <c r="BC189" s="61">
        <v>4</v>
      </c>
      <c r="BD189" s="61">
        <v>2019</v>
      </c>
      <c r="BE189" s="61">
        <v>377</v>
      </c>
      <c r="BF189" s="61">
        <v>186</v>
      </c>
      <c r="BG189" s="61">
        <v>1129</v>
      </c>
      <c r="BH189" s="61">
        <v>99</v>
      </c>
      <c r="BI189" s="61"/>
      <c r="BJ189" s="61">
        <v>3810</v>
      </c>
      <c r="BK189" s="61">
        <v>1</v>
      </c>
      <c r="BL189" s="61">
        <v>3800</v>
      </c>
      <c r="BM189" s="61">
        <v>9</v>
      </c>
      <c r="BN189" s="61">
        <v>208</v>
      </c>
      <c r="BO189" s="61">
        <v>184</v>
      </c>
      <c r="BP189" s="61"/>
      <c r="BQ189" s="61">
        <v>13</v>
      </c>
      <c r="BR189" s="61">
        <v>13</v>
      </c>
      <c r="BS189" s="61">
        <v>32</v>
      </c>
      <c r="BT189" s="61">
        <v>20</v>
      </c>
      <c r="BU189" s="61">
        <v>62</v>
      </c>
      <c r="BV189" s="61">
        <v>74</v>
      </c>
      <c r="BW189" s="61">
        <v>80</v>
      </c>
      <c r="BX189" s="61">
        <v>85</v>
      </c>
      <c r="BY189" s="61">
        <v>3</v>
      </c>
      <c r="BZ189" s="61">
        <v>10</v>
      </c>
      <c r="CA189" s="61"/>
      <c r="CB189" s="61">
        <v>1</v>
      </c>
      <c r="CC189" s="61">
        <v>17</v>
      </c>
      <c r="CD189" s="61">
        <v>11</v>
      </c>
      <c r="CE189" s="61">
        <v>4</v>
      </c>
      <c r="CF189" s="61">
        <v>5</v>
      </c>
      <c r="CG189" s="61">
        <v>343</v>
      </c>
      <c r="CH189" s="61">
        <v>11</v>
      </c>
      <c r="CI189" s="61">
        <v>20</v>
      </c>
      <c r="CJ189" s="61">
        <v>2</v>
      </c>
      <c r="CK189" s="61">
        <v>4</v>
      </c>
      <c r="CL189" s="61"/>
      <c r="CM189" s="61">
        <v>1</v>
      </c>
      <c r="CN189" s="61"/>
      <c r="CO189" s="61">
        <v>2</v>
      </c>
      <c r="CP189" s="61">
        <v>338</v>
      </c>
      <c r="CQ189" s="61">
        <v>23</v>
      </c>
      <c r="CR189" s="61"/>
      <c r="CS189" s="61"/>
      <c r="CT189" s="61">
        <v>1</v>
      </c>
      <c r="CU189" s="61"/>
      <c r="CV189" s="61">
        <v>1</v>
      </c>
      <c r="CW189" s="61"/>
      <c r="CX189" s="61">
        <v>85</v>
      </c>
      <c r="CY189" s="61">
        <v>241</v>
      </c>
      <c r="CZ189" s="61">
        <v>6</v>
      </c>
      <c r="DA189" s="61">
        <v>56</v>
      </c>
      <c r="DB189" s="61">
        <v>4</v>
      </c>
      <c r="DC189" s="61"/>
      <c r="DD189" s="61">
        <v>392</v>
      </c>
      <c r="DE189" s="61">
        <v>1</v>
      </c>
      <c r="DF189" s="61">
        <v>389</v>
      </c>
      <c r="DG189" s="61">
        <v>2</v>
      </c>
      <c r="DH189" s="62" t="s">
        <v>2185</v>
      </c>
      <c r="DI189" s="61">
        <v>25</v>
      </c>
      <c r="DJ189" s="61">
        <v>4</v>
      </c>
      <c r="DK189" s="61"/>
      <c r="DL189" s="61"/>
      <c r="DM189" s="61"/>
      <c r="DN189" s="61"/>
    </row>
    <row r="190" spans="1:118" x14ac:dyDescent="0.25">
      <c r="A190" s="61">
        <v>106321016</v>
      </c>
      <c r="B190" s="62" t="s">
        <v>885</v>
      </c>
      <c r="C190" s="62" t="s">
        <v>2077</v>
      </c>
      <c r="D190" s="62" t="s">
        <v>876</v>
      </c>
      <c r="E190" s="62" t="s">
        <v>94</v>
      </c>
      <c r="F190" s="62" t="s">
        <v>2213</v>
      </c>
      <c r="G190" s="62" t="s">
        <v>886</v>
      </c>
      <c r="H190" s="62" t="s">
        <v>887</v>
      </c>
      <c r="I190" s="62" t="s">
        <v>888</v>
      </c>
      <c r="J190" s="62" t="s">
        <v>2190</v>
      </c>
      <c r="K190" s="62" t="s">
        <v>126</v>
      </c>
      <c r="L190" s="61">
        <v>1</v>
      </c>
      <c r="M190" s="61">
        <v>1</v>
      </c>
      <c r="N190" s="61">
        <v>1</v>
      </c>
      <c r="O190" s="62" t="s">
        <v>1910</v>
      </c>
      <c r="P190" s="62" t="s">
        <v>241</v>
      </c>
      <c r="Q190" s="62" t="s">
        <v>120</v>
      </c>
      <c r="R190" s="62" t="s">
        <v>2167</v>
      </c>
      <c r="S190" s="62" t="s">
        <v>127</v>
      </c>
      <c r="T190" s="61">
        <v>1610</v>
      </c>
      <c r="U190" s="61">
        <v>1316</v>
      </c>
      <c r="V190" s="61"/>
      <c r="W190" s="61">
        <v>241</v>
      </c>
      <c r="X190" s="61">
        <v>240</v>
      </c>
      <c r="Y190" s="61">
        <v>329</v>
      </c>
      <c r="Z190" s="61">
        <v>300</v>
      </c>
      <c r="AA190" s="61">
        <v>294</v>
      </c>
      <c r="AB190" s="61">
        <v>416</v>
      </c>
      <c r="AC190" s="61">
        <v>412</v>
      </c>
      <c r="AD190" s="61">
        <v>375</v>
      </c>
      <c r="AE190" s="61">
        <v>268</v>
      </c>
      <c r="AF190" s="61">
        <v>51</v>
      </c>
      <c r="AG190" s="61"/>
      <c r="AH190" s="61">
        <v>23</v>
      </c>
      <c r="AI190" s="61">
        <v>9</v>
      </c>
      <c r="AJ190" s="61">
        <v>133</v>
      </c>
      <c r="AK190" s="61">
        <v>44</v>
      </c>
      <c r="AL190" s="61">
        <v>35</v>
      </c>
      <c r="AM190" s="61">
        <v>56</v>
      </c>
      <c r="AN190" s="61">
        <v>2626</v>
      </c>
      <c r="AO190" s="61">
        <v>90</v>
      </c>
      <c r="AP190" s="61">
        <v>23</v>
      </c>
      <c r="AQ190" s="61">
        <v>4</v>
      </c>
      <c r="AR190" s="61">
        <v>12</v>
      </c>
      <c r="AS190" s="61">
        <v>2</v>
      </c>
      <c r="AT190" s="61">
        <v>1</v>
      </c>
      <c r="AU190" s="61"/>
      <c r="AV190" s="61">
        <v>7</v>
      </c>
      <c r="AW190" s="61">
        <v>4</v>
      </c>
      <c r="AX190" s="61">
        <v>31</v>
      </c>
      <c r="AY190" s="61">
        <v>2605</v>
      </c>
      <c r="AZ190" s="61">
        <v>1</v>
      </c>
      <c r="BA190" s="61"/>
      <c r="BB190" s="61">
        <v>135</v>
      </c>
      <c r="BC190" s="61"/>
      <c r="BD190" s="61">
        <v>727</v>
      </c>
      <c r="BE190" s="61">
        <v>990</v>
      </c>
      <c r="BF190" s="61">
        <v>118</v>
      </c>
      <c r="BG190" s="61">
        <v>953</v>
      </c>
      <c r="BH190" s="61">
        <v>138</v>
      </c>
      <c r="BI190" s="61"/>
      <c r="BJ190" s="61">
        <v>2926</v>
      </c>
      <c r="BK190" s="61">
        <v>3</v>
      </c>
      <c r="BL190" s="61">
        <v>2901</v>
      </c>
      <c r="BM190" s="61">
        <v>22</v>
      </c>
      <c r="BN190" s="61">
        <v>88</v>
      </c>
      <c r="BO190" s="61">
        <v>58</v>
      </c>
      <c r="BP190" s="61"/>
      <c r="BQ190" s="61">
        <v>2</v>
      </c>
      <c r="BR190" s="61">
        <v>3</v>
      </c>
      <c r="BS190" s="61">
        <v>4</v>
      </c>
      <c r="BT190" s="61">
        <v>7</v>
      </c>
      <c r="BU190" s="61">
        <v>17</v>
      </c>
      <c r="BV190" s="61">
        <v>29</v>
      </c>
      <c r="BW190" s="61">
        <v>37</v>
      </c>
      <c r="BX190" s="61">
        <v>47</v>
      </c>
      <c r="BY190" s="61"/>
      <c r="BZ190" s="61"/>
      <c r="CA190" s="61"/>
      <c r="CB190" s="61"/>
      <c r="CC190" s="61"/>
      <c r="CD190" s="61">
        <v>3</v>
      </c>
      <c r="CE190" s="61"/>
      <c r="CF190" s="61"/>
      <c r="CG190" s="61">
        <v>140</v>
      </c>
      <c r="CH190" s="61">
        <v>3</v>
      </c>
      <c r="CI190" s="61">
        <v>4</v>
      </c>
      <c r="CJ190" s="61"/>
      <c r="CK190" s="61">
        <v>8</v>
      </c>
      <c r="CL190" s="61">
        <v>4</v>
      </c>
      <c r="CM190" s="61">
        <v>3</v>
      </c>
      <c r="CN190" s="61"/>
      <c r="CO190" s="61">
        <v>4</v>
      </c>
      <c r="CP190" s="61">
        <v>107</v>
      </c>
      <c r="CQ190" s="61">
        <v>8</v>
      </c>
      <c r="CR190" s="61"/>
      <c r="CS190" s="61">
        <v>2</v>
      </c>
      <c r="CT190" s="61"/>
      <c r="CU190" s="61"/>
      <c r="CV190" s="61">
        <v>2</v>
      </c>
      <c r="CW190" s="61">
        <v>4</v>
      </c>
      <c r="CX190" s="61">
        <v>18</v>
      </c>
      <c r="CY190" s="61">
        <v>108</v>
      </c>
      <c r="CZ190" s="61">
        <v>1</v>
      </c>
      <c r="DA190" s="61">
        <v>18</v>
      </c>
      <c r="DB190" s="61">
        <v>1</v>
      </c>
      <c r="DC190" s="61"/>
      <c r="DD190" s="61">
        <v>146</v>
      </c>
      <c r="DE190" s="61"/>
      <c r="DF190" s="61">
        <v>146</v>
      </c>
      <c r="DG190" s="61"/>
      <c r="DH190" s="62" t="s">
        <v>2185</v>
      </c>
      <c r="DI190" s="61">
        <v>26</v>
      </c>
      <c r="DJ190" s="61">
        <v>2</v>
      </c>
      <c r="DK190" s="61"/>
      <c r="DL190" s="61">
        <v>11</v>
      </c>
      <c r="DM190" s="61"/>
      <c r="DN190" s="61"/>
    </row>
    <row r="191" spans="1:118" x14ac:dyDescent="0.25">
      <c r="A191" s="61">
        <v>106331152</v>
      </c>
      <c r="B191" s="62" t="s">
        <v>889</v>
      </c>
      <c r="C191" s="62" t="s">
        <v>890</v>
      </c>
      <c r="D191" s="62" t="s">
        <v>891</v>
      </c>
      <c r="E191" s="62" t="s">
        <v>184</v>
      </c>
      <c r="F191" s="62" t="s">
        <v>2213</v>
      </c>
      <c r="G191" s="62" t="s">
        <v>892</v>
      </c>
      <c r="H191" s="62" t="s">
        <v>893</v>
      </c>
      <c r="I191" s="62" t="s">
        <v>894</v>
      </c>
      <c r="J191" s="62" t="s">
        <v>2187</v>
      </c>
      <c r="K191" s="62"/>
      <c r="L191" s="61">
        <v>42</v>
      </c>
      <c r="M191" s="61">
        <v>60</v>
      </c>
      <c r="N191" s="61">
        <v>31</v>
      </c>
      <c r="O191" s="62" t="s">
        <v>1911</v>
      </c>
      <c r="P191" s="62" t="s">
        <v>68</v>
      </c>
      <c r="Q191" s="62" t="s">
        <v>2167</v>
      </c>
      <c r="R191" s="62" t="s">
        <v>2167</v>
      </c>
      <c r="S191" s="62" t="s">
        <v>69</v>
      </c>
      <c r="T191" s="61">
        <v>22351</v>
      </c>
      <c r="U191" s="61">
        <v>18033</v>
      </c>
      <c r="V191" s="61"/>
      <c r="W191" s="61">
        <v>5582</v>
      </c>
      <c r="X191" s="61">
        <v>4787</v>
      </c>
      <c r="Y191" s="61">
        <v>6803</v>
      </c>
      <c r="Z191" s="61">
        <v>5815</v>
      </c>
      <c r="AA191" s="61">
        <v>5079</v>
      </c>
      <c r="AB191" s="61">
        <v>4675</v>
      </c>
      <c r="AC191" s="61">
        <v>2865</v>
      </c>
      <c r="AD191" s="61">
        <v>1981</v>
      </c>
      <c r="AE191" s="61">
        <v>1798</v>
      </c>
      <c r="AF191" s="61">
        <v>997</v>
      </c>
      <c r="AG191" s="61">
        <v>2</v>
      </c>
      <c r="AH191" s="61">
        <v>1018</v>
      </c>
      <c r="AI191" s="61">
        <v>2680</v>
      </c>
      <c r="AJ191" s="61">
        <v>19689</v>
      </c>
      <c r="AK191" s="61">
        <v>71</v>
      </c>
      <c r="AL191" s="61">
        <v>1759</v>
      </c>
      <c r="AM191" s="61">
        <v>232</v>
      </c>
      <c r="AN191" s="61">
        <v>14935</v>
      </c>
      <c r="AO191" s="61">
        <v>469</v>
      </c>
      <c r="AP191" s="61">
        <v>536</v>
      </c>
      <c r="AQ191" s="61">
        <v>80</v>
      </c>
      <c r="AR191" s="61">
        <v>104</v>
      </c>
      <c r="AS191" s="61">
        <v>24</v>
      </c>
      <c r="AT191" s="61">
        <v>11</v>
      </c>
      <c r="AU191" s="61"/>
      <c r="AV191" s="61">
        <v>93</v>
      </c>
      <c r="AW191" s="61">
        <v>471</v>
      </c>
      <c r="AX191" s="61"/>
      <c r="AY191" s="61">
        <v>38209</v>
      </c>
      <c r="AZ191" s="61">
        <v>245</v>
      </c>
      <c r="BA191" s="61">
        <v>42</v>
      </c>
      <c r="BB191" s="61"/>
      <c r="BC191" s="61">
        <v>100</v>
      </c>
      <c r="BD191" s="61">
        <v>20054</v>
      </c>
      <c r="BE191" s="61">
        <v>3858</v>
      </c>
      <c r="BF191" s="61">
        <v>714</v>
      </c>
      <c r="BG191" s="61">
        <v>10434</v>
      </c>
      <c r="BH191" s="61">
        <v>5324</v>
      </c>
      <c r="BI191" s="61"/>
      <c r="BJ191" s="61">
        <v>40384</v>
      </c>
      <c r="BK191" s="61">
        <v>611</v>
      </c>
      <c r="BL191" s="61">
        <v>35719</v>
      </c>
      <c r="BM191" s="61">
        <v>4054</v>
      </c>
      <c r="BN191" s="61">
        <v>3121</v>
      </c>
      <c r="BO191" s="61">
        <v>2718</v>
      </c>
      <c r="BP191" s="61"/>
      <c r="BQ191" s="61">
        <v>138</v>
      </c>
      <c r="BR191" s="61">
        <v>404</v>
      </c>
      <c r="BS191" s="61">
        <v>452</v>
      </c>
      <c r="BT191" s="61">
        <v>702</v>
      </c>
      <c r="BU191" s="61">
        <v>996</v>
      </c>
      <c r="BV191" s="61">
        <v>925</v>
      </c>
      <c r="BW191" s="61">
        <v>978</v>
      </c>
      <c r="BX191" s="61">
        <v>1108</v>
      </c>
      <c r="BY191" s="61">
        <v>40</v>
      </c>
      <c r="BZ191" s="61">
        <v>96</v>
      </c>
      <c r="CA191" s="61"/>
      <c r="CB191" s="61">
        <v>230</v>
      </c>
      <c r="CC191" s="61">
        <v>394</v>
      </c>
      <c r="CD191" s="61">
        <v>2208</v>
      </c>
      <c r="CE191" s="61">
        <v>224</v>
      </c>
      <c r="CF191" s="61">
        <v>17</v>
      </c>
      <c r="CG191" s="61">
        <v>2759</v>
      </c>
      <c r="CH191" s="61">
        <v>7</v>
      </c>
      <c r="CI191" s="61">
        <v>270</v>
      </c>
      <c r="CJ191" s="61">
        <v>145</v>
      </c>
      <c r="CK191" s="61">
        <v>175</v>
      </c>
      <c r="CL191" s="61">
        <v>552</v>
      </c>
      <c r="CM191" s="61">
        <v>2</v>
      </c>
      <c r="CN191" s="61"/>
      <c r="CO191" s="61">
        <v>1</v>
      </c>
      <c r="CP191" s="61">
        <v>3470</v>
      </c>
      <c r="CQ191" s="61">
        <v>1059</v>
      </c>
      <c r="CR191" s="61">
        <v>14</v>
      </c>
      <c r="CS191" s="61">
        <v>116</v>
      </c>
      <c r="CT191" s="61">
        <v>27</v>
      </c>
      <c r="CU191" s="61">
        <v>1</v>
      </c>
      <c r="CV191" s="61"/>
      <c r="CW191" s="61">
        <v>7</v>
      </c>
      <c r="CX191" s="61">
        <v>1820</v>
      </c>
      <c r="CY191" s="61">
        <v>2813</v>
      </c>
      <c r="CZ191" s="61">
        <v>58</v>
      </c>
      <c r="DA191" s="61">
        <v>932</v>
      </c>
      <c r="DB191" s="61">
        <v>216</v>
      </c>
      <c r="DC191" s="61"/>
      <c r="DD191" s="61">
        <v>5839</v>
      </c>
      <c r="DE191" s="61">
        <v>167</v>
      </c>
      <c r="DF191" s="61">
        <v>4946</v>
      </c>
      <c r="DG191" s="61">
        <v>726</v>
      </c>
      <c r="DH191" s="62" t="s">
        <v>2185</v>
      </c>
      <c r="DI191" s="61">
        <v>160</v>
      </c>
      <c r="DJ191" s="61">
        <v>19</v>
      </c>
      <c r="DK191" s="61"/>
      <c r="DL191" s="61"/>
      <c r="DM191" s="61"/>
      <c r="DN191" s="61"/>
    </row>
    <row r="192" spans="1:118" x14ac:dyDescent="0.25">
      <c r="A192" s="61">
        <v>106331164</v>
      </c>
      <c r="B192" s="62" t="s">
        <v>895</v>
      </c>
      <c r="C192" s="62" t="s">
        <v>896</v>
      </c>
      <c r="D192" s="62" t="s">
        <v>891</v>
      </c>
      <c r="E192" s="62" t="s">
        <v>184</v>
      </c>
      <c r="F192" s="62" t="s">
        <v>2213</v>
      </c>
      <c r="G192" s="62" t="s">
        <v>897</v>
      </c>
      <c r="H192" s="62" t="s">
        <v>898</v>
      </c>
      <c r="I192" s="62" t="s">
        <v>899</v>
      </c>
      <c r="J192" s="62" t="s">
        <v>2186</v>
      </c>
      <c r="K192" s="62" t="s">
        <v>82</v>
      </c>
      <c r="L192" s="61">
        <v>36</v>
      </c>
      <c r="M192" s="61">
        <v>42</v>
      </c>
      <c r="N192" s="61">
        <v>28</v>
      </c>
      <c r="O192" s="62" t="s">
        <v>1912</v>
      </c>
      <c r="P192" s="62" t="s">
        <v>68</v>
      </c>
      <c r="Q192" s="62" t="s">
        <v>2167</v>
      </c>
      <c r="R192" s="62" t="s">
        <v>2167</v>
      </c>
      <c r="S192" s="62" t="s">
        <v>223</v>
      </c>
      <c r="T192" s="61">
        <v>31124</v>
      </c>
      <c r="U192" s="61">
        <v>29623</v>
      </c>
      <c r="V192" s="61">
        <v>8</v>
      </c>
      <c r="W192" s="61">
        <v>7693</v>
      </c>
      <c r="X192" s="61">
        <v>5744</v>
      </c>
      <c r="Y192" s="61">
        <v>9839</v>
      </c>
      <c r="Z192" s="61">
        <v>8208</v>
      </c>
      <c r="AA192" s="61">
        <v>7300</v>
      </c>
      <c r="AB192" s="61">
        <v>8249</v>
      </c>
      <c r="AC192" s="61">
        <v>5462</v>
      </c>
      <c r="AD192" s="61">
        <v>3466</v>
      </c>
      <c r="AE192" s="61">
        <v>2616</v>
      </c>
      <c r="AF192" s="61">
        <v>2178</v>
      </c>
      <c r="AG192" s="61"/>
      <c r="AH192" s="61">
        <v>881</v>
      </c>
      <c r="AI192" s="61">
        <v>4656</v>
      </c>
      <c r="AJ192" s="61">
        <v>24896</v>
      </c>
      <c r="AK192" s="61">
        <v>129</v>
      </c>
      <c r="AL192" s="61">
        <v>1390</v>
      </c>
      <c r="AM192" s="61">
        <v>671</v>
      </c>
      <c r="AN192" s="61">
        <v>28132</v>
      </c>
      <c r="AO192" s="61">
        <v>259</v>
      </c>
      <c r="AP192" s="61">
        <v>1046</v>
      </c>
      <c r="AQ192" s="61">
        <v>113</v>
      </c>
      <c r="AR192" s="61">
        <v>54</v>
      </c>
      <c r="AS192" s="61">
        <v>24</v>
      </c>
      <c r="AT192" s="61">
        <v>1</v>
      </c>
      <c r="AU192" s="61"/>
      <c r="AV192" s="61"/>
      <c r="AW192" s="61">
        <v>1046</v>
      </c>
      <c r="AX192" s="61"/>
      <c r="AY192" s="61">
        <v>57689</v>
      </c>
      <c r="AZ192" s="61">
        <v>523</v>
      </c>
      <c r="BA192" s="61"/>
      <c r="BB192" s="61"/>
      <c r="BC192" s="61"/>
      <c r="BD192" s="61">
        <v>21199</v>
      </c>
      <c r="BE192" s="61">
        <v>10310</v>
      </c>
      <c r="BF192" s="61">
        <v>1789</v>
      </c>
      <c r="BG192" s="61">
        <v>23991</v>
      </c>
      <c r="BH192" s="61">
        <v>3466</v>
      </c>
      <c r="BI192" s="61"/>
      <c r="BJ192" s="61">
        <v>60755</v>
      </c>
      <c r="BK192" s="61">
        <v>223</v>
      </c>
      <c r="BL192" s="61">
        <v>55405</v>
      </c>
      <c r="BM192" s="61">
        <v>5127</v>
      </c>
      <c r="BN192" s="61">
        <v>5011</v>
      </c>
      <c r="BO192" s="61">
        <v>6506</v>
      </c>
      <c r="BP192" s="61"/>
      <c r="BQ192" s="61">
        <v>229</v>
      </c>
      <c r="BR192" s="61">
        <v>677</v>
      </c>
      <c r="BS192" s="61">
        <v>748</v>
      </c>
      <c r="BT192" s="61">
        <v>1078</v>
      </c>
      <c r="BU192" s="61">
        <v>2022</v>
      </c>
      <c r="BV192" s="61">
        <v>2393</v>
      </c>
      <c r="BW192" s="61">
        <v>2038</v>
      </c>
      <c r="BX192" s="61">
        <v>2016</v>
      </c>
      <c r="BY192" s="61">
        <v>150</v>
      </c>
      <c r="BZ192" s="61">
        <v>166</v>
      </c>
      <c r="CA192" s="61"/>
      <c r="CB192" s="61">
        <v>230</v>
      </c>
      <c r="CC192" s="61">
        <v>666</v>
      </c>
      <c r="CD192" s="61">
        <v>2922</v>
      </c>
      <c r="CE192" s="61">
        <v>260</v>
      </c>
      <c r="CF192" s="61">
        <v>86</v>
      </c>
      <c r="CG192" s="61">
        <v>7322</v>
      </c>
      <c r="CH192" s="61">
        <v>31</v>
      </c>
      <c r="CI192" s="61">
        <v>230</v>
      </c>
      <c r="CJ192" s="61">
        <v>426</v>
      </c>
      <c r="CK192" s="61">
        <v>406</v>
      </c>
      <c r="CL192" s="61">
        <v>923</v>
      </c>
      <c r="CM192" s="61">
        <v>173</v>
      </c>
      <c r="CN192" s="61"/>
      <c r="CO192" s="61">
        <v>60</v>
      </c>
      <c r="CP192" s="61">
        <v>6765</v>
      </c>
      <c r="CQ192" s="61">
        <v>2093</v>
      </c>
      <c r="CR192" s="61">
        <v>31</v>
      </c>
      <c r="CS192" s="61">
        <v>326</v>
      </c>
      <c r="CT192" s="61">
        <v>49</v>
      </c>
      <c r="CU192" s="61">
        <v>1</v>
      </c>
      <c r="CV192" s="61"/>
      <c r="CW192" s="61">
        <v>34</v>
      </c>
      <c r="CX192" s="61">
        <v>3259</v>
      </c>
      <c r="CY192" s="61">
        <v>5464</v>
      </c>
      <c r="CZ192" s="61">
        <v>695</v>
      </c>
      <c r="DA192" s="61">
        <v>1971</v>
      </c>
      <c r="DB192" s="61">
        <v>128</v>
      </c>
      <c r="DC192" s="61"/>
      <c r="DD192" s="61">
        <v>11517</v>
      </c>
      <c r="DE192" s="61">
        <v>43</v>
      </c>
      <c r="DF192" s="61">
        <v>10792</v>
      </c>
      <c r="DG192" s="61">
        <v>682</v>
      </c>
      <c r="DH192" s="62" t="s">
        <v>2185</v>
      </c>
      <c r="DI192" s="61">
        <v>385</v>
      </c>
      <c r="DJ192" s="61">
        <v>28</v>
      </c>
      <c r="DK192" s="61"/>
      <c r="DL192" s="61"/>
      <c r="DM192" s="61"/>
      <c r="DN192" s="61"/>
    </row>
    <row r="193" spans="1:118" x14ac:dyDescent="0.25">
      <c r="A193" s="61">
        <v>106331168</v>
      </c>
      <c r="B193" s="62" t="s">
        <v>900</v>
      </c>
      <c r="C193" s="62" t="s">
        <v>901</v>
      </c>
      <c r="D193" s="62" t="s">
        <v>891</v>
      </c>
      <c r="E193" s="62" t="s">
        <v>71</v>
      </c>
      <c r="F193" s="62" t="s">
        <v>2213</v>
      </c>
      <c r="G193" s="62" t="s">
        <v>902</v>
      </c>
      <c r="H193" s="62" t="s">
        <v>903</v>
      </c>
      <c r="I193" s="62" t="s">
        <v>904</v>
      </c>
      <c r="J193" s="62" t="s">
        <v>2186</v>
      </c>
      <c r="K193" s="62"/>
      <c r="L193" s="61">
        <v>36</v>
      </c>
      <c r="M193" s="61">
        <v>42</v>
      </c>
      <c r="N193" s="61">
        <v>28</v>
      </c>
      <c r="O193" s="62" t="s">
        <v>1913</v>
      </c>
      <c r="P193" s="62" t="s">
        <v>68</v>
      </c>
      <c r="Q193" s="62" t="s">
        <v>2167</v>
      </c>
      <c r="R193" s="62" t="s">
        <v>2167</v>
      </c>
      <c r="S193" s="62" t="s">
        <v>69</v>
      </c>
      <c r="T193" s="61">
        <v>33877</v>
      </c>
      <c r="U193" s="61">
        <v>27573</v>
      </c>
      <c r="V193" s="61">
        <v>2</v>
      </c>
      <c r="W193" s="61">
        <v>7143</v>
      </c>
      <c r="X193" s="61">
        <v>5461</v>
      </c>
      <c r="Y193" s="61">
        <v>7832</v>
      </c>
      <c r="Z193" s="61">
        <v>6674</v>
      </c>
      <c r="AA193" s="61">
        <v>5820</v>
      </c>
      <c r="AB193" s="61">
        <v>7057</v>
      </c>
      <c r="AC193" s="61">
        <v>6423</v>
      </c>
      <c r="AD193" s="61">
        <v>6713</v>
      </c>
      <c r="AE193" s="61">
        <v>6967</v>
      </c>
      <c r="AF193" s="61">
        <v>1362</v>
      </c>
      <c r="AG193" s="61"/>
      <c r="AH193" s="61">
        <v>647</v>
      </c>
      <c r="AI193" s="61">
        <v>1579</v>
      </c>
      <c r="AJ193" s="61">
        <v>24248</v>
      </c>
      <c r="AK193" s="61">
        <v>74</v>
      </c>
      <c r="AL193" s="61">
        <v>2457</v>
      </c>
      <c r="AM193" s="61">
        <v>1308</v>
      </c>
      <c r="AN193" s="61">
        <v>31139</v>
      </c>
      <c r="AO193" s="61">
        <v>362</v>
      </c>
      <c r="AP193" s="61">
        <v>811</v>
      </c>
      <c r="AQ193" s="61">
        <v>79</v>
      </c>
      <c r="AR193" s="61">
        <v>5</v>
      </c>
      <c r="AS193" s="61">
        <v>14</v>
      </c>
      <c r="AT193" s="61">
        <v>7</v>
      </c>
      <c r="AU193" s="61"/>
      <c r="AV193" s="61"/>
      <c r="AW193" s="61">
        <v>523</v>
      </c>
      <c r="AX193" s="61">
        <v>119</v>
      </c>
      <c r="AY193" s="61">
        <v>59198</v>
      </c>
      <c r="AZ193" s="61">
        <v>243</v>
      </c>
      <c r="BA193" s="61">
        <v>91</v>
      </c>
      <c r="BB193" s="61"/>
      <c r="BC193" s="61"/>
      <c r="BD193" s="61">
        <v>24997</v>
      </c>
      <c r="BE193" s="61">
        <v>15604</v>
      </c>
      <c r="BF193" s="61">
        <v>1344</v>
      </c>
      <c r="BG193" s="61">
        <v>15338</v>
      </c>
      <c r="BH193" s="61">
        <v>4168</v>
      </c>
      <c r="BI193" s="61">
        <v>1</v>
      </c>
      <c r="BJ193" s="61">
        <v>61452</v>
      </c>
      <c r="BK193" s="61">
        <v>62</v>
      </c>
      <c r="BL193" s="61">
        <v>54791</v>
      </c>
      <c r="BM193" s="61">
        <v>6599</v>
      </c>
      <c r="BN193" s="61">
        <v>6720</v>
      </c>
      <c r="BO193" s="61">
        <v>7582</v>
      </c>
      <c r="BP193" s="61"/>
      <c r="BQ193" s="61">
        <v>166</v>
      </c>
      <c r="BR193" s="61">
        <v>531</v>
      </c>
      <c r="BS193" s="61">
        <v>650</v>
      </c>
      <c r="BT193" s="61">
        <v>979</v>
      </c>
      <c r="BU193" s="61">
        <v>1816</v>
      </c>
      <c r="BV193" s="61">
        <v>2417</v>
      </c>
      <c r="BW193" s="61">
        <v>3197</v>
      </c>
      <c r="BX193" s="61">
        <v>4421</v>
      </c>
      <c r="BY193" s="61">
        <v>40</v>
      </c>
      <c r="BZ193" s="61">
        <v>85</v>
      </c>
      <c r="CA193" s="61"/>
      <c r="CB193" s="61">
        <v>163</v>
      </c>
      <c r="CC193" s="61">
        <v>347</v>
      </c>
      <c r="CD193" s="61">
        <v>3082</v>
      </c>
      <c r="CE193" s="61">
        <v>259</v>
      </c>
      <c r="CF193" s="61">
        <v>112</v>
      </c>
      <c r="CG193" s="61">
        <v>10319</v>
      </c>
      <c r="CH193" s="61">
        <v>20</v>
      </c>
      <c r="CI193" s="61">
        <v>231</v>
      </c>
      <c r="CJ193" s="61">
        <v>246</v>
      </c>
      <c r="CK193" s="61">
        <v>401</v>
      </c>
      <c r="CL193" s="61">
        <v>1667</v>
      </c>
      <c r="CM193" s="61">
        <v>249</v>
      </c>
      <c r="CN193" s="61"/>
      <c r="CO193" s="61">
        <v>10</v>
      </c>
      <c r="CP193" s="61">
        <v>8254</v>
      </c>
      <c r="CQ193" s="61">
        <v>2586</v>
      </c>
      <c r="CR193" s="61"/>
      <c r="CS193" s="61">
        <v>599</v>
      </c>
      <c r="CT193" s="61">
        <v>32</v>
      </c>
      <c r="CU193" s="61">
        <v>1</v>
      </c>
      <c r="CV193" s="61"/>
      <c r="CW193" s="61">
        <v>23</v>
      </c>
      <c r="CX193" s="61">
        <v>2714</v>
      </c>
      <c r="CY193" s="61">
        <v>7994</v>
      </c>
      <c r="CZ193" s="61">
        <v>128</v>
      </c>
      <c r="DA193" s="61">
        <v>3373</v>
      </c>
      <c r="DB193" s="61">
        <v>93</v>
      </c>
      <c r="DC193" s="61"/>
      <c r="DD193" s="61">
        <v>14302</v>
      </c>
      <c r="DE193" s="61">
        <v>16</v>
      </c>
      <c r="DF193" s="61">
        <v>13143</v>
      </c>
      <c r="DG193" s="61">
        <v>1143</v>
      </c>
      <c r="DH193" s="62" t="s">
        <v>2185</v>
      </c>
      <c r="DI193" s="61">
        <v>476</v>
      </c>
      <c r="DJ193" s="61">
        <v>43</v>
      </c>
      <c r="DK193" s="61"/>
      <c r="DL193" s="61"/>
      <c r="DM193" s="61"/>
      <c r="DN193" s="61">
        <v>3</v>
      </c>
    </row>
    <row r="194" spans="1:118" x14ac:dyDescent="0.25">
      <c r="A194" s="61">
        <v>106331194</v>
      </c>
      <c r="B194" s="62" t="s">
        <v>905</v>
      </c>
      <c r="C194" s="62" t="s">
        <v>906</v>
      </c>
      <c r="D194" s="62" t="s">
        <v>891</v>
      </c>
      <c r="E194" s="62" t="s">
        <v>321</v>
      </c>
      <c r="F194" s="62" t="s">
        <v>2213</v>
      </c>
      <c r="G194" s="62" t="s">
        <v>907</v>
      </c>
      <c r="H194" s="62" t="s">
        <v>908</v>
      </c>
      <c r="I194" s="62" t="s">
        <v>909</v>
      </c>
      <c r="J194" s="62" t="s">
        <v>2186</v>
      </c>
      <c r="K194" s="62"/>
      <c r="L194" s="61">
        <v>36</v>
      </c>
      <c r="M194" s="61">
        <v>42</v>
      </c>
      <c r="N194" s="61">
        <v>23</v>
      </c>
      <c r="O194" s="62" t="s">
        <v>1914</v>
      </c>
      <c r="P194" s="62" t="s">
        <v>68</v>
      </c>
      <c r="Q194" s="62" t="s">
        <v>2167</v>
      </c>
      <c r="R194" s="62" t="s">
        <v>2167</v>
      </c>
      <c r="S194" s="62" t="s">
        <v>69</v>
      </c>
      <c r="T194" s="61">
        <v>23351</v>
      </c>
      <c r="U194" s="61">
        <v>18432</v>
      </c>
      <c r="V194" s="61">
        <v>7</v>
      </c>
      <c r="W194" s="61">
        <v>4871</v>
      </c>
      <c r="X194" s="61">
        <v>3974</v>
      </c>
      <c r="Y194" s="61">
        <v>7027</v>
      </c>
      <c r="Z194" s="61">
        <v>5486</v>
      </c>
      <c r="AA194" s="61">
        <v>4773</v>
      </c>
      <c r="AB194" s="61">
        <v>5615</v>
      </c>
      <c r="AC194" s="61">
        <v>3674</v>
      </c>
      <c r="AD194" s="61">
        <v>2457</v>
      </c>
      <c r="AE194" s="61">
        <v>2838</v>
      </c>
      <c r="AF194" s="61">
        <v>1075</v>
      </c>
      <c r="AG194" s="61"/>
      <c r="AH194" s="61">
        <v>436</v>
      </c>
      <c r="AI194" s="61">
        <v>6005</v>
      </c>
      <c r="AJ194" s="61">
        <v>14378</v>
      </c>
      <c r="AK194" s="61">
        <v>95</v>
      </c>
      <c r="AL194" s="61">
        <v>2</v>
      </c>
      <c r="AM194" s="61">
        <v>21</v>
      </c>
      <c r="AN194" s="61">
        <v>20853</v>
      </c>
      <c r="AO194" s="61">
        <v>901</v>
      </c>
      <c r="AP194" s="61">
        <v>1010</v>
      </c>
      <c r="AQ194" s="61">
        <v>130</v>
      </c>
      <c r="AR194" s="61"/>
      <c r="AS194" s="61">
        <v>3</v>
      </c>
      <c r="AT194" s="61">
        <v>2</v>
      </c>
      <c r="AU194" s="61"/>
      <c r="AV194" s="61">
        <v>154</v>
      </c>
      <c r="AW194" s="61">
        <v>319</v>
      </c>
      <c r="AX194" s="61">
        <v>21</v>
      </c>
      <c r="AY194" s="61">
        <v>38968</v>
      </c>
      <c r="AZ194" s="61">
        <v>196</v>
      </c>
      <c r="BA194" s="61">
        <v>20</v>
      </c>
      <c r="BB194" s="61"/>
      <c r="BC194" s="61">
        <v>52</v>
      </c>
      <c r="BD194" s="61">
        <v>25325</v>
      </c>
      <c r="BE194" s="61">
        <v>5471</v>
      </c>
      <c r="BF194" s="61">
        <v>47</v>
      </c>
      <c r="BG194" s="61">
        <v>8309</v>
      </c>
      <c r="BH194" s="61">
        <v>2638</v>
      </c>
      <c r="BI194" s="61"/>
      <c r="BJ194" s="61">
        <v>41790</v>
      </c>
      <c r="BK194" s="61">
        <v>8</v>
      </c>
      <c r="BL194" s="61">
        <v>39789</v>
      </c>
      <c r="BM194" s="61">
        <v>1993</v>
      </c>
      <c r="BN194" s="61">
        <v>4273</v>
      </c>
      <c r="BO194" s="61">
        <v>3445</v>
      </c>
      <c r="BP194" s="61">
        <v>1</v>
      </c>
      <c r="BQ194" s="61">
        <v>58</v>
      </c>
      <c r="BR194" s="61">
        <v>350</v>
      </c>
      <c r="BS194" s="61">
        <v>461</v>
      </c>
      <c r="BT194" s="61">
        <v>669</v>
      </c>
      <c r="BU194" s="61">
        <v>1351</v>
      </c>
      <c r="BV194" s="61">
        <v>1548</v>
      </c>
      <c r="BW194" s="61">
        <v>1378</v>
      </c>
      <c r="BX194" s="61">
        <v>1904</v>
      </c>
      <c r="BY194" s="61"/>
      <c r="BZ194" s="61"/>
      <c r="CA194" s="61"/>
      <c r="CB194" s="61">
        <v>105</v>
      </c>
      <c r="CC194" s="61">
        <v>663</v>
      </c>
      <c r="CD194" s="61">
        <v>1693</v>
      </c>
      <c r="CE194" s="61"/>
      <c r="CF194" s="61">
        <v>4</v>
      </c>
      <c r="CG194" s="61">
        <v>5223</v>
      </c>
      <c r="CH194" s="61">
        <v>31</v>
      </c>
      <c r="CI194" s="61">
        <v>449</v>
      </c>
      <c r="CJ194" s="61">
        <v>367</v>
      </c>
      <c r="CK194" s="61">
        <v>274</v>
      </c>
      <c r="CL194" s="61">
        <v>422</v>
      </c>
      <c r="CM194" s="61">
        <v>17</v>
      </c>
      <c r="CN194" s="61"/>
      <c r="CO194" s="61">
        <v>52</v>
      </c>
      <c r="CP194" s="61">
        <v>4104</v>
      </c>
      <c r="CQ194" s="61">
        <v>1805</v>
      </c>
      <c r="CR194" s="61">
        <v>3</v>
      </c>
      <c r="CS194" s="61">
        <v>212</v>
      </c>
      <c r="CT194" s="61">
        <v>7</v>
      </c>
      <c r="CU194" s="61"/>
      <c r="CV194" s="61"/>
      <c r="CW194" s="61">
        <v>1</v>
      </c>
      <c r="CX194" s="61">
        <v>2391</v>
      </c>
      <c r="CY194" s="61">
        <v>4718</v>
      </c>
      <c r="CZ194" s="61"/>
      <c r="DA194" s="61">
        <v>561</v>
      </c>
      <c r="DB194" s="61">
        <v>49</v>
      </c>
      <c r="DC194" s="61"/>
      <c r="DD194" s="61">
        <v>7719</v>
      </c>
      <c r="DE194" s="61">
        <v>12</v>
      </c>
      <c r="DF194" s="61">
        <v>7707</v>
      </c>
      <c r="DG194" s="61"/>
      <c r="DH194" s="62" t="s">
        <v>2185</v>
      </c>
      <c r="DI194" s="61">
        <v>417</v>
      </c>
      <c r="DJ194" s="61">
        <v>29</v>
      </c>
      <c r="DK194" s="61">
        <v>14</v>
      </c>
      <c r="DL194" s="61"/>
      <c r="DM194" s="61"/>
      <c r="DN194" s="61">
        <v>6</v>
      </c>
    </row>
    <row r="195" spans="1:118" x14ac:dyDescent="0.25">
      <c r="A195" s="61">
        <v>106331216</v>
      </c>
      <c r="B195" s="62" t="s">
        <v>910</v>
      </c>
      <c r="C195" s="62" t="s">
        <v>911</v>
      </c>
      <c r="D195" s="62" t="s">
        <v>891</v>
      </c>
      <c r="E195" s="62" t="s">
        <v>184</v>
      </c>
      <c r="F195" s="62" t="s">
        <v>2213</v>
      </c>
      <c r="G195" s="62" t="s">
        <v>912</v>
      </c>
      <c r="H195" s="62" t="s">
        <v>913</v>
      </c>
      <c r="I195" s="62" t="s">
        <v>914</v>
      </c>
      <c r="J195" s="62" t="s">
        <v>2187</v>
      </c>
      <c r="K195" s="62"/>
      <c r="L195" s="61">
        <v>36</v>
      </c>
      <c r="M195" s="61">
        <v>56</v>
      </c>
      <c r="N195" s="61">
        <v>28</v>
      </c>
      <c r="O195" s="62" t="s">
        <v>1915</v>
      </c>
      <c r="P195" s="62" t="s">
        <v>68</v>
      </c>
      <c r="Q195" s="62" t="s">
        <v>2167</v>
      </c>
      <c r="R195" s="62" t="s">
        <v>2167</v>
      </c>
      <c r="S195" s="62" t="s">
        <v>69</v>
      </c>
      <c r="T195" s="61">
        <v>19231</v>
      </c>
      <c r="U195" s="61">
        <v>17687</v>
      </c>
      <c r="V195" s="61"/>
      <c r="W195" s="61">
        <v>6355</v>
      </c>
      <c r="X195" s="61">
        <v>4513</v>
      </c>
      <c r="Y195" s="61">
        <v>6133</v>
      </c>
      <c r="Z195" s="61">
        <v>4889</v>
      </c>
      <c r="AA195" s="61">
        <v>4165</v>
      </c>
      <c r="AB195" s="61">
        <v>3850</v>
      </c>
      <c r="AC195" s="61">
        <v>2512</v>
      </c>
      <c r="AD195" s="61">
        <v>1622</v>
      </c>
      <c r="AE195" s="61">
        <v>1231</v>
      </c>
      <c r="AF195" s="61">
        <v>1648</v>
      </c>
      <c r="AG195" s="61"/>
      <c r="AH195" s="61">
        <v>224</v>
      </c>
      <c r="AI195" s="61">
        <v>1170</v>
      </c>
      <c r="AJ195" s="61">
        <v>27299</v>
      </c>
      <c r="AK195" s="61">
        <v>7</v>
      </c>
      <c r="AL195" s="61">
        <v>50</v>
      </c>
      <c r="AM195" s="61">
        <v>55</v>
      </c>
      <c r="AN195" s="61">
        <v>8113</v>
      </c>
      <c r="AO195" s="61">
        <v>527</v>
      </c>
      <c r="AP195" s="61">
        <v>1911</v>
      </c>
      <c r="AQ195" s="61">
        <v>60</v>
      </c>
      <c r="AR195" s="61">
        <v>1</v>
      </c>
      <c r="AS195" s="61">
        <v>15</v>
      </c>
      <c r="AT195" s="61"/>
      <c r="AU195" s="61"/>
      <c r="AV195" s="61"/>
      <c r="AW195" s="61">
        <v>765</v>
      </c>
      <c r="AX195" s="61"/>
      <c r="AY195" s="61">
        <v>33397</v>
      </c>
      <c r="AZ195" s="61">
        <v>239</v>
      </c>
      <c r="BA195" s="61"/>
      <c r="BB195" s="61">
        <v>3</v>
      </c>
      <c r="BC195" s="61"/>
      <c r="BD195" s="61">
        <v>13888</v>
      </c>
      <c r="BE195" s="61">
        <v>4870</v>
      </c>
      <c r="BF195" s="61">
        <v>708</v>
      </c>
      <c r="BG195" s="61">
        <v>13886</v>
      </c>
      <c r="BH195" s="61">
        <v>3566</v>
      </c>
      <c r="BI195" s="61"/>
      <c r="BJ195" s="61">
        <v>36918</v>
      </c>
      <c r="BK195" s="61">
        <v>101</v>
      </c>
      <c r="BL195" s="61">
        <v>28551</v>
      </c>
      <c r="BM195" s="61">
        <v>8266</v>
      </c>
      <c r="BN195" s="61">
        <v>1962</v>
      </c>
      <c r="BO195" s="61">
        <v>1907</v>
      </c>
      <c r="BP195" s="61"/>
      <c r="BQ195" s="61">
        <v>153</v>
      </c>
      <c r="BR195" s="61">
        <v>370</v>
      </c>
      <c r="BS195" s="61">
        <v>324</v>
      </c>
      <c r="BT195" s="61">
        <v>369</v>
      </c>
      <c r="BU195" s="61">
        <v>591</v>
      </c>
      <c r="BV195" s="61">
        <v>627</v>
      </c>
      <c r="BW195" s="61">
        <v>618</v>
      </c>
      <c r="BX195" s="61">
        <v>601</v>
      </c>
      <c r="BY195" s="61">
        <v>89</v>
      </c>
      <c r="BZ195" s="61">
        <v>127</v>
      </c>
      <c r="CA195" s="61"/>
      <c r="CB195" s="61">
        <v>19</v>
      </c>
      <c r="CC195" s="61">
        <v>101</v>
      </c>
      <c r="CD195" s="61">
        <v>2444</v>
      </c>
      <c r="CE195" s="61">
        <v>6</v>
      </c>
      <c r="CF195" s="61">
        <v>6</v>
      </c>
      <c r="CG195" s="61">
        <v>1289</v>
      </c>
      <c r="CH195" s="61">
        <v>4</v>
      </c>
      <c r="CI195" s="61">
        <v>211</v>
      </c>
      <c r="CJ195" s="61">
        <v>111</v>
      </c>
      <c r="CK195" s="61">
        <v>111</v>
      </c>
      <c r="CL195" s="61">
        <v>266</v>
      </c>
      <c r="CM195" s="61">
        <v>4</v>
      </c>
      <c r="CN195" s="61"/>
      <c r="CO195" s="61"/>
      <c r="CP195" s="61">
        <v>2405</v>
      </c>
      <c r="CQ195" s="61">
        <v>637</v>
      </c>
      <c r="CR195" s="61">
        <v>15</v>
      </c>
      <c r="CS195" s="61">
        <v>84</v>
      </c>
      <c r="CT195" s="61">
        <v>25</v>
      </c>
      <c r="CU195" s="61"/>
      <c r="CV195" s="61"/>
      <c r="CW195" s="61"/>
      <c r="CX195" s="61">
        <v>1516</v>
      </c>
      <c r="CY195" s="61">
        <v>1210</v>
      </c>
      <c r="CZ195" s="61">
        <v>162</v>
      </c>
      <c r="DA195" s="61">
        <v>904</v>
      </c>
      <c r="DB195" s="61">
        <v>77</v>
      </c>
      <c r="DC195" s="61"/>
      <c r="DD195" s="61">
        <v>3869</v>
      </c>
      <c r="DE195" s="61">
        <v>10</v>
      </c>
      <c r="DF195" s="61">
        <v>2875</v>
      </c>
      <c r="DG195" s="61">
        <v>984</v>
      </c>
      <c r="DH195" s="62" t="s">
        <v>2185</v>
      </c>
      <c r="DI195" s="61">
        <v>156</v>
      </c>
      <c r="DJ195" s="61">
        <v>12</v>
      </c>
      <c r="DK195" s="61"/>
      <c r="DL195" s="61"/>
      <c r="DM195" s="61"/>
      <c r="DN195" s="61"/>
    </row>
    <row r="196" spans="1:118" x14ac:dyDescent="0.25">
      <c r="A196" s="61">
        <v>106331288</v>
      </c>
      <c r="B196" s="62" t="s">
        <v>915</v>
      </c>
      <c r="C196" s="62" t="s">
        <v>916</v>
      </c>
      <c r="D196" s="62" t="s">
        <v>891</v>
      </c>
      <c r="E196" s="62" t="s">
        <v>94</v>
      </c>
      <c r="F196" s="62" t="s">
        <v>2213</v>
      </c>
      <c r="G196" s="62" t="s">
        <v>917</v>
      </c>
      <c r="H196" s="62" t="s">
        <v>918</v>
      </c>
      <c r="I196" s="62" t="s">
        <v>919</v>
      </c>
      <c r="J196" s="62" t="s">
        <v>2188</v>
      </c>
      <c r="K196" s="62"/>
      <c r="L196" s="61">
        <v>36</v>
      </c>
      <c r="M196" s="61">
        <v>56</v>
      </c>
      <c r="N196" s="61">
        <v>28</v>
      </c>
      <c r="O196" s="62" t="s">
        <v>1916</v>
      </c>
      <c r="P196" s="62" t="s">
        <v>120</v>
      </c>
      <c r="Q196" s="62" t="s">
        <v>120</v>
      </c>
      <c r="R196" s="62" t="s">
        <v>2167</v>
      </c>
      <c r="S196" s="62" t="s">
        <v>127</v>
      </c>
      <c r="T196" s="61">
        <v>4757</v>
      </c>
      <c r="U196" s="61">
        <v>5076</v>
      </c>
      <c r="V196" s="61"/>
      <c r="W196" s="61">
        <v>1004</v>
      </c>
      <c r="X196" s="61">
        <v>1020</v>
      </c>
      <c r="Y196" s="61">
        <v>1614</v>
      </c>
      <c r="Z196" s="61">
        <v>1277</v>
      </c>
      <c r="AA196" s="61">
        <v>1282</v>
      </c>
      <c r="AB196" s="61">
        <v>1443</v>
      </c>
      <c r="AC196" s="61">
        <v>968</v>
      </c>
      <c r="AD196" s="61">
        <v>622</v>
      </c>
      <c r="AE196" s="61">
        <v>370</v>
      </c>
      <c r="AF196" s="61">
        <v>233</v>
      </c>
      <c r="AG196" s="61"/>
      <c r="AH196" s="61">
        <v>47</v>
      </c>
      <c r="AI196" s="61">
        <v>1207</v>
      </c>
      <c r="AJ196" s="61">
        <v>4060</v>
      </c>
      <c r="AK196" s="61">
        <v>30</v>
      </c>
      <c r="AL196" s="61">
        <v>208</v>
      </c>
      <c r="AM196" s="61">
        <v>7</v>
      </c>
      <c r="AN196" s="61">
        <v>4274</v>
      </c>
      <c r="AO196" s="61">
        <v>329</v>
      </c>
      <c r="AP196" s="61">
        <v>565</v>
      </c>
      <c r="AQ196" s="61">
        <v>13</v>
      </c>
      <c r="AR196" s="61"/>
      <c r="AS196" s="61"/>
      <c r="AT196" s="61"/>
      <c r="AU196" s="61"/>
      <c r="AV196" s="61">
        <v>423</v>
      </c>
      <c r="AW196" s="61">
        <v>166</v>
      </c>
      <c r="AX196" s="61">
        <v>38</v>
      </c>
      <c r="AY196" s="61">
        <v>8183</v>
      </c>
      <c r="AZ196" s="61">
        <v>31</v>
      </c>
      <c r="BA196" s="61">
        <v>21</v>
      </c>
      <c r="BB196" s="61"/>
      <c r="BC196" s="61">
        <v>64</v>
      </c>
      <c r="BD196" s="61">
        <v>4222</v>
      </c>
      <c r="BE196" s="61">
        <v>2142</v>
      </c>
      <c r="BF196" s="61">
        <v>638</v>
      </c>
      <c r="BG196" s="61">
        <v>2054</v>
      </c>
      <c r="BH196" s="61">
        <v>777</v>
      </c>
      <c r="BI196" s="61"/>
      <c r="BJ196" s="61">
        <v>9833</v>
      </c>
      <c r="BK196" s="61">
        <v>16</v>
      </c>
      <c r="BL196" s="61">
        <v>9578</v>
      </c>
      <c r="BM196" s="61">
        <v>239</v>
      </c>
      <c r="BN196" s="61">
        <v>257</v>
      </c>
      <c r="BO196" s="61">
        <v>290</v>
      </c>
      <c r="BP196" s="61"/>
      <c r="BQ196" s="61">
        <v>12</v>
      </c>
      <c r="BR196" s="61">
        <v>53</v>
      </c>
      <c r="BS196" s="61">
        <v>46</v>
      </c>
      <c r="BT196" s="61">
        <v>52</v>
      </c>
      <c r="BU196" s="61">
        <v>92</v>
      </c>
      <c r="BV196" s="61">
        <v>88</v>
      </c>
      <c r="BW196" s="61">
        <v>96</v>
      </c>
      <c r="BX196" s="61">
        <v>105</v>
      </c>
      <c r="BY196" s="61"/>
      <c r="BZ196" s="61">
        <v>3</v>
      </c>
      <c r="CA196" s="61"/>
      <c r="CB196" s="61">
        <v>1</v>
      </c>
      <c r="CC196" s="61">
        <v>58</v>
      </c>
      <c r="CD196" s="61">
        <v>193</v>
      </c>
      <c r="CE196" s="61">
        <v>4</v>
      </c>
      <c r="CF196" s="61"/>
      <c r="CG196" s="61">
        <v>290</v>
      </c>
      <c r="CH196" s="61">
        <v>1</v>
      </c>
      <c r="CI196" s="61">
        <v>35</v>
      </c>
      <c r="CJ196" s="61">
        <v>27</v>
      </c>
      <c r="CK196" s="61">
        <v>18</v>
      </c>
      <c r="CL196" s="61">
        <v>1</v>
      </c>
      <c r="CM196" s="61">
        <v>1</v>
      </c>
      <c r="CN196" s="61"/>
      <c r="CO196" s="61">
        <v>3</v>
      </c>
      <c r="CP196" s="61">
        <v>340</v>
      </c>
      <c r="CQ196" s="61">
        <v>72</v>
      </c>
      <c r="CR196" s="61">
        <v>45</v>
      </c>
      <c r="CS196" s="61">
        <v>4</v>
      </c>
      <c r="CT196" s="61"/>
      <c r="CU196" s="61"/>
      <c r="CV196" s="61"/>
      <c r="CW196" s="61">
        <v>1</v>
      </c>
      <c r="CX196" s="61">
        <v>120</v>
      </c>
      <c r="CY196" s="61">
        <v>250</v>
      </c>
      <c r="CZ196" s="61">
        <v>59</v>
      </c>
      <c r="DA196" s="61">
        <v>101</v>
      </c>
      <c r="DB196" s="61">
        <v>17</v>
      </c>
      <c r="DC196" s="61"/>
      <c r="DD196" s="61">
        <v>547</v>
      </c>
      <c r="DE196" s="61"/>
      <c r="DF196" s="61">
        <v>528</v>
      </c>
      <c r="DG196" s="61">
        <v>19</v>
      </c>
      <c r="DH196" s="62" t="s">
        <v>2185</v>
      </c>
      <c r="DI196" s="61">
        <v>51</v>
      </c>
      <c r="DJ196" s="61">
        <v>6</v>
      </c>
      <c r="DK196" s="61"/>
      <c r="DL196" s="61"/>
      <c r="DM196" s="61"/>
      <c r="DN196" s="61"/>
    </row>
    <row r="197" spans="1:118" x14ac:dyDescent="0.25">
      <c r="A197" s="61">
        <v>106331293</v>
      </c>
      <c r="B197" s="62" t="s">
        <v>920</v>
      </c>
      <c r="C197" s="62" t="s">
        <v>921</v>
      </c>
      <c r="D197" s="62" t="s">
        <v>891</v>
      </c>
      <c r="E197" s="62" t="s">
        <v>71</v>
      </c>
      <c r="F197" s="62" t="s">
        <v>2213</v>
      </c>
      <c r="G197" s="62" t="s">
        <v>922</v>
      </c>
      <c r="H197" s="62" t="s">
        <v>891</v>
      </c>
      <c r="I197" s="62" t="s">
        <v>923</v>
      </c>
      <c r="J197" s="62" t="s">
        <v>2187</v>
      </c>
      <c r="K197" s="62"/>
      <c r="L197" s="61">
        <v>41</v>
      </c>
      <c r="M197" s="61">
        <v>60</v>
      </c>
      <c r="N197" s="61">
        <v>31</v>
      </c>
      <c r="O197" s="62" t="s">
        <v>1917</v>
      </c>
      <c r="P197" s="62" t="s">
        <v>68</v>
      </c>
      <c r="Q197" s="62" t="s">
        <v>2167</v>
      </c>
      <c r="R197" s="62" t="s">
        <v>2167</v>
      </c>
      <c r="S197" s="62" t="s">
        <v>69</v>
      </c>
      <c r="T197" s="61">
        <v>24301</v>
      </c>
      <c r="U197" s="61">
        <v>19275</v>
      </c>
      <c r="V197" s="61">
        <v>2</v>
      </c>
      <c r="W197" s="61">
        <v>7177</v>
      </c>
      <c r="X197" s="61">
        <v>5655</v>
      </c>
      <c r="Y197" s="61">
        <v>7545</v>
      </c>
      <c r="Z197" s="61">
        <v>6259</v>
      </c>
      <c r="AA197" s="61">
        <v>5308</v>
      </c>
      <c r="AB197" s="61">
        <v>5100</v>
      </c>
      <c r="AC197" s="61">
        <v>2663</v>
      </c>
      <c r="AD197" s="61">
        <v>1313</v>
      </c>
      <c r="AE197" s="61">
        <v>1034</v>
      </c>
      <c r="AF197" s="61">
        <v>1524</v>
      </c>
      <c r="AG197" s="61"/>
      <c r="AH197" s="61">
        <v>973</v>
      </c>
      <c r="AI197" s="61">
        <v>2903</v>
      </c>
      <c r="AJ197" s="61">
        <v>21590</v>
      </c>
      <c r="AK197" s="61">
        <v>207</v>
      </c>
      <c r="AL197" s="61">
        <v>394</v>
      </c>
      <c r="AM197" s="61"/>
      <c r="AN197" s="61">
        <v>17511</v>
      </c>
      <c r="AO197" s="61">
        <v>617</v>
      </c>
      <c r="AP197" s="61">
        <v>3539</v>
      </c>
      <c r="AQ197" s="61">
        <v>68</v>
      </c>
      <c r="AR197" s="61">
        <v>23</v>
      </c>
      <c r="AS197" s="61">
        <v>5</v>
      </c>
      <c r="AT197" s="61"/>
      <c r="AU197" s="61"/>
      <c r="AV197" s="61">
        <v>1</v>
      </c>
      <c r="AW197" s="61">
        <v>3</v>
      </c>
      <c r="AX197" s="61">
        <v>4</v>
      </c>
      <c r="AY197" s="61">
        <v>39252</v>
      </c>
      <c r="AZ197" s="61">
        <v>64</v>
      </c>
      <c r="BA197" s="61"/>
      <c r="BB197" s="61"/>
      <c r="BC197" s="61"/>
      <c r="BD197" s="61">
        <v>24737</v>
      </c>
      <c r="BE197" s="61">
        <v>4813</v>
      </c>
      <c r="BF197" s="61">
        <v>782</v>
      </c>
      <c r="BG197" s="61">
        <v>8174</v>
      </c>
      <c r="BH197" s="61">
        <v>5072</v>
      </c>
      <c r="BI197" s="61"/>
      <c r="BJ197" s="61">
        <v>43578</v>
      </c>
      <c r="BK197" s="61">
        <v>276</v>
      </c>
      <c r="BL197" s="61">
        <v>36224</v>
      </c>
      <c r="BM197" s="61">
        <v>7078</v>
      </c>
      <c r="BN197" s="61">
        <v>2761</v>
      </c>
      <c r="BO197" s="61">
        <v>2404</v>
      </c>
      <c r="BP197" s="61"/>
      <c r="BQ197" s="61">
        <v>113</v>
      </c>
      <c r="BR197" s="61">
        <v>297</v>
      </c>
      <c r="BS197" s="61">
        <v>421</v>
      </c>
      <c r="BT197" s="61">
        <v>524</v>
      </c>
      <c r="BU197" s="61">
        <v>1056</v>
      </c>
      <c r="BV197" s="61">
        <v>989</v>
      </c>
      <c r="BW197" s="61">
        <v>822</v>
      </c>
      <c r="BX197" s="61">
        <v>819</v>
      </c>
      <c r="BY197" s="61">
        <v>73</v>
      </c>
      <c r="BZ197" s="61">
        <v>51</v>
      </c>
      <c r="CA197" s="61"/>
      <c r="CB197" s="61">
        <v>162</v>
      </c>
      <c r="CC197" s="61">
        <v>425</v>
      </c>
      <c r="CD197" s="61">
        <v>1964</v>
      </c>
      <c r="CE197" s="61">
        <v>56</v>
      </c>
      <c r="CF197" s="61"/>
      <c r="CG197" s="61">
        <v>2545</v>
      </c>
      <c r="CH197" s="61">
        <v>13</v>
      </c>
      <c r="CI197" s="61">
        <v>304</v>
      </c>
      <c r="CJ197" s="61">
        <v>197</v>
      </c>
      <c r="CK197" s="61">
        <v>191</v>
      </c>
      <c r="CL197" s="61">
        <v>377</v>
      </c>
      <c r="CM197" s="61">
        <v>3</v>
      </c>
      <c r="CN197" s="61"/>
      <c r="CO197" s="61">
        <v>7</v>
      </c>
      <c r="CP197" s="61">
        <v>2747</v>
      </c>
      <c r="CQ197" s="61">
        <v>1229</v>
      </c>
      <c r="CR197" s="61">
        <v>2</v>
      </c>
      <c r="CS197" s="61">
        <v>81</v>
      </c>
      <c r="CT197" s="61">
        <v>25</v>
      </c>
      <c r="CU197" s="61">
        <v>1</v>
      </c>
      <c r="CV197" s="61"/>
      <c r="CW197" s="61"/>
      <c r="CX197" s="61">
        <v>1987</v>
      </c>
      <c r="CY197" s="61">
        <v>2326</v>
      </c>
      <c r="CZ197" s="61">
        <v>12</v>
      </c>
      <c r="DA197" s="61">
        <v>714</v>
      </c>
      <c r="DB197" s="61">
        <v>126</v>
      </c>
      <c r="DC197" s="61"/>
      <c r="DD197" s="61">
        <v>5165</v>
      </c>
      <c r="DE197" s="61">
        <v>61</v>
      </c>
      <c r="DF197" s="61">
        <v>4305</v>
      </c>
      <c r="DG197" s="61">
        <v>799</v>
      </c>
      <c r="DH197" s="62" t="s">
        <v>2185</v>
      </c>
      <c r="DI197" s="61">
        <v>193</v>
      </c>
      <c r="DJ197" s="61">
        <v>14</v>
      </c>
      <c r="DK197" s="61">
        <v>2</v>
      </c>
      <c r="DL197" s="61"/>
      <c r="DM197" s="61"/>
      <c r="DN197" s="61">
        <v>1</v>
      </c>
    </row>
    <row r="198" spans="1:118" x14ac:dyDescent="0.25">
      <c r="A198" s="61">
        <v>106331312</v>
      </c>
      <c r="B198" s="62" t="s">
        <v>924</v>
      </c>
      <c r="C198" s="62" t="s">
        <v>925</v>
      </c>
      <c r="D198" s="62" t="s">
        <v>891</v>
      </c>
      <c r="E198" s="62" t="s">
        <v>349</v>
      </c>
      <c r="F198" s="62" t="s">
        <v>2213</v>
      </c>
      <c r="G198" s="62" t="s">
        <v>926</v>
      </c>
      <c r="H198" s="62" t="s">
        <v>891</v>
      </c>
      <c r="I198" s="62" t="s">
        <v>927</v>
      </c>
      <c r="J198" s="62" t="s">
        <v>2186</v>
      </c>
      <c r="K198" s="62" t="s">
        <v>82</v>
      </c>
      <c r="L198" s="61">
        <v>41</v>
      </c>
      <c r="M198" s="61">
        <v>61</v>
      </c>
      <c r="N198" s="61">
        <v>31</v>
      </c>
      <c r="O198" s="62" t="s">
        <v>1918</v>
      </c>
      <c r="P198" s="62" t="s">
        <v>68</v>
      </c>
      <c r="Q198" s="62" t="s">
        <v>2167</v>
      </c>
      <c r="R198" s="62" t="s">
        <v>2167</v>
      </c>
      <c r="S198" s="62" t="s">
        <v>69</v>
      </c>
      <c r="T198" s="61">
        <v>54873</v>
      </c>
      <c r="U198" s="61">
        <v>40637</v>
      </c>
      <c r="V198" s="61">
        <v>2</v>
      </c>
      <c r="W198" s="61">
        <v>12854</v>
      </c>
      <c r="X198" s="61">
        <v>10744</v>
      </c>
      <c r="Y198" s="61">
        <v>20155</v>
      </c>
      <c r="Z198" s="61">
        <v>14047</v>
      </c>
      <c r="AA198" s="61">
        <v>10990</v>
      </c>
      <c r="AB198" s="61">
        <v>10793</v>
      </c>
      <c r="AC198" s="61">
        <v>6152</v>
      </c>
      <c r="AD198" s="61">
        <v>3607</v>
      </c>
      <c r="AE198" s="61">
        <v>3372</v>
      </c>
      <c r="AF198" s="61">
        <v>2798</v>
      </c>
      <c r="AG198" s="61"/>
      <c r="AH198" s="61">
        <v>1806</v>
      </c>
      <c r="AI198" s="61">
        <v>10309</v>
      </c>
      <c r="AJ198" s="61">
        <v>47626</v>
      </c>
      <c r="AK198" s="61">
        <v>59</v>
      </c>
      <c r="AL198" s="61">
        <v>10571</v>
      </c>
      <c r="AM198" s="61">
        <v>7</v>
      </c>
      <c r="AN198" s="61">
        <v>25134</v>
      </c>
      <c r="AO198" s="61">
        <v>337</v>
      </c>
      <c r="AP198" s="61">
        <v>1866</v>
      </c>
      <c r="AQ198" s="61">
        <v>103</v>
      </c>
      <c r="AR198" s="61">
        <v>33</v>
      </c>
      <c r="AS198" s="61">
        <v>15</v>
      </c>
      <c r="AT198" s="61">
        <v>27</v>
      </c>
      <c r="AU198" s="61"/>
      <c r="AV198" s="61">
        <v>1085</v>
      </c>
      <c r="AW198" s="61">
        <v>271</v>
      </c>
      <c r="AX198" s="61">
        <v>2</v>
      </c>
      <c r="AY198" s="61">
        <v>90950</v>
      </c>
      <c r="AZ198" s="61">
        <v>350</v>
      </c>
      <c r="BA198" s="61">
        <v>20</v>
      </c>
      <c r="BB198" s="61">
        <v>6</v>
      </c>
      <c r="BC198" s="61">
        <v>445</v>
      </c>
      <c r="BD198" s="61">
        <v>34225</v>
      </c>
      <c r="BE198" s="61">
        <v>12477</v>
      </c>
      <c r="BF198" s="61">
        <v>24025</v>
      </c>
      <c r="BG198" s="61">
        <v>14237</v>
      </c>
      <c r="BH198" s="61">
        <v>10548</v>
      </c>
      <c r="BI198" s="61"/>
      <c r="BJ198" s="61">
        <v>95512</v>
      </c>
      <c r="BK198" s="61">
        <v>837</v>
      </c>
      <c r="BL198" s="61">
        <v>85239</v>
      </c>
      <c r="BM198" s="61">
        <v>9436</v>
      </c>
      <c r="BN198" s="61">
        <v>10437</v>
      </c>
      <c r="BO198" s="61">
        <v>7827</v>
      </c>
      <c r="BP198" s="61"/>
      <c r="BQ198" s="61">
        <v>521</v>
      </c>
      <c r="BR198" s="61">
        <v>2477</v>
      </c>
      <c r="BS198" s="61">
        <v>1879</v>
      </c>
      <c r="BT198" s="61">
        <v>1601</v>
      </c>
      <c r="BU198" s="61">
        <v>2860</v>
      </c>
      <c r="BV198" s="61">
        <v>3104</v>
      </c>
      <c r="BW198" s="61">
        <v>2786</v>
      </c>
      <c r="BX198" s="61">
        <v>2831</v>
      </c>
      <c r="BY198" s="61">
        <v>138</v>
      </c>
      <c r="BZ198" s="61">
        <v>67</v>
      </c>
      <c r="CA198" s="61"/>
      <c r="CB198" s="61">
        <v>451</v>
      </c>
      <c r="CC198" s="61">
        <v>1753</v>
      </c>
      <c r="CD198" s="61">
        <v>6955</v>
      </c>
      <c r="CE198" s="61">
        <v>2277</v>
      </c>
      <c r="CF198" s="61"/>
      <c r="CG198" s="61">
        <v>6820</v>
      </c>
      <c r="CH198" s="61">
        <v>8</v>
      </c>
      <c r="CI198" s="61">
        <v>322</v>
      </c>
      <c r="CJ198" s="61">
        <v>482</v>
      </c>
      <c r="CK198" s="61">
        <v>574</v>
      </c>
      <c r="CL198" s="61">
        <v>1334</v>
      </c>
      <c r="CM198" s="61">
        <v>160</v>
      </c>
      <c r="CN198" s="61"/>
      <c r="CO198" s="61">
        <v>17</v>
      </c>
      <c r="CP198" s="61">
        <v>12036</v>
      </c>
      <c r="CQ198" s="61">
        <v>2684</v>
      </c>
      <c r="CR198" s="61">
        <v>17</v>
      </c>
      <c r="CS198" s="61">
        <v>340</v>
      </c>
      <c r="CT198" s="61">
        <v>61</v>
      </c>
      <c r="CU198" s="61">
        <v>9</v>
      </c>
      <c r="CV198" s="61">
        <v>14</v>
      </c>
      <c r="CW198" s="61">
        <v>214</v>
      </c>
      <c r="CX198" s="61">
        <v>6550</v>
      </c>
      <c r="CY198" s="61">
        <v>7031</v>
      </c>
      <c r="CZ198" s="61">
        <v>464</v>
      </c>
      <c r="DA198" s="61">
        <v>3859</v>
      </c>
      <c r="DB198" s="61">
        <v>360</v>
      </c>
      <c r="DC198" s="61"/>
      <c r="DD198" s="61">
        <v>18264</v>
      </c>
      <c r="DE198" s="61">
        <v>242</v>
      </c>
      <c r="DF198" s="61">
        <v>15903</v>
      </c>
      <c r="DG198" s="61">
        <v>2119</v>
      </c>
      <c r="DH198" s="62" t="s">
        <v>2185</v>
      </c>
      <c r="DI198" s="61">
        <v>373</v>
      </c>
      <c r="DJ198" s="61">
        <v>50</v>
      </c>
      <c r="DK198" s="61"/>
      <c r="DL198" s="61">
        <v>2</v>
      </c>
      <c r="DM198" s="61"/>
      <c r="DN198" s="61"/>
    </row>
    <row r="199" spans="1:118" x14ac:dyDescent="0.25">
      <c r="A199" s="61">
        <v>106331326</v>
      </c>
      <c r="B199" s="62" t="s">
        <v>928</v>
      </c>
      <c r="C199" s="62" t="s">
        <v>929</v>
      </c>
      <c r="D199" s="62" t="s">
        <v>891</v>
      </c>
      <c r="E199" s="62" t="s">
        <v>94</v>
      </c>
      <c r="F199" s="62" t="s">
        <v>2213</v>
      </c>
      <c r="G199" s="62" t="s">
        <v>930</v>
      </c>
      <c r="H199" s="62" t="s">
        <v>931</v>
      </c>
      <c r="I199" s="62" t="s">
        <v>932</v>
      </c>
      <c r="J199" s="62" t="s">
        <v>2188</v>
      </c>
      <c r="K199" s="62"/>
      <c r="L199" s="61">
        <v>36</v>
      </c>
      <c r="M199" s="61">
        <v>42</v>
      </c>
      <c r="N199" s="61">
        <v>23</v>
      </c>
      <c r="O199" s="62" t="s">
        <v>1919</v>
      </c>
      <c r="P199" s="62" t="s">
        <v>68</v>
      </c>
      <c r="Q199" s="62" t="s">
        <v>120</v>
      </c>
      <c r="R199" s="62" t="s">
        <v>2167</v>
      </c>
      <c r="S199" s="62" t="s">
        <v>69</v>
      </c>
      <c r="T199" s="61">
        <v>23300</v>
      </c>
      <c r="U199" s="61">
        <v>17555</v>
      </c>
      <c r="V199" s="61">
        <v>4</v>
      </c>
      <c r="W199" s="61">
        <v>5510</v>
      </c>
      <c r="X199" s="61">
        <v>4627</v>
      </c>
      <c r="Y199" s="61">
        <v>6488</v>
      </c>
      <c r="Z199" s="61">
        <v>5576</v>
      </c>
      <c r="AA199" s="61">
        <v>4249</v>
      </c>
      <c r="AB199" s="61">
        <v>4713</v>
      </c>
      <c r="AC199" s="61">
        <v>3288</v>
      </c>
      <c r="AD199" s="61">
        <v>2461</v>
      </c>
      <c r="AE199" s="61">
        <v>2851</v>
      </c>
      <c r="AF199" s="61">
        <v>1096</v>
      </c>
      <c r="AG199" s="61"/>
      <c r="AH199" s="61">
        <v>980</v>
      </c>
      <c r="AI199" s="61">
        <v>3927</v>
      </c>
      <c r="AJ199" s="61">
        <v>15274</v>
      </c>
      <c r="AK199" s="61">
        <v>512</v>
      </c>
      <c r="AL199" s="61">
        <v>681</v>
      </c>
      <c r="AM199" s="61"/>
      <c r="AN199" s="61">
        <v>19485</v>
      </c>
      <c r="AO199" s="61">
        <v>1304</v>
      </c>
      <c r="AP199" s="61">
        <v>1243</v>
      </c>
      <c r="AQ199" s="61">
        <v>60</v>
      </c>
      <c r="AR199" s="61">
        <v>175</v>
      </c>
      <c r="AS199" s="61">
        <v>24</v>
      </c>
      <c r="AT199" s="61">
        <v>1</v>
      </c>
      <c r="AU199" s="61"/>
      <c r="AV199" s="61"/>
      <c r="AW199" s="61">
        <v>244</v>
      </c>
      <c r="AX199" s="61">
        <v>5</v>
      </c>
      <c r="AY199" s="61">
        <v>37428</v>
      </c>
      <c r="AZ199" s="61">
        <v>259</v>
      </c>
      <c r="BA199" s="61">
        <v>112</v>
      </c>
      <c r="BB199" s="61"/>
      <c r="BC199" s="61"/>
      <c r="BD199" s="61">
        <v>22136</v>
      </c>
      <c r="BE199" s="61">
        <v>12100</v>
      </c>
      <c r="BF199" s="61">
        <v>298</v>
      </c>
      <c r="BG199" s="61">
        <v>3502</v>
      </c>
      <c r="BH199" s="61">
        <v>2823</v>
      </c>
      <c r="BI199" s="61"/>
      <c r="BJ199" s="61">
        <v>40859</v>
      </c>
      <c r="BK199" s="61">
        <v>38</v>
      </c>
      <c r="BL199" s="61">
        <v>40045</v>
      </c>
      <c r="BM199" s="61">
        <v>776</v>
      </c>
      <c r="BN199" s="61">
        <v>1732</v>
      </c>
      <c r="BO199" s="61">
        <v>1360</v>
      </c>
      <c r="BP199" s="61"/>
      <c r="BQ199" s="61">
        <v>26</v>
      </c>
      <c r="BR199" s="61">
        <v>165</v>
      </c>
      <c r="BS199" s="61">
        <v>184</v>
      </c>
      <c r="BT199" s="61">
        <v>224</v>
      </c>
      <c r="BU199" s="61">
        <v>497</v>
      </c>
      <c r="BV199" s="61">
        <v>557</v>
      </c>
      <c r="BW199" s="61">
        <v>587</v>
      </c>
      <c r="BX199" s="61">
        <v>851</v>
      </c>
      <c r="BY199" s="61">
        <v>1</v>
      </c>
      <c r="BZ199" s="61"/>
      <c r="CA199" s="61"/>
      <c r="CB199" s="61">
        <v>82</v>
      </c>
      <c r="CC199" s="61">
        <v>214</v>
      </c>
      <c r="CD199" s="61">
        <v>683</v>
      </c>
      <c r="CE199" s="61">
        <v>1</v>
      </c>
      <c r="CF199" s="61"/>
      <c r="CG199" s="61">
        <v>2079</v>
      </c>
      <c r="CH199" s="61">
        <v>33</v>
      </c>
      <c r="CI199" s="61">
        <v>263</v>
      </c>
      <c r="CJ199" s="61">
        <v>145</v>
      </c>
      <c r="CK199" s="61">
        <v>97</v>
      </c>
      <c r="CL199" s="61">
        <v>629</v>
      </c>
      <c r="CM199" s="61">
        <v>1</v>
      </c>
      <c r="CN199" s="61"/>
      <c r="CO199" s="61">
        <v>2</v>
      </c>
      <c r="CP199" s="61">
        <v>1202</v>
      </c>
      <c r="CQ199" s="61">
        <v>577</v>
      </c>
      <c r="CR199" s="61"/>
      <c r="CS199" s="61">
        <v>165</v>
      </c>
      <c r="CT199" s="61">
        <v>6</v>
      </c>
      <c r="CU199" s="61">
        <v>5</v>
      </c>
      <c r="CV199" s="61"/>
      <c r="CW199" s="61"/>
      <c r="CX199" s="61">
        <v>832</v>
      </c>
      <c r="CY199" s="61">
        <v>1289</v>
      </c>
      <c r="CZ199" s="61">
        <v>59</v>
      </c>
      <c r="DA199" s="61">
        <v>891</v>
      </c>
      <c r="DB199" s="61">
        <v>21</v>
      </c>
      <c r="DC199" s="61"/>
      <c r="DD199" s="61">
        <v>3092</v>
      </c>
      <c r="DE199" s="61">
        <v>5</v>
      </c>
      <c r="DF199" s="61">
        <v>3022</v>
      </c>
      <c r="DG199" s="61">
        <v>65</v>
      </c>
      <c r="DH199" s="62" t="s">
        <v>2185</v>
      </c>
      <c r="DI199" s="61">
        <v>71</v>
      </c>
      <c r="DJ199" s="61">
        <v>28</v>
      </c>
      <c r="DK199" s="61">
        <v>4</v>
      </c>
      <c r="DL199" s="61"/>
      <c r="DM199" s="61"/>
      <c r="DN199" s="61"/>
    </row>
    <row r="200" spans="1:118" x14ac:dyDescent="0.25">
      <c r="A200" s="61">
        <v>106334018</v>
      </c>
      <c r="B200" s="62" t="s">
        <v>933</v>
      </c>
      <c r="C200" s="62" t="s">
        <v>934</v>
      </c>
      <c r="D200" s="62" t="s">
        <v>891</v>
      </c>
      <c r="E200" s="62" t="s">
        <v>321</v>
      </c>
      <c r="F200" s="62" t="s">
        <v>2213</v>
      </c>
      <c r="G200" s="62" t="s">
        <v>935</v>
      </c>
      <c r="H200" s="62" t="s">
        <v>936</v>
      </c>
      <c r="I200" s="62" t="s">
        <v>937</v>
      </c>
      <c r="J200" s="62" t="s">
        <v>2188</v>
      </c>
      <c r="K200" s="62"/>
      <c r="L200" s="61">
        <v>42</v>
      </c>
      <c r="M200" s="61">
        <v>67</v>
      </c>
      <c r="N200" s="61">
        <v>23</v>
      </c>
      <c r="O200" s="62" t="s">
        <v>1920</v>
      </c>
      <c r="P200" s="62" t="s">
        <v>68</v>
      </c>
      <c r="Q200" s="62" t="s">
        <v>2167</v>
      </c>
      <c r="R200" s="62" t="s">
        <v>2167</v>
      </c>
      <c r="S200" s="62" t="s">
        <v>69</v>
      </c>
      <c r="T200" s="61">
        <v>9018</v>
      </c>
      <c r="U200" s="61">
        <v>7318</v>
      </c>
      <c r="V200" s="61">
        <v>3</v>
      </c>
      <c r="W200" s="61">
        <v>1657</v>
      </c>
      <c r="X200" s="61">
        <v>1711</v>
      </c>
      <c r="Y200" s="61">
        <v>2616</v>
      </c>
      <c r="Z200" s="61">
        <v>2311</v>
      </c>
      <c r="AA200" s="61">
        <v>2010</v>
      </c>
      <c r="AB200" s="61">
        <v>1961</v>
      </c>
      <c r="AC200" s="61">
        <v>1404</v>
      </c>
      <c r="AD200" s="61">
        <v>1132</v>
      </c>
      <c r="AE200" s="61">
        <v>1274</v>
      </c>
      <c r="AF200" s="61">
        <v>263</v>
      </c>
      <c r="AG200" s="61"/>
      <c r="AH200" s="61">
        <v>227</v>
      </c>
      <c r="AI200" s="61">
        <v>1655</v>
      </c>
      <c r="AJ200" s="61">
        <v>6566</v>
      </c>
      <c r="AK200" s="61">
        <v>30</v>
      </c>
      <c r="AL200" s="61"/>
      <c r="AM200" s="61">
        <v>6</v>
      </c>
      <c r="AN200" s="61">
        <v>7855</v>
      </c>
      <c r="AO200" s="61">
        <v>279</v>
      </c>
      <c r="AP200" s="61">
        <v>200</v>
      </c>
      <c r="AQ200" s="61">
        <v>53</v>
      </c>
      <c r="AR200" s="61"/>
      <c r="AS200" s="61">
        <v>1</v>
      </c>
      <c r="AT200" s="61">
        <v>1</v>
      </c>
      <c r="AU200" s="61"/>
      <c r="AV200" s="61">
        <v>38</v>
      </c>
      <c r="AW200" s="61">
        <v>112</v>
      </c>
      <c r="AX200" s="61">
        <v>5</v>
      </c>
      <c r="AY200" s="61">
        <v>15509</v>
      </c>
      <c r="AZ200" s="61">
        <v>43</v>
      </c>
      <c r="BA200" s="61">
        <v>41</v>
      </c>
      <c r="BB200" s="61"/>
      <c r="BC200" s="61">
        <v>56</v>
      </c>
      <c r="BD200" s="61">
        <v>8617</v>
      </c>
      <c r="BE200" s="61">
        <v>1996</v>
      </c>
      <c r="BF200" s="61">
        <v>23</v>
      </c>
      <c r="BG200" s="61">
        <v>4305</v>
      </c>
      <c r="BH200" s="61">
        <v>1398</v>
      </c>
      <c r="BI200" s="61"/>
      <c r="BJ200" s="61">
        <v>16339</v>
      </c>
      <c r="BK200" s="61">
        <v>9</v>
      </c>
      <c r="BL200" s="61">
        <v>15027</v>
      </c>
      <c r="BM200" s="61">
        <v>1303</v>
      </c>
      <c r="BN200" s="61">
        <v>1407</v>
      </c>
      <c r="BO200" s="61">
        <v>1148</v>
      </c>
      <c r="BP200" s="61"/>
      <c r="BQ200" s="61">
        <v>13</v>
      </c>
      <c r="BR200" s="61">
        <v>111</v>
      </c>
      <c r="BS200" s="61">
        <v>121</v>
      </c>
      <c r="BT200" s="61">
        <v>169</v>
      </c>
      <c r="BU200" s="61">
        <v>356</v>
      </c>
      <c r="BV200" s="61">
        <v>489</v>
      </c>
      <c r="BW200" s="61">
        <v>539</v>
      </c>
      <c r="BX200" s="61">
        <v>757</v>
      </c>
      <c r="BY200" s="61"/>
      <c r="BZ200" s="61"/>
      <c r="CA200" s="61"/>
      <c r="CB200" s="61">
        <v>39</v>
      </c>
      <c r="CC200" s="61">
        <v>191</v>
      </c>
      <c r="CD200" s="61">
        <v>642</v>
      </c>
      <c r="CE200" s="61"/>
      <c r="CF200" s="61">
        <v>2</v>
      </c>
      <c r="CG200" s="61">
        <v>1678</v>
      </c>
      <c r="CH200" s="61">
        <v>3</v>
      </c>
      <c r="CI200" s="61">
        <v>171</v>
      </c>
      <c r="CJ200" s="61">
        <v>99</v>
      </c>
      <c r="CK200" s="61">
        <v>102</v>
      </c>
      <c r="CL200" s="61">
        <v>78</v>
      </c>
      <c r="CM200" s="61">
        <v>4</v>
      </c>
      <c r="CN200" s="61"/>
      <c r="CO200" s="61">
        <v>14</v>
      </c>
      <c r="CP200" s="61">
        <v>1501</v>
      </c>
      <c r="CQ200" s="61">
        <v>476</v>
      </c>
      <c r="CR200" s="61"/>
      <c r="CS200" s="61">
        <v>94</v>
      </c>
      <c r="CT200" s="61">
        <v>5</v>
      </c>
      <c r="CU200" s="61"/>
      <c r="CV200" s="61"/>
      <c r="CW200" s="61">
        <v>8</v>
      </c>
      <c r="CX200" s="61">
        <v>626</v>
      </c>
      <c r="CY200" s="61">
        <v>1666</v>
      </c>
      <c r="CZ200" s="61"/>
      <c r="DA200" s="61">
        <v>241</v>
      </c>
      <c r="DB200" s="61">
        <v>22</v>
      </c>
      <c r="DC200" s="61"/>
      <c r="DD200" s="61">
        <v>2555</v>
      </c>
      <c r="DE200" s="61"/>
      <c r="DF200" s="61">
        <v>2339</v>
      </c>
      <c r="DG200" s="61">
        <v>216</v>
      </c>
      <c r="DH200" s="62" t="s">
        <v>2185</v>
      </c>
      <c r="DI200" s="61">
        <v>84</v>
      </c>
      <c r="DJ200" s="61">
        <v>12</v>
      </c>
      <c r="DK200" s="61">
        <v>1</v>
      </c>
      <c r="DL200" s="61"/>
      <c r="DM200" s="61"/>
      <c r="DN200" s="61">
        <v>3</v>
      </c>
    </row>
    <row r="201" spans="1:118" x14ac:dyDescent="0.25">
      <c r="A201" s="61">
        <v>106334025</v>
      </c>
      <c r="B201" s="62" t="s">
        <v>938</v>
      </c>
      <c r="C201" s="62" t="s">
        <v>2078</v>
      </c>
      <c r="D201" s="62" t="s">
        <v>891</v>
      </c>
      <c r="E201" s="62" t="s">
        <v>71</v>
      </c>
      <c r="F201" s="62" t="s">
        <v>2213</v>
      </c>
      <c r="G201" s="62" t="s">
        <v>939</v>
      </c>
      <c r="H201" s="62" t="s">
        <v>891</v>
      </c>
      <c r="I201" s="62" t="s">
        <v>940</v>
      </c>
      <c r="J201" s="62" t="s">
        <v>2184</v>
      </c>
      <c r="K201" s="62"/>
      <c r="L201" s="61">
        <v>41</v>
      </c>
      <c r="M201" s="61">
        <v>60</v>
      </c>
      <c r="N201" s="61">
        <v>31</v>
      </c>
      <c r="O201" s="62" t="s">
        <v>1911</v>
      </c>
      <c r="P201" s="62" t="s">
        <v>68</v>
      </c>
      <c r="Q201" s="62" t="s">
        <v>2167</v>
      </c>
      <c r="R201" s="62" t="s">
        <v>2167</v>
      </c>
      <c r="S201" s="62" t="s">
        <v>69</v>
      </c>
      <c r="T201" s="61">
        <v>22696</v>
      </c>
      <c r="U201" s="61">
        <v>18504</v>
      </c>
      <c r="V201" s="61"/>
      <c r="W201" s="61">
        <v>4520</v>
      </c>
      <c r="X201" s="61">
        <v>4145</v>
      </c>
      <c r="Y201" s="61">
        <v>6188</v>
      </c>
      <c r="Z201" s="61">
        <v>4891</v>
      </c>
      <c r="AA201" s="61">
        <v>4773</v>
      </c>
      <c r="AB201" s="61">
        <v>5132</v>
      </c>
      <c r="AC201" s="61">
        <v>4320</v>
      </c>
      <c r="AD201" s="61">
        <v>3403</v>
      </c>
      <c r="AE201" s="61">
        <v>2808</v>
      </c>
      <c r="AF201" s="61">
        <v>1020</v>
      </c>
      <c r="AG201" s="61"/>
      <c r="AH201" s="61">
        <v>1931</v>
      </c>
      <c r="AI201" s="61">
        <v>5154</v>
      </c>
      <c r="AJ201" s="61">
        <v>15369</v>
      </c>
      <c r="AK201" s="61">
        <v>148</v>
      </c>
      <c r="AL201" s="61">
        <v>395</v>
      </c>
      <c r="AM201" s="61">
        <v>1757</v>
      </c>
      <c r="AN201" s="61">
        <v>16446</v>
      </c>
      <c r="AO201" s="61">
        <v>333</v>
      </c>
      <c r="AP201" s="61">
        <v>258</v>
      </c>
      <c r="AQ201" s="61">
        <v>40</v>
      </c>
      <c r="AR201" s="61">
        <v>165</v>
      </c>
      <c r="AS201" s="61">
        <v>32</v>
      </c>
      <c r="AT201" s="61">
        <v>139</v>
      </c>
      <c r="AU201" s="61"/>
      <c r="AV201" s="61">
        <v>3</v>
      </c>
      <c r="AW201" s="61">
        <v>537</v>
      </c>
      <c r="AX201" s="61">
        <v>4</v>
      </c>
      <c r="AY201" s="61">
        <v>39367</v>
      </c>
      <c r="AZ201" s="61">
        <v>163</v>
      </c>
      <c r="BA201" s="61">
        <v>1</v>
      </c>
      <c r="BB201" s="61">
        <v>3</v>
      </c>
      <c r="BC201" s="61">
        <v>144</v>
      </c>
      <c r="BD201" s="61">
        <v>8641</v>
      </c>
      <c r="BE201" s="61">
        <v>8817</v>
      </c>
      <c r="BF201" s="61">
        <v>222</v>
      </c>
      <c r="BG201" s="61">
        <v>20023</v>
      </c>
      <c r="BH201" s="61">
        <v>3491</v>
      </c>
      <c r="BI201" s="61">
        <v>6</v>
      </c>
      <c r="BJ201" s="61">
        <v>41200</v>
      </c>
      <c r="BK201" s="61">
        <v>605</v>
      </c>
      <c r="BL201" s="61">
        <v>36853</v>
      </c>
      <c r="BM201" s="61">
        <v>3742</v>
      </c>
      <c r="BN201" s="61">
        <v>2388</v>
      </c>
      <c r="BO201" s="61">
        <v>2242</v>
      </c>
      <c r="BP201" s="61"/>
      <c r="BQ201" s="61">
        <v>87</v>
      </c>
      <c r="BR201" s="61">
        <v>196</v>
      </c>
      <c r="BS201" s="61">
        <v>229</v>
      </c>
      <c r="BT201" s="61">
        <v>374</v>
      </c>
      <c r="BU201" s="61">
        <v>698</v>
      </c>
      <c r="BV201" s="61">
        <v>921</v>
      </c>
      <c r="BW201" s="61">
        <v>1026</v>
      </c>
      <c r="BX201" s="61">
        <v>1004</v>
      </c>
      <c r="BY201" s="61">
        <v>28</v>
      </c>
      <c r="BZ201" s="61">
        <v>67</v>
      </c>
      <c r="CA201" s="61"/>
      <c r="CB201" s="61">
        <v>231</v>
      </c>
      <c r="CC201" s="61">
        <v>567</v>
      </c>
      <c r="CD201" s="61">
        <v>1131</v>
      </c>
      <c r="CE201" s="61">
        <v>8</v>
      </c>
      <c r="CF201" s="61">
        <v>24</v>
      </c>
      <c r="CG201" s="61">
        <v>2656</v>
      </c>
      <c r="CH201" s="61">
        <v>13</v>
      </c>
      <c r="CI201" s="61">
        <v>191</v>
      </c>
      <c r="CJ201" s="61">
        <v>47</v>
      </c>
      <c r="CK201" s="61">
        <v>200</v>
      </c>
      <c r="CL201" s="61">
        <v>656</v>
      </c>
      <c r="CM201" s="61">
        <v>5</v>
      </c>
      <c r="CN201" s="61">
        <v>1</v>
      </c>
      <c r="CO201" s="61">
        <v>4</v>
      </c>
      <c r="CP201" s="61">
        <v>2842</v>
      </c>
      <c r="CQ201" s="61">
        <v>514</v>
      </c>
      <c r="CR201" s="61"/>
      <c r="CS201" s="61">
        <v>136</v>
      </c>
      <c r="CT201" s="61">
        <v>15</v>
      </c>
      <c r="CU201" s="61">
        <v>2</v>
      </c>
      <c r="CV201" s="61">
        <v>2</v>
      </c>
      <c r="CW201" s="61">
        <v>12</v>
      </c>
      <c r="CX201" s="61">
        <v>316</v>
      </c>
      <c r="CY201" s="61">
        <v>2650</v>
      </c>
      <c r="CZ201" s="61">
        <v>12</v>
      </c>
      <c r="DA201" s="61">
        <v>1559</v>
      </c>
      <c r="DB201" s="61">
        <v>93</v>
      </c>
      <c r="DC201" s="61"/>
      <c r="DD201" s="61">
        <v>4630</v>
      </c>
      <c r="DE201" s="61">
        <v>63</v>
      </c>
      <c r="DF201" s="61">
        <v>4230</v>
      </c>
      <c r="DG201" s="61">
        <v>337</v>
      </c>
      <c r="DH201" s="62" t="s">
        <v>2185</v>
      </c>
      <c r="DI201" s="61">
        <v>226</v>
      </c>
      <c r="DJ201" s="61">
        <v>42</v>
      </c>
      <c r="DK201" s="61">
        <v>11</v>
      </c>
      <c r="DL201" s="61"/>
      <c r="DM201" s="61">
        <v>3</v>
      </c>
      <c r="DN201" s="61"/>
    </row>
    <row r="202" spans="1:118" x14ac:dyDescent="0.25">
      <c r="A202" s="61">
        <v>106334048</v>
      </c>
      <c r="B202" s="62" t="s">
        <v>941</v>
      </c>
      <c r="C202" s="62" t="s">
        <v>2079</v>
      </c>
      <c r="D202" s="62" t="s">
        <v>891</v>
      </c>
      <c r="E202" s="62" t="s">
        <v>71</v>
      </c>
      <c r="F202" s="62" t="s">
        <v>2213</v>
      </c>
      <c r="G202" s="62" t="s">
        <v>942</v>
      </c>
      <c r="H202" s="62" t="s">
        <v>943</v>
      </c>
      <c r="I202" s="62" t="s">
        <v>944</v>
      </c>
      <c r="J202" s="62" t="s">
        <v>2189</v>
      </c>
      <c r="K202" s="62"/>
      <c r="L202" s="61">
        <v>41</v>
      </c>
      <c r="M202" s="61">
        <v>61</v>
      </c>
      <c r="N202" s="61">
        <v>31</v>
      </c>
      <c r="O202" s="62" t="s">
        <v>1919</v>
      </c>
      <c r="P202" s="62" t="s">
        <v>68</v>
      </c>
      <c r="Q202" s="62" t="s">
        <v>2167</v>
      </c>
      <c r="R202" s="62" t="s">
        <v>2167</v>
      </c>
      <c r="S202" s="62" t="s">
        <v>69</v>
      </c>
      <c r="T202" s="61">
        <v>20601</v>
      </c>
      <c r="U202" s="61">
        <v>14233</v>
      </c>
      <c r="V202" s="61">
        <v>1</v>
      </c>
      <c r="W202" s="61">
        <v>5267</v>
      </c>
      <c r="X202" s="61">
        <v>4358</v>
      </c>
      <c r="Y202" s="61">
        <v>6182</v>
      </c>
      <c r="Z202" s="61">
        <v>4547</v>
      </c>
      <c r="AA202" s="61">
        <v>3816</v>
      </c>
      <c r="AB202" s="61">
        <v>3450</v>
      </c>
      <c r="AC202" s="61">
        <v>2685</v>
      </c>
      <c r="AD202" s="61">
        <v>2028</v>
      </c>
      <c r="AE202" s="61">
        <v>1442</v>
      </c>
      <c r="AF202" s="61">
        <v>1060</v>
      </c>
      <c r="AG202" s="61"/>
      <c r="AH202" s="61">
        <v>1065</v>
      </c>
      <c r="AI202" s="61">
        <v>10355</v>
      </c>
      <c r="AJ202" s="61">
        <v>15421</v>
      </c>
      <c r="AK202" s="61">
        <v>82</v>
      </c>
      <c r="AL202" s="61">
        <v>343</v>
      </c>
      <c r="AM202" s="61">
        <v>229</v>
      </c>
      <c r="AN202" s="61">
        <v>7340</v>
      </c>
      <c r="AO202" s="61">
        <v>524</v>
      </c>
      <c r="AP202" s="61">
        <v>203</v>
      </c>
      <c r="AQ202" s="61">
        <v>14</v>
      </c>
      <c r="AR202" s="61">
        <v>88</v>
      </c>
      <c r="AS202" s="61">
        <v>18</v>
      </c>
      <c r="AT202" s="61">
        <v>16</v>
      </c>
      <c r="AU202" s="61"/>
      <c r="AV202" s="61">
        <v>1</v>
      </c>
      <c r="AW202" s="61">
        <v>124</v>
      </c>
      <c r="AX202" s="61"/>
      <c r="AY202" s="61">
        <v>33708</v>
      </c>
      <c r="AZ202" s="61">
        <v>47</v>
      </c>
      <c r="BA202" s="61"/>
      <c r="BB202" s="61">
        <v>2</v>
      </c>
      <c r="BC202" s="61">
        <v>85</v>
      </c>
      <c r="BD202" s="61">
        <v>14372</v>
      </c>
      <c r="BE202" s="61">
        <v>5540</v>
      </c>
      <c r="BF202" s="61">
        <v>334</v>
      </c>
      <c r="BG202" s="61">
        <v>11901</v>
      </c>
      <c r="BH202" s="61">
        <v>2685</v>
      </c>
      <c r="BI202" s="61">
        <v>3</v>
      </c>
      <c r="BJ202" s="61">
        <v>34835</v>
      </c>
      <c r="BK202" s="61">
        <v>167</v>
      </c>
      <c r="BL202" s="61">
        <v>31304</v>
      </c>
      <c r="BM202" s="61">
        <v>3364</v>
      </c>
      <c r="BN202" s="61">
        <v>1228</v>
      </c>
      <c r="BO202" s="61">
        <v>920</v>
      </c>
      <c r="BP202" s="61"/>
      <c r="BQ202" s="61">
        <v>36</v>
      </c>
      <c r="BR202" s="61">
        <v>146</v>
      </c>
      <c r="BS202" s="61">
        <v>183</v>
      </c>
      <c r="BT202" s="61">
        <v>190</v>
      </c>
      <c r="BU202" s="61">
        <v>291</v>
      </c>
      <c r="BV202" s="61">
        <v>433</v>
      </c>
      <c r="BW202" s="61">
        <v>474</v>
      </c>
      <c r="BX202" s="61">
        <v>377</v>
      </c>
      <c r="BY202" s="61">
        <v>1</v>
      </c>
      <c r="BZ202" s="61">
        <v>17</v>
      </c>
      <c r="CA202" s="61"/>
      <c r="CB202" s="61">
        <v>91</v>
      </c>
      <c r="CC202" s="61">
        <v>573</v>
      </c>
      <c r="CD202" s="61">
        <v>637</v>
      </c>
      <c r="CE202" s="61">
        <v>8</v>
      </c>
      <c r="CF202" s="61">
        <v>5</v>
      </c>
      <c r="CG202" s="61">
        <v>829</v>
      </c>
      <c r="CH202" s="61">
        <v>5</v>
      </c>
      <c r="CI202" s="61">
        <v>138</v>
      </c>
      <c r="CJ202" s="61">
        <v>33</v>
      </c>
      <c r="CK202" s="61">
        <v>52</v>
      </c>
      <c r="CL202" s="61">
        <v>314</v>
      </c>
      <c r="CM202" s="61">
        <v>2</v>
      </c>
      <c r="CN202" s="61"/>
      <c r="CO202" s="61"/>
      <c r="CP202" s="61">
        <v>1398</v>
      </c>
      <c r="CQ202" s="61">
        <v>158</v>
      </c>
      <c r="CR202" s="61"/>
      <c r="CS202" s="61">
        <v>48</v>
      </c>
      <c r="CT202" s="61">
        <v>2</v>
      </c>
      <c r="CU202" s="61"/>
      <c r="CV202" s="61">
        <v>2</v>
      </c>
      <c r="CW202" s="61">
        <v>1</v>
      </c>
      <c r="CX202" s="61">
        <v>238</v>
      </c>
      <c r="CY202" s="61">
        <v>1171</v>
      </c>
      <c r="CZ202" s="61">
        <v>3</v>
      </c>
      <c r="DA202" s="61">
        <v>706</v>
      </c>
      <c r="DB202" s="61">
        <v>30</v>
      </c>
      <c r="DC202" s="61"/>
      <c r="DD202" s="61">
        <v>2148</v>
      </c>
      <c r="DE202" s="61">
        <v>9</v>
      </c>
      <c r="DF202" s="61">
        <v>1911</v>
      </c>
      <c r="DG202" s="61">
        <v>228</v>
      </c>
      <c r="DH202" s="62" t="s">
        <v>2185</v>
      </c>
      <c r="DI202" s="61">
        <v>101</v>
      </c>
      <c r="DJ202" s="61">
        <v>12</v>
      </c>
      <c r="DK202" s="61">
        <v>5</v>
      </c>
      <c r="DL202" s="61"/>
      <c r="DM202" s="61"/>
      <c r="DN202" s="61"/>
    </row>
    <row r="203" spans="1:118" x14ac:dyDescent="0.25">
      <c r="A203" s="61">
        <v>106334068</v>
      </c>
      <c r="B203" s="62" t="s">
        <v>945</v>
      </c>
      <c r="C203" s="62" t="s">
        <v>946</v>
      </c>
      <c r="D203" s="62" t="s">
        <v>891</v>
      </c>
      <c r="E203" s="62" t="s">
        <v>184</v>
      </c>
      <c r="F203" s="62" t="s">
        <v>2213</v>
      </c>
      <c r="G203" s="62" t="s">
        <v>947</v>
      </c>
      <c r="H203" s="62" t="s">
        <v>948</v>
      </c>
      <c r="I203" s="62" t="s">
        <v>949</v>
      </c>
      <c r="J203" s="62" t="s">
        <v>2189</v>
      </c>
      <c r="K203" s="62"/>
      <c r="L203" s="61">
        <v>42</v>
      </c>
      <c r="M203" s="61">
        <v>67</v>
      </c>
      <c r="N203" s="61">
        <v>28</v>
      </c>
      <c r="O203" s="62" t="s">
        <v>1921</v>
      </c>
      <c r="P203" s="62" t="s">
        <v>68</v>
      </c>
      <c r="Q203" s="62" t="s">
        <v>2167</v>
      </c>
      <c r="R203" s="62" t="s">
        <v>2167</v>
      </c>
      <c r="S203" s="62" t="s">
        <v>69</v>
      </c>
      <c r="T203" s="61">
        <v>48198</v>
      </c>
      <c r="U203" s="61">
        <v>35006</v>
      </c>
      <c r="V203" s="61"/>
      <c r="W203" s="61">
        <v>12324</v>
      </c>
      <c r="X203" s="61">
        <v>10284</v>
      </c>
      <c r="Y203" s="61">
        <v>14134</v>
      </c>
      <c r="Z203" s="61">
        <v>11808</v>
      </c>
      <c r="AA203" s="61">
        <v>9683</v>
      </c>
      <c r="AB203" s="61">
        <v>8663</v>
      </c>
      <c r="AC203" s="61">
        <v>5531</v>
      </c>
      <c r="AD203" s="61">
        <v>4031</v>
      </c>
      <c r="AE203" s="61">
        <v>3735</v>
      </c>
      <c r="AF203" s="61">
        <v>3011</v>
      </c>
      <c r="AG203" s="61"/>
      <c r="AH203" s="61">
        <v>2432</v>
      </c>
      <c r="AI203" s="61">
        <v>6121</v>
      </c>
      <c r="AJ203" s="61">
        <v>23601</v>
      </c>
      <c r="AK203" s="61">
        <v>198</v>
      </c>
      <c r="AL203" s="61">
        <v>6370</v>
      </c>
      <c r="AM203" s="61">
        <v>210</v>
      </c>
      <c r="AN203" s="61">
        <v>44272</v>
      </c>
      <c r="AO203" s="61">
        <v>936</v>
      </c>
      <c r="AP203" s="61">
        <v>1160</v>
      </c>
      <c r="AQ203" s="61">
        <v>113</v>
      </c>
      <c r="AR203" s="61">
        <v>313</v>
      </c>
      <c r="AS203" s="61">
        <v>45</v>
      </c>
      <c r="AT203" s="61">
        <v>24</v>
      </c>
      <c r="AU203" s="61"/>
      <c r="AV203" s="61">
        <v>389</v>
      </c>
      <c r="AW203" s="61">
        <v>615</v>
      </c>
      <c r="AX203" s="61"/>
      <c r="AY203" s="61">
        <v>78842</v>
      </c>
      <c r="AZ203" s="61">
        <v>176</v>
      </c>
      <c r="BA203" s="61">
        <v>509</v>
      </c>
      <c r="BB203" s="61"/>
      <c r="BC203" s="61">
        <v>82</v>
      </c>
      <c r="BD203" s="61">
        <v>37531</v>
      </c>
      <c r="BE203" s="61">
        <v>8761</v>
      </c>
      <c r="BF203" s="61">
        <v>4641</v>
      </c>
      <c r="BG203" s="61">
        <v>25887</v>
      </c>
      <c r="BH203" s="61">
        <v>6384</v>
      </c>
      <c r="BI203" s="61"/>
      <c r="BJ203" s="61">
        <v>83204</v>
      </c>
      <c r="BK203" s="61">
        <v>934</v>
      </c>
      <c r="BL203" s="61">
        <v>78124</v>
      </c>
      <c r="BM203" s="61">
        <v>4146</v>
      </c>
      <c r="BN203" s="61">
        <v>5430</v>
      </c>
      <c r="BO203" s="61">
        <v>4655</v>
      </c>
      <c r="BP203" s="61"/>
      <c r="BQ203" s="61">
        <v>225</v>
      </c>
      <c r="BR203" s="61">
        <v>862</v>
      </c>
      <c r="BS203" s="61">
        <v>860</v>
      </c>
      <c r="BT203" s="61">
        <v>1067</v>
      </c>
      <c r="BU203" s="61">
        <v>1713</v>
      </c>
      <c r="BV203" s="61">
        <v>1683</v>
      </c>
      <c r="BW203" s="61">
        <v>1653</v>
      </c>
      <c r="BX203" s="61">
        <v>2018</v>
      </c>
      <c r="BY203" s="61">
        <v>3</v>
      </c>
      <c r="BZ203" s="61">
        <v>1</v>
      </c>
      <c r="CA203" s="61"/>
      <c r="CB203" s="61">
        <v>332</v>
      </c>
      <c r="CC203" s="61">
        <v>612</v>
      </c>
      <c r="CD203" s="61">
        <v>1988</v>
      </c>
      <c r="CE203" s="61">
        <v>538</v>
      </c>
      <c r="CF203" s="61">
        <v>8</v>
      </c>
      <c r="CG203" s="61">
        <v>6592</v>
      </c>
      <c r="CH203" s="61">
        <v>15</v>
      </c>
      <c r="CI203" s="61">
        <v>566</v>
      </c>
      <c r="CJ203" s="61">
        <v>252</v>
      </c>
      <c r="CK203" s="61">
        <v>255</v>
      </c>
      <c r="CL203" s="61">
        <v>1763</v>
      </c>
      <c r="CM203" s="61">
        <v>103</v>
      </c>
      <c r="CN203" s="61"/>
      <c r="CO203" s="61"/>
      <c r="CP203" s="61">
        <v>5584</v>
      </c>
      <c r="CQ203" s="61">
        <v>1145</v>
      </c>
      <c r="CR203" s="61">
        <v>15</v>
      </c>
      <c r="CS203" s="61">
        <v>288</v>
      </c>
      <c r="CT203" s="61">
        <v>56</v>
      </c>
      <c r="CU203" s="61">
        <v>8</v>
      </c>
      <c r="CV203" s="61"/>
      <c r="CW203" s="61">
        <v>50</v>
      </c>
      <c r="CX203" s="61">
        <v>2554</v>
      </c>
      <c r="CY203" s="61">
        <v>4975</v>
      </c>
      <c r="CZ203" s="61">
        <v>291</v>
      </c>
      <c r="DA203" s="61">
        <v>2026</v>
      </c>
      <c r="DB203" s="61">
        <v>239</v>
      </c>
      <c r="DC203" s="61"/>
      <c r="DD203" s="61">
        <v>10085</v>
      </c>
      <c r="DE203" s="61">
        <v>180</v>
      </c>
      <c r="DF203" s="61">
        <v>9299</v>
      </c>
      <c r="DG203" s="61">
        <v>606</v>
      </c>
      <c r="DH203" s="62" t="s">
        <v>2185</v>
      </c>
      <c r="DI203" s="61">
        <v>120</v>
      </c>
      <c r="DJ203" s="61">
        <v>30</v>
      </c>
      <c r="DK203" s="61"/>
      <c r="DL203" s="61"/>
      <c r="DM203" s="61"/>
      <c r="DN203" s="61"/>
    </row>
    <row r="204" spans="1:118" x14ac:dyDescent="0.25">
      <c r="A204" s="61">
        <v>106334487</v>
      </c>
      <c r="B204" s="62" t="s">
        <v>950</v>
      </c>
      <c r="C204" s="62" t="s">
        <v>951</v>
      </c>
      <c r="D204" s="62" t="s">
        <v>891</v>
      </c>
      <c r="E204" s="62" t="s">
        <v>100</v>
      </c>
      <c r="F204" s="62" t="s">
        <v>2213</v>
      </c>
      <c r="G204" s="62" t="s">
        <v>952</v>
      </c>
      <c r="H204" s="62" t="s">
        <v>943</v>
      </c>
      <c r="I204" s="62" t="s">
        <v>944</v>
      </c>
      <c r="J204" s="62" t="s">
        <v>2186</v>
      </c>
      <c r="K204" s="62" t="s">
        <v>518</v>
      </c>
      <c r="L204" s="61">
        <v>41</v>
      </c>
      <c r="M204" s="61">
        <v>61</v>
      </c>
      <c r="N204" s="61">
        <v>31</v>
      </c>
      <c r="O204" s="62" t="s">
        <v>1919</v>
      </c>
      <c r="P204" s="62" t="s">
        <v>68</v>
      </c>
      <c r="Q204" s="62" t="s">
        <v>2167</v>
      </c>
      <c r="R204" s="62" t="s">
        <v>83</v>
      </c>
      <c r="S204" s="62" t="s">
        <v>69</v>
      </c>
      <c r="T204" s="61">
        <v>35794</v>
      </c>
      <c r="U204" s="61">
        <v>33209</v>
      </c>
      <c r="V204" s="61"/>
      <c r="W204" s="61">
        <v>7363</v>
      </c>
      <c r="X204" s="61">
        <v>7591</v>
      </c>
      <c r="Y204" s="61">
        <v>14119</v>
      </c>
      <c r="Z204" s="61">
        <v>11373</v>
      </c>
      <c r="AA204" s="61">
        <v>9840</v>
      </c>
      <c r="AB204" s="61">
        <v>9619</v>
      </c>
      <c r="AC204" s="61">
        <v>4719</v>
      </c>
      <c r="AD204" s="61">
        <v>1693</v>
      </c>
      <c r="AE204" s="61">
        <v>1003</v>
      </c>
      <c r="AF204" s="61">
        <v>1683</v>
      </c>
      <c r="AG204" s="61"/>
      <c r="AH204" s="61">
        <v>1260</v>
      </c>
      <c r="AI204" s="61">
        <v>13396</v>
      </c>
      <c r="AJ204" s="61">
        <v>39807</v>
      </c>
      <c r="AK204" s="61">
        <v>77</v>
      </c>
      <c r="AL204" s="61">
        <v>809</v>
      </c>
      <c r="AM204" s="61">
        <v>351</v>
      </c>
      <c r="AN204" s="61">
        <v>13303</v>
      </c>
      <c r="AO204" s="61">
        <v>77</v>
      </c>
      <c r="AP204" s="61">
        <v>3220</v>
      </c>
      <c r="AQ204" s="61">
        <v>107</v>
      </c>
      <c r="AR204" s="61"/>
      <c r="AS204" s="61">
        <v>1</v>
      </c>
      <c r="AT204" s="61"/>
      <c r="AU204" s="61"/>
      <c r="AV204" s="61">
        <v>1326</v>
      </c>
      <c r="AW204" s="61">
        <v>647</v>
      </c>
      <c r="AX204" s="61">
        <v>2</v>
      </c>
      <c r="AY204" s="61">
        <v>63425</v>
      </c>
      <c r="AZ204" s="61">
        <v>10</v>
      </c>
      <c r="BA204" s="61"/>
      <c r="BB204" s="61"/>
      <c r="BC204" s="61">
        <v>188</v>
      </c>
      <c r="BD204" s="61">
        <v>45645</v>
      </c>
      <c r="BE204" s="61">
        <v>4174</v>
      </c>
      <c r="BF204" s="61">
        <v>3756</v>
      </c>
      <c r="BG204" s="61">
        <v>4472</v>
      </c>
      <c r="BH204" s="61">
        <v>10687</v>
      </c>
      <c r="BI204" s="61">
        <v>269</v>
      </c>
      <c r="BJ204" s="61">
        <v>69003</v>
      </c>
      <c r="BK204" s="61">
        <v>553</v>
      </c>
      <c r="BL204" s="61">
        <v>56429</v>
      </c>
      <c r="BM204" s="61">
        <v>12021</v>
      </c>
      <c r="BN204" s="61">
        <v>4869</v>
      </c>
      <c r="BO204" s="61">
        <v>5877</v>
      </c>
      <c r="BP204" s="61"/>
      <c r="BQ204" s="61">
        <v>439</v>
      </c>
      <c r="BR204" s="61">
        <v>1280</v>
      </c>
      <c r="BS204" s="61">
        <v>1228</v>
      </c>
      <c r="BT204" s="61">
        <v>1539</v>
      </c>
      <c r="BU204" s="61">
        <v>2228</v>
      </c>
      <c r="BV204" s="61">
        <v>1557</v>
      </c>
      <c r="BW204" s="61">
        <v>971</v>
      </c>
      <c r="BX204" s="61">
        <v>908</v>
      </c>
      <c r="BY204" s="61">
        <v>161</v>
      </c>
      <c r="BZ204" s="61">
        <v>435</v>
      </c>
      <c r="CA204" s="61"/>
      <c r="CB204" s="61">
        <v>286</v>
      </c>
      <c r="CC204" s="61">
        <v>1865</v>
      </c>
      <c r="CD204" s="61">
        <v>5456</v>
      </c>
      <c r="CE204" s="61">
        <v>133</v>
      </c>
      <c r="CF204" s="61">
        <v>3</v>
      </c>
      <c r="CG204" s="61">
        <v>2998</v>
      </c>
      <c r="CH204" s="61">
        <v>5</v>
      </c>
      <c r="CI204" s="61">
        <v>358</v>
      </c>
      <c r="CJ204" s="61">
        <v>268</v>
      </c>
      <c r="CK204" s="61">
        <v>231</v>
      </c>
      <c r="CL204" s="61">
        <v>830</v>
      </c>
      <c r="CM204" s="61">
        <v>46</v>
      </c>
      <c r="CN204" s="61"/>
      <c r="CO204" s="61">
        <v>4</v>
      </c>
      <c r="CP204" s="61">
        <v>6964</v>
      </c>
      <c r="CQ204" s="61">
        <v>837</v>
      </c>
      <c r="CR204" s="61">
        <v>1085</v>
      </c>
      <c r="CS204" s="61">
        <v>1</v>
      </c>
      <c r="CT204" s="61">
        <v>106</v>
      </c>
      <c r="CU204" s="61"/>
      <c r="CV204" s="61"/>
      <c r="CW204" s="61">
        <v>16</v>
      </c>
      <c r="CX204" s="61">
        <v>2814</v>
      </c>
      <c r="CY204" s="61">
        <v>1418</v>
      </c>
      <c r="CZ204" s="61">
        <v>1364</v>
      </c>
      <c r="DA204" s="61">
        <v>4789</v>
      </c>
      <c r="DB204" s="61">
        <v>360</v>
      </c>
      <c r="DC204" s="61">
        <v>1</v>
      </c>
      <c r="DD204" s="61">
        <v>10746</v>
      </c>
      <c r="DE204" s="61">
        <v>146</v>
      </c>
      <c r="DF204" s="61">
        <v>8723</v>
      </c>
      <c r="DG204" s="61">
        <v>1877</v>
      </c>
      <c r="DH204" s="62" t="s">
        <v>2185</v>
      </c>
      <c r="DI204" s="61">
        <v>439</v>
      </c>
      <c r="DJ204" s="61">
        <v>40</v>
      </c>
      <c r="DK204" s="61"/>
      <c r="DL204" s="61"/>
      <c r="DM204" s="61"/>
      <c r="DN204" s="61"/>
    </row>
    <row r="205" spans="1:118" x14ac:dyDescent="0.25">
      <c r="A205" s="61">
        <v>106334564</v>
      </c>
      <c r="B205" s="62" t="s">
        <v>953</v>
      </c>
      <c r="C205" s="62" t="s">
        <v>954</v>
      </c>
      <c r="D205" s="62" t="s">
        <v>891</v>
      </c>
      <c r="E205" s="62" t="s">
        <v>184</v>
      </c>
      <c r="F205" s="62" t="s">
        <v>2213</v>
      </c>
      <c r="G205" s="62" t="s">
        <v>955</v>
      </c>
      <c r="H205" s="62" t="s">
        <v>956</v>
      </c>
      <c r="I205" s="62" t="s">
        <v>957</v>
      </c>
      <c r="J205" s="62" t="s">
        <v>2189</v>
      </c>
      <c r="K205" s="62"/>
      <c r="L205" s="61">
        <v>50</v>
      </c>
      <c r="M205" s="61">
        <v>75</v>
      </c>
      <c r="N205" s="61">
        <v>28</v>
      </c>
      <c r="O205" s="62" t="s">
        <v>1922</v>
      </c>
      <c r="P205" s="62" t="s">
        <v>68</v>
      </c>
      <c r="Q205" s="62" t="s">
        <v>2167</v>
      </c>
      <c r="R205" s="62" t="s">
        <v>2167</v>
      </c>
      <c r="S205" s="62" t="s">
        <v>69</v>
      </c>
      <c r="T205" s="61">
        <v>17965</v>
      </c>
      <c r="U205" s="61">
        <v>14162</v>
      </c>
      <c r="V205" s="61"/>
      <c r="W205" s="61">
        <v>3385</v>
      </c>
      <c r="X205" s="61">
        <v>3772</v>
      </c>
      <c r="Y205" s="61">
        <v>5281</v>
      </c>
      <c r="Z205" s="61">
        <v>4563</v>
      </c>
      <c r="AA205" s="61">
        <v>3959</v>
      </c>
      <c r="AB205" s="61">
        <v>3987</v>
      </c>
      <c r="AC205" s="61">
        <v>2852</v>
      </c>
      <c r="AD205" s="61">
        <v>1982</v>
      </c>
      <c r="AE205" s="61">
        <v>1844</v>
      </c>
      <c r="AF205" s="61">
        <v>502</v>
      </c>
      <c r="AG205" s="61"/>
      <c r="AH205" s="61">
        <v>1205</v>
      </c>
      <c r="AI205" s="61">
        <v>1941</v>
      </c>
      <c r="AJ205" s="61">
        <v>5802</v>
      </c>
      <c r="AK205" s="61">
        <v>368</v>
      </c>
      <c r="AL205" s="61">
        <v>1836</v>
      </c>
      <c r="AM205" s="61">
        <v>153</v>
      </c>
      <c r="AN205" s="61">
        <v>20822</v>
      </c>
      <c r="AO205" s="61">
        <v>363</v>
      </c>
      <c r="AP205" s="61">
        <v>361</v>
      </c>
      <c r="AQ205" s="61">
        <v>53</v>
      </c>
      <c r="AR205" s="61">
        <v>81</v>
      </c>
      <c r="AS205" s="61">
        <v>17</v>
      </c>
      <c r="AT205" s="61">
        <v>23</v>
      </c>
      <c r="AU205" s="61"/>
      <c r="AV205" s="61">
        <v>71</v>
      </c>
      <c r="AW205" s="61">
        <v>261</v>
      </c>
      <c r="AX205" s="61">
        <v>1</v>
      </c>
      <c r="AY205" s="61">
        <v>30670</v>
      </c>
      <c r="AZ205" s="61">
        <v>53</v>
      </c>
      <c r="BA205" s="61">
        <v>133</v>
      </c>
      <c r="BB205" s="61"/>
      <c r="BC205" s="61">
        <v>40</v>
      </c>
      <c r="BD205" s="61">
        <v>9824</v>
      </c>
      <c r="BE205" s="61">
        <v>5700</v>
      </c>
      <c r="BF205" s="61">
        <v>2826</v>
      </c>
      <c r="BG205" s="61">
        <v>11203</v>
      </c>
      <c r="BH205" s="61">
        <v>2574</v>
      </c>
      <c r="BI205" s="61"/>
      <c r="BJ205" s="61">
        <v>32127</v>
      </c>
      <c r="BK205" s="61">
        <v>384</v>
      </c>
      <c r="BL205" s="61">
        <v>30913</v>
      </c>
      <c r="BM205" s="61">
        <v>830</v>
      </c>
      <c r="BN205" s="61">
        <v>2849</v>
      </c>
      <c r="BO205" s="61">
        <v>2834</v>
      </c>
      <c r="BP205" s="61"/>
      <c r="BQ205" s="61">
        <v>61</v>
      </c>
      <c r="BR205" s="61">
        <v>291</v>
      </c>
      <c r="BS205" s="61">
        <v>349</v>
      </c>
      <c r="BT205" s="61">
        <v>542</v>
      </c>
      <c r="BU205" s="61">
        <v>912</v>
      </c>
      <c r="BV205" s="61">
        <v>1034</v>
      </c>
      <c r="BW205" s="61">
        <v>1056</v>
      </c>
      <c r="BX205" s="61">
        <v>1438</v>
      </c>
      <c r="BY205" s="61"/>
      <c r="BZ205" s="61"/>
      <c r="CA205" s="61"/>
      <c r="CB205" s="61">
        <v>233</v>
      </c>
      <c r="CC205" s="61">
        <v>273</v>
      </c>
      <c r="CD205" s="61">
        <v>691</v>
      </c>
      <c r="CE205" s="61">
        <v>252</v>
      </c>
      <c r="CF205" s="61">
        <v>13</v>
      </c>
      <c r="CG205" s="61">
        <v>4161</v>
      </c>
      <c r="CH205" s="61">
        <v>60</v>
      </c>
      <c r="CI205" s="61">
        <v>186</v>
      </c>
      <c r="CJ205" s="61">
        <v>137</v>
      </c>
      <c r="CK205" s="61">
        <v>144</v>
      </c>
      <c r="CL205" s="61">
        <v>962</v>
      </c>
      <c r="CM205" s="61">
        <v>37</v>
      </c>
      <c r="CN205" s="61"/>
      <c r="CO205" s="61"/>
      <c r="CP205" s="61">
        <v>3418</v>
      </c>
      <c r="CQ205" s="61">
        <v>587</v>
      </c>
      <c r="CR205" s="61"/>
      <c r="CS205" s="61">
        <v>151</v>
      </c>
      <c r="CT205" s="61">
        <v>25</v>
      </c>
      <c r="CU205" s="61">
        <v>1</v>
      </c>
      <c r="CV205" s="61"/>
      <c r="CW205" s="61">
        <v>35</v>
      </c>
      <c r="CX205" s="61">
        <v>981</v>
      </c>
      <c r="CY205" s="61">
        <v>3239</v>
      </c>
      <c r="CZ205" s="61">
        <v>171</v>
      </c>
      <c r="DA205" s="61">
        <v>1147</v>
      </c>
      <c r="DB205" s="61">
        <v>145</v>
      </c>
      <c r="DC205" s="61"/>
      <c r="DD205" s="61">
        <v>5683</v>
      </c>
      <c r="DE205" s="61">
        <v>98</v>
      </c>
      <c r="DF205" s="61">
        <v>5374</v>
      </c>
      <c r="DG205" s="61">
        <v>211</v>
      </c>
      <c r="DH205" s="62" t="s">
        <v>2185</v>
      </c>
      <c r="DI205" s="61">
        <v>140</v>
      </c>
      <c r="DJ205" s="61">
        <v>21</v>
      </c>
      <c r="DK205" s="61"/>
      <c r="DL205" s="61"/>
      <c r="DM205" s="61"/>
      <c r="DN205" s="61"/>
    </row>
    <row r="206" spans="1:118" x14ac:dyDescent="0.25">
      <c r="A206" s="61">
        <v>106334589</v>
      </c>
      <c r="B206" s="62" t="s">
        <v>958</v>
      </c>
      <c r="C206" s="62" t="s">
        <v>959</v>
      </c>
      <c r="D206" s="62" t="s">
        <v>891</v>
      </c>
      <c r="E206" s="62" t="s">
        <v>71</v>
      </c>
      <c r="F206" s="62" t="s">
        <v>2213</v>
      </c>
      <c r="G206" s="62" t="s">
        <v>960</v>
      </c>
      <c r="H206" s="62" t="s">
        <v>948</v>
      </c>
      <c r="I206" s="62" t="s">
        <v>961</v>
      </c>
      <c r="J206" s="62" t="s">
        <v>2189</v>
      </c>
      <c r="K206" s="62"/>
      <c r="L206" s="61">
        <v>42</v>
      </c>
      <c r="M206" s="61">
        <v>67</v>
      </c>
      <c r="N206" s="61">
        <v>28</v>
      </c>
      <c r="O206" s="62" t="s">
        <v>1923</v>
      </c>
      <c r="P206" s="62" t="s">
        <v>68</v>
      </c>
      <c r="Q206" s="62" t="s">
        <v>2167</v>
      </c>
      <c r="R206" s="62" t="s">
        <v>2167</v>
      </c>
      <c r="S206" s="62" t="s">
        <v>69</v>
      </c>
      <c r="T206" s="61">
        <v>20277</v>
      </c>
      <c r="U206" s="61">
        <v>15132</v>
      </c>
      <c r="V206" s="61">
        <v>3</v>
      </c>
      <c r="W206" s="61">
        <v>4216</v>
      </c>
      <c r="X206" s="61">
        <v>3579</v>
      </c>
      <c r="Y206" s="61">
        <v>5000</v>
      </c>
      <c r="Z206" s="61">
        <v>4862</v>
      </c>
      <c r="AA206" s="61">
        <v>4136</v>
      </c>
      <c r="AB206" s="61">
        <v>4045</v>
      </c>
      <c r="AC206" s="61">
        <v>3517</v>
      </c>
      <c r="AD206" s="61">
        <v>2756</v>
      </c>
      <c r="AE206" s="61">
        <v>2420</v>
      </c>
      <c r="AF206" s="61">
        <v>881</v>
      </c>
      <c r="AG206" s="61"/>
      <c r="AH206" s="61">
        <v>1038</v>
      </c>
      <c r="AI206" s="61">
        <v>2832</v>
      </c>
      <c r="AJ206" s="61">
        <v>9628</v>
      </c>
      <c r="AK206" s="61">
        <v>78</v>
      </c>
      <c r="AL206" s="61">
        <v>321</v>
      </c>
      <c r="AM206" s="61">
        <v>1</v>
      </c>
      <c r="AN206" s="61">
        <v>21514</v>
      </c>
      <c r="AO206" s="61">
        <v>489</v>
      </c>
      <c r="AP206" s="61">
        <v>418</v>
      </c>
      <c r="AQ206" s="61">
        <v>35</v>
      </c>
      <c r="AR206" s="61">
        <v>37</v>
      </c>
      <c r="AS206" s="61">
        <v>16</v>
      </c>
      <c r="AT206" s="61">
        <v>8</v>
      </c>
      <c r="AU206" s="61"/>
      <c r="AV206" s="61">
        <v>155</v>
      </c>
      <c r="AW206" s="61">
        <v>196</v>
      </c>
      <c r="AX206" s="61">
        <v>15</v>
      </c>
      <c r="AY206" s="61">
        <v>33593</v>
      </c>
      <c r="AZ206" s="61">
        <v>55</v>
      </c>
      <c r="BA206" s="61">
        <v>206</v>
      </c>
      <c r="BB206" s="61">
        <v>33</v>
      </c>
      <c r="BC206" s="61">
        <v>10</v>
      </c>
      <c r="BD206" s="61">
        <v>2635</v>
      </c>
      <c r="BE206" s="61">
        <v>7846</v>
      </c>
      <c r="BF206" s="61">
        <v>2339</v>
      </c>
      <c r="BG206" s="61">
        <v>20158</v>
      </c>
      <c r="BH206" s="61">
        <v>2434</v>
      </c>
      <c r="BI206" s="61"/>
      <c r="BJ206" s="61">
        <v>35412</v>
      </c>
      <c r="BK206" s="61">
        <v>65</v>
      </c>
      <c r="BL206" s="61">
        <v>34294</v>
      </c>
      <c r="BM206" s="61">
        <v>1053</v>
      </c>
      <c r="BN206" s="61">
        <v>3157</v>
      </c>
      <c r="BO206" s="61">
        <v>3186</v>
      </c>
      <c r="BP206" s="61"/>
      <c r="BQ206" s="61">
        <v>55</v>
      </c>
      <c r="BR206" s="61">
        <v>260</v>
      </c>
      <c r="BS206" s="61">
        <v>332</v>
      </c>
      <c r="BT206" s="61">
        <v>548</v>
      </c>
      <c r="BU206" s="61">
        <v>962</v>
      </c>
      <c r="BV206" s="61">
        <v>1285</v>
      </c>
      <c r="BW206" s="61">
        <v>1428</v>
      </c>
      <c r="BX206" s="61">
        <v>1473</v>
      </c>
      <c r="BY206" s="61"/>
      <c r="BZ206" s="61"/>
      <c r="CA206" s="61"/>
      <c r="CB206" s="61">
        <v>210</v>
      </c>
      <c r="CC206" s="61">
        <v>355</v>
      </c>
      <c r="CD206" s="61">
        <v>1094</v>
      </c>
      <c r="CE206" s="61">
        <v>27</v>
      </c>
      <c r="CF206" s="61">
        <v>1</v>
      </c>
      <c r="CG206" s="61">
        <v>4640</v>
      </c>
      <c r="CH206" s="61">
        <v>16</v>
      </c>
      <c r="CI206" s="61">
        <v>196</v>
      </c>
      <c r="CJ206" s="61">
        <v>84</v>
      </c>
      <c r="CK206" s="61">
        <v>132</v>
      </c>
      <c r="CL206" s="61">
        <v>909</v>
      </c>
      <c r="CM206" s="61">
        <v>22</v>
      </c>
      <c r="CN206" s="61"/>
      <c r="CO206" s="61">
        <v>3</v>
      </c>
      <c r="CP206" s="61">
        <v>3854</v>
      </c>
      <c r="CQ206" s="61">
        <v>883</v>
      </c>
      <c r="CR206" s="61">
        <v>1</v>
      </c>
      <c r="CS206" s="61">
        <v>220</v>
      </c>
      <c r="CT206" s="61">
        <v>4</v>
      </c>
      <c r="CU206" s="61">
        <v>8</v>
      </c>
      <c r="CV206" s="61">
        <v>26</v>
      </c>
      <c r="CW206" s="61"/>
      <c r="CX206" s="61">
        <v>970</v>
      </c>
      <c r="CY206" s="61">
        <v>3880</v>
      </c>
      <c r="CZ206" s="61">
        <v>123</v>
      </c>
      <c r="DA206" s="61">
        <v>1316</v>
      </c>
      <c r="DB206" s="61">
        <v>54</v>
      </c>
      <c r="DC206" s="61"/>
      <c r="DD206" s="61">
        <v>6343</v>
      </c>
      <c r="DE206" s="61">
        <v>33</v>
      </c>
      <c r="DF206" s="61">
        <v>6063</v>
      </c>
      <c r="DG206" s="61">
        <v>247</v>
      </c>
      <c r="DH206" s="62" t="s">
        <v>2185</v>
      </c>
      <c r="DI206" s="61">
        <v>106</v>
      </c>
      <c r="DJ206" s="61">
        <v>19</v>
      </c>
      <c r="DK206" s="61">
        <v>146</v>
      </c>
      <c r="DL206" s="61"/>
      <c r="DM206" s="61">
        <v>1</v>
      </c>
      <c r="DN206" s="61"/>
    </row>
    <row r="207" spans="1:118" x14ac:dyDescent="0.25">
      <c r="A207" s="61">
        <v>106340913</v>
      </c>
      <c r="B207" s="62" t="s">
        <v>962</v>
      </c>
      <c r="C207" s="62" t="s">
        <v>2080</v>
      </c>
      <c r="D207" s="62" t="s">
        <v>963</v>
      </c>
      <c r="E207" s="62" t="s">
        <v>71</v>
      </c>
      <c r="F207" s="62" t="s">
        <v>2213</v>
      </c>
      <c r="G207" s="62" t="s">
        <v>964</v>
      </c>
      <c r="H207" s="62" t="s">
        <v>963</v>
      </c>
      <c r="I207" s="62" t="s">
        <v>965</v>
      </c>
      <c r="J207" s="62" t="s">
        <v>2184</v>
      </c>
      <c r="K207" s="62"/>
      <c r="L207" s="61">
        <v>7</v>
      </c>
      <c r="M207" s="61">
        <v>8</v>
      </c>
      <c r="N207" s="61">
        <v>6</v>
      </c>
      <c r="O207" s="62" t="s">
        <v>1924</v>
      </c>
      <c r="P207" s="62" t="s">
        <v>68</v>
      </c>
      <c r="Q207" s="62" t="s">
        <v>2167</v>
      </c>
      <c r="R207" s="62" t="s">
        <v>2167</v>
      </c>
      <c r="S207" s="62" t="s">
        <v>69</v>
      </c>
      <c r="T207" s="61">
        <v>54391</v>
      </c>
      <c r="U207" s="61">
        <v>40391</v>
      </c>
      <c r="V207" s="61">
        <v>4</v>
      </c>
      <c r="W207" s="61">
        <v>10509</v>
      </c>
      <c r="X207" s="61">
        <v>8584</v>
      </c>
      <c r="Y207" s="61">
        <v>18387</v>
      </c>
      <c r="Z207" s="61">
        <v>13859</v>
      </c>
      <c r="AA207" s="61">
        <v>10966</v>
      </c>
      <c r="AB207" s="61">
        <v>11439</v>
      </c>
      <c r="AC207" s="61">
        <v>8030</v>
      </c>
      <c r="AD207" s="61">
        <v>5131</v>
      </c>
      <c r="AE207" s="61">
        <v>5830</v>
      </c>
      <c r="AF207" s="61">
        <v>2051</v>
      </c>
      <c r="AG207" s="61"/>
      <c r="AH207" s="61">
        <v>5463</v>
      </c>
      <c r="AI207" s="61">
        <v>24337</v>
      </c>
      <c r="AJ207" s="61">
        <v>16832</v>
      </c>
      <c r="AK207" s="61">
        <v>543</v>
      </c>
      <c r="AL207" s="61">
        <v>3212</v>
      </c>
      <c r="AM207" s="61">
        <v>468</v>
      </c>
      <c r="AN207" s="61">
        <v>43931</v>
      </c>
      <c r="AO207" s="61">
        <v>139</v>
      </c>
      <c r="AP207" s="61">
        <v>1606</v>
      </c>
      <c r="AQ207" s="61">
        <v>164</v>
      </c>
      <c r="AR207" s="61">
        <v>175</v>
      </c>
      <c r="AS207" s="61">
        <v>88</v>
      </c>
      <c r="AT207" s="61">
        <v>47</v>
      </c>
      <c r="AU207" s="61"/>
      <c r="AV207" s="61">
        <v>148</v>
      </c>
      <c r="AW207" s="61">
        <v>1410</v>
      </c>
      <c r="AX207" s="61">
        <v>31</v>
      </c>
      <c r="AY207" s="61">
        <v>89674</v>
      </c>
      <c r="AZ207" s="61">
        <v>780</v>
      </c>
      <c r="BA207" s="61">
        <v>5</v>
      </c>
      <c r="BB207" s="61">
        <v>6</v>
      </c>
      <c r="BC207" s="61">
        <v>512</v>
      </c>
      <c r="BD207" s="61">
        <v>39555</v>
      </c>
      <c r="BE207" s="61">
        <v>17742</v>
      </c>
      <c r="BF207" s="61">
        <v>1183</v>
      </c>
      <c r="BG207" s="61">
        <v>25392</v>
      </c>
      <c r="BH207" s="61">
        <v>10912</v>
      </c>
      <c r="BI207" s="61">
        <v>2</v>
      </c>
      <c r="BJ207" s="61">
        <v>94786</v>
      </c>
      <c r="BK207" s="61">
        <v>3086</v>
      </c>
      <c r="BL207" s="61">
        <v>88465</v>
      </c>
      <c r="BM207" s="61">
        <v>3235</v>
      </c>
      <c r="BN207" s="61">
        <v>3146</v>
      </c>
      <c r="BO207" s="61">
        <v>2733</v>
      </c>
      <c r="BP207" s="61"/>
      <c r="BQ207" s="61">
        <v>38</v>
      </c>
      <c r="BR207" s="61">
        <v>218</v>
      </c>
      <c r="BS207" s="61">
        <v>300</v>
      </c>
      <c r="BT207" s="61">
        <v>503</v>
      </c>
      <c r="BU207" s="61">
        <v>998</v>
      </c>
      <c r="BV207" s="61">
        <v>1287</v>
      </c>
      <c r="BW207" s="61">
        <v>1130</v>
      </c>
      <c r="BX207" s="61">
        <v>1403</v>
      </c>
      <c r="BY207" s="61"/>
      <c r="BZ207" s="61">
        <v>2</v>
      </c>
      <c r="CA207" s="61"/>
      <c r="CB207" s="61">
        <v>374</v>
      </c>
      <c r="CC207" s="61">
        <v>773</v>
      </c>
      <c r="CD207" s="61">
        <v>654</v>
      </c>
      <c r="CE207" s="61">
        <v>56</v>
      </c>
      <c r="CF207" s="61">
        <v>26</v>
      </c>
      <c r="CG207" s="61">
        <v>3965</v>
      </c>
      <c r="CH207" s="61">
        <v>31</v>
      </c>
      <c r="CI207" s="61">
        <v>176</v>
      </c>
      <c r="CJ207" s="61">
        <v>95</v>
      </c>
      <c r="CK207" s="61">
        <v>302</v>
      </c>
      <c r="CL207" s="61">
        <v>543</v>
      </c>
      <c r="CM207" s="61">
        <v>35</v>
      </c>
      <c r="CN207" s="61">
        <v>1</v>
      </c>
      <c r="CO207" s="61">
        <v>9</v>
      </c>
      <c r="CP207" s="61">
        <v>3513</v>
      </c>
      <c r="CQ207" s="61">
        <v>966</v>
      </c>
      <c r="CR207" s="61">
        <v>2</v>
      </c>
      <c r="CS207" s="61">
        <v>173</v>
      </c>
      <c r="CT207" s="61">
        <v>30</v>
      </c>
      <c r="CU207" s="61"/>
      <c r="CV207" s="61"/>
      <c r="CW207" s="61">
        <v>34</v>
      </c>
      <c r="CX207" s="61">
        <v>798</v>
      </c>
      <c r="CY207" s="61">
        <v>3512</v>
      </c>
      <c r="CZ207" s="61">
        <v>24</v>
      </c>
      <c r="DA207" s="61">
        <v>1360</v>
      </c>
      <c r="DB207" s="61">
        <v>185</v>
      </c>
      <c r="DC207" s="61"/>
      <c r="DD207" s="61">
        <v>5879</v>
      </c>
      <c r="DE207" s="61">
        <v>129</v>
      </c>
      <c r="DF207" s="61">
        <v>5620</v>
      </c>
      <c r="DG207" s="61">
        <v>130</v>
      </c>
      <c r="DH207" s="62" t="s">
        <v>2185</v>
      </c>
      <c r="DI207" s="61">
        <v>287</v>
      </c>
      <c r="DJ207" s="61">
        <v>36</v>
      </c>
      <c r="DK207" s="61">
        <v>1</v>
      </c>
      <c r="DL207" s="61"/>
      <c r="DM207" s="61"/>
      <c r="DN207" s="61"/>
    </row>
    <row r="208" spans="1:118" x14ac:dyDescent="0.25">
      <c r="A208" s="61">
        <v>106340947</v>
      </c>
      <c r="B208" s="62" t="s">
        <v>966</v>
      </c>
      <c r="C208" s="62" t="s">
        <v>967</v>
      </c>
      <c r="D208" s="62" t="s">
        <v>963</v>
      </c>
      <c r="E208" s="62" t="s">
        <v>71</v>
      </c>
      <c r="F208" s="62" t="s">
        <v>2213</v>
      </c>
      <c r="G208" s="62" t="s">
        <v>968</v>
      </c>
      <c r="H208" s="62" t="s">
        <v>963</v>
      </c>
      <c r="I208" s="62" t="s">
        <v>969</v>
      </c>
      <c r="J208" s="62" t="s">
        <v>2186</v>
      </c>
      <c r="K208" s="62"/>
      <c r="L208" s="61">
        <v>6</v>
      </c>
      <c r="M208" s="61">
        <v>7</v>
      </c>
      <c r="N208" s="61">
        <v>6</v>
      </c>
      <c r="O208" s="62" t="s">
        <v>1925</v>
      </c>
      <c r="P208" s="62" t="s">
        <v>68</v>
      </c>
      <c r="Q208" s="62" t="s">
        <v>2167</v>
      </c>
      <c r="R208" s="62" t="s">
        <v>2167</v>
      </c>
      <c r="S208" s="62" t="s">
        <v>69</v>
      </c>
      <c r="T208" s="61">
        <v>20593</v>
      </c>
      <c r="U208" s="61">
        <v>14589</v>
      </c>
      <c r="V208" s="61"/>
      <c r="W208" s="61">
        <v>2993</v>
      </c>
      <c r="X208" s="61">
        <v>2361</v>
      </c>
      <c r="Y208" s="61">
        <v>5983</v>
      </c>
      <c r="Z208" s="61">
        <v>5097</v>
      </c>
      <c r="AA208" s="61">
        <v>4573</v>
      </c>
      <c r="AB208" s="61">
        <v>5606</v>
      </c>
      <c r="AC208" s="61">
        <v>3705</v>
      </c>
      <c r="AD208" s="61">
        <v>2107</v>
      </c>
      <c r="AE208" s="61">
        <v>1952</v>
      </c>
      <c r="AF208" s="61">
        <v>805</v>
      </c>
      <c r="AG208" s="61"/>
      <c r="AH208" s="61">
        <v>3193</v>
      </c>
      <c r="AI208" s="61">
        <v>7528</v>
      </c>
      <c r="AJ208" s="61">
        <v>7968</v>
      </c>
      <c r="AK208" s="61">
        <v>118</v>
      </c>
      <c r="AL208" s="61">
        <v>654</v>
      </c>
      <c r="AM208" s="61">
        <v>458</v>
      </c>
      <c r="AN208" s="61">
        <v>15263</v>
      </c>
      <c r="AO208" s="61">
        <v>273</v>
      </c>
      <c r="AP208" s="61">
        <v>1</v>
      </c>
      <c r="AQ208" s="61">
        <v>23</v>
      </c>
      <c r="AR208" s="61">
        <v>212</v>
      </c>
      <c r="AS208" s="61">
        <v>7</v>
      </c>
      <c r="AT208" s="61">
        <v>4</v>
      </c>
      <c r="AU208" s="61"/>
      <c r="AV208" s="61">
        <v>30</v>
      </c>
      <c r="AW208" s="61">
        <v>204</v>
      </c>
      <c r="AX208" s="61"/>
      <c r="AY208" s="61">
        <v>34288</v>
      </c>
      <c r="AZ208" s="61">
        <v>104</v>
      </c>
      <c r="BA208" s="61"/>
      <c r="BB208" s="61"/>
      <c r="BC208" s="61"/>
      <c r="BD208" s="61">
        <v>18939</v>
      </c>
      <c r="BE208" s="61">
        <v>7735</v>
      </c>
      <c r="BF208" s="61">
        <v>684</v>
      </c>
      <c r="BG208" s="61">
        <v>6108</v>
      </c>
      <c r="BH208" s="61">
        <v>1716</v>
      </c>
      <c r="BI208" s="61"/>
      <c r="BJ208" s="61">
        <v>35182</v>
      </c>
      <c r="BK208" s="61">
        <v>1617</v>
      </c>
      <c r="BL208" s="61">
        <v>31894</v>
      </c>
      <c r="BM208" s="61">
        <v>1671</v>
      </c>
      <c r="BN208" s="61">
        <v>4067</v>
      </c>
      <c r="BO208" s="61">
        <v>3695</v>
      </c>
      <c r="BP208" s="61"/>
      <c r="BQ208" s="61">
        <v>39</v>
      </c>
      <c r="BR208" s="61">
        <v>392</v>
      </c>
      <c r="BS208" s="61">
        <v>439</v>
      </c>
      <c r="BT208" s="61">
        <v>719</v>
      </c>
      <c r="BU208" s="61">
        <v>1543</v>
      </c>
      <c r="BV208" s="61">
        <v>1709</v>
      </c>
      <c r="BW208" s="61">
        <v>1367</v>
      </c>
      <c r="BX208" s="61">
        <v>1550</v>
      </c>
      <c r="BY208" s="61">
        <v>4</v>
      </c>
      <c r="BZ208" s="61"/>
      <c r="CA208" s="61"/>
      <c r="CB208" s="61">
        <v>948</v>
      </c>
      <c r="CC208" s="61">
        <v>1145</v>
      </c>
      <c r="CD208" s="61">
        <v>1111</v>
      </c>
      <c r="CE208" s="61">
        <v>143</v>
      </c>
      <c r="CF208" s="61">
        <v>66</v>
      </c>
      <c r="CG208" s="61">
        <v>4316</v>
      </c>
      <c r="CH208" s="61">
        <v>33</v>
      </c>
      <c r="CI208" s="61">
        <v>95</v>
      </c>
      <c r="CJ208" s="61">
        <v>111</v>
      </c>
      <c r="CK208" s="61">
        <v>243</v>
      </c>
      <c r="CL208" s="61">
        <v>1107</v>
      </c>
      <c r="CM208" s="61">
        <v>78</v>
      </c>
      <c r="CN208" s="61"/>
      <c r="CO208" s="61">
        <v>84</v>
      </c>
      <c r="CP208" s="61">
        <v>4742</v>
      </c>
      <c r="CQ208" s="61">
        <v>1128</v>
      </c>
      <c r="CR208" s="61">
        <v>1</v>
      </c>
      <c r="CS208" s="61">
        <v>148</v>
      </c>
      <c r="CT208" s="61">
        <v>20</v>
      </c>
      <c r="CU208" s="61"/>
      <c r="CV208" s="61"/>
      <c r="CW208" s="61">
        <v>5</v>
      </c>
      <c r="CX208" s="61">
        <v>2133</v>
      </c>
      <c r="CY208" s="61">
        <v>4382</v>
      </c>
      <c r="CZ208" s="61">
        <v>72</v>
      </c>
      <c r="DA208" s="61">
        <v>1111</v>
      </c>
      <c r="DB208" s="61">
        <v>62</v>
      </c>
      <c r="DC208" s="61">
        <v>2</v>
      </c>
      <c r="DD208" s="61">
        <v>7762</v>
      </c>
      <c r="DE208" s="61">
        <v>761</v>
      </c>
      <c r="DF208" s="61">
        <v>6705</v>
      </c>
      <c r="DG208" s="61">
        <v>296</v>
      </c>
      <c r="DH208" s="62" t="s">
        <v>2185</v>
      </c>
      <c r="DI208" s="61">
        <v>432</v>
      </c>
      <c r="DJ208" s="61">
        <v>16</v>
      </c>
      <c r="DK208" s="61"/>
      <c r="DL208" s="61">
        <v>36</v>
      </c>
      <c r="DM208" s="61"/>
      <c r="DN208" s="61"/>
    </row>
    <row r="209" spans="1:118" x14ac:dyDescent="0.25">
      <c r="A209" s="61">
        <v>106340950</v>
      </c>
      <c r="B209" s="62" t="s">
        <v>970</v>
      </c>
      <c r="C209" s="62" t="s">
        <v>971</v>
      </c>
      <c r="D209" s="62" t="s">
        <v>963</v>
      </c>
      <c r="E209" s="62" t="s">
        <v>71</v>
      </c>
      <c r="F209" s="62" t="s">
        <v>2213</v>
      </c>
      <c r="G209" s="62" t="s">
        <v>972</v>
      </c>
      <c r="H209" s="62" t="s">
        <v>973</v>
      </c>
      <c r="I209" s="62" t="s">
        <v>974</v>
      </c>
      <c r="J209" s="62" t="s">
        <v>2186</v>
      </c>
      <c r="K209" s="62" t="s">
        <v>82</v>
      </c>
      <c r="L209" s="61">
        <v>7</v>
      </c>
      <c r="M209" s="61">
        <v>8</v>
      </c>
      <c r="N209" s="61">
        <v>4</v>
      </c>
      <c r="O209" s="62" t="s">
        <v>1926</v>
      </c>
      <c r="P209" s="62" t="s">
        <v>68</v>
      </c>
      <c r="Q209" s="62" t="s">
        <v>2167</v>
      </c>
      <c r="R209" s="62" t="s">
        <v>2167</v>
      </c>
      <c r="S209" s="62" t="s">
        <v>69</v>
      </c>
      <c r="T209" s="61">
        <v>32682</v>
      </c>
      <c r="U209" s="61">
        <v>25296</v>
      </c>
      <c r="V209" s="61">
        <v>2</v>
      </c>
      <c r="W209" s="61">
        <v>6439</v>
      </c>
      <c r="X209" s="61">
        <v>5665</v>
      </c>
      <c r="Y209" s="61">
        <v>10882</v>
      </c>
      <c r="Z209" s="61">
        <v>8868</v>
      </c>
      <c r="AA209" s="61">
        <v>7081</v>
      </c>
      <c r="AB209" s="61">
        <v>7438</v>
      </c>
      <c r="AC209" s="61">
        <v>4416</v>
      </c>
      <c r="AD209" s="61">
        <v>2595</v>
      </c>
      <c r="AE209" s="61">
        <v>3164</v>
      </c>
      <c r="AF209" s="61">
        <v>1431</v>
      </c>
      <c r="AG209" s="61">
        <v>1</v>
      </c>
      <c r="AH209" s="61">
        <v>2834</v>
      </c>
      <c r="AI209" s="61">
        <v>8583</v>
      </c>
      <c r="AJ209" s="61">
        <v>7584</v>
      </c>
      <c r="AK209" s="61">
        <v>112</v>
      </c>
      <c r="AL209" s="61">
        <v>826</v>
      </c>
      <c r="AM209" s="61">
        <v>779</v>
      </c>
      <c r="AN209" s="61">
        <v>37262</v>
      </c>
      <c r="AO209" s="61">
        <v>692</v>
      </c>
      <c r="AP209" s="61">
        <v>544</v>
      </c>
      <c r="AQ209" s="61">
        <v>212</v>
      </c>
      <c r="AR209" s="61">
        <v>105</v>
      </c>
      <c r="AS209" s="61">
        <v>7</v>
      </c>
      <c r="AT209" s="61">
        <v>2</v>
      </c>
      <c r="AU209" s="61"/>
      <c r="AV209" s="61">
        <v>314</v>
      </c>
      <c r="AW209" s="61">
        <v>1401</v>
      </c>
      <c r="AX209" s="61">
        <v>9</v>
      </c>
      <c r="AY209" s="61">
        <v>54228</v>
      </c>
      <c r="AZ209" s="61">
        <v>439</v>
      </c>
      <c r="BA209" s="61">
        <v>8</v>
      </c>
      <c r="BB209" s="61"/>
      <c r="BC209" s="61"/>
      <c r="BD209" s="61">
        <v>34733</v>
      </c>
      <c r="BE209" s="61">
        <v>10952</v>
      </c>
      <c r="BF209" s="61">
        <v>1200</v>
      </c>
      <c r="BG209" s="61">
        <v>7563</v>
      </c>
      <c r="BH209" s="61">
        <v>3532</v>
      </c>
      <c r="BI209" s="61"/>
      <c r="BJ209" s="61">
        <v>57980</v>
      </c>
      <c r="BK209" s="61">
        <v>2356</v>
      </c>
      <c r="BL209" s="61">
        <v>54069</v>
      </c>
      <c r="BM209" s="61">
        <v>1555</v>
      </c>
      <c r="BN209" s="61">
        <v>8601</v>
      </c>
      <c r="BO209" s="61">
        <v>7811</v>
      </c>
      <c r="BP209" s="61"/>
      <c r="BQ209" s="61">
        <v>275</v>
      </c>
      <c r="BR209" s="61">
        <v>1055</v>
      </c>
      <c r="BS209" s="61">
        <v>1302</v>
      </c>
      <c r="BT209" s="61">
        <v>1692</v>
      </c>
      <c r="BU209" s="61">
        <v>3310</v>
      </c>
      <c r="BV209" s="61">
        <v>2946</v>
      </c>
      <c r="BW209" s="61">
        <v>2299</v>
      </c>
      <c r="BX209" s="61">
        <v>3205</v>
      </c>
      <c r="BY209" s="61">
        <v>148</v>
      </c>
      <c r="BZ209" s="61">
        <v>180</v>
      </c>
      <c r="CA209" s="61"/>
      <c r="CB209" s="61">
        <v>903</v>
      </c>
      <c r="CC209" s="61">
        <v>1605</v>
      </c>
      <c r="CD209" s="61">
        <v>1406</v>
      </c>
      <c r="CE209" s="61">
        <v>198</v>
      </c>
      <c r="CF209" s="61">
        <v>138</v>
      </c>
      <c r="CG209" s="61">
        <v>12134</v>
      </c>
      <c r="CH209" s="61">
        <v>28</v>
      </c>
      <c r="CI209" s="61">
        <v>408</v>
      </c>
      <c r="CJ209" s="61">
        <v>419</v>
      </c>
      <c r="CK209" s="61">
        <v>634</v>
      </c>
      <c r="CL209" s="61">
        <v>1645</v>
      </c>
      <c r="CM209" s="61">
        <v>124</v>
      </c>
      <c r="CN209" s="61"/>
      <c r="CO209" s="61">
        <v>315</v>
      </c>
      <c r="CP209" s="61">
        <v>9995</v>
      </c>
      <c r="CQ209" s="61">
        <v>2288</v>
      </c>
      <c r="CR209" s="61">
        <v>13</v>
      </c>
      <c r="CS209" s="61">
        <v>369</v>
      </c>
      <c r="CT209" s="61">
        <v>164</v>
      </c>
      <c r="CU209" s="61"/>
      <c r="CV209" s="61"/>
      <c r="CW209" s="61">
        <v>38</v>
      </c>
      <c r="CX209" s="61">
        <v>5881</v>
      </c>
      <c r="CY209" s="61">
        <v>8230</v>
      </c>
      <c r="CZ209" s="61">
        <v>312</v>
      </c>
      <c r="DA209" s="61">
        <v>1835</v>
      </c>
      <c r="DB209" s="61">
        <v>154</v>
      </c>
      <c r="DC209" s="61"/>
      <c r="DD209" s="61">
        <v>16412</v>
      </c>
      <c r="DE209" s="61">
        <v>1174</v>
      </c>
      <c r="DF209" s="61">
        <v>14875</v>
      </c>
      <c r="DG209" s="61">
        <v>363</v>
      </c>
      <c r="DH209" s="62" t="s">
        <v>2185</v>
      </c>
      <c r="DI209" s="61">
        <v>370</v>
      </c>
      <c r="DJ209" s="61">
        <v>31</v>
      </c>
      <c r="DK209" s="61"/>
      <c r="DL209" s="61">
        <v>19</v>
      </c>
      <c r="DM209" s="61"/>
      <c r="DN209" s="61"/>
    </row>
    <row r="210" spans="1:118" x14ac:dyDescent="0.25">
      <c r="A210" s="61">
        <v>106340951</v>
      </c>
      <c r="B210" s="62" t="s">
        <v>975</v>
      </c>
      <c r="C210" s="62" t="s">
        <v>976</v>
      </c>
      <c r="D210" s="62" t="s">
        <v>963</v>
      </c>
      <c r="E210" s="62" t="s">
        <v>71</v>
      </c>
      <c r="F210" s="62" t="s">
        <v>2213</v>
      </c>
      <c r="G210" s="62" t="s">
        <v>977</v>
      </c>
      <c r="H210" s="62" t="s">
        <v>963</v>
      </c>
      <c r="I210" s="62" t="s">
        <v>978</v>
      </c>
      <c r="J210" s="62" t="s">
        <v>2186</v>
      </c>
      <c r="K210" s="62"/>
      <c r="L210" s="61">
        <v>6</v>
      </c>
      <c r="M210" s="61">
        <v>9</v>
      </c>
      <c r="N210" s="61">
        <v>6</v>
      </c>
      <c r="O210" s="62" t="s">
        <v>1927</v>
      </c>
      <c r="P210" s="62" t="s">
        <v>68</v>
      </c>
      <c r="Q210" s="62" t="s">
        <v>2167</v>
      </c>
      <c r="R210" s="62" t="s">
        <v>2167</v>
      </c>
      <c r="S210" s="62" t="s">
        <v>69</v>
      </c>
      <c r="T210" s="61">
        <v>33913</v>
      </c>
      <c r="U210" s="61">
        <v>23857</v>
      </c>
      <c r="V210" s="61"/>
      <c r="W210" s="61">
        <v>8123</v>
      </c>
      <c r="X210" s="61">
        <v>6188</v>
      </c>
      <c r="Y210" s="61">
        <v>10137</v>
      </c>
      <c r="Z210" s="61">
        <v>8444</v>
      </c>
      <c r="AA210" s="61">
        <v>7042</v>
      </c>
      <c r="AB210" s="61">
        <v>7040</v>
      </c>
      <c r="AC210" s="61">
        <v>4331</v>
      </c>
      <c r="AD210" s="61">
        <v>2633</v>
      </c>
      <c r="AE210" s="61">
        <v>1985</v>
      </c>
      <c r="AF210" s="61">
        <v>1847</v>
      </c>
      <c r="AG210" s="61"/>
      <c r="AH210" s="61">
        <v>8970</v>
      </c>
      <c r="AI210" s="61">
        <v>16845</v>
      </c>
      <c r="AJ210" s="61">
        <v>16109</v>
      </c>
      <c r="AK210" s="61">
        <v>126</v>
      </c>
      <c r="AL210" s="61">
        <v>2235</v>
      </c>
      <c r="AM210" s="61">
        <v>263</v>
      </c>
      <c r="AN210" s="61">
        <v>13222</v>
      </c>
      <c r="AO210" s="61">
        <v>786</v>
      </c>
      <c r="AP210" s="61">
        <v>5</v>
      </c>
      <c r="AQ210" s="61">
        <v>84</v>
      </c>
      <c r="AR210" s="61">
        <v>234</v>
      </c>
      <c r="AS210" s="61">
        <v>9</v>
      </c>
      <c r="AT210" s="61">
        <v>8</v>
      </c>
      <c r="AU210" s="61"/>
      <c r="AV210" s="61">
        <v>96</v>
      </c>
      <c r="AW210" s="61">
        <v>137</v>
      </c>
      <c r="AX210" s="61">
        <v>1</v>
      </c>
      <c r="AY210" s="61">
        <v>56113</v>
      </c>
      <c r="AZ210" s="61">
        <v>165</v>
      </c>
      <c r="BA210" s="61"/>
      <c r="BB210" s="61"/>
      <c r="BC210" s="61"/>
      <c r="BD210" s="61">
        <v>37581</v>
      </c>
      <c r="BE210" s="61">
        <v>9111</v>
      </c>
      <c r="BF210" s="61">
        <v>895</v>
      </c>
      <c r="BG210" s="61">
        <v>6599</v>
      </c>
      <c r="BH210" s="61">
        <v>3584</v>
      </c>
      <c r="BI210" s="61"/>
      <c r="BJ210" s="61">
        <v>57770</v>
      </c>
      <c r="BK210" s="61">
        <v>5708</v>
      </c>
      <c r="BL210" s="61">
        <v>45430</v>
      </c>
      <c r="BM210" s="61">
        <v>6632</v>
      </c>
      <c r="BN210" s="61">
        <v>4122</v>
      </c>
      <c r="BO210" s="61">
        <v>3247</v>
      </c>
      <c r="BP210" s="61"/>
      <c r="BQ210" s="61">
        <v>91</v>
      </c>
      <c r="BR210" s="61">
        <v>464</v>
      </c>
      <c r="BS210" s="61">
        <v>599</v>
      </c>
      <c r="BT210" s="61">
        <v>835</v>
      </c>
      <c r="BU210" s="61">
        <v>1373</v>
      </c>
      <c r="BV210" s="61">
        <v>1453</v>
      </c>
      <c r="BW210" s="61">
        <v>1259</v>
      </c>
      <c r="BX210" s="61">
        <v>1284</v>
      </c>
      <c r="BY210" s="61">
        <v>11</v>
      </c>
      <c r="BZ210" s="61"/>
      <c r="CA210" s="61"/>
      <c r="CB210" s="61">
        <v>1752</v>
      </c>
      <c r="CC210" s="61">
        <v>1548</v>
      </c>
      <c r="CD210" s="61">
        <v>1274</v>
      </c>
      <c r="CE210" s="61">
        <v>265</v>
      </c>
      <c r="CF210" s="61">
        <v>20</v>
      </c>
      <c r="CG210" s="61">
        <v>2496</v>
      </c>
      <c r="CH210" s="61">
        <v>14</v>
      </c>
      <c r="CI210" s="61">
        <v>13</v>
      </c>
      <c r="CJ210" s="61">
        <v>156</v>
      </c>
      <c r="CK210" s="61">
        <v>239</v>
      </c>
      <c r="CL210" s="61">
        <v>870</v>
      </c>
      <c r="CM210" s="61">
        <v>21</v>
      </c>
      <c r="CN210" s="61"/>
      <c r="CO210" s="61">
        <v>98</v>
      </c>
      <c r="CP210" s="61">
        <v>4517</v>
      </c>
      <c r="CQ210" s="61">
        <v>1000</v>
      </c>
      <c r="CR210" s="61">
        <v>4</v>
      </c>
      <c r="CS210" s="61">
        <v>102</v>
      </c>
      <c r="CT210" s="61">
        <v>37</v>
      </c>
      <c r="CU210" s="61">
        <v>309</v>
      </c>
      <c r="CV210" s="61"/>
      <c r="CW210" s="61">
        <v>3</v>
      </c>
      <c r="CX210" s="61">
        <v>2867</v>
      </c>
      <c r="CY210" s="61">
        <v>3624</v>
      </c>
      <c r="CZ210" s="61">
        <v>118</v>
      </c>
      <c r="DA210" s="61">
        <v>702</v>
      </c>
      <c r="DB210" s="61">
        <v>57</v>
      </c>
      <c r="DC210" s="61">
        <v>1</v>
      </c>
      <c r="DD210" s="61">
        <v>7369</v>
      </c>
      <c r="DE210" s="61">
        <v>1574</v>
      </c>
      <c r="DF210" s="61">
        <v>5146</v>
      </c>
      <c r="DG210" s="61">
        <v>649</v>
      </c>
      <c r="DH210" s="62" t="s">
        <v>2185</v>
      </c>
      <c r="DI210" s="61">
        <v>329</v>
      </c>
      <c r="DJ210" s="61">
        <v>29</v>
      </c>
      <c r="DK210" s="61"/>
      <c r="DL210" s="61">
        <v>132</v>
      </c>
      <c r="DM210" s="61"/>
      <c r="DN210" s="61"/>
    </row>
    <row r="211" spans="1:118" x14ac:dyDescent="0.25">
      <c r="A211" s="61">
        <v>106341006</v>
      </c>
      <c r="B211" s="62" t="s">
        <v>979</v>
      </c>
      <c r="C211" s="62" t="s">
        <v>980</v>
      </c>
      <c r="D211" s="62" t="s">
        <v>963</v>
      </c>
      <c r="E211" s="62" t="s">
        <v>574</v>
      </c>
      <c r="F211" s="62" t="s">
        <v>2213</v>
      </c>
      <c r="G211" s="62" t="s">
        <v>981</v>
      </c>
      <c r="H211" s="62" t="s">
        <v>963</v>
      </c>
      <c r="I211" s="62" t="s">
        <v>982</v>
      </c>
      <c r="J211" s="62" t="s">
        <v>2191</v>
      </c>
      <c r="K211" s="62" t="s">
        <v>609</v>
      </c>
      <c r="L211" s="61">
        <v>6</v>
      </c>
      <c r="M211" s="61">
        <v>7</v>
      </c>
      <c r="N211" s="61">
        <v>6</v>
      </c>
      <c r="O211" s="62" t="s">
        <v>1928</v>
      </c>
      <c r="P211" s="62" t="s">
        <v>68</v>
      </c>
      <c r="Q211" s="62" t="s">
        <v>2167</v>
      </c>
      <c r="R211" s="62" t="s">
        <v>83</v>
      </c>
      <c r="S211" s="62" t="s">
        <v>223</v>
      </c>
      <c r="T211" s="61">
        <v>27765</v>
      </c>
      <c r="U211" s="61">
        <v>27101</v>
      </c>
      <c r="V211" s="61">
        <v>6</v>
      </c>
      <c r="W211" s="61">
        <v>6766</v>
      </c>
      <c r="X211" s="61">
        <v>5336</v>
      </c>
      <c r="Y211" s="61">
        <v>8982</v>
      </c>
      <c r="Z211" s="61">
        <v>8036</v>
      </c>
      <c r="AA211" s="61">
        <v>6916</v>
      </c>
      <c r="AB211" s="61">
        <v>8258</v>
      </c>
      <c r="AC211" s="61">
        <v>4880</v>
      </c>
      <c r="AD211" s="61">
        <v>2388</v>
      </c>
      <c r="AE211" s="61">
        <v>1696</v>
      </c>
      <c r="AF211" s="61">
        <v>1606</v>
      </c>
      <c r="AG211" s="61">
        <v>8</v>
      </c>
      <c r="AH211" s="61">
        <v>4016</v>
      </c>
      <c r="AI211" s="61">
        <v>12790</v>
      </c>
      <c r="AJ211" s="61">
        <v>13248</v>
      </c>
      <c r="AK211" s="61">
        <v>420</v>
      </c>
      <c r="AL211" s="61">
        <v>2</v>
      </c>
      <c r="AM211" s="61">
        <v>4200</v>
      </c>
      <c r="AN211" s="61">
        <v>20196</v>
      </c>
      <c r="AO211" s="61">
        <v>27</v>
      </c>
      <c r="AP211" s="61">
        <v>71</v>
      </c>
      <c r="AQ211" s="61">
        <v>5</v>
      </c>
      <c r="AR211" s="61">
        <v>35</v>
      </c>
      <c r="AS211" s="61"/>
      <c r="AT211" s="61">
        <v>1</v>
      </c>
      <c r="AU211" s="61"/>
      <c r="AV211" s="61">
        <v>24</v>
      </c>
      <c r="AW211" s="61">
        <v>21</v>
      </c>
      <c r="AX211" s="61">
        <v>11</v>
      </c>
      <c r="AY211" s="61">
        <v>54619</v>
      </c>
      <c r="AZ211" s="61">
        <v>57</v>
      </c>
      <c r="BA211" s="61"/>
      <c r="BB211" s="61"/>
      <c r="BC211" s="61"/>
      <c r="BD211" s="61">
        <v>31386</v>
      </c>
      <c r="BE211" s="61">
        <v>9596</v>
      </c>
      <c r="BF211" s="61">
        <v>1512</v>
      </c>
      <c r="BG211" s="61">
        <v>11333</v>
      </c>
      <c r="BH211" s="61">
        <v>1045</v>
      </c>
      <c r="BI211" s="61"/>
      <c r="BJ211" s="61">
        <v>54872</v>
      </c>
      <c r="BK211" s="61">
        <v>1825</v>
      </c>
      <c r="BL211" s="61">
        <v>50648</v>
      </c>
      <c r="BM211" s="61">
        <v>2399</v>
      </c>
      <c r="BN211" s="61">
        <v>7191</v>
      </c>
      <c r="BO211" s="61">
        <v>8921</v>
      </c>
      <c r="BP211" s="61">
        <v>1</v>
      </c>
      <c r="BQ211" s="61">
        <v>1008</v>
      </c>
      <c r="BR211" s="61">
        <v>1363</v>
      </c>
      <c r="BS211" s="61">
        <v>1339</v>
      </c>
      <c r="BT211" s="61">
        <v>1670</v>
      </c>
      <c r="BU211" s="61">
        <v>2817</v>
      </c>
      <c r="BV211" s="61">
        <v>2643</v>
      </c>
      <c r="BW211" s="61">
        <v>1760</v>
      </c>
      <c r="BX211" s="61">
        <v>1550</v>
      </c>
      <c r="BY211" s="61">
        <v>504</v>
      </c>
      <c r="BZ211" s="61">
        <v>1459</v>
      </c>
      <c r="CA211" s="61"/>
      <c r="CB211" s="61">
        <v>1562</v>
      </c>
      <c r="CC211" s="61">
        <v>2974</v>
      </c>
      <c r="CD211" s="61">
        <v>2754</v>
      </c>
      <c r="CE211" s="61"/>
      <c r="CF211" s="61">
        <v>396</v>
      </c>
      <c r="CG211" s="61">
        <v>8266</v>
      </c>
      <c r="CH211" s="61">
        <v>161</v>
      </c>
      <c r="CI211" s="61">
        <v>270</v>
      </c>
      <c r="CJ211" s="61">
        <v>287</v>
      </c>
      <c r="CK211" s="61">
        <v>429</v>
      </c>
      <c r="CL211" s="61">
        <v>1680</v>
      </c>
      <c r="CM211" s="61">
        <v>254</v>
      </c>
      <c r="CN211" s="61"/>
      <c r="CO211" s="61">
        <v>201</v>
      </c>
      <c r="CP211" s="61">
        <v>11123</v>
      </c>
      <c r="CQ211" s="61">
        <v>1456</v>
      </c>
      <c r="CR211" s="61">
        <v>104</v>
      </c>
      <c r="CS211" s="61">
        <v>206</v>
      </c>
      <c r="CT211" s="61">
        <v>96</v>
      </c>
      <c r="CU211" s="61">
        <v>1</v>
      </c>
      <c r="CV211" s="61"/>
      <c r="CW211" s="61">
        <v>1</v>
      </c>
      <c r="CX211" s="61">
        <v>6587</v>
      </c>
      <c r="CY211" s="61">
        <v>5809</v>
      </c>
      <c r="CZ211" s="61">
        <v>384</v>
      </c>
      <c r="DA211" s="61">
        <v>3204</v>
      </c>
      <c r="DB211" s="61">
        <v>103</v>
      </c>
      <c r="DC211" s="61">
        <v>26</v>
      </c>
      <c r="DD211" s="61">
        <v>16113</v>
      </c>
      <c r="DE211" s="61">
        <v>1012</v>
      </c>
      <c r="DF211" s="61">
        <v>14325</v>
      </c>
      <c r="DG211" s="61">
        <v>776</v>
      </c>
      <c r="DH211" s="62" t="s">
        <v>2185</v>
      </c>
      <c r="DI211" s="61">
        <v>619</v>
      </c>
      <c r="DJ211" s="61">
        <v>65</v>
      </c>
      <c r="DK211" s="61">
        <v>1</v>
      </c>
      <c r="DL211" s="61"/>
      <c r="DM211" s="61">
        <v>5</v>
      </c>
      <c r="DN211" s="61"/>
    </row>
    <row r="212" spans="1:118" x14ac:dyDescent="0.25">
      <c r="A212" s="61">
        <v>106341051</v>
      </c>
      <c r="B212" s="62" t="s">
        <v>983</v>
      </c>
      <c r="C212" s="62" t="s">
        <v>2081</v>
      </c>
      <c r="D212" s="62" t="s">
        <v>963</v>
      </c>
      <c r="E212" s="62" t="s">
        <v>71</v>
      </c>
      <c r="F212" s="62" t="s">
        <v>2213</v>
      </c>
      <c r="G212" s="62" t="s">
        <v>2082</v>
      </c>
      <c r="H212" s="62" t="s">
        <v>963</v>
      </c>
      <c r="I212" s="62" t="s">
        <v>984</v>
      </c>
      <c r="J212" s="62" t="s">
        <v>2184</v>
      </c>
      <c r="K212" s="62"/>
      <c r="L212" s="61">
        <v>6</v>
      </c>
      <c r="M212" s="61">
        <v>7</v>
      </c>
      <c r="N212" s="61">
        <v>6</v>
      </c>
      <c r="O212" s="62" t="s">
        <v>1925</v>
      </c>
      <c r="P212" s="62" t="s">
        <v>68</v>
      </c>
      <c r="Q212" s="62" t="s">
        <v>2167</v>
      </c>
      <c r="R212" s="62" t="s">
        <v>2167</v>
      </c>
      <c r="S212" s="62" t="s">
        <v>69</v>
      </c>
      <c r="T212" s="61">
        <v>33510</v>
      </c>
      <c r="U212" s="61">
        <v>29502</v>
      </c>
      <c r="V212" s="61">
        <v>1</v>
      </c>
      <c r="W212" s="61">
        <v>4812</v>
      </c>
      <c r="X212" s="61">
        <v>4142</v>
      </c>
      <c r="Y212" s="61">
        <v>11738</v>
      </c>
      <c r="Z212" s="61">
        <v>11334</v>
      </c>
      <c r="AA212" s="61">
        <v>9518</v>
      </c>
      <c r="AB212" s="61">
        <v>9340</v>
      </c>
      <c r="AC212" s="61">
        <v>5385</v>
      </c>
      <c r="AD212" s="61">
        <v>2612</v>
      </c>
      <c r="AE212" s="61">
        <v>2953</v>
      </c>
      <c r="AF212" s="61">
        <v>1179</v>
      </c>
      <c r="AG212" s="61"/>
      <c r="AH212" s="61">
        <v>3842</v>
      </c>
      <c r="AI212" s="61">
        <v>14165</v>
      </c>
      <c r="AJ212" s="61">
        <v>12401</v>
      </c>
      <c r="AK212" s="61">
        <v>187</v>
      </c>
      <c r="AL212" s="61">
        <v>1332</v>
      </c>
      <c r="AM212" s="61">
        <v>773</v>
      </c>
      <c r="AN212" s="61">
        <v>30313</v>
      </c>
      <c r="AO212" s="61">
        <v>736</v>
      </c>
      <c r="AP212" s="61">
        <v>1883</v>
      </c>
      <c r="AQ212" s="61">
        <v>114</v>
      </c>
      <c r="AR212" s="61">
        <v>649</v>
      </c>
      <c r="AS212" s="61">
        <v>42</v>
      </c>
      <c r="AT212" s="61">
        <v>25</v>
      </c>
      <c r="AU212" s="61"/>
      <c r="AV212" s="61">
        <v>386</v>
      </c>
      <c r="AW212" s="61">
        <v>1680</v>
      </c>
      <c r="AX212" s="61">
        <v>22</v>
      </c>
      <c r="AY212" s="61">
        <v>56708</v>
      </c>
      <c r="AZ212" s="61">
        <v>513</v>
      </c>
      <c r="BA212" s="61"/>
      <c r="BB212" s="61">
        <v>15</v>
      </c>
      <c r="BC212" s="61">
        <v>33</v>
      </c>
      <c r="BD212" s="61">
        <v>28144</v>
      </c>
      <c r="BE212" s="61">
        <v>11697</v>
      </c>
      <c r="BF212" s="61">
        <v>2068</v>
      </c>
      <c r="BG212" s="61">
        <v>16563</v>
      </c>
      <c r="BH212" s="61">
        <v>4447</v>
      </c>
      <c r="BI212" s="61">
        <v>94</v>
      </c>
      <c r="BJ212" s="61">
        <v>63013</v>
      </c>
      <c r="BK212" s="61">
        <v>1447</v>
      </c>
      <c r="BL212" s="61">
        <v>59305</v>
      </c>
      <c r="BM212" s="61">
        <v>2261</v>
      </c>
      <c r="BN212" s="61">
        <v>4773</v>
      </c>
      <c r="BO212" s="61">
        <v>4329</v>
      </c>
      <c r="BP212" s="61">
        <v>1</v>
      </c>
      <c r="BQ212" s="61">
        <v>209</v>
      </c>
      <c r="BR212" s="61">
        <v>462</v>
      </c>
      <c r="BS212" s="61">
        <v>640</v>
      </c>
      <c r="BT212" s="61">
        <v>927</v>
      </c>
      <c r="BU212" s="61">
        <v>1601</v>
      </c>
      <c r="BV212" s="61">
        <v>1710</v>
      </c>
      <c r="BW212" s="61">
        <v>1382</v>
      </c>
      <c r="BX212" s="61">
        <v>1867</v>
      </c>
      <c r="BY212" s="61">
        <v>114</v>
      </c>
      <c r="BZ212" s="61">
        <v>191</v>
      </c>
      <c r="CA212" s="61"/>
      <c r="CB212" s="61">
        <v>922</v>
      </c>
      <c r="CC212" s="61">
        <v>1365</v>
      </c>
      <c r="CD212" s="61">
        <v>1232</v>
      </c>
      <c r="CE212" s="61">
        <v>143</v>
      </c>
      <c r="CF212" s="61">
        <v>108</v>
      </c>
      <c r="CG212" s="61">
        <v>5317</v>
      </c>
      <c r="CH212" s="61">
        <v>16</v>
      </c>
      <c r="CI212" s="61">
        <v>205</v>
      </c>
      <c r="CJ212" s="61">
        <v>167</v>
      </c>
      <c r="CK212" s="61">
        <v>339</v>
      </c>
      <c r="CL212" s="61">
        <v>1352</v>
      </c>
      <c r="CM212" s="61">
        <v>59</v>
      </c>
      <c r="CN212" s="61"/>
      <c r="CO212" s="61">
        <v>76</v>
      </c>
      <c r="CP212" s="61">
        <v>5316</v>
      </c>
      <c r="CQ212" s="61">
        <v>1312</v>
      </c>
      <c r="CR212" s="61">
        <v>31</v>
      </c>
      <c r="CS212" s="61">
        <v>112</v>
      </c>
      <c r="CT212" s="61">
        <v>26</v>
      </c>
      <c r="CU212" s="61"/>
      <c r="CV212" s="61"/>
      <c r="CW212" s="61">
        <v>108</v>
      </c>
      <c r="CX212" s="61">
        <v>2688</v>
      </c>
      <c r="CY212" s="61">
        <v>4665</v>
      </c>
      <c r="CZ212" s="61">
        <v>159</v>
      </c>
      <c r="DA212" s="61">
        <v>1501</v>
      </c>
      <c r="DB212" s="61">
        <v>89</v>
      </c>
      <c r="DC212" s="61">
        <v>1</v>
      </c>
      <c r="DD212" s="61">
        <v>9103</v>
      </c>
      <c r="DE212" s="61">
        <v>547</v>
      </c>
      <c r="DF212" s="61">
        <v>8217</v>
      </c>
      <c r="DG212" s="61">
        <v>339</v>
      </c>
      <c r="DH212" s="62" t="s">
        <v>2185</v>
      </c>
      <c r="DI212" s="61">
        <v>298</v>
      </c>
      <c r="DJ212" s="61">
        <v>28</v>
      </c>
      <c r="DK212" s="61">
        <v>145</v>
      </c>
      <c r="DL212" s="61">
        <v>62</v>
      </c>
      <c r="DM212" s="61"/>
      <c r="DN212" s="61"/>
    </row>
    <row r="213" spans="1:118" x14ac:dyDescent="0.25">
      <c r="A213" s="61">
        <v>106341052</v>
      </c>
      <c r="B213" s="62" t="s">
        <v>985</v>
      </c>
      <c r="C213" s="62" t="s">
        <v>986</v>
      </c>
      <c r="D213" s="62" t="s">
        <v>963</v>
      </c>
      <c r="E213" s="62" t="s">
        <v>71</v>
      </c>
      <c r="F213" s="62" t="s">
        <v>2213</v>
      </c>
      <c r="G213" s="62" t="s">
        <v>987</v>
      </c>
      <c r="H213" s="62" t="s">
        <v>963</v>
      </c>
      <c r="I213" s="62" t="s">
        <v>969</v>
      </c>
      <c r="J213" s="62" t="s">
        <v>2186</v>
      </c>
      <c r="K213" s="62"/>
      <c r="L213" s="61">
        <v>6</v>
      </c>
      <c r="M213" s="61">
        <v>7</v>
      </c>
      <c r="N213" s="61">
        <v>6</v>
      </c>
      <c r="O213" s="62" t="s">
        <v>1929</v>
      </c>
      <c r="P213" s="62" t="s">
        <v>68</v>
      </c>
      <c r="Q213" s="62" t="s">
        <v>2167</v>
      </c>
      <c r="R213" s="62" t="s">
        <v>2167</v>
      </c>
      <c r="S213" s="62" t="s">
        <v>69</v>
      </c>
      <c r="T213" s="61">
        <v>13149</v>
      </c>
      <c r="U213" s="61">
        <v>8857</v>
      </c>
      <c r="V213" s="61"/>
      <c r="W213" s="61">
        <v>4746</v>
      </c>
      <c r="X213" s="61">
        <v>2228</v>
      </c>
      <c r="Y213" s="61">
        <v>4184</v>
      </c>
      <c r="Z213" s="61">
        <v>3340</v>
      </c>
      <c r="AA213" s="61">
        <v>1947</v>
      </c>
      <c r="AB213" s="61">
        <v>1670</v>
      </c>
      <c r="AC213" s="61">
        <v>1010</v>
      </c>
      <c r="AD213" s="61">
        <v>572</v>
      </c>
      <c r="AE213" s="61">
        <v>708</v>
      </c>
      <c r="AF213" s="61">
        <v>1601</v>
      </c>
      <c r="AG213" s="61"/>
      <c r="AH213" s="61">
        <v>2113</v>
      </c>
      <c r="AI213" s="61">
        <v>3860</v>
      </c>
      <c r="AJ213" s="61">
        <v>6773</v>
      </c>
      <c r="AK213" s="61">
        <v>83</v>
      </c>
      <c r="AL213" s="61">
        <v>84</v>
      </c>
      <c r="AM213" s="61">
        <v>33</v>
      </c>
      <c r="AN213" s="61">
        <v>9060</v>
      </c>
      <c r="AO213" s="61">
        <v>198</v>
      </c>
      <c r="AP213" s="61">
        <v>516</v>
      </c>
      <c r="AQ213" s="61">
        <v>25</v>
      </c>
      <c r="AR213" s="61">
        <v>24</v>
      </c>
      <c r="AS213" s="61"/>
      <c r="AT213" s="61">
        <v>1</v>
      </c>
      <c r="AU213" s="61"/>
      <c r="AV213" s="61">
        <v>14</v>
      </c>
      <c r="AW213" s="61">
        <v>204</v>
      </c>
      <c r="AX213" s="61"/>
      <c r="AY213" s="61">
        <v>20975</v>
      </c>
      <c r="AZ213" s="61">
        <v>5</v>
      </c>
      <c r="BA213" s="61"/>
      <c r="BB213" s="61">
        <v>1</v>
      </c>
      <c r="BC213" s="61"/>
      <c r="BD213" s="61">
        <v>7713</v>
      </c>
      <c r="BE213" s="61">
        <v>2296</v>
      </c>
      <c r="BF213" s="61">
        <v>419</v>
      </c>
      <c r="BG213" s="61">
        <v>9966</v>
      </c>
      <c r="BH213" s="61">
        <v>1612</v>
      </c>
      <c r="BI213" s="61"/>
      <c r="BJ213" s="61">
        <v>22006</v>
      </c>
      <c r="BK213" s="61">
        <v>793</v>
      </c>
      <c r="BL213" s="61">
        <v>19177</v>
      </c>
      <c r="BM213" s="61">
        <v>2036</v>
      </c>
      <c r="BN213" s="61">
        <v>1470</v>
      </c>
      <c r="BO213" s="61">
        <v>1312</v>
      </c>
      <c r="BP213" s="61"/>
      <c r="BQ213" s="61">
        <v>202</v>
      </c>
      <c r="BR213" s="61">
        <v>151</v>
      </c>
      <c r="BS213" s="61">
        <v>182</v>
      </c>
      <c r="BT213" s="61">
        <v>215</v>
      </c>
      <c r="BU213" s="61">
        <v>352</v>
      </c>
      <c r="BV213" s="61">
        <v>356</v>
      </c>
      <c r="BW213" s="61">
        <v>336</v>
      </c>
      <c r="BX213" s="61">
        <v>450</v>
      </c>
      <c r="BY213" s="61">
        <v>198</v>
      </c>
      <c r="BZ213" s="61">
        <v>340</v>
      </c>
      <c r="CA213" s="61"/>
      <c r="CB213" s="61">
        <v>329</v>
      </c>
      <c r="CC213" s="61">
        <v>356</v>
      </c>
      <c r="CD213" s="61">
        <v>511</v>
      </c>
      <c r="CE213" s="61">
        <v>17</v>
      </c>
      <c r="CF213" s="61">
        <v>3</v>
      </c>
      <c r="CG213" s="61">
        <v>1558</v>
      </c>
      <c r="CH213" s="61">
        <v>8</v>
      </c>
      <c r="CI213" s="61">
        <v>34</v>
      </c>
      <c r="CJ213" s="61">
        <v>42</v>
      </c>
      <c r="CK213" s="61">
        <v>59</v>
      </c>
      <c r="CL213" s="61">
        <v>287</v>
      </c>
      <c r="CM213" s="61"/>
      <c r="CN213" s="61"/>
      <c r="CO213" s="61">
        <v>26</v>
      </c>
      <c r="CP213" s="61">
        <v>2022</v>
      </c>
      <c r="CQ213" s="61">
        <v>270</v>
      </c>
      <c r="CR213" s="61">
        <v>4</v>
      </c>
      <c r="CS213" s="61"/>
      <c r="CT213" s="61"/>
      <c r="CU213" s="61"/>
      <c r="CV213" s="61"/>
      <c r="CW213" s="61">
        <v>35</v>
      </c>
      <c r="CX213" s="61">
        <v>1116</v>
      </c>
      <c r="CY213" s="61">
        <v>1119</v>
      </c>
      <c r="CZ213" s="61">
        <v>36</v>
      </c>
      <c r="DA213" s="61">
        <v>484</v>
      </c>
      <c r="DB213" s="61">
        <v>27</v>
      </c>
      <c r="DC213" s="61"/>
      <c r="DD213" s="61">
        <v>2782</v>
      </c>
      <c r="DE213" s="61">
        <v>174</v>
      </c>
      <c r="DF213" s="61">
        <v>2445</v>
      </c>
      <c r="DG213" s="61">
        <v>163</v>
      </c>
      <c r="DH213" s="62" t="s">
        <v>2185</v>
      </c>
      <c r="DI213" s="61">
        <v>348</v>
      </c>
      <c r="DJ213" s="61">
        <v>9</v>
      </c>
      <c r="DK213" s="61"/>
      <c r="DL213" s="61">
        <v>43</v>
      </c>
      <c r="DM213" s="61">
        <v>3</v>
      </c>
      <c r="DN213" s="61"/>
    </row>
    <row r="214" spans="1:118" x14ac:dyDescent="0.25">
      <c r="A214" s="61">
        <v>106342344</v>
      </c>
      <c r="B214" s="62" t="s">
        <v>988</v>
      </c>
      <c r="C214" s="62" t="s">
        <v>2083</v>
      </c>
      <c r="D214" s="62" t="s">
        <v>963</v>
      </c>
      <c r="E214" s="62" t="s">
        <v>71</v>
      </c>
      <c r="F214" s="62" t="s">
        <v>2213</v>
      </c>
      <c r="G214" s="62" t="s">
        <v>989</v>
      </c>
      <c r="H214" s="62" t="s">
        <v>963</v>
      </c>
      <c r="I214" s="62" t="s">
        <v>978</v>
      </c>
      <c r="J214" s="62" t="s">
        <v>2184</v>
      </c>
      <c r="K214" s="62" t="s">
        <v>82</v>
      </c>
      <c r="L214" s="61">
        <v>6</v>
      </c>
      <c r="M214" s="61">
        <v>9</v>
      </c>
      <c r="N214" s="61">
        <v>6</v>
      </c>
      <c r="O214" s="62" t="s">
        <v>1927</v>
      </c>
      <c r="P214" s="62" t="s">
        <v>68</v>
      </c>
      <c r="Q214" s="62" t="s">
        <v>2167</v>
      </c>
      <c r="R214" s="62" t="s">
        <v>2167</v>
      </c>
      <c r="S214" s="62" t="s">
        <v>69</v>
      </c>
      <c r="T214" s="61">
        <v>64142</v>
      </c>
      <c r="U214" s="61">
        <v>48479</v>
      </c>
      <c r="V214" s="61"/>
      <c r="W214" s="61">
        <v>15375</v>
      </c>
      <c r="X214" s="61">
        <v>13578</v>
      </c>
      <c r="Y214" s="61">
        <v>20302</v>
      </c>
      <c r="Z214" s="61">
        <v>15568</v>
      </c>
      <c r="AA214" s="61">
        <v>12649</v>
      </c>
      <c r="AB214" s="61">
        <v>12156</v>
      </c>
      <c r="AC214" s="61">
        <v>8647</v>
      </c>
      <c r="AD214" s="61">
        <v>5815</v>
      </c>
      <c r="AE214" s="61">
        <v>5597</v>
      </c>
      <c r="AF214" s="61">
        <v>2934</v>
      </c>
      <c r="AG214" s="61"/>
      <c r="AH214" s="61">
        <v>14969</v>
      </c>
      <c r="AI214" s="61">
        <v>33532</v>
      </c>
      <c r="AJ214" s="61">
        <v>28744</v>
      </c>
      <c r="AK214" s="61">
        <v>625</v>
      </c>
      <c r="AL214" s="61">
        <v>2639</v>
      </c>
      <c r="AM214" s="61">
        <v>803</v>
      </c>
      <c r="AN214" s="61">
        <v>31309</v>
      </c>
      <c r="AO214" s="61">
        <v>412</v>
      </c>
      <c r="AP214" s="61">
        <v>692</v>
      </c>
      <c r="AQ214" s="61">
        <v>233</v>
      </c>
      <c r="AR214" s="61">
        <v>329</v>
      </c>
      <c r="AS214" s="61">
        <v>89</v>
      </c>
      <c r="AT214" s="61">
        <v>10</v>
      </c>
      <c r="AU214" s="61"/>
      <c r="AV214" s="61">
        <v>268</v>
      </c>
      <c r="AW214" s="61">
        <v>1447</v>
      </c>
      <c r="AX214" s="61">
        <v>14</v>
      </c>
      <c r="AY214" s="61">
        <v>108620</v>
      </c>
      <c r="AZ214" s="61">
        <v>373</v>
      </c>
      <c r="BA214" s="61"/>
      <c r="BB214" s="61">
        <v>3</v>
      </c>
      <c r="BC214" s="61">
        <v>129</v>
      </c>
      <c r="BD214" s="61">
        <v>47854</v>
      </c>
      <c r="BE214" s="61">
        <v>18928</v>
      </c>
      <c r="BF214" s="61">
        <v>1515</v>
      </c>
      <c r="BG214" s="61">
        <v>33741</v>
      </c>
      <c r="BH214" s="61">
        <v>10574</v>
      </c>
      <c r="BI214" s="61">
        <v>9</v>
      </c>
      <c r="BJ214" s="61">
        <v>112621</v>
      </c>
      <c r="BK214" s="61">
        <v>3367</v>
      </c>
      <c r="BL214" s="61">
        <v>102407</v>
      </c>
      <c r="BM214" s="61">
        <v>6847</v>
      </c>
      <c r="BN214" s="61">
        <v>3740</v>
      </c>
      <c r="BO214" s="61">
        <v>3856</v>
      </c>
      <c r="BP214" s="61"/>
      <c r="BQ214" s="61">
        <v>128</v>
      </c>
      <c r="BR214" s="61">
        <v>381</v>
      </c>
      <c r="BS214" s="61">
        <v>509</v>
      </c>
      <c r="BT214" s="61">
        <v>650</v>
      </c>
      <c r="BU214" s="61">
        <v>1203</v>
      </c>
      <c r="BV214" s="61">
        <v>1449</v>
      </c>
      <c r="BW214" s="61">
        <v>1393</v>
      </c>
      <c r="BX214" s="61">
        <v>1663</v>
      </c>
      <c r="BY214" s="61">
        <v>98</v>
      </c>
      <c r="BZ214" s="61">
        <v>122</v>
      </c>
      <c r="CA214" s="61"/>
      <c r="CB214" s="61">
        <v>1260</v>
      </c>
      <c r="CC214" s="61">
        <v>1513</v>
      </c>
      <c r="CD214" s="61">
        <v>1204</v>
      </c>
      <c r="CE214" s="61">
        <v>92</v>
      </c>
      <c r="CF214" s="61">
        <v>27</v>
      </c>
      <c r="CG214" s="61">
        <v>3462</v>
      </c>
      <c r="CH214" s="61">
        <v>38</v>
      </c>
      <c r="CI214" s="61">
        <v>343</v>
      </c>
      <c r="CJ214" s="61">
        <v>88</v>
      </c>
      <c r="CK214" s="61">
        <v>402</v>
      </c>
      <c r="CL214" s="61">
        <v>1070</v>
      </c>
      <c r="CM214" s="61">
        <v>55</v>
      </c>
      <c r="CN214" s="61"/>
      <c r="CO214" s="61">
        <v>2</v>
      </c>
      <c r="CP214" s="61">
        <v>4557</v>
      </c>
      <c r="CQ214" s="61">
        <v>801</v>
      </c>
      <c r="CR214" s="61">
        <v>19</v>
      </c>
      <c r="CS214" s="61">
        <v>219</v>
      </c>
      <c r="CT214" s="61">
        <v>30</v>
      </c>
      <c r="CU214" s="61">
        <v>1</v>
      </c>
      <c r="CV214" s="61">
        <v>1</v>
      </c>
      <c r="CW214" s="61">
        <v>7</v>
      </c>
      <c r="CX214" s="61">
        <v>1247</v>
      </c>
      <c r="CY214" s="61">
        <v>4137</v>
      </c>
      <c r="CZ214" s="61">
        <v>47</v>
      </c>
      <c r="DA214" s="61">
        <v>1883</v>
      </c>
      <c r="DB214" s="61">
        <v>282</v>
      </c>
      <c r="DC214" s="61"/>
      <c r="DD214" s="61">
        <v>7596</v>
      </c>
      <c r="DE214" s="61">
        <v>406</v>
      </c>
      <c r="DF214" s="61">
        <v>6892</v>
      </c>
      <c r="DG214" s="61">
        <v>298</v>
      </c>
      <c r="DH214" s="62" t="s">
        <v>2185</v>
      </c>
      <c r="DI214" s="61">
        <v>217</v>
      </c>
      <c r="DJ214" s="61">
        <v>43</v>
      </c>
      <c r="DK214" s="61">
        <v>2</v>
      </c>
      <c r="DL214" s="61"/>
      <c r="DM214" s="61"/>
      <c r="DN214" s="61">
        <v>1</v>
      </c>
    </row>
    <row r="215" spans="1:118" x14ac:dyDescent="0.25">
      <c r="A215" s="61">
        <v>106344029</v>
      </c>
      <c r="B215" s="62" t="s">
        <v>990</v>
      </c>
      <c r="C215" s="62" t="s">
        <v>2084</v>
      </c>
      <c r="D215" s="62" t="s">
        <v>963</v>
      </c>
      <c r="E215" s="62" t="s">
        <v>71</v>
      </c>
      <c r="F215" s="62" t="s">
        <v>2213</v>
      </c>
      <c r="G215" s="62" t="s">
        <v>991</v>
      </c>
      <c r="H215" s="62" t="s">
        <v>992</v>
      </c>
      <c r="I215" s="62" t="s">
        <v>993</v>
      </c>
      <c r="J215" s="62" t="s">
        <v>2189</v>
      </c>
      <c r="K215" s="62"/>
      <c r="L215" s="61">
        <v>7</v>
      </c>
      <c r="M215" s="61">
        <v>6</v>
      </c>
      <c r="N215" s="61">
        <v>1</v>
      </c>
      <c r="O215" s="62" t="s">
        <v>1930</v>
      </c>
      <c r="P215" s="62" t="s">
        <v>68</v>
      </c>
      <c r="Q215" s="62" t="s">
        <v>2167</v>
      </c>
      <c r="R215" s="62" t="s">
        <v>2167</v>
      </c>
      <c r="S215" s="62" t="s">
        <v>69</v>
      </c>
      <c r="T215" s="61">
        <v>21899</v>
      </c>
      <c r="U215" s="61">
        <v>16420</v>
      </c>
      <c r="V215" s="61"/>
      <c r="W215" s="61">
        <v>4570</v>
      </c>
      <c r="X215" s="61">
        <v>4450</v>
      </c>
      <c r="Y215" s="61">
        <v>5873</v>
      </c>
      <c r="Z215" s="61">
        <v>5420</v>
      </c>
      <c r="AA215" s="61">
        <v>4712</v>
      </c>
      <c r="AB215" s="61">
        <v>4584</v>
      </c>
      <c r="AC215" s="61">
        <v>3050</v>
      </c>
      <c r="AD215" s="61">
        <v>2228</v>
      </c>
      <c r="AE215" s="61">
        <v>2554</v>
      </c>
      <c r="AF215" s="61">
        <v>878</v>
      </c>
      <c r="AG215" s="61"/>
      <c r="AH215" s="61">
        <v>2251</v>
      </c>
      <c r="AI215" s="61">
        <v>1467</v>
      </c>
      <c r="AJ215" s="61">
        <v>4365</v>
      </c>
      <c r="AK215" s="61">
        <v>82</v>
      </c>
      <c r="AL215" s="61">
        <v>485</v>
      </c>
      <c r="AM215" s="61">
        <v>310</v>
      </c>
      <c r="AN215" s="61">
        <v>29359</v>
      </c>
      <c r="AO215" s="61">
        <v>1111</v>
      </c>
      <c r="AP215" s="61">
        <v>3</v>
      </c>
      <c r="AQ215" s="61">
        <v>53</v>
      </c>
      <c r="AR215" s="61">
        <v>313</v>
      </c>
      <c r="AS215" s="61">
        <v>5</v>
      </c>
      <c r="AT215" s="61">
        <v>1</v>
      </c>
      <c r="AU215" s="61"/>
      <c r="AV215" s="61">
        <v>22</v>
      </c>
      <c r="AW215" s="61">
        <v>276</v>
      </c>
      <c r="AX215" s="61"/>
      <c r="AY215" s="61">
        <v>36440</v>
      </c>
      <c r="AZ215" s="61">
        <v>53</v>
      </c>
      <c r="BA215" s="61"/>
      <c r="BB215" s="61"/>
      <c r="BC215" s="61"/>
      <c r="BD215" s="61">
        <v>16236</v>
      </c>
      <c r="BE215" s="61">
        <v>7028</v>
      </c>
      <c r="BF215" s="61">
        <v>1115</v>
      </c>
      <c r="BG215" s="61">
        <v>12059</v>
      </c>
      <c r="BH215" s="61">
        <v>1881</v>
      </c>
      <c r="BI215" s="61"/>
      <c r="BJ215" s="61">
        <v>38319</v>
      </c>
      <c r="BK215" s="61">
        <v>1394</v>
      </c>
      <c r="BL215" s="61">
        <v>35994</v>
      </c>
      <c r="BM215" s="61">
        <v>931</v>
      </c>
      <c r="BN215" s="61">
        <v>2769</v>
      </c>
      <c r="BO215" s="61">
        <v>2190</v>
      </c>
      <c r="BP215" s="61"/>
      <c r="BQ215" s="61">
        <v>54</v>
      </c>
      <c r="BR215" s="61">
        <v>267</v>
      </c>
      <c r="BS215" s="61">
        <v>324</v>
      </c>
      <c r="BT215" s="61">
        <v>488</v>
      </c>
      <c r="BU215" s="61">
        <v>724</v>
      </c>
      <c r="BV215" s="61">
        <v>843</v>
      </c>
      <c r="BW215" s="61">
        <v>878</v>
      </c>
      <c r="BX215" s="61">
        <v>1380</v>
      </c>
      <c r="BY215" s="61"/>
      <c r="BZ215" s="61">
        <v>1</v>
      </c>
      <c r="CA215" s="61"/>
      <c r="CB215" s="61">
        <v>243</v>
      </c>
      <c r="CC215" s="61">
        <v>129</v>
      </c>
      <c r="CD215" s="61">
        <v>270</v>
      </c>
      <c r="CE215" s="61">
        <v>38</v>
      </c>
      <c r="CF215" s="61">
        <v>32</v>
      </c>
      <c r="CG215" s="61">
        <v>4236</v>
      </c>
      <c r="CH215" s="61">
        <v>11</v>
      </c>
      <c r="CI215" s="61">
        <v>283</v>
      </c>
      <c r="CJ215" s="61">
        <v>60</v>
      </c>
      <c r="CK215" s="61">
        <v>134</v>
      </c>
      <c r="CL215" s="61">
        <v>589</v>
      </c>
      <c r="CM215" s="61">
        <v>22</v>
      </c>
      <c r="CN215" s="61"/>
      <c r="CO215" s="61">
        <v>47</v>
      </c>
      <c r="CP215" s="61">
        <v>2957</v>
      </c>
      <c r="CQ215" s="61">
        <v>719</v>
      </c>
      <c r="CR215" s="61">
        <v>11</v>
      </c>
      <c r="CS215" s="61">
        <v>114</v>
      </c>
      <c r="CT215" s="61">
        <v>20</v>
      </c>
      <c r="CU215" s="61"/>
      <c r="CV215" s="61">
        <v>1</v>
      </c>
      <c r="CW215" s="61">
        <v>2</v>
      </c>
      <c r="CX215" s="61">
        <v>861</v>
      </c>
      <c r="CY215" s="61">
        <v>2817</v>
      </c>
      <c r="CZ215" s="61">
        <v>108</v>
      </c>
      <c r="DA215" s="61">
        <v>1130</v>
      </c>
      <c r="DB215" s="61">
        <v>42</v>
      </c>
      <c r="DC215" s="61">
        <v>1</v>
      </c>
      <c r="DD215" s="61">
        <v>4959</v>
      </c>
      <c r="DE215" s="61">
        <v>205</v>
      </c>
      <c r="DF215" s="61">
        <v>4706</v>
      </c>
      <c r="DG215" s="61">
        <v>48</v>
      </c>
      <c r="DH215" s="62" t="s">
        <v>2185</v>
      </c>
      <c r="DI215" s="61">
        <v>106</v>
      </c>
      <c r="DJ215" s="61">
        <v>25</v>
      </c>
      <c r="DK215" s="61"/>
      <c r="DL215" s="61">
        <v>42</v>
      </c>
      <c r="DM215" s="61"/>
      <c r="DN215" s="61"/>
    </row>
    <row r="216" spans="1:118" x14ac:dyDescent="0.25">
      <c r="A216" s="61">
        <v>106350784</v>
      </c>
      <c r="B216" s="62" t="s">
        <v>994</v>
      </c>
      <c r="C216" s="62" t="s">
        <v>995</v>
      </c>
      <c r="D216" s="62" t="s">
        <v>996</v>
      </c>
      <c r="E216" s="62" t="s">
        <v>94</v>
      </c>
      <c r="F216" s="62" t="s">
        <v>2213</v>
      </c>
      <c r="G216" s="62" t="s">
        <v>997</v>
      </c>
      <c r="H216" s="62" t="s">
        <v>998</v>
      </c>
      <c r="I216" s="62" t="s">
        <v>999</v>
      </c>
      <c r="J216" s="62" t="s">
        <v>2189</v>
      </c>
      <c r="K216" s="62"/>
      <c r="L216" s="61">
        <v>20</v>
      </c>
      <c r="M216" s="61">
        <v>30</v>
      </c>
      <c r="N216" s="61">
        <v>12</v>
      </c>
      <c r="O216" s="62" t="s">
        <v>1931</v>
      </c>
      <c r="P216" s="62" t="s">
        <v>120</v>
      </c>
      <c r="Q216" s="62" t="s">
        <v>120</v>
      </c>
      <c r="R216" s="62" t="s">
        <v>2167</v>
      </c>
      <c r="S216" s="62" t="s">
        <v>69</v>
      </c>
      <c r="T216" s="61">
        <v>9300</v>
      </c>
      <c r="U216" s="61">
        <v>7856</v>
      </c>
      <c r="V216" s="61"/>
      <c r="W216" s="61">
        <v>2963</v>
      </c>
      <c r="X216" s="61">
        <v>2330</v>
      </c>
      <c r="Y216" s="61">
        <v>2708</v>
      </c>
      <c r="Z216" s="61">
        <v>2355</v>
      </c>
      <c r="AA216" s="61">
        <v>1941</v>
      </c>
      <c r="AB216" s="61">
        <v>1797</v>
      </c>
      <c r="AC216" s="61">
        <v>1138</v>
      </c>
      <c r="AD216" s="61">
        <v>664</v>
      </c>
      <c r="AE216" s="61">
        <v>679</v>
      </c>
      <c r="AF216" s="61">
        <v>581</v>
      </c>
      <c r="AG216" s="61"/>
      <c r="AH216" s="61">
        <v>173</v>
      </c>
      <c r="AI216" s="61">
        <v>128</v>
      </c>
      <c r="AJ216" s="61">
        <v>10614</v>
      </c>
      <c r="AK216" s="61">
        <v>14</v>
      </c>
      <c r="AL216" s="61">
        <v>85</v>
      </c>
      <c r="AM216" s="61">
        <v>215</v>
      </c>
      <c r="AN216" s="61">
        <v>5927</v>
      </c>
      <c r="AO216" s="61">
        <v>402</v>
      </c>
      <c r="AP216" s="61">
        <v>344</v>
      </c>
      <c r="AQ216" s="61">
        <v>11</v>
      </c>
      <c r="AR216" s="61"/>
      <c r="AS216" s="61"/>
      <c r="AT216" s="61"/>
      <c r="AU216" s="61"/>
      <c r="AV216" s="61">
        <v>131</v>
      </c>
      <c r="AW216" s="61">
        <v>39</v>
      </c>
      <c r="AX216" s="61">
        <v>25</v>
      </c>
      <c r="AY216" s="61">
        <v>16203</v>
      </c>
      <c r="AZ216" s="61">
        <v>1</v>
      </c>
      <c r="BA216" s="61"/>
      <c r="BB216" s="61"/>
      <c r="BC216" s="61"/>
      <c r="BD216" s="61">
        <v>9492</v>
      </c>
      <c r="BE216" s="61">
        <v>2358</v>
      </c>
      <c r="BF216" s="61">
        <v>396</v>
      </c>
      <c r="BG216" s="61">
        <v>4187</v>
      </c>
      <c r="BH216" s="61">
        <v>723</v>
      </c>
      <c r="BI216" s="61"/>
      <c r="BJ216" s="61">
        <v>17156</v>
      </c>
      <c r="BK216" s="61">
        <v>12</v>
      </c>
      <c r="BL216" s="61">
        <v>14330</v>
      </c>
      <c r="BM216" s="61">
        <v>2814</v>
      </c>
      <c r="BN216" s="61">
        <v>707</v>
      </c>
      <c r="BO216" s="61">
        <v>596</v>
      </c>
      <c r="BP216" s="61"/>
      <c r="BQ216" s="61">
        <v>40</v>
      </c>
      <c r="BR216" s="61">
        <v>67</v>
      </c>
      <c r="BS216" s="61">
        <v>100</v>
      </c>
      <c r="BT216" s="61">
        <v>117</v>
      </c>
      <c r="BU216" s="61">
        <v>194</v>
      </c>
      <c r="BV216" s="61">
        <v>210</v>
      </c>
      <c r="BW216" s="61">
        <v>194</v>
      </c>
      <c r="BX216" s="61">
        <v>335</v>
      </c>
      <c r="BY216" s="61">
        <v>13</v>
      </c>
      <c r="BZ216" s="61">
        <v>33</v>
      </c>
      <c r="CA216" s="61"/>
      <c r="CB216" s="61">
        <v>17</v>
      </c>
      <c r="CC216" s="61">
        <v>14</v>
      </c>
      <c r="CD216" s="61">
        <v>606</v>
      </c>
      <c r="CE216" s="61">
        <v>8</v>
      </c>
      <c r="CF216" s="61">
        <v>8</v>
      </c>
      <c r="CG216" s="61">
        <v>650</v>
      </c>
      <c r="CH216" s="61"/>
      <c r="CI216" s="61">
        <v>1</v>
      </c>
      <c r="CJ216" s="61">
        <v>40</v>
      </c>
      <c r="CK216" s="61">
        <v>11</v>
      </c>
      <c r="CL216" s="61">
        <v>13</v>
      </c>
      <c r="CM216" s="61"/>
      <c r="CN216" s="61"/>
      <c r="CO216" s="61">
        <v>139</v>
      </c>
      <c r="CP216" s="61">
        <v>1028</v>
      </c>
      <c r="CQ216" s="61">
        <v>26</v>
      </c>
      <c r="CR216" s="61"/>
      <c r="CS216" s="61"/>
      <c r="CT216" s="61"/>
      <c r="CU216" s="61">
        <v>45</v>
      </c>
      <c r="CV216" s="61"/>
      <c r="CW216" s="61"/>
      <c r="CX216" s="61">
        <v>349</v>
      </c>
      <c r="CY216" s="61">
        <v>692</v>
      </c>
      <c r="CZ216" s="61">
        <v>10</v>
      </c>
      <c r="DA216" s="61">
        <v>241</v>
      </c>
      <c r="DB216" s="61">
        <v>11</v>
      </c>
      <c r="DC216" s="61"/>
      <c r="DD216" s="61">
        <v>1303</v>
      </c>
      <c r="DE216" s="61">
        <v>1</v>
      </c>
      <c r="DF216" s="61">
        <v>1064</v>
      </c>
      <c r="DG216" s="61">
        <v>238</v>
      </c>
      <c r="DH216" s="62" t="s">
        <v>2185</v>
      </c>
      <c r="DI216" s="61">
        <v>119</v>
      </c>
      <c r="DJ216" s="61">
        <v>18</v>
      </c>
      <c r="DK216" s="61"/>
      <c r="DL216" s="61"/>
      <c r="DM216" s="61"/>
      <c r="DN216" s="61"/>
    </row>
    <row r="217" spans="1:118" x14ac:dyDescent="0.25">
      <c r="A217" s="61">
        <v>106361110</v>
      </c>
      <c r="B217" s="62" t="s">
        <v>1000</v>
      </c>
      <c r="C217" s="62" t="s">
        <v>1001</v>
      </c>
      <c r="D217" s="62" t="s">
        <v>1002</v>
      </c>
      <c r="E217" s="62" t="s">
        <v>94</v>
      </c>
      <c r="F217" s="62" t="s">
        <v>2213</v>
      </c>
      <c r="G217" s="62" t="s">
        <v>1003</v>
      </c>
      <c r="H217" s="62" t="s">
        <v>1004</v>
      </c>
      <c r="I217" s="62" t="s">
        <v>1005</v>
      </c>
      <c r="J217" s="62" t="s">
        <v>2190</v>
      </c>
      <c r="K217" s="62"/>
      <c r="L217" s="61">
        <v>8</v>
      </c>
      <c r="M217" s="61">
        <v>33</v>
      </c>
      <c r="N217" s="61">
        <v>23</v>
      </c>
      <c r="O217" s="62" t="s">
        <v>1932</v>
      </c>
      <c r="P217" s="62" t="s">
        <v>120</v>
      </c>
      <c r="Q217" s="62" t="s">
        <v>120</v>
      </c>
      <c r="R217" s="62" t="s">
        <v>2167</v>
      </c>
      <c r="S217" s="62" t="s">
        <v>127</v>
      </c>
      <c r="T217" s="61">
        <v>5531</v>
      </c>
      <c r="U217" s="61">
        <v>5029</v>
      </c>
      <c r="V217" s="61"/>
      <c r="W217" s="61">
        <v>1059</v>
      </c>
      <c r="X217" s="61">
        <v>1343</v>
      </c>
      <c r="Y217" s="61">
        <v>1817</v>
      </c>
      <c r="Z217" s="61">
        <v>1278</v>
      </c>
      <c r="AA217" s="61">
        <v>1279</v>
      </c>
      <c r="AB217" s="61">
        <v>1407</v>
      </c>
      <c r="AC217" s="61">
        <v>1094</v>
      </c>
      <c r="AD217" s="61">
        <v>670</v>
      </c>
      <c r="AE217" s="61">
        <v>462</v>
      </c>
      <c r="AF217" s="61">
        <v>151</v>
      </c>
      <c r="AG217" s="61"/>
      <c r="AH217" s="61">
        <v>156</v>
      </c>
      <c r="AI217" s="61">
        <v>160</v>
      </c>
      <c r="AJ217" s="61">
        <v>1294</v>
      </c>
      <c r="AK217" s="61">
        <v>6</v>
      </c>
      <c r="AL217" s="61">
        <v>304</v>
      </c>
      <c r="AM217" s="61">
        <v>189</v>
      </c>
      <c r="AN217" s="61">
        <v>8451</v>
      </c>
      <c r="AO217" s="61">
        <v>1047</v>
      </c>
      <c r="AP217" s="61">
        <v>171</v>
      </c>
      <c r="AQ217" s="61">
        <v>21</v>
      </c>
      <c r="AR217" s="61"/>
      <c r="AS217" s="61">
        <v>7</v>
      </c>
      <c r="AT217" s="61">
        <v>1</v>
      </c>
      <c r="AU217" s="61"/>
      <c r="AV217" s="61">
        <v>108</v>
      </c>
      <c r="AW217" s="61">
        <v>14</v>
      </c>
      <c r="AX217" s="61"/>
      <c r="AY217" s="61">
        <v>9179</v>
      </c>
      <c r="AZ217" s="61">
        <v>6</v>
      </c>
      <c r="BA217" s="61"/>
      <c r="BB217" s="61"/>
      <c r="BC217" s="61"/>
      <c r="BD217" s="61">
        <v>3833</v>
      </c>
      <c r="BE217" s="61">
        <v>1234</v>
      </c>
      <c r="BF217" s="61">
        <v>258</v>
      </c>
      <c r="BG217" s="61">
        <v>4449</v>
      </c>
      <c r="BH217" s="61">
        <v>786</v>
      </c>
      <c r="BI217" s="61"/>
      <c r="BJ217" s="61">
        <v>10560</v>
      </c>
      <c r="BK217" s="61">
        <v>10</v>
      </c>
      <c r="BL217" s="61">
        <v>10317</v>
      </c>
      <c r="BM217" s="61">
        <v>233</v>
      </c>
      <c r="BN217" s="61">
        <v>79</v>
      </c>
      <c r="BO217" s="61">
        <v>57</v>
      </c>
      <c r="BP217" s="61"/>
      <c r="BQ217" s="61"/>
      <c r="BR217" s="61">
        <v>11</v>
      </c>
      <c r="BS217" s="61">
        <v>5</v>
      </c>
      <c r="BT217" s="61">
        <v>6</v>
      </c>
      <c r="BU217" s="61">
        <v>25</v>
      </c>
      <c r="BV217" s="61">
        <v>29</v>
      </c>
      <c r="BW217" s="61">
        <v>22</v>
      </c>
      <c r="BX217" s="61">
        <v>38</v>
      </c>
      <c r="BY217" s="61"/>
      <c r="BZ217" s="61"/>
      <c r="CA217" s="61"/>
      <c r="CB217" s="61">
        <v>1</v>
      </c>
      <c r="CC217" s="61"/>
      <c r="CD217" s="61">
        <v>5</v>
      </c>
      <c r="CE217" s="61">
        <v>2</v>
      </c>
      <c r="CF217" s="61">
        <v>2</v>
      </c>
      <c r="CG217" s="61">
        <v>126</v>
      </c>
      <c r="CH217" s="61"/>
      <c r="CI217" s="61">
        <v>16</v>
      </c>
      <c r="CJ217" s="61">
        <v>1</v>
      </c>
      <c r="CK217" s="61">
        <v>2</v>
      </c>
      <c r="CL217" s="61">
        <v>11</v>
      </c>
      <c r="CM217" s="61"/>
      <c r="CN217" s="61"/>
      <c r="CO217" s="61"/>
      <c r="CP217" s="61">
        <v>95</v>
      </c>
      <c r="CQ217" s="61">
        <v>5</v>
      </c>
      <c r="CR217" s="61"/>
      <c r="CS217" s="61">
        <v>5</v>
      </c>
      <c r="CT217" s="61"/>
      <c r="CU217" s="61"/>
      <c r="CV217" s="61"/>
      <c r="CW217" s="61">
        <v>1</v>
      </c>
      <c r="CX217" s="61">
        <v>30</v>
      </c>
      <c r="CY217" s="61">
        <v>71</v>
      </c>
      <c r="CZ217" s="61">
        <v>3</v>
      </c>
      <c r="DA217" s="61">
        <v>31</v>
      </c>
      <c r="DB217" s="61">
        <v>1</v>
      </c>
      <c r="DC217" s="61"/>
      <c r="DD217" s="61">
        <v>136</v>
      </c>
      <c r="DE217" s="61"/>
      <c r="DF217" s="61">
        <v>134</v>
      </c>
      <c r="DG217" s="61">
        <v>2</v>
      </c>
      <c r="DH217" s="62" t="s">
        <v>2185</v>
      </c>
      <c r="DI217" s="61">
        <v>30</v>
      </c>
      <c r="DJ217" s="61">
        <v>7</v>
      </c>
      <c r="DK217" s="61"/>
      <c r="DL217" s="61">
        <v>6</v>
      </c>
      <c r="DM217" s="61"/>
      <c r="DN217" s="61"/>
    </row>
    <row r="218" spans="1:118" x14ac:dyDescent="0.25">
      <c r="A218" s="61">
        <v>106361144</v>
      </c>
      <c r="B218" s="62" t="s">
        <v>1006</v>
      </c>
      <c r="C218" s="62" t="s">
        <v>1007</v>
      </c>
      <c r="D218" s="62" t="s">
        <v>1002</v>
      </c>
      <c r="E218" s="62" t="s">
        <v>184</v>
      </c>
      <c r="F218" s="62" t="s">
        <v>2213</v>
      </c>
      <c r="G218" s="62" t="s">
        <v>1008</v>
      </c>
      <c r="H218" s="62" t="s">
        <v>1009</v>
      </c>
      <c r="I218" s="62" t="s">
        <v>1010</v>
      </c>
      <c r="J218" s="62" t="s">
        <v>2189</v>
      </c>
      <c r="K218" s="62"/>
      <c r="L218" s="61">
        <v>35</v>
      </c>
      <c r="M218" s="61">
        <v>52</v>
      </c>
      <c r="N218" s="61">
        <v>20</v>
      </c>
      <c r="O218" s="62" t="s">
        <v>1933</v>
      </c>
      <c r="P218" s="62" t="s">
        <v>68</v>
      </c>
      <c r="Q218" s="62" t="s">
        <v>2167</v>
      </c>
      <c r="R218" s="62" t="s">
        <v>2167</v>
      </c>
      <c r="S218" s="62" t="s">
        <v>69</v>
      </c>
      <c r="T218" s="61">
        <v>22657</v>
      </c>
      <c r="U218" s="61">
        <v>18106</v>
      </c>
      <c r="V218" s="61"/>
      <c r="W218" s="61">
        <v>8497</v>
      </c>
      <c r="X218" s="61">
        <v>6305</v>
      </c>
      <c r="Y218" s="61">
        <v>7550</v>
      </c>
      <c r="Z218" s="61">
        <v>5910</v>
      </c>
      <c r="AA218" s="61">
        <v>4392</v>
      </c>
      <c r="AB218" s="61">
        <v>3434</v>
      </c>
      <c r="AC218" s="61">
        <v>1764</v>
      </c>
      <c r="AD218" s="61">
        <v>943</v>
      </c>
      <c r="AE218" s="61">
        <v>703</v>
      </c>
      <c r="AF218" s="61">
        <v>1265</v>
      </c>
      <c r="AG218" s="61"/>
      <c r="AH218" s="61">
        <v>1522</v>
      </c>
      <c r="AI218" s="61">
        <v>2296</v>
      </c>
      <c r="AJ218" s="61">
        <v>29293</v>
      </c>
      <c r="AK218" s="61">
        <v>21</v>
      </c>
      <c r="AL218" s="61">
        <v>737</v>
      </c>
      <c r="AM218" s="61">
        <v>45</v>
      </c>
      <c r="AN218" s="61">
        <v>6849</v>
      </c>
      <c r="AO218" s="61">
        <v>735</v>
      </c>
      <c r="AP218" s="61">
        <v>476</v>
      </c>
      <c r="AQ218" s="61">
        <v>58</v>
      </c>
      <c r="AR218" s="61">
        <v>109</v>
      </c>
      <c r="AS218" s="61">
        <v>1</v>
      </c>
      <c r="AT218" s="61">
        <v>3</v>
      </c>
      <c r="AU218" s="61"/>
      <c r="AV218" s="61">
        <v>424</v>
      </c>
      <c r="AW218" s="61">
        <v>197</v>
      </c>
      <c r="AX218" s="61">
        <v>2</v>
      </c>
      <c r="AY218" s="61">
        <v>38719</v>
      </c>
      <c r="AZ218" s="61">
        <v>37</v>
      </c>
      <c r="BA218" s="61"/>
      <c r="BB218" s="61"/>
      <c r="BC218" s="61"/>
      <c r="BD218" s="61">
        <v>26475</v>
      </c>
      <c r="BE218" s="61">
        <v>3096</v>
      </c>
      <c r="BF218" s="61">
        <v>1127</v>
      </c>
      <c r="BG218" s="61">
        <v>6506</v>
      </c>
      <c r="BH218" s="61">
        <v>3559</v>
      </c>
      <c r="BI218" s="61"/>
      <c r="BJ218" s="61">
        <v>40763</v>
      </c>
      <c r="BK218" s="61">
        <v>335</v>
      </c>
      <c r="BL218" s="61">
        <v>30932</v>
      </c>
      <c r="BM218" s="61">
        <v>9496</v>
      </c>
      <c r="BN218" s="61">
        <v>3151</v>
      </c>
      <c r="BO218" s="61">
        <v>2539</v>
      </c>
      <c r="BP218" s="61"/>
      <c r="BQ218" s="61">
        <v>206</v>
      </c>
      <c r="BR218" s="61">
        <v>515</v>
      </c>
      <c r="BS218" s="61">
        <v>623</v>
      </c>
      <c r="BT218" s="61">
        <v>918</v>
      </c>
      <c r="BU218" s="61">
        <v>1055</v>
      </c>
      <c r="BV218" s="61">
        <v>899</v>
      </c>
      <c r="BW218" s="61">
        <v>671</v>
      </c>
      <c r="BX218" s="61">
        <v>793</v>
      </c>
      <c r="BY218" s="61"/>
      <c r="BZ218" s="61">
        <v>10</v>
      </c>
      <c r="CA218" s="61"/>
      <c r="CB218" s="61">
        <v>365</v>
      </c>
      <c r="CC218" s="61">
        <v>335</v>
      </c>
      <c r="CD218" s="61">
        <v>3173</v>
      </c>
      <c r="CE218" s="61">
        <v>119</v>
      </c>
      <c r="CF218" s="61">
        <v>7</v>
      </c>
      <c r="CG218" s="61">
        <v>1686</v>
      </c>
      <c r="CH218" s="61">
        <v>5</v>
      </c>
      <c r="CI218" s="61">
        <v>209</v>
      </c>
      <c r="CJ218" s="61">
        <v>469</v>
      </c>
      <c r="CK218" s="61">
        <v>85</v>
      </c>
      <c r="CL218" s="61">
        <v>408</v>
      </c>
      <c r="CM218" s="61">
        <v>39</v>
      </c>
      <c r="CN218" s="61"/>
      <c r="CO218" s="61">
        <v>65</v>
      </c>
      <c r="CP218" s="61">
        <v>3870</v>
      </c>
      <c r="CQ218" s="61">
        <v>340</v>
      </c>
      <c r="CR218" s="61">
        <v>61</v>
      </c>
      <c r="CS218" s="61">
        <v>68</v>
      </c>
      <c r="CT218" s="61">
        <v>75</v>
      </c>
      <c r="CU218" s="61"/>
      <c r="CV218" s="61">
        <v>1</v>
      </c>
      <c r="CW218" s="61"/>
      <c r="CX218" s="61">
        <v>2461</v>
      </c>
      <c r="CY218" s="61">
        <v>2012</v>
      </c>
      <c r="CZ218" s="61">
        <v>66</v>
      </c>
      <c r="DA218" s="61">
        <v>1111</v>
      </c>
      <c r="DB218" s="61">
        <v>37</v>
      </c>
      <c r="DC218" s="61">
        <v>3</v>
      </c>
      <c r="DD218" s="61">
        <v>5690</v>
      </c>
      <c r="DE218" s="61">
        <v>175</v>
      </c>
      <c r="DF218" s="61">
        <v>4220</v>
      </c>
      <c r="DG218" s="61">
        <v>1295</v>
      </c>
      <c r="DH218" s="62" t="s">
        <v>2185</v>
      </c>
      <c r="DI218" s="61">
        <v>126</v>
      </c>
      <c r="DJ218" s="61">
        <v>15</v>
      </c>
      <c r="DK218" s="61"/>
      <c r="DL218" s="61">
        <v>2</v>
      </c>
      <c r="DM218" s="61"/>
      <c r="DN218" s="61"/>
    </row>
    <row r="219" spans="1:118" x14ac:dyDescent="0.25">
      <c r="A219" s="61">
        <v>106361166</v>
      </c>
      <c r="B219" s="62" t="s">
        <v>1011</v>
      </c>
      <c r="C219" s="62" t="s">
        <v>1012</v>
      </c>
      <c r="D219" s="62" t="s">
        <v>1002</v>
      </c>
      <c r="E219" s="62" t="s">
        <v>71</v>
      </c>
      <c r="F219" s="62" t="s">
        <v>2213</v>
      </c>
      <c r="G219" s="62" t="s">
        <v>1013</v>
      </c>
      <c r="H219" s="62" t="s">
        <v>1014</v>
      </c>
      <c r="I219" s="62" t="s">
        <v>1015</v>
      </c>
      <c r="J219" s="62" t="s">
        <v>2189</v>
      </c>
      <c r="K219" s="62"/>
      <c r="L219" s="61">
        <v>35</v>
      </c>
      <c r="M219" s="61">
        <v>52</v>
      </c>
      <c r="N219" s="61">
        <v>20</v>
      </c>
      <c r="O219" s="62" t="s">
        <v>1934</v>
      </c>
      <c r="P219" s="62" t="s">
        <v>68</v>
      </c>
      <c r="Q219" s="62" t="s">
        <v>2167</v>
      </c>
      <c r="R219" s="62" t="s">
        <v>2167</v>
      </c>
      <c r="S219" s="62" t="s">
        <v>69</v>
      </c>
      <c r="T219" s="61">
        <v>11139</v>
      </c>
      <c r="U219" s="61">
        <v>9098</v>
      </c>
      <c r="V219" s="61"/>
      <c r="W219" s="61">
        <v>3639</v>
      </c>
      <c r="X219" s="61">
        <v>2914</v>
      </c>
      <c r="Y219" s="61">
        <v>3961</v>
      </c>
      <c r="Z219" s="61">
        <v>3134</v>
      </c>
      <c r="AA219" s="61">
        <v>2297</v>
      </c>
      <c r="AB219" s="61">
        <v>1968</v>
      </c>
      <c r="AC219" s="61">
        <v>885</v>
      </c>
      <c r="AD219" s="61">
        <v>414</v>
      </c>
      <c r="AE219" s="61">
        <v>300</v>
      </c>
      <c r="AF219" s="61">
        <v>725</v>
      </c>
      <c r="AG219" s="61"/>
      <c r="AH219" s="61">
        <v>459</v>
      </c>
      <c r="AI219" s="61">
        <v>1944</v>
      </c>
      <c r="AJ219" s="61">
        <v>14464</v>
      </c>
      <c r="AK219" s="61">
        <v>9</v>
      </c>
      <c r="AL219" s="61">
        <v>131</v>
      </c>
      <c r="AM219" s="61">
        <v>36</v>
      </c>
      <c r="AN219" s="61">
        <v>3194</v>
      </c>
      <c r="AO219" s="61">
        <v>280</v>
      </c>
      <c r="AP219" s="61">
        <v>219</v>
      </c>
      <c r="AQ219" s="61">
        <v>58</v>
      </c>
      <c r="AR219" s="61">
        <v>1</v>
      </c>
      <c r="AS219" s="61">
        <v>2</v>
      </c>
      <c r="AT219" s="61"/>
      <c r="AU219" s="61"/>
      <c r="AV219" s="61">
        <v>194</v>
      </c>
      <c r="AW219" s="61">
        <v>79</v>
      </c>
      <c r="AX219" s="61">
        <v>5</v>
      </c>
      <c r="AY219" s="61">
        <v>19308</v>
      </c>
      <c r="AZ219" s="61">
        <v>85</v>
      </c>
      <c r="BA219" s="61">
        <v>6</v>
      </c>
      <c r="BB219" s="61"/>
      <c r="BC219" s="61"/>
      <c r="BD219" s="61">
        <v>4343</v>
      </c>
      <c r="BE219" s="61">
        <v>1489</v>
      </c>
      <c r="BF219" s="61">
        <v>172</v>
      </c>
      <c r="BG219" s="61">
        <v>12595</v>
      </c>
      <c r="BH219" s="61">
        <v>1638</v>
      </c>
      <c r="BI219" s="61"/>
      <c r="BJ219" s="61">
        <v>20237</v>
      </c>
      <c r="BK219" s="61">
        <v>66</v>
      </c>
      <c r="BL219" s="61">
        <v>15968</v>
      </c>
      <c r="BM219" s="61">
        <v>4203</v>
      </c>
      <c r="BN219" s="61">
        <v>1229</v>
      </c>
      <c r="BO219" s="61">
        <v>997</v>
      </c>
      <c r="BP219" s="61"/>
      <c r="BQ219" s="61">
        <v>58</v>
      </c>
      <c r="BR219" s="61">
        <v>178</v>
      </c>
      <c r="BS219" s="61">
        <v>226</v>
      </c>
      <c r="BT219" s="61">
        <v>289</v>
      </c>
      <c r="BU219" s="61">
        <v>418</v>
      </c>
      <c r="BV219" s="61">
        <v>412</v>
      </c>
      <c r="BW219" s="61">
        <v>289</v>
      </c>
      <c r="BX219" s="61">
        <v>308</v>
      </c>
      <c r="BY219" s="61">
        <v>6</v>
      </c>
      <c r="BZ219" s="61">
        <v>42</v>
      </c>
      <c r="CA219" s="61"/>
      <c r="CB219" s="61">
        <v>129</v>
      </c>
      <c r="CC219" s="61">
        <v>237</v>
      </c>
      <c r="CD219" s="61">
        <v>1161</v>
      </c>
      <c r="CE219" s="61">
        <v>35</v>
      </c>
      <c r="CF219" s="61">
        <v>5</v>
      </c>
      <c r="CG219" s="61">
        <v>657</v>
      </c>
      <c r="CH219" s="61">
        <v>2</v>
      </c>
      <c r="CI219" s="61">
        <v>174</v>
      </c>
      <c r="CJ219" s="61">
        <v>120</v>
      </c>
      <c r="CK219" s="61">
        <v>68</v>
      </c>
      <c r="CL219" s="61">
        <v>159</v>
      </c>
      <c r="CM219" s="61">
        <v>5</v>
      </c>
      <c r="CN219" s="61"/>
      <c r="CO219" s="61">
        <v>49</v>
      </c>
      <c r="CP219" s="61">
        <v>1226</v>
      </c>
      <c r="CQ219" s="61">
        <v>389</v>
      </c>
      <c r="CR219" s="61">
        <v>2</v>
      </c>
      <c r="CS219" s="61">
        <v>17</v>
      </c>
      <c r="CT219" s="61">
        <v>15</v>
      </c>
      <c r="CU219" s="61">
        <v>2</v>
      </c>
      <c r="CV219" s="61"/>
      <c r="CW219" s="61"/>
      <c r="CX219" s="61">
        <v>1137</v>
      </c>
      <c r="CY219" s="61">
        <v>861</v>
      </c>
      <c r="CZ219" s="61">
        <v>18</v>
      </c>
      <c r="DA219" s="61">
        <v>163</v>
      </c>
      <c r="DB219" s="61">
        <v>47</v>
      </c>
      <c r="DC219" s="61"/>
      <c r="DD219" s="61">
        <v>2226</v>
      </c>
      <c r="DE219" s="61">
        <v>33</v>
      </c>
      <c r="DF219" s="61">
        <v>1770</v>
      </c>
      <c r="DG219" s="61">
        <v>423</v>
      </c>
      <c r="DH219" s="62" t="s">
        <v>2185</v>
      </c>
      <c r="DI219" s="61">
        <v>102</v>
      </c>
      <c r="DJ219" s="61">
        <v>8</v>
      </c>
      <c r="DK219" s="61"/>
      <c r="DL219" s="61"/>
      <c r="DM219" s="61"/>
      <c r="DN219" s="61"/>
    </row>
    <row r="220" spans="1:118" x14ac:dyDescent="0.25">
      <c r="A220" s="61">
        <v>106361223</v>
      </c>
      <c r="B220" s="62" t="s">
        <v>1016</v>
      </c>
      <c r="C220" s="62" t="s">
        <v>2085</v>
      </c>
      <c r="D220" s="62" t="s">
        <v>1002</v>
      </c>
      <c r="E220" s="62" t="s">
        <v>71</v>
      </c>
      <c r="F220" s="62" t="s">
        <v>2213</v>
      </c>
      <c r="G220" s="62" t="s">
        <v>1017</v>
      </c>
      <c r="H220" s="62" t="s">
        <v>1018</v>
      </c>
      <c r="I220" s="62" t="s">
        <v>1019</v>
      </c>
      <c r="J220" s="62" t="s">
        <v>2186</v>
      </c>
      <c r="K220" s="62"/>
      <c r="L220" s="61">
        <v>35</v>
      </c>
      <c r="M220" s="61">
        <v>47</v>
      </c>
      <c r="N220" s="61">
        <v>20</v>
      </c>
      <c r="O220" s="62" t="s">
        <v>1935</v>
      </c>
      <c r="P220" s="62" t="s">
        <v>68</v>
      </c>
      <c r="Q220" s="62" t="s">
        <v>2167</v>
      </c>
      <c r="R220" s="62" t="s">
        <v>2167</v>
      </c>
      <c r="S220" s="62" t="s">
        <v>69</v>
      </c>
      <c r="T220" s="61">
        <v>72394</v>
      </c>
      <c r="U220" s="61">
        <v>55360</v>
      </c>
      <c r="V220" s="61">
        <v>2</v>
      </c>
      <c r="W220" s="61">
        <v>16966</v>
      </c>
      <c r="X220" s="61">
        <v>13853</v>
      </c>
      <c r="Y220" s="61">
        <v>19849</v>
      </c>
      <c r="Z220" s="61">
        <v>16115</v>
      </c>
      <c r="AA220" s="61">
        <v>14632</v>
      </c>
      <c r="AB220" s="61">
        <v>14931</v>
      </c>
      <c r="AC220" s="61">
        <v>11993</v>
      </c>
      <c r="AD220" s="61">
        <v>8520</v>
      </c>
      <c r="AE220" s="61">
        <v>7049</v>
      </c>
      <c r="AF220" s="61">
        <v>3845</v>
      </c>
      <c r="AG220" s="61">
        <v>3</v>
      </c>
      <c r="AH220" s="61">
        <v>5267</v>
      </c>
      <c r="AI220" s="61">
        <v>17415</v>
      </c>
      <c r="AJ220" s="61">
        <v>65248</v>
      </c>
      <c r="AK220" s="61">
        <v>358</v>
      </c>
      <c r="AL220" s="61">
        <v>1133</v>
      </c>
      <c r="AM220" s="61">
        <v>3133</v>
      </c>
      <c r="AN220" s="61">
        <v>35202</v>
      </c>
      <c r="AO220" s="61">
        <v>157</v>
      </c>
      <c r="AP220" s="61">
        <v>921</v>
      </c>
      <c r="AQ220" s="61">
        <v>180</v>
      </c>
      <c r="AR220" s="61">
        <v>782</v>
      </c>
      <c r="AS220" s="61">
        <v>122</v>
      </c>
      <c r="AT220" s="61">
        <v>61</v>
      </c>
      <c r="AU220" s="61"/>
      <c r="AV220" s="61">
        <v>56</v>
      </c>
      <c r="AW220" s="61">
        <v>807</v>
      </c>
      <c r="AX220" s="61">
        <v>3</v>
      </c>
      <c r="AY220" s="61">
        <v>124242</v>
      </c>
      <c r="AZ220" s="61">
        <v>212</v>
      </c>
      <c r="BA220" s="61"/>
      <c r="BB220" s="61">
        <v>14</v>
      </c>
      <c r="BC220" s="61">
        <v>182</v>
      </c>
      <c r="BD220" s="61">
        <v>33614</v>
      </c>
      <c r="BE220" s="61">
        <v>22674</v>
      </c>
      <c r="BF220" s="61">
        <v>538</v>
      </c>
      <c r="BG220" s="61">
        <v>53609</v>
      </c>
      <c r="BH220" s="61">
        <v>17307</v>
      </c>
      <c r="BI220" s="61">
        <v>14</v>
      </c>
      <c r="BJ220" s="61">
        <v>127756</v>
      </c>
      <c r="BK220" s="61">
        <v>1055</v>
      </c>
      <c r="BL220" s="61">
        <v>112837</v>
      </c>
      <c r="BM220" s="61">
        <v>13864</v>
      </c>
      <c r="BN220" s="61">
        <v>7171</v>
      </c>
      <c r="BO220" s="61">
        <v>7063</v>
      </c>
      <c r="BP220" s="61">
        <v>1</v>
      </c>
      <c r="BQ220" s="61">
        <v>374</v>
      </c>
      <c r="BR220" s="61">
        <v>809</v>
      </c>
      <c r="BS220" s="61">
        <v>919</v>
      </c>
      <c r="BT220" s="61">
        <v>1329</v>
      </c>
      <c r="BU220" s="61">
        <v>2219</v>
      </c>
      <c r="BV220" s="61">
        <v>2802</v>
      </c>
      <c r="BW220" s="61">
        <v>2728</v>
      </c>
      <c r="BX220" s="61">
        <v>2545</v>
      </c>
      <c r="BY220" s="61">
        <v>146</v>
      </c>
      <c r="BZ220" s="61">
        <v>364</v>
      </c>
      <c r="CA220" s="61"/>
      <c r="CB220" s="61">
        <v>688</v>
      </c>
      <c r="CC220" s="61">
        <v>1968</v>
      </c>
      <c r="CD220" s="61">
        <v>5005</v>
      </c>
      <c r="CE220" s="61">
        <v>55</v>
      </c>
      <c r="CF220" s="61">
        <v>99</v>
      </c>
      <c r="CG220" s="61">
        <v>6375</v>
      </c>
      <c r="CH220" s="61">
        <v>45</v>
      </c>
      <c r="CI220" s="61">
        <v>262</v>
      </c>
      <c r="CJ220" s="61">
        <v>145</v>
      </c>
      <c r="CK220" s="61">
        <v>538</v>
      </c>
      <c r="CL220" s="61">
        <v>2660</v>
      </c>
      <c r="CM220" s="61">
        <v>29</v>
      </c>
      <c r="CN220" s="61"/>
      <c r="CO220" s="61">
        <v>20</v>
      </c>
      <c r="CP220" s="61">
        <v>8813</v>
      </c>
      <c r="CQ220" s="61">
        <v>1355</v>
      </c>
      <c r="CR220" s="61">
        <v>7</v>
      </c>
      <c r="CS220" s="61">
        <v>339</v>
      </c>
      <c r="CT220" s="61">
        <v>46</v>
      </c>
      <c r="CU220" s="61">
        <v>2</v>
      </c>
      <c r="CV220" s="61">
        <v>1</v>
      </c>
      <c r="CW220" s="61">
        <v>15</v>
      </c>
      <c r="CX220" s="61">
        <v>1716</v>
      </c>
      <c r="CY220" s="61">
        <v>7028</v>
      </c>
      <c r="CZ220" s="61">
        <v>63</v>
      </c>
      <c r="DA220" s="61">
        <v>5062</v>
      </c>
      <c r="DB220" s="61">
        <v>366</v>
      </c>
      <c r="DC220" s="61"/>
      <c r="DD220" s="61">
        <v>14235</v>
      </c>
      <c r="DE220" s="61">
        <v>178</v>
      </c>
      <c r="DF220" s="61">
        <v>12611</v>
      </c>
      <c r="DG220" s="61">
        <v>1446</v>
      </c>
      <c r="DH220" s="62" t="s">
        <v>2185</v>
      </c>
      <c r="DI220" s="61">
        <v>440</v>
      </c>
      <c r="DJ220" s="61">
        <v>52</v>
      </c>
      <c r="DK220" s="61">
        <v>17</v>
      </c>
      <c r="DL220" s="61"/>
      <c r="DM220" s="61">
        <v>2</v>
      </c>
      <c r="DN220" s="61">
        <v>1</v>
      </c>
    </row>
    <row r="221" spans="1:118" x14ac:dyDescent="0.25">
      <c r="A221" s="61">
        <v>106361246</v>
      </c>
      <c r="B221" s="62" t="s">
        <v>1020</v>
      </c>
      <c r="C221" s="62" t="s">
        <v>1021</v>
      </c>
      <c r="D221" s="62" t="s">
        <v>1002</v>
      </c>
      <c r="E221" s="62" t="s">
        <v>71</v>
      </c>
      <c r="F221" s="62" t="s">
        <v>2213</v>
      </c>
      <c r="G221" s="62" t="s">
        <v>1022</v>
      </c>
      <c r="H221" s="62" t="s">
        <v>1023</v>
      </c>
      <c r="I221" s="62" t="s">
        <v>1024</v>
      </c>
      <c r="J221" s="62" t="s">
        <v>2186</v>
      </c>
      <c r="K221" s="62" t="s">
        <v>609</v>
      </c>
      <c r="L221" s="61">
        <v>31</v>
      </c>
      <c r="M221" s="61">
        <v>40</v>
      </c>
      <c r="N221" s="61">
        <v>23</v>
      </c>
      <c r="O221" s="62" t="s">
        <v>1936</v>
      </c>
      <c r="P221" s="62" t="s">
        <v>68</v>
      </c>
      <c r="Q221" s="62" t="s">
        <v>2167</v>
      </c>
      <c r="R221" s="62" t="s">
        <v>83</v>
      </c>
      <c r="S221" s="62" t="s">
        <v>69</v>
      </c>
      <c r="T221" s="61">
        <v>28425</v>
      </c>
      <c r="U221" s="61">
        <v>25910</v>
      </c>
      <c r="V221" s="61">
        <v>2</v>
      </c>
      <c r="W221" s="61">
        <v>14143</v>
      </c>
      <c r="X221" s="61">
        <v>8705</v>
      </c>
      <c r="Y221" s="61">
        <v>6411</v>
      </c>
      <c r="Z221" s="61">
        <v>5317</v>
      </c>
      <c r="AA221" s="61">
        <v>4104</v>
      </c>
      <c r="AB221" s="61">
        <v>4483</v>
      </c>
      <c r="AC221" s="61">
        <v>3129</v>
      </c>
      <c r="AD221" s="61">
        <v>1884</v>
      </c>
      <c r="AE221" s="61">
        <v>1390</v>
      </c>
      <c r="AF221" s="61">
        <v>4771</v>
      </c>
      <c r="AG221" s="61"/>
      <c r="AH221" s="61">
        <v>1828</v>
      </c>
      <c r="AI221" s="61">
        <v>6382</v>
      </c>
      <c r="AJ221" s="61">
        <v>27475</v>
      </c>
      <c r="AK221" s="61">
        <v>133</v>
      </c>
      <c r="AL221" s="61">
        <v>38</v>
      </c>
      <c r="AM221" s="61">
        <v>15</v>
      </c>
      <c r="AN221" s="61">
        <v>18466</v>
      </c>
      <c r="AO221" s="61">
        <v>343</v>
      </c>
      <c r="AP221" s="61"/>
      <c r="AQ221" s="61">
        <v>124</v>
      </c>
      <c r="AR221" s="61">
        <v>26</v>
      </c>
      <c r="AS221" s="61">
        <v>10</v>
      </c>
      <c r="AT221" s="61">
        <v>21</v>
      </c>
      <c r="AU221" s="61"/>
      <c r="AV221" s="61">
        <v>28</v>
      </c>
      <c r="AW221" s="61">
        <v>786</v>
      </c>
      <c r="AX221" s="61">
        <v>13</v>
      </c>
      <c r="AY221" s="61">
        <v>47051</v>
      </c>
      <c r="AZ221" s="61">
        <v>251</v>
      </c>
      <c r="BA221" s="61">
        <v>5574</v>
      </c>
      <c r="BB221" s="61">
        <v>1</v>
      </c>
      <c r="BC221" s="61">
        <v>59</v>
      </c>
      <c r="BD221" s="61">
        <v>30788</v>
      </c>
      <c r="BE221" s="61">
        <v>9164</v>
      </c>
      <c r="BF221" s="61">
        <v>1306</v>
      </c>
      <c r="BG221" s="61">
        <v>8420</v>
      </c>
      <c r="BH221" s="61">
        <v>4659</v>
      </c>
      <c r="BI221" s="61"/>
      <c r="BJ221" s="61">
        <v>54337</v>
      </c>
      <c r="BK221" s="61">
        <v>498</v>
      </c>
      <c r="BL221" s="61">
        <v>48025</v>
      </c>
      <c r="BM221" s="61">
        <v>5814</v>
      </c>
      <c r="BN221" s="61">
        <v>6129</v>
      </c>
      <c r="BO221" s="61">
        <v>5718</v>
      </c>
      <c r="BP221" s="61"/>
      <c r="BQ221" s="61">
        <v>241</v>
      </c>
      <c r="BR221" s="61">
        <v>1377</v>
      </c>
      <c r="BS221" s="61">
        <v>1194</v>
      </c>
      <c r="BT221" s="61">
        <v>1372</v>
      </c>
      <c r="BU221" s="61">
        <v>2256</v>
      </c>
      <c r="BV221" s="61">
        <v>2145</v>
      </c>
      <c r="BW221" s="61">
        <v>1678</v>
      </c>
      <c r="BX221" s="61">
        <v>1584</v>
      </c>
      <c r="BY221" s="61"/>
      <c r="BZ221" s="61"/>
      <c r="CA221" s="61"/>
      <c r="CB221" s="61">
        <v>497</v>
      </c>
      <c r="CC221" s="61">
        <v>1590</v>
      </c>
      <c r="CD221" s="61">
        <v>4182</v>
      </c>
      <c r="CE221" s="61">
        <v>57</v>
      </c>
      <c r="CF221" s="61">
        <v>32</v>
      </c>
      <c r="CG221" s="61">
        <v>5388</v>
      </c>
      <c r="CH221" s="61">
        <v>101</v>
      </c>
      <c r="CI221" s="61">
        <v>211</v>
      </c>
      <c r="CJ221" s="61">
        <v>168</v>
      </c>
      <c r="CK221" s="61">
        <v>480</v>
      </c>
      <c r="CL221" s="61">
        <v>924</v>
      </c>
      <c r="CM221" s="61">
        <v>425</v>
      </c>
      <c r="CN221" s="61"/>
      <c r="CO221" s="61">
        <v>5</v>
      </c>
      <c r="CP221" s="61">
        <v>7937</v>
      </c>
      <c r="CQ221" s="61">
        <v>1354</v>
      </c>
      <c r="CR221" s="61">
        <v>11</v>
      </c>
      <c r="CS221" s="61">
        <v>278</v>
      </c>
      <c r="CT221" s="61">
        <v>47</v>
      </c>
      <c r="CU221" s="61">
        <v>6</v>
      </c>
      <c r="CV221" s="61"/>
      <c r="CW221" s="61">
        <v>1</v>
      </c>
      <c r="CX221" s="61">
        <v>4216</v>
      </c>
      <c r="CY221" s="61">
        <v>5245</v>
      </c>
      <c r="CZ221" s="61">
        <v>236</v>
      </c>
      <c r="DA221" s="61">
        <v>2000</v>
      </c>
      <c r="DB221" s="61">
        <v>150</v>
      </c>
      <c r="DC221" s="61"/>
      <c r="DD221" s="61">
        <v>11847</v>
      </c>
      <c r="DE221" s="61">
        <v>263</v>
      </c>
      <c r="DF221" s="61">
        <v>10313</v>
      </c>
      <c r="DG221" s="61">
        <v>1271</v>
      </c>
      <c r="DH221" s="62" t="s">
        <v>2185</v>
      </c>
      <c r="DI221" s="61">
        <v>371</v>
      </c>
      <c r="DJ221" s="61">
        <v>77</v>
      </c>
      <c r="DK221" s="61"/>
      <c r="DL221" s="61">
        <v>50</v>
      </c>
      <c r="DM221" s="61"/>
      <c r="DN221" s="61"/>
    </row>
    <row r="222" spans="1:118" x14ac:dyDescent="0.25">
      <c r="A222" s="61">
        <v>106361266</v>
      </c>
      <c r="B222" s="62" t="s">
        <v>1025</v>
      </c>
      <c r="C222" s="62" t="s">
        <v>1026</v>
      </c>
      <c r="D222" s="62" t="s">
        <v>1002</v>
      </c>
      <c r="E222" s="62" t="s">
        <v>94</v>
      </c>
      <c r="F222" s="62" t="s">
        <v>2213</v>
      </c>
      <c r="G222" s="62" t="s">
        <v>1027</v>
      </c>
      <c r="H222" s="62" t="s">
        <v>1028</v>
      </c>
      <c r="I222" s="62" t="s">
        <v>1029</v>
      </c>
      <c r="J222" s="62" t="s">
        <v>2190</v>
      </c>
      <c r="K222" s="62"/>
      <c r="L222" s="61">
        <v>8</v>
      </c>
      <c r="M222" s="61">
        <v>33</v>
      </c>
      <c r="N222" s="61">
        <v>23</v>
      </c>
      <c r="O222" s="62" t="s">
        <v>1937</v>
      </c>
      <c r="P222" s="62" t="s">
        <v>120</v>
      </c>
      <c r="Q222" s="62" t="s">
        <v>120</v>
      </c>
      <c r="R222" s="62" t="s">
        <v>2167</v>
      </c>
      <c r="S222" s="62" t="s">
        <v>127</v>
      </c>
      <c r="T222" s="61">
        <v>5280</v>
      </c>
      <c r="U222" s="61">
        <v>4515</v>
      </c>
      <c r="V222" s="61">
        <v>1</v>
      </c>
      <c r="W222" s="61">
        <v>1116</v>
      </c>
      <c r="X222" s="61">
        <v>1207</v>
      </c>
      <c r="Y222" s="61">
        <v>1589</v>
      </c>
      <c r="Z222" s="61">
        <v>1274</v>
      </c>
      <c r="AA222" s="61">
        <v>964</v>
      </c>
      <c r="AB222" s="61">
        <v>1480</v>
      </c>
      <c r="AC222" s="61">
        <v>1118</v>
      </c>
      <c r="AD222" s="61">
        <v>558</v>
      </c>
      <c r="AE222" s="61">
        <v>342</v>
      </c>
      <c r="AF222" s="61">
        <v>148</v>
      </c>
      <c r="AG222" s="61"/>
      <c r="AH222" s="61">
        <v>64</v>
      </c>
      <c r="AI222" s="61">
        <v>141</v>
      </c>
      <c r="AJ222" s="61">
        <v>1958</v>
      </c>
      <c r="AK222" s="61">
        <v>67</v>
      </c>
      <c r="AL222" s="61">
        <v>180</v>
      </c>
      <c r="AM222" s="61">
        <v>98</v>
      </c>
      <c r="AN222" s="61">
        <v>7288</v>
      </c>
      <c r="AO222" s="61">
        <v>652</v>
      </c>
      <c r="AP222" s="61">
        <v>173</v>
      </c>
      <c r="AQ222" s="61">
        <v>10</v>
      </c>
      <c r="AR222" s="61"/>
      <c r="AS222" s="61"/>
      <c r="AT222" s="61"/>
      <c r="AU222" s="61"/>
      <c r="AV222" s="61">
        <v>7</v>
      </c>
      <c r="AW222" s="61"/>
      <c r="AX222" s="61">
        <v>2</v>
      </c>
      <c r="AY222" s="61">
        <v>8913</v>
      </c>
      <c r="AZ222" s="61"/>
      <c r="BA222" s="61"/>
      <c r="BB222" s="61"/>
      <c r="BC222" s="61">
        <v>35</v>
      </c>
      <c r="BD222" s="61">
        <v>5122</v>
      </c>
      <c r="BE222" s="61">
        <v>1614</v>
      </c>
      <c r="BF222" s="61">
        <v>212</v>
      </c>
      <c r="BG222" s="61">
        <v>2494</v>
      </c>
      <c r="BH222" s="61">
        <v>347</v>
      </c>
      <c r="BI222" s="61">
        <v>7</v>
      </c>
      <c r="BJ222" s="61">
        <v>9796</v>
      </c>
      <c r="BK222" s="61">
        <v>21</v>
      </c>
      <c r="BL222" s="61">
        <v>9503</v>
      </c>
      <c r="BM222" s="61">
        <v>272</v>
      </c>
      <c r="BN222" s="61">
        <v>57</v>
      </c>
      <c r="BO222" s="61">
        <v>47</v>
      </c>
      <c r="BP222" s="61"/>
      <c r="BQ222" s="61">
        <v>1</v>
      </c>
      <c r="BR222" s="61">
        <v>10</v>
      </c>
      <c r="BS222" s="61">
        <v>12</v>
      </c>
      <c r="BT222" s="61">
        <v>10</v>
      </c>
      <c r="BU222" s="61">
        <v>26</v>
      </c>
      <c r="BV222" s="61">
        <v>15</v>
      </c>
      <c r="BW222" s="61">
        <v>16</v>
      </c>
      <c r="BX222" s="61">
        <v>13</v>
      </c>
      <c r="BY222" s="61"/>
      <c r="BZ222" s="61">
        <v>1</v>
      </c>
      <c r="CA222" s="61"/>
      <c r="CB222" s="61">
        <v>1</v>
      </c>
      <c r="CC222" s="61"/>
      <c r="CD222" s="61">
        <v>13</v>
      </c>
      <c r="CE222" s="61">
        <v>3</v>
      </c>
      <c r="CF222" s="61"/>
      <c r="CG222" s="61">
        <v>87</v>
      </c>
      <c r="CH222" s="61"/>
      <c r="CI222" s="61">
        <v>2</v>
      </c>
      <c r="CJ222" s="61">
        <v>3</v>
      </c>
      <c r="CK222" s="61"/>
      <c r="CL222" s="61"/>
      <c r="CM222" s="61">
        <v>1</v>
      </c>
      <c r="CN222" s="61"/>
      <c r="CO222" s="61">
        <v>4</v>
      </c>
      <c r="CP222" s="61">
        <v>92</v>
      </c>
      <c r="CQ222" s="61">
        <v>2</v>
      </c>
      <c r="CR222" s="61"/>
      <c r="CS222" s="61"/>
      <c r="CT222" s="61"/>
      <c r="CU222" s="61"/>
      <c r="CV222" s="61"/>
      <c r="CW222" s="61"/>
      <c r="CX222" s="61">
        <v>30</v>
      </c>
      <c r="CY222" s="61">
        <v>40</v>
      </c>
      <c r="CZ222" s="61"/>
      <c r="DA222" s="61">
        <v>27</v>
      </c>
      <c r="DB222" s="61">
        <v>6</v>
      </c>
      <c r="DC222" s="61">
        <v>1</v>
      </c>
      <c r="DD222" s="61">
        <v>104</v>
      </c>
      <c r="DE222" s="61"/>
      <c r="DF222" s="61">
        <v>100</v>
      </c>
      <c r="DG222" s="61">
        <v>4</v>
      </c>
      <c r="DH222" s="62" t="s">
        <v>2185</v>
      </c>
      <c r="DI222" s="61">
        <v>37</v>
      </c>
      <c r="DJ222" s="61">
        <v>6</v>
      </c>
      <c r="DK222" s="61">
        <v>4</v>
      </c>
      <c r="DL222" s="61"/>
      <c r="DM222" s="61"/>
      <c r="DN222" s="61"/>
    </row>
    <row r="223" spans="1:118" x14ac:dyDescent="0.25">
      <c r="A223" s="61">
        <v>106361308</v>
      </c>
      <c r="B223" s="62" t="s">
        <v>1030</v>
      </c>
      <c r="C223" s="62" t="s">
        <v>1031</v>
      </c>
      <c r="D223" s="62" t="s">
        <v>1002</v>
      </c>
      <c r="E223" s="62" t="s">
        <v>71</v>
      </c>
      <c r="F223" s="62" t="s">
        <v>2213</v>
      </c>
      <c r="G223" s="62" t="s">
        <v>1032</v>
      </c>
      <c r="H223" s="62" t="s">
        <v>1033</v>
      </c>
      <c r="I223" s="62" t="s">
        <v>1034</v>
      </c>
      <c r="J223" s="62" t="s">
        <v>2184</v>
      </c>
      <c r="K223" s="62"/>
      <c r="L223" s="61">
        <v>31</v>
      </c>
      <c r="M223" s="61">
        <v>40</v>
      </c>
      <c r="N223" s="61">
        <v>23</v>
      </c>
      <c r="O223" s="62" t="s">
        <v>1938</v>
      </c>
      <c r="P223" s="62" t="s">
        <v>68</v>
      </c>
      <c r="Q223" s="62" t="s">
        <v>2167</v>
      </c>
      <c r="R223" s="62" t="s">
        <v>2167</v>
      </c>
      <c r="S223" s="62" t="s">
        <v>69</v>
      </c>
      <c r="T223" s="61">
        <v>23146</v>
      </c>
      <c r="U223" s="61">
        <v>15986</v>
      </c>
      <c r="V223" s="61"/>
      <c r="W223" s="61">
        <v>3977</v>
      </c>
      <c r="X223" s="61">
        <v>4191</v>
      </c>
      <c r="Y223" s="61">
        <v>7517</v>
      </c>
      <c r="Z223" s="61">
        <v>5809</v>
      </c>
      <c r="AA223" s="61">
        <v>4525</v>
      </c>
      <c r="AB223" s="61">
        <v>4658</v>
      </c>
      <c r="AC223" s="61">
        <v>3060</v>
      </c>
      <c r="AD223" s="61">
        <v>2039</v>
      </c>
      <c r="AE223" s="61">
        <v>2297</v>
      </c>
      <c r="AF223" s="61">
        <v>1059</v>
      </c>
      <c r="AG223" s="61"/>
      <c r="AH223" s="61">
        <v>665</v>
      </c>
      <c r="AI223" s="61">
        <v>2601</v>
      </c>
      <c r="AJ223" s="61">
        <v>14731</v>
      </c>
      <c r="AK223" s="61">
        <v>47</v>
      </c>
      <c r="AL223" s="61">
        <v>1027</v>
      </c>
      <c r="AM223" s="61">
        <v>346</v>
      </c>
      <c r="AN223" s="61">
        <v>19715</v>
      </c>
      <c r="AO223" s="61">
        <v>605</v>
      </c>
      <c r="AP223" s="61">
        <v>1133</v>
      </c>
      <c r="AQ223" s="61">
        <v>60</v>
      </c>
      <c r="AR223" s="61">
        <v>13</v>
      </c>
      <c r="AS223" s="61">
        <v>3</v>
      </c>
      <c r="AT223" s="61"/>
      <c r="AU223" s="61"/>
      <c r="AV223" s="61"/>
      <c r="AW223" s="61">
        <v>92</v>
      </c>
      <c r="AX223" s="61">
        <v>2</v>
      </c>
      <c r="AY223" s="61">
        <v>36925</v>
      </c>
      <c r="AZ223" s="61">
        <v>95</v>
      </c>
      <c r="BA223" s="61">
        <v>2</v>
      </c>
      <c r="BB223" s="61"/>
      <c r="BC223" s="61">
        <v>172</v>
      </c>
      <c r="BD223" s="61">
        <v>19798</v>
      </c>
      <c r="BE223" s="61">
        <v>6278</v>
      </c>
      <c r="BF223" s="61">
        <v>320</v>
      </c>
      <c r="BG223" s="61">
        <v>10150</v>
      </c>
      <c r="BH223" s="61">
        <v>2586</v>
      </c>
      <c r="BI223" s="61"/>
      <c r="BJ223" s="61">
        <v>39132</v>
      </c>
      <c r="BK223" s="61">
        <v>91</v>
      </c>
      <c r="BL223" s="61">
        <v>38154</v>
      </c>
      <c r="BM223" s="61">
        <v>887</v>
      </c>
      <c r="BN223" s="61">
        <v>2891</v>
      </c>
      <c r="BO223" s="61">
        <v>2284</v>
      </c>
      <c r="BP223" s="61"/>
      <c r="BQ223" s="61">
        <v>56</v>
      </c>
      <c r="BR223" s="61">
        <v>369</v>
      </c>
      <c r="BS223" s="61">
        <v>414</v>
      </c>
      <c r="BT223" s="61">
        <v>508</v>
      </c>
      <c r="BU223" s="61">
        <v>736</v>
      </c>
      <c r="BV223" s="61">
        <v>927</v>
      </c>
      <c r="BW223" s="61">
        <v>907</v>
      </c>
      <c r="BX223" s="61">
        <v>1245</v>
      </c>
      <c r="BY223" s="61">
        <v>13</v>
      </c>
      <c r="BZ223" s="61"/>
      <c r="CA223" s="61"/>
      <c r="CB223" s="61">
        <v>103</v>
      </c>
      <c r="CC223" s="61">
        <v>275</v>
      </c>
      <c r="CD223" s="61">
        <v>1023</v>
      </c>
      <c r="CE223" s="61">
        <v>89</v>
      </c>
      <c r="CF223" s="61">
        <v>11</v>
      </c>
      <c r="CG223" s="61">
        <v>3671</v>
      </c>
      <c r="CH223" s="61">
        <v>3</v>
      </c>
      <c r="CI223" s="61">
        <v>5</v>
      </c>
      <c r="CJ223" s="61">
        <v>833</v>
      </c>
      <c r="CK223" s="61">
        <v>189</v>
      </c>
      <c r="CL223" s="61">
        <v>18</v>
      </c>
      <c r="CM223" s="61"/>
      <c r="CN223" s="61"/>
      <c r="CO223" s="61">
        <v>324</v>
      </c>
      <c r="CP223" s="61">
        <v>2453</v>
      </c>
      <c r="CQ223" s="61">
        <v>24</v>
      </c>
      <c r="CR223" s="61"/>
      <c r="CS223" s="61">
        <v>1111</v>
      </c>
      <c r="CT223" s="61"/>
      <c r="CU223" s="61">
        <v>217</v>
      </c>
      <c r="CV223" s="61"/>
      <c r="CW223" s="61">
        <v>1</v>
      </c>
      <c r="CX223" s="61">
        <v>1089</v>
      </c>
      <c r="CY223" s="61">
        <v>2934</v>
      </c>
      <c r="CZ223" s="61">
        <v>4</v>
      </c>
      <c r="DA223" s="61">
        <v>1118</v>
      </c>
      <c r="DB223" s="61">
        <v>30</v>
      </c>
      <c r="DC223" s="61"/>
      <c r="DD223" s="61">
        <v>5175</v>
      </c>
      <c r="DE223" s="61">
        <v>16</v>
      </c>
      <c r="DF223" s="61">
        <v>5039</v>
      </c>
      <c r="DG223" s="61">
        <v>120</v>
      </c>
      <c r="DH223" s="62" t="s">
        <v>2185</v>
      </c>
      <c r="DI223" s="61">
        <v>229</v>
      </c>
      <c r="DJ223" s="61">
        <v>21</v>
      </c>
      <c r="DK223" s="61"/>
      <c r="DL223" s="61">
        <v>30</v>
      </c>
      <c r="DM223" s="61"/>
      <c r="DN223" s="61"/>
    </row>
    <row r="224" spans="1:118" x14ac:dyDescent="0.25">
      <c r="A224" s="61">
        <v>106361318</v>
      </c>
      <c r="B224" s="62" t="s">
        <v>1035</v>
      </c>
      <c r="C224" s="62" t="s">
        <v>1036</v>
      </c>
      <c r="D224" s="62" t="s">
        <v>1002</v>
      </c>
      <c r="E224" s="62" t="s">
        <v>71</v>
      </c>
      <c r="F224" s="62" t="s">
        <v>2213</v>
      </c>
      <c r="G224" s="62" t="s">
        <v>1037</v>
      </c>
      <c r="H224" s="62" t="s">
        <v>1038</v>
      </c>
      <c r="I224" s="62" t="s">
        <v>1039</v>
      </c>
      <c r="J224" s="62" t="s">
        <v>2184</v>
      </c>
      <c r="K224" s="62"/>
      <c r="L224" s="61">
        <v>31</v>
      </c>
      <c r="M224" s="61">
        <v>41</v>
      </c>
      <c r="N224" s="61">
        <v>25</v>
      </c>
      <c r="O224" s="62" t="s">
        <v>1934</v>
      </c>
      <c r="P224" s="62" t="s">
        <v>68</v>
      </c>
      <c r="Q224" s="62" t="s">
        <v>2167</v>
      </c>
      <c r="R224" s="62" t="s">
        <v>2167</v>
      </c>
      <c r="S224" s="62" t="s">
        <v>69</v>
      </c>
      <c r="T224" s="61">
        <v>37690</v>
      </c>
      <c r="U224" s="61">
        <v>28131</v>
      </c>
      <c r="V224" s="61">
        <v>1</v>
      </c>
      <c r="W224" s="61">
        <v>7124</v>
      </c>
      <c r="X224" s="61">
        <v>6810</v>
      </c>
      <c r="Y224" s="61">
        <v>10934</v>
      </c>
      <c r="Z224" s="61">
        <v>9382</v>
      </c>
      <c r="AA224" s="61">
        <v>8435</v>
      </c>
      <c r="AB224" s="61">
        <v>8323</v>
      </c>
      <c r="AC224" s="61">
        <v>5703</v>
      </c>
      <c r="AD224" s="61">
        <v>3970</v>
      </c>
      <c r="AE224" s="61">
        <v>3686</v>
      </c>
      <c r="AF224" s="61">
        <v>1455</v>
      </c>
      <c r="AG224" s="61"/>
      <c r="AH224" s="61">
        <v>1985</v>
      </c>
      <c r="AI224" s="61">
        <v>7322</v>
      </c>
      <c r="AJ224" s="61">
        <v>28819</v>
      </c>
      <c r="AK224" s="61">
        <v>66</v>
      </c>
      <c r="AL224" s="61">
        <v>5281</v>
      </c>
      <c r="AM224" s="61">
        <v>155</v>
      </c>
      <c r="AN224" s="61">
        <v>22194</v>
      </c>
      <c r="AO224" s="61">
        <v>328</v>
      </c>
      <c r="AP224" s="61">
        <v>334</v>
      </c>
      <c r="AQ224" s="61">
        <v>183</v>
      </c>
      <c r="AR224" s="61">
        <v>42</v>
      </c>
      <c r="AS224" s="61">
        <v>18</v>
      </c>
      <c r="AT224" s="61">
        <v>9</v>
      </c>
      <c r="AU224" s="61"/>
      <c r="AV224" s="61">
        <v>245</v>
      </c>
      <c r="AW224" s="61">
        <v>170</v>
      </c>
      <c r="AX224" s="61"/>
      <c r="AY224" s="61">
        <v>63653</v>
      </c>
      <c r="AZ224" s="61">
        <v>147</v>
      </c>
      <c r="BA224" s="61"/>
      <c r="BB224" s="61"/>
      <c r="BC224" s="61">
        <v>365</v>
      </c>
      <c r="BD224" s="61">
        <v>24009</v>
      </c>
      <c r="BE224" s="61">
        <v>22900</v>
      </c>
      <c r="BF224" s="61">
        <v>1522</v>
      </c>
      <c r="BG224" s="61">
        <v>10953</v>
      </c>
      <c r="BH224" s="61">
        <v>6429</v>
      </c>
      <c r="BI224" s="61">
        <v>9</v>
      </c>
      <c r="BJ224" s="61">
        <v>65822</v>
      </c>
      <c r="BK224" s="61">
        <v>271</v>
      </c>
      <c r="BL224" s="61">
        <v>63641</v>
      </c>
      <c r="BM224" s="61">
        <v>1910</v>
      </c>
      <c r="BN224" s="61">
        <v>6129</v>
      </c>
      <c r="BO224" s="61">
        <v>5636</v>
      </c>
      <c r="BP224" s="61"/>
      <c r="BQ224" s="61">
        <v>268</v>
      </c>
      <c r="BR224" s="61">
        <v>622</v>
      </c>
      <c r="BS224" s="61">
        <v>797</v>
      </c>
      <c r="BT224" s="61">
        <v>1218</v>
      </c>
      <c r="BU224" s="61">
        <v>1960</v>
      </c>
      <c r="BV224" s="61">
        <v>2031</v>
      </c>
      <c r="BW224" s="61">
        <v>2126</v>
      </c>
      <c r="BX224" s="61">
        <v>2429</v>
      </c>
      <c r="BY224" s="61">
        <v>119</v>
      </c>
      <c r="BZ224" s="61">
        <v>195</v>
      </c>
      <c r="CA224" s="61"/>
      <c r="CB224" s="61">
        <v>505</v>
      </c>
      <c r="CC224" s="61">
        <v>972</v>
      </c>
      <c r="CD224" s="61">
        <v>3882</v>
      </c>
      <c r="CE224" s="61">
        <v>1015</v>
      </c>
      <c r="CF224" s="61">
        <v>33</v>
      </c>
      <c r="CG224" s="61">
        <v>5334</v>
      </c>
      <c r="CH224" s="61">
        <v>24</v>
      </c>
      <c r="CI224" s="61">
        <v>170</v>
      </c>
      <c r="CJ224" s="61">
        <v>941</v>
      </c>
      <c r="CK224" s="61">
        <v>390</v>
      </c>
      <c r="CL224" s="61">
        <v>1333</v>
      </c>
      <c r="CM224" s="61">
        <v>419</v>
      </c>
      <c r="CN224" s="61"/>
      <c r="CO224" s="61"/>
      <c r="CP224" s="61">
        <v>7168</v>
      </c>
      <c r="CQ224" s="61">
        <v>691</v>
      </c>
      <c r="CR224" s="61">
        <v>8</v>
      </c>
      <c r="CS224" s="61">
        <v>282</v>
      </c>
      <c r="CT224" s="61">
        <v>15</v>
      </c>
      <c r="CU224" s="61">
        <v>147</v>
      </c>
      <c r="CV224" s="61"/>
      <c r="CW224" s="61">
        <v>169</v>
      </c>
      <c r="CX224" s="61">
        <v>2358</v>
      </c>
      <c r="CY224" s="61">
        <v>5746</v>
      </c>
      <c r="CZ224" s="61">
        <v>218</v>
      </c>
      <c r="DA224" s="61">
        <v>3332</v>
      </c>
      <c r="DB224" s="61">
        <v>110</v>
      </c>
      <c r="DC224" s="61">
        <v>1</v>
      </c>
      <c r="DD224" s="61">
        <v>11765</v>
      </c>
      <c r="DE224" s="61">
        <v>147</v>
      </c>
      <c r="DF224" s="61">
        <v>10961</v>
      </c>
      <c r="DG224" s="61">
        <v>657</v>
      </c>
      <c r="DH224" s="62" t="s">
        <v>2185</v>
      </c>
      <c r="DI224" s="61">
        <v>271</v>
      </c>
      <c r="DJ224" s="61">
        <v>31</v>
      </c>
      <c r="DK224" s="61">
        <v>328</v>
      </c>
      <c r="DL224" s="61"/>
      <c r="DM224" s="61">
        <v>32</v>
      </c>
      <c r="DN224" s="61"/>
    </row>
    <row r="225" spans="1:118" x14ac:dyDescent="0.25">
      <c r="A225" s="61">
        <v>106361323</v>
      </c>
      <c r="B225" s="62" t="s">
        <v>1040</v>
      </c>
      <c r="C225" s="62" t="s">
        <v>1041</v>
      </c>
      <c r="D225" s="62" t="s">
        <v>1002</v>
      </c>
      <c r="E225" s="62" t="s">
        <v>71</v>
      </c>
      <c r="F225" s="62" t="s">
        <v>2213</v>
      </c>
      <c r="G225" s="62" t="s">
        <v>1042</v>
      </c>
      <c r="H225" s="62" t="s">
        <v>1002</v>
      </c>
      <c r="I225" s="62" t="s">
        <v>1043</v>
      </c>
      <c r="J225" s="62" t="s">
        <v>2186</v>
      </c>
      <c r="K225" s="62"/>
      <c r="L225" s="61">
        <v>31</v>
      </c>
      <c r="M225" s="61">
        <v>40</v>
      </c>
      <c r="N225" s="61">
        <v>23</v>
      </c>
      <c r="O225" s="62" t="s">
        <v>1939</v>
      </c>
      <c r="P225" s="62" t="s">
        <v>68</v>
      </c>
      <c r="Q225" s="62" t="s">
        <v>2167</v>
      </c>
      <c r="R225" s="62" t="s">
        <v>2167</v>
      </c>
      <c r="S225" s="62" t="s">
        <v>69</v>
      </c>
      <c r="T225" s="61">
        <v>31445</v>
      </c>
      <c r="U225" s="61">
        <v>23184</v>
      </c>
      <c r="V225" s="61"/>
      <c r="W225" s="61">
        <v>10611</v>
      </c>
      <c r="X225" s="61">
        <v>7317</v>
      </c>
      <c r="Y225" s="61">
        <v>10875</v>
      </c>
      <c r="Z225" s="61">
        <v>7523</v>
      </c>
      <c r="AA225" s="61">
        <v>5939</v>
      </c>
      <c r="AB225" s="61">
        <v>5376</v>
      </c>
      <c r="AC225" s="61">
        <v>2529</v>
      </c>
      <c r="AD225" s="61">
        <v>1069</v>
      </c>
      <c r="AE225" s="61">
        <v>512</v>
      </c>
      <c r="AF225" s="61">
        <v>2878</v>
      </c>
      <c r="AG225" s="61"/>
      <c r="AH225" s="61">
        <v>742</v>
      </c>
      <c r="AI225" s="61">
        <v>10756</v>
      </c>
      <c r="AJ225" s="61">
        <v>33328</v>
      </c>
      <c r="AK225" s="61">
        <v>41</v>
      </c>
      <c r="AL225" s="61">
        <v>662</v>
      </c>
      <c r="AM225" s="61">
        <v>380</v>
      </c>
      <c r="AN225" s="61">
        <v>8720</v>
      </c>
      <c r="AO225" s="61">
        <v>481</v>
      </c>
      <c r="AP225" s="61">
        <v>4600</v>
      </c>
      <c r="AQ225" s="61">
        <v>48</v>
      </c>
      <c r="AR225" s="61">
        <v>3</v>
      </c>
      <c r="AS225" s="61"/>
      <c r="AT225" s="61">
        <v>19</v>
      </c>
      <c r="AU225" s="61"/>
      <c r="AV225" s="61">
        <v>24</v>
      </c>
      <c r="AW225" s="61">
        <v>37</v>
      </c>
      <c r="AX225" s="61">
        <v>53</v>
      </c>
      <c r="AY225" s="61">
        <v>49271</v>
      </c>
      <c r="AZ225" s="61">
        <v>73</v>
      </c>
      <c r="BA225" s="61"/>
      <c r="BB225" s="61">
        <v>20</v>
      </c>
      <c r="BC225" s="61"/>
      <c r="BD225" s="61">
        <v>43305</v>
      </c>
      <c r="BE225" s="61">
        <v>3654</v>
      </c>
      <c r="BF225" s="61">
        <v>651</v>
      </c>
      <c r="BG225" s="61">
        <v>3009</v>
      </c>
      <c r="BH225" s="61">
        <v>3979</v>
      </c>
      <c r="BI225" s="61">
        <v>31</v>
      </c>
      <c r="BJ225" s="61">
        <v>54629</v>
      </c>
      <c r="BK225" s="61">
        <v>196</v>
      </c>
      <c r="BL225" s="61">
        <v>45317</v>
      </c>
      <c r="BM225" s="61">
        <v>9116</v>
      </c>
      <c r="BN225" s="61">
        <v>3197</v>
      </c>
      <c r="BO225" s="61">
        <v>3334</v>
      </c>
      <c r="BP225" s="61"/>
      <c r="BQ225" s="61">
        <v>191</v>
      </c>
      <c r="BR225" s="61">
        <v>886</v>
      </c>
      <c r="BS225" s="61">
        <v>989</v>
      </c>
      <c r="BT225" s="61">
        <v>1072</v>
      </c>
      <c r="BU225" s="61">
        <v>1371</v>
      </c>
      <c r="BV225" s="61">
        <v>805</v>
      </c>
      <c r="BW225" s="61">
        <v>518</v>
      </c>
      <c r="BX225" s="61">
        <v>358</v>
      </c>
      <c r="BY225" s="61">
        <v>178</v>
      </c>
      <c r="BZ225" s="61">
        <v>163</v>
      </c>
      <c r="CA225" s="61"/>
      <c r="CB225" s="61">
        <v>121</v>
      </c>
      <c r="CC225" s="61">
        <v>1489</v>
      </c>
      <c r="CD225" s="61">
        <v>2848</v>
      </c>
      <c r="CE225" s="61">
        <v>74</v>
      </c>
      <c r="CF225" s="61">
        <v>16</v>
      </c>
      <c r="CG225" s="61">
        <v>1967</v>
      </c>
      <c r="CH225" s="61">
        <v>16</v>
      </c>
      <c r="CI225" s="61">
        <v>115</v>
      </c>
      <c r="CJ225" s="61">
        <v>355</v>
      </c>
      <c r="CK225" s="61">
        <v>73</v>
      </c>
      <c r="CL225" s="61">
        <v>252</v>
      </c>
      <c r="CM225" s="61">
        <v>26</v>
      </c>
      <c r="CN225" s="61"/>
      <c r="CO225" s="61">
        <v>19</v>
      </c>
      <c r="CP225" s="61">
        <v>5313</v>
      </c>
      <c r="CQ225" s="61">
        <v>210</v>
      </c>
      <c r="CR225" s="61"/>
      <c r="CS225" s="61">
        <v>14</v>
      </c>
      <c r="CT225" s="61">
        <v>27</v>
      </c>
      <c r="CU225" s="61">
        <v>104</v>
      </c>
      <c r="CV225" s="61">
        <v>5</v>
      </c>
      <c r="CW225" s="61"/>
      <c r="CX225" s="61">
        <v>4327</v>
      </c>
      <c r="CY225" s="61">
        <v>1688</v>
      </c>
      <c r="CZ225" s="61">
        <v>37</v>
      </c>
      <c r="DA225" s="61">
        <v>449</v>
      </c>
      <c r="DB225" s="61">
        <v>30</v>
      </c>
      <c r="DC225" s="61"/>
      <c r="DD225" s="61">
        <v>6531</v>
      </c>
      <c r="DE225" s="61">
        <v>27</v>
      </c>
      <c r="DF225" s="61">
        <v>5628</v>
      </c>
      <c r="DG225" s="61">
        <v>876</v>
      </c>
      <c r="DH225" s="62" t="s">
        <v>2185</v>
      </c>
      <c r="DI225" s="61">
        <v>347</v>
      </c>
      <c r="DJ225" s="61">
        <v>19</v>
      </c>
      <c r="DK225" s="61"/>
      <c r="DL225" s="61"/>
      <c r="DM225" s="61"/>
      <c r="DN225" s="61">
        <v>18</v>
      </c>
    </row>
    <row r="226" spans="1:118" x14ac:dyDescent="0.25">
      <c r="A226" s="61">
        <v>106361339</v>
      </c>
      <c r="B226" s="62" t="s">
        <v>1044</v>
      </c>
      <c r="C226" s="62" t="s">
        <v>1045</v>
      </c>
      <c r="D226" s="62" t="s">
        <v>1002</v>
      </c>
      <c r="E226" s="62" t="s">
        <v>71</v>
      </c>
      <c r="F226" s="62" t="s">
        <v>2213</v>
      </c>
      <c r="G226" s="62" t="s">
        <v>1046</v>
      </c>
      <c r="H226" s="62" t="s">
        <v>1002</v>
      </c>
      <c r="I226" s="62" t="s">
        <v>1047</v>
      </c>
      <c r="J226" s="62" t="s">
        <v>2186</v>
      </c>
      <c r="K226" s="62"/>
      <c r="L226" s="61">
        <v>31</v>
      </c>
      <c r="M226" s="61">
        <v>40</v>
      </c>
      <c r="N226" s="61">
        <v>23</v>
      </c>
      <c r="O226" s="62" t="s">
        <v>1940</v>
      </c>
      <c r="P226" s="62" t="s">
        <v>68</v>
      </c>
      <c r="Q226" s="62" t="s">
        <v>2167</v>
      </c>
      <c r="R226" s="62" t="s">
        <v>2167</v>
      </c>
      <c r="S226" s="62" t="s">
        <v>69</v>
      </c>
      <c r="T226" s="61">
        <v>36060</v>
      </c>
      <c r="U226" s="61">
        <v>28924</v>
      </c>
      <c r="V226" s="61">
        <v>3</v>
      </c>
      <c r="W226" s="61">
        <v>8424</v>
      </c>
      <c r="X226" s="61">
        <v>6729</v>
      </c>
      <c r="Y226" s="61">
        <v>13062</v>
      </c>
      <c r="Z226" s="61">
        <v>9649</v>
      </c>
      <c r="AA226" s="61">
        <v>7999</v>
      </c>
      <c r="AB226" s="61">
        <v>8705</v>
      </c>
      <c r="AC226" s="61">
        <v>4617</v>
      </c>
      <c r="AD226" s="61">
        <v>2268</v>
      </c>
      <c r="AE226" s="61">
        <v>1523</v>
      </c>
      <c r="AF226" s="61">
        <v>2010</v>
      </c>
      <c r="AG226" s="61">
        <v>1</v>
      </c>
      <c r="AH226" s="61">
        <v>1245</v>
      </c>
      <c r="AI226" s="61">
        <v>17286</v>
      </c>
      <c r="AJ226" s="61">
        <v>29369</v>
      </c>
      <c r="AK226" s="61">
        <v>164</v>
      </c>
      <c r="AL226" s="61">
        <v>614</v>
      </c>
      <c r="AM226" s="61">
        <v>441</v>
      </c>
      <c r="AN226" s="61">
        <v>15868</v>
      </c>
      <c r="AO226" s="61">
        <v>1032</v>
      </c>
      <c r="AP226" s="61">
        <v>5521</v>
      </c>
      <c r="AQ226" s="61">
        <v>168</v>
      </c>
      <c r="AR226" s="61">
        <v>8</v>
      </c>
      <c r="AS226" s="61">
        <v>2</v>
      </c>
      <c r="AT226" s="61">
        <v>4</v>
      </c>
      <c r="AU226" s="61"/>
      <c r="AV226" s="61">
        <v>58</v>
      </c>
      <c r="AW226" s="61">
        <v>143</v>
      </c>
      <c r="AX226" s="61">
        <v>9</v>
      </c>
      <c r="AY226" s="61">
        <v>57900</v>
      </c>
      <c r="AZ226" s="61">
        <v>133</v>
      </c>
      <c r="BA226" s="61">
        <v>8</v>
      </c>
      <c r="BB226" s="61"/>
      <c r="BC226" s="61">
        <v>1</v>
      </c>
      <c r="BD226" s="61">
        <v>44150</v>
      </c>
      <c r="BE226" s="61">
        <v>8233</v>
      </c>
      <c r="BF226" s="61">
        <v>447</v>
      </c>
      <c r="BG226" s="61">
        <v>5314</v>
      </c>
      <c r="BH226" s="61">
        <v>6833</v>
      </c>
      <c r="BI226" s="61">
        <v>10</v>
      </c>
      <c r="BJ226" s="61">
        <v>64987</v>
      </c>
      <c r="BK226" s="61">
        <v>201</v>
      </c>
      <c r="BL226" s="61">
        <v>60651</v>
      </c>
      <c r="BM226" s="61">
        <v>4135</v>
      </c>
      <c r="BN226" s="61">
        <v>4927</v>
      </c>
      <c r="BO226" s="61">
        <v>4034</v>
      </c>
      <c r="BP226" s="61"/>
      <c r="BQ226" s="61">
        <v>165</v>
      </c>
      <c r="BR226" s="61">
        <v>886</v>
      </c>
      <c r="BS226" s="61">
        <v>747</v>
      </c>
      <c r="BT226" s="61">
        <v>952</v>
      </c>
      <c r="BU226" s="61">
        <v>1831</v>
      </c>
      <c r="BV226" s="61">
        <v>1823</v>
      </c>
      <c r="BW226" s="61">
        <v>1391</v>
      </c>
      <c r="BX226" s="61">
        <v>1140</v>
      </c>
      <c r="BY226" s="61">
        <v>26</v>
      </c>
      <c r="BZ226" s="61"/>
      <c r="CA226" s="61"/>
      <c r="CB226" s="61">
        <v>288</v>
      </c>
      <c r="CC226" s="61">
        <v>1709</v>
      </c>
      <c r="CD226" s="61">
        <v>3298</v>
      </c>
      <c r="CE226" s="61">
        <v>119</v>
      </c>
      <c r="CF226" s="61">
        <v>68</v>
      </c>
      <c r="CG226" s="61">
        <v>3451</v>
      </c>
      <c r="CH226" s="61">
        <v>28</v>
      </c>
      <c r="CI226" s="61">
        <v>322</v>
      </c>
      <c r="CJ226" s="61">
        <v>335</v>
      </c>
      <c r="CK226" s="61">
        <v>329</v>
      </c>
      <c r="CL226" s="61">
        <v>1096</v>
      </c>
      <c r="CM226" s="61">
        <v>122</v>
      </c>
      <c r="CN226" s="61"/>
      <c r="CO226" s="61">
        <v>1</v>
      </c>
      <c r="CP226" s="61">
        <v>5234</v>
      </c>
      <c r="CQ226" s="61">
        <v>1226</v>
      </c>
      <c r="CR226" s="61">
        <v>6</v>
      </c>
      <c r="CS226" s="61">
        <v>213</v>
      </c>
      <c r="CT226" s="61">
        <v>77</v>
      </c>
      <c r="CU226" s="61"/>
      <c r="CV226" s="61"/>
      <c r="CW226" s="61"/>
      <c r="CX226" s="61">
        <v>3894</v>
      </c>
      <c r="CY226" s="61">
        <v>3785</v>
      </c>
      <c r="CZ226" s="61">
        <v>116</v>
      </c>
      <c r="DA226" s="61">
        <v>943</v>
      </c>
      <c r="DB226" s="61">
        <v>222</v>
      </c>
      <c r="DC226" s="61">
        <v>1</v>
      </c>
      <c r="DD226" s="61">
        <v>8961</v>
      </c>
      <c r="DE226" s="61">
        <v>56</v>
      </c>
      <c r="DF226" s="61">
        <v>8091</v>
      </c>
      <c r="DG226" s="61">
        <v>814</v>
      </c>
      <c r="DH226" s="62" t="s">
        <v>2185</v>
      </c>
      <c r="DI226" s="61">
        <v>427</v>
      </c>
      <c r="DJ226" s="61">
        <v>24</v>
      </c>
      <c r="DK226" s="61"/>
      <c r="DL226" s="61"/>
      <c r="DM226" s="61"/>
      <c r="DN226" s="61"/>
    </row>
    <row r="227" spans="1:118" x14ac:dyDescent="0.25">
      <c r="A227" s="61">
        <v>106361343</v>
      </c>
      <c r="B227" s="62" t="s">
        <v>1048</v>
      </c>
      <c r="C227" s="62" t="s">
        <v>1049</v>
      </c>
      <c r="D227" s="62" t="s">
        <v>1002</v>
      </c>
      <c r="E227" s="62" t="s">
        <v>71</v>
      </c>
      <c r="F227" s="62" t="s">
        <v>2213</v>
      </c>
      <c r="G227" s="62" t="s">
        <v>1050</v>
      </c>
      <c r="H227" s="62" t="s">
        <v>1051</v>
      </c>
      <c r="I227" s="62" t="s">
        <v>1052</v>
      </c>
      <c r="J227" s="62" t="s">
        <v>2184</v>
      </c>
      <c r="K227" s="62"/>
      <c r="L227" s="61">
        <v>8</v>
      </c>
      <c r="M227" s="61">
        <v>33</v>
      </c>
      <c r="N227" s="61">
        <v>21</v>
      </c>
      <c r="O227" s="62" t="s">
        <v>1941</v>
      </c>
      <c r="P227" s="62" t="s">
        <v>68</v>
      </c>
      <c r="Q227" s="62" t="s">
        <v>120</v>
      </c>
      <c r="R227" s="62" t="s">
        <v>2167</v>
      </c>
      <c r="S227" s="62" t="s">
        <v>69</v>
      </c>
      <c r="T227" s="61">
        <v>36802</v>
      </c>
      <c r="U227" s="61">
        <v>26856</v>
      </c>
      <c r="V227" s="61">
        <v>2</v>
      </c>
      <c r="W227" s="61">
        <v>9110</v>
      </c>
      <c r="X227" s="61">
        <v>6936</v>
      </c>
      <c r="Y227" s="61">
        <v>10348</v>
      </c>
      <c r="Z227" s="61">
        <v>8469</v>
      </c>
      <c r="AA227" s="61">
        <v>6950</v>
      </c>
      <c r="AB227" s="61">
        <v>7368</v>
      </c>
      <c r="AC227" s="61">
        <v>5270</v>
      </c>
      <c r="AD227" s="61">
        <v>3781</v>
      </c>
      <c r="AE227" s="61">
        <v>2965</v>
      </c>
      <c r="AF227" s="61">
        <v>2463</v>
      </c>
      <c r="AG227" s="61"/>
      <c r="AH227" s="61">
        <v>489</v>
      </c>
      <c r="AI227" s="61">
        <v>9726</v>
      </c>
      <c r="AJ227" s="61">
        <v>16340</v>
      </c>
      <c r="AK227" s="61">
        <v>39</v>
      </c>
      <c r="AL227" s="61">
        <v>2276</v>
      </c>
      <c r="AM227" s="61">
        <v>502</v>
      </c>
      <c r="AN227" s="61">
        <v>34288</v>
      </c>
      <c r="AO227" s="61">
        <v>2031</v>
      </c>
      <c r="AP227" s="61">
        <v>3100</v>
      </c>
      <c r="AQ227" s="61">
        <v>90</v>
      </c>
      <c r="AR227" s="61">
        <v>485</v>
      </c>
      <c r="AS227" s="61">
        <v>64</v>
      </c>
      <c r="AT227" s="61"/>
      <c r="AU227" s="61"/>
      <c r="AV227" s="61">
        <v>109</v>
      </c>
      <c r="AW227" s="61">
        <v>67</v>
      </c>
      <c r="AX227" s="61">
        <v>10</v>
      </c>
      <c r="AY227" s="61">
        <v>57439</v>
      </c>
      <c r="AZ227" s="61">
        <v>185</v>
      </c>
      <c r="BA227" s="61"/>
      <c r="BB227" s="61"/>
      <c r="BC227" s="61">
        <v>80</v>
      </c>
      <c r="BD227" s="61">
        <v>35559</v>
      </c>
      <c r="BE227" s="61">
        <v>12326</v>
      </c>
      <c r="BF227" s="61">
        <v>1155</v>
      </c>
      <c r="BG227" s="61">
        <v>10973</v>
      </c>
      <c r="BH227" s="61">
        <v>3647</v>
      </c>
      <c r="BI227" s="61"/>
      <c r="BJ227" s="61">
        <v>63660</v>
      </c>
      <c r="BK227" s="61">
        <v>121</v>
      </c>
      <c r="BL227" s="61">
        <v>60492</v>
      </c>
      <c r="BM227" s="61">
        <v>3047</v>
      </c>
      <c r="BN227" s="61">
        <v>5775</v>
      </c>
      <c r="BO227" s="61">
        <v>4947</v>
      </c>
      <c r="BP227" s="61"/>
      <c r="BQ227" s="61">
        <v>187</v>
      </c>
      <c r="BR227" s="61">
        <v>675</v>
      </c>
      <c r="BS227" s="61">
        <v>888</v>
      </c>
      <c r="BT227" s="61">
        <v>1212</v>
      </c>
      <c r="BU227" s="61">
        <v>2197</v>
      </c>
      <c r="BV227" s="61">
        <v>2116</v>
      </c>
      <c r="BW227" s="61">
        <v>1647</v>
      </c>
      <c r="BX227" s="61">
        <v>1486</v>
      </c>
      <c r="BY227" s="61">
        <v>155</v>
      </c>
      <c r="BZ227" s="61">
        <v>159</v>
      </c>
      <c r="CA227" s="61"/>
      <c r="CB227" s="61">
        <v>100</v>
      </c>
      <c r="CC227" s="61">
        <v>1464</v>
      </c>
      <c r="CD227" s="61">
        <v>2227</v>
      </c>
      <c r="CE227" s="61">
        <v>273</v>
      </c>
      <c r="CF227" s="61">
        <v>13</v>
      </c>
      <c r="CG227" s="61">
        <v>6637</v>
      </c>
      <c r="CH227" s="61">
        <v>8</v>
      </c>
      <c r="CI227" s="61">
        <v>35</v>
      </c>
      <c r="CJ227" s="61">
        <v>322</v>
      </c>
      <c r="CK227" s="61">
        <v>204</v>
      </c>
      <c r="CL227" s="61">
        <v>1567</v>
      </c>
      <c r="CM227" s="61">
        <v>1</v>
      </c>
      <c r="CN227" s="61"/>
      <c r="CO227" s="61">
        <v>7</v>
      </c>
      <c r="CP227" s="61">
        <v>7066</v>
      </c>
      <c r="CQ227" s="61">
        <v>952</v>
      </c>
      <c r="CR227" s="61">
        <v>35</v>
      </c>
      <c r="CS227" s="61">
        <v>213</v>
      </c>
      <c r="CT227" s="61">
        <v>2</v>
      </c>
      <c r="CU227" s="61">
        <v>310</v>
      </c>
      <c r="CV227" s="61"/>
      <c r="CW227" s="61">
        <v>8</v>
      </c>
      <c r="CX227" s="61">
        <v>3701</v>
      </c>
      <c r="CY227" s="61">
        <v>5182</v>
      </c>
      <c r="CZ227" s="61">
        <v>213</v>
      </c>
      <c r="DA227" s="61">
        <v>1481</v>
      </c>
      <c r="DB227" s="61">
        <v>145</v>
      </c>
      <c r="DC227" s="61"/>
      <c r="DD227" s="61">
        <v>10722</v>
      </c>
      <c r="DE227" s="61">
        <v>44</v>
      </c>
      <c r="DF227" s="61">
        <v>10004</v>
      </c>
      <c r="DG227" s="61">
        <v>674</v>
      </c>
      <c r="DH227" s="62" t="s">
        <v>2185</v>
      </c>
      <c r="DI227" s="61">
        <v>212</v>
      </c>
      <c r="DJ227" s="61">
        <v>34</v>
      </c>
      <c r="DK227" s="61"/>
      <c r="DL227" s="61"/>
      <c r="DM227" s="61"/>
      <c r="DN227" s="61"/>
    </row>
    <row r="228" spans="1:118" x14ac:dyDescent="0.25">
      <c r="A228" s="61">
        <v>106361370</v>
      </c>
      <c r="B228" s="62" t="s">
        <v>1053</v>
      </c>
      <c r="C228" s="62" t="s">
        <v>1054</v>
      </c>
      <c r="D228" s="62" t="s">
        <v>1002</v>
      </c>
      <c r="E228" s="62" t="s">
        <v>100</v>
      </c>
      <c r="F228" s="62" t="s">
        <v>2213</v>
      </c>
      <c r="G228" s="62" t="s">
        <v>1055</v>
      </c>
      <c r="H228" s="62" t="s">
        <v>1056</v>
      </c>
      <c r="I228" s="62" t="s">
        <v>1057</v>
      </c>
      <c r="J228" s="62" t="s">
        <v>2189</v>
      </c>
      <c r="K228" s="62"/>
      <c r="L228" s="61">
        <v>8</v>
      </c>
      <c r="M228" s="61">
        <v>33</v>
      </c>
      <c r="N228" s="61">
        <v>21</v>
      </c>
      <c r="O228" s="62" t="s">
        <v>1942</v>
      </c>
      <c r="P228" s="62" t="s">
        <v>68</v>
      </c>
      <c r="Q228" s="62" t="s">
        <v>120</v>
      </c>
      <c r="R228" s="62" t="s">
        <v>2167</v>
      </c>
      <c r="S228" s="62" t="s">
        <v>69</v>
      </c>
      <c r="T228" s="61">
        <v>21526</v>
      </c>
      <c r="U228" s="61">
        <v>16267</v>
      </c>
      <c r="V228" s="61">
        <v>5</v>
      </c>
      <c r="W228" s="61">
        <v>5955</v>
      </c>
      <c r="X228" s="61">
        <v>4892</v>
      </c>
      <c r="Y228" s="61">
        <v>6903</v>
      </c>
      <c r="Z228" s="61">
        <v>5932</v>
      </c>
      <c r="AA228" s="61">
        <v>4691</v>
      </c>
      <c r="AB228" s="61">
        <v>4357</v>
      </c>
      <c r="AC228" s="61">
        <v>2157</v>
      </c>
      <c r="AD228" s="61">
        <v>911</v>
      </c>
      <c r="AE228" s="61">
        <v>620</v>
      </c>
      <c r="AF228" s="61">
        <v>1376</v>
      </c>
      <c r="AG228" s="61">
        <v>4</v>
      </c>
      <c r="AH228" s="61">
        <v>391</v>
      </c>
      <c r="AI228" s="61"/>
      <c r="AJ228" s="61">
        <v>14143</v>
      </c>
      <c r="AK228" s="61">
        <v>76</v>
      </c>
      <c r="AL228" s="61">
        <v>9929</v>
      </c>
      <c r="AM228" s="61">
        <v>1176</v>
      </c>
      <c r="AN228" s="61">
        <v>12083</v>
      </c>
      <c r="AO228" s="61">
        <v>447</v>
      </c>
      <c r="AP228" s="61">
        <v>4471</v>
      </c>
      <c r="AQ228" s="61">
        <v>114</v>
      </c>
      <c r="AR228" s="61">
        <v>1</v>
      </c>
      <c r="AS228" s="61">
        <v>2</v>
      </c>
      <c r="AT228" s="61">
        <v>3</v>
      </c>
      <c r="AU228" s="61"/>
      <c r="AV228" s="61">
        <v>191</v>
      </c>
      <c r="AW228" s="61"/>
      <c r="AX228" s="61">
        <v>290</v>
      </c>
      <c r="AY228" s="61">
        <v>32243</v>
      </c>
      <c r="AZ228" s="61">
        <v>9</v>
      </c>
      <c r="BA228" s="61">
        <v>3</v>
      </c>
      <c r="BB228" s="61"/>
      <c r="BC228" s="61"/>
      <c r="BD228" s="61">
        <v>28756</v>
      </c>
      <c r="BE228" s="61">
        <v>2167</v>
      </c>
      <c r="BF228" s="61">
        <v>368</v>
      </c>
      <c r="BG228" s="61">
        <v>2969</v>
      </c>
      <c r="BH228" s="61">
        <v>3538</v>
      </c>
      <c r="BI228" s="61"/>
      <c r="BJ228" s="61">
        <v>37798</v>
      </c>
      <c r="BK228" s="61">
        <v>93</v>
      </c>
      <c r="BL228" s="61">
        <v>35822</v>
      </c>
      <c r="BM228" s="61">
        <v>1883</v>
      </c>
      <c r="BN228" s="61">
        <v>2527</v>
      </c>
      <c r="BO228" s="61">
        <v>1401</v>
      </c>
      <c r="BP228" s="61"/>
      <c r="BQ228" s="61">
        <v>193</v>
      </c>
      <c r="BR228" s="61">
        <v>804</v>
      </c>
      <c r="BS228" s="61">
        <v>610</v>
      </c>
      <c r="BT228" s="61">
        <v>435</v>
      </c>
      <c r="BU228" s="61">
        <v>615</v>
      </c>
      <c r="BV228" s="61">
        <v>517</v>
      </c>
      <c r="BW228" s="61">
        <v>339</v>
      </c>
      <c r="BX228" s="61">
        <v>316</v>
      </c>
      <c r="BY228" s="61">
        <v>31</v>
      </c>
      <c r="BZ228" s="61">
        <v>68</v>
      </c>
      <c r="CA228" s="61"/>
      <c r="CB228" s="61">
        <v>59</v>
      </c>
      <c r="CC228" s="61">
        <v>825</v>
      </c>
      <c r="CD228" s="61">
        <v>1331</v>
      </c>
      <c r="CE228" s="61"/>
      <c r="CF228" s="61">
        <v>33</v>
      </c>
      <c r="CG228" s="61">
        <v>1649</v>
      </c>
      <c r="CH228" s="61">
        <v>31</v>
      </c>
      <c r="CI228" s="61">
        <v>115</v>
      </c>
      <c r="CJ228" s="61">
        <v>177</v>
      </c>
      <c r="CK228" s="61">
        <v>86</v>
      </c>
      <c r="CL228" s="61">
        <v>2</v>
      </c>
      <c r="CM228" s="61"/>
      <c r="CN228" s="61"/>
      <c r="CO228" s="61"/>
      <c r="CP228" s="61">
        <v>3170</v>
      </c>
      <c r="CQ228" s="61">
        <v>212</v>
      </c>
      <c r="CR228" s="61">
        <v>58</v>
      </c>
      <c r="CS228" s="61">
        <v>100</v>
      </c>
      <c r="CT228" s="61"/>
      <c r="CU228" s="61">
        <v>4</v>
      </c>
      <c r="CV228" s="61"/>
      <c r="CW228" s="61"/>
      <c r="CX228" s="61">
        <v>2170</v>
      </c>
      <c r="CY228" s="61">
        <v>1101</v>
      </c>
      <c r="CZ228" s="61">
        <v>6</v>
      </c>
      <c r="DA228" s="61">
        <v>624</v>
      </c>
      <c r="DB228" s="61">
        <v>27</v>
      </c>
      <c r="DC228" s="61"/>
      <c r="DD228" s="61">
        <v>3928</v>
      </c>
      <c r="DE228" s="61"/>
      <c r="DF228" s="61">
        <v>3679</v>
      </c>
      <c r="DG228" s="61">
        <v>249</v>
      </c>
      <c r="DH228" s="62" t="s">
        <v>2185</v>
      </c>
      <c r="DI228" s="61">
        <v>101</v>
      </c>
      <c r="DJ228" s="61">
        <v>16</v>
      </c>
      <c r="DK228" s="61">
        <v>24</v>
      </c>
      <c r="DL228" s="61"/>
      <c r="DM228" s="61"/>
      <c r="DN228" s="61">
        <v>4</v>
      </c>
    </row>
    <row r="229" spans="1:118" x14ac:dyDescent="0.25">
      <c r="A229" s="61">
        <v>106361458</v>
      </c>
      <c r="B229" s="62" t="s">
        <v>1058</v>
      </c>
      <c r="C229" s="62" t="s">
        <v>1059</v>
      </c>
      <c r="D229" s="62" t="s">
        <v>1002</v>
      </c>
      <c r="E229" s="62" t="s">
        <v>71</v>
      </c>
      <c r="F229" s="62" t="s">
        <v>2213</v>
      </c>
      <c r="G229" s="62" t="s">
        <v>1060</v>
      </c>
      <c r="H229" s="62" t="s">
        <v>1061</v>
      </c>
      <c r="I229" s="62" t="s">
        <v>1062</v>
      </c>
      <c r="J229" s="62" t="s">
        <v>2190</v>
      </c>
      <c r="K229" s="62"/>
      <c r="L229" s="61">
        <v>8</v>
      </c>
      <c r="M229" s="61">
        <v>33</v>
      </c>
      <c r="N229" s="61">
        <v>16</v>
      </c>
      <c r="O229" s="62" t="s">
        <v>1943</v>
      </c>
      <c r="P229" s="62" t="s">
        <v>241</v>
      </c>
      <c r="Q229" s="62" t="s">
        <v>120</v>
      </c>
      <c r="R229" s="62" t="s">
        <v>2167</v>
      </c>
      <c r="S229" s="62" t="s">
        <v>127</v>
      </c>
      <c r="T229" s="61">
        <v>3031</v>
      </c>
      <c r="U229" s="61">
        <v>2602</v>
      </c>
      <c r="V229" s="61"/>
      <c r="W229" s="61">
        <v>540</v>
      </c>
      <c r="X229" s="61">
        <v>545</v>
      </c>
      <c r="Y229" s="61">
        <v>686</v>
      </c>
      <c r="Z229" s="61">
        <v>787</v>
      </c>
      <c r="AA229" s="61">
        <v>806</v>
      </c>
      <c r="AB229" s="61">
        <v>975</v>
      </c>
      <c r="AC229" s="61">
        <v>688</v>
      </c>
      <c r="AD229" s="61">
        <v>349</v>
      </c>
      <c r="AE229" s="61">
        <v>197</v>
      </c>
      <c r="AF229" s="61">
        <v>60</v>
      </c>
      <c r="AG229" s="61"/>
      <c r="AH229" s="61">
        <v>18</v>
      </c>
      <c r="AI229" s="61">
        <v>204</v>
      </c>
      <c r="AJ229" s="61">
        <v>671</v>
      </c>
      <c r="AK229" s="61">
        <v>445</v>
      </c>
      <c r="AL229" s="61">
        <v>35</v>
      </c>
      <c r="AM229" s="61">
        <v>2</v>
      </c>
      <c r="AN229" s="61">
        <v>4258</v>
      </c>
      <c r="AO229" s="61">
        <v>234</v>
      </c>
      <c r="AP229" s="61">
        <v>201</v>
      </c>
      <c r="AQ229" s="61">
        <v>7</v>
      </c>
      <c r="AR229" s="61"/>
      <c r="AS229" s="61">
        <v>2</v>
      </c>
      <c r="AT229" s="61">
        <v>1</v>
      </c>
      <c r="AU229" s="61"/>
      <c r="AV229" s="61">
        <v>56</v>
      </c>
      <c r="AW229" s="61"/>
      <c r="AX229" s="61"/>
      <c r="AY229" s="61">
        <v>4921</v>
      </c>
      <c r="AZ229" s="61"/>
      <c r="BA229" s="61">
        <v>3</v>
      </c>
      <c r="BB229" s="61">
        <v>208</v>
      </c>
      <c r="BC229" s="61"/>
      <c r="BD229" s="61">
        <v>2889</v>
      </c>
      <c r="BE229" s="61">
        <v>1262</v>
      </c>
      <c r="BF229" s="61">
        <v>90</v>
      </c>
      <c r="BG229" s="61">
        <v>1038</v>
      </c>
      <c r="BH229" s="61">
        <v>354</v>
      </c>
      <c r="BI229" s="61"/>
      <c r="BJ229" s="61">
        <v>5633</v>
      </c>
      <c r="BK229" s="61">
        <v>5</v>
      </c>
      <c r="BL229" s="61">
        <v>5601</v>
      </c>
      <c r="BM229" s="61">
        <v>27</v>
      </c>
      <c r="BN229" s="61">
        <v>242</v>
      </c>
      <c r="BO229" s="61">
        <v>233</v>
      </c>
      <c r="BP229" s="61"/>
      <c r="BQ229" s="61">
        <v>10</v>
      </c>
      <c r="BR229" s="61">
        <v>21</v>
      </c>
      <c r="BS229" s="61">
        <v>30</v>
      </c>
      <c r="BT229" s="61">
        <v>45</v>
      </c>
      <c r="BU229" s="61">
        <v>121</v>
      </c>
      <c r="BV229" s="61">
        <v>106</v>
      </c>
      <c r="BW229" s="61">
        <v>79</v>
      </c>
      <c r="BX229" s="61">
        <v>56</v>
      </c>
      <c r="BY229" s="61"/>
      <c r="BZ229" s="61">
        <v>7</v>
      </c>
      <c r="CA229" s="61"/>
      <c r="CB229" s="61">
        <v>1</v>
      </c>
      <c r="CC229" s="61">
        <v>11</v>
      </c>
      <c r="CD229" s="61">
        <v>60</v>
      </c>
      <c r="CE229" s="61">
        <v>3</v>
      </c>
      <c r="CF229" s="61"/>
      <c r="CG229" s="61">
        <v>359</v>
      </c>
      <c r="CH229" s="61">
        <v>41</v>
      </c>
      <c r="CI229" s="61">
        <v>32</v>
      </c>
      <c r="CJ229" s="61">
        <v>18</v>
      </c>
      <c r="CK229" s="61">
        <v>1</v>
      </c>
      <c r="CL229" s="61">
        <v>5</v>
      </c>
      <c r="CM229" s="61">
        <v>3</v>
      </c>
      <c r="CN229" s="61"/>
      <c r="CO229" s="61">
        <v>2</v>
      </c>
      <c r="CP229" s="61">
        <v>406</v>
      </c>
      <c r="CQ229" s="61">
        <v>4</v>
      </c>
      <c r="CR229" s="61"/>
      <c r="CS229" s="61">
        <v>2</v>
      </c>
      <c r="CT229" s="61"/>
      <c r="CU229" s="61">
        <v>1</v>
      </c>
      <c r="CV229" s="61">
        <v>1</v>
      </c>
      <c r="CW229" s="61"/>
      <c r="CX229" s="61">
        <v>189</v>
      </c>
      <c r="CY229" s="61">
        <v>226</v>
      </c>
      <c r="CZ229" s="61">
        <v>6</v>
      </c>
      <c r="DA229" s="61">
        <v>47</v>
      </c>
      <c r="DB229" s="61">
        <v>7</v>
      </c>
      <c r="DC229" s="61"/>
      <c r="DD229" s="61">
        <v>475</v>
      </c>
      <c r="DE229" s="61">
        <v>1</v>
      </c>
      <c r="DF229" s="61">
        <v>473</v>
      </c>
      <c r="DG229" s="61">
        <v>1</v>
      </c>
      <c r="DH229" s="62" t="s">
        <v>2185</v>
      </c>
      <c r="DI229" s="61">
        <v>25</v>
      </c>
      <c r="DJ229" s="61">
        <v>4</v>
      </c>
      <c r="DK229" s="61"/>
      <c r="DL229" s="61"/>
      <c r="DM229" s="61"/>
      <c r="DN229" s="61"/>
    </row>
    <row r="230" spans="1:118" x14ac:dyDescent="0.25">
      <c r="A230" s="61">
        <v>106362041</v>
      </c>
      <c r="B230" s="62" t="s">
        <v>1063</v>
      </c>
      <c r="C230" s="62" t="s">
        <v>1064</v>
      </c>
      <c r="D230" s="62" t="s">
        <v>1002</v>
      </c>
      <c r="E230" s="62" t="s">
        <v>94</v>
      </c>
      <c r="F230" s="62" t="s">
        <v>2213</v>
      </c>
      <c r="G230" s="62" t="s">
        <v>1065</v>
      </c>
      <c r="H230" s="62" t="s">
        <v>1066</v>
      </c>
      <c r="I230" s="62" t="s">
        <v>1067</v>
      </c>
      <c r="J230" s="62" t="s">
        <v>2187</v>
      </c>
      <c r="K230" s="62"/>
      <c r="L230" s="61">
        <v>8</v>
      </c>
      <c r="M230" s="61">
        <v>42</v>
      </c>
      <c r="N230" s="61">
        <v>16</v>
      </c>
      <c r="O230" s="62" t="s">
        <v>1944</v>
      </c>
      <c r="P230" s="62" t="s">
        <v>120</v>
      </c>
      <c r="Q230" s="62" t="s">
        <v>120</v>
      </c>
      <c r="R230" s="62" t="s">
        <v>2167</v>
      </c>
      <c r="S230" s="62" t="s">
        <v>69</v>
      </c>
      <c r="T230" s="61">
        <v>12561</v>
      </c>
      <c r="U230" s="61">
        <v>9765</v>
      </c>
      <c r="V230" s="61"/>
      <c r="W230" s="61">
        <v>2592</v>
      </c>
      <c r="X230" s="61">
        <v>2105</v>
      </c>
      <c r="Y230" s="61">
        <v>3655</v>
      </c>
      <c r="Z230" s="61">
        <v>3002</v>
      </c>
      <c r="AA230" s="61">
        <v>2670</v>
      </c>
      <c r="AB230" s="61">
        <v>3362</v>
      </c>
      <c r="AC230" s="61">
        <v>2197</v>
      </c>
      <c r="AD230" s="61">
        <v>1126</v>
      </c>
      <c r="AE230" s="61">
        <v>993</v>
      </c>
      <c r="AF230" s="61">
        <v>624</v>
      </c>
      <c r="AG230" s="61"/>
      <c r="AH230" s="61">
        <v>890</v>
      </c>
      <c r="AI230" s="61">
        <v>1206</v>
      </c>
      <c r="AJ230" s="61">
        <v>3125</v>
      </c>
      <c r="AK230" s="61">
        <v>4135</v>
      </c>
      <c r="AL230" s="61">
        <v>410</v>
      </c>
      <c r="AM230" s="61">
        <v>29</v>
      </c>
      <c r="AN230" s="61">
        <v>12531</v>
      </c>
      <c r="AO230" s="61">
        <v>972</v>
      </c>
      <c r="AP230" s="61">
        <v>1048</v>
      </c>
      <c r="AQ230" s="61">
        <v>45</v>
      </c>
      <c r="AR230" s="61">
        <v>11</v>
      </c>
      <c r="AS230" s="61">
        <v>1</v>
      </c>
      <c r="AT230" s="61"/>
      <c r="AU230" s="61"/>
      <c r="AV230" s="61">
        <v>29</v>
      </c>
      <c r="AW230" s="61">
        <v>13</v>
      </c>
      <c r="AX230" s="61"/>
      <c r="AY230" s="61">
        <v>19965</v>
      </c>
      <c r="AZ230" s="61">
        <v>139</v>
      </c>
      <c r="BA230" s="61"/>
      <c r="BB230" s="61"/>
      <c r="BC230" s="61">
        <v>13</v>
      </c>
      <c r="BD230" s="61">
        <v>10156</v>
      </c>
      <c r="BE230" s="61">
        <v>4396</v>
      </c>
      <c r="BF230" s="61">
        <v>991</v>
      </c>
      <c r="BG230" s="61">
        <v>5498</v>
      </c>
      <c r="BH230" s="61">
        <v>1285</v>
      </c>
      <c r="BI230" s="61"/>
      <c r="BJ230" s="61">
        <v>22326</v>
      </c>
      <c r="BK230" s="61">
        <v>39</v>
      </c>
      <c r="BL230" s="61">
        <v>21887</v>
      </c>
      <c r="BM230" s="61">
        <v>400</v>
      </c>
      <c r="BN230" s="61">
        <v>1134</v>
      </c>
      <c r="BO230" s="61">
        <v>888</v>
      </c>
      <c r="BP230" s="61"/>
      <c r="BQ230" s="61">
        <v>23</v>
      </c>
      <c r="BR230" s="61">
        <v>75</v>
      </c>
      <c r="BS230" s="61">
        <v>100</v>
      </c>
      <c r="BT230" s="61">
        <v>173</v>
      </c>
      <c r="BU230" s="61">
        <v>372</v>
      </c>
      <c r="BV230" s="61">
        <v>427</v>
      </c>
      <c r="BW230" s="61">
        <v>386</v>
      </c>
      <c r="BX230" s="61">
        <v>451</v>
      </c>
      <c r="BY230" s="61">
        <v>5</v>
      </c>
      <c r="BZ230" s="61">
        <v>10</v>
      </c>
      <c r="CA230" s="61"/>
      <c r="CB230" s="61">
        <v>40</v>
      </c>
      <c r="CC230" s="61">
        <v>100</v>
      </c>
      <c r="CD230" s="61">
        <v>167</v>
      </c>
      <c r="CE230" s="61">
        <v>25</v>
      </c>
      <c r="CF230" s="61">
        <v>1</v>
      </c>
      <c r="CG230" s="61">
        <v>1685</v>
      </c>
      <c r="CH230" s="61">
        <v>4</v>
      </c>
      <c r="CI230" s="61">
        <v>2</v>
      </c>
      <c r="CJ230" s="61">
        <v>298</v>
      </c>
      <c r="CK230" s="61">
        <v>51</v>
      </c>
      <c r="CL230" s="61">
        <v>111</v>
      </c>
      <c r="CM230" s="61"/>
      <c r="CN230" s="61"/>
      <c r="CO230" s="61">
        <v>194</v>
      </c>
      <c r="CP230" s="61">
        <v>1269</v>
      </c>
      <c r="CQ230" s="61">
        <v>4</v>
      </c>
      <c r="CR230" s="61"/>
      <c r="CS230" s="61"/>
      <c r="CT230" s="61"/>
      <c r="CU230" s="61">
        <v>93</v>
      </c>
      <c r="CV230" s="61"/>
      <c r="CW230" s="61"/>
      <c r="CX230" s="61">
        <v>545</v>
      </c>
      <c r="CY230" s="61">
        <v>631</v>
      </c>
      <c r="CZ230" s="61">
        <v>35</v>
      </c>
      <c r="DA230" s="61">
        <v>801</v>
      </c>
      <c r="DB230" s="61">
        <v>10</v>
      </c>
      <c r="DC230" s="61"/>
      <c r="DD230" s="61">
        <v>2022</v>
      </c>
      <c r="DE230" s="61">
        <v>4</v>
      </c>
      <c r="DF230" s="61">
        <v>1979</v>
      </c>
      <c r="DG230" s="61">
        <v>39</v>
      </c>
      <c r="DH230" s="62" t="s">
        <v>2185</v>
      </c>
      <c r="DI230" s="61">
        <v>179</v>
      </c>
      <c r="DJ230" s="61">
        <v>15</v>
      </c>
      <c r="DK230" s="61"/>
      <c r="DL230" s="61">
        <v>90</v>
      </c>
      <c r="DM230" s="61"/>
      <c r="DN230" s="61"/>
    </row>
    <row r="231" spans="1:118" x14ac:dyDescent="0.25">
      <c r="A231" s="61">
        <v>106364144</v>
      </c>
      <c r="B231" s="62" t="s">
        <v>1068</v>
      </c>
      <c r="C231" s="62" t="s">
        <v>1069</v>
      </c>
      <c r="D231" s="62" t="s">
        <v>1002</v>
      </c>
      <c r="E231" s="62" t="s">
        <v>184</v>
      </c>
      <c r="F231" s="62" t="s">
        <v>2213</v>
      </c>
      <c r="G231" s="62" t="s">
        <v>1070</v>
      </c>
      <c r="H231" s="62" t="s">
        <v>1056</v>
      </c>
      <c r="I231" s="62" t="s">
        <v>1057</v>
      </c>
      <c r="J231" s="62" t="s">
        <v>2189</v>
      </c>
      <c r="K231" s="62"/>
      <c r="L231" s="61">
        <v>8</v>
      </c>
      <c r="M231" s="61">
        <v>33</v>
      </c>
      <c r="N231" s="61">
        <v>21</v>
      </c>
      <c r="O231" s="62" t="s">
        <v>1942</v>
      </c>
      <c r="P231" s="62" t="s">
        <v>68</v>
      </c>
      <c r="Q231" s="62" t="s">
        <v>2167</v>
      </c>
      <c r="R231" s="62" t="s">
        <v>2167</v>
      </c>
      <c r="S231" s="62" t="s">
        <v>69</v>
      </c>
      <c r="T231" s="61">
        <v>18673</v>
      </c>
      <c r="U231" s="61">
        <v>14802</v>
      </c>
      <c r="V231" s="61"/>
      <c r="W231" s="61">
        <v>4837</v>
      </c>
      <c r="X231" s="61">
        <v>4234</v>
      </c>
      <c r="Y231" s="61">
        <v>6161</v>
      </c>
      <c r="Z231" s="61">
        <v>5201</v>
      </c>
      <c r="AA231" s="61">
        <v>4008</v>
      </c>
      <c r="AB231" s="61">
        <v>3629</v>
      </c>
      <c r="AC231" s="61">
        <v>2209</v>
      </c>
      <c r="AD231" s="61">
        <v>1242</v>
      </c>
      <c r="AE231" s="61">
        <v>883</v>
      </c>
      <c r="AF231" s="61">
        <v>1071</v>
      </c>
      <c r="AG231" s="61"/>
      <c r="AH231" s="61">
        <v>556</v>
      </c>
      <c r="AI231" s="61">
        <v>7034</v>
      </c>
      <c r="AJ231" s="61">
        <v>729</v>
      </c>
      <c r="AK231" s="61">
        <v>100</v>
      </c>
      <c r="AL231" s="61">
        <v>13365</v>
      </c>
      <c r="AM231" s="61">
        <v>50</v>
      </c>
      <c r="AN231" s="61">
        <v>11641</v>
      </c>
      <c r="AO231" s="61">
        <v>1142</v>
      </c>
      <c r="AP231" s="61">
        <v>3088</v>
      </c>
      <c r="AQ231" s="61">
        <v>173</v>
      </c>
      <c r="AR231" s="61">
        <v>1</v>
      </c>
      <c r="AS231" s="61">
        <v>2</v>
      </c>
      <c r="AT231" s="61">
        <v>1</v>
      </c>
      <c r="AU231" s="61"/>
      <c r="AV231" s="61">
        <v>94</v>
      </c>
      <c r="AW231" s="61">
        <v>19</v>
      </c>
      <c r="AX231" s="61">
        <v>2</v>
      </c>
      <c r="AY231" s="61">
        <v>28934</v>
      </c>
      <c r="AZ231" s="61">
        <v>12</v>
      </c>
      <c r="BA231" s="61"/>
      <c r="BB231" s="61">
        <v>6</v>
      </c>
      <c r="BC231" s="61"/>
      <c r="BD231" s="61">
        <v>4574</v>
      </c>
      <c r="BE231" s="61">
        <v>4625</v>
      </c>
      <c r="BF231" s="61">
        <v>1052</v>
      </c>
      <c r="BG231" s="61">
        <v>20544</v>
      </c>
      <c r="BH231" s="61">
        <v>2680</v>
      </c>
      <c r="BI231" s="61"/>
      <c r="BJ231" s="61">
        <v>33475</v>
      </c>
      <c r="BK231" s="61">
        <v>49</v>
      </c>
      <c r="BL231" s="61">
        <v>33293</v>
      </c>
      <c r="BM231" s="61">
        <v>133</v>
      </c>
      <c r="BN231" s="61">
        <v>4695</v>
      </c>
      <c r="BO231" s="61">
        <v>3669</v>
      </c>
      <c r="BP231" s="61"/>
      <c r="BQ231" s="61">
        <v>100</v>
      </c>
      <c r="BR231" s="61">
        <v>556</v>
      </c>
      <c r="BS231" s="61">
        <v>737</v>
      </c>
      <c r="BT231" s="61">
        <v>954</v>
      </c>
      <c r="BU231" s="61">
        <v>1704</v>
      </c>
      <c r="BV231" s="61">
        <v>1675</v>
      </c>
      <c r="BW231" s="61">
        <v>1190</v>
      </c>
      <c r="BX231" s="61">
        <v>1448</v>
      </c>
      <c r="BY231" s="61"/>
      <c r="BZ231" s="61"/>
      <c r="CA231" s="61"/>
      <c r="CB231" s="61">
        <v>170</v>
      </c>
      <c r="CC231" s="61">
        <v>1296</v>
      </c>
      <c r="CD231" s="61">
        <v>291</v>
      </c>
      <c r="CE231" s="61">
        <v>2336</v>
      </c>
      <c r="CF231" s="61">
        <v>14</v>
      </c>
      <c r="CG231" s="61">
        <v>4220</v>
      </c>
      <c r="CH231" s="61">
        <v>37</v>
      </c>
      <c r="CI231" s="61">
        <v>329</v>
      </c>
      <c r="CJ231" s="61">
        <v>353</v>
      </c>
      <c r="CK231" s="61">
        <v>164</v>
      </c>
      <c r="CL231" s="61">
        <v>1208</v>
      </c>
      <c r="CM231" s="61">
        <v>35</v>
      </c>
      <c r="CN231" s="61"/>
      <c r="CO231" s="61">
        <v>1</v>
      </c>
      <c r="CP231" s="61">
        <v>5428</v>
      </c>
      <c r="CQ231" s="61">
        <v>504</v>
      </c>
      <c r="CR231" s="61">
        <v>73</v>
      </c>
      <c r="CS231" s="61">
        <v>240</v>
      </c>
      <c r="CT231" s="61">
        <v>28</v>
      </c>
      <c r="CU231" s="61"/>
      <c r="CV231" s="61"/>
      <c r="CW231" s="61">
        <v>1</v>
      </c>
      <c r="CX231" s="61">
        <v>3000</v>
      </c>
      <c r="CY231" s="61">
        <v>3847</v>
      </c>
      <c r="CZ231" s="61">
        <v>223</v>
      </c>
      <c r="DA231" s="61">
        <v>1200</v>
      </c>
      <c r="DB231" s="61">
        <v>94</v>
      </c>
      <c r="DC231" s="61"/>
      <c r="DD231" s="61">
        <v>8364</v>
      </c>
      <c r="DE231" s="61">
        <v>1</v>
      </c>
      <c r="DF231" s="61">
        <v>8303</v>
      </c>
      <c r="DG231" s="61">
        <v>60</v>
      </c>
      <c r="DH231" s="62" t="s">
        <v>2185</v>
      </c>
      <c r="DI231" s="61">
        <v>148</v>
      </c>
      <c r="DJ231" s="61">
        <v>21</v>
      </c>
      <c r="DK231" s="61"/>
      <c r="DL231" s="61">
        <v>1</v>
      </c>
      <c r="DM231" s="61"/>
      <c r="DN231" s="61"/>
    </row>
    <row r="232" spans="1:118" x14ac:dyDescent="0.25">
      <c r="A232" s="61">
        <v>106364231</v>
      </c>
      <c r="B232" s="62" t="s">
        <v>1071</v>
      </c>
      <c r="C232" s="62" t="s">
        <v>1072</v>
      </c>
      <c r="D232" s="62" t="s">
        <v>1002</v>
      </c>
      <c r="E232" s="62" t="s">
        <v>100</v>
      </c>
      <c r="F232" s="62" t="s">
        <v>2213</v>
      </c>
      <c r="G232" s="62" t="s">
        <v>1073</v>
      </c>
      <c r="H232" s="62" t="s">
        <v>1074</v>
      </c>
      <c r="I232" s="62" t="s">
        <v>2086</v>
      </c>
      <c r="J232" s="62" t="s">
        <v>2186</v>
      </c>
      <c r="K232" s="62" t="s">
        <v>82</v>
      </c>
      <c r="L232" s="61">
        <v>31</v>
      </c>
      <c r="M232" s="61">
        <v>47</v>
      </c>
      <c r="N232" s="61">
        <v>20</v>
      </c>
      <c r="O232" s="62" t="s">
        <v>1935</v>
      </c>
      <c r="P232" s="62" t="s">
        <v>68</v>
      </c>
      <c r="Q232" s="62" t="s">
        <v>2167</v>
      </c>
      <c r="R232" s="62" t="s">
        <v>83</v>
      </c>
      <c r="S232" s="62" t="s">
        <v>69</v>
      </c>
      <c r="T232" s="61">
        <v>41140</v>
      </c>
      <c r="U232" s="61">
        <v>39645</v>
      </c>
      <c r="V232" s="61"/>
      <c r="W232" s="61">
        <v>7160</v>
      </c>
      <c r="X232" s="61">
        <v>7517</v>
      </c>
      <c r="Y232" s="61">
        <v>18891</v>
      </c>
      <c r="Z232" s="61">
        <v>13829</v>
      </c>
      <c r="AA232" s="61">
        <v>11738</v>
      </c>
      <c r="AB232" s="61">
        <v>11765</v>
      </c>
      <c r="AC232" s="61">
        <v>5724</v>
      </c>
      <c r="AD232" s="61">
        <v>1502</v>
      </c>
      <c r="AE232" s="61">
        <v>833</v>
      </c>
      <c r="AF232" s="61">
        <v>1826</v>
      </c>
      <c r="AG232" s="61"/>
      <c r="AH232" s="61">
        <v>1169</v>
      </c>
      <c r="AI232" s="61">
        <v>12380</v>
      </c>
      <c r="AJ232" s="61">
        <v>48792</v>
      </c>
      <c r="AK232" s="61">
        <v>112</v>
      </c>
      <c r="AL232" s="61">
        <v>1377</v>
      </c>
      <c r="AM232" s="61">
        <v>1125</v>
      </c>
      <c r="AN232" s="61">
        <v>15830</v>
      </c>
      <c r="AO232" s="61">
        <v>204</v>
      </c>
      <c r="AP232" s="61">
        <v>3494</v>
      </c>
      <c r="AQ232" s="61">
        <v>104</v>
      </c>
      <c r="AR232" s="61">
        <v>20</v>
      </c>
      <c r="AS232" s="61">
        <v>4</v>
      </c>
      <c r="AT232" s="61">
        <v>12</v>
      </c>
      <c r="AU232" s="61"/>
      <c r="AV232" s="61">
        <v>1917</v>
      </c>
      <c r="AW232" s="61">
        <v>1127</v>
      </c>
      <c r="AX232" s="61">
        <v>229</v>
      </c>
      <c r="AY232" s="61">
        <v>73321</v>
      </c>
      <c r="AZ232" s="61">
        <v>235</v>
      </c>
      <c r="BA232" s="61"/>
      <c r="BB232" s="61"/>
      <c r="BC232" s="61">
        <v>103</v>
      </c>
      <c r="BD232" s="61">
        <v>61922</v>
      </c>
      <c r="BE232" s="61">
        <v>2979</v>
      </c>
      <c r="BF232" s="61">
        <v>5575</v>
      </c>
      <c r="BG232" s="61">
        <v>3277</v>
      </c>
      <c r="BH232" s="61">
        <v>7032</v>
      </c>
      <c r="BI232" s="61"/>
      <c r="BJ232" s="61">
        <v>80785</v>
      </c>
      <c r="BK232" s="61">
        <v>705</v>
      </c>
      <c r="BL232" s="61">
        <v>65433</v>
      </c>
      <c r="BM232" s="61">
        <v>14647</v>
      </c>
      <c r="BN232" s="61">
        <v>6710</v>
      </c>
      <c r="BO232" s="61">
        <v>8548</v>
      </c>
      <c r="BP232" s="61"/>
      <c r="BQ232" s="61">
        <v>513</v>
      </c>
      <c r="BR232" s="61">
        <v>2487</v>
      </c>
      <c r="BS232" s="61">
        <v>2292</v>
      </c>
      <c r="BT232" s="61">
        <v>2412</v>
      </c>
      <c r="BU232" s="61">
        <v>3229</v>
      </c>
      <c r="BV232" s="61">
        <v>2055</v>
      </c>
      <c r="BW232" s="61">
        <v>950</v>
      </c>
      <c r="BX232" s="61">
        <v>773</v>
      </c>
      <c r="BY232" s="61">
        <v>216</v>
      </c>
      <c r="BZ232" s="61">
        <v>331</v>
      </c>
      <c r="CA232" s="61"/>
      <c r="CB232" s="61">
        <v>304</v>
      </c>
      <c r="CC232" s="61">
        <v>2417</v>
      </c>
      <c r="CD232" s="61">
        <v>7519</v>
      </c>
      <c r="CE232" s="61">
        <v>321</v>
      </c>
      <c r="CF232" s="61">
        <v>287</v>
      </c>
      <c r="CG232" s="61">
        <v>4366</v>
      </c>
      <c r="CH232" s="61">
        <v>44</v>
      </c>
      <c r="CI232" s="61">
        <v>316</v>
      </c>
      <c r="CJ232" s="61">
        <v>446</v>
      </c>
      <c r="CK232" s="61">
        <v>80</v>
      </c>
      <c r="CL232" s="61">
        <v>120</v>
      </c>
      <c r="CM232" s="61">
        <v>31</v>
      </c>
      <c r="CN232" s="61"/>
      <c r="CO232" s="61">
        <v>47</v>
      </c>
      <c r="CP232" s="61">
        <v>12980</v>
      </c>
      <c r="CQ232" s="61">
        <v>1068</v>
      </c>
      <c r="CR232" s="61">
        <v>99</v>
      </c>
      <c r="CS232" s="61">
        <v>9</v>
      </c>
      <c r="CT232" s="61">
        <v>43</v>
      </c>
      <c r="CU232" s="61"/>
      <c r="CV232" s="61"/>
      <c r="CW232" s="61">
        <v>19</v>
      </c>
      <c r="CX232" s="61">
        <v>11613</v>
      </c>
      <c r="CY232" s="61">
        <v>1840</v>
      </c>
      <c r="CZ232" s="61">
        <v>224</v>
      </c>
      <c r="DA232" s="61">
        <v>1035</v>
      </c>
      <c r="DB232" s="61">
        <v>546</v>
      </c>
      <c r="DC232" s="61"/>
      <c r="DD232" s="61">
        <v>15258</v>
      </c>
      <c r="DE232" s="61">
        <v>238</v>
      </c>
      <c r="DF232" s="61">
        <v>12358</v>
      </c>
      <c r="DG232" s="61">
        <v>2662</v>
      </c>
      <c r="DH232" s="62" t="s">
        <v>2185</v>
      </c>
      <c r="DI232" s="61">
        <v>456</v>
      </c>
      <c r="DJ232" s="61">
        <v>43</v>
      </c>
      <c r="DK232" s="61"/>
      <c r="DL232" s="61">
        <v>15</v>
      </c>
      <c r="DM232" s="61"/>
      <c r="DN232" s="61"/>
    </row>
    <row r="233" spans="1:118" x14ac:dyDescent="0.25">
      <c r="A233" s="61">
        <v>106364430</v>
      </c>
      <c r="B233" s="62" t="s">
        <v>1075</v>
      </c>
      <c r="C233" s="62" t="s">
        <v>1076</v>
      </c>
      <c r="D233" s="62" t="s">
        <v>1002</v>
      </c>
      <c r="E233" s="62" t="s">
        <v>184</v>
      </c>
      <c r="F233" s="62" t="s">
        <v>2213</v>
      </c>
      <c r="G233" s="62" t="s">
        <v>1077</v>
      </c>
      <c r="H233" s="62" t="s">
        <v>1078</v>
      </c>
      <c r="I233" s="62" t="s">
        <v>1079</v>
      </c>
      <c r="J233" s="62" t="s">
        <v>2190</v>
      </c>
      <c r="K233" s="62"/>
      <c r="L233" s="61">
        <v>8</v>
      </c>
      <c r="M233" s="61">
        <v>33</v>
      </c>
      <c r="N233" s="61">
        <v>16</v>
      </c>
      <c r="O233" s="62" t="s">
        <v>1945</v>
      </c>
      <c r="P233" s="62" t="s">
        <v>120</v>
      </c>
      <c r="Q233" s="62" t="s">
        <v>120</v>
      </c>
      <c r="R233" s="62" t="s">
        <v>2167</v>
      </c>
      <c r="S233" s="62" t="s">
        <v>69</v>
      </c>
      <c r="T233" s="61">
        <v>17291</v>
      </c>
      <c r="U233" s="61">
        <v>13521</v>
      </c>
      <c r="V233" s="61"/>
      <c r="W233" s="61">
        <v>4298</v>
      </c>
      <c r="X233" s="61">
        <v>3218</v>
      </c>
      <c r="Y233" s="61">
        <v>5587</v>
      </c>
      <c r="Z233" s="61">
        <v>4741</v>
      </c>
      <c r="AA233" s="61">
        <v>3795</v>
      </c>
      <c r="AB233" s="61">
        <v>3943</v>
      </c>
      <c r="AC233" s="61">
        <v>2170</v>
      </c>
      <c r="AD233" s="61">
        <v>1126</v>
      </c>
      <c r="AE233" s="61">
        <v>882</v>
      </c>
      <c r="AF233" s="61">
        <v>1052</v>
      </c>
      <c r="AG233" s="61"/>
      <c r="AH233" s="61">
        <v>185</v>
      </c>
      <c r="AI233" s="61">
        <v>6143</v>
      </c>
      <c r="AJ233" s="61">
        <v>8587</v>
      </c>
      <c r="AK233" s="61">
        <v>45</v>
      </c>
      <c r="AL233" s="61">
        <v>6</v>
      </c>
      <c r="AM233" s="61">
        <v>2</v>
      </c>
      <c r="AN233" s="61">
        <v>15844</v>
      </c>
      <c r="AO233" s="61">
        <v>401</v>
      </c>
      <c r="AP233" s="61">
        <v>833</v>
      </c>
      <c r="AQ233" s="61">
        <v>57</v>
      </c>
      <c r="AR233" s="61">
        <v>14</v>
      </c>
      <c r="AS233" s="61">
        <v>7</v>
      </c>
      <c r="AT233" s="61">
        <v>6</v>
      </c>
      <c r="AU233" s="61"/>
      <c r="AV233" s="61">
        <v>84</v>
      </c>
      <c r="AW233" s="61">
        <v>23</v>
      </c>
      <c r="AX233" s="61">
        <v>4</v>
      </c>
      <c r="AY233" s="61">
        <v>29231</v>
      </c>
      <c r="AZ233" s="61">
        <v>60</v>
      </c>
      <c r="BA233" s="61">
        <v>83</v>
      </c>
      <c r="BB233" s="61"/>
      <c r="BC233" s="61">
        <v>9</v>
      </c>
      <c r="BD233" s="61">
        <v>9882</v>
      </c>
      <c r="BE233" s="61">
        <v>4032</v>
      </c>
      <c r="BF233" s="61">
        <v>1203</v>
      </c>
      <c r="BG233" s="61">
        <v>14269</v>
      </c>
      <c r="BH233" s="61">
        <v>1424</v>
      </c>
      <c r="BI233" s="61">
        <v>2</v>
      </c>
      <c r="BJ233" s="61">
        <v>30812</v>
      </c>
      <c r="BK233" s="61">
        <v>33</v>
      </c>
      <c r="BL233" s="61">
        <v>30161</v>
      </c>
      <c r="BM233" s="61">
        <v>618</v>
      </c>
      <c r="BN233" s="61">
        <v>836</v>
      </c>
      <c r="BO233" s="61">
        <v>821</v>
      </c>
      <c r="BP233" s="61"/>
      <c r="BQ233" s="61">
        <v>31</v>
      </c>
      <c r="BR233" s="61">
        <v>85</v>
      </c>
      <c r="BS233" s="61">
        <v>108</v>
      </c>
      <c r="BT233" s="61">
        <v>171</v>
      </c>
      <c r="BU233" s="61">
        <v>357</v>
      </c>
      <c r="BV233" s="61">
        <v>349</v>
      </c>
      <c r="BW233" s="61">
        <v>286</v>
      </c>
      <c r="BX233" s="61">
        <v>267</v>
      </c>
      <c r="BY233" s="61">
        <v>3</v>
      </c>
      <c r="BZ233" s="61"/>
      <c r="CA233" s="61"/>
      <c r="CB233" s="61">
        <v>19</v>
      </c>
      <c r="CC233" s="61">
        <v>236</v>
      </c>
      <c r="CD233" s="61">
        <v>370</v>
      </c>
      <c r="CE233" s="61">
        <v>1</v>
      </c>
      <c r="CF233" s="61"/>
      <c r="CG233" s="61">
        <v>1028</v>
      </c>
      <c r="CH233" s="61">
        <v>3</v>
      </c>
      <c r="CI233" s="61">
        <v>133</v>
      </c>
      <c r="CJ233" s="61">
        <v>68</v>
      </c>
      <c r="CK233" s="61">
        <v>33</v>
      </c>
      <c r="CL233" s="61">
        <v>263</v>
      </c>
      <c r="CM233" s="61">
        <v>17</v>
      </c>
      <c r="CN233" s="61"/>
      <c r="CO233" s="61">
        <v>25</v>
      </c>
      <c r="CP233" s="61">
        <v>871</v>
      </c>
      <c r="CQ233" s="61">
        <v>185</v>
      </c>
      <c r="CR233" s="61"/>
      <c r="CS233" s="61">
        <v>62</v>
      </c>
      <c r="CT233" s="61"/>
      <c r="CU233" s="61"/>
      <c r="CV233" s="61"/>
      <c r="CW233" s="61"/>
      <c r="CX233" s="61">
        <v>543</v>
      </c>
      <c r="CY233" s="61">
        <v>863</v>
      </c>
      <c r="CZ233" s="61">
        <v>28</v>
      </c>
      <c r="DA233" s="61">
        <v>204</v>
      </c>
      <c r="DB233" s="61">
        <v>19</v>
      </c>
      <c r="DC233" s="61"/>
      <c r="DD233" s="61">
        <v>1657</v>
      </c>
      <c r="DE233" s="61">
        <v>5</v>
      </c>
      <c r="DF233" s="61">
        <v>1607</v>
      </c>
      <c r="DG233" s="61">
        <v>45</v>
      </c>
      <c r="DH233" s="62" t="s">
        <v>2185</v>
      </c>
      <c r="DI233" s="61">
        <v>30</v>
      </c>
      <c r="DJ233" s="61">
        <v>16</v>
      </c>
      <c r="DK233" s="61"/>
      <c r="DL233" s="61"/>
      <c r="DM233" s="61"/>
      <c r="DN233" s="61"/>
    </row>
    <row r="234" spans="1:118" x14ac:dyDescent="0.25">
      <c r="A234" s="61">
        <v>106370652</v>
      </c>
      <c r="B234" s="62" t="s">
        <v>1080</v>
      </c>
      <c r="C234" s="62" t="s">
        <v>1081</v>
      </c>
      <c r="D234" s="62" t="s">
        <v>1082</v>
      </c>
      <c r="E234" s="62" t="s">
        <v>184</v>
      </c>
      <c r="F234" s="62" t="s">
        <v>2213</v>
      </c>
      <c r="G234" s="62" t="s">
        <v>1083</v>
      </c>
      <c r="H234" s="62" t="s">
        <v>1082</v>
      </c>
      <c r="I234" s="62" t="s">
        <v>2087</v>
      </c>
      <c r="J234" s="62" t="s">
        <v>2184</v>
      </c>
      <c r="K234" s="62"/>
      <c r="L234" s="61">
        <v>53</v>
      </c>
      <c r="M234" s="61">
        <v>79</v>
      </c>
      <c r="N234" s="61">
        <v>39</v>
      </c>
      <c r="O234" s="62" t="s">
        <v>1946</v>
      </c>
      <c r="P234" s="62" t="s">
        <v>68</v>
      </c>
      <c r="Q234" s="62" t="s">
        <v>2167</v>
      </c>
      <c r="R234" s="62" t="s">
        <v>2167</v>
      </c>
      <c r="S234" s="62" t="s">
        <v>69</v>
      </c>
      <c r="T234" s="61">
        <v>10374</v>
      </c>
      <c r="U234" s="61">
        <v>9714</v>
      </c>
      <c r="V234" s="61"/>
      <c r="W234" s="61">
        <v>447</v>
      </c>
      <c r="X234" s="61">
        <v>1596</v>
      </c>
      <c r="Y234" s="61">
        <v>4503</v>
      </c>
      <c r="Z234" s="61">
        <v>3552</v>
      </c>
      <c r="AA234" s="61">
        <v>3151</v>
      </c>
      <c r="AB234" s="61">
        <v>3215</v>
      </c>
      <c r="AC234" s="61">
        <v>1893</v>
      </c>
      <c r="AD234" s="61">
        <v>828</v>
      </c>
      <c r="AE234" s="61">
        <v>857</v>
      </c>
      <c r="AF234" s="61">
        <v>46</v>
      </c>
      <c r="AG234" s="61"/>
      <c r="AH234" s="61">
        <v>952</v>
      </c>
      <c r="AI234" s="61">
        <v>4153</v>
      </c>
      <c r="AJ234" s="61">
        <v>3523</v>
      </c>
      <c r="AK234" s="61">
        <v>119</v>
      </c>
      <c r="AL234" s="61">
        <v>8</v>
      </c>
      <c r="AM234" s="61">
        <v>1</v>
      </c>
      <c r="AN234" s="61">
        <v>11332</v>
      </c>
      <c r="AO234" s="61">
        <v>168</v>
      </c>
      <c r="AP234" s="61">
        <v>238</v>
      </c>
      <c r="AQ234" s="61">
        <v>16</v>
      </c>
      <c r="AR234" s="61">
        <v>227</v>
      </c>
      <c r="AS234" s="61">
        <v>4</v>
      </c>
      <c r="AT234" s="61">
        <v>4</v>
      </c>
      <c r="AU234" s="61"/>
      <c r="AV234" s="61">
        <v>144</v>
      </c>
      <c r="AW234" s="61">
        <v>142</v>
      </c>
      <c r="AX234" s="61">
        <v>9</v>
      </c>
      <c r="AY234" s="61">
        <v>18976</v>
      </c>
      <c r="AZ234" s="61">
        <v>76</v>
      </c>
      <c r="BA234" s="61">
        <v>1</v>
      </c>
      <c r="BB234" s="61">
        <v>30</v>
      </c>
      <c r="BC234" s="61">
        <v>13</v>
      </c>
      <c r="BD234" s="61">
        <v>10525</v>
      </c>
      <c r="BE234" s="61">
        <v>4246</v>
      </c>
      <c r="BF234" s="61">
        <v>989</v>
      </c>
      <c r="BG234" s="61">
        <v>2416</v>
      </c>
      <c r="BH234" s="61">
        <v>1912</v>
      </c>
      <c r="BI234" s="61"/>
      <c r="BJ234" s="61">
        <v>20088</v>
      </c>
      <c r="BK234" s="61">
        <v>301</v>
      </c>
      <c r="BL234" s="61">
        <v>19443</v>
      </c>
      <c r="BM234" s="61">
        <v>344</v>
      </c>
      <c r="BN234" s="61">
        <v>2041</v>
      </c>
      <c r="BO234" s="61">
        <v>2552</v>
      </c>
      <c r="BP234" s="61"/>
      <c r="BQ234" s="61">
        <v>33</v>
      </c>
      <c r="BR234" s="61">
        <v>222</v>
      </c>
      <c r="BS234" s="61">
        <v>341</v>
      </c>
      <c r="BT234" s="61">
        <v>526</v>
      </c>
      <c r="BU234" s="61">
        <v>1013</v>
      </c>
      <c r="BV234" s="61">
        <v>889</v>
      </c>
      <c r="BW234" s="61">
        <v>680</v>
      </c>
      <c r="BX234" s="61">
        <v>889</v>
      </c>
      <c r="BY234" s="61"/>
      <c r="BZ234" s="61"/>
      <c r="CA234" s="61"/>
      <c r="CB234" s="61">
        <v>378</v>
      </c>
      <c r="CC234" s="61">
        <v>621</v>
      </c>
      <c r="CD234" s="61">
        <v>788</v>
      </c>
      <c r="CE234" s="61"/>
      <c r="CF234" s="61"/>
      <c r="CG234" s="61">
        <v>2778</v>
      </c>
      <c r="CH234" s="61">
        <v>28</v>
      </c>
      <c r="CI234" s="61">
        <v>225</v>
      </c>
      <c r="CJ234" s="61">
        <v>223</v>
      </c>
      <c r="CK234" s="61">
        <v>189</v>
      </c>
      <c r="CL234" s="61">
        <v>289</v>
      </c>
      <c r="CM234" s="61">
        <v>33</v>
      </c>
      <c r="CN234" s="61"/>
      <c r="CO234" s="61">
        <v>14</v>
      </c>
      <c r="CP234" s="61">
        <v>2109</v>
      </c>
      <c r="CQ234" s="61">
        <v>1012</v>
      </c>
      <c r="CR234" s="61">
        <v>343</v>
      </c>
      <c r="CS234" s="61">
        <v>40</v>
      </c>
      <c r="CT234" s="61">
        <v>12</v>
      </c>
      <c r="CU234" s="61"/>
      <c r="CV234" s="61"/>
      <c r="CW234" s="61">
        <v>104</v>
      </c>
      <c r="CX234" s="61">
        <v>1589</v>
      </c>
      <c r="CY234" s="61">
        <v>2181</v>
      </c>
      <c r="CZ234" s="61">
        <v>395</v>
      </c>
      <c r="DA234" s="61">
        <v>393</v>
      </c>
      <c r="DB234" s="61">
        <v>34</v>
      </c>
      <c r="DC234" s="61">
        <v>1</v>
      </c>
      <c r="DD234" s="61">
        <v>4593</v>
      </c>
      <c r="DE234" s="61">
        <v>202</v>
      </c>
      <c r="DF234" s="61">
        <v>4247</v>
      </c>
      <c r="DG234" s="61">
        <v>144</v>
      </c>
      <c r="DH234" s="62" t="s">
        <v>2185</v>
      </c>
      <c r="DI234" s="61">
        <v>226</v>
      </c>
      <c r="DJ234" s="61">
        <v>16</v>
      </c>
      <c r="DK234" s="61"/>
      <c r="DL234" s="61">
        <v>40</v>
      </c>
      <c r="DM234" s="61"/>
      <c r="DN234" s="61"/>
    </row>
    <row r="235" spans="1:118" x14ac:dyDescent="0.25">
      <c r="A235" s="61">
        <v>106370673</v>
      </c>
      <c r="B235" s="62" t="s">
        <v>1085</v>
      </c>
      <c r="C235" s="62" t="s">
        <v>2088</v>
      </c>
      <c r="D235" s="62" t="s">
        <v>1082</v>
      </c>
      <c r="E235" s="62" t="s">
        <v>71</v>
      </c>
      <c r="F235" s="62" t="s">
        <v>2213</v>
      </c>
      <c r="G235" s="62" t="s">
        <v>2089</v>
      </c>
      <c r="H235" s="62" t="s">
        <v>1082</v>
      </c>
      <c r="I235" s="62" t="s">
        <v>1086</v>
      </c>
      <c r="J235" s="62" t="s">
        <v>2191</v>
      </c>
      <c r="K235" s="62" t="s">
        <v>1087</v>
      </c>
      <c r="L235" s="61">
        <v>53</v>
      </c>
      <c r="M235" s="61">
        <v>79</v>
      </c>
      <c r="N235" s="61">
        <v>39</v>
      </c>
      <c r="O235" s="62" t="s">
        <v>1947</v>
      </c>
      <c r="P235" s="62" t="s">
        <v>68</v>
      </c>
      <c r="Q235" s="62" t="s">
        <v>2167</v>
      </c>
      <c r="R235" s="62" t="s">
        <v>83</v>
      </c>
      <c r="S235" s="62" t="s">
        <v>69</v>
      </c>
      <c r="T235" s="61">
        <v>37854</v>
      </c>
      <c r="U235" s="61">
        <v>44289</v>
      </c>
      <c r="V235" s="61">
        <v>1</v>
      </c>
      <c r="W235" s="61">
        <v>48047</v>
      </c>
      <c r="X235" s="61">
        <v>22131</v>
      </c>
      <c r="Y235" s="61">
        <v>232</v>
      </c>
      <c r="Z235" s="61">
        <v>92</v>
      </c>
      <c r="AA235" s="61">
        <v>50</v>
      </c>
      <c r="AB235" s="61">
        <v>25</v>
      </c>
      <c r="AC235" s="61">
        <v>13</v>
      </c>
      <c r="AD235" s="61">
        <v>3</v>
      </c>
      <c r="AE235" s="61">
        <v>6</v>
      </c>
      <c r="AF235" s="61">
        <v>11545</v>
      </c>
      <c r="AG235" s="61"/>
      <c r="AH235" s="61">
        <v>4500</v>
      </c>
      <c r="AI235" s="61">
        <v>5239</v>
      </c>
      <c r="AJ235" s="61">
        <v>43725</v>
      </c>
      <c r="AK235" s="61">
        <v>142</v>
      </c>
      <c r="AL235" s="61">
        <v>9094</v>
      </c>
      <c r="AM235" s="61">
        <v>315</v>
      </c>
      <c r="AN235" s="61">
        <v>19129</v>
      </c>
      <c r="AO235" s="61">
        <v>310</v>
      </c>
      <c r="AP235" s="61">
        <v>773</v>
      </c>
      <c r="AQ235" s="61">
        <v>8</v>
      </c>
      <c r="AR235" s="61">
        <v>12</v>
      </c>
      <c r="AS235" s="61"/>
      <c r="AT235" s="61">
        <v>2</v>
      </c>
      <c r="AU235" s="61"/>
      <c r="AV235" s="61">
        <v>3</v>
      </c>
      <c r="AW235" s="61">
        <v>672</v>
      </c>
      <c r="AX235" s="61"/>
      <c r="AY235" s="61">
        <v>79863</v>
      </c>
      <c r="AZ235" s="61">
        <v>1</v>
      </c>
      <c r="BA235" s="61">
        <v>3</v>
      </c>
      <c r="BB235" s="61"/>
      <c r="BC235" s="61"/>
      <c r="BD235" s="61">
        <v>50327</v>
      </c>
      <c r="BE235" s="61">
        <v>28</v>
      </c>
      <c r="BF235" s="61">
        <v>5561</v>
      </c>
      <c r="BG235" s="61">
        <v>20383</v>
      </c>
      <c r="BH235" s="61">
        <v>5793</v>
      </c>
      <c r="BI235" s="61">
        <v>52</v>
      </c>
      <c r="BJ235" s="61">
        <v>82144</v>
      </c>
      <c r="BK235" s="61">
        <v>1961</v>
      </c>
      <c r="BL235" s="61">
        <v>65619</v>
      </c>
      <c r="BM235" s="61">
        <v>14564</v>
      </c>
      <c r="BN235" s="61">
        <v>3858</v>
      </c>
      <c r="BO235" s="61">
        <v>4721</v>
      </c>
      <c r="BP235" s="61">
        <v>1</v>
      </c>
      <c r="BQ235" s="61">
        <v>2665</v>
      </c>
      <c r="BR235" s="61">
        <v>84</v>
      </c>
      <c r="BS235" s="61">
        <v>2</v>
      </c>
      <c r="BT235" s="61"/>
      <c r="BU235" s="61"/>
      <c r="BV235" s="61"/>
      <c r="BW235" s="61"/>
      <c r="BX235" s="61"/>
      <c r="BY235" s="61">
        <v>1796</v>
      </c>
      <c r="BZ235" s="61">
        <v>4033</v>
      </c>
      <c r="CA235" s="61"/>
      <c r="CB235" s="61">
        <v>521</v>
      </c>
      <c r="CC235" s="61">
        <v>550</v>
      </c>
      <c r="CD235" s="61">
        <v>4246</v>
      </c>
      <c r="CE235" s="61">
        <v>806</v>
      </c>
      <c r="CF235" s="61">
        <v>29</v>
      </c>
      <c r="CG235" s="61">
        <v>2404</v>
      </c>
      <c r="CH235" s="61">
        <v>24</v>
      </c>
      <c r="CI235" s="61">
        <v>22</v>
      </c>
      <c r="CJ235" s="61"/>
      <c r="CK235" s="61">
        <v>24</v>
      </c>
      <c r="CL235" s="61">
        <v>161</v>
      </c>
      <c r="CM235" s="61">
        <v>9</v>
      </c>
      <c r="CN235" s="61"/>
      <c r="CO235" s="61">
        <v>21</v>
      </c>
      <c r="CP235" s="61">
        <v>8245</v>
      </c>
      <c r="CQ235" s="61">
        <v>14</v>
      </c>
      <c r="CR235" s="61">
        <v>11</v>
      </c>
      <c r="CS235" s="61">
        <v>10</v>
      </c>
      <c r="CT235" s="61">
        <v>45</v>
      </c>
      <c r="CU235" s="61"/>
      <c r="CV235" s="61"/>
      <c r="CW235" s="61"/>
      <c r="CX235" s="61">
        <v>3195</v>
      </c>
      <c r="CY235" s="61">
        <v>26</v>
      </c>
      <c r="CZ235" s="61">
        <v>2016</v>
      </c>
      <c r="DA235" s="61">
        <v>2865</v>
      </c>
      <c r="DB235" s="61">
        <v>478</v>
      </c>
      <c r="DC235" s="61"/>
      <c r="DD235" s="61">
        <v>8580</v>
      </c>
      <c r="DE235" s="61">
        <v>167</v>
      </c>
      <c r="DF235" s="61">
        <v>6908</v>
      </c>
      <c r="DG235" s="61">
        <v>1505</v>
      </c>
      <c r="DH235" s="62" t="s">
        <v>2185</v>
      </c>
      <c r="DI235" s="61">
        <v>520</v>
      </c>
      <c r="DJ235" s="61">
        <v>35</v>
      </c>
      <c r="DK235" s="61">
        <v>76</v>
      </c>
      <c r="DL235" s="61">
        <v>421</v>
      </c>
      <c r="DM235" s="61"/>
      <c r="DN235" s="61">
        <v>18</v>
      </c>
    </row>
    <row r="236" spans="1:118" x14ac:dyDescent="0.25">
      <c r="A236" s="61">
        <v>106370689</v>
      </c>
      <c r="B236" s="62" t="s">
        <v>1088</v>
      </c>
      <c r="C236" s="62" t="s">
        <v>1089</v>
      </c>
      <c r="D236" s="62" t="s">
        <v>1082</v>
      </c>
      <c r="E236" s="62" t="s">
        <v>71</v>
      </c>
      <c r="F236" s="62" t="s">
        <v>2213</v>
      </c>
      <c r="G236" s="62" t="s">
        <v>1090</v>
      </c>
      <c r="H236" s="62" t="s">
        <v>1091</v>
      </c>
      <c r="I236" s="62" t="s">
        <v>1092</v>
      </c>
      <c r="J236" s="62" t="s">
        <v>2187</v>
      </c>
      <c r="K236" s="62"/>
      <c r="L236" s="61">
        <v>52</v>
      </c>
      <c r="M236" s="61">
        <v>78</v>
      </c>
      <c r="N236" s="61">
        <v>39</v>
      </c>
      <c r="O236" s="62" t="s">
        <v>1948</v>
      </c>
      <c r="P236" s="62" t="s">
        <v>68</v>
      </c>
      <c r="Q236" s="62" t="s">
        <v>2167</v>
      </c>
      <c r="R236" s="62" t="s">
        <v>2167</v>
      </c>
      <c r="S236" s="62" t="s">
        <v>69</v>
      </c>
      <c r="T236" s="61">
        <v>8525</v>
      </c>
      <c r="U236" s="61">
        <v>6280</v>
      </c>
      <c r="V236" s="61"/>
      <c r="W236" s="61">
        <v>1036</v>
      </c>
      <c r="X236" s="61">
        <v>1359</v>
      </c>
      <c r="Y236" s="61">
        <v>2593</v>
      </c>
      <c r="Z236" s="61">
        <v>2291</v>
      </c>
      <c r="AA236" s="61">
        <v>1976</v>
      </c>
      <c r="AB236" s="61">
        <v>2000</v>
      </c>
      <c r="AC236" s="61">
        <v>1290</v>
      </c>
      <c r="AD236" s="61">
        <v>971</v>
      </c>
      <c r="AE236" s="61">
        <v>1188</v>
      </c>
      <c r="AF236" s="61">
        <v>101</v>
      </c>
      <c r="AG236" s="61"/>
      <c r="AH236" s="61">
        <v>474</v>
      </c>
      <c r="AI236" s="61">
        <v>705</v>
      </c>
      <c r="AJ236" s="61">
        <v>5041</v>
      </c>
      <c r="AK236" s="61">
        <v>22</v>
      </c>
      <c r="AL236" s="61">
        <v>972</v>
      </c>
      <c r="AM236" s="61">
        <v>41</v>
      </c>
      <c r="AN236" s="61">
        <v>7550</v>
      </c>
      <c r="AO236" s="61">
        <v>230</v>
      </c>
      <c r="AP236" s="61">
        <v>251</v>
      </c>
      <c r="AQ236" s="61">
        <v>6</v>
      </c>
      <c r="AR236" s="61">
        <v>14</v>
      </c>
      <c r="AS236" s="61"/>
      <c r="AT236" s="61">
        <v>3</v>
      </c>
      <c r="AU236" s="61"/>
      <c r="AV236" s="61">
        <v>252</v>
      </c>
      <c r="AW236" s="61">
        <v>39</v>
      </c>
      <c r="AX236" s="61">
        <v>40</v>
      </c>
      <c r="AY236" s="61">
        <v>13895</v>
      </c>
      <c r="AZ236" s="61">
        <v>53</v>
      </c>
      <c r="BA236" s="61">
        <v>18</v>
      </c>
      <c r="BB236" s="61">
        <v>1</v>
      </c>
      <c r="BC236" s="61">
        <v>2</v>
      </c>
      <c r="BD236" s="61">
        <v>5452</v>
      </c>
      <c r="BE236" s="61">
        <v>3012</v>
      </c>
      <c r="BF236" s="61">
        <v>1705</v>
      </c>
      <c r="BG236" s="61">
        <v>3834</v>
      </c>
      <c r="BH236" s="61">
        <v>802</v>
      </c>
      <c r="BI236" s="61"/>
      <c r="BJ236" s="61">
        <v>14805</v>
      </c>
      <c r="BK236" s="61">
        <v>195</v>
      </c>
      <c r="BL236" s="61">
        <v>13309</v>
      </c>
      <c r="BM236" s="61">
        <v>1301</v>
      </c>
      <c r="BN236" s="61">
        <v>551</v>
      </c>
      <c r="BO236" s="61">
        <v>534</v>
      </c>
      <c r="BP236" s="61"/>
      <c r="BQ236" s="61">
        <v>7</v>
      </c>
      <c r="BR236" s="61">
        <v>56</v>
      </c>
      <c r="BS236" s="61">
        <v>96</v>
      </c>
      <c r="BT236" s="61">
        <v>135</v>
      </c>
      <c r="BU236" s="61">
        <v>180</v>
      </c>
      <c r="BV236" s="61">
        <v>173</v>
      </c>
      <c r="BW236" s="61">
        <v>164</v>
      </c>
      <c r="BX236" s="61">
        <v>274</v>
      </c>
      <c r="BY236" s="61"/>
      <c r="BZ236" s="61"/>
      <c r="CA236" s="61"/>
      <c r="CB236" s="61">
        <v>44</v>
      </c>
      <c r="CC236" s="61">
        <v>34</v>
      </c>
      <c r="CD236" s="61">
        <v>318</v>
      </c>
      <c r="CE236" s="61">
        <v>55</v>
      </c>
      <c r="CF236" s="61">
        <v>3</v>
      </c>
      <c r="CG236" s="61">
        <v>630</v>
      </c>
      <c r="CH236" s="61">
        <v>1</v>
      </c>
      <c r="CI236" s="61">
        <v>48</v>
      </c>
      <c r="CJ236" s="61">
        <v>13</v>
      </c>
      <c r="CK236" s="61">
        <v>34</v>
      </c>
      <c r="CL236" s="61">
        <v>137</v>
      </c>
      <c r="CM236" s="61"/>
      <c r="CN236" s="61"/>
      <c r="CO236" s="61">
        <v>7</v>
      </c>
      <c r="CP236" s="61">
        <v>651</v>
      </c>
      <c r="CQ236" s="61">
        <v>161</v>
      </c>
      <c r="CR236" s="61">
        <v>2</v>
      </c>
      <c r="CS236" s="61">
        <v>24</v>
      </c>
      <c r="CT236" s="61">
        <v>8</v>
      </c>
      <c r="CU236" s="61"/>
      <c r="CV236" s="61"/>
      <c r="CW236" s="61"/>
      <c r="CX236" s="61">
        <v>295</v>
      </c>
      <c r="CY236" s="61">
        <v>539</v>
      </c>
      <c r="CZ236" s="61">
        <v>13</v>
      </c>
      <c r="DA236" s="61">
        <v>221</v>
      </c>
      <c r="DB236" s="61">
        <v>17</v>
      </c>
      <c r="DC236" s="61"/>
      <c r="DD236" s="61">
        <v>1085</v>
      </c>
      <c r="DE236" s="61">
        <v>15</v>
      </c>
      <c r="DF236" s="61">
        <v>919</v>
      </c>
      <c r="DG236" s="61">
        <v>151</v>
      </c>
      <c r="DH236" s="62" t="s">
        <v>2185</v>
      </c>
      <c r="DI236" s="61">
        <v>181</v>
      </c>
      <c r="DJ236" s="61">
        <v>8</v>
      </c>
      <c r="DK236" s="61"/>
      <c r="DL236" s="61">
        <v>1</v>
      </c>
      <c r="DM236" s="61"/>
      <c r="DN236" s="61"/>
    </row>
    <row r="237" spans="1:118" x14ac:dyDescent="0.25">
      <c r="A237" s="61">
        <v>106370694</v>
      </c>
      <c r="B237" s="62" t="s">
        <v>1093</v>
      </c>
      <c r="C237" s="62" t="s">
        <v>1094</v>
      </c>
      <c r="D237" s="62" t="s">
        <v>1082</v>
      </c>
      <c r="E237" s="62" t="s">
        <v>71</v>
      </c>
      <c r="F237" s="62" t="s">
        <v>2213</v>
      </c>
      <c r="G237" s="62" t="s">
        <v>1095</v>
      </c>
      <c r="H237" s="62" t="s">
        <v>1082</v>
      </c>
      <c r="I237" s="62" t="s">
        <v>1086</v>
      </c>
      <c r="J237" s="62" t="s">
        <v>2191</v>
      </c>
      <c r="K237" s="62" t="s">
        <v>82</v>
      </c>
      <c r="L237" s="61">
        <v>53</v>
      </c>
      <c r="M237" s="61">
        <v>79</v>
      </c>
      <c r="N237" s="61">
        <v>39</v>
      </c>
      <c r="O237" s="62" t="s">
        <v>1947</v>
      </c>
      <c r="P237" s="62" t="s">
        <v>68</v>
      </c>
      <c r="Q237" s="62" t="s">
        <v>2167</v>
      </c>
      <c r="R237" s="62" t="s">
        <v>2167</v>
      </c>
      <c r="S237" s="62" t="s">
        <v>69</v>
      </c>
      <c r="T237" s="61">
        <v>45064</v>
      </c>
      <c r="U237" s="61">
        <v>29765</v>
      </c>
      <c r="V237" s="61"/>
      <c r="W237" s="61">
        <v>790</v>
      </c>
      <c r="X237" s="61">
        <v>4025</v>
      </c>
      <c r="Y237" s="61">
        <v>15995</v>
      </c>
      <c r="Z237" s="61">
        <v>13675</v>
      </c>
      <c r="AA237" s="61">
        <v>10607</v>
      </c>
      <c r="AB237" s="61">
        <v>11081</v>
      </c>
      <c r="AC237" s="61">
        <v>7577</v>
      </c>
      <c r="AD237" s="61">
        <v>5033</v>
      </c>
      <c r="AE237" s="61">
        <v>5915</v>
      </c>
      <c r="AF237" s="61">
        <v>131</v>
      </c>
      <c r="AG237" s="61"/>
      <c r="AH237" s="61">
        <v>6700</v>
      </c>
      <c r="AI237" s="61">
        <v>6740</v>
      </c>
      <c r="AJ237" s="61">
        <v>18178</v>
      </c>
      <c r="AK237" s="61">
        <v>174</v>
      </c>
      <c r="AL237" s="61">
        <v>9077</v>
      </c>
      <c r="AM237" s="61">
        <v>1507</v>
      </c>
      <c r="AN237" s="61">
        <v>32453</v>
      </c>
      <c r="AO237" s="61">
        <v>235</v>
      </c>
      <c r="AP237" s="61">
        <v>1505</v>
      </c>
      <c r="AQ237" s="61">
        <v>89</v>
      </c>
      <c r="AR237" s="61">
        <v>78</v>
      </c>
      <c r="AS237" s="61">
        <v>1</v>
      </c>
      <c r="AT237" s="61">
        <v>66</v>
      </c>
      <c r="AU237" s="61"/>
      <c r="AV237" s="61">
        <v>118</v>
      </c>
      <c r="AW237" s="61">
        <v>865</v>
      </c>
      <c r="AX237" s="61">
        <v>116</v>
      </c>
      <c r="AY237" s="61">
        <v>70373</v>
      </c>
      <c r="AZ237" s="61">
        <v>1044</v>
      </c>
      <c r="BA237" s="61">
        <v>54</v>
      </c>
      <c r="BB237" s="61">
        <v>1</v>
      </c>
      <c r="BC237" s="61">
        <v>276</v>
      </c>
      <c r="BD237" s="61">
        <v>24745</v>
      </c>
      <c r="BE237" s="61">
        <v>16580</v>
      </c>
      <c r="BF237" s="61">
        <v>3878</v>
      </c>
      <c r="BG237" s="61">
        <v>25297</v>
      </c>
      <c r="BH237" s="61">
        <v>4329</v>
      </c>
      <c r="BI237" s="61"/>
      <c r="BJ237" s="61">
        <v>74829</v>
      </c>
      <c r="BK237" s="61">
        <v>3846</v>
      </c>
      <c r="BL237" s="61">
        <v>65617</v>
      </c>
      <c r="BM237" s="61">
        <v>5366</v>
      </c>
      <c r="BN237" s="61">
        <v>6697</v>
      </c>
      <c r="BO237" s="61">
        <v>6716</v>
      </c>
      <c r="BP237" s="61"/>
      <c r="BQ237" s="61">
        <v>178</v>
      </c>
      <c r="BR237" s="61">
        <v>929</v>
      </c>
      <c r="BS237" s="61">
        <v>1039</v>
      </c>
      <c r="BT237" s="61">
        <v>1413</v>
      </c>
      <c r="BU237" s="61">
        <v>2289</v>
      </c>
      <c r="BV237" s="61">
        <v>2475</v>
      </c>
      <c r="BW237" s="61">
        <v>2160</v>
      </c>
      <c r="BX237" s="61">
        <v>2930</v>
      </c>
      <c r="BY237" s="61"/>
      <c r="BZ237" s="61"/>
      <c r="CA237" s="61"/>
      <c r="CB237" s="61">
        <v>1491</v>
      </c>
      <c r="CC237" s="61">
        <v>749</v>
      </c>
      <c r="CD237" s="61">
        <v>2428</v>
      </c>
      <c r="CE237" s="61">
        <v>1238</v>
      </c>
      <c r="CF237" s="61">
        <v>214</v>
      </c>
      <c r="CG237" s="61">
        <v>7249</v>
      </c>
      <c r="CH237" s="61">
        <v>44</v>
      </c>
      <c r="CI237" s="61">
        <v>374</v>
      </c>
      <c r="CJ237" s="61">
        <v>120</v>
      </c>
      <c r="CK237" s="61">
        <v>568</v>
      </c>
      <c r="CL237" s="61">
        <v>1698</v>
      </c>
      <c r="CM237" s="61">
        <v>113</v>
      </c>
      <c r="CN237" s="61"/>
      <c r="CO237" s="61">
        <v>68</v>
      </c>
      <c r="CP237" s="61">
        <v>7970</v>
      </c>
      <c r="CQ237" s="61">
        <v>2097</v>
      </c>
      <c r="CR237" s="61">
        <v>11</v>
      </c>
      <c r="CS237" s="61">
        <v>260</v>
      </c>
      <c r="CT237" s="61">
        <v>116</v>
      </c>
      <c r="CU237" s="61"/>
      <c r="CV237" s="61"/>
      <c r="CW237" s="61">
        <v>18</v>
      </c>
      <c r="CX237" s="61">
        <v>2826</v>
      </c>
      <c r="CY237" s="61">
        <v>6641</v>
      </c>
      <c r="CZ237" s="61">
        <v>181</v>
      </c>
      <c r="DA237" s="61">
        <v>3607</v>
      </c>
      <c r="DB237" s="61">
        <v>158</v>
      </c>
      <c r="DC237" s="61"/>
      <c r="DD237" s="61">
        <v>13413</v>
      </c>
      <c r="DE237" s="61">
        <v>939</v>
      </c>
      <c r="DF237" s="61">
        <v>11503</v>
      </c>
      <c r="DG237" s="61">
        <v>971</v>
      </c>
      <c r="DH237" s="62" t="s">
        <v>2185</v>
      </c>
      <c r="DI237" s="61">
        <v>656</v>
      </c>
      <c r="DJ237" s="61">
        <v>52</v>
      </c>
      <c r="DK237" s="61"/>
      <c r="DL237" s="61">
        <v>8</v>
      </c>
      <c r="DM237" s="61"/>
      <c r="DN237" s="61"/>
    </row>
    <row r="238" spans="1:118" x14ac:dyDescent="0.25">
      <c r="A238" s="61">
        <v>106370695</v>
      </c>
      <c r="B238" s="62" t="s">
        <v>2090</v>
      </c>
      <c r="C238" s="62" t="s">
        <v>2091</v>
      </c>
      <c r="D238" s="62" t="s">
        <v>1082</v>
      </c>
      <c r="E238" s="62" t="s">
        <v>71</v>
      </c>
      <c r="F238" s="62" t="s">
        <v>2213</v>
      </c>
      <c r="G238" s="62" t="s">
        <v>2092</v>
      </c>
      <c r="H238" s="62" t="s">
        <v>1082</v>
      </c>
      <c r="I238" s="62" t="s">
        <v>1086</v>
      </c>
      <c r="J238" s="62" t="s">
        <v>2184</v>
      </c>
      <c r="K238" s="62"/>
      <c r="L238" s="61">
        <v>53</v>
      </c>
      <c r="M238" s="61">
        <v>79</v>
      </c>
      <c r="N238" s="61">
        <v>39</v>
      </c>
      <c r="O238" s="62" t="s">
        <v>1947</v>
      </c>
      <c r="P238" s="62" t="s">
        <v>68</v>
      </c>
      <c r="Q238" s="62" t="s">
        <v>2167</v>
      </c>
      <c r="R238" s="62" t="s">
        <v>2167</v>
      </c>
      <c r="S238" s="62"/>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v>98</v>
      </c>
      <c r="BO238" s="61"/>
      <c r="BP238" s="61"/>
      <c r="BQ238" s="61">
        <v>2</v>
      </c>
      <c r="BR238" s="61">
        <v>45</v>
      </c>
      <c r="BS238" s="61">
        <v>40</v>
      </c>
      <c r="BT238" s="61">
        <v>10</v>
      </c>
      <c r="BU238" s="61">
        <v>1</v>
      </c>
      <c r="BV238" s="61"/>
      <c r="BW238" s="61"/>
      <c r="BX238" s="61"/>
      <c r="BY238" s="61"/>
      <c r="BZ238" s="61"/>
      <c r="CA238" s="61"/>
      <c r="CB238" s="61">
        <v>16</v>
      </c>
      <c r="CC238" s="61">
        <v>8</v>
      </c>
      <c r="CD238" s="61">
        <v>36</v>
      </c>
      <c r="CE238" s="61">
        <v>11</v>
      </c>
      <c r="CF238" s="61"/>
      <c r="CG238" s="61">
        <v>26</v>
      </c>
      <c r="CH238" s="61">
        <v>1</v>
      </c>
      <c r="CI238" s="61"/>
      <c r="CJ238" s="61"/>
      <c r="CK238" s="61"/>
      <c r="CL238" s="61">
        <v>1</v>
      </c>
      <c r="CM238" s="61"/>
      <c r="CN238" s="61"/>
      <c r="CO238" s="61"/>
      <c r="CP238" s="61">
        <v>97</v>
      </c>
      <c r="CQ238" s="61"/>
      <c r="CR238" s="61"/>
      <c r="CS238" s="61"/>
      <c r="CT238" s="61"/>
      <c r="CU238" s="61"/>
      <c r="CV238" s="61"/>
      <c r="CW238" s="61"/>
      <c r="CX238" s="61">
        <v>44</v>
      </c>
      <c r="CY238" s="61"/>
      <c r="CZ238" s="61">
        <v>3</v>
      </c>
      <c r="DA238" s="61">
        <v>41</v>
      </c>
      <c r="DB238" s="61">
        <v>10</v>
      </c>
      <c r="DC238" s="61"/>
      <c r="DD238" s="61">
        <v>98</v>
      </c>
      <c r="DE238" s="61">
        <v>4</v>
      </c>
      <c r="DF238" s="61">
        <v>85</v>
      </c>
      <c r="DG238" s="61">
        <v>9</v>
      </c>
      <c r="DH238" s="62" t="s">
        <v>2185</v>
      </c>
      <c r="DI238" s="61">
        <v>206</v>
      </c>
      <c r="DJ238" s="61">
        <v>0</v>
      </c>
      <c r="DK238" s="61"/>
      <c r="DL238" s="61"/>
      <c r="DM238" s="61"/>
      <c r="DN238" s="61"/>
    </row>
    <row r="239" spans="1:118" x14ac:dyDescent="0.25">
      <c r="A239" s="61">
        <v>106370714</v>
      </c>
      <c r="B239" s="62" t="s">
        <v>1096</v>
      </c>
      <c r="C239" s="62" t="s">
        <v>1097</v>
      </c>
      <c r="D239" s="62" t="s">
        <v>1082</v>
      </c>
      <c r="E239" s="62" t="s">
        <v>71</v>
      </c>
      <c r="F239" s="62" t="s">
        <v>2213</v>
      </c>
      <c r="G239" s="62" t="s">
        <v>1098</v>
      </c>
      <c r="H239" s="62" t="s">
        <v>1099</v>
      </c>
      <c r="I239" s="62" t="s">
        <v>1100</v>
      </c>
      <c r="J239" s="62" t="s">
        <v>2191</v>
      </c>
      <c r="K239" s="62"/>
      <c r="L239" s="61">
        <v>53</v>
      </c>
      <c r="M239" s="61">
        <v>79</v>
      </c>
      <c r="N239" s="61">
        <v>38</v>
      </c>
      <c r="O239" s="62" t="s">
        <v>1949</v>
      </c>
      <c r="P239" s="62" t="s">
        <v>68</v>
      </c>
      <c r="Q239" s="62" t="s">
        <v>2167</v>
      </c>
      <c r="R239" s="62" t="s">
        <v>2167</v>
      </c>
      <c r="S239" s="62" t="s">
        <v>69</v>
      </c>
      <c r="T239" s="61">
        <v>47860</v>
      </c>
      <c r="U239" s="61">
        <v>37234</v>
      </c>
      <c r="V239" s="61"/>
      <c r="W239" s="61">
        <v>5029</v>
      </c>
      <c r="X239" s="61">
        <v>6918</v>
      </c>
      <c r="Y239" s="61">
        <v>17484</v>
      </c>
      <c r="Z239" s="61">
        <v>14036</v>
      </c>
      <c r="AA239" s="61">
        <v>11416</v>
      </c>
      <c r="AB239" s="61">
        <v>12498</v>
      </c>
      <c r="AC239" s="61">
        <v>7604</v>
      </c>
      <c r="AD239" s="61">
        <v>4294</v>
      </c>
      <c r="AE239" s="61">
        <v>4775</v>
      </c>
      <c r="AF239" s="61">
        <v>1040</v>
      </c>
      <c r="AG239" s="61"/>
      <c r="AH239" s="61">
        <v>1660</v>
      </c>
      <c r="AI239" s="61">
        <v>9048</v>
      </c>
      <c r="AJ239" s="61">
        <v>18619</v>
      </c>
      <c r="AK239" s="61">
        <v>256</v>
      </c>
      <c r="AL239" s="61">
        <v>18445</v>
      </c>
      <c r="AM239" s="61">
        <v>871</v>
      </c>
      <c r="AN239" s="61">
        <v>36195</v>
      </c>
      <c r="AO239" s="61">
        <v>1080</v>
      </c>
      <c r="AP239" s="61">
        <v>6981</v>
      </c>
      <c r="AQ239" s="61">
        <v>176</v>
      </c>
      <c r="AR239" s="61">
        <v>28</v>
      </c>
      <c r="AS239" s="61"/>
      <c r="AT239" s="61">
        <v>57</v>
      </c>
      <c r="AU239" s="61"/>
      <c r="AV239" s="61">
        <v>370</v>
      </c>
      <c r="AW239" s="61">
        <v>1596</v>
      </c>
      <c r="AX239" s="61">
        <v>229</v>
      </c>
      <c r="AY239" s="61">
        <v>73070</v>
      </c>
      <c r="AZ239" s="61">
        <v>1197</v>
      </c>
      <c r="BA239" s="61">
        <v>278</v>
      </c>
      <c r="BB239" s="61"/>
      <c r="BC239" s="61">
        <v>30</v>
      </c>
      <c r="BD239" s="61">
        <v>45742</v>
      </c>
      <c r="BE239" s="61">
        <v>15717</v>
      </c>
      <c r="BF239" s="61">
        <v>3044</v>
      </c>
      <c r="BG239" s="61">
        <v>15075</v>
      </c>
      <c r="BH239" s="61">
        <v>5516</v>
      </c>
      <c r="BI239" s="61"/>
      <c r="BJ239" s="61">
        <v>85094</v>
      </c>
      <c r="BK239" s="61">
        <v>5485</v>
      </c>
      <c r="BL239" s="61">
        <v>74773</v>
      </c>
      <c r="BM239" s="61">
        <v>4836</v>
      </c>
      <c r="BN239" s="61">
        <v>10451</v>
      </c>
      <c r="BO239" s="61">
        <v>9877</v>
      </c>
      <c r="BP239" s="61"/>
      <c r="BQ239" s="61">
        <v>162</v>
      </c>
      <c r="BR239" s="61">
        <v>1334</v>
      </c>
      <c r="BS239" s="61">
        <v>1608</v>
      </c>
      <c r="BT239" s="61">
        <v>2101</v>
      </c>
      <c r="BU239" s="61">
        <v>3974</v>
      </c>
      <c r="BV239" s="61">
        <v>3810</v>
      </c>
      <c r="BW239" s="61">
        <v>3117</v>
      </c>
      <c r="BX239" s="61">
        <v>4221</v>
      </c>
      <c r="BY239" s="61">
        <v>1</v>
      </c>
      <c r="BZ239" s="61"/>
      <c r="CA239" s="61"/>
      <c r="CB239" s="61">
        <v>457</v>
      </c>
      <c r="CC239" s="61">
        <v>1566</v>
      </c>
      <c r="CD239" s="61">
        <v>3244</v>
      </c>
      <c r="CE239" s="61">
        <v>3152</v>
      </c>
      <c r="CF239" s="61">
        <v>163</v>
      </c>
      <c r="CG239" s="61">
        <v>11675</v>
      </c>
      <c r="CH239" s="61">
        <v>71</v>
      </c>
      <c r="CI239" s="61">
        <v>390</v>
      </c>
      <c r="CJ239" s="61">
        <v>425</v>
      </c>
      <c r="CK239" s="61">
        <v>770</v>
      </c>
      <c r="CL239" s="61">
        <v>1729</v>
      </c>
      <c r="CM239" s="61">
        <v>179</v>
      </c>
      <c r="CN239" s="61"/>
      <c r="CO239" s="61">
        <v>164</v>
      </c>
      <c r="CP239" s="61">
        <v>12442</v>
      </c>
      <c r="CQ239" s="61">
        <v>3618</v>
      </c>
      <c r="CR239" s="61">
        <v>27</v>
      </c>
      <c r="CS239" s="61">
        <v>397</v>
      </c>
      <c r="CT239" s="61">
        <v>181</v>
      </c>
      <c r="CU239" s="61"/>
      <c r="CV239" s="61"/>
      <c r="CW239" s="61">
        <v>6</v>
      </c>
      <c r="CX239" s="61">
        <v>7069</v>
      </c>
      <c r="CY239" s="61">
        <v>10335</v>
      </c>
      <c r="CZ239" s="61">
        <v>144</v>
      </c>
      <c r="DA239" s="61">
        <v>2498</v>
      </c>
      <c r="DB239" s="61">
        <v>282</v>
      </c>
      <c r="DC239" s="61"/>
      <c r="DD239" s="61">
        <v>20328</v>
      </c>
      <c r="DE239" s="61">
        <v>1101</v>
      </c>
      <c r="DF239" s="61">
        <v>18010</v>
      </c>
      <c r="DG239" s="61">
        <v>1217</v>
      </c>
      <c r="DH239" s="62" t="s">
        <v>2185</v>
      </c>
      <c r="DI239" s="61">
        <v>536</v>
      </c>
      <c r="DJ239" s="61">
        <v>62</v>
      </c>
      <c r="DK239" s="61"/>
      <c r="DL239" s="61">
        <v>2</v>
      </c>
      <c r="DM239" s="61"/>
      <c r="DN239" s="61"/>
    </row>
    <row r="240" spans="1:118" x14ac:dyDescent="0.25">
      <c r="A240" s="61">
        <v>106370730</v>
      </c>
      <c r="B240" s="62" t="s">
        <v>1101</v>
      </c>
      <c r="C240" s="62" t="s">
        <v>2093</v>
      </c>
      <c r="D240" s="62" t="s">
        <v>1082</v>
      </c>
      <c r="E240" s="62" t="s">
        <v>71</v>
      </c>
      <c r="F240" s="62" t="s">
        <v>2213</v>
      </c>
      <c r="G240" s="62" t="s">
        <v>1102</v>
      </c>
      <c r="H240" s="62" t="s">
        <v>1082</v>
      </c>
      <c r="I240" s="62" t="s">
        <v>1084</v>
      </c>
      <c r="J240" s="62" t="s">
        <v>2186</v>
      </c>
      <c r="K240" s="62"/>
      <c r="L240" s="61">
        <v>53</v>
      </c>
      <c r="M240" s="61">
        <v>79</v>
      </c>
      <c r="N240" s="61">
        <v>39</v>
      </c>
      <c r="O240" s="62" t="s">
        <v>1950</v>
      </c>
      <c r="P240" s="62" t="s">
        <v>68</v>
      </c>
      <c r="Q240" s="62" t="s">
        <v>2167</v>
      </c>
      <c r="R240" s="62" t="s">
        <v>2167</v>
      </c>
      <c r="S240" s="62" t="s">
        <v>69</v>
      </c>
      <c r="T240" s="61">
        <v>52136</v>
      </c>
      <c r="U240" s="61">
        <v>39153</v>
      </c>
      <c r="V240" s="61">
        <v>2</v>
      </c>
      <c r="W240" s="61">
        <v>6844</v>
      </c>
      <c r="X240" s="61">
        <v>7558</v>
      </c>
      <c r="Y240" s="61">
        <v>12053</v>
      </c>
      <c r="Z240" s="61">
        <v>10711</v>
      </c>
      <c r="AA240" s="61">
        <v>10343</v>
      </c>
      <c r="AB240" s="61">
        <v>12191</v>
      </c>
      <c r="AC240" s="61">
        <v>11595</v>
      </c>
      <c r="AD240" s="61">
        <v>9000</v>
      </c>
      <c r="AE240" s="61">
        <v>9579</v>
      </c>
      <c r="AF240" s="61">
        <v>1417</v>
      </c>
      <c r="AG240" s="61"/>
      <c r="AH240" s="61">
        <v>7640</v>
      </c>
      <c r="AI240" s="61">
        <v>8458</v>
      </c>
      <c r="AJ240" s="61">
        <v>25358</v>
      </c>
      <c r="AK240" s="61">
        <v>291</v>
      </c>
      <c r="AL240" s="61">
        <v>531</v>
      </c>
      <c r="AM240" s="61">
        <v>815</v>
      </c>
      <c r="AN240" s="61">
        <v>48198</v>
      </c>
      <c r="AO240" s="61">
        <v>908</v>
      </c>
      <c r="AP240" s="61">
        <v>521</v>
      </c>
      <c r="AQ240" s="61">
        <v>40</v>
      </c>
      <c r="AR240" s="61">
        <v>684</v>
      </c>
      <c r="AS240" s="61">
        <v>80</v>
      </c>
      <c r="AT240" s="61">
        <v>9</v>
      </c>
      <c r="AU240" s="61"/>
      <c r="AV240" s="61">
        <v>9</v>
      </c>
      <c r="AW240" s="61">
        <v>724</v>
      </c>
      <c r="AX240" s="61">
        <v>10</v>
      </c>
      <c r="AY240" s="61">
        <v>87180</v>
      </c>
      <c r="AZ240" s="61">
        <v>723</v>
      </c>
      <c r="BA240" s="61">
        <v>2</v>
      </c>
      <c r="BB240" s="61">
        <v>1</v>
      </c>
      <c r="BC240" s="61">
        <v>399</v>
      </c>
      <c r="BD240" s="61">
        <v>11122</v>
      </c>
      <c r="BE240" s="61">
        <v>24368</v>
      </c>
      <c r="BF240" s="61">
        <v>149</v>
      </c>
      <c r="BG240" s="61">
        <v>51737</v>
      </c>
      <c r="BH240" s="61">
        <v>3915</v>
      </c>
      <c r="BI240" s="61"/>
      <c r="BJ240" s="61">
        <v>91291</v>
      </c>
      <c r="BK240" s="61">
        <v>1066</v>
      </c>
      <c r="BL240" s="61">
        <v>83669</v>
      </c>
      <c r="BM240" s="61">
        <v>6556</v>
      </c>
      <c r="BN240" s="61">
        <v>6440</v>
      </c>
      <c r="BO240" s="61">
        <v>6177</v>
      </c>
      <c r="BP240" s="61">
        <v>1</v>
      </c>
      <c r="BQ240" s="61">
        <v>197</v>
      </c>
      <c r="BR240" s="61">
        <v>468</v>
      </c>
      <c r="BS240" s="61">
        <v>608</v>
      </c>
      <c r="BT240" s="61">
        <v>886</v>
      </c>
      <c r="BU240" s="61">
        <v>1649</v>
      </c>
      <c r="BV240" s="61">
        <v>2615</v>
      </c>
      <c r="BW240" s="61">
        <v>2708</v>
      </c>
      <c r="BX240" s="61">
        <v>3249</v>
      </c>
      <c r="BY240" s="61">
        <v>69</v>
      </c>
      <c r="BZ240" s="61">
        <v>169</v>
      </c>
      <c r="CA240" s="61"/>
      <c r="CB240" s="61">
        <v>860</v>
      </c>
      <c r="CC240" s="61">
        <v>1038</v>
      </c>
      <c r="CD240" s="61">
        <v>2563</v>
      </c>
      <c r="CE240" s="61">
        <v>23</v>
      </c>
      <c r="CF240" s="61">
        <v>36</v>
      </c>
      <c r="CG240" s="61">
        <v>8066</v>
      </c>
      <c r="CH240" s="61">
        <v>32</v>
      </c>
      <c r="CI240" s="61">
        <v>321</v>
      </c>
      <c r="CJ240" s="61">
        <v>97</v>
      </c>
      <c r="CK240" s="61">
        <v>521</v>
      </c>
      <c r="CL240" s="61">
        <v>3141</v>
      </c>
      <c r="CM240" s="61">
        <v>11</v>
      </c>
      <c r="CN240" s="61"/>
      <c r="CO240" s="61">
        <v>13</v>
      </c>
      <c r="CP240" s="61">
        <v>6311</v>
      </c>
      <c r="CQ240" s="61">
        <v>1626</v>
      </c>
      <c r="CR240" s="61"/>
      <c r="CS240" s="61">
        <v>357</v>
      </c>
      <c r="CT240" s="61">
        <v>61</v>
      </c>
      <c r="CU240" s="61">
        <v>3</v>
      </c>
      <c r="CV240" s="61">
        <v>3</v>
      </c>
      <c r="CW240" s="61">
        <v>153</v>
      </c>
      <c r="CX240" s="61">
        <v>693</v>
      </c>
      <c r="CY240" s="61">
        <v>7432</v>
      </c>
      <c r="CZ240" s="61">
        <v>26</v>
      </c>
      <c r="DA240" s="61">
        <v>4329</v>
      </c>
      <c r="DB240" s="61">
        <v>137</v>
      </c>
      <c r="DC240" s="61">
        <v>1</v>
      </c>
      <c r="DD240" s="61">
        <v>12618</v>
      </c>
      <c r="DE240" s="61">
        <v>161</v>
      </c>
      <c r="DF240" s="61">
        <v>11599</v>
      </c>
      <c r="DG240" s="61">
        <v>858</v>
      </c>
      <c r="DH240" s="62" t="s">
        <v>2185</v>
      </c>
      <c r="DI240" s="61">
        <v>414</v>
      </c>
      <c r="DJ240" s="61">
        <v>76</v>
      </c>
      <c r="DK240" s="61">
        <v>1</v>
      </c>
      <c r="DL240" s="61"/>
      <c r="DM240" s="61"/>
      <c r="DN240" s="61"/>
    </row>
    <row r="241" spans="1:118" x14ac:dyDescent="0.25">
      <c r="A241" s="61">
        <v>106370744</v>
      </c>
      <c r="B241" s="62" t="s">
        <v>1103</v>
      </c>
      <c r="C241" s="62" t="s">
        <v>1104</v>
      </c>
      <c r="D241" s="62" t="s">
        <v>1082</v>
      </c>
      <c r="E241" s="62" t="s">
        <v>71</v>
      </c>
      <c r="F241" s="62" t="s">
        <v>2213</v>
      </c>
      <c r="G241" s="62" t="s">
        <v>1105</v>
      </c>
      <c r="H241" s="62" t="s">
        <v>1082</v>
      </c>
      <c r="I241" s="62" t="s">
        <v>2094</v>
      </c>
      <c r="J241" s="62" t="s">
        <v>2191</v>
      </c>
      <c r="K241" s="62" t="s">
        <v>222</v>
      </c>
      <c r="L241" s="61">
        <v>53</v>
      </c>
      <c r="M241" s="61">
        <v>78</v>
      </c>
      <c r="N241" s="61">
        <v>39</v>
      </c>
      <c r="O241" s="62" t="s">
        <v>1947</v>
      </c>
      <c r="P241" s="62" t="s">
        <v>68</v>
      </c>
      <c r="Q241" s="62" t="s">
        <v>2167</v>
      </c>
      <c r="R241" s="62" t="s">
        <v>83</v>
      </c>
      <c r="S241" s="62" t="s">
        <v>69</v>
      </c>
      <c r="T241" s="61">
        <v>51377</v>
      </c>
      <c r="U241" s="61">
        <v>47223</v>
      </c>
      <c r="V241" s="61">
        <v>1</v>
      </c>
      <c r="W241" s="61">
        <v>5104</v>
      </c>
      <c r="X241" s="61">
        <v>6792</v>
      </c>
      <c r="Y241" s="61">
        <v>19407</v>
      </c>
      <c r="Z241" s="61">
        <v>15558</v>
      </c>
      <c r="AA241" s="61">
        <v>13733</v>
      </c>
      <c r="AB241" s="61">
        <v>15498</v>
      </c>
      <c r="AC241" s="61">
        <v>10148</v>
      </c>
      <c r="AD241" s="61">
        <v>6077</v>
      </c>
      <c r="AE241" s="61">
        <v>5225</v>
      </c>
      <c r="AF241" s="61">
        <v>1059</v>
      </c>
      <c r="AG241" s="61"/>
      <c r="AH241" s="61">
        <v>3962</v>
      </c>
      <c r="AI241" s="61">
        <v>11564</v>
      </c>
      <c r="AJ241" s="61">
        <v>46680</v>
      </c>
      <c r="AK241" s="61">
        <v>152</v>
      </c>
      <c r="AL241" s="61">
        <v>2203</v>
      </c>
      <c r="AM241" s="61">
        <v>107</v>
      </c>
      <c r="AN241" s="61">
        <v>33933</v>
      </c>
      <c r="AO241" s="61">
        <v>1521</v>
      </c>
      <c r="AP241" s="61">
        <v>3981</v>
      </c>
      <c r="AQ241" s="61">
        <v>126</v>
      </c>
      <c r="AR241" s="61">
        <v>66</v>
      </c>
      <c r="AS241" s="61">
        <v>8</v>
      </c>
      <c r="AT241" s="61">
        <v>9</v>
      </c>
      <c r="AU241" s="61"/>
      <c r="AV241" s="61"/>
      <c r="AW241" s="61">
        <v>316</v>
      </c>
      <c r="AX241" s="61">
        <v>2</v>
      </c>
      <c r="AY241" s="61">
        <v>91776</v>
      </c>
      <c r="AZ241" s="61">
        <v>392</v>
      </c>
      <c r="BA241" s="61">
        <v>12</v>
      </c>
      <c r="BB241" s="61"/>
      <c r="BC241" s="61"/>
      <c r="BD241" s="61">
        <v>51654</v>
      </c>
      <c r="BE241" s="61">
        <v>18345</v>
      </c>
      <c r="BF241" s="61">
        <v>2347</v>
      </c>
      <c r="BG241" s="61">
        <v>16267</v>
      </c>
      <c r="BH241" s="61">
        <v>9988</v>
      </c>
      <c r="BI241" s="61"/>
      <c r="BJ241" s="61">
        <v>98601</v>
      </c>
      <c r="BK241" s="61">
        <v>1148</v>
      </c>
      <c r="BL241" s="61">
        <v>80702</v>
      </c>
      <c r="BM241" s="61">
        <v>16751</v>
      </c>
      <c r="BN241" s="61">
        <v>9960</v>
      </c>
      <c r="BO241" s="61">
        <v>11031</v>
      </c>
      <c r="BP241" s="61"/>
      <c r="BQ241" s="61">
        <v>289</v>
      </c>
      <c r="BR241" s="61">
        <v>1696</v>
      </c>
      <c r="BS241" s="61">
        <v>1889</v>
      </c>
      <c r="BT241" s="61">
        <v>2391</v>
      </c>
      <c r="BU241" s="61">
        <v>3756</v>
      </c>
      <c r="BV241" s="61">
        <v>3771</v>
      </c>
      <c r="BW241" s="61">
        <v>3146</v>
      </c>
      <c r="BX241" s="61">
        <v>4049</v>
      </c>
      <c r="BY241" s="61">
        <v>4</v>
      </c>
      <c r="BZ241" s="61"/>
      <c r="CA241" s="61"/>
      <c r="CB241" s="61">
        <v>1154</v>
      </c>
      <c r="CC241" s="61">
        <v>2300</v>
      </c>
      <c r="CD241" s="61">
        <v>8159</v>
      </c>
      <c r="CE241" s="61">
        <v>393</v>
      </c>
      <c r="CF241" s="61">
        <v>29</v>
      </c>
      <c r="CG241" s="61">
        <v>8935</v>
      </c>
      <c r="CH241" s="61">
        <v>21</v>
      </c>
      <c r="CI241" s="61">
        <v>603</v>
      </c>
      <c r="CJ241" s="61">
        <v>506</v>
      </c>
      <c r="CK241" s="61">
        <v>598</v>
      </c>
      <c r="CL241" s="61">
        <v>2757</v>
      </c>
      <c r="CM241" s="61">
        <v>90</v>
      </c>
      <c r="CN241" s="61"/>
      <c r="CO241" s="61">
        <v>14</v>
      </c>
      <c r="CP241" s="61">
        <v>12320</v>
      </c>
      <c r="CQ241" s="61">
        <v>3549</v>
      </c>
      <c r="CR241" s="61">
        <v>53</v>
      </c>
      <c r="CS241" s="61">
        <v>315</v>
      </c>
      <c r="CT241" s="61">
        <v>167</v>
      </c>
      <c r="CU241" s="61"/>
      <c r="CV241" s="61"/>
      <c r="CW241" s="61">
        <v>17</v>
      </c>
      <c r="CX241" s="61">
        <v>7562</v>
      </c>
      <c r="CY241" s="61">
        <v>9904</v>
      </c>
      <c r="CZ241" s="61">
        <v>279</v>
      </c>
      <c r="DA241" s="61">
        <v>2577</v>
      </c>
      <c r="DB241" s="61">
        <v>669</v>
      </c>
      <c r="DC241" s="61"/>
      <c r="DD241" s="61">
        <v>20991</v>
      </c>
      <c r="DE241" s="61">
        <v>426</v>
      </c>
      <c r="DF241" s="61">
        <v>16088</v>
      </c>
      <c r="DG241" s="61">
        <v>4477</v>
      </c>
      <c r="DH241" s="62" t="s">
        <v>2185</v>
      </c>
      <c r="DI241" s="61">
        <v>501</v>
      </c>
      <c r="DJ241" s="61">
        <v>52</v>
      </c>
      <c r="DK241" s="61"/>
      <c r="DL241" s="61">
        <v>392</v>
      </c>
      <c r="DM241" s="61"/>
      <c r="DN241" s="61">
        <v>2</v>
      </c>
    </row>
    <row r="242" spans="1:118" x14ac:dyDescent="0.25">
      <c r="A242" s="61">
        <v>106370755</v>
      </c>
      <c r="B242" s="62" t="s">
        <v>1107</v>
      </c>
      <c r="C242" s="62" t="s">
        <v>1108</v>
      </c>
      <c r="D242" s="62" t="s">
        <v>1082</v>
      </c>
      <c r="E242" s="62" t="s">
        <v>94</v>
      </c>
      <c r="F242" s="62" t="s">
        <v>2213</v>
      </c>
      <c r="G242" s="62" t="s">
        <v>1109</v>
      </c>
      <c r="H242" s="62" t="s">
        <v>1110</v>
      </c>
      <c r="I242" s="62" t="s">
        <v>1111</v>
      </c>
      <c r="J242" s="62" t="s">
        <v>2184</v>
      </c>
      <c r="K242" s="62" t="s">
        <v>82</v>
      </c>
      <c r="L242" s="61">
        <v>50</v>
      </c>
      <c r="M242" s="61">
        <v>75</v>
      </c>
      <c r="N242" s="61">
        <v>38</v>
      </c>
      <c r="O242" s="62" t="s">
        <v>1951</v>
      </c>
      <c r="P242" s="62" t="s">
        <v>68</v>
      </c>
      <c r="Q242" s="62" t="s">
        <v>2167</v>
      </c>
      <c r="R242" s="62" t="s">
        <v>2167</v>
      </c>
      <c r="S242" s="62" t="s">
        <v>127</v>
      </c>
      <c r="T242" s="61">
        <v>54348</v>
      </c>
      <c r="U242" s="61">
        <v>41607</v>
      </c>
      <c r="V242" s="61">
        <v>9</v>
      </c>
      <c r="W242" s="61">
        <v>10182</v>
      </c>
      <c r="X242" s="61">
        <v>9949</v>
      </c>
      <c r="Y242" s="61">
        <v>15814</v>
      </c>
      <c r="Z242" s="61">
        <v>12667</v>
      </c>
      <c r="AA242" s="61">
        <v>11393</v>
      </c>
      <c r="AB242" s="61">
        <v>11684</v>
      </c>
      <c r="AC242" s="61">
        <v>8597</v>
      </c>
      <c r="AD242" s="61">
        <v>6068</v>
      </c>
      <c r="AE242" s="61">
        <v>7365</v>
      </c>
      <c r="AF242" s="61">
        <v>2245</v>
      </c>
      <c r="AG242" s="61"/>
      <c r="AH242" s="61">
        <v>3185</v>
      </c>
      <c r="AI242" s="61">
        <v>3796</v>
      </c>
      <c r="AJ242" s="61">
        <v>34771</v>
      </c>
      <c r="AK242" s="61">
        <v>882</v>
      </c>
      <c r="AL242" s="61">
        <v>3068</v>
      </c>
      <c r="AM242" s="61">
        <v>513</v>
      </c>
      <c r="AN242" s="61">
        <v>49749</v>
      </c>
      <c r="AO242" s="61">
        <v>1842</v>
      </c>
      <c r="AP242" s="61"/>
      <c r="AQ242" s="61">
        <v>127</v>
      </c>
      <c r="AR242" s="61">
        <v>454</v>
      </c>
      <c r="AS242" s="61">
        <v>63</v>
      </c>
      <c r="AT242" s="61">
        <v>56</v>
      </c>
      <c r="AU242" s="61"/>
      <c r="AV242" s="61">
        <v>282</v>
      </c>
      <c r="AW242" s="61">
        <v>802</v>
      </c>
      <c r="AX242" s="61">
        <v>92</v>
      </c>
      <c r="AY242" s="61">
        <v>90494</v>
      </c>
      <c r="AZ242" s="61">
        <v>1062</v>
      </c>
      <c r="BA242" s="61">
        <v>487</v>
      </c>
      <c r="BB242" s="61"/>
      <c r="BC242" s="61">
        <v>53</v>
      </c>
      <c r="BD242" s="61">
        <v>39705</v>
      </c>
      <c r="BE242" s="61">
        <v>18942</v>
      </c>
      <c r="BF242" s="61">
        <v>2389</v>
      </c>
      <c r="BG242" s="61">
        <v>28866</v>
      </c>
      <c r="BH242" s="61">
        <v>6062</v>
      </c>
      <c r="BI242" s="61"/>
      <c r="BJ242" s="61">
        <v>95964</v>
      </c>
      <c r="BK242" s="61">
        <v>1228</v>
      </c>
      <c r="BL242" s="61">
        <v>83056</v>
      </c>
      <c r="BM242" s="61">
        <v>11680</v>
      </c>
      <c r="BN242" s="61">
        <v>7687</v>
      </c>
      <c r="BO242" s="61">
        <v>7338</v>
      </c>
      <c r="BP242" s="61">
        <v>2</v>
      </c>
      <c r="BQ242" s="61">
        <v>288</v>
      </c>
      <c r="BR242" s="61">
        <v>1244</v>
      </c>
      <c r="BS242" s="61">
        <v>1232</v>
      </c>
      <c r="BT242" s="61">
        <v>1466</v>
      </c>
      <c r="BU242" s="61">
        <v>2300</v>
      </c>
      <c r="BV242" s="61">
        <v>2566</v>
      </c>
      <c r="BW242" s="61">
        <v>2307</v>
      </c>
      <c r="BX242" s="61">
        <v>3620</v>
      </c>
      <c r="BY242" s="61">
        <v>4</v>
      </c>
      <c r="BZ242" s="61"/>
      <c r="CA242" s="61"/>
      <c r="CB242" s="61">
        <v>651</v>
      </c>
      <c r="CC242" s="61">
        <v>460</v>
      </c>
      <c r="CD242" s="61">
        <v>3155</v>
      </c>
      <c r="CE242" s="61">
        <v>406</v>
      </c>
      <c r="CF242" s="61">
        <v>45</v>
      </c>
      <c r="CG242" s="61">
        <v>10145</v>
      </c>
      <c r="CH242" s="61">
        <v>165</v>
      </c>
      <c r="CI242" s="61">
        <v>389</v>
      </c>
      <c r="CJ242" s="61">
        <v>178</v>
      </c>
      <c r="CK242" s="61">
        <v>615</v>
      </c>
      <c r="CL242" s="61">
        <v>2310</v>
      </c>
      <c r="CM242" s="61">
        <v>392</v>
      </c>
      <c r="CN242" s="61"/>
      <c r="CO242" s="61">
        <v>230</v>
      </c>
      <c r="CP242" s="61">
        <v>7830</v>
      </c>
      <c r="CQ242" s="61">
        <v>2605</v>
      </c>
      <c r="CR242" s="61">
        <v>12</v>
      </c>
      <c r="CS242" s="61">
        <v>349</v>
      </c>
      <c r="CT242" s="61">
        <v>54</v>
      </c>
      <c r="CU242" s="61"/>
      <c r="CV242" s="61"/>
      <c r="CW242" s="61">
        <v>18</v>
      </c>
      <c r="CX242" s="61">
        <v>3741</v>
      </c>
      <c r="CY242" s="61">
        <v>7506</v>
      </c>
      <c r="CZ242" s="61">
        <v>184</v>
      </c>
      <c r="DA242" s="61">
        <v>3253</v>
      </c>
      <c r="DB242" s="61">
        <v>342</v>
      </c>
      <c r="DC242" s="61">
        <v>1</v>
      </c>
      <c r="DD242" s="61">
        <v>15027</v>
      </c>
      <c r="DE242" s="61">
        <v>319</v>
      </c>
      <c r="DF242" s="61">
        <v>13284</v>
      </c>
      <c r="DG242" s="61">
        <v>1424</v>
      </c>
      <c r="DH242" s="62" t="s">
        <v>2185</v>
      </c>
      <c r="DI242" s="61">
        <v>294</v>
      </c>
      <c r="DJ242" s="61">
        <v>20</v>
      </c>
      <c r="DK242" s="61"/>
      <c r="DL242" s="61">
        <v>150</v>
      </c>
      <c r="DM242" s="61"/>
      <c r="DN242" s="61">
        <v>45</v>
      </c>
    </row>
    <row r="243" spans="1:118" x14ac:dyDescent="0.25">
      <c r="A243" s="61">
        <v>106370759</v>
      </c>
      <c r="B243" s="62" t="s">
        <v>1112</v>
      </c>
      <c r="C243" s="62" t="s">
        <v>1113</v>
      </c>
      <c r="D243" s="62" t="s">
        <v>1082</v>
      </c>
      <c r="E243" s="62" t="s">
        <v>321</v>
      </c>
      <c r="F243" s="62" t="s">
        <v>2213</v>
      </c>
      <c r="G243" s="62" t="s">
        <v>1114</v>
      </c>
      <c r="H243" s="62" t="s">
        <v>1115</v>
      </c>
      <c r="I243" s="62" t="s">
        <v>1116</v>
      </c>
      <c r="J243" s="62" t="s">
        <v>2184</v>
      </c>
      <c r="K243" s="62"/>
      <c r="L243" s="61">
        <v>51</v>
      </c>
      <c r="M243" s="61">
        <v>79</v>
      </c>
      <c r="N243" s="61">
        <v>40</v>
      </c>
      <c r="O243" s="62" t="s">
        <v>1952</v>
      </c>
      <c r="P243" s="62" t="s">
        <v>68</v>
      </c>
      <c r="Q243" s="62" t="s">
        <v>2167</v>
      </c>
      <c r="R243" s="62" t="s">
        <v>2167</v>
      </c>
      <c r="S243" s="62" t="s">
        <v>69</v>
      </c>
      <c r="T243" s="61">
        <v>14493</v>
      </c>
      <c r="U243" s="61">
        <v>12159</v>
      </c>
      <c r="V243" s="61"/>
      <c r="W243" s="61">
        <v>1844</v>
      </c>
      <c r="X243" s="61">
        <v>2650</v>
      </c>
      <c r="Y243" s="61">
        <v>5371</v>
      </c>
      <c r="Z243" s="61">
        <v>3991</v>
      </c>
      <c r="AA243" s="61">
        <v>3778</v>
      </c>
      <c r="AB243" s="61">
        <v>4193</v>
      </c>
      <c r="AC243" s="61">
        <v>2339</v>
      </c>
      <c r="AD243" s="61">
        <v>1155</v>
      </c>
      <c r="AE243" s="61">
        <v>1049</v>
      </c>
      <c r="AF243" s="61">
        <v>281</v>
      </c>
      <c r="AG243" s="61">
        <v>1</v>
      </c>
      <c r="AH243" s="61">
        <v>2737</v>
      </c>
      <c r="AI243" s="61">
        <v>6630</v>
      </c>
      <c r="AJ243" s="61">
        <v>10482</v>
      </c>
      <c r="AK243" s="61">
        <v>24</v>
      </c>
      <c r="AL243" s="61">
        <v>205</v>
      </c>
      <c r="AM243" s="61">
        <v>50</v>
      </c>
      <c r="AN243" s="61">
        <v>6524</v>
      </c>
      <c r="AO243" s="61">
        <v>317</v>
      </c>
      <c r="AP243" s="61">
        <v>199</v>
      </c>
      <c r="AQ243" s="61">
        <v>56</v>
      </c>
      <c r="AR243" s="61"/>
      <c r="AS243" s="61"/>
      <c r="AT243" s="61"/>
      <c r="AU243" s="61"/>
      <c r="AV243" s="61"/>
      <c r="AW243" s="61">
        <v>72</v>
      </c>
      <c r="AX243" s="61"/>
      <c r="AY243" s="61">
        <v>25891</v>
      </c>
      <c r="AZ243" s="61"/>
      <c r="BA243" s="61">
        <v>117</v>
      </c>
      <c r="BB243" s="61"/>
      <c r="BC243" s="61"/>
      <c r="BD243" s="61">
        <v>16602</v>
      </c>
      <c r="BE243" s="61">
        <v>4858</v>
      </c>
      <c r="BF243" s="61">
        <v>1019</v>
      </c>
      <c r="BG243" s="61">
        <v>1851</v>
      </c>
      <c r="BH243" s="61">
        <v>2322</v>
      </c>
      <c r="BI243" s="61"/>
      <c r="BJ243" s="61">
        <v>26652</v>
      </c>
      <c r="BK243" s="61">
        <v>459</v>
      </c>
      <c r="BL243" s="61">
        <v>22983</v>
      </c>
      <c r="BM243" s="61">
        <v>3210</v>
      </c>
      <c r="BN243" s="61">
        <v>3224</v>
      </c>
      <c r="BO243" s="61">
        <v>3663</v>
      </c>
      <c r="BP243" s="61"/>
      <c r="BQ243" s="61">
        <v>135</v>
      </c>
      <c r="BR243" s="61">
        <v>924</v>
      </c>
      <c r="BS243" s="61">
        <v>806</v>
      </c>
      <c r="BT243" s="61">
        <v>991</v>
      </c>
      <c r="BU243" s="61">
        <v>1469</v>
      </c>
      <c r="BV243" s="61">
        <v>983</v>
      </c>
      <c r="BW243" s="61">
        <v>727</v>
      </c>
      <c r="BX243" s="61">
        <v>851</v>
      </c>
      <c r="BY243" s="61">
        <v>1</v>
      </c>
      <c r="BZ243" s="61"/>
      <c r="CA243" s="61"/>
      <c r="CB243" s="61">
        <v>1005</v>
      </c>
      <c r="CC243" s="61">
        <v>1426</v>
      </c>
      <c r="CD243" s="61">
        <v>1841</v>
      </c>
      <c r="CE243" s="61">
        <v>21</v>
      </c>
      <c r="CF243" s="61">
        <v>5</v>
      </c>
      <c r="CG243" s="61">
        <v>2585</v>
      </c>
      <c r="CH243" s="61">
        <v>4</v>
      </c>
      <c r="CI243" s="61">
        <v>264</v>
      </c>
      <c r="CJ243" s="61">
        <v>218</v>
      </c>
      <c r="CK243" s="61">
        <v>149</v>
      </c>
      <c r="CL243" s="61">
        <v>143</v>
      </c>
      <c r="CM243" s="61">
        <v>39</v>
      </c>
      <c r="CN243" s="61"/>
      <c r="CO243" s="61"/>
      <c r="CP243" s="61">
        <v>5175</v>
      </c>
      <c r="CQ243" s="61">
        <v>748</v>
      </c>
      <c r="CR243" s="61">
        <v>3</v>
      </c>
      <c r="CS243" s="61">
        <v>14</v>
      </c>
      <c r="CT243" s="61">
        <v>102</v>
      </c>
      <c r="CU243" s="61"/>
      <c r="CV243" s="61"/>
      <c r="CW243" s="61">
        <v>32</v>
      </c>
      <c r="CX243" s="61">
        <v>3412</v>
      </c>
      <c r="CY243" s="61">
        <v>2793</v>
      </c>
      <c r="CZ243" s="61">
        <v>66</v>
      </c>
      <c r="DA243" s="61">
        <v>511</v>
      </c>
      <c r="DB243" s="61">
        <v>105</v>
      </c>
      <c r="DC243" s="61"/>
      <c r="DD243" s="61">
        <v>6887</v>
      </c>
      <c r="DE243" s="61">
        <v>314</v>
      </c>
      <c r="DF243" s="61">
        <v>5959</v>
      </c>
      <c r="DG243" s="61">
        <v>614</v>
      </c>
      <c r="DH243" s="62" t="s">
        <v>2185</v>
      </c>
      <c r="DI243" s="61">
        <v>291</v>
      </c>
      <c r="DJ243" s="61">
        <v>20</v>
      </c>
      <c r="DK243" s="61"/>
      <c r="DL243" s="61"/>
      <c r="DM243" s="61"/>
      <c r="DN243" s="61"/>
    </row>
    <row r="244" spans="1:118" x14ac:dyDescent="0.25">
      <c r="A244" s="61">
        <v>106370771</v>
      </c>
      <c r="B244" s="62" t="s">
        <v>1117</v>
      </c>
      <c r="C244" s="62" t="s">
        <v>1118</v>
      </c>
      <c r="D244" s="62" t="s">
        <v>1082</v>
      </c>
      <c r="E244" s="62" t="s">
        <v>71</v>
      </c>
      <c r="F244" s="62" t="s">
        <v>2213</v>
      </c>
      <c r="G244" s="62" t="s">
        <v>1119</v>
      </c>
      <c r="H244" s="62" t="s">
        <v>1120</v>
      </c>
      <c r="I244" s="62" t="s">
        <v>1121</v>
      </c>
      <c r="J244" s="62" t="s">
        <v>2186</v>
      </c>
      <c r="K244" s="62" t="s">
        <v>82</v>
      </c>
      <c r="L244" s="61">
        <v>52</v>
      </c>
      <c r="M244" s="61">
        <v>78</v>
      </c>
      <c r="N244" s="61">
        <v>39</v>
      </c>
      <c r="O244" s="62" t="s">
        <v>1953</v>
      </c>
      <c r="P244" s="62" t="s">
        <v>68</v>
      </c>
      <c r="Q244" s="62" t="s">
        <v>2167</v>
      </c>
      <c r="R244" s="62" t="s">
        <v>2167</v>
      </c>
      <c r="S244" s="62" t="s">
        <v>69</v>
      </c>
      <c r="T244" s="61">
        <v>15389</v>
      </c>
      <c r="U244" s="61">
        <v>13017</v>
      </c>
      <c r="V244" s="61"/>
      <c r="W244" s="61">
        <v>756</v>
      </c>
      <c r="X244" s="61">
        <v>1771</v>
      </c>
      <c r="Y244" s="61">
        <v>5002</v>
      </c>
      <c r="Z244" s="61">
        <v>4403</v>
      </c>
      <c r="AA244" s="61">
        <v>3751</v>
      </c>
      <c r="AB244" s="61">
        <v>3985</v>
      </c>
      <c r="AC244" s="61">
        <v>3004</v>
      </c>
      <c r="AD244" s="61">
        <v>2355</v>
      </c>
      <c r="AE244" s="61">
        <v>3240</v>
      </c>
      <c r="AF244" s="61">
        <v>139</v>
      </c>
      <c r="AG244" s="61"/>
      <c r="AH244" s="61">
        <v>2499</v>
      </c>
      <c r="AI244" s="61">
        <v>1108</v>
      </c>
      <c r="AJ244" s="61">
        <v>2776</v>
      </c>
      <c r="AK244" s="61">
        <v>28</v>
      </c>
      <c r="AL244" s="61">
        <v>1692</v>
      </c>
      <c r="AM244" s="61">
        <v>68</v>
      </c>
      <c r="AN244" s="61">
        <v>20235</v>
      </c>
      <c r="AO244" s="61">
        <v>382</v>
      </c>
      <c r="AP244" s="61">
        <v>344</v>
      </c>
      <c r="AQ244" s="61">
        <v>69</v>
      </c>
      <c r="AR244" s="61">
        <v>5</v>
      </c>
      <c r="AS244" s="61">
        <v>20</v>
      </c>
      <c r="AT244" s="61">
        <v>2</v>
      </c>
      <c r="AU244" s="61"/>
      <c r="AV244" s="61"/>
      <c r="AW244" s="61">
        <v>121</v>
      </c>
      <c r="AX244" s="61">
        <v>4</v>
      </c>
      <c r="AY244" s="61">
        <v>27167</v>
      </c>
      <c r="AZ244" s="61">
        <v>237</v>
      </c>
      <c r="BA244" s="61">
        <v>3</v>
      </c>
      <c r="BB244" s="61"/>
      <c r="BC244" s="61"/>
      <c r="BD244" s="61">
        <v>6163</v>
      </c>
      <c r="BE244" s="61">
        <v>7260</v>
      </c>
      <c r="BF244" s="61">
        <v>1370</v>
      </c>
      <c r="BG244" s="61">
        <v>11790</v>
      </c>
      <c r="BH244" s="61">
        <v>1823</v>
      </c>
      <c r="BI244" s="61"/>
      <c r="BJ244" s="61">
        <v>28406</v>
      </c>
      <c r="BK244" s="61">
        <v>679</v>
      </c>
      <c r="BL244" s="61">
        <v>27296</v>
      </c>
      <c r="BM244" s="61">
        <v>431</v>
      </c>
      <c r="BN244" s="61">
        <v>3865</v>
      </c>
      <c r="BO244" s="61">
        <v>3846</v>
      </c>
      <c r="BP244" s="61"/>
      <c r="BQ244" s="61">
        <v>124</v>
      </c>
      <c r="BR244" s="61">
        <v>569</v>
      </c>
      <c r="BS244" s="61">
        <v>529</v>
      </c>
      <c r="BT244" s="61">
        <v>691</v>
      </c>
      <c r="BU244" s="61">
        <v>1009</v>
      </c>
      <c r="BV244" s="61">
        <v>1155</v>
      </c>
      <c r="BW244" s="61">
        <v>1270</v>
      </c>
      <c r="BX244" s="61">
        <v>2364</v>
      </c>
      <c r="BY244" s="61"/>
      <c r="BZ244" s="61"/>
      <c r="CA244" s="61"/>
      <c r="CB244" s="61">
        <v>605</v>
      </c>
      <c r="CC244" s="61">
        <v>191</v>
      </c>
      <c r="CD244" s="61">
        <v>654</v>
      </c>
      <c r="CE244" s="61">
        <v>271</v>
      </c>
      <c r="CF244" s="61">
        <v>15</v>
      </c>
      <c r="CG244" s="61">
        <v>5965</v>
      </c>
      <c r="CH244" s="61">
        <v>10</v>
      </c>
      <c r="CI244" s="61">
        <v>273</v>
      </c>
      <c r="CJ244" s="61">
        <v>101</v>
      </c>
      <c r="CK244" s="61">
        <v>308</v>
      </c>
      <c r="CL244" s="61">
        <v>1002</v>
      </c>
      <c r="CM244" s="61">
        <v>141</v>
      </c>
      <c r="CN244" s="61"/>
      <c r="CO244" s="61">
        <v>12</v>
      </c>
      <c r="CP244" s="61">
        <v>4143</v>
      </c>
      <c r="CQ244" s="61">
        <v>1495</v>
      </c>
      <c r="CR244" s="61">
        <v>2</v>
      </c>
      <c r="CS244" s="61">
        <v>166</v>
      </c>
      <c r="CT244" s="61">
        <v>51</v>
      </c>
      <c r="CU244" s="61"/>
      <c r="CV244" s="61"/>
      <c r="CW244" s="61">
        <v>17</v>
      </c>
      <c r="CX244" s="61">
        <v>1019</v>
      </c>
      <c r="CY244" s="61">
        <v>4228</v>
      </c>
      <c r="CZ244" s="61">
        <v>233</v>
      </c>
      <c r="DA244" s="61">
        <v>2063</v>
      </c>
      <c r="DB244" s="61">
        <v>168</v>
      </c>
      <c r="DC244" s="61"/>
      <c r="DD244" s="61">
        <v>7711</v>
      </c>
      <c r="DE244" s="61">
        <v>268</v>
      </c>
      <c r="DF244" s="61">
        <v>7261</v>
      </c>
      <c r="DG244" s="61">
        <v>182</v>
      </c>
      <c r="DH244" s="62" t="s">
        <v>2185</v>
      </c>
      <c r="DI244" s="61">
        <v>318</v>
      </c>
      <c r="DJ244" s="61">
        <v>19</v>
      </c>
      <c r="DK244" s="61"/>
      <c r="DL244" s="61">
        <v>52</v>
      </c>
      <c r="DM244" s="61"/>
      <c r="DN244" s="61"/>
    </row>
    <row r="245" spans="1:118" x14ac:dyDescent="0.25">
      <c r="A245" s="61">
        <v>106370780</v>
      </c>
      <c r="B245" s="62" t="s">
        <v>1122</v>
      </c>
      <c r="C245" s="62" t="s">
        <v>1123</v>
      </c>
      <c r="D245" s="62" t="s">
        <v>1082</v>
      </c>
      <c r="E245" s="62" t="s">
        <v>94</v>
      </c>
      <c r="F245" s="62" t="s">
        <v>2213</v>
      </c>
      <c r="G245" s="62" t="s">
        <v>1124</v>
      </c>
      <c r="H245" s="62" t="s">
        <v>1125</v>
      </c>
      <c r="I245" s="62" t="s">
        <v>1126</v>
      </c>
      <c r="J245" s="62" t="s">
        <v>2186</v>
      </c>
      <c r="K245" s="62"/>
      <c r="L245" s="61">
        <v>49</v>
      </c>
      <c r="M245" s="61">
        <v>76</v>
      </c>
      <c r="N245" s="61">
        <v>36</v>
      </c>
      <c r="O245" s="62" t="s">
        <v>1954</v>
      </c>
      <c r="P245" s="62" t="s">
        <v>68</v>
      </c>
      <c r="Q245" s="62" t="s">
        <v>2167</v>
      </c>
      <c r="R245" s="62" t="s">
        <v>2167</v>
      </c>
      <c r="S245" s="62" t="s">
        <v>69</v>
      </c>
      <c r="T245" s="61">
        <v>31406</v>
      </c>
      <c r="U245" s="61">
        <v>26781</v>
      </c>
      <c r="V245" s="61"/>
      <c r="W245" s="61">
        <v>5534</v>
      </c>
      <c r="X245" s="61">
        <v>5373</v>
      </c>
      <c r="Y245" s="61">
        <v>10129</v>
      </c>
      <c r="Z245" s="61">
        <v>7957</v>
      </c>
      <c r="AA245" s="61">
        <v>7220</v>
      </c>
      <c r="AB245" s="61">
        <v>7667</v>
      </c>
      <c r="AC245" s="61">
        <v>4941</v>
      </c>
      <c r="AD245" s="61">
        <v>3366</v>
      </c>
      <c r="AE245" s="61">
        <v>4821</v>
      </c>
      <c r="AF245" s="61">
        <v>1179</v>
      </c>
      <c r="AG245" s="61"/>
      <c r="AH245" s="61">
        <v>2289</v>
      </c>
      <c r="AI245" s="61">
        <v>3931</v>
      </c>
      <c r="AJ245" s="61">
        <v>17160</v>
      </c>
      <c r="AK245" s="61">
        <v>83</v>
      </c>
      <c r="AL245" s="61">
        <v>3204</v>
      </c>
      <c r="AM245" s="61">
        <v>1048</v>
      </c>
      <c r="AN245" s="61">
        <v>30472</v>
      </c>
      <c r="AO245" s="61">
        <v>1516</v>
      </c>
      <c r="AP245" s="61">
        <v>787</v>
      </c>
      <c r="AQ245" s="61">
        <v>106</v>
      </c>
      <c r="AR245" s="61">
        <v>196</v>
      </c>
      <c r="AS245" s="61">
        <v>51</v>
      </c>
      <c r="AT245" s="61">
        <v>8</v>
      </c>
      <c r="AU245" s="61"/>
      <c r="AV245" s="61">
        <v>213</v>
      </c>
      <c r="AW245" s="61">
        <v>258</v>
      </c>
      <c r="AX245" s="61">
        <v>21</v>
      </c>
      <c r="AY245" s="61">
        <v>54657</v>
      </c>
      <c r="AZ245" s="61">
        <v>322</v>
      </c>
      <c r="BA245" s="61">
        <v>9</v>
      </c>
      <c r="BB245" s="61"/>
      <c r="BC245" s="61"/>
      <c r="BD245" s="61">
        <v>24679</v>
      </c>
      <c r="BE245" s="61">
        <v>12325</v>
      </c>
      <c r="BF245" s="61">
        <v>2498</v>
      </c>
      <c r="BG245" s="61">
        <v>10939</v>
      </c>
      <c r="BH245" s="61">
        <v>7746</v>
      </c>
      <c r="BI245" s="61"/>
      <c r="BJ245" s="61">
        <v>58187</v>
      </c>
      <c r="BK245" s="61">
        <v>360</v>
      </c>
      <c r="BL245" s="61">
        <v>51718</v>
      </c>
      <c r="BM245" s="61">
        <v>6109</v>
      </c>
      <c r="BN245" s="61">
        <v>4259</v>
      </c>
      <c r="BO245" s="61">
        <v>4305</v>
      </c>
      <c r="BP245" s="61"/>
      <c r="BQ245" s="61">
        <v>105</v>
      </c>
      <c r="BR245" s="61">
        <v>647</v>
      </c>
      <c r="BS245" s="61">
        <v>664</v>
      </c>
      <c r="BT245" s="61">
        <v>876</v>
      </c>
      <c r="BU245" s="61">
        <v>1385</v>
      </c>
      <c r="BV245" s="61">
        <v>1434</v>
      </c>
      <c r="BW245" s="61">
        <v>1294</v>
      </c>
      <c r="BX245" s="61">
        <v>2149</v>
      </c>
      <c r="BY245" s="61">
        <v>10</v>
      </c>
      <c r="BZ245" s="61"/>
      <c r="CA245" s="61"/>
      <c r="CB245" s="61">
        <v>442</v>
      </c>
      <c r="CC245" s="61">
        <v>405</v>
      </c>
      <c r="CD245" s="61">
        <v>1408</v>
      </c>
      <c r="CE245" s="61">
        <v>326</v>
      </c>
      <c r="CF245" s="61">
        <v>24</v>
      </c>
      <c r="CG245" s="61">
        <v>5947</v>
      </c>
      <c r="CH245" s="61">
        <v>12</v>
      </c>
      <c r="CI245" s="61">
        <v>259</v>
      </c>
      <c r="CJ245" s="61">
        <v>145</v>
      </c>
      <c r="CK245" s="61">
        <v>374</v>
      </c>
      <c r="CL245" s="61">
        <v>1273</v>
      </c>
      <c r="CM245" s="61">
        <v>115</v>
      </c>
      <c r="CN245" s="61"/>
      <c r="CO245" s="61">
        <v>42</v>
      </c>
      <c r="CP245" s="61">
        <v>4474</v>
      </c>
      <c r="CQ245" s="61">
        <v>1434</v>
      </c>
      <c r="CR245" s="61">
        <v>198</v>
      </c>
      <c r="CS245" s="61">
        <v>195</v>
      </c>
      <c r="CT245" s="61">
        <v>48</v>
      </c>
      <c r="CU245" s="61"/>
      <c r="CV245" s="61">
        <v>1</v>
      </c>
      <c r="CW245" s="61">
        <v>6</v>
      </c>
      <c r="CX245" s="61">
        <v>2291</v>
      </c>
      <c r="CY245" s="61">
        <v>4679</v>
      </c>
      <c r="CZ245" s="61">
        <v>278</v>
      </c>
      <c r="DA245" s="61">
        <v>1141</v>
      </c>
      <c r="DB245" s="61">
        <v>175</v>
      </c>
      <c r="DC245" s="61"/>
      <c r="DD245" s="61">
        <v>8564</v>
      </c>
      <c r="DE245" s="61">
        <v>80</v>
      </c>
      <c r="DF245" s="61">
        <v>7832</v>
      </c>
      <c r="DG245" s="61">
        <v>652</v>
      </c>
      <c r="DH245" s="62" t="s">
        <v>2185</v>
      </c>
      <c r="DI245" s="61">
        <v>397</v>
      </c>
      <c r="DJ245" s="61">
        <v>47</v>
      </c>
      <c r="DK245" s="61">
        <v>40</v>
      </c>
      <c r="DL245" s="61">
        <v>3</v>
      </c>
      <c r="DM245" s="61"/>
      <c r="DN245" s="61"/>
    </row>
    <row r="246" spans="1:118" x14ac:dyDescent="0.25">
      <c r="A246" s="61">
        <v>106370782</v>
      </c>
      <c r="B246" s="62" t="s">
        <v>1127</v>
      </c>
      <c r="C246" s="62" t="s">
        <v>1128</v>
      </c>
      <c r="D246" s="62" t="s">
        <v>1082</v>
      </c>
      <c r="E246" s="62" t="s">
        <v>574</v>
      </c>
      <c r="F246" s="62" t="s">
        <v>2213</v>
      </c>
      <c r="G246" s="62" t="s">
        <v>1129</v>
      </c>
      <c r="H246" s="62" t="s">
        <v>1082</v>
      </c>
      <c r="I246" s="62" t="s">
        <v>1106</v>
      </c>
      <c r="J246" s="62" t="s">
        <v>2186</v>
      </c>
      <c r="K246" s="62" t="s">
        <v>222</v>
      </c>
      <c r="L246" s="61">
        <v>53</v>
      </c>
      <c r="M246" s="61">
        <v>78</v>
      </c>
      <c r="N246" s="61">
        <v>39</v>
      </c>
      <c r="O246" s="62" t="s">
        <v>1947</v>
      </c>
      <c r="P246" s="62" t="s">
        <v>68</v>
      </c>
      <c r="Q246" s="62" t="s">
        <v>2167</v>
      </c>
      <c r="R246" s="62" t="s">
        <v>83</v>
      </c>
      <c r="S246" s="62" t="s">
        <v>223</v>
      </c>
      <c r="T246" s="61">
        <v>27056</v>
      </c>
      <c r="U246" s="61">
        <v>28710</v>
      </c>
      <c r="V246" s="61">
        <v>24</v>
      </c>
      <c r="W246" s="61">
        <v>690</v>
      </c>
      <c r="X246" s="61">
        <v>2373</v>
      </c>
      <c r="Y246" s="61">
        <v>10344</v>
      </c>
      <c r="Z246" s="61">
        <v>9335</v>
      </c>
      <c r="AA246" s="61">
        <v>9199</v>
      </c>
      <c r="AB246" s="61">
        <v>10845</v>
      </c>
      <c r="AC246" s="61">
        <v>7160</v>
      </c>
      <c r="AD246" s="61">
        <v>3282</v>
      </c>
      <c r="AE246" s="61">
        <v>2393</v>
      </c>
      <c r="AF246" s="61">
        <v>147</v>
      </c>
      <c r="AG246" s="61">
        <v>22</v>
      </c>
      <c r="AH246" s="61">
        <v>2708</v>
      </c>
      <c r="AI246" s="61">
        <v>7575</v>
      </c>
      <c r="AJ246" s="61">
        <v>11566</v>
      </c>
      <c r="AK246" s="61">
        <v>161</v>
      </c>
      <c r="AL246" s="61">
        <v>5140</v>
      </c>
      <c r="AM246" s="61">
        <v>397</v>
      </c>
      <c r="AN246" s="61">
        <v>28243</v>
      </c>
      <c r="AO246" s="61">
        <v>214</v>
      </c>
      <c r="AP246" s="61"/>
      <c r="AQ246" s="61">
        <v>52</v>
      </c>
      <c r="AR246" s="61">
        <v>92</v>
      </c>
      <c r="AS246" s="61">
        <v>8</v>
      </c>
      <c r="AT246" s="61">
        <v>21</v>
      </c>
      <c r="AU246" s="61"/>
      <c r="AV246" s="61">
        <v>739</v>
      </c>
      <c r="AW246" s="61">
        <v>819</v>
      </c>
      <c r="AX246" s="61">
        <v>17</v>
      </c>
      <c r="AY246" s="61">
        <v>53551</v>
      </c>
      <c r="AZ246" s="61">
        <v>267</v>
      </c>
      <c r="BA246" s="61">
        <v>10</v>
      </c>
      <c r="BB246" s="61"/>
      <c r="BC246" s="61"/>
      <c r="BD246" s="61">
        <v>22273</v>
      </c>
      <c r="BE246" s="61">
        <v>11046</v>
      </c>
      <c r="BF246" s="61">
        <v>1766</v>
      </c>
      <c r="BG246" s="61">
        <v>12307</v>
      </c>
      <c r="BH246" s="61">
        <v>8398</v>
      </c>
      <c r="BI246" s="61"/>
      <c r="BJ246" s="61">
        <v>55790</v>
      </c>
      <c r="BK246" s="61">
        <v>1696</v>
      </c>
      <c r="BL246" s="61">
        <v>50830</v>
      </c>
      <c r="BM246" s="61">
        <v>3264</v>
      </c>
      <c r="BN246" s="61">
        <v>6713</v>
      </c>
      <c r="BO246" s="61">
        <v>8560</v>
      </c>
      <c r="BP246" s="61">
        <v>1</v>
      </c>
      <c r="BQ246" s="61">
        <v>205</v>
      </c>
      <c r="BR246" s="61">
        <v>1479</v>
      </c>
      <c r="BS246" s="61">
        <v>1592</v>
      </c>
      <c r="BT246" s="61">
        <v>1977</v>
      </c>
      <c r="BU246" s="61">
        <v>3392</v>
      </c>
      <c r="BV246" s="61">
        <v>3011</v>
      </c>
      <c r="BW246" s="61">
        <v>1888</v>
      </c>
      <c r="BX246" s="61">
        <v>1702</v>
      </c>
      <c r="BY246" s="61">
        <v>12</v>
      </c>
      <c r="BZ246" s="61">
        <v>14</v>
      </c>
      <c r="CA246" s="61">
        <v>2</v>
      </c>
      <c r="CB246" s="61">
        <v>620</v>
      </c>
      <c r="CC246" s="61">
        <v>1704</v>
      </c>
      <c r="CD246" s="61">
        <v>3631</v>
      </c>
      <c r="CE246" s="61">
        <v>1293</v>
      </c>
      <c r="CF246" s="61">
        <v>105</v>
      </c>
      <c r="CG246" s="61">
        <v>7879</v>
      </c>
      <c r="CH246" s="61">
        <v>42</v>
      </c>
      <c r="CI246" s="61">
        <v>266</v>
      </c>
      <c r="CJ246" s="61"/>
      <c r="CK246" s="61">
        <v>385</v>
      </c>
      <c r="CL246" s="61">
        <v>1862</v>
      </c>
      <c r="CM246" s="61">
        <v>147</v>
      </c>
      <c r="CN246" s="61"/>
      <c r="CO246" s="61">
        <v>57</v>
      </c>
      <c r="CP246" s="61">
        <v>10186</v>
      </c>
      <c r="CQ246" s="61">
        <v>1817</v>
      </c>
      <c r="CR246" s="61">
        <v>151</v>
      </c>
      <c r="CS246" s="61">
        <v>307</v>
      </c>
      <c r="CT246" s="61">
        <v>90</v>
      </c>
      <c r="CU246" s="61">
        <v>3</v>
      </c>
      <c r="CV246" s="61"/>
      <c r="CW246" s="61">
        <v>3</v>
      </c>
      <c r="CX246" s="61">
        <v>4799</v>
      </c>
      <c r="CY246" s="61">
        <v>6201</v>
      </c>
      <c r="CZ246" s="61">
        <v>833</v>
      </c>
      <c r="DA246" s="61">
        <v>2243</v>
      </c>
      <c r="DB246" s="61">
        <v>1198</v>
      </c>
      <c r="DC246" s="61"/>
      <c r="DD246" s="61">
        <v>15274</v>
      </c>
      <c r="DE246" s="61">
        <v>657</v>
      </c>
      <c r="DF246" s="61">
        <v>13058</v>
      </c>
      <c r="DG246" s="61">
        <v>1559</v>
      </c>
      <c r="DH246" s="62" t="s">
        <v>2185</v>
      </c>
      <c r="DI246" s="61">
        <v>390</v>
      </c>
      <c r="DJ246" s="61">
        <v>36</v>
      </c>
      <c r="DK246" s="61"/>
      <c r="DL246" s="61"/>
      <c r="DM246" s="61"/>
      <c r="DN246" s="61"/>
    </row>
    <row r="247" spans="1:118" x14ac:dyDescent="0.25">
      <c r="A247" s="61">
        <v>106370875</v>
      </c>
      <c r="B247" s="62" t="s">
        <v>1130</v>
      </c>
      <c r="C247" s="62" t="s">
        <v>1131</v>
      </c>
      <c r="D247" s="62" t="s">
        <v>1082</v>
      </c>
      <c r="E247" s="62" t="s">
        <v>71</v>
      </c>
      <c r="F247" s="62" t="s">
        <v>2213</v>
      </c>
      <c r="G247" s="62" t="s">
        <v>1132</v>
      </c>
      <c r="H247" s="62" t="s">
        <v>1133</v>
      </c>
      <c r="I247" s="62" t="s">
        <v>1134</v>
      </c>
      <c r="J247" s="62" t="s">
        <v>2186</v>
      </c>
      <c r="K247" s="62"/>
      <c r="L247" s="61">
        <v>53</v>
      </c>
      <c r="M247" s="61">
        <v>79</v>
      </c>
      <c r="N247" s="61">
        <v>40</v>
      </c>
      <c r="O247" s="62" t="s">
        <v>1955</v>
      </c>
      <c r="P247" s="62" t="s">
        <v>68</v>
      </c>
      <c r="Q247" s="62" t="s">
        <v>2167</v>
      </c>
      <c r="R247" s="62" t="s">
        <v>2167</v>
      </c>
      <c r="S247" s="62" t="s">
        <v>69</v>
      </c>
      <c r="T247" s="61">
        <v>34278</v>
      </c>
      <c r="U247" s="61">
        <v>23152</v>
      </c>
      <c r="V247" s="61"/>
      <c r="W247" s="61">
        <v>5112</v>
      </c>
      <c r="X247" s="61">
        <v>5778</v>
      </c>
      <c r="Y247" s="61">
        <v>10673</v>
      </c>
      <c r="Z247" s="61">
        <v>8672</v>
      </c>
      <c r="AA247" s="61">
        <v>7319</v>
      </c>
      <c r="AB247" s="61">
        <v>6934</v>
      </c>
      <c r="AC247" s="61">
        <v>4855</v>
      </c>
      <c r="AD247" s="61">
        <v>3362</v>
      </c>
      <c r="AE247" s="61">
        <v>3695</v>
      </c>
      <c r="AF247" s="61">
        <v>1030</v>
      </c>
      <c r="AG247" s="61"/>
      <c r="AH247" s="61">
        <v>4272</v>
      </c>
      <c r="AI247" s="61">
        <v>3123</v>
      </c>
      <c r="AJ247" s="61">
        <v>36429</v>
      </c>
      <c r="AK247" s="61">
        <v>62</v>
      </c>
      <c r="AL247" s="61">
        <v>4722</v>
      </c>
      <c r="AM247" s="61">
        <v>345</v>
      </c>
      <c r="AN247" s="61">
        <v>8477</v>
      </c>
      <c r="AO247" s="61">
        <v>1330</v>
      </c>
      <c r="AP247" s="61">
        <v>1725</v>
      </c>
      <c r="AQ247" s="61">
        <v>81</v>
      </c>
      <c r="AR247" s="61">
        <v>96</v>
      </c>
      <c r="AS247" s="61">
        <v>1</v>
      </c>
      <c r="AT247" s="61">
        <v>3</v>
      </c>
      <c r="AU247" s="61"/>
      <c r="AV247" s="61">
        <v>522</v>
      </c>
      <c r="AW247" s="61">
        <v>305</v>
      </c>
      <c r="AX247" s="61">
        <v>64</v>
      </c>
      <c r="AY247" s="61">
        <v>52846</v>
      </c>
      <c r="AZ247" s="61">
        <v>334</v>
      </c>
      <c r="BA247" s="61">
        <v>105</v>
      </c>
      <c r="BB247" s="61"/>
      <c r="BC247" s="61">
        <v>16</v>
      </c>
      <c r="BD247" s="61">
        <v>28078</v>
      </c>
      <c r="BE247" s="61">
        <v>10681</v>
      </c>
      <c r="BF247" s="61">
        <v>3824</v>
      </c>
      <c r="BG247" s="61">
        <v>12268</v>
      </c>
      <c r="BH247" s="61">
        <v>2579</v>
      </c>
      <c r="BI247" s="61"/>
      <c r="BJ247" s="61">
        <v>57430</v>
      </c>
      <c r="BK247" s="61">
        <v>930</v>
      </c>
      <c r="BL247" s="61">
        <v>43909</v>
      </c>
      <c r="BM247" s="61">
        <v>12591</v>
      </c>
      <c r="BN247" s="61">
        <v>5635</v>
      </c>
      <c r="BO247" s="61">
        <v>5011</v>
      </c>
      <c r="BP247" s="61"/>
      <c r="BQ247" s="61">
        <v>96</v>
      </c>
      <c r="BR247" s="61">
        <v>587</v>
      </c>
      <c r="BS247" s="61">
        <v>700</v>
      </c>
      <c r="BT247" s="61">
        <v>1020</v>
      </c>
      <c r="BU247" s="61">
        <v>1537</v>
      </c>
      <c r="BV247" s="61">
        <v>1914</v>
      </c>
      <c r="BW247" s="61">
        <v>1973</v>
      </c>
      <c r="BX247" s="61">
        <v>2819</v>
      </c>
      <c r="BY247" s="61"/>
      <c r="BZ247" s="61"/>
      <c r="CA247" s="61"/>
      <c r="CB247" s="61">
        <v>1158</v>
      </c>
      <c r="CC247" s="61">
        <v>480</v>
      </c>
      <c r="CD247" s="61">
        <v>5837</v>
      </c>
      <c r="CE247" s="61">
        <v>711</v>
      </c>
      <c r="CF247" s="61">
        <v>38</v>
      </c>
      <c r="CG247" s="61">
        <v>2409</v>
      </c>
      <c r="CH247" s="61">
        <v>13</v>
      </c>
      <c r="CI247" s="61">
        <v>234</v>
      </c>
      <c r="CJ247" s="61">
        <v>195</v>
      </c>
      <c r="CK247" s="61">
        <v>364</v>
      </c>
      <c r="CL247" s="61">
        <v>1172</v>
      </c>
      <c r="CM247" s="61">
        <v>30</v>
      </c>
      <c r="CN247" s="61"/>
      <c r="CO247" s="61">
        <v>46</v>
      </c>
      <c r="CP247" s="61">
        <v>6469</v>
      </c>
      <c r="CQ247" s="61">
        <v>1889</v>
      </c>
      <c r="CR247" s="61">
        <v>33</v>
      </c>
      <c r="CS247" s="61">
        <v>177</v>
      </c>
      <c r="CT247" s="61">
        <v>21</v>
      </c>
      <c r="CU247" s="61"/>
      <c r="CV247" s="61"/>
      <c r="CW247" s="61">
        <v>16</v>
      </c>
      <c r="CX247" s="61">
        <v>3385</v>
      </c>
      <c r="CY247" s="61">
        <v>5790</v>
      </c>
      <c r="CZ247" s="61">
        <v>119</v>
      </c>
      <c r="DA247" s="61">
        <v>1217</v>
      </c>
      <c r="DB247" s="61">
        <v>135</v>
      </c>
      <c r="DC247" s="61"/>
      <c r="DD247" s="61">
        <v>10646</v>
      </c>
      <c r="DE247" s="61">
        <v>426</v>
      </c>
      <c r="DF247" s="61">
        <v>6643</v>
      </c>
      <c r="DG247" s="61">
        <v>3577</v>
      </c>
      <c r="DH247" s="62" t="s">
        <v>2185</v>
      </c>
      <c r="DI247" s="61">
        <v>343</v>
      </c>
      <c r="DJ247" s="61">
        <v>44</v>
      </c>
      <c r="DK247" s="61">
        <v>2</v>
      </c>
      <c r="DL247" s="61"/>
      <c r="DM247" s="61"/>
      <c r="DN247" s="61"/>
    </row>
    <row r="248" spans="1:118" x14ac:dyDescent="0.25">
      <c r="A248" s="61">
        <v>106370977</v>
      </c>
      <c r="B248" s="62" t="s">
        <v>1135</v>
      </c>
      <c r="C248" s="62" t="s">
        <v>1136</v>
      </c>
      <c r="D248" s="62" t="s">
        <v>1082</v>
      </c>
      <c r="E248" s="62" t="s">
        <v>94</v>
      </c>
      <c r="F248" s="62" t="s">
        <v>2213</v>
      </c>
      <c r="G248" s="62" t="s">
        <v>1137</v>
      </c>
      <c r="H248" s="62" t="s">
        <v>1138</v>
      </c>
      <c r="I248" s="62" t="s">
        <v>1139</v>
      </c>
      <c r="J248" s="62" t="s">
        <v>2184</v>
      </c>
      <c r="K248" s="62"/>
      <c r="L248" s="61">
        <v>52</v>
      </c>
      <c r="M248" s="61">
        <v>77</v>
      </c>
      <c r="N248" s="61">
        <v>38</v>
      </c>
      <c r="O248" s="62" t="s">
        <v>1956</v>
      </c>
      <c r="P248" s="62" t="s">
        <v>68</v>
      </c>
      <c r="Q248" s="62" t="s">
        <v>2167</v>
      </c>
      <c r="R248" s="62" t="s">
        <v>2167</v>
      </c>
      <c r="S248" s="62" t="s">
        <v>69</v>
      </c>
      <c r="T248" s="61">
        <v>16286</v>
      </c>
      <c r="U248" s="61">
        <v>11976</v>
      </c>
      <c r="V248" s="61">
        <v>7</v>
      </c>
      <c r="W248" s="61">
        <v>2305</v>
      </c>
      <c r="X248" s="61">
        <v>2942</v>
      </c>
      <c r="Y248" s="61">
        <v>4255</v>
      </c>
      <c r="Z248" s="61">
        <v>3760</v>
      </c>
      <c r="AA248" s="61">
        <v>3392</v>
      </c>
      <c r="AB248" s="61">
        <v>3608</v>
      </c>
      <c r="AC248" s="61">
        <v>2503</v>
      </c>
      <c r="AD248" s="61">
        <v>2151</v>
      </c>
      <c r="AE248" s="61">
        <v>3034</v>
      </c>
      <c r="AF248" s="61">
        <v>319</v>
      </c>
      <c r="AG248" s="61"/>
      <c r="AH248" s="61">
        <v>2212</v>
      </c>
      <c r="AI248" s="61">
        <v>1022</v>
      </c>
      <c r="AJ248" s="61">
        <v>3938</v>
      </c>
      <c r="AK248" s="61">
        <v>158</v>
      </c>
      <c r="AL248" s="61">
        <v>2066</v>
      </c>
      <c r="AM248" s="61">
        <v>88</v>
      </c>
      <c r="AN248" s="61">
        <v>18785</v>
      </c>
      <c r="AO248" s="61">
        <v>882</v>
      </c>
      <c r="AP248" s="61"/>
      <c r="AQ248" s="61">
        <v>52</v>
      </c>
      <c r="AR248" s="61">
        <v>79</v>
      </c>
      <c r="AS248" s="61">
        <v>25</v>
      </c>
      <c r="AT248" s="61">
        <v>36</v>
      </c>
      <c r="AU248" s="61"/>
      <c r="AV248" s="61">
        <v>35</v>
      </c>
      <c r="AW248" s="61">
        <v>360</v>
      </c>
      <c r="AX248" s="61">
        <v>26</v>
      </c>
      <c r="AY248" s="61">
        <v>26000</v>
      </c>
      <c r="AZ248" s="61">
        <v>522</v>
      </c>
      <c r="BA248" s="61">
        <v>90</v>
      </c>
      <c r="BB248" s="61">
        <v>1</v>
      </c>
      <c r="BC248" s="61">
        <v>48</v>
      </c>
      <c r="BD248" s="61">
        <v>9715</v>
      </c>
      <c r="BE248" s="61">
        <v>6643</v>
      </c>
      <c r="BF248" s="61">
        <v>1727</v>
      </c>
      <c r="BG248" s="61">
        <v>8738</v>
      </c>
      <c r="BH248" s="61">
        <v>1446</v>
      </c>
      <c r="BI248" s="61"/>
      <c r="BJ248" s="61">
        <v>28269</v>
      </c>
      <c r="BK248" s="61">
        <v>1323</v>
      </c>
      <c r="BL248" s="61">
        <v>25745</v>
      </c>
      <c r="BM248" s="61">
        <v>1201</v>
      </c>
      <c r="BN248" s="61">
        <v>2060</v>
      </c>
      <c r="BO248" s="61">
        <v>1555</v>
      </c>
      <c r="BP248" s="61"/>
      <c r="BQ248" s="61">
        <v>24</v>
      </c>
      <c r="BR248" s="61">
        <v>169</v>
      </c>
      <c r="BS248" s="61">
        <v>237</v>
      </c>
      <c r="BT248" s="61">
        <v>255</v>
      </c>
      <c r="BU248" s="61">
        <v>516</v>
      </c>
      <c r="BV248" s="61">
        <v>514</v>
      </c>
      <c r="BW248" s="61">
        <v>683</v>
      </c>
      <c r="BX248" s="61">
        <v>1215</v>
      </c>
      <c r="BY248" s="61">
        <v>2</v>
      </c>
      <c r="BZ248" s="61"/>
      <c r="CA248" s="61"/>
      <c r="CB248" s="61">
        <v>351</v>
      </c>
      <c r="CC248" s="61">
        <v>92</v>
      </c>
      <c r="CD248" s="61">
        <v>319</v>
      </c>
      <c r="CE248" s="61">
        <v>112</v>
      </c>
      <c r="CF248" s="61">
        <v>13</v>
      </c>
      <c r="CG248" s="61">
        <v>2706</v>
      </c>
      <c r="CH248" s="61">
        <v>22</v>
      </c>
      <c r="CI248" s="61">
        <v>165</v>
      </c>
      <c r="CJ248" s="61">
        <v>39</v>
      </c>
      <c r="CK248" s="61">
        <v>219</v>
      </c>
      <c r="CL248" s="61">
        <v>551</v>
      </c>
      <c r="CM248" s="61">
        <v>59</v>
      </c>
      <c r="CN248" s="61"/>
      <c r="CO248" s="61">
        <v>47</v>
      </c>
      <c r="CP248" s="61">
        <v>1548</v>
      </c>
      <c r="CQ248" s="61">
        <v>860</v>
      </c>
      <c r="CR248" s="61"/>
      <c r="CS248" s="61">
        <v>102</v>
      </c>
      <c r="CT248" s="61">
        <v>15</v>
      </c>
      <c r="CU248" s="61">
        <v>1</v>
      </c>
      <c r="CV248" s="61"/>
      <c r="CW248" s="61">
        <v>5</v>
      </c>
      <c r="CX248" s="61">
        <v>653</v>
      </c>
      <c r="CY248" s="61">
        <v>2180</v>
      </c>
      <c r="CZ248" s="61">
        <v>58</v>
      </c>
      <c r="DA248" s="61">
        <v>647</v>
      </c>
      <c r="DB248" s="61">
        <v>77</v>
      </c>
      <c r="DC248" s="61"/>
      <c r="DD248" s="61">
        <v>3615</v>
      </c>
      <c r="DE248" s="61">
        <v>239</v>
      </c>
      <c r="DF248" s="61">
        <v>3230</v>
      </c>
      <c r="DG248" s="61">
        <v>146</v>
      </c>
      <c r="DH248" s="62" t="s">
        <v>2185</v>
      </c>
      <c r="DI248" s="61">
        <v>236</v>
      </c>
      <c r="DJ248" s="61">
        <v>17</v>
      </c>
      <c r="DK248" s="61"/>
      <c r="DL248" s="61">
        <v>113</v>
      </c>
      <c r="DM248" s="61"/>
      <c r="DN248" s="61">
        <v>4</v>
      </c>
    </row>
    <row r="249" spans="1:118" x14ac:dyDescent="0.25">
      <c r="A249" s="61">
        <v>106371256</v>
      </c>
      <c r="B249" s="62" t="s">
        <v>2209</v>
      </c>
      <c r="C249" s="62" t="s">
        <v>2210</v>
      </c>
      <c r="D249" s="62" t="s">
        <v>1082</v>
      </c>
      <c r="E249" s="62" t="s">
        <v>71</v>
      </c>
      <c r="F249" s="62" t="s">
        <v>2213</v>
      </c>
      <c r="G249" s="62" t="s">
        <v>2211</v>
      </c>
      <c r="H249" s="62" t="s">
        <v>1120</v>
      </c>
      <c r="I249" s="62" t="s">
        <v>1121</v>
      </c>
      <c r="J249" s="62" t="s">
        <v>2187</v>
      </c>
      <c r="K249" s="62"/>
      <c r="L249" s="61">
        <v>49</v>
      </c>
      <c r="M249" s="61">
        <v>78</v>
      </c>
      <c r="N249" s="61">
        <v>39</v>
      </c>
      <c r="O249" s="62" t="s">
        <v>1953</v>
      </c>
      <c r="P249" s="62" t="s">
        <v>68</v>
      </c>
      <c r="Q249" s="62" t="s">
        <v>2167</v>
      </c>
      <c r="R249" s="62" t="s">
        <v>2167</v>
      </c>
      <c r="S249" s="62"/>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v>1</v>
      </c>
      <c r="BO249" s="61">
        <v>2</v>
      </c>
      <c r="BP249" s="61"/>
      <c r="BQ249" s="61"/>
      <c r="BR249" s="61"/>
      <c r="BS249" s="61"/>
      <c r="BT249" s="61"/>
      <c r="BU249" s="61"/>
      <c r="BV249" s="61">
        <v>1</v>
      </c>
      <c r="BW249" s="61">
        <v>1</v>
      </c>
      <c r="BX249" s="61">
        <v>1</v>
      </c>
      <c r="BY249" s="61"/>
      <c r="BZ249" s="61"/>
      <c r="CA249" s="61"/>
      <c r="CB249" s="61"/>
      <c r="CC249" s="61"/>
      <c r="CD249" s="61"/>
      <c r="CE249" s="61"/>
      <c r="CF249" s="61"/>
      <c r="CG249" s="61">
        <v>3</v>
      </c>
      <c r="CH249" s="61"/>
      <c r="CI249" s="61"/>
      <c r="CJ249" s="61"/>
      <c r="CK249" s="61"/>
      <c r="CL249" s="61"/>
      <c r="CM249" s="61"/>
      <c r="CN249" s="61"/>
      <c r="CO249" s="61"/>
      <c r="CP249" s="61">
        <v>2</v>
      </c>
      <c r="CQ249" s="61">
        <v>1</v>
      </c>
      <c r="CR249" s="61"/>
      <c r="CS249" s="61"/>
      <c r="CT249" s="61"/>
      <c r="CU249" s="61"/>
      <c r="CV249" s="61"/>
      <c r="CW249" s="61"/>
      <c r="CX249" s="61"/>
      <c r="CY249" s="61">
        <v>2</v>
      </c>
      <c r="CZ249" s="61"/>
      <c r="DA249" s="61">
        <v>1</v>
      </c>
      <c r="DB249" s="61"/>
      <c r="DC249" s="61"/>
      <c r="DD249" s="61">
        <v>3</v>
      </c>
      <c r="DE249" s="61"/>
      <c r="DF249" s="61">
        <v>3</v>
      </c>
      <c r="DG249" s="61"/>
      <c r="DH249" s="62" t="s">
        <v>2185</v>
      </c>
      <c r="DI249" s="61">
        <v>173</v>
      </c>
      <c r="DJ249" s="61">
        <v>0</v>
      </c>
      <c r="DK249" s="61"/>
      <c r="DL249" s="61"/>
      <c r="DM249" s="61"/>
      <c r="DN249" s="61"/>
    </row>
    <row r="250" spans="1:118" x14ac:dyDescent="0.25">
      <c r="A250" s="61">
        <v>106371394</v>
      </c>
      <c r="B250" s="62" t="s">
        <v>1140</v>
      </c>
      <c r="C250" s="62" t="s">
        <v>1141</v>
      </c>
      <c r="D250" s="62" t="s">
        <v>1082</v>
      </c>
      <c r="E250" s="62" t="s">
        <v>71</v>
      </c>
      <c r="F250" s="62" t="s">
        <v>2213</v>
      </c>
      <c r="G250" s="62" t="s">
        <v>1142</v>
      </c>
      <c r="H250" s="62" t="s">
        <v>1143</v>
      </c>
      <c r="I250" s="62" t="s">
        <v>1144</v>
      </c>
      <c r="J250" s="62" t="s">
        <v>2187</v>
      </c>
      <c r="K250" s="62"/>
      <c r="L250" s="61">
        <v>49</v>
      </c>
      <c r="M250" s="61">
        <v>76</v>
      </c>
      <c r="N250" s="61">
        <v>36</v>
      </c>
      <c r="O250" s="62" t="s">
        <v>1957</v>
      </c>
      <c r="P250" s="62" t="s">
        <v>68</v>
      </c>
      <c r="Q250" s="62" t="s">
        <v>2167</v>
      </c>
      <c r="R250" s="62" t="s">
        <v>2167</v>
      </c>
      <c r="S250" s="62" t="s">
        <v>69</v>
      </c>
      <c r="T250" s="61">
        <v>22008</v>
      </c>
      <c r="U250" s="61">
        <v>17589</v>
      </c>
      <c r="V250" s="61"/>
      <c r="W250" s="61">
        <v>3256</v>
      </c>
      <c r="X250" s="61">
        <v>3504</v>
      </c>
      <c r="Y250" s="61">
        <v>4981</v>
      </c>
      <c r="Z250" s="61">
        <v>4986</v>
      </c>
      <c r="AA250" s="61">
        <v>4794</v>
      </c>
      <c r="AB250" s="61">
        <v>5052</v>
      </c>
      <c r="AC250" s="61">
        <v>4447</v>
      </c>
      <c r="AD250" s="61">
        <v>3369</v>
      </c>
      <c r="AE250" s="61">
        <v>4705</v>
      </c>
      <c r="AF250" s="61">
        <v>503</v>
      </c>
      <c r="AG250" s="61"/>
      <c r="AH250" s="61">
        <v>1092</v>
      </c>
      <c r="AI250" s="61">
        <v>1074</v>
      </c>
      <c r="AJ250" s="61">
        <v>7291</v>
      </c>
      <c r="AK250" s="61">
        <v>51</v>
      </c>
      <c r="AL250" s="61">
        <v>1388</v>
      </c>
      <c r="AM250" s="61">
        <v>174</v>
      </c>
      <c r="AN250" s="61">
        <v>28527</v>
      </c>
      <c r="AO250" s="61">
        <v>1267</v>
      </c>
      <c r="AP250" s="61">
        <v>1325</v>
      </c>
      <c r="AQ250" s="61">
        <v>37</v>
      </c>
      <c r="AR250" s="61">
        <v>88</v>
      </c>
      <c r="AS250" s="61">
        <v>13</v>
      </c>
      <c r="AT250" s="61">
        <v>10</v>
      </c>
      <c r="AU250" s="61"/>
      <c r="AV250" s="61"/>
      <c r="AW250" s="61">
        <v>122</v>
      </c>
      <c r="AX250" s="61">
        <v>4</v>
      </c>
      <c r="AY250" s="61">
        <v>36532</v>
      </c>
      <c r="AZ250" s="61">
        <v>182</v>
      </c>
      <c r="BA250" s="61">
        <v>3</v>
      </c>
      <c r="BB250" s="61"/>
      <c r="BC250" s="61"/>
      <c r="BD250" s="61">
        <v>9385</v>
      </c>
      <c r="BE250" s="61">
        <v>10474</v>
      </c>
      <c r="BF250" s="61">
        <v>1086</v>
      </c>
      <c r="BG250" s="61">
        <v>16169</v>
      </c>
      <c r="BH250" s="61">
        <v>2483</v>
      </c>
      <c r="BI250" s="61"/>
      <c r="BJ250" s="61">
        <v>39597</v>
      </c>
      <c r="BK250" s="61">
        <v>206</v>
      </c>
      <c r="BL250" s="61">
        <v>37495</v>
      </c>
      <c r="BM250" s="61">
        <v>1896</v>
      </c>
      <c r="BN250" s="61">
        <v>3725</v>
      </c>
      <c r="BO250" s="61">
        <v>3165</v>
      </c>
      <c r="BP250" s="61"/>
      <c r="BQ250" s="61">
        <v>66</v>
      </c>
      <c r="BR250" s="61">
        <v>274</v>
      </c>
      <c r="BS250" s="61">
        <v>415</v>
      </c>
      <c r="BT250" s="61">
        <v>540</v>
      </c>
      <c r="BU250" s="61">
        <v>876</v>
      </c>
      <c r="BV250" s="61">
        <v>1131</v>
      </c>
      <c r="BW250" s="61">
        <v>1263</v>
      </c>
      <c r="BX250" s="61">
        <v>2325</v>
      </c>
      <c r="BY250" s="61"/>
      <c r="BZ250" s="61"/>
      <c r="CA250" s="61"/>
      <c r="CB250" s="61">
        <v>227</v>
      </c>
      <c r="CC250" s="61">
        <v>160</v>
      </c>
      <c r="CD250" s="61">
        <v>808</v>
      </c>
      <c r="CE250" s="61">
        <v>174</v>
      </c>
      <c r="CF250" s="61">
        <v>31</v>
      </c>
      <c r="CG250" s="61">
        <v>5483</v>
      </c>
      <c r="CH250" s="61">
        <v>7</v>
      </c>
      <c r="CI250" s="61">
        <v>204</v>
      </c>
      <c r="CJ250" s="61">
        <v>97</v>
      </c>
      <c r="CK250" s="61">
        <v>193</v>
      </c>
      <c r="CL250" s="61">
        <v>1283</v>
      </c>
      <c r="CM250" s="61">
        <v>124</v>
      </c>
      <c r="CN250" s="61"/>
      <c r="CO250" s="61">
        <v>18</v>
      </c>
      <c r="CP250" s="61">
        <v>3454</v>
      </c>
      <c r="CQ250" s="61">
        <v>1218</v>
      </c>
      <c r="CR250" s="61">
        <v>1</v>
      </c>
      <c r="CS250" s="61">
        <v>256</v>
      </c>
      <c r="CT250" s="61">
        <v>37</v>
      </c>
      <c r="CU250" s="61"/>
      <c r="CV250" s="61"/>
      <c r="CW250" s="61">
        <v>5</v>
      </c>
      <c r="CX250" s="61">
        <v>970</v>
      </c>
      <c r="CY250" s="61">
        <v>4262</v>
      </c>
      <c r="CZ250" s="61">
        <v>59</v>
      </c>
      <c r="DA250" s="61">
        <v>1496</v>
      </c>
      <c r="DB250" s="61">
        <v>103</v>
      </c>
      <c r="DC250" s="61"/>
      <c r="DD250" s="61">
        <v>6890</v>
      </c>
      <c r="DE250" s="61">
        <v>55</v>
      </c>
      <c r="DF250" s="61">
        <v>6506</v>
      </c>
      <c r="DG250" s="61">
        <v>329</v>
      </c>
      <c r="DH250" s="62" t="s">
        <v>2185</v>
      </c>
      <c r="DI250" s="61">
        <v>194</v>
      </c>
      <c r="DJ250" s="61">
        <v>38</v>
      </c>
      <c r="DK250" s="61"/>
      <c r="DL250" s="61">
        <v>14</v>
      </c>
      <c r="DM250" s="61"/>
      <c r="DN250" s="61"/>
    </row>
    <row r="251" spans="1:118" x14ac:dyDescent="0.25">
      <c r="A251" s="61">
        <v>106380857</v>
      </c>
      <c r="B251" s="62" t="s">
        <v>1145</v>
      </c>
      <c r="C251" s="62" t="s">
        <v>2095</v>
      </c>
      <c r="D251" s="62" t="s">
        <v>1146</v>
      </c>
      <c r="E251" s="62" t="s">
        <v>71</v>
      </c>
      <c r="F251" s="62" t="s">
        <v>2213</v>
      </c>
      <c r="G251" s="62" t="s">
        <v>1147</v>
      </c>
      <c r="H251" s="62" t="s">
        <v>1146</v>
      </c>
      <c r="I251" s="62" t="s">
        <v>1148</v>
      </c>
      <c r="J251" s="62" t="s">
        <v>2184</v>
      </c>
      <c r="K251" s="62"/>
      <c r="L251" s="61">
        <v>12</v>
      </c>
      <c r="M251" s="61">
        <v>19</v>
      </c>
      <c r="N251" s="61">
        <v>11</v>
      </c>
      <c r="O251" s="62" t="s">
        <v>1958</v>
      </c>
      <c r="P251" s="62" t="s">
        <v>68</v>
      </c>
      <c r="Q251" s="62" t="s">
        <v>2167</v>
      </c>
      <c r="R251" s="62" t="s">
        <v>83</v>
      </c>
      <c r="S251" s="62" t="s">
        <v>69</v>
      </c>
      <c r="T251" s="61">
        <v>15688</v>
      </c>
      <c r="U251" s="61">
        <v>15984</v>
      </c>
      <c r="V251" s="61"/>
      <c r="W251" s="61">
        <v>2140</v>
      </c>
      <c r="X251" s="61">
        <v>1784</v>
      </c>
      <c r="Y251" s="61">
        <v>5320</v>
      </c>
      <c r="Z251" s="61">
        <v>4852</v>
      </c>
      <c r="AA251" s="61">
        <v>4086</v>
      </c>
      <c r="AB251" s="61">
        <v>3995</v>
      </c>
      <c r="AC251" s="61">
        <v>3612</v>
      </c>
      <c r="AD251" s="61">
        <v>2605</v>
      </c>
      <c r="AE251" s="61">
        <v>2845</v>
      </c>
      <c r="AF251" s="61">
        <v>433</v>
      </c>
      <c r="AG251" s="61"/>
      <c r="AH251" s="61">
        <v>6843</v>
      </c>
      <c r="AI251" s="61">
        <v>4768</v>
      </c>
      <c r="AJ251" s="61">
        <v>5449</v>
      </c>
      <c r="AK251" s="61">
        <v>81</v>
      </c>
      <c r="AL251" s="61">
        <v>1323</v>
      </c>
      <c r="AM251" s="61">
        <v>686</v>
      </c>
      <c r="AN251" s="61">
        <v>12522</v>
      </c>
      <c r="AO251" s="61">
        <v>41</v>
      </c>
      <c r="AP251" s="61">
        <v>180</v>
      </c>
      <c r="AQ251" s="61">
        <v>37</v>
      </c>
      <c r="AR251" s="61">
        <v>139</v>
      </c>
      <c r="AS251" s="61">
        <v>57</v>
      </c>
      <c r="AT251" s="61">
        <v>43</v>
      </c>
      <c r="AU251" s="61"/>
      <c r="AV251" s="61">
        <v>3</v>
      </c>
      <c r="AW251" s="61">
        <v>299</v>
      </c>
      <c r="AX251" s="61"/>
      <c r="AY251" s="61">
        <v>30609</v>
      </c>
      <c r="AZ251" s="61">
        <v>175</v>
      </c>
      <c r="BA251" s="61"/>
      <c r="BB251" s="61">
        <v>1</v>
      </c>
      <c r="BC251" s="61">
        <v>88</v>
      </c>
      <c r="BD251" s="61">
        <v>3066</v>
      </c>
      <c r="BE251" s="61">
        <v>7195</v>
      </c>
      <c r="BF251" s="61">
        <v>938</v>
      </c>
      <c r="BG251" s="61">
        <v>18187</v>
      </c>
      <c r="BH251" s="61">
        <v>2285</v>
      </c>
      <c r="BI251" s="61">
        <v>1</v>
      </c>
      <c r="BJ251" s="61">
        <v>31672</v>
      </c>
      <c r="BK251" s="61">
        <v>2138</v>
      </c>
      <c r="BL251" s="61">
        <v>27455</v>
      </c>
      <c r="BM251" s="61">
        <v>2079</v>
      </c>
      <c r="BN251" s="61">
        <v>2158</v>
      </c>
      <c r="BO251" s="61">
        <v>2180</v>
      </c>
      <c r="BP251" s="61">
        <v>1</v>
      </c>
      <c r="BQ251" s="61">
        <v>69</v>
      </c>
      <c r="BR251" s="61">
        <v>210</v>
      </c>
      <c r="BS251" s="61">
        <v>393</v>
      </c>
      <c r="BT251" s="61">
        <v>332</v>
      </c>
      <c r="BU251" s="61">
        <v>486</v>
      </c>
      <c r="BV251" s="61">
        <v>798</v>
      </c>
      <c r="BW251" s="61">
        <v>794</v>
      </c>
      <c r="BX251" s="61">
        <v>1129</v>
      </c>
      <c r="BY251" s="61">
        <v>43</v>
      </c>
      <c r="BZ251" s="61">
        <v>85</v>
      </c>
      <c r="CA251" s="61"/>
      <c r="CB251" s="61">
        <v>1331</v>
      </c>
      <c r="CC251" s="61">
        <v>595</v>
      </c>
      <c r="CD251" s="61">
        <v>521</v>
      </c>
      <c r="CE251" s="61">
        <v>80</v>
      </c>
      <c r="CF251" s="61">
        <v>18</v>
      </c>
      <c r="CG251" s="61">
        <v>1785</v>
      </c>
      <c r="CH251" s="61">
        <v>9</v>
      </c>
      <c r="CI251" s="61">
        <v>51</v>
      </c>
      <c r="CJ251" s="61">
        <v>47</v>
      </c>
      <c r="CK251" s="61">
        <v>151</v>
      </c>
      <c r="CL251" s="61">
        <v>562</v>
      </c>
      <c r="CM251" s="61">
        <v>16</v>
      </c>
      <c r="CN251" s="61">
        <v>1</v>
      </c>
      <c r="CO251" s="61">
        <v>1</v>
      </c>
      <c r="CP251" s="61">
        <v>2947</v>
      </c>
      <c r="CQ251" s="61">
        <v>410</v>
      </c>
      <c r="CR251" s="61"/>
      <c r="CS251" s="61">
        <v>141</v>
      </c>
      <c r="CT251" s="61">
        <v>9</v>
      </c>
      <c r="CU251" s="61"/>
      <c r="CV251" s="61"/>
      <c r="CW251" s="61">
        <v>3</v>
      </c>
      <c r="CX251" s="61">
        <v>183</v>
      </c>
      <c r="CY251" s="61">
        <v>2408</v>
      </c>
      <c r="CZ251" s="61">
        <v>18</v>
      </c>
      <c r="DA251" s="61">
        <v>1667</v>
      </c>
      <c r="DB251" s="61">
        <v>63</v>
      </c>
      <c r="DC251" s="61"/>
      <c r="DD251" s="61">
        <v>4339</v>
      </c>
      <c r="DE251" s="61">
        <v>495</v>
      </c>
      <c r="DF251" s="61">
        <v>3640</v>
      </c>
      <c r="DG251" s="61">
        <v>204</v>
      </c>
      <c r="DH251" s="62" t="s">
        <v>2185</v>
      </c>
      <c r="DI251" s="61">
        <v>247</v>
      </c>
      <c r="DJ251" s="61">
        <v>24</v>
      </c>
      <c r="DK251" s="61"/>
      <c r="DL251" s="61"/>
      <c r="DM251" s="61"/>
      <c r="DN251" s="61"/>
    </row>
    <row r="252" spans="1:118" x14ac:dyDescent="0.25">
      <c r="A252" s="61">
        <v>106380929</v>
      </c>
      <c r="B252" s="62" t="s">
        <v>1149</v>
      </c>
      <c r="C252" s="62" t="s">
        <v>1150</v>
      </c>
      <c r="D252" s="62" t="s">
        <v>1146</v>
      </c>
      <c r="E252" s="62" t="s">
        <v>71</v>
      </c>
      <c r="F252" s="62" t="s">
        <v>2213</v>
      </c>
      <c r="G252" s="62" t="s">
        <v>1151</v>
      </c>
      <c r="H252" s="62" t="s">
        <v>1146</v>
      </c>
      <c r="I252" s="62" t="s">
        <v>1148</v>
      </c>
      <c r="J252" s="62" t="s">
        <v>2186</v>
      </c>
      <c r="K252" s="62"/>
      <c r="L252" s="61">
        <v>12</v>
      </c>
      <c r="M252" s="61">
        <v>19</v>
      </c>
      <c r="N252" s="61">
        <v>11</v>
      </c>
      <c r="O252" s="62" t="s">
        <v>1959</v>
      </c>
      <c r="P252" s="62" t="s">
        <v>68</v>
      </c>
      <c r="Q252" s="62" t="s">
        <v>2167</v>
      </c>
      <c r="R252" s="62" t="s">
        <v>83</v>
      </c>
      <c r="S252" s="62" t="s">
        <v>69</v>
      </c>
      <c r="T252" s="61">
        <v>15616</v>
      </c>
      <c r="U252" s="61">
        <v>14634</v>
      </c>
      <c r="V252" s="61">
        <v>2</v>
      </c>
      <c r="W252" s="61">
        <v>6514</v>
      </c>
      <c r="X252" s="61">
        <v>2438</v>
      </c>
      <c r="Y252" s="61">
        <v>2743</v>
      </c>
      <c r="Z252" s="61">
        <v>3218</v>
      </c>
      <c r="AA252" s="61">
        <v>3016</v>
      </c>
      <c r="AB252" s="61">
        <v>3142</v>
      </c>
      <c r="AC252" s="61">
        <v>3035</v>
      </c>
      <c r="AD252" s="61">
        <v>2257</v>
      </c>
      <c r="AE252" s="61">
        <v>2620</v>
      </c>
      <c r="AF252" s="61">
        <v>1268</v>
      </c>
      <c r="AG252" s="61">
        <v>1</v>
      </c>
      <c r="AH252" s="61">
        <v>7830</v>
      </c>
      <c r="AI252" s="61">
        <v>3027</v>
      </c>
      <c r="AJ252" s="61">
        <v>2249</v>
      </c>
      <c r="AK252" s="61">
        <v>144</v>
      </c>
      <c r="AL252" s="61">
        <v>1577</v>
      </c>
      <c r="AM252" s="61">
        <v>324</v>
      </c>
      <c r="AN252" s="61">
        <v>15101</v>
      </c>
      <c r="AO252" s="61">
        <v>180</v>
      </c>
      <c r="AP252" s="61">
        <v>252</v>
      </c>
      <c r="AQ252" s="61">
        <v>34</v>
      </c>
      <c r="AR252" s="61">
        <v>143</v>
      </c>
      <c r="AS252" s="61">
        <v>12</v>
      </c>
      <c r="AT252" s="61">
        <v>3</v>
      </c>
      <c r="AU252" s="61"/>
      <c r="AV252" s="61">
        <v>1</v>
      </c>
      <c r="AW252" s="61">
        <v>38</v>
      </c>
      <c r="AX252" s="61">
        <v>3</v>
      </c>
      <c r="AY252" s="61">
        <v>29209</v>
      </c>
      <c r="AZ252" s="61">
        <v>88</v>
      </c>
      <c r="BA252" s="61"/>
      <c r="BB252" s="61">
        <v>5</v>
      </c>
      <c r="BC252" s="61">
        <v>118</v>
      </c>
      <c r="BD252" s="61">
        <v>7239</v>
      </c>
      <c r="BE252" s="61">
        <v>5648</v>
      </c>
      <c r="BF252" s="61">
        <v>406</v>
      </c>
      <c r="BG252" s="61">
        <v>15225</v>
      </c>
      <c r="BH252" s="61">
        <v>1664</v>
      </c>
      <c r="BI252" s="61">
        <v>70</v>
      </c>
      <c r="BJ252" s="61">
        <v>30252</v>
      </c>
      <c r="BK252" s="61">
        <v>4225</v>
      </c>
      <c r="BL252" s="61">
        <v>25539</v>
      </c>
      <c r="BM252" s="61">
        <v>488</v>
      </c>
      <c r="BN252" s="61">
        <v>4403</v>
      </c>
      <c r="BO252" s="61">
        <v>4240</v>
      </c>
      <c r="BP252" s="61"/>
      <c r="BQ252" s="61">
        <v>173</v>
      </c>
      <c r="BR252" s="61">
        <v>306</v>
      </c>
      <c r="BS252" s="61">
        <v>507</v>
      </c>
      <c r="BT252" s="61">
        <v>649</v>
      </c>
      <c r="BU252" s="61">
        <v>1056</v>
      </c>
      <c r="BV252" s="61">
        <v>1421</v>
      </c>
      <c r="BW252" s="61">
        <v>1441</v>
      </c>
      <c r="BX252" s="61">
        <v>2613</v>
      </c>
      <c r="BY252" s="61">
        <v>155</v>
      </c>
      <c r="BZ252" s="61">
        <v>322</v>
      </c>
      <c r="CA252" s="61"/>
      <c r="CB252" s="61">
        <v>2433</v>
      </c>
      <c r="CC252" s="61">
        <v>831</v>
      </c>
      <c r="CD252" s="61">
        <v>615</v>
      </c>
      <c r="CE252" s="61">
        <v>325</v>
      </c>
      <c r="CF252" s="61">
        <v>67</v>
      </c>
      <c r="CG252" s="61">
        <v>4328</v>
      </c>
      <c r="CH252" s="61">
        <v>44</v>
      </c>
      <c r="CI252" s="61">
        <v>186</v>
      </c>
      <c r="CJ252" s="61">
        <v>180</v>
      </c>
      <c r="CK252" s="61">
        <v>334</v>
      </c>
      <c r="CL252" s="61">
        <v>1187</v>
      </c>
      <c r="CM252" s="61">
        <v>62</v>
      </c>
      <c r="CN252" s="61"/>
      <c r="CO252" s="61">
        <v>33</v>
      </c>
      <c r="CP252" s="61">
        <v>5293</v>
      </c>
      <c r="CQ252" s="61">
        <v>1127</v>
      </c>
      <c r="CR252" s="61"/>
      <c r="CS252" s="61">
        <v>191</v>
      </c>
      <c r="CT252" s="61">
        <v>36</v>
      </c>
      <c r="CU252" s="61">
        <v>2</v>
      </c>
      <c r="CV252" s="61">
        <v>2</v>
      </c>
      <c r="CW252" s="61">
        <v>7</v>
      </c>
      <c r="CX252" s="61">
        <v>1288</v>
      </c>
      <c r="CY252" s="61">
        <v>4064</v>
      </c>
      <c r="CZ252" s="61">
        <v>107</v>
      </c>
      <c r="DA252" s="61">
        <v>3063</v>
      </c>
      <c r="DB252" s="61">
        <v>121</v>
      </c>
      <c r="DC252" s="61"/>
      <c r="DD252" s="61">
        <v>8643</v>
      </c>
      <c r="DE252" s="61">
        <v>1832</v>
      </c>
      <c r="DF252" s="61">
        <v>6619</v>
      </c>
      <c r="DG252" s="61">
        <v>192</v>
      </c>
      <c r="DH252" s="62" t="s">
        <v>2185</v>
      </c>
      <c r="DI252" s="61">
        <v>309</v>
      </c>
      <c r="DJ252" s="61">
        <v>19</v>
      </c>
      <c r="DK252" s="61">
        <v>133</v>
      </c>
      <c r="DL252" s="61">
        <v>33</v>
      </c>
      <c r="DM252" s="61">
        <v>3</v>
      </c>
      <c r="DN252" s="61"/>
    </row>
    <row r="253" spans="1:118" x14ac:dyDescent="0.25">
      <c r="A253" s="61">
        <v>106380933</v>
      </c>
      <c r="B253" s="62" t="s">
        <v>1152</v>
      </c>
      <c r="C253" s="62" t="s">
        <v>1153</v>
      </c>
      <c r="D253" s="62" t="s">
        <v>1146</v>
      </c>
      <c r="E253" s="62" t="s">
        <v>71</v>
      </c>
      <c r="F253" s="62" t="s">
        <v>2213</v>
      </c>
      <c r="G253" s="62" t="s">
        <v>1154</v>
      </c>
      <c r="H253" s="62" t="s">
        <v>1146</v>
      </c>
      <c r="I253" s="62" t="s">
        <v>1155</v>
      </c>
      <c r="J253" s="62" t="s">
        <v>2184</v>
      </c>
      <c r="K253" s="62"/>
      <c r="L253" s="61">
        <v>12</v>
      </c>
      <c r="M253" s="61">
        <v>17</v>
      </c>
      <c r="N253" s="61">
        <v>11</v>
      </c>
      <c r="O253" s="62" t="s">
        <v>1960</v>
      </c>
      <c r="P253" s="62" t="s">
        <v>68</v>
      </c>
      <c r="Q253" s="62" t="s">
        <v>2167</v>
      </c>
      <c r="R253" s="62" t="s">
        <v>2167</v>
      </c>
      <c r="S253" s="62" t="s">
        <v>69</v>
      </c>
      <c r="T253" s="61">
        <v>5288</v>
      </c>
      <c r="U253" s="61">
        <v>8445</v>
      </c>
      <c r="V253" s="61">
        <v>2</v>
      </c>
      <c r="W253" s="61">
        <v>130</v>
      </c>
      <c r="X253" s="61">
        <v>310</v>
      </c>
      <c r="Y253" s="61">
        <v>2272</v>
      </c>
      <c r="Z253" s="61">
        <v>2668</v>
      </c>
      <c r="AA253" s="61">
        <v>2830</v>
      </c>
      <c r="AB253" s="61">
        <v>2454</v>
      </c>
      <c r="AC253" s="61">
        <v>1547</v>
      </c>
      <c r="AD253" s="61">
        <v>870</v>
      </c>
      <c r="AE253" s="61">
        <v>640</v>
      </c>
      <c r="AF253" s="61">
        <v>14</v>
      </c>
      <c r="AG253" s="61"/>
      <c r="AH253" s="61">
        <v>1093</v>
      </c>
      <c r="AI253" s="61">
        <v>2090</v>
      </c>
      <c r="AJ253" s="61">
        <v>1235</v>
      </c>
      <c r="AK253" s="61">
        <v>46</v>
      </c>
      <c r="AL253" s="61">
        <v>373</v>
      </c>
      <c r="AM253" s="61">
        <v>508</v>
      </c>
      <c r="AN253" s="61">
        <v>8390</v>
      </c>
      <c r="AO253" s="61">
        <v>135</v>
      </c>
      <c r="AP253" s="61">
        <v>188</v>
      </c>
      <c r="AQ253" s="61">
        <v>5</v>
      </c>
      <c r="AR253" s="61">
        <v>42</v>
      </c>
      <c r="AS253" s="61">
        <v>5</v>
      </c>
      <c r="AT253" s="61">
        <v>2</v>
      </c>
      <c r="AU253" s="61"/>
      <c r="AV253" s="61">
        <v>1</v>
      </c>
      <c r="AW253" s="61">
        <v>64</v>
      </c>
      <c r="AX253" s="61">
        <v>2</v>
      </c>
      <c r="AY253" s="61">
        <v>13022</v>
      </c>
      <c r="AZ253" s="61">
        <v>20</v>
      </c>
      <c r="BA253" s="61"/>
      <c r="BB253" s="61">
        <v>15</v>
      </c>
      <c r="BC253" s="61">
        <v>125</v>
      </c>
      <c r="BD253" s="61">
        <v>3730</v>
      </c>
      <c r="BE253" s="61">
        <v>2644</v>
      </c>
      <c r="BF253" s="61">
        <v>407</v>
      </c>
      <c r="BG253" s="61">
        <v>5181</v>
      </c>
      <c r="BH253" s="61">
        <v>1750</v>
      </c>
      <c r="BI253" s="61">
        <v>23</v>
      </c>
      <c r="BJ253" s="61">
        <v>13735</v>
      </c>
      <c r="BK253" s="61">
        <v>364</v>
      </c>
      <c r="BL253" s="61">
        <v>13041</v>
      </c>
      <c r="BM253" s="61">
        <v>330</v>
      </c>
      <c r="BN253" s="61">
        <v>688</v>
      </c>
      <c r="BO253" s="61">
        <v>1116</v>
      </c>
      <c r="BP253" s="61"/>
      <c r="BQ253" s="61">
        <v>14</v>
      </c>
      <c r="BR253" s="61">
        <v>104</v>
      </c>
      <c r="BS253" s="61">
        <v>158</v>
      </c>
      <c r="BT253" s="61">
        <v>251</v>
      </c>
      <c r="BU253" s="61">
        <v>291</v>
      </c>
      <c r="BV253" s="61">
        <v>343</v>
      </c>
      <c r="BW253" s="61">
        <v>284</v>
      </c>
      <c r="BX253" s="61">
        <v>359</v>
      </c>
      <c r="BY253" s="61"/>
      <c r="BZ253" s="61"/>
      <c r="CA253" s="61"/>
      <c r="CB253" s="61">
        <v>221</v>
      </c>
      <c r="CC253" s="61">
        <v>246</v>
      </c>
      <c r="CD253" s="61">
        <v>179</v>
      </c>
      <c r="CE253" s="61">
        <v>43</v>
      </c>
      <c r="CF253" s="61">
        <v>28</v>
      </c>
      <c r="CG253" s="61">
        <v>1080</v>
      </c>
      <c r="CH253" s="61">
        <v>7</v>
      </c>
      <c r="CI253" s="61">
        <v>65</v>
      </c>
      <c r="CJ253" s="61">
        <v>72</v>
      </c>
      <c r="CK253" s="61">
        <v>44</v>
      </c>
      <c r="CL253" s="61">
        <v>175</v>
      </c>
      <c r="CM253" s="61">
        <v>31</v>
      </c>
      <c r="CN253" s="61"/>
      <c r="CO253" s="61">
        <v>5</v>
      </c>
      <c r="CP253" s="61">
        <v>1102</v>
      </c>
      <c r="CQ253" s="61">
        <v>254</v>
      </c>
      <c r="CR253" s="61"/>
      <c r="CS253" s="61">
        <v>38</v>
      </c>
      <c r="CT253" s="61">
        <v>3</v>
      </c>
      <c r="CU253" s="61">
        <v>1</v>
      </c>
      <c r="CV253" s="61">
        <v>5</v>
      </c>
      <c r="CW253" s="61">
        <v>9</v>
      </c>
      <c r="CX253" s="61">
        <v>377</v>
      </c>
      <c r="CY253" s="61">
        <v>772</v>
      </c>
      <c r="CZ253" s="61">
        <v>55</v>
      </c>
      <c r="DA253" s="61">
        <v>551</v>
      </c>
      <c r="DB253" s="61">
        <v>49</v>
      </c>
      <c r="DC253" s="61"/>
      <c r="DD253" s="61">
        <v>1804</v>
      </c>
      <c r="DE253" s="61">
        <v>135</v>
      </c>
      <c r="DF253" s="61">
        <v>1581</v>
      </c>
      <c r="DG253" s="61">
        <v>88</v>
      </c>
      <c r="DH253" s="62" t="s">
        <v>2185</v>
      </c>
      <c r="DI253" s="61">
        <v>227</v>
      </c>
      <c r="DJ253" s="61">
        <v>11</v>
      </c>
      <c r="DK253" s="61">
        <v>80</v>
      </c>
      <c r="DL253" s="61">
        <v>29</v>
      </c>
      <c r="DM253" s="61"/>
      <c r="DN253" s="61"/>
    </row>
    <row r="254" spans="1:118" x14ac:dyDescent="0.25">
      <c r="A254" s="61">
        <v>106380939</v>
      </c>
      <c r="B254" s="62" t="s">
        <v>1156</v>
      </c>
      <c r="C254" s="62" t="s">
        <v>1157</v>
      </c>
      <c r="D254" s="62" t="s">
        <v>1146</v>
      </c>
      <c r="E254" s="62" t="s">
        <v>100</v>
      </c>
      <c r="F254" s="62" t="s">
        <v>2213</v>
      </c>
      <c r="G254" s="62" t="s">
        <v>1158</v>
      </c>
      <c r="H254" s="62" t="s">
        <v>1146</v>
      </c>
      <c r="I254" s="62" t="s">
        <v>1159</v>
      </c>
      <c r="J254" s="62" t="s">
        <v>2191</v>
      </c>
      <c r="K254" s="62" t="s">
        <v>222</v>
      </c>
      <c r="L254" s="61">
        <v>12</v>
      </c>
      <c r="M254" s="61">
        <v>17</v>
      </c>
      <c r="N254" s="61">
        <v>11</v>
      </c>
      <c r="O254" s="62" t="s">
        <v>1961</v>
      </c>
      <c r="P254" s="62" t="s">
        <v>68</v>
      </c>
      <c r="Q254" s="62" t="s">
        <v>2167</v>
      </c>
      <c r="R254" s="62" t="s">
        <v>83</v>
      </c>
      <c r="S254" s="62" t="s">
        <v>223</v>
      </c>
      <c r="T254" s="61">
        <v>22060</v>
      </c>
      <c r="U254" s="61">
        <v>33877</v>
      </c>
      <c r="V254" s="61"/>
      <c r="W254" s="61">
        <v>2017</v>
      </c>
      <c r="X254" s="61">
        <v>2312</v>
      </c>
      <c r="Y254" s="61">
        <v>11323</v>
      </c>
      <c r="Z254" s="61">
        <v>10955</v>
      </c>
      <c r="AA254" s="61">
        <v>10226</v>
      </c>
      <c r="AB254" s="61">
        <v>10327</v>
      </c>
      <c r="AC254" s="61">
        <v>5571</v>
      </c>
      <c r="AD254" s="61">
        <v>1655</v>
      </c>
      <c r="AE254" s="61">
        <v>1000</v>
      </c>
      <c r="AF254" s="61">
        <v>545</v>
      </c>
      <c r="AG254" s="61">
        <v>6</v>
      </c>
      <c r="AH254" s="61">
        <v>6614</v>
      </c>
      <c r="AI254" s="61">
        <v>13717</v>
      </c>
      <c r="AJ254" s="61">
        <v>16570</v>
      </c>
      <c r="AK254" s="61">
        <v>734</v>
      </c>
      <c r="AL254" s="61">
        <v>1815</v>
      </c>
      <c r="AM254" s="61">
        <v>1644</v>
      </c>
      <c r="AN254" s="61">
        <v>14843</v>
      </c>
      <c r="AO254" s="61">
        <v>1522</v>
      </c>
      <c r="AP254" s="61">
        <v>23</v>
      </c>
      <c r="AQ254" s="61">
        <v>1</v>
      </c>
      <c r="AR254" s="61"/>
      <c r="AS254" s="61"/>
      <c r="AT254" s="61"/>
      <c r="AU254" s="61">
        <v>1</v>
      </c>
      <c r="AV254" s="61">
        <v>76</v>
      </c>
      <c r="AW254" s="61">
        <v>181</v>
      </c>
      <c r="AX254" s="61">
        <v>28</v>
      </c>
      <c r="AY254" s="61">
        <v>54097</v>
      </c>
      <c r="AZ254" s="61">
        <v>2</v>
      </c>
      <c r="BA254" s="61"/>
      <c r="BB254" s="61"/>
      <c r="BC254" s="61"/>
      <c r="BD254" s="61">
        <v>35035</v>
      </c>
      <c r="BE254" s="61">
        <v>11106</v>
      </c>
      <c r="BF254" s="61">
        <v>585</v>
      </c>
      <c r="BG254" s="61">
        <v>8464</v>
      </c>
      <c r="BH254" s="61">
        <v>747</v>
      </c>
      <c r="BI254" s="61"/>
      <c r="BJ254" s="61">
        <v>55937</v>
      </c>
      <c r="BK254" s="61">
        <v>3023</v>
      </c>
      <c r="BL254" s="61">
        <v>42753</v>
      </c>
      <c r="BM254" s="61">
        <v>10161</v>
      </c>
      <c r="BN254" s="61">
        <v>3956</v>
      </c>
      <c r="BO254" s="61">
        <v>6968</v>
      </c>
      <c r="BP254" s="61"/>
      <c r="BQ254" s="61">
        <v>233</v>
      </c>
      <c r="BR254" s="61">
        <v>1163</v>
      </c>
      <c r="BS254" s="61">
        <v>1384</v>
      </c>
      <c r="BT254" s="61">
        <v>1917</v>
      </c>
      <c r="BU254" s="61">
        <v>2505</v>
      </c>
      <c r="BV254" s="61">
        <v>1911</v>
      </c>
      <c r="BW254" s="61">
        <v>816</v>
      </c>
      <c r="BX254" s="61">
        <v>824</v>
      </c>
      <c r="BY254" s="61">
        <v>45</v>
      </c>
      <c r="BZ254" s="61">
        <v>125</v>
      </c>
      <c r="CA254" s="61">
        <v>1</v>
      </c>
      <c r="CB254" s="61">
        <v>1838</v>
      </c>
      <c r="CC254" s="61">
        <v>2524</v>
      </c>
      <c r="CD254" s="61">
        <v>2700</v>
      </c>
      <c r="CE254" s="61">
        <v>343</v>
      </c>
      <c r="CF254" s="61">
        <v>212</v>
      </c>
      <c r="CG254" s="61">
        <v>3307</v>
      </c>
      <c r="CH254" s="61"/>
      <c r="CI254" s="61">
        <v>125</v>
      </c>
      <c r="CJ254" s="61">
        <v>461</v>
      </c>
      <c r="CK254" s="61">
        <v>293</v>
      </c>
      <c r="CL254" s="61">
        <v>380</v>
      </c>
      <c r="CM254" s="61"/>
      <c r="CN254" s="61"/>
      <c r="CO254" s="61">
        <v>305</v>
      </c>
      <c r="CP254" s="61">
        <v>7900</v>
      </c>
      <c r="CQ254" s="61">
        <v>1034</v>
      </c>
      <c r="CR254" s="61">
        <v>157</v>
      </c>
      <c r="CS254" s="61">
        <v>29</v>
      </c>
      <c r="CT254" s="61">
        <v>161</v>
      </c>
      <c r="CU254" s="61"/>
      <c r="CV254" s="61"/>
      <c r="CW254" s="61">
        <v>77</v>
      </c>
      <c r="CX254" s="61">
        <v>6377</v>
      </c>
      <c r="CY254" s="61">
        <v>3026</v>
      </c>
      <c r="CZ254" s="61">
        <v>245</v>
      </c>
      <c r="DA254" s="61">
        <v>979</v>
      </c>
      <c r="DB254" s="61">
        <v>297</v>
      </c>
      <c r="DC254" s="61"/>
      <c r="DD254" s="61">
        <v>10924</v>
      </c>
      <c r="DE254" s="61">
        <v>909</v>
      </c>
      <c r="DF254" s="61">
        <v>8695</v>
      </c>
      <c r="DG254" s="61">
        <v>1320</v>
      </c>
      <c r="DH254" s="62" t="s">
        <v>2185</v>
      </c>
      <c r="DI254" s="61">
        <v>539</v>
      </c>
      <c r="DJ254" s="61">
        <v>24</v>
      </c>
      <c r="DK254" s="61"/>
      <c r="DL254" s="61">
        <v>6</v>
      </c>
      <c r="DM254" s="61"/>
      <c r="DN254" s="61">
        <v>2</v>
      </c>
    </row>
    <row r="255" spans="1:118" x14ac:dyDescent="0.25">
      <c r="A255" s="61">
        <v>106380960</v>
      </c>
      <c r="B255" s="62" t="s">
        <v>1160</v>
      </c>
      <c r="C255" s="62" t="s">
        <v>1161</v>
      </c>
      <c r="D255" s="62" t="s">
        <v>1146</v>
      </c>
      <c r="E255" s="62" t="s">
        <v>71</v>
      </c>
      <c r="F255" s="62" t="s">
        <v>2213</v>
      </c>
      <c r="G255" s="62" t="s">
        <v>1162</v>
      </c>
      <c r="H255" s="62" t="s">
        <v>1146</v>
      </c>
      <c r="I255" s="62" t="s">
        <v>1163</v>
      </c>
      <c r="J255" s="62" t="s">
        <v>2184</v>
      </c>
      <c r="K255" s="62"/>
      <c r="L255" s="61">
        <v>12</v>
      </c>
      <c r="M255" s="61">
        <v>17</v>
      </c>
      <c r="N255" s="61">
        <v>11</v>
      </c>
      <c r="O255" s="62" t="s">
        <v>1959</v>
      </c>
      <c r="P255" s="62" t="s">
        <v>68</v>
      </c>
      <c r="Q255" s="62" t="s">
        <v>2167</v>
      </c>
      <c r="R255" s="62" t="s">
        <v>2167</v>
      </c>
      <c r="S255" s="62" t="s">
        <v>69</v>
      </c>
      <c r="T255" s="61">
        <v>12374</v>
      </c>
      <c r="U255" s="61">
        <v>19700</v>
      </c>
      <c r="V255" s="61">
        <v>2</v>
      </c>
      <c r="W255" s="61">
        <v>380</v>
      </c>
      <c r="X255" s="61">
        <v>713</v>
      </c>
      <c r="Y255" s="61">
        <v>6070</v>
      </c>
      <c r="Z255" s="61">
        <v>5784</v>
      </c>
      <c r="AA255" s="61">
        <v>6204</v>
      </c>
      <c r="AB255" s="61">
        <v>6346</v>
      </c>
      <c r="AC255" s="61">
        <v>4025</v>
      </c>
      <c r="AD255" s="61">
        <v>1277</v>
      </c>
      <c r="AE255" s="61">
        <v>1222</v>
      </c>
      <c r="AF255" s="61">
        <v>55</v>
      </c>
      <c r="AG255" s="61"/>
      <c r="AH255" s="61">
        <v>3390</v>
      </c>
      <c r="AI255" s="61">
        <v>7326</v>
      </c>
      <c r="AJ255" s="61">
        <v>3781</v>
      </c>
      <c r="AK255" s="61">
        <v>66</v>
      </c>
      <c r="AL255" s="61">
        <v>945</v>
      </c>
      <c r="AM255" s="61">
        <v>529</v>
      </c>
      <c r="AN255" s="61">
        <v>16039</v>
      </c>
      <c r="AO255" s="61">
        <v>255</v>
      </c>
      <c r="AP255" s="61">
        <v>602</v>
      </c>
      <c r="AQ255" s="61">
        <v>11</v>
      </c>
      <c r="AR255" s="61">
        <v>22</v>
      </c>
      <c r="AS255" s="61">
        <v>7</v>
      </c>
      <c r="AT255" s="61">
        <v>2</v>
      </c>
      <c r="AU255" s="61"/>
      <c r="AV255" s="61">
        <v>13</v>
      </c>
      <c r="AW255" s="61">
        <v>26</v>
      </c>
      <c r="AX255" s="61">
        <v>7</v>
      </c>
      <c r="AY255" s="61">
        <v>31044</v>
      </c>
      <c r="AZ255" s="61">
        <v>77</v>
      </c>
      <c r="BA255" s="61"/>
      <c r="BB255" s="61"/>
      <c r="BC255" s="61">
        <v>10</v>
      </c>
      <c r="BD255" s="61">
        <v>11248</v>
      </c>
      <c r="BE255" s="61">
        <v>6526</v>
      </c>
      <c r="BF255" s="61">
        <v>3676</v>
      </c>
      <c r="BG255" s="61">
        <v>5942</v>
      </c>
      <c r="BH255" s="61">
        <v>4684</v>
      </c>
      <c r="BI255" s="61"/>
      <c r="BJ255" s="61">
        <v>32076</v>
      </c>
      <c r="BK255" s="61">
        <v>1394</v>
      </c>
      <c r="BL255" s="61">
        <v>29854</v>
      </c>
      <c r="BM255" s="61">
        <v>828</v>
      </c>
      <c r="BN255" s="61">
        <v>1379</v>
      </c>
      <c r="BO255" s="61">
        <v>2112</v>
      </c>
      <c r="BP255" s="61"/>
      <c r="BQ255" s="61">
        <v>26</v>
      </c>
      <c r="BR255" s="61">
        <v>238</v>
      </c>
      <c r="BS255" s="61">
        <v>334</v>
      </c>
      <c r="BT255" s="61">
        <v>432</v>
      </c>
      <c r="BU255" s="61">
        <v>639</v>
      </c>
      <c r="BV255" s="61">
        <v>652</v>
      </c>
      <c r="BW255" s="61">
        <v>425</v>
      </c>
      <c r="BX255" s="61">
        <v>741</v>
      </c>
      <c r="BY255" s="61"/>
      <c r="BZ255" s="61">
        <v>4</v>
      </c>
      <c r="CA255" s="61"/>
      <c r="CB255" s="61">
        <v>875</v>
      </c>
      <c r="CC255" s="61">
        <v>644</v>
      </c>
      <c r="CD255" s="61">
        <v>255</v>
      </c>
      <c r="CE255" s="61">
        <v>73</v>
      </c>
      <c r="CF255" s="61">
        <v>50</v>
      </c>
      <c r="CG255" s="61">
        <v>1589</v>
      </c>
      <c r="CH255" s="61">
        <v>5</v>
      </c>
      <c r="CI255" s="61">
        <v>51</v>
      </c>
      <c r="CJ255" s="61">
        <v>567</v>
      </c>
      <c r="CK255" s="61">
        <v>135</v>
      </c>
      <c r="CL255" s="61">
        <v>355</v>
      </c>
      <c r="CM255" s="61">
        <v>106</v>
      </c>
      <c r="CN255" s="61"/>
      <c r="CO255" s="61">
        <v>21</v>
      </c>
      <c r="CP255" s="61">
        <v>1869</v>
      </c>
      <c r="CQ255" s="61">
        <v>228</v>
      </c>
      <c r="CR255" s="61">
        <v>1</v>
      </c>
      <c r="CS255" s="61">
        <v>17</v>
      </c>
      <c r="CT255" s="61">
        <v>35</v>
      </c>
      <c r="CU255" s="61">
        <v>64</v>
      </c>
      <c r="CV255" s="61"/>
      <c r="CW255" s="61">
        <v>3</v>
      </c>
      <c r="CX255" s="61">
        <v>1216</v>
      </c>
      <c r="CY255" s="61">
        <v>1488</v>
      </c>
      <c r="CZ255" s="61">
        <v>120</v>
      </c>
      <c r="DA255" s="61">
        <v>582</v>
      </c>
      <c r="DB255" s="61">
        <v>85</v>
      </c>
      <c r="DC255" s="61"/>
      <c r="DD255" s="61">
        <v>3491</v>
      </c>
      <c r="DE255" s="61">
        <v>563</v>
      </c>
      <c r="DF255" s="61">
        <v>2859</v>
      </c>
      <c r="DG255" s="61">
        <v>69</v>
      </c>
      <c r="DH255" s="62" t="s">
        <v>2185</v>
      </c>
      <c r="DI255" s="61">
        <v>288</v>
      </c>
      <c r="DJ255" s="61">
        <v>19</v>
      </c>
      <c r="DK255" s="61"/>
      <c r="DL255" s="61"/>
      <c r="DM255" s="61"/>
      <c r="DN255" s="61">
        <v>39</v>
      </c>
    </row>
    <row r="256" spans="1:118" x14ac:dyDescent="0.25">
      <c r="A256" s="61">
        <v>106380964</v>
      </c>
      <c r="B256" s="62" t="s">
        <v>1164</v>
      </c>
      <c r="C256" s="62" t="s">
        <v>2096</v>
      </c>
      <c r="D256" s="62" t="s">
        <v>1146</v>
      </c>
      <c r="E256" s="62" t="s">
        <v>71</v>
      </c>
      <c r="F256" s="62" t="s">
        <v>2213</v>
      </c>
      <c r="G256" s="62" t="s">
        <v>1165</v>
      </c>
      <c r="H256" s="62" t="s">
        <v>1146</v>
      </c>
      <c r="I256" s="62" t="s">
        <v>1159</v>
      </c>
      <c r="J256" s="62" t="s">
        <v>2184</v>
      </c>
      <c r="K256" s="62"/>
      <c r="L256" s="61">
        <v>12</v>
      </c>
      <c r="M256" s="61">
        <v>17</v>
      </c>
      <c r="N256" s="61">
        <v>11</v>
      </c>
      <c r="O256" s="62" t="s">
        <v>1961</v>
      </c>
      <c r="P256" s="62" t="s">
        <v>68</v>
      </c>
      <c r="Q256" s="62" t="s">
        <v>2167</v>
      </c>
      <c r="R256" s="62" t="s">
        <v>2167</v>
      </c>
      <c r="S256" s="62" t="s">
        <v>69</v>
      </c>
      <c r="T256" s="61">
        <v>12422</v>
      </c>
      <c r="U256" s="61">
        <v>10941</v>
      </c>
      <c r="V256" s="61">
        <v>1</v>
      </c>
      <c r="W256" s="61">
        <v>2324</v>
      </c>
      <c r="X256" s="61">
        <v>1779</v>
      </c>
      <c r="Y256" s="61">
        <v>4153</v>
      </c>
      <c r="Z256" s="61">
        <v>3831</v>
      </c>
      <c r="AA256" s="61">
        <v>3600</v>
      </c>
      <c r="AB256" s="61">
        <v>3277</v>
      </c>
      <c r="AC256" s="61">
        <v>1839</v>
      </c>
      <c r="AD256" s="61">
        <v>1032</v>
      </c>
      <c r="AE256" s="61">
        <v>1015</v>
      </c>
      <c r="AF256" s="61">
        <v>513</v>
      </c>
      <c r="AG256" s="61">
        <v>1</v>
      </c>
      <c r="AH256" s="61">
        <v>2201</v>
      </c>
      <c r="AI256" s="61">
        <v>6352</v>
      </c>
      <c r="AJ256" s="61">
        <v>8947</v>
      </c>
      <c r="AK256" s="61">
        <v>61</v>
      </c>
      <c r="AL256" s="61">
        <v>571</v>
      </c>
      <c r="AM256" s="61">
        <v>124</v>
      </c>
      <c r="AN256" s="61">
        <v>5108</v>
      </c>
      <c r="AO256" s="61">
        <v>188</v>
      </c>
      <c r="AP256" s="61">
        <v>239</v>
      </c>
      <c r="AQ256" s="61">
        <v>7</v>
      </c>
      <c r="AR256" s="61">
        <v>25</v>
      </c>
      <c r="AS256" s="61">
        <v>4</v>
      </c>
      <c r="AT256" s="61">
        <v>3</v>
      </c>
      <c r="AU256" s="61"/>
      <c r="AV256" s="61">
        <v>6</v>
      </c>
      <c r="AW256" s="61">
        <v>138</v>
      </c>
      <c r="AX256" s="61">
        <v>4</v>
      </c>
      <c r="AY256" s="61">
        <v>22437</v>
      </c>
      <c r="AZ256" s="61">
        <v>12</v>
      </c>
      <c r="BA256" s="61">
        <v>6</v>
      </c>
      <c r="BB256" s="61">
        <v>16</v>
      </c>
      <c r="BC256" s="61">
        <v>114</v>
      </c>
      <c r="BD256" s="61">
        <v>12697</v>
      </c>
      <c r="BE256" s="61">
        <v>3504</v>
      </c>
      <c r="BF256" s="61">
        <v>293</v>
      </c>
      <c r="BG256" s="61">
        <v>3851</v>
      </c>
      <c r="BH256" s="61">
        <v>2981</v>
      </c>
      <c r="BI256" s="61">
        <v>38</v>
      </c>
      <c r="BJ256" s="61">
        <v>23364</v>
      </c>
      <c r="BK256" s="61">
        <v>623</v>
      </c>
      <c r="BL256" s="61">
        <v>17873</v>
      </c>
      <c r="BM256" s="61">
        <v>4868</v>
      </c>
      <c r="BN256" s="61">
        <v>1181</v>
      </c>
      <c r="BO256" s="61">
        <v>986</v>
      </c>
      <c r="BP256" s="61"/>
      <c r="BQ256" s="61">
        <v>16</v>
      </c>
      <c r="BR256" s="61">
        <v>92</v>
      </c>
      <c r="BS256" s="61">
        <v>157</v>
      </c>
      <c r="BT256" s="61">
        <v>233</v>
      </c>
      <c r="BU256" s="61">
        <v>381</v>
      </c>
      <c r="BV256" s="61">
        <v>360</v>
      </c>
      <c r="BW256" s="61">
        <v>365</v>
      </c>
      <c r="BX256" s="61">
        <v>535</v>
      </c>
      <c r="BY256" s="61">
        <v>16</v>
      </c>
      <c r="BZ256" s="61">
        <v>12</v>
      </c>
      <c r="CA256" s="61"/>
      <c r="CB256" s="61">
        <v>431</v>
      </c>
      <c r="CC256" s="61">
        <v>487</v>
      </c>
      <c r="CD256" s="61">
        <v>659</v>
      </c>
      <c r="CE256" s="61">
        <v>47</v>
      </c>
      <c r="CF256" s="61">
        <v>9</v>
      </c>
      <c r="CG256" s="61">
        <v>523</v>
      </c>
      <c r="CH256" s="61">
        <v>11</v>
      </c>
      <c r="CI256" s="61">
        <v>97</v>
      </c>
      <c r="CJ256" s="61">
        <v>68</v>
      </c>
      <c r="CK256" s="61">
        <v>49</v>
      </c>
      <c r="CL256" s="61">
        <v>368</v>
      </c>
      <c r="CM256" s="61">
        <v>5</v>
      </c>
      <c r="CN256" s="61"/>
      <c r="CO256" s="61">
        <v>3</v>
      </c>
      <c r="CP256" s="61">
        <v>1222</v>
      </c>
      <c r="CQ256" s="61">
        <v>302</v>
      </c>
      <c r="CR256" s="61"/>
      <c r="CS256" s="61">
        <v>37</v>
      </c>
      <c r="CT256" s="61">
        <v>7</v>
      </c>
      <c r="CU256" s="61"/>
      <c r="CV256" s="61">
        <v>3</v>
      </c>
      <c r="CW256" s="61">
        <v>6</v>
      </c>
      <c r="CX256" s="61">
        <v>677</v>
      </c>
      <c r="CY256" s="61">
        <v>1061</v>
      </c>
      <c r="CZ256" s="61">
        <v>12</v>
      </c>
      <c r="DA256" s="61">
        <v>367</v>
      </c>
      <c r="DB256" s="61">
        <v>48</v>
      </c>
      <c r="DC256" s="61">
        <v>2</v>
      </c>
      <c r="DD256" s="61">
        <v>2167</v>
      </c>
      <c r="DE256" s="61">
        <v>252</v>
      </c>
      <c r="DF256" s="61">
        <v>1472</v>
      </c>
      <c r="DG256" s="61">
        <v>443</v>
      </c>
      <c r="DH256" s="62" t="s">
        <v>2185</v>
      </c>
      <c r="DI256" s="61">
        <v>228</v>
      </c>
      <c r="DJ256" s="61">
        <v>10</v>
      </c>
      <c r="DK256" s="61">
        <v>128</v>
      </c>
      <c r="DL256" s="61">
        <v>37</v>
      </c>
      <c r="DM256" s="61"/>
      <c r="DN256" s="61"/>
    </row>
    <row r="257" spans="1:118" x14ac:dyDescent="0.25">
      <c r="A257" s="61">
        <v>106380965</v>
      </c>
      <c r="B257" s="62" t="s">
        <v>1166</v>
      </c>
      <c r="C257" s="62" t="s">
        <v>2097</v>
      </c>
      <c r="D257" s="62" t="s">
        <v>1146</v>
      </c>
      <c r="E257" s="62" t="s">
        <v>71</v>
      </c>
      <c r="F257" s="62" t="s">
        <v>2213</v>
      </c>
      <c r="G257" s="62" t="s">
        <v>1167</v>
      </c>
      <c r="H257" s="62" t="s">
        <v>1146</v>
      </c>
      <c r="I257" s="62" t="s">
        <v>1155</v>
      </c>
      <c r="J257" s="62" t="s">
        <v>2186</v>
      </c>
      <c r="K257" s="62"/>
      <c r="L257" s="61">
        <v>12</v>
      </c>
      <c r="M257" s="61">
        <v>17</v>
      </c>
      <c r="N257" s="61">
        <v>11</v>
      </c>
      <c r="O257" s="62" t="s">
        <v>1960</v>
      </c>
      <c r="P257" s="62" t="s">
        <v>68</v>
      </c>
      <c r="Q257" s="62" t="s">
        <v>2167</v>
      </c>
      <c r="R257" s="62" t="s">
        <v>83</v>
      </c>
      <c r="S257" s="62" t="s">
        <v>69</v>
      </c>
      <c r="T257" s="61">
        <v>7399</v>
      </c>
      <c r="U257" s="61">
        <v>8811</v>
      </c>
      <c r="V257" s="61">
        <v>1</v>
      </c>
      <c r="W257" s="61">
        <v>119</v>
      </c>
      <c r="X257" s="61">
        <v>688</v>
      </c>
      <c r="Y257" s="61">
        <v>2983</v>
      </c>
      <c r="Z257" s="61">
        <v>2366</v>
      </c>
      <c r="AA257" s="61">
        <v>2443</v>
      </c>
      <c r="AB257" s="61">
        <v>2512</v>
      </c>
      <c r="AC257" s="61">
        <v>1871</v>
      </c>
      <c r="AD257" s="61">
        <v>1332</v>
      </c>
      <c r="AE257" s="61">
        <v>1883</v>
      </c>
      <c r="AF257" s="61">
        <v>14</v>
      </c>
      <c r="AG257" s="61"/>
      <c r="AH257" s="61">
        <v>2849</v>
      </c>
      <c r="AI257" s="61">
        <v>2371</v>
      </c>
      <c r="AJ257" s="61">
        <v>1269</v>
      </c>
      <c r="AK257" s="61">
        <v>24</v>
      </c>
      <c r="AL257" s="61">
        <v>106</v>
      </c>
      <c r="AM257" s="61">
        <v>258</v>
      </c>
      <c r="AN257" s="61">
        <v>9334</v>
      </c>
      <c r="AO257" s="61">
        <v>119</v>
      </c>
      <c r="AP257" s="61">
        <v>402</v>
      </c>
      <c r="AQ257" s="61">
        <v>30</v>
      </c>
      <c r="AR257" s="61">
        <v>84</v>
      </c>
      <c r="AS257" s="61">
        <v>8</v>
      </c>
      <c r="AT257" s="61">
        <v>4</v>
      </c>
      <c r="AU257" s="61"/>
      <c r="AV257" s="61">
        <v>4</v>
      </c>
      <c r="AW257" s="61">
        <v>79</v>
      </c>
      <c r="AX257" s="61">
        <v>51</v>
      </c>
      <c r="AY257" s="61">
        <v>15255</v>
      </c>
      <c r="AZ257" s="61">
        <v>172</v>
      </c>
      <c r="BA257" s="61"/>
      <c r="BB257" s="61"/>
      <c r="BC257" s="61">
        <v>3</v>
      </c>
      <c r="BD257" s="61">
        <v>4492</v>
      </c>
      <c r="BE257" s="61">
        <v>4762</v>
      </c>
      <c r="BF257" s="61">
        <v>353</v>
      </c>
      <c r="BG257" s="61">
        <v>4438</v>
      </c>
      <c r="BH257" s="61">
        <v>2166</v>
      </c>
      <c r="BI257" s="61"/>
      <c r="BJ257" s="61">
        <v>16211</v>
      </c>
      <c r="BK257" s="61">
        <v>1381</v>
      </c>
      <c r="BL257" s="61">
        <v>14639</v>
      </c>
      <c r="BM257" s="61">
        <v>191</v>
      </c>
      <c r="BN257" s="61">
        <v>1292</v>
      </c>
      <c r="BO257" s="61">
        <v>1347</v>
      </c>
      <c r="BP257" s="61"/>
      <c r="BQ257" s="61">
        <v>30</v>
      </c>
      <c r="BR257" s="61">
        <v>79</v>
      </c>
      <c r="BS257" s="61">
        <v>98</v>
      </c>
      <c r="BT257" s="61">
        <v>140</v>
      </c>
      <c r="BU257" s="61">
        <v>272</v>
      </c>
      <c r="BV257" s="61">
        <v>414</v>
      </c>
      <c r="BW257" s="61">
        <v>448</v>
      </c>
      <c r="BX257" s="61">
        <v>1158</v>
      </c>
      <c r="BY257" s="61"/>
      <c r="BZ257" s="61"/>
      <c r="CA257" s="61"/>
      <c r="CB257" s="61">
        <v>798</v>
      </c>
      <c r="CC257" s="61">
        <v>251</v>
      </c>
      <c r="CD257" s="61">
        <v>140</v>
      </c>
      <c r="CE257" s="61">
        <v>15</v>
      </c>
      <c r="CF257" s="61">
        <v>29</v>
      </c>
      <c r="CG257" s="61">
        <v>1404</v>
      </c>
      <c r="CH257" s="61">
        <v>2</v>
      </c>
      <c r="CI257" s="61">
        <v>20</v>
      </c>
      <c r="CJ257" s="61">
        <v>272</v>
      </c>
      <c r="CK257" s="61">
        <v>133</v>
      </c>
      <c r="CL257" s="61">
        <v>512</v>
      </c>
      <c r="CM257" s="61">
        <v>41</v>
      </c>
      <c r="CN257" s="61"/>
      <c r="CO257" s="61">
        <v>47</v>
      </c>
      <c r="CP257" s="61">
        <v>1190</v>
      </c>
      <c r="CQ257" s="61">
        <v>321</v>
      </c>
      <c r="CR257" s="61"/>
      <c r="CS257" s="61">
        <v>71</v>
      </c>
      <c r="CT257" s="61">
        <v>7</v>
      </c>
      <c r="CU257" s="61">
        <v>22</v>
      </c>
      <c r="CV257" s="61"/>
      <c r="CW257" s="61">
        <v>2</v>
      </c>
      <c r="CX257" s="61">
        <v>409</v>
      </c>
      <c r="CY257" s="61">
        <v>1639</v>
      </c>
      <c r="CZ257" s="61">
        <v>53</v>
      </c>
      <c r="DA257" s="61">
        <v>525</v>
      </c>
      <c r="DB257" s="61">
        <v>13</v>
      </c>
      <c r="DC257" s="61"/>
      <c r="DD257" s="61">
        <v>2639</v>
      </c>
      <c r="DE257" s="61">
        <v>616</v>
      </c>
      <c r="DF257" s="61">
        <v>1980</v>
      </c>
      <c r="DG257" s="61">
        <v>43</v>
      </c>
      <c r="DH257" s="62" t="s">
        <v>2185</v>
      </c>
      <c r="DI257" s="61">
        <v>403</v>
      </c>
      <c r="DJ257" s="61">
        <v>13</v>
      </c>
      <c r="DK257" s="61"/>
      <c r="DL257" s="61"/>
      <c r="DM257" s="61"/>
      <c r="DN257" s="61">
        <v>1</v>
      </c>
    </row>
    <row r="258" spans="1:118" x14ac:dyDescent="0.25">
      <c r="A258" s="61">
        <v>106381154</v>
      </c>
      <c r="B258" s="62" t="s">
        <v>1168</v>
      </c>
      <c r="C258" s="62" t="s">
        <v>1169</v>
      </c>
      <c r="D258" s="62" t="s">
        <v>1146</v>
      </c>
      <c r="E258" s="62" t="s">
        <v>574</v>
      </c>
      <c r="F258" s="62" t="s">
        <v>2213</v>
      </c>
      <c r="G258" s="62" t="s">
        <v>1170</v>
      </c>
      <c r="H258" s="62" t="s">
        <v>1146</v>
      </c>
      <c r="I258" s="62" t="s">
        <v>1171</v>
      </c>
      <c r="J258" s="62" t="s">
        <v>2191</v>
      </c>
      <c r="K258" s="62"/>
      <c r="L258" s="61">
        <v>12</v>
      </c>
      <c r="M258" s="61">
        <v>19</v>
      </c>
      <c r="N258" s="61">
        <v>11</v>
      </c>
      <c r="O258" s="62" t="s">
        <v>1960</v>
      </c>
      <c r="P258" s="62" t="s">
        <v>68</v>
      </c>
      <c r="Q258" s="62" t="s">
        <v>2167</v>
      </c>
      <c r="R258" s="62" t="s">
        <v>83</v>
      </c>
      <c r="S258" s="62" t="s">
        <v>69</v>
      </c>
      <c r="T258" s="61">
        <v>19105</v>
      </c>
      <c r="U258" s="61">
        <v>18496</v>
      </c>
      <c r="V258" s="61">
        <v>10</v>
      </c>
      <c r="W258" s="61">
        <v>6348</v>
      </c>
      <c r="X258" s="61">
        <v>3308</v>
      </c>
      <c r="Y258" s="61">
        <v>5744</v>
      </c>
      <c r="Z258" s="61">
        <v>5156</v>
      </c>
      <c r="AA258" s="61">
        <v>4448</v>
      </c>
      <c r="AB258" s="61">
        <v>4364</v>
      </c>
      <c r="AC258" s="61">
        <v>3365</v>
      </c>
      <c r="AD258" s="61">
        <v>1806</v>
      </c>
      <c r="AE258" s="61">
        <v>1552</v>
      </c>
      <c r="AF258" s="61">
        <v>1518</v>
      </c>
      <c r="AG258" s="61">
        <v>2</v>
      </c>
      <c r="AH258" s="61">
        <v>6484</v>
      </c>
      <c r="AI258" s="61">
        <v>6245</v>
      </c>
      <c r="AJ258" s="61">
        <v>5663</v>
      </c>
      <c r="AK258" s="61">
        <v>161</v>
      </c>
      <c r="AL258" s="61">
        <v>3212</v>
      </c>
      <c r="AM258" s="61">
        <v>1229</v>
      </c>
      <c r="AN258" s="61">
        <v>14617</v>
      </c>
      <c r="AO258" s="61">
        <v>205</v>
      </c>
      <c r="AP258" s="61"/>
      <c r="AQ258" s="61">
        <v>36</v>
      </c>
      <c r="AR258" s="61">
        <v>32</v>
      </c>
      <c r="AS258" s="61">
        <v>9</v>
      </c>
      <c r="AT258" s="61">
        <v>19</v>
      </c>
      <c r="AU258" s="61"/>
      <c r="AV258" s="61">
        <v>11</v>
      </c>
      <c r="AW258" s="61">
        <v>666</v>
      </c>
      <c r="AX258" s="61">
        <v>19</v>
      </c>
      <c r="AY258" s="61">
        <v>36533</v>
      </c>
      <c r="AZ258" s="61">
        <v>71</v>
      </c>
      <c r="BA258" s="61">
        <v>1</v>
      </c>
      <c r="BB258" s="61">
        <v>2</v>
      </c>
      <c r="BC258" s="61"/>
      <c r="BD258" s="61">
        <v>13019</v>
      </c>
      <c r="BE258" s="61">
        <v>6449</v>
      </c>
      <c r="BF258" s="61">
        <v>558</v>
      </c>
      <c r="BG258" s="61">
        <v>13150</v>
      </c>
      <c r="BH258" s="61">
        <v>4435</v>
      </c>
      <c r="BI258" s="61"/>
      <c r="BJ258" s="61">
        <v>37611</v>
      </c>
      <c r="BK258" s="61">
        <v>3041</v>
      </c>
      <c r="BL258" s="61">
        <v>33131</v>
      </c>
      <c r="BM258" s="61">
        <v>1439</v>
      </c>
      <c r="BN258" s="61">
        <v>4727</v>
      </c>
      <c r="BO258" s="61">
        <v>5012</v>
      </c>
      <c r="BP258" s="61">
        <v>1</v>
      </c>
      <c r="BQ258" s="61">
        <v>457</v>
      </c>
      <c r="BR258" s="61">
        <v>668</v>
      </c>
      <c r="BS258" s="61">
        <v>712</v>
      </c>
      <c r="BT258" s="61">
        <v>1029</v>
      </c>
      <c r="BU258" s="61">
        <v>1511</v>
      </c>
      <c r="BV258" s="61">
        <v>1781</v>
      </c>
      <c r="BW258" s="61">
        <v>1175</v>
      </c>
      <c r="BX258" s="61">
        <v>1605</v>
      </c>
      <c r="BY258" s="61">
        <v>225</v>
      </c>
      <c r="BZ258" s="61">
        <v>577</v>
      </c>
      <c r="CA258" s="61"/>
      <c r="CB258" s="61">
        <v>2106</v>
      </c>
      <c r="CC258" s="61">
        <v>1337</v>
      </c>
      <c r="CD258" s="61">
        <v>1263</v>
      </c>
      <c r="CE258" s="61">
        <v>614</v>
      </c>
      <c r="CF258" s="61">
        <v>194</v>
      </c>
      <c r="CG258" s="61">
        <v>4186</v>
      </c>
      <c r="CH258" s="61">
        <v>40</v>
      </c>
      <c r="CI258" s="61">
        <v>126</v>
      </c>
      <c r="CJ258" s="61">
        <v>88</v>
      </c>
      <c r="CK258" s="61">
        <v>372</v>
      </c>
      <c r="CL258" s="61">
        <v>1834</v>
      </c>
      <c r="CM258" s="61">
        <v>159</v>
      </c>
      <c r="CN258" s="61"/>
      <c r="CO258" s="61">
        <v>76</v>
      </c>
      <c r="CP258" s="61">
        <v>5561</v>
      </c>
      <c r="CQ258" s="61">
        <v>1222</v>
      </c>
      <c r="CR258" s="61">
        <v>5</v>
      </c>
      <c r="CS258" s="61">
        <v>201</v>
      </c>
      <c r="CT258" s="61">
        <v>91</v>
      </c>
      <c r="CU258" s="61">
        <v>4</v>
      </c>
      <c r="CV258" s="61">
        <v>1</v>
      </c>
      <c r="CW258" s="61"/>
      <c r="CX258" s="61">
        <v>2759</v>
      </c>
      <c r="CY258" s="61">
        <v>4261</v>
      </c>
      <c r="CZ258" s="61">
        <v>21</v>
      </c>
      <c r="DA258" s="61">
        <v>2588</v>
      </c>
      <c r="DB258" s="61">
        <v>111</v>
      </c>
      <c r="DC258" s="61"/>
      <c r="DD258" s="61">
        <v>9740</v>
      </c>
      <c r="DE258" s="61">
        <v>1538</v>
      </c>
      <c r="DF258" s="61">
        <v>7692</v>
      </c>
      <c r="DG258" s="61">
        <v>510</v>
      </c>
      <c r="DH258" s="62" t="s">
        <v>2185</v>
      </c>
      <c r="DI258" s="61">
        <v>580</v>
      </c>
      <c r="DJ258" s="61">
        <v>33</v>
      </c>
      <c r="DK258" s="61">
        <v>7</v>
      </c>
      <c r="DL258" s="61"/>
      <c r="DM258" s="61"/>
      <c r="DN258" s="61"/>
    </row>
    <row r="259" spans="1:118" x14ac:dyDescent="0.25">
      <c r="A259" s="61">
        <v>106382715</v>
      </c>
      <c r="B259" s="62" t="s">
        <v>1172</v>
      </c>
      <c r="C259" s="62" t="s">
        <v>1173</v>
      </c>
      <c r="D259" s="62" t="s">
        <v>1146</v>
      </c>
      <c r="E259" s="62" t="s">
        <v>71</v>
      </c>
      <c r="F259" s="62" t="s">
        <v>2213</v>
      </c>
      <c r="G259" s="62" t="s">
        <v>1174</v>
      </c>
      <c r="H259" s="62" t="s">
        <v>1146</v>
      </c>
      <c r="I259" s="62" t="s">
        <v>1175</v>
      </c>
      <c r="J259" s="62" t="s">
        <v>2188</v>
      </c>
      <c r="K259" s="62"/>
      <c r="L259" s="61">
        <v>12</v>
      </c>
      <c r="M259" s="61">
        <v>17</v>
      </c>
      <c r="N259" s="61">
        <v>11</v>
      </c>
      <c r="O259" s="62" t="s">
        <v>1962</v>
      </c>
      <c r="P259" s="62" t="s">
        <v>68</v>
      </c>
      <c r="Q259" s="62" t="s">
        <v>2167</v>
      </c>
      <c r="R259" s="62" t="s">
        <v>2167</v>
      </c>
      <c r="S259" s="62" t="s">
        <v>127</v>
      </c>
      <c r="T259" s="61">
        <v>2714</v>
      </c>
      <c r="U259" s="61">
        <v>2199</v>
      </c>
      <c r="V259" s="61"/>
      <c r="W259" s="61">
        <v>136</v>
      </c>
      <c r="X259" s="61">
        <v>168</v>
      </c>
      <c r="Y259" s="61">
        <v>376</v>
      </c>
      <c r="Z259" s="61">
        <v>255</v>
      </c>
      <c r="AA259" s="61">
        <v>412</v>
      </c>
      <c r="AB259" s="61">
        <v>589</v>
      </c>
      <c r="AC259" s="61">
        <v>811</v>
      </c>
      <c r="AD259" s="61">
        <v>890</v>
      </c>
      <c r="AE259" s="61">
        <v>1270</v>
      </c>
      <c r="AF259" s="61">
        <v>6</v>
      </c>
      <c r="AG259" s="61"/>
      <c r="AH259" s="61">
        <v>4382</v>
      </c>
      <c r="AI259" s="61">
        <v>157</v>
      </c>
      <c r="AJ259" s="61">
        <v>74</v>
      </c>
      <c r="AK259" s="61"/>
      <c r="AL259" s="61">
        <v>25</v>
      </c>
      <c r="AM259" s="61">
        <v>20</v>
      </c>
      <c r="AN259" s="61">
        <v>255</v>
      </c>
      <c r="AO259" s="61">
        <v>78</v>
      </c>
      <c r="AP259" s="61">
        <v>58</v>
      </c>
      <c r="AQ259" s="61">
        <v>2</v>
      </c>
      <c r="AR259" s="61">
        <v>2</v>
      </c>
      <c r="AS259" s="61"/>
      <c r="AT259" s="61"/>
      <c r="AU259" s="61"/>
      <c r="AV259" s="61"/>
      <c r="AW259" s="61"/>
      <c r="AX259" s="61"/>
      <c r="AY259" s="61">
        <v>4773</v>
      </c>
      <c r="AZ259" s="61"/>
      <c r="BA259" s="61"/>
      <c r="BB259" s="61"/>
      <c r="BC259" s="61"/>
      <c r="BD259" s="61">
        <v>1232</v>
      </c>
      <c r="BE259" s="61">
        <v>1338</v>
      </c>
      <c r="BF259" s="61">
        <v>58</v>
      </c>
      <c r="BG259" s="61">
        <v>2064</v>
      </c>
      <c r="BH259" s="61">
        <v>221</v>
      </c>
      <c r="BI259" s="61"/>
      <c r="BJ259" s="61">
        <v>4913</v>
      </c>
      <c r="BK259" s="61">
        <v>4167</v>
      </c>
      <c r="BL259" s="61">
        <v>734</v>
      </c>
      <c r="BM259" s="61">
        <v>12</v>
      </c>
      <c r="BN259" s="61">
        <v>722</v>
      </c>
      <c r="BO259" s="61">
        <v>657</v>
      </c>
      <c r="BP259" s="61"/>
      <c r="BQ259" s="61">
        <v>1</v>
      </c>
      <c r="BR259" s="61">
        <v>16</v>
      </c>
      <c r="BS259" s="61">
        <v>15</v>
      </c>
      <c r="BT259" s="61">
        <v>44</v>
      </c>
      <c r="BU259" s="61">
        <v>68</v>
      </c>
      <c r="BV259" s="61">
        <v>132</v>
      </c>
      <c r="BW259" s="61">
        <v>317</v>
      </c>
      <c r="BX259" s="61">
        <v>786</v>
      </c>
      <c r="BY259" s="61"/>
      <c r="BZ259" s="61"/>
      <c r="CA259" s="61"/>
      <c r="CB259" s="61">
        <v>1346</v>
      </c>
      <c r="CC259" s="61">
        <v>9</v>
      </c>
      <c r="CD259" s="61">
        <v>3</v>
      </c>
      <c r="CE259" s="61"/>
      <c r="CF259" s="61"/>
      <c r="CG259" s="61">
        <v>21</v>
      </c>
      <c r="CH259" s="61"/>
      <c r="CI259" s="61">
        <v>24</v>
      </c>
      <c r="CJ259" s="61">
        <v>14</v>
      </c>
      <c r="CK259" s="61">
        <v>39</v>
      </c>
      <c r="CL259" s="61">
        <v>524</v>
      </c>
      <c r="CM259" s="61"/>
      <c r="CN259" s="61"/>
      <c r="CO259" s="61"/>
      <c r="CP259" s="61">
        <v>585</v>
      </c>
      <c r="CQ259" s="61">
        <v>192</v>
      </c>
      <c r="CR259" s="61"/>
      <c r="CS259" s="61"/>
      <c r="CT259" s="61"/>
      <c r="CU259" s="61">
        <v>1</v>
      </c>
      <c r="CV259" s="61"/>
      <c r="CW259" s="61"/>
      <c r="CX259" s="61">
        <v>99</v>
      </c>
      <c r="CY259" s="61">
        <v>1177</v>
      </c>
      <c r="CZ259" s="61">
        <v>2</v>
      </c>
      <c r="DA259" s="61">
        <v>98</v>
      </c>
      <c r="DB259" s="61">
        <v>3</v>
      </c>
      <c r="DC259" s="61"/>
      <c r="DD259" s="61">
        <v>1379</v>
      </c>
      <c r="DE259" s="61">
        <v>1296</v>
      </c>
      <c r="DF259" s="61">
        <v>83</v>
      </c>
      <c r="DG259" s="61"/>
      <c r="DH259" s="62" t="s">
        <v>2185</v>
      </c>
      <c r="DI259" s="61">
        <v>54</v>
      </c>
      <c r="DJ259" s="61">
        <v>5</v>
      </c>
      <c r="DK259" s="61"/>
      <c r="DL259" s="61"/>
      <c r="DM259" s="61"/>
      <c r="DN259" s="61"/>
    </row>
    <row r="260" spans="1:118" x14ac:dyDescent="0.25">
      <c r="A260" s="61">
        <v>106390846</v>
      </c>
      <c r="B260" s="62" t="s">
        <v>1176</v>
      </c>
      <c r="C260" s="62" t="s">
        <v>1177</v>
      </c>
      <c r="D260" s="62" t="s">
        <v>1178</v>
      </c>
      <c r="E260" s="62" t="s">
        <v>71</v>
      </c>
      <c r="F260" s="62" t="s">
        <v>2213</v>
      </c>
      <c r="G260" s="62" t="s">
        <v>1179</v>
      </c>
      <c r="H260" s="62" t="s">
        <v>1180</v>
      </c>
      <c r="I260" s="62" t="s">
        <v>1181</v>
      </c>
      <c r="J260" s="62" t="s">
        <v>2184</v>
      </c>
      <c r="K260" s="62"/>
      <c r="L260" s="61">
        <v>9</v>
      </c>
      <c r="M260" s="61">
        <v>13</v>
      </c>
      <c r="N260" s="61">
        <v>5</v>
      </c>
      <c r="O260" s="62" t="s">
        <v>1963</v>
      </c>
      <c r="P260" s="62" t="s">
        <v>68</v>
      </c>
      <c r="Q260" s="62" t="s">
        <v>2167</v>
      </c>
      <c r="R260" s="62" t="s">
        <v>2167</v>
      </c>
      <c r="S260" s="62" t="s">
        <v>69</v>
      </c>
      <c r="T260" s="61">
        <v>23240</v>
      </c>
      <c r="U260" s="61">
        <v>17565</v>
      </c>
      <c r="V260" s="61">
        <v>1</v>
      </c>
      <c r="W260" s="61">
        <v>5461</v>
      </c>
      <c r="X260" s="61">
        <v>4219</v>
      </c>
      <c r="Y260" s="61">
        <v>7288</v>
      </c>
      <c r="Z260" s="61">
        <v>5695</v>
      </c>
      <c r="AA260" s="61">
        <v>4842</v>
      </c>
      <c r="AB260" s="61">
        <v>4919</v>
      </c>
      <c r="AC260" s="61">
        <v>3313</v>
      </c>
      <c r="AD260" s="61">
        <v>1992</v>
      </c>
      <c r="AE260" s="61">
        <v>1918</v>
      </c>
      <c r="AF260" s="61">
        <v>1159</v>
      </c>
      <c r="AG260" s="61"/>
      <c r="AH260" s="61">
        <v>2919</v>
      </c>
      <c r="AI260" s="61">
        <v>10764</v>
      </c>
      <c r="AJ260" s="61">
        <v>14139</v>
      </c>
      <c r="AK260" s="61">
        <v>56</v>
      </c>
      <c r="AL260" s="61">
        <v>1236</v>
      </c>
      <c r="AM260" s="61">
        <v>96</v>
      </c>
      <c r="AN260" s="61">
        <v>11596</v>
      </c>
      <c r="AO260" s="61">
        <v>530</v>
      </c>
      <c r="AP260" s="61">
        <v>2092</v>
      </c>
      <c r="AQ260" s="61">
        <v>75</v>
      </c>
      <c r="AR260" s="61">
        <v>64</v>
      </c>
      <c r="AS260" s="61">
        <v>9</v>
      </c>
      <c r="AT260" s="61">
        <v>1</v>
      </c>
      <c r="AU260" s="61"/>
      <c r="AV260" s="61"/>
      <c r="AW260" s="61">
        <v>201</v>
      </c>
      <c r="AX260" s="61">
        <v>5</v>
      </c>
      <c r="AY260" s="61">
        <v>37494</v>
      </c>
      <c r="AZ260" s="61">
        <v>335</v>
      </c>
      <c r="BA260" s="61"/>
      <c r="BB260" s="61"/>
      <c r="BC260" s="61"/>
      <c r="BD260" s="61">
        <v>22479</v>
      </c>
      <c r="BE260" s="61">
        <v>6113</v>
      </c>
      <c r="BF260" s="61">
        <v>814</v>
      </c>
      <c r="BG260" s="61">
        <v>9591</v>
      </c>
      <c r="BH260" s="61">
        <v>1809</v>
      </c>
      <c r="BI260" s="61"/>
      <c r="BJ260" s="61">
        <v>40806</v>
      </c>
      <c r="BK260" s="61">
        <v>470</v>
      </c>
      <c r="BL260" s="61">
        <v>38407</v>
      </c>
      <c r="BM260" s="61">
        <v>1929</v>
      </c>
      <c r="BN260" s="61">
        <v>2455</v>
      </c>
      <c r="BO260" s="61">
        <v>2127</v>
      </c>
      <c r="BP260" s="61"/>
      <c r="BQ260" s="61">
        <v>92</v>
      </c>
      <c r="BR260" s="61">
        <v>233</v>
      </c>
      <c r="BS260" s="61">
        <v>300</v>
      </c>
      <c r="BT260" s="61">
        <v>434</v>
      </c>
      <c r="BU260" s="61">
        <v>810</v>
      </c>
      <c r="BV260" s="61">
        <v>893</v>
      </c>
      <c r="BW260" s="61">
        <v>781</v>
      </c>
      <c r="BX260" s="61">
        <v>916</v>
      </c>
      <c r="BY260" s="61">
        <v>41</v>
      </c>
      <c r="BZ260" s="61">
        <v>82</v>
      </c>
      <c r="CA260" s="61"/>
      <c r="CB260" s="61">
        <v>494</v>
      </c>
      <c r="CC260" s="61">
        <v>845</v>
      </c>
      <c r="CD260" s="61">
        <v>1091</v>
      </c>
      <c r="CE260" s="61">
        <v>143</v>
      </c>
      <c r="CF260" s="61">
        <v>12</v>
      </c>
      <c r="CG260" s="61">
        <v>1990</v>
      </c>
      <c r="CH260" s="61">
        <v>7</v>
      </c>
      <c r="CI260" s="61">
        <v>121</v>
      </c>
      <c r="CJ260" s="61">
        <v>1010</v>
      </c>
      <c r="CK260" s="61">
        <v>207</v>
      </c>
      <c r="CL260" s="61">
        <v>489</v>
      </c>
      <c r="CM260" s="61"/>
      <c r="CN260" s="61"/>
      <c r="CO260" s="61">
        <v>11</v>
      </c>
      <c r="CP260" s="61">
        <v>2644</v>
      </c>
      <c r="CQ260" s="61"/>
      <c r="CR260" s="61">
        <v>2</v>
      </c>
      <c r="CS260" s="61">
        <v>77</v>
      </c>
      <c r="CT260" s="61">
        <v>16</v>
      </c>
      <c r="CU260" s="61">
        <v>2</v>
      </c>
      <c r="CV260" s="61"/>
      <c r="CW260" s="61">
        <v>1</v>
      </c>
      <c r="CX260" s="61">
        <v>1400</v>
      </c>
      <c r="CY260" s="61">
        <v>2299</v>
      </c>
      <c r="CZ260" s="61">
        <v>49</v>
      </c>
      <c r="DA260" s="61">
        <v>809</v>
      </c>
      <c r="DB260" s="61">
        <v>25</v>
      </c>
      <c r="DC260" s="61"/>
      <c r="DD260" s="61">
        <v>4582</v>
      </c>
      <c r="DE260" s="61">
        <v>161</v>
      </c>
      <c r="DF260" s="61">
        <v>4231</v>
      </c>
      <c r="DG260" s="61">
        <v>190</v>
      </c>
      <c r="DH260" s="62" t="s">
        <v>2185</v>
      </c>
      <c r="DI260" s="61">
        <v>202</v>
      </c>
      <c r="DJ260" s="61">
        <v>13</v>
      </c>
      <c r="DK260" s="61"/>
      <c r="DL260" s="61"/>
      <c r="DM260" s="61"/>
      <c r="DN260" s="61">
        <v>2</v>
      </c>
    </row>
    <row r="261" spans="1:118" x14ac:dyDescent="0.25">
      <c r="A261" s="61">
        <v>106390923</v>
      </c>
      <c r="B261" s="62" t="s">
        <v>1182</v>
      </c>
      <c r="C261" s="62" t="s">
        <v>1183</v>
      </c>
      <c r="D261" s="62" t="s">
        <v>1178</v>
      </c>
      <c r="E261" s="62" t="s">
        <v>71</v>
      </c>
      <c r="F261" s="62" t="s">
        <v>2213</v>
      </c>
      <c r="G261" s="62" t="s">
        <v>1184</v>
      </c>
      <c r="H261" s="62" t="s">
        <v>1185</v>
      </c>
      <c r="I261" s="62" t="s">
        <v>2098</v>
      </c>
      <c r="J261" s="62" t="s">
        <v>2187</v>
      </c>
      <c r="K261" s="62"/>
      <c r="L261" s="61">
        <v>9</v>
      </c>
      <c r="M261" s="61">
        <v>9</v>
      </c>
      <c r="N261" s="61">
        <v>5</v>
      </c>
      <c r="O261" s="62" t="s">
        <v>1964</v>
      </c>
      <c r="P261" s="62" t="s">
        <v>68</v>
      </c>
      <c r="Q261" s="62" t="s">
        <v>2167</v>
      </c>
      <c r="R261" s="62" t="s">
        <v>2167</v>
      </c>
      <c r="S261" s="62" t="s">
        <v>69</v>
      </c>
      <c r="T261" s="61">
        <v>21041</v>
      </c>
      <c r="U261" s="61">
        <v>16766</v>
      </c>
      <c r="V261" s="61">
        <v>2</v>
      </c>
      <c r="W261" s="61">
        <v>5536</v>
      </c>
      <c r="X261" s="61">
        <v>4191</v>
      </c>
      <c r="Y261" s="61">
        <v>5919</v>
      </c>
      <c r="Z261" s="61">
        <v>5027</v>
      </c>
      <c r="AA261" s="61">
        <v>4236</v>
      </c>
      <c r="AB261" s="61">
        <v>4150</v>
      </c>
      <c r="AC261" s="61">
        <v>3028</v>
      </c>
      <c r="AD261" s="61">
        <v>2106</v>
      </c>
      <c r="AE261" s="61">
        <v>2310</v>
      </c>
      <c r="AF261" s="61">
        <v>1306</v>
      </c>
      <c r="AG261" s="61"/>
      <c r="AH261" s="61">
        <v>1552</v>
      </c>
      <c r="AI261" s="61">
        <v>1283</v>
      </c>
      <c r="AJ261" s="61">
        <v>12234</v>
      </c>
      <c r="AK261" s="61">
        <v>29</v>
      </c>
      <c r="AL261" s="61">
        <v>872</v>
      </c>
      <c r="AM261" s="61">
        <v>115</v>
      </c>
      <c r="AN261" s="61">
        <v>21724</v>
      </c>
      <c r="AO261" s="61">
        <v>1097</v>
      </c>
      <c r="AP261" s="61">
        <v>1733</v>
      </c>
      <c r="AQ261" s="61">
        <v>38</v>
      </c>
      <c r="AR261" s="61">
        <v>25</v>
      </c>
      <c r="AS261" s="61">
        <v>10</v>
      </c>
      <c r="AT261" s="61"/>
      <c r="AU261" s="61"/>
      <c r="AV261" s="61">
        <v>155</v>
      </c>
      <c r="AW261" s="61">
        <v>116</v>
      </c>
      <c r="AX261" s="61"/>
      <c r="AY261" s="61">
        <v>34386</v>
      </c>
      <c r="AZ261" s="61">
        <v>242</v>
      </c>
      <c r="BA261" s="61">
        <v>7</v>
      </c>
      <c r="BB261" s="61"/>
      <c r="BC261" s="61"/>
      <c r="BD261" s="61">
        <v>20849</v>
      </c>
      <c r="BE261" s="61">
        <v>7165</v>
      </c>
      <c r="BF261" s="61">
        <v>1161</v>
      </c>
      <c r="BG261" s="61">
        <v>7294</v>
      </c>
      <c r="BH261" s="61">
        <v>1340</v>
      </c>
      <c r="BI261" s="61"/>
      <c r="BJ261" s="61">
        <v>37809</v>
      </c>
      <c r="BK261" s="61">
        <v>508</v>
      </c>
      <c r="BL261" s="61">
        <v>31921</v>
      </c>
      <c r="BM261" s="61">
        <v>5380</v>
      </c>
      <c r="BN261" s="61">
        <v>3368</v>
      </c>
      <c r="BO261" s="61">
        <v>2987</v>
      </c>
      <c r="BP261" s="61"/>
      <c r="BQ261" s="61">
        <v>95</v>
      </c>
      <c r="BR261" s="61">
        <v>298</v>
      </c>
      <c r="BS261" s="61">
        <v>378</v>
      </c>
      <c r="BT261" s="61">
        <v>523</v>
      </c>
      <c r="BU261" s="61">
        <v>959</v>
      </c>
      <c r="BV261" s="61">
        <v>1092</v>
      </c>
      <c r="BW261" s="61">
        <v>1134</v>
      </c>
      <c r="BX261" s="61">
        <v>1733</v>
      </c>
      <c r="BY261" s="61">
        <v>44</v>
      </c>
      <c r="BZ261" s="61">
        <v>99</v>
      </c>
      <c r="CA261" s="61"/>
      <c r="CB261" s="61">
        <v>251</v>
      </c>
      <c r="CC261" s="61">
        <v>160</v>
      </c>
      <c r="CD261" s="61">
        <v>1132</v>
      </c>
      <c r="CE261" s="61">
        <v>50</v>
      </c>
      <c r="CF261" s="61">
        <v>11</v>
      </c>
      <c r="CG261" s="61">
        <v>4744</v>
      </c>
      <c r="CH261" s="61">
        <v>7</v>
      </c>
      <c r="CI261" s="61">
        <v>509</v>
      </c>
      <c r="CJ261" s="61">
        <v>137</v>
      </c>
      <c r="CK261" s="61">
        <v>185</v>
      </c>
      <c r="CL261" s="61">
        <v>742</v>
      </c>
      <c r="CM261" s="61">
        <v>7</v>
      </c>
      <c r="CN261" s="61"/>
      <c r="CO261" s="61"/>
      <c r="CP261" s="61">
        <v>3580</v>
      </c>
      <c r="CQ261" s="61">
        <v>992</v>
      </c>
      <c r="CR261" s="61">
        <v>2</v>
      </c>
      <c r="CS261" s="61">
        <v>176</v>
      </c>
      <c r="CT261" s="61">
        <v>21</v>
      </c>
      <c r="CU261" s="61"/>
      <c r="CV261" s="61"/>
      <c r="CW261" s="61"/>
      <c r="CX261" s="61">
        <v>1785</v>
      </c>
      <c r="CY261" s="61">
        <v>3769</v>
      </c>
      <c r="CZ261" s="61">
        <v>70</v>
      </c>
      <c r="DA261" s="61">
        <v>682</v>
      </c>
      <c r="DB261" s="61">
        <v>49</v>
      </c>
      <c r="DC261" s="61"/>
      <c r="DD261" s="61">
        <v>6355</v>
      </c>
      <c r="DE261" s="61">
        <v>167</v>
      </c>
      <c r="DF261" s="61">
        <v>5608</v>
      </c>
      <c r="DG261" s="61">
        <v>580</v>
      </c>
      <c r="DH261" s="62" t="s">
        <v>2185</v>
      </c>
      <c r="DI261" s="61">
        <v>190</v>
      </c>
      <c r="DJ261" s="61">
        <v>28</v>
      </c>
      <c r="DK261" s="61"/>
      <c r="DL261" s="61"/>
      <c r="DM261" s="61"/>
      <c r="DN261" s="61">
        <v>4</v>
      </c>
    </row>
    <row r="262" spans="1:118" x14ac:dyDescent="0.25">
      <c r="A262" s="61">
        <v>106391010</v>
      </c>
      <c r="B262" s="62" t="s">
        <v>1186</v>
      </c>
      <c r="C262" s="62" t="s">
        <v>1187</v>
      </c>
      <c r="D262" s="62" t="s">
        <v>1178</v>
      </c>
      <c r="E262" s="62" t="s">
        <v>100</v>
      </c>
      <c r="F262" s="62" t="s">
        <v>2213</v>
      </c>
      <c r="G262" s="62" t="s">
        <v>1188</v>
      </c>
      <c r="H262" s="62" t="s">
        <v>1189</v>
      </c>
      <c r="I262" s="62" t="s">
        <v>1190</v>
      </c>
      <c r="J262" s="62" t="s">
        <v>2187</v>
      </c>
      <c r="K262" s="62" t="s">
        <v>138</v>
      </c>
      <c r="L262" s="61">
        <v>9</v>
      </c>
      <c r="M262" s="61">
        <v>13</v>
      </c>
      <c r="N262" s="61">
        <v>5</v>
      </c>
      <c r="O262" s="62" t="s">
        <v>1963</v>
      </c>
      <c r="P262" s="62" t="s">
        <v>68</v>
      </c>
      <c r="Q262" s="62" t="s">
        <v>2167</v>
      </c>
      <c r="R262" s="62" t="s">
        <v>83</v>
      </c>
      <c r="S262" s="62" t="s">
        <v>69</v>
      </c>
      <c r="T262" s="61">
        <v>15129</v>
      </c>
      <c r="U262" s="61">
        <v>18223</v>
      </c>
      <c r="V262" s="61">
        <v>1</v>
      </c>
      <c r="W262" s="61">
        <v>3228</v>
      </c>
      <c r="X262" s="61">
        <v>3100</v>
      </c>
      <c r="Y262" s="61">
        <v>6494</v>
      </c>
      <c r="Z262" s="61">
        <v>5614</v>
      </c>
      <c r="AA262" s="61">
        <v>4813</v>
      </c>
      <c r="AB262" s="61">
        <v>5003</v>
      </c>
      <c r="AC262" s="61">
        <v>2820</v>
      </c>
      <c r="AD262" s="61">
        <v>916</v>
      </c>
      <c r="AE262" s="61">
        <v>523</v>
      </c>
      <c r="AF262" s="61">
        <v>842</v>
      </c>
      <c r="AG262" s="61"/>
      <c r="AH262" s="61">
        <v>2505</v>
      </c>
      <c r="AI262" s="61">
        <v>6943</v>
      </c>
      <c r="AJ262" s="61">
        <v>14472</v>
      </c>
      <c r="AK262" s="61">
        <v>71</v>
      </c>
      <c r="AL262" s="61">
        <v>975</v>
      </c>
      <c r="AM262" s="61">
        <v>128</v>
      </c>
      <c r="AN262" s="61">
        <v>8259</v>
      </c>
      <c r="AO262" s="61">
        <v>334</v>
      </c>
      <c r="AP262" s="61">
        <v>438</v>
      </c>
      <c r="AQ262" s="61">
        <v>51</v>
      </c>
      <c r="AR262" s="61">
        <v>1</v>
      </c>
      <c r="AS262" s="61"/>
      <c r="AT262" s="61"/>
      <c r="AU262" s="61"/>
      <c r="AV262" s="61">
        <v>1636</v>
      </c>
      <c r="AW262" s="61">
        <v>69</v>
      </c>
      <c r="AX262" s="61">
        <v>363</v>
      </c>
      <c r="AY262" s="61">
        <v>30352</v>
      </c>
      <c r="AZ262" s="61">
        <v>73</v>
      </c>
      <c r="BA262" s="61">
        <v>35</v>
      </c>
      <c r="BB262" s="61">
        <v>1</v>
      </c>
      <c r="BC262" s="61"/>
      <c r="BD262" s="61">
        <v>22033</v>
      </c>
      <c r="BE262" s="61">
        <v>3229</v>
      </c>
      <c r="BF262" s="61">
        <v>1878</v>
      </c>
      <c r="BG262" s="61">
        <v>2170</v>
      </c>
      <c r="BH262" s="61">
        <v>4043</v>
      </c>
      <c r="BI262" s="61"/>
      <c r="BJ262" s="61">
        <v>33353</v>
      </c>
      <c r="BK262" s="61">
        <v>1129</v>
      </c>
      <c r="BL262" s="61">
        <v>26674</v>
      </c>
      <c r="BM262" s="61">
        <v>5550</v>
      </c>
      <c r="BN262" s="61">
        <v>1759</v>
      </c>
      <c r="BO262" s="61">
        <v>3545</v>
      </c>
      <c r="BP262" s="61">
        <v>2</v>
      </c>
      <c r="BQ262" s="61">
        <v>155</v>
      </c>
      <c r="BR262" s="61">
        <v>582</v>
      </c>
      <c r="BS262" s="61">
        <v>709</v>
      </c>
      <c r="BT262" s="61">
        <v>795</v>
      </c>
      <c r="BU262" s="61">
        <v>1270</v>
      </c>
      <c r="BV262" s="61">
        <v>945</v>
      </c>
      <c r="BW262" s="61">
        <v>438</v>
      </c>
      <c r="BX262" s="61">
        <v>298</v>
      </c>
      <c r="BY262" s="61">
        <v>57</v>
      </c>
      <c r="BZ262" s="61">
        <v>57</v>
      </c>
      <c r="CA262" s="61"/>
      <c r="CB262" s="61">
        <v>496</v>
      </c>
      <c r="CC262" s="61">
        <v>1002</v>
      </c>
      <c r="CD262" s="61">
        <v>1963</v>
      </c>
      <c r="CE262" s="61">
        <v>74</v>
      </c>
      <c r="CF262" s="61">
        <v>23</v>
      </c>
      <c r="CG262" s="61">
        <v>1732</v>
      </c>
      <c r="CH262" s="61">
        <v>16</v>
      </c>
      <c r="CI262" s="61">
        <v>1</v>
      </c>
      <c r="CJ262" s="61">
        <v>1220</v>
      </c>
      <c r="CK262" s="61">
        <v>137</v>
      </c>
      <c r="CL262" s="61">
        <v>312</v>
      </c>
      <c r="CM262" s="61"/>
      <c r="CN262" s="61"/>
      <c r="CO262" s="61"/>
      <c r="CP262" s="61">
        <v>2982</v>
      </c>
      <c r="CQ262" s="61"/>
      <c r="CR262" s="61">
        <v>409</v>
      </c>
      <c r="CS262" s="61"/>
      <c r="CT262" s="61"/>
      <c r="CU262" s="61">
        <v>224</v>
      </c>
      <c r="CV262" s="61"/>
      <c r="CW262" s="61"/>
      <c r="CX262" s="61">
        <v>2476</v>
      </c>
      <c r="CY262" s="61">
        <v>1103</v>
      </c>
      <c r="CZ262" s="61">
        <v>1056</v>
      </c>
      <c r="DA262" s="61">
        <v>355</v>
      </c>
      <c r="DB262" s="61">
        <v>316</v>
      </c>
      <c r="DC262" s="61"/>
      <c r="DD262" s="61">
        <v>5306</v>
      </c>
      <c r="DE262" s="61">
        <v>254</v>
      </c>
      <c r="DF262" s="61">
        <v>4298</v>
      </c>
      <c r="DG262" s="61">
        <v>754</v>
      </c>
      <c r="DH262" s="62" t="s">
        <v>2185</v>
      </c>
      <c r="DI262" s="61">
        <v>196</v>
      </c>
      <c r="DJ262" s="61">
        <v>19</v>
      </c>
      <c r="DK262" s="61"/>
      <c r="DL262" s="61"/>
      <c r="DM262" s="61">
        <v>21</v>
      </c>
      <c r="DN262" s="61"/>
    </row>
    <row r="263" spans="1:118" x14ac:dyDescent="0.25">
      <c r="A263" s="61">
        <v>106391042</v>
      </c>
      <c r="B263" s="62" t="s">
        <v>1191</v>
      </c>
      <c r="C263" s="62" t="s">
        <v>2099</v>
      </c>
      <c r="D263" s="62" t="s">
        <v>1178</v>
      </c>
      <c r="E263" s="62" t="s">
        <v>71</v>
      </c>
      <c r="F263" s="62" t="s">
        <v>2213</v>
      </c>
      <c r="G263" s="62" t="s">
        <v>1192</v>
      </c>
      <c r="H263" s="62" t="s">
        <v>1180</v>
      </c>
      <c r="I263" s="62" t="s">
        <v>1193</v>
      </c>
      <c r="J263" s="62" t="s">
        <v>2186</v>
      </c>
      <c r="K263" s="62"/>
      <c r="L263" s="61">
        <v>9</v>
      </c>
      <c r="M263" s="61">
        <v>13</v>
      </c>
      <c r="N263" s="61">
        <v>5</v>
      </c>
      <c r="O263" s="62" t="s">
        <v>1965</v>
      </c>
      <c r="P263" s="62" t="s">
        <v>68</v>
      </c>
      <c r="Q263" s="62" t="s">
        <v>2167</v>
      </c>
      <c r="R263" s="62" t="s">
        <v>2167</v>
      </c>
      <c r="S263" s="62" t="s">
        <v>69</v>
      </c>
      <c r="T263" s="61">
        <v>33103</v>
      </c>
      <c r="U263" s="61">
        <v>26100</v>
      </c>
      <c r="V263" s="61">
        <v>2</v>
      </c>
      <c r="W263" s="61">
        <v>8566</v>
      </c>
      <c r="X263" s="61">
        <v>5490</v>
      </c>
      <c r="Y263" s="61">
        <v>10417</v>
      </c>
      <c r="Z263" s="61">
        <v>8344</v>
      </c>
      <c r="AA263" s="61">
        <v>6934</v>
      </c>
      <c r="AB263" s="61">
        <v>7555</v>
      </c>
      <c r="AC263" s="61">
        <v>4598</v>
      </c>
      <c r="AD263" s="61">
        <v>2768</v>
      </c>
      <c r="AE263" s="61">
        <v>2478</v>
      </c>
      <c r="AF263" s="61">
        <v>2055</v>
      </c>
      <c r="AG263" s="61"/>
      <c r="AH263" s="61">
        <v>4750</v>
      </c>
      <c r="AI263" s="61">
        <v>11940</v>
      </c>
      <c r="AJ263" s="61">
        <v>24274</v>
      </c>
      <c r="AK263" s="61">
        <v>350</v>
      </c>
      <c r="AL263" s="61">
        <v>1170</v>
      </c>
      <c r="AM263" s="61">
        <v>807</v>
      </c>
      <c r="AN263" s="61">
        <v>15914</v>
      </c>
      <c r="AO263" s="61">
        <v>556</v>
      </c>
      <c r="AP263" s="61">
        <v>5624</v>
      </c>
      <c r="AQ263" s="61">
        <v>144</v>
      </c>
      <c r="AR263" s="61">
        <v>70</v>
      </c>
      <c r="AS263" s="61">
        <v>4</v>
      </c>
      <c r="AT263" s="61">
        <v>3</v>
      </c>
      <c r="AU263" s="61"/>
      <c r="AV263" s="61">
        <v>40</v>
      </c>
      <c r="AW263" s="61">
        <v>538</v>
      </c>
      <c r="AX263" s="61">
        <v>28</v>
      </c>
      <c r="AY263" s="61">
        <v>51966</v>
      </c>
      <c r="AZ263" s="61">
        <v>187</v>
      </c>
      <c r="BA263" s="61">
        <v>25</v>
      </c>
      <c r="BB263" s="61"/>
      <c r="BC263" s="61">
        <v>19</v>
      </c>
      <c r="BD263" s="61">
        <v>37433</v>
      </c>
      <c r="BE263" s="61">
        <v>10771</v>
      </c>
      <c r="BF263" s="61">
        <v>753</v>
      </c>
      <c r="BG263" s="61">
        <v>6605</v>
      </c>
      <c r="BH263" s="61">
        <v>3643</v>
      </c>
      <c r="BI263" s="61"/>
      <c r="BJ263" s="61">
        <v>59205</v>
      </c>
      <c r="BK263" s="61">
        <v>1808</v>
      </c>
      <c r="BL263" s="61">
        <v>50822</v>
      </c>
      <c r="BM263" s="61">
        <v>6575</v>
      </c>
      <c r="BN263" s="61">
        <v>5688</v>
      </c>
      <c r="BO263" s="61">
        <v>5105</v>
      </c>
      <c r="BP263" s="61"/>
      <c r="BQ263" s="61">
        <v>160</v>
      </c>
      <c r="BR263" s="61">
        <v>544</v>
      </c>
      <c r="BS263" s="61">
        <v>665</v>
      </c>
      <c r="BT263" s="61">
        <v>988</v>
      </c>
      <c r="BU263" s="61">
        <v>1883</v>
      </c>
      <c r="BV263" s="61">
        <v>2221</v>
      </c>
      <c r="BW263" s="61">
        <v>1971</v>
      </c>
      <c r="BX263" s="61">
        <v>2101</v>
      </c>
      <c r="BY263" s="61">
        <v>115</v>
      </c>
      <c r="BZ263" s="61">
        <v>145</v>
      </c>
      <c r="CA263" s="61"/>
      <c r="CB263" s="61">
        <v>1330</v>
      </c>
      <c r="CC263" s="61">
        <v>1607</v>
      </c>
      <c r="CD263" s="61">
        <v>2936</v>
      </c>
      <c r="CE263" s="61">
        <v>215</v>
      </c>
      <c r="CF263" s="61">
        <v>37</v>
      </c>
      <c r="CG263" s="61">
        <v>4610</v>
      </c>
      <c r="CH263" s="61">
        <v>58</v>
      </c>
      <c r="CI263" s="61">
        <v>82</v>
      </c>
      <c r="CJ263" s="61">
        <v>1173</v>
      </c>
      <c r="CK263" s="61">
        <v>152</v>
      </c>
      <c r="CL263" s="61">
        <v>835</v>
      </c>
      <c r="CM263" s="61">
        <v>13</v>
      </c>
      <c r="CN263" s="61"/>
      <c r="CO263" s="61">
        <v>56</v>
      </c>
      <c r="CP263" s="61">
        <v>6002</v>
      </c>
      <c r="CQ263" s="61">
        <v>940</v>
      </c>
      <c r="CR263" s="61">
        <v>11</v>
      </c>
      <c r="CS263" s="61">
        <v>49</v>
      </c>
      <c r="CT263" s="61">
        <v>6</v>
      </c>
      <c r="CU263" s="61">
        <v>79</v>
      </c>
      <c r="CV263" s="61">
        <v>2</v>
      </c>
      <c r="CW263" s="61">
        <v>9</v>
      </c>
      <c r="CX263" s="61">
        <v>3785</v>
      </c>
      <c r="CY263" s="61">
        <v>5740</v>
      </c>
      <c r="CZ263" s="61">
        <v>117</v>
      </c>
      <c r="DA263" s="61">
        <v>1079</v>
      </c>
      <c r="DB263" s="61">
        <v>72</v>
      </c>
      <c r="DC263" s="61"/>
      <c r="DD263" s="61">
        <v>10793</v>
      </c>
      <c r="DE263" s="61">
        <v>899</v>
      </c>
      <c r="DF263" s="61">
        <v>8913</v>
      </c>
      <c r="DG263" s="61">
        <v>981</v>
      </c>
      <c r="DH263" s="62" t="s">
        <v>2185</v>
      </c>
      <c r="DI263" s="61">
        <v>366</v>
      </c>
      <c r="DJ263" s="61">
        <v>36</v>
      </c>
      <c r="DK263" s="61"/>
      <c r="DL263" s="61">
        <v>1</v>
      </c>
      <c r="DM263" s="61">
        <v>1383</v>
      </c>
      <c r="DN263" s="61">
        <v>1</v>
      </c>
    </row>
    <row r="264" spans="1:118" x14ac:dyDescent="0.25">
      <c r="A264" s="61">
        <v>106391056</v>
      </c>
      <c r="B264" s="62" t="s">
        <v>1194</v>
      </c>
      <c r="C264" s="62" t="s">
        <v>1195</v>
      </c>
      <c r="D264" s="62" t="s">
        <v>1178</v>
      </c>
      <c r="E264" s="62" t="s">
        <v>71</v>
      </c>
      <c r="F264" s="62" t="s">
        <v>2213</v>
      </c>
      <c r="G264" s="62" t="s">
        <v>1196</v>
      </c>
      <c r="H264" s="62" t="s">
        <v>1197</v>
      </c>
      <c r="I264" s="62" t="s">
        <v>1198</v>
      </c>
      <c r="J264" s="62" t="s">
        <v>2188</v>
      </c>
      <c r="K264" s="62"/>
      <c r="L264" s="61">
        <v>10</v>
      </c>
      <c r="M264" s="61">
        <v>13</v>
      </c>
      <c r="N264" s="61">
        <v>5</v>
      </c>
      <c r="O264" s="62" t="s">
        <v>1966</v>
      </c>
      <c r="P264" s="62" t="s">
        <v>68</v>
      </c>
      <c r="Q264" s="62" t="s">
        <v>2167</v>
      </c>
      <c r="R264" s="62" t="s">
        <v>2167</v>
      </c>
      <c r="S264" s="62" t="s">
        <v>69</v>
      </c>
      <c r="T264" s="61">
        <v>19412</v>
      </c>
      <c r="U264" s="61">
        <v>15291</v>
      </c>
      <c r="V264" s="61">
        <v>1</v>
      </c>
      <c r="W264" s="61">
        <v>5846</v>
      </c>
      <c r="X264" s="61">
        <v>4342</v>
      </c>
      <c r="Y264" s="61">
        <v>5774</v>
      </c>
      <c r="Z264" s="61">
        <v>5342</v>
      </c>
      <c r="AA264" s="61">
        <v>4136</v>
      </c>
      <c r="AB264" s="61">
        <v>3683</v>
      </c>
      <c r="AC264" s="61">
        <v>2071</v>
      </c>
      <c r="AD264" s="61">
        <v>1306</v>
      </c>
      <c r="AE264" s="61">
        <v>1082</v>
      </c>
      <c r="AF264" s="61">
        <v>1122</v>
      </c>
      <c r="AG264" s="61"/>
      <c r="AH264" s="61">
        <v>3264</v>
      </c>
      <c r="AI264" s="61">
        <v>3272</v>
      </c>
      <c r="AJ264" s="61">
        <v>14446</v>
      </c>
      <c r="AK264" s="61">
        <v>164</v>
      </c>
      <c r="AL264" s="61">
        <v>2167</v>
      </c>
      <c r="AM264" s="61">
        <v>55</v>
      </c>
      <c r="AN264" s="61">
        <v>11336</v>
      </c>
      <c r="AO264" s="61">
        <v>259</v>
      </c>
      <c r="AP264" s="61">
        <v>187</v>
      </c>
      <c r="AQ264" s="61">
        <v>16</v>
      </c>
      <c r="AR264" s="61">
        <v>470</v>
      </c>
      <c r="AS264" s="61">
        <v>15</v>
      </c>
      <c r="AT264" s="61"/>
      <c r="AU264" s="61"/>
      <c r="AV264" s="61">
        <v>32</v>
      </c>
      <c r="AW264" s="61">
        <v>58</v>
      </c>
      <c r="AX264" s="61">
        <v>1</v>
      </c>
      <c r="AY264" s="61">
        <v>32978</v>
      </c>
      <c r="AZ264" s="61">
        <v>122</v>
      </c>
      <c r="BA264" s="61">
        <v>2</v>
      </c>
      <c r="BB264" s="61">
        <v>17</v>
      </c>
      <c r="BC264" s="61">
        <v>367</v>
      </c>
      <c r="BD264" s="61">
        <v>18803</v>
      </c>
      <c r="BE264" s="61">
        <v>3832</v>
      </c>
      <c r="BF264" s="61">
        <v>1182</v>
      </c>
      <c r="BG264" s="61">
        <v>8207</v>
      </c>
      <c r="BH264" s="61">
        <v>2640</v>
      </c>
      <c r="BI264" s="61">
        <v>40</v>
      </c>
      <c r="BJ264" s="61">
        <v>34704</v>
      </c>
      <c r="BK264" s="61">
        <v>1697</v>
      </c>
      <c r="BL264" s="61">
        <v>28995</v>
      </c>
      <c r="BM264" s="61">
        <v>4012</v>
      </c>
      <c r="BN264" s="61">
        <v>1545</v>
      </c>
      <c r="BO264" s="61">
        <v>1295</v>
      </c>
      <c r="BP264" s="61"/>
      <c r="BQ264" s="61">
        <v>57</v>
      </c>
      <c r="BR264" s="61">
        <v>185</v>
      </c>
      <c r="BS264" s="61">
        <v>244</v>
      </c>
      <c r="BT264" s="61">
        <v>320</v>
      </c>
      <c r="BU264" s="61">
        <v>437</v>
      </c>
      <c r="BV264" s="61">
        <v>504</v>
      </c>
      <c r="BW264" s="61">
        <v>470</v>
      </c>
      <c r="BX264" s="61">
        <v>575</v>
      </c>
      <c r="BY264" s="61">
        <v>11</v>
      </c>
      <c r="BZ264" s="61">
        <v>37</v>
      </c>
      <c r="CA264" s="61"/>
      <c r="CB264" s="61">
        <v>341</v>
      </c>
      <c r="CC264" s="61">
        <v>211</v>
      </c>
      <c r="CD264" s="61">
        <v>803</v>
      </c>
      <c r="CE264" s="61">
        <v>128</v>
      </c>
      <c r="CF264" s="61">
        <v>1</v>
      </c>
      <c r="CG264" s="61">
        <v>1351</v>
      </c>
      <c r="CH264" s="61">
        <v>5</v>
      </c>
      <c r="CI264" s="61">
        <v>185</v>
      </c>
      <c r="CJ264" s="61">
        <v>47</v>
      </c>
      <c r="CK264" s="61">
        <v>67</v>
      </c>
      <c r="CL264" s="61">
        <v>240</v>
      </c>
      <c r="CM264" s="61">
        <v>12</v>
      </c>
      <c r="CN264" s="61"/>
      <c r="CO264" s="61">
        <v>9</v>
      </c>
      <c r="CP264" s="61">
        <v>1835</v>
      </c>
      <c r="CQ264" s="61">
        <v>362</v>
      </c>
      <c r="CR264" s="61"/>
      <c r="CS264" s="61">
        <v>66</v>
      </c>
      <c r="CT264" s="61">
        <v>9</v>
      </c>
      <c r="CU264" s="61"/>
      <c r="CV264" s="61">
        <v>3</v>
      </c>
      <c r="CW264" s="61">
        <v>4</v>
      </c>
      <c r="CX264" s="61">
        <v>724</v>
      </c>
      <c r="CY264" s="61">
        <v>1339</v>
      </c>
      <c r="CZ264" s="61">
        <v>70</v>
      </c>
      <c r="DA264" s="61">
        <v>648</v>
      </c>
      <c r="DB264" s="61">
        <v>59</v>
      </c>
      <c r="DC264" s="61"/>
      <c r="DD264" s="61">
        <v>2840</v>
      </c>
      <c r="DE264" s="61">
        <v>208</v>
      </c>
      <c r="DF264" s="61">
        <v>2327</v>
      </c>
      <c r="DG264" s="61">
        <v>305</v>
      </c>
      <c r="DH264" s="62" t="s">
        <v>2185</v>
      </c>
      <c r="DI264" s="61">
        <v>81</v>
      </c>
      <c r="DJ264" s="61">
        <v>14</v>
      </c>
      <c r="DK264" s="61">
        <v>125</v>
      </c>
      <c r="DL264" s="61">
        <v>55</v>
      </c>
      <c r="DM264" s="61">
        <v>1</v>
      </c>
      <c r="DN264" s="61"/>
    </row>
    <row r="265" spans="1:118" x14ac:dyDescent="0.25">
      <c r="A265" s="61">
        <v>106392287</v>
      </c>
      <c r="B265" s="62" t="s">
        <v>1199</v>
      </c>
      <c r="C265" s="62" t="s">
        <v>1200</v>
      </c>
      <c r="D265" s="62" t="s">
        <v>1178</v>
      </c>
      <c r="E265" s="62" t="s">
        <v>184</v>
      </c>
      <c r="F265" s="62" t="s">
        <v>2213</v>
      </c>
      <c r="G265" s="62" t="s">
        <v>1201</v>
      </c>
      <c r="H265" s="62" t="s">
        <v>1202</v>
      </c>
      <c r="I265" s="62" t="s">
        <v>1203</v>
      </c>
      <c r="J265" s="62" t="s">
        <v>2188</v>
      </c>
      <c r="K265" s="62"/>
      <c r="L265" s="61">
        <v>10</v>
      </c>
      <c r="M265" s="61">
        <v>12</v>
      </c>
      <c r="N265" s="61">
        <v>5</v>
      </c>
      <c r="O265" s="62" t="s">
        <v>1967</v>
      </c>
      <c r="P265" s="62" t="s">
        <v>68</v>
      </c>
      <c r="Q265" s="62" t="s">
        <v>2167</v>
      </c>
      <c r="R265" s="62" t="s">
        <v>2167</v>
      </c>
      <c r="S265" s="62" t="s">
        <v>69</v>
      </c>
      <c r="T265" s="61">
        <v>18666</v>
      </c>
      <c r="U265" s="61">
        <v>12857</v>
      </c>
      <c r="V265" s="61"/>
      <c r="W265" s="61">
        <v>5392</v>
      </c>
      <c r="X265" s="61">
        <v>3769</v>
      </c>
      <c r="Y265" s="61">
        <v>5379</v>
      </c>
      <c r="Z265" s="61">
        <v>4487</v>
      </c>
      <c r="AA265" s="61">
        <v>3493</v>
      </c>
      <c r="AB265" s="61">
        <v>3264</v>
      </c>
      <c r="AC265" s="61">
        <v>2053</v>
      </c>
      <c r="AD265" s="61">
        <v>1422</v>
      </c>
      <c r="AE265" s="61">
        <v>1302</v>
      </c>
      <c r="AF265" s="61">
        <v>962</v>
      </c>
      <c r="AG265" s="61"/>
      <c r="AH265" s="61">
        <v>581</v>
      </c>
      <c r="AI265" s="61">
        <v>1658</v>
      </c>
      <c r="AJ265" s="61">
        <v>11466</v>
      </c>
      <c r="AK265" s="61">
        <v>33</v>
      </c>
      <c r="AL265" s="61">
        <v>2892</v>
      </c>
      <c r="AM265" s="61">
        <v>296</v>
      </c>
      <c r="AN265" s="61">
        <v>14597</v>
      </c>
      <c r="AO265" s="61">
        <v>389</v>
      </c>
      <c r="AP265" s="61">
        <v>658</v>
      </c>
      <c r="AQ265" s="61">
        <v>10</v>
      </c>
      <c r="AR265" s="61">
        <v>41</v>
      </c>
      <c r="AS265" s="61">
        <v>2</v>
      </c>
      <c r="AT265" s="61"/>
      <c r="AU265" s="61"/>
      <c r="AV265" s="61"/>
      <c r="AW265" s="61">
        <v>46</v>
      </c>
      <c r="AX265" s="61"/>
      <c r="AY265" s="61">
        <v>30339</v>
      </c>
      <c r="AZ265" s="61">
        <v>33</v>
      </c>
      <c r="BA265" s="61">
        <v>1</v>
      </c>
      <c r="BB265" s="61"/>
      <c r="BC265" s="61"/>
      <c r="BD265" s="61">
        <v>10296</v>
      </c>
      <c r="BE265" s="61">
        <v>4668</v>
      </c>
      <c r="BF265" s="61">
        <v>809</v>
      </c>
      <c r="BG265" s="61">
        <v>14346</v>
      </c>
      <c r="BH265" s="61">
        <v>1404</v>
      </c>
      <c r="BI265" s="61"/>
      <c r="BJ265" s="61">
        <v>31523</v>
      </c>
      <c r="BK265" s="61">
        <v>227</v>
      </c>
      <c r="BL265" s="61">
        <v>30231</v>
      </c>
      <c r="BM265" s="61">
        <v>1065</v>
      </c>
      <c r="BN265" s="61">
        <v>1426</v>
      </c>
      <c r="BO265" s="61">
        <v>1121</v>
      </c>
      <c r="BP265" s="61"/>
      <c r="BQ265" s="61">
        <v>19</v>
      </c>
      <c r="BR265" s="61">
        <v>115</v>
      </c>
      <c r="BS265" s="61">
        <v>148</v>
      </c>
      <c r="BT265" s="61">
        <v>220</v>
      </c>
      <c r="BU265" s="61">
        <v>301</v>
      </c>
      <c r="BV265" s="61">
        <v>499</v>
      </c>
      <c r="BW265" s="61">
        <v>533</v>
      </c>
      <c r="BX265" s="61">
        <v>704</v>
      </c>
      <c r="BY265" s="61">
        <v>1</v>
      </c>
      <c r="BZ265" s="61">
        <v>7</v>
      </c>
      <c r="CA265" s="61"/>
      <c r="CB265" s="61">
        <v>65</v>
      </c>
      <c r="CC265" s="61">
        <v>105</v>
      </c>
      <c r="CD265" s="61">
        <v>523</v>
      </c>
      <c r="CE265" s="61">
        <v>163</v>
      </c>
      <c r="CF265" s="61">
        <v>17</v>
      </c>
      <c r="CG265" s="61">
        <v>1672</v>
      </c>
      <c r="CH265" s="61">
        <v>2</v>
      </c>
      <c r="CI265" s="61">
        <v>114</v>
      </c>
      <c r="CJ265" s="61">
        <v>44</v>
      </c>
      <c r="CK265" s="61">
        <v>74</v>
      </c>
      <c r="CL265" s="61">
        <v>368</v>
      </c>
      <c r="CM265" s="61">
        <v>5</v>
      </c>
      <c r="CN265" s="61"/>
      <c r="CO265" s="61">
        <v>13</v>
      </c>
      <c r="CP265" s="61">
        <v>1359</v>
      </c>
      <c r="CQ265" s="61">
        <v>466</v>
      </c>
      <c r="CR265" s="61">
        <v>1</v>
      </c>
      <c r="CS265" s="61">
        <v>92</v>
      </c>
      <c r="CT265" s="61">
        <v>5</v>
      </c>
      <c r="CU265" s="61"/>
      <c r="CV265" s="61"/>
      <c r="CW265" s="61">
        <v>6</v>
      </c>
      <c r="CX265" s="61">
        <v>207</v>
      </c>
      <c r="CY265" s="61">
        <v>1485</v>
      </c>
      <c r="CZ265" s="61">
        <v>211</v>
      </c>
      <c r="DA265" s="61">
        <v>622</v>
      </c>
      <c r="DB265" s="61">
        <v>22</v>
      </c>
      <c r="DC265" s="61"/>
      <c r="DD265" s="61">
        <v>2547</v>
      </c>
      <c r="DE265" s="61">
        <v>30</v>
      </c>
      <c r="DF265" s="61">
        <v>2432</v>
      </c>
      <c r="DG265" s="61">
        <v>85</v>
      </c>
      <c r="DH265" s="62" t="s">
        <v>2185</v>
      </c>
      <c r="DI265" s="61">
        <v>73</v>
      </c>
      <c r="DJ265" s="61">
        <v>11</v>
      </c>
      <c r="DK265" s="61">
        <v>4</v>
      </c>
      <c r="DL265" s="61"/>
      <c r="DM265" s="61"/>
      <c r="DN265" s="61"/>
    </row>
    <row r="266" spans="1:118" x14ac:dyDescent="0.25">
      <c r="A266" s="61">
        <v>106394009</v>
      </c>
      <c r="B266" s="62" t="s">
        <v>1204</v>
      </c>
      <c r="C266" s="62" t="s">
        <v>2100</v>
      </c>
      <c r="D266" s="62" t="s">
        <v>1178</v>
      </c>
      <c r="E266" s="62" t="s">
        <v>71</v>
      </c>
      <c r="F266" s="62" t="s">
        <v>2213</v>
      </c>
      <c r="G266" s="62" t="s">
        <v>1205</v>
      </c>
      <c r="H266" s="62" t="s">
        <v>1202</v>
      </c>
      <c r="I266" s="62" t="s">
        <v>1203</v>
      </c>
      <c r="J266" s="62" t="s">
        <v>2188</v>
      </c>
      <c r="K266" s="62"/>
      <c r="L266" s="61">
        <v>10</v>
      </c>
      <c r="M266" s="61">
        <v>12</v>
      </c>
      <c r="N266" s="61">
        <v>5</v>
      </c>
      <c r="O266" s="62" t="s">
        <v>1968</v>
      </c>
      <c r="P266" s="62" t="s">
        <v>120</v>
      </c>
      <c r="Q266" s="62" t="s">
        <v>2167</v>
      </c>
      <c r="R266" s="62" t="s">
        <v>2167</v>
      </c>
      <c r="S266" s="62" t="s">
        <v>69</v>
      </c>
      <c r="T266" s="61">
        <v>37782</v>
      </c>
      <c r="U266" s="61">
        <v>30820</v>
      </c>
      <c r="V266" s="61"/>
      <c r="W266" s="61">
        <v>8255</v>
      </c>
      <c r="X266" s="61">
        <v>7990</v>
      </c>
      <c r="Y266" s="61">
        <v>9545</v>
      </c>
      <c r="Z266" s="61">
        <v>8566</v>
      </c>
      <c r="AA266" s="61">
        <v>8246</v>
      </c>
      <c r="AB266" s="61">
        <v>8702</v>
      </c>
      <c r="AC266" s="61">
        <v>6763</v>
      </c>
      <c r="AD266" s="61">
        <v>4946</v>
      </c>
      <c r="AE266" s="61">
        <v>4167</v>
      </c>
      <c r="AF266" s="61">
        <v>1421</v>
      </c>
      <c r="AG266" s="61">
        <v>1</v>
      </c>
      <c r="AH266" s="61">
        <v>4798</v>
      </c>
      <c r="AI266" s="61">
        <v>5872</v>
      </c>
      <c r="AJ266" s="61">
        <v>23599</v>
      </c>
      <c r="AK266" s="61">
        <v>341</v>
      </c>
      <c r="AL266" s="61">
        <v>1425</v>
      </c>
      <c r="AM266" s="61">
        <v>362</v>
      </c>
      <c r="AN266" s="61">
        <v>32205</v>
      </c>
      <c r="AO266" s="61">
        <v>1268</v>
      </c>
      <c r="AP266" s="61">
        <v>902</v>
      </c>
      <c r="AQ266" s="61">
        <v>41</v>
      </c>
      <c r="AR266" s="61">
        <v>22</v>
      </c>
      <c r="AS266" s="61">
        <v>81</v>
      </c>
      <c r="AT266" s="61">
        <v>67</v>
      </c>
      <c r="AU266" s="61"/>
      <c r="AV266" s="61">
        <v>5</v>
      </c>
      <c r="AW266" s="61">
        <v>352</v>
      </c>
      <c r="AX266" s="61">
        <v>23</v>
      </c>
      <c r="AY266" s="61">
        <v>64802</v>
      </c>
      <c r="AZ266" s="61">
        <v>350</v>
      </c>
      <c r="BA266" s="61">
        <v>2</v>
      </c>
      <c r="BB266" s="61">
        <v>8</v>
      </c>
      <c r="BC266" s="61">
        <v>679</v>
      </c>
      <c r="BD266" s="61">
        <v>9071</v>
      </c>
      <c r="BE266" s="61">
        <v>13791</v>
      </c>
      <c r="BF266" s="61">
        <v>1151</v>
      </c>
      <c r="BG266" s="61">
        <v>40540</v>
      </c>
      <c r="BH266" s="61">
        <v>4049</v>
      </c>
      <c r="BI266" s="61"/>
      <c r="BJ266" s="61">
        <v>68602</v>
      </c>
      <c r="BK266" s="61">
        <v>602</v>
      </c>
      <c r="BL266" s="61">
        <v>63343</v>
      </c>
      <c r="BM266" s="61">
        <v>4657</v>
      </c>
      <c r="BN266" s="61">
        <v>2737</v>
      </c>
      <c r="BO266" s="61">
        <v>2686</v>
      </c>
      <c r="BP266" s="61"/>
      <c r="BQ266" s="61">
        <v>122</v>
      </c>
      <c r="BR266" s="61">
        <v>222</v>
      </c>
      <c r="BS266" s="61">
        <v>286</v>
      </c>
      <c r="BT266" s="61">
        <v>433</v>
      </c>
      <c r="BU266" s="61">
        <v>850</v>
      </c>
      <c r="BV266" s="61">
        <v>1146</v>
      </c>
      <c r="BW266" s="61">
        <v>1108</v>
      </c>
      <c r="BX266" s="61">
        <v>1066</v>
      </c>
      <c r="BY266" s="61">
        <v>80</v>
      </c>
      <c r="BZ266" s="61">
        <v>110</v>
      </c>
      <c r="CA266" s="61"/>
      <c r="CB266" s="61">
        <v>384</v>
      </c>
      <c r="CC266" s="61">
        <v>447</v>
      </c>
      <c r="CD266" s="61">
        <v>1190</v>
      </c>
      <c r="CE266" s="61">
        <v>38</v>
      </c>
      <c r="CF266" s="61">
        <v>1</v>
      </c>
      <c r="CG266" s="61">
        <v>3342</v>
      </c>
      <c r="CH266" s="61">
        <v>21</v>
      </c>
      <c r="CI266" s="61">
        <v>235</v>
      </c>
      <c r="CJ266" s="61">
        <v>37</v>
      </c>
      <c r="CK266" s="61">
        <v>185</v>
      </c>
      <c r="CL266" s="61">
        <v>370</v>
      </c>
      <c r="CM266" s="61">
        <v>7</v>
      </c>
      <c r="CN266" s="61"/>
      <c r="CO266" s="61">
        <v>50</v>
      </c>
      <c r="CP266" s="61">
        <v>3795</v>
      </c>
      <c r="CQ266" s="61">
        <v>605</v>
      </c>
      <c r="CR266" s="61"/>
      <c r="CS266" s="61">
        <v>116</v>
      </c>
      <c r="CT266" s="61">
        <v>15</v>
      </c>
      <c r="CU266" s="61">
        <v>1</v>
      </c>
      <c r="CV266" s="61">
        <v>2</v>
      </c>
      <c r="CW266" s="61">
        <v>4</v>
      </c>
      <c r="CX266" s="61">
        <v>165</v>
      </c>
      <c r="CY266" s="61">
        <v>3055</v>
      </c>
      <c r="CZ266" s="61">
        <v>15</v>
      </c>
      <c r="DA266" s="61">
        <v>2130</v>
      </c>
      <c r="DB266" s="61">
        <v>58</v>
      </c>
      <c r="DC266" s="61"/>
      <c r="DD266" s="61">
        <v>5423</v>
      </c>
      <c r="DE266" s="61">
        <v>71</v>
      </c>
      <c r="DF266" s="61">
        <v>5098</v>
      </c>
      <c r="DG266" s="61">
        <v>254</v>
      </c>
      <c r="DH266" s="62" t="s">
        <v>2185</v>
      </c>
      <c r="DI266" s="61">
        <v>99</v>
      </c>
      <c r="DJ266" s="61">
        <v>10</v>
      </c>
      <c r="DK266" s="61"/>
      <c r="DL266" s="61"/>
      <c r="DM266" s="61">
        <v>1</v>
      </c>
      <c r="DN266" s="61"/>
    </row>
    <row r="267" spans="1:118" x14ac:dyDescent="0.25">
      <c r="A267" s="61">
        <v>106400466</v>
      </c>
      <c r="B267" s="62" t="s">
        <v>1206</v>
      </c>
      <c r="C267" s="62" t="s">
        <v>1207</v>
      </c>
      <c r="D267" s="62" t="s">
        <v>1208</v>
      </c>
      <c r="E267" s="62" t="s">
        <v>71</v>
      </c>
      <c r="F267" s="62" t="s">
        <v>2213</v>
      </c>
      <c r="G267" s="62" t="s">
        <v>1209</v>
      </c>
      <c r="H267" s="62" t="s">
        <v>1210</v>
      </c>
      <c r="I267" s="62" t="s">
        <v>1211</v>
      </c>
      <c r="J267" s="62" t="s">
        <v>2188</v>
      </c>
      <c r="K267" s="62"/>
      <c r="L267" s="61">
        <v>24</v>
      </c>
      <c r="M267" s="61">
        <v>35</v>
      </c>
      <c r="N267" s="61">
        <v>17</v>
      </c>
      <c r="O267" s="62" t="s">
        <v>1969</v>
      </c>
      <c r="P267" s="62" t="s">
        <v>120</v>
      </c>
      <c r="Q267" s="62" t="s">
        <v>2167</v>
      </c>
      <c r="R267" s="62" t="s">
        <v>2167</v>
      </c>
      <c r="S267" s="62" t="s">
        <v>69</v>
      </c>
      <c r="T267" s="61">
        <v>12931</v>
      </c>
      <c r="U267" s="61">
        <v>10401</v>
      </c>
      <c r="V267" s="61"/>
      <c r="W267" s="61">
        <v>2284</v>
      </c>
      <c r="X267" s="61">
        <v>2370</v>
      </c>
      <c r="Y267" s="61">
        <v>3094</v>
      </c>
      <c r="Z267" s="61">
        <v>3009</v>
      </c>
      <c r="AA267" s="61">
        <v>2577</v>
      </c>
      <c r="AB267" s="61">
        <v>2916</v>
      </c>
      <c r="AC267" s="61">
        <v>2589</v>
      </c>
      <c r="AD267" s="61">
        <v>2093</v>
      </c>
      <c r="AE267" s="61">
        <v>2086</v>
      </c>
      <c r="AF267" s="61">
        <v>314</v>
      </c>
      <c r="AG267" s="61"/>
      <c r="AH267" s="61">
        <v>278</v>
      </c>
      <c r="AI267" s="61">
        <v>253</v>
      </c>
      <c r="AJ267" s="61">
        <v>5381</v>
      </c>
      <c r="AK267" s="61">
        <v>62</v>
      </c>
      <c r="AL267" s="61">
        <v>563</v>
      </c>
      <c r="AM267" s="61">
        <v>248</v>
      </c>
      <c r="AN267" s="61">
        <v>16547</v>
      </c>
      <c r="AO267" s="61">
        <v>322</v>
      </c>
      <c r="AP267" s="61">
        <v>72</v>
      </c>
      <c r="AQ267" s="61">
        <v>21</v>
      </c>
      <c r="AR267" s="61">
        <v>18</v>
      </c>
      <c r="AS267" s="61">
        <v>1</v>
      </c>
      <c r="AT267" s="61">
        <v>10</v>
      </c>
      <c r="AU267" s="61"/>
      <c r="AV267" s="61">
        <v>39</v>
      </c>
      <c r="AW267" s="61">
        <v>45</v>
      </c>
      <c r="AX267" s="61">
        <v>16</v>
      </c>
      <c r="AY267" s="61">
        <v>22728</v>
      </c>
      <c r="AZ267" s="61">
        <v>24</v>
      </c>
      <c r="BA267" s="61">
        <v>3</v>
      </c>
      <c r="BB267" s="61">
        <v>8</v>
      </c>
      <c r="BC267" s="61">
        <v>25</v>
      </c>
      <c r="BD267" s="61">
        <v>7184</v>
      </c>
      <c r="BE267" s="61">
        <v>6315</v>
      </c>
      <c r="BF267" s="61">
        <v>731</v>
      </c>
      <c r="BG267" s="61">
        <v>7370</v>
      </c>
      <c r="BH267" s="61">
        <v>1680</v>
      </c>
      <c r="BI267" s="61">
        <v>52</v>
      </c>
      <c r="BJ267" s="61">
        <v>23332</v>
      </c>
      <c r="BK267" s="61">
        <v>109</v>
      </c>
      <c r="BL267" s="61">
        <v>22158</v>
      </c>
      <c r="BM267" s="61">
        <v>1065</v>
      </c>
      <c r="BN267" s="61">
        <v>1039</v>
      </c>
      <c r="BO267" s="61">
        <v>813</v>
      </c>
      <c r="BP267" s="61"/>
      <c r="BQ267" s="61">
        <v>15</v>
      </c>
      <c r="BR267" s="61">
        <v>74</v>
      </c>
      <c r="BS267" s="61">
        <v>111</v>
      </c>
      <c r="BT267" s="61">
        <v>114</v>
      </c>
      <c r="BU267" s="61">
        <v>231</v>
      </c>
      <c r="BV267" s="61">
        <v>337</v>
      </c>
      <c r="BW267" s="61">
        <v>405</v>
      </c>
      <c r="BX267" s="61">
        <v>563</v>
      </c>
      <c r="BY267" s="61"/>
      <c r="BZ267" s="61">
        <v>2</v>
      </c>
      <c r="CA267" s="61"/>
      <c r="CB267" s="61">
        <v>31</v>
      </c>
      <c r="CC267" s="61">
        <v>10</v>
      </c>
      <c r="CD267" s="61">
        <v>202</v>
      </c>
      <c r="CE267" s="61">
        <v>27</v>
      </c>
      <c r="CF267" s="61">
        <v>9</v>
      </c>
      <c r="CG267" s="61">
        <v>1569</v>
      </c>
      <c r="CH267" s="61">
        <v>4</v>
      </c>
      <c r="CI267" s="61">
        <v>113</v>
      </c>
      <c r="CJ267" s="61">
        <v>33</v>
      </c>
      <c r="CK267" s="61">
        <v>59</v>
      </c>
      <c r="CL267" s="61">
        <v>229</v>
      </c>
      <c r="CM267" s="61">
        <v>70</v>
      </c>
      <c r="CN267" s="61"/>
      <c r="CO267" s="61">
        <v>13</v>
      </c>
      <c r="CP267" s="61">
        <v>986</v>
      </c>
      <c r="CQ267" s="61">
        <v>273</v>
      </c>
      <c r="CR267" s="61"/>
      <c r="CS267" s="61">
        <v>67</v>
      </c>
      <c r="CT267" s="61">
        <v>9</v>
      </c>
      <c r="CU267" s="61"/>
      <c r="CV267" s="61"/>
      <c r="CW267" s="61"/>
      <c r="CX267" s="61">
        <v>331</v>
      </c>
      <c r="CY267" s="61">
        <v>1199</v>
      </c>
      <c r="CZ267" s="61">
        <v>37</v>
      </c>
      <c r="DA267" s="61">
        <v>273</v>
      </c>
      <c r="DB267" s="61">
        <v>12</v>
      </c>
      <c r="DC267" s="61"/>
      <c r="DD267" s="61">
        <v>1852</v>
      </c>
      <c r="DE267" s="61">
        <v>4</v>
      </c>
      <c r="DF267" s="61">
        <v>1786</v>
      </c>
      <c r="DG267" s="61">
        <v>62</v>
      </c>
      <c r="DH267" s="62" t="s">
        <v>2185</v>
      </c>
      <c r="DI267" s="61">
        <v>67</v>
      </c>
      <c r="DJ267" s="61">
        <v>12</v>
      </c>
      <c r="DK267" s="61"/>
      <c r="DL267" s="61"/>
      <c r="DM267" s="61"/>
      <c r="DN267" s="61"/>
    </row>
    <row r="268" spans="1:118" x14ac:dyDescent="0.25">
      <c r="A268" s="61">
        <v>106400480</v>
      </c>
      <c r="B268" s="62" t="s">
        <v>1212</v>
      </c>
      <c r="C268" s="62" t="s">
        <v>1213</v>
      </c>
      <c r="D268" s="62" t="s">
        <v>1208</v>
      </c>
      <c r="E268" s="62" t="s">
        <v>71</v>
      </c>
      <c r="F268" s="62" t="s">
        <v>2213</v>
      </c>
      <c r="G268" s="62" t="s">
        <v>1214</v>
      </c>
      <c r="H268" s="62" t="s">
        <v>1208</v>
      </c>
      <c r="I268" s="62" t="s">
        <v>1215</v>
      </c>
      <c r="J268" s="62" t="s">
        <v>2189</v>
      </c>
      <c r="K268" s="62"/>
      <c r="L268" s="61">
        <v>24</v>
      </c>
      <c r="M268" s="61">
        <v>35</v>
      </c>
      <c r="N268" s="61">
        <v>17</v>
      </c>
      <c r="O268" s="62" t="s">
        <v>1970</v>
      </c>
      <c r="P268" s="62" t="s">
        <v>120</v>
      </c>
      <c r="Q268" s="62" t="s">
        <v>2167</v>
      </c>
      <c r="R268" s="62" t="s">
        <v>2167</v>
      </c>
      <c r="S268" s="62" t="s">
        <v>69</v>
      </c>
      <c r="T268" s="61">
        <v>9262</v>
      </c>
      <c r="U268" s="61">
        <v>7811</v>
      </c>
      <c r="V268" s="61">
        <v>1</v>
      </c>
      <c r="W268" s="61">
        <v>793</v>
      </c>
      <c r="X268" s="61">
        <v>1117</v>
      </c>
      <c r="Y268" s="61">
        <v>2324</v>
      </c>
      <c r="Z268" s="61">
        <v>2030</v>
      </c>
      <c r="AA268" s="61">
        <v>1690</v>
      </c>
      <c r="AB268" s="61">
        <v>2384</v>
      </c>
      <c r="AC268" s="61">
        <v>2461</v>
      </c>
      <c r="AD268" s="61">
        <v>1943</v>
      </c>
      <c r="AE268" s="61">
        <v>2204</v>
      </c>
      <c r="AF268" s="61">
        <v>128</v>
      </c>
      <c r="AG268" s="61"/>
      <c r="AH268" s="61">
        <v>299</v>
      </c>
      <c r="AI268" s="61">
        <v>270</v>
      </c>
      <c r="AJ268" s="61">
        <v>1922</v>
      </c>
      <c r="AK268" s="61">
        <v>41</v>
      </c>
      <c r="AL268" s="61">
        <v>288</v>
      </c>
      <c r="AM268" s="61">
        <v>210</v>
      </c>
      <c r="AN268" s="61">
        <v>14044</v>
      </c>
      <c r="AO268" s="61">
        <v>130</v>
      </c>
      <c r="AP268" s="61">
        <v>51</v>
      </c>
      <c r="AQ268" s="61">
        <v>23</v>
      </c>
      <c r="AR268" s="61">
        <v>42</v>
      </c>
      <c r="AS268" s="61">
        <v>29</v>
      </c>
      <c r="AT268" s="61">
        <v>4</v>
      </c>
      <c r="AU268" s="61"/>
      <c r="AV268" s="61">
        <v>35</v>
      </c>
      <c r="AW268" s="61">
        <v>97</v>
      </c>
      <c r="AX268" s="61">
        <v>3</v>
      </c>
      <c r="AY268" s="61">
        <v>16553</v>
      </c>
      <c r="AZ268" s="61">
        <v>74</v>
      </c>
      <c r="BA268" s="61"/>
      <c r="BB268" s="61"/>
      <c r="BC268" s="61">
        <v>33</v>
      </c>
      <c r="BD268" s="61">
        <v>3565</v>
      </c>
      <c r="BE268" s="61">
        <v>6201</v>
      </c>
      <c r="BF268" s="61">
        <v>735</v>
      </c>
      <c r="BG268" s="61">
        <v>5583</v>
      </c>
      <c r="BH268" s="61">
        <v>838</v>
      </c>
      <c r="BI268" s="61">
        <v>152</v>
      </c>
      <c r="BJ268" s="61">
        <v>17074</v>
      </c>
      <c r="BK268" s="61">
        <v>111</v>
      </c>
      <c r="BL268" s="61">
        <v>16425</v>
      </c>
      <c r="BM268" s="61">
        <v>538</v>
      </c>
      <c r="BN268" s="61">
        <v>1121</v>
      </c>
      <c r="BO268" s="61">
        <v>1213</v>
      </c>
      <c r="BP268" s="61"/>
      <c r="BQ268" s="61">
        <v>10</v>
      </c>
      <c r="BR268" s="61">
        <v>70</v>
      </c>
      <c r="BS268" s="61">
        <v>71</v>
      </c>
      <c r="BT268" s="61">
        <v>116</v>
      </c>
      <c r="BU268" s="61">
        <v>293</v>
      </c>
      <c r="BV268" s="61">
        <v>495</v>
      </c>
      <c r="BW268" s="61">
        <v>526</v>
      </c>
      <c r="BX268" s="61">
        <v>753</v>
      </c>
      <c r="BY268" s="61"/>
      <c r="BZ268" s="61"/>
      <c r="CA268" s="61"/>
      <c r="CB268" s="61">
        <v>35</v>
      </c>
      <c r="CC268" s="61">
        <v>22</v>
      </c>
      <c r="CD268" s="61">
        <v>109</v>
      </c>
      <c r="CE268" s="61">
        <v>33</v>
      </c>
      <c r="CF268" s="61">
        <v>29</v>
      </c>
      <c r="CG268" s="61">
        <v>2102</v>
      </c>
      <c r="CH268" s="61">
        <v>4</v>
      </c>
      <c r="CI268" s="61">
        <v>39</v>
      </c>
      <c r="CJ268" s="61">
        <v>28</v>
      </c>
      <c r="CK268" s="61">
        <v>78</v>
      </c>
      <c r="CL268" s="61">
        <v>398</v>
      </c>
      <c r="CM268" s="61">
        <v>61</v>
      </c>
      <c r="CN268" s="61"/>
      <c r="CO268" s="61">
        <v>41</v>
      </c>
      <c r="CP268" s="61">
        <v>1058</v>
      </c>
      <c r="CQ268" s="61">
        <v>512</v>
      </c>
      <c r="CR268" s="61">
        <v>7</v>
      </c>
      <c r="CS268" s="61">
        <v>103</v>
      </c>
      <c r="CT268" s="61">
        <v>5</v>
      </c>
      <c r="CU268" s="61"/>
      <c r="CV268" s="61"/>
      <c r="CW268" s="61">
        <v>1</v>
      </c>
      <c r="CX268" s="61">
        <v>278</v>
      </c>
      <c r="CY268" s="61">
        <v>1571</v>
      </c>
      <c r="CZ268" s="61">
        <v>70</v>
      </c>
      <c r="DA268" s="61">
        <v>400</v>
      </c>
      <c r="DB268" s="61">
        <v>15</v>
      </c>
      <c r="DC268" s="61"/>
      <c r="DD268" s="61">
        <v>2334</v>
      </c>
      <c r="DE268" s="61">
        <v>17</v>
      </c>
      <c r="DF268" s="61">
        <v>2288</v>
      </c>
      <c r="DG268" s="61">
        <v>29</v>
      </c>
      <c r="DH268" s="62" t="s">
        <v>2185</v>
      </c>
      <c r="DI268" s="61">
        <v>103</v>
      </c>
      <c r="DJ268" s="61">
        <v>14</v>
      </c>
      <c r="DK268" s="61"/>
      <c r="DL268" s="61"/>
      <c r="DM268" s="61"/>
      <c r="DN268" s="61">
        <v>3</v>
      </c>
    </row>
    <row r="269" spans="1:118" x14ac:dyDescent="0.25">
      <c r="A269" s="61">
        <v>106400524</v>
      </c>
      <c r="B269" s="62" t="s">
        <v>1216</v>
      </c>
      <c r="C269" s="62" t="s">
        <v>1217</v>
      </c>
      <c r="D269" s="62" t="s">
        <v>1208</v>
      </c>
      <c r="E269" s="62" t="s">
        <v>184</v>
      </c>
      <c r="F269" s="62" t="s">
        <v>2213</v>
      </c>
      <c r="G269" s="62" t="s">
        <v>1218</v>
      </c>
      <c r="H269" s="62" t="s">
        <v>1208</v>
      </c>
      <c r="I269" s="62" t="s">
        <v>1219</v>
      </c>
      <c r="J269" s="62" t="s">
        <v>2187</v>
      </c>
      <c r="K269" s="62" t="s">
        <v>138</v>
      </c>
      <c r="L269" s="61">
        <v>24</v>
      </c>
      <c r="M269" s="61">
        <v>35</v>
      </c>
      <c r="N269" s="61">
        <v>17</v>
      </c>
      <c r="O269" s="62" t="s">
        <v>1970</v>
      </c>
      <c r="P269" s="62" t="s">
        <v>120</v>
      </c>
      <c r="Q269" s="62" t="s">
        <v>2167</v>
      </c>
      <c r="R269" s="62" t="s">
        <v>2167</v>
      </c>
      <c r="S269" s="62" t="s">
        <v>69</v>
      </c>
      <c r="T269" s="61">
        <v>11580</v>
      </c>
      <c r="U269" s="61">
        <v>10386</v>
      </c>
      <c r="V269" s="61"/>
      <c r="W269" s="61">
        <v>2179</v>
      </c>
      <c r="X269" s="61">
        <v>2785</v>
      </c>
      <c r="Y269" s="61">
        <v>4506</v>
      </c>
      <c r="Z269" s="61">
        <v>2670</v>
      </c>
      <c r="AA269" s="61">
        <v>2122</v>
      </c>
      <c r="AB269" s="61">
        <v>2611</v>
      </c>
      <c r="AC269" s="61">
        <v>2009</v>
      </c>
      <c r="AD269" s="61">
        <v>1222</v>
      </c>
      <c r="AE269" s="61">
        <v>1332</v>
      </c>
      <c r="AF269" s="61">
        <v>530</v>
      </c>
      <c r="AG269" s="61"/>
      <c r="AH269" s="61">
        <v>387</v>
      </c>
      <c r="AI269" s="61">
        <v>403</v>
      </c>
      <c r="AJ269" s="61">
        <v>3006</v>
      </c>
      <c r="AK269" s="61">
        <v>22</v>
      </c>
      <c r="AL269" s="61">
        <v>1602</v>
      </c>
      <c r="AM269" s="61">
        <v>231</v>
      </c>
      <c r="AN269" s="61">
        <v>16315</v>
      </c>
      <c r="AO269" s="61">
        <v>179</v>
      </c>
      <c r="AP269" s="61">
        <v>83</v>
      </c>
      <c r="AQ269" s="61">
        <v>39</v>
      </c>
      <c r="AR269" s="61">
        <v>65</v>
      </c>
      <c r="AS269" s="61">
        <v>16</v>
      </c>
      <c r="AT269" s="61">
        <v>1</v>
      </c>
      <c r="AU269" s="61"/>
      <c r="AV269" s="61"/>
      <c r="AW269" s="61">
        <v>67</v>
      </c>
      <c r="AX269" s="61">
        <v>1</v>
      </c>
      <c r="AY269" s="61">
        <v>21441</v>
      </c>
      <c r="AZ269" s="61">
        <v>73</v>
      </c>
      <c r="BA269" s="61"/>
      <c r="BB269" s="61"/>
      <c r="BC269" s="61"/>
      <c r="BD269" s="61">
        <v>4129</v>
      </c>
      <c r="BE269" s="61">
        <v>4169</v>
      </c>
      <c r="BF269" s="61">
        <v>996</v>
      </c>
      <c r="BG269" s="61">
        <v>10954</v>
      </c>
      <c r="BH269" s="61">
        <v>1718</v>
      </c>
      <c r="BI269" s="61"/>
      <c r="BJ269" s="61">
        <v>21966</v>
      </c>
      <c r="BK269" s="61">
        <v>108</v>
      </c>
      <c r="BL269" s="61">
        <v>21194</v>
      </c>
      <c r="BM269" s="61">
        <v>664</v>
      </c>
      <c r="BN269" s="61">
        <v>1161</v>
      </c>
      <c r="BO269" s="61">
        <v>1265</v>
      </c>
      <c r="BP269" s="61"/>
      <c r="BQ269" s="61">
        <v>107</v>
      </c>
      <c r="BR269" s="61">
        <v>196</v>
      </c>
      <c r="BS269" s="61">
        <v>166</v>
      </c>
      <c r="BT269" s="61">
        <v>191</v>
      </c>
      <c r="BU269" s="61">
        <v>347</v>
      </c>
      <c r="BV269" s="61">
        <v>475</v>
      </c>
      <c r="BW269" s="61">
        <v>318</v>
      </c>
      <c r="BX269" s="61">
        <v>494</v>
      </c>
      <c r="BY269" s="61">
        <v>56</v>
      </c>
      <c r="BZ269" s="61">
        <v>76</v>
      </c>
      <c r="CA269" s="61"/>
      <c r="CB269" s="61">
        <v>51</v>
      </c>
      <c r="CC269" s="61">
        <v>37</v>
      </c>
      <c r="CD269" s="61">
        <v>242</v>
      </c>
      <c r="CE269" s="61">
        <v>92</v>
      </c>
      <c r="CF269" s="61">
        <v>18</v>
      </c>
      <c r="CG269" s="61">
        <v>1980</v>
      </c>
      <c r="CH269" s="61">
        <v>6</v>
      </c>
      <c r="CI269" s="61">
        <v>79</v>
      </c>
      <c r="CJ269" s="61">
        <v>42</v>
      </c>
      <c r="CK269" s="61">
        <v>66</v>
      </c>
      <c r="CL269" s="61">
        <v>286</v>
      </c>
      <c r="CM269" s="61">
        <v>46</v>
      </c>
      <c r="CN269" s="61"/>
      <c r="CO269" s="61">
        <v>25</v>
      </c>
      <c r="CP269" s="61">
        <v>1352</v>
      </c>
      <c r="CQ269" s="61">
        <v>420</v>
      </c>
      <c r="CR269" s="61">
        <v>52</v>
      </c>
      <c r="CS269" s="61">
        <v>43</v>
      </c>
      <c r="CT269" s="61">
        <v>6</v>
      </c>
      <c r="CU269" s="61">
        <v>3</v>
      </c>
      <c r="CV269" s="61"/>
      <c r="CW269" s="61">
        <v>6</v>
      </c>
      <c r="CX269" s="61">
        <v>480</v>
      </c>
      <c r="CY269" s="61">
        <v>1057</v>
      </c>
      <c r="CZ269" s="61">
        <v>301</v>
      </c>
      <c r="DA269" s="61">
        <v>550</v>
      </c>
      <c r="DB269" s="61">
        <v>38</v>
      </c>
      <c r="DC269" s="61"/>
      <c r="DD269" s="61">
        <v>2426</v>
      </c>
      <c r="DE269" s="61">
        <v>10</v>
      </c>
      <c r="DF269" s="61">
        <v>2362</v>
      </c>
      <c r="DG269" s="61">
        <v>54</v>
      </c>
      <c r="DH269" s="62" t="s">
        <v>2185</v>
      </c>
      <c r="DI269" s="61">
        <v>164</v>
      </c>
      <c r="DJ269" s="61">
        <v>11</v>
      </c>
      <c r="DK269" s="61"/>
      <c r="DL269" s="61">
        <v>1</v>
      </c>
      <c r="DM269" s="61"/>
      <c r="DN269" s="61"/>
    </row>
    <row r="270" spans="1:118" x14ac:dyDescent="0.25">
      <c r="A270" s="61">
        <v>106400548</v>
      </c>
      <c r="B270" s="62" t="s">
        <v>1220</v>
      </c>
      <c r="C270" s="62" t="s">
        <v>1221</v>
      </c>
      <c r="D270" s="62" t="s">
        <v>1208</v>
      </c>
      <c r="E270" s="62" t="s">
        <v>184</v>
      </c>
      <c r="F270" s="62" t="s">
        <v>2213</v>
      </c>
      <c r="G270" s="62" t="s">
        <v>1222</v>
      </c>
      <c r="H270" s="62" t="s">
        <v>1223</v>
      </c>
      <c r="I270" s="62" t="s">
        <v>1224</v>
      </c>
      <c r="J270" s="62" t="s">
        <v>2189</v>
      </c>
      <c r="K270" s="62"/>
      <c r="L270" s="61">
        <v>24</v>
      </c>
      <c r="M270" s="61">
        <v>35</v>
      </c>
      <c r="N270" s="61">
        <v>17</v>
      </c>
      <c r="O270" s="62" t="s">
        <v>1971</v>
      </c>
      <c r="P270" s="62" t="s">
        <v>68</v>
      </c>
      <c r="Q270" s="62" t="s">
        <v>120</v>
      </c>
      <c r="R270" s="62" t="s">
        <v>2167</v>
      </c>
      <c r="S270" s="62" t="s">
        <v>69</v>
      </c>
      <c r="T270" s="61">
        <v>18437</v>
      </c>
      <c r="U270" s="61">
        <v>14884</v>
      </c>
      <c r="V270" s="61">
        <v>4</v>
      </c>
      <c r="W270" s="61">
        <v>4043</v>
      </c>
      <c r="X270" s="61">
        <v>3524</v>
      </c>
      <c r="Y270" s="61">
        <v>5207</v>
      </c>
      <c r="Z270" s="61">
        <v>4434</v>
      </c>
      <c r="AA270" s="61">
        <v>3668</v>
      </c>
      <c r="AB270" s="61">
        <v>4032</v>
      </c>
      <c r="AC270" s="61">
        <v>3193</v>
      </c>
      <c r="AD270" s="61">
        <v>2198</v>
      </c>
      <c r="AE270" s="61">
        <v>2357</v>
      </c>
      <c r="AF270" s="61">
        <v>669</v>
      </c>
      <c r="AG270" s="61"/>
      <c r="AH270" s="61">
        <v>253</v>
      </c>
      <c r="AI270" s="61">
        <v>736</v>
      </c>
      <c r="AJ270" s="61">
        <v>6581</v>
      </c>
      <c r="AK270" s="61">
        <v>33</v>
      </c>
      <c r="AL270" s="61">
        <v>587</v>
      </c>
      <c r="AM270" s="61">
        <v>282</v>
      </c>
      <c r="AN270" s="61">
        <v>24853</v>
      </c>
      <c r="AO270" s="61">
        <v>469</v>
      </c>
      <c r="AP270" s="61">
        <v>103</v>
      </c>
      <c r="AQ270" s="61">
        <v>48</v>
      </c>
      <c r="AR270" s="61">
        <v>206</v>
      </c>
      <c r="AS270" s="61">
        <v>16</v>
      </c>
      <c r="AT270" s="61">
        <v>3</v>
      </c>
      <c r="AU270" s="61"/>
      <c r="AV270" s="61"/>
      <c r="AW270" s="61">
        <v>84</v>
      </c>
      <c r="AX270" s="61">
        <v>2</v>
      </c>
      <c r="AY270" s="61">
        <v>32257</v>
      </c>
      <c r="AZ270" s="61">
        <v>118</v>
      </c>
      <c r="BA270" s="61">
        <v>19</v>
      </c>
      <c r="BB270" s="61"/>
      <c r="BC270" s="61"/>
      <c r="BD270" s="61">
        <v>10664</v>
      </c>
      <c r="BE270" s="61">
        <v>7305</v>
      </c>
      <c r="BF270" s="61">
        <v>1550</v>
      </c>
      <c r="BG270" s="61">
        <v>11892</v>
      </c>
      <c r="BH270" s="61">
        <v>1914</v>
      </c>
      <c r="BI270" s="61"/>
      <c r="BJ270" s="61">
        <v>33325</v>
      </c>
      <c r="BK270" s="61">
        <v>134</v>
      </c>
      <c r="BL270" s="61">
        <v>30998</v>
      </c>
      <c r="BM270" s="61">
        <v>2193</v>
      </c>
      <c r="BN270" s="61">
        <v>1582</v>
      </c>
      <c r="BO270" s="61">
        <v>1576</v>
      </c>
      <c r="BP270" s="61"/>
      <c r="BQ270" s="61">
        <v>32</v>
      </c>
      <c r="BR270" s="61">
        <v>134</v>
      </c>
      <c r="BS270" s="61">
        <v>214</v>
      </c>
      <c r="BT270" s="61">
        <v>301</v>
      </c>
      <c r="BU270" s="61">
        <v>475</v>
      </c>
      <c r="BV270" s="61">
        <v>578</v>
      </c>
      <c r="BW270" s="61">
        <v>534</v>
      </c>
      <c r="BX270" s="61">
        <v>885</v>
      </c>
      <c r="BY270" s="61"/>
      <c r="BZ270" s="61">
        <v>5</v>
      </c>
      <c r="CA270" s="61"/>
      <c r="CB270" s="61">
        <v>33</v>
      </c>
      <c r="CC270" s="61">
        <v>91</v>
      </c>
      <c r="CD270" s="61">
        <v>330</v>
      </c>
      <c r="CE270" s="61">
        <v>32</v>
      </c>
      <c r="CF270" s="61">
        <v>30</v>
      </c>
      <c r="CG270" s="61">
        <v>2640</v>
      </c>
      <c r="CH270" s="61">
        <v>2</v>
      </c>
      <c r="CI270" s="61">
        <v>98</v>
      </c>
      <c r="CJ270" s="61">
        <v>32</v>
      </c>
      <c r="CK270" s="61">
        <v>107</v>
      </c>
      <c r="CL270" s="61">
        <v>764</v>
      </c>
      <c r="CM270" s="61">
        <v>20</v>
      </c>
      <c r="CN270" s="61"/>
      <c r="CO270" s="61">
        <v>14</v>
      </c>
      <c r="CP270" s="61">
        <v>1358</v>
      </c>
      <c r="CQ270" s="61">
        <v>538</v>
      </c>
      <c r="CR270" s="61">
        <v>117</v>
      </c>
      <c r="CS270" s="61">
        <v>67</v>
      </c>
      <c r="CT270" s="61">
        <v>40</v>
      </c>
      <c r="CU270" s="61"/>
      <c r="CV270" s="61"/>
      <c r="CW270" s="61">
        <v>3</v>
      </c>
      <c r="CX270" s="61">
        <v>542</v>
      </c>
      <c r="CY270" s="61">
        <v>1806</v>
      </c>
      <c r="CZ270" s="61">
        <v>280</v>
      </c>
      <c r="DA270" s="61">
        <v>481</v>
      </c>
      <c r="DB270" s="61">
        <v>49</v>
      </c>
      <c r="DC270" s="61"/>
      <c r="DD270" s="61">
        <v>3158</v>
      </c>
      <c r="DE270" s="61">
        <v>14</v>
      </c>
      <c r="DF270" s="61">
        <v>3042</v>
      </c>
      <c r="DG270" s="61">
        <v>102</v>
      </c>
      <c r="DH270" s="62" t="s">
        <v>2185</v>
      </c>
      <c r="DI270" s="61">
        <v>122</v>
      </c>
      <c r="DJ270" s="61">
        <v>23</v>
      </c>
      <c r="DK270" s="61"/>
      <c r="DL270" s="61"/>
      <c r="DM270" s="61"/>
      <c r="DN270" s="61"/>
    </row>
    <row r="271" spans="1:118" x14ac:dyDescent="0.25">
      <c r="A271" s="61">
        <v>106410782</v>
      </c>
      <c r="B271" s="62" t="s">
        <v>1225</v>
      </c>
      <c r="C271" s="62" t="s">
        <v>1226</v>
      </c>
      <c r="D271" s="62" t="s">
        <v>1227</v>
      </c>
      <c r="E271" s="62" t="s">
        <v>100</v>
      </c>
      <c r="F271" s="62" t="s">
        <v>2213</v>
      </c>
      <c r="G271" s="62" t="s">
        <v>1228</v>
      </c>
      <c r="H271" s="62" t="s">
        <v>1227</v>
      </c>
      <c r="I271" s="62" t="s">
        <v>1229</v>
      </c>
      <c r="J271" s="62" t="s">
        <v>2191</v>
      </c>
      <c r="K271" s="62"/>
      <c r="L271" s="61">
        <v>14</v>
      </c>
      <c r="M271" s="61">
        <v>22</v>
      </c>
      <c r="N271" s="61">
        <v>13</v>
      </c>
      <c r="O271" s="62" t="s">
        <v>1972</v>
      </c>
      <c r="P271" s="62" t="s">
        <v>68</v>
      </c>
      <c r="Q271" s="62" t="s">
        <v>2167</v>
      </c>
      <c r="R271" s="62" t="s">
        <v>2167</v>
      </c>
      <c r="S271" s="62" t="s">
        <v>69</v>
      </c>
      <c r="T271" s="61">
        <v>18896</v>
      </c>
      <c r="U271" s="61">
        <v>19128</v>
      </c>
      <c r="V271" s="61"/>
      <c r="W271" s="61">
        <v>2361</v>
      </c>
      <c r="X271" s="61">
        <v>2656</v>
      </c>
      <c r="Y271" s="61">
        <v>6754</v>
      </c>
      <c r="Z271" s="61">
        <v>7624</v>
      </c>
      <c r="AA271" s="61">
        <v>6553</v>
      </c>
      <c r="AB271" s="61">
        <v>6235</v>
      </c>
      <c r="AC271" s="61">
        <v>3576</v>
      </c>
      <c r="AD271" s="61">
        <v>1274</v>
      </c>
      <c r="AE271" s="61">
        <v>555</v>
      </c>
      <c r="AF271" s="61">
        <v>436</v>
      </c>
      <c r="AG271" s="61"/>
      <c r="AH271" s="61">
        <v>1578</v>
      </c>
      <c r="AI271" s="61">
        <v>609</v>
      </c>
      <c r="AJ271" s="61">
        <v>24824</v>
      </c>
      <c r="AK271" s="61">
        <v>192</v>
      </c>
      <c r="AL271" s="61">
        <v>2863</v>
      </c>
      <c r="AM271" s="61">
        <v>89</v>
      </c>
      <c r="AN271" s="61">
        <v>7869</v>
      </c>
      <c r="AO271" s="61">
        <v>477</v>
      </c>
      <c r="AP271" s="61">
        <v>142</v>
      </c>
      <c r="AQ271" s="61">
        <v>20</v>
      </c>
      <c r="AR271" s="61">
        <v>1</v>
      </c>
      <c r="AS271" s="61">
        <v>1</v>
      </c>
      <c r="AT271" s="61">
        <v>3</v>
      </c>
      <c r="AU271" s="61"/>
      <c r="AV271" s="61">
        <v>462</v>
      </c>
      <c r="AW271" s="61">
        <v>804</v>
      </c>
      <c r="AX271" s="61"/>
      <c r="AY271" s="61">
        <v>35718</v>
      </c>
      <c r="AZ271" s="61">
        <v>25</v>
      </c>
      <c r="BA271" s="61"/>
      <c r="BB271" s="61">
        <v>53</v>
      </c>
      <c r="BC271" s="61">
        <v>223</v>
      </c>
      <c r="BD271" s="61">
        <v>28019</v>
      </c>
      <c r="BE271" s="61">
        <v>3432</v>
      </c>
      <c r="BF271" s="61">
        <v>2447</v>
      </c>
      <c r="BG271" s="61">
        <v>1676</v>
      </c>
      <c r="BH271" s="61">
        <v>2450</v>
      </c>
      <c r="BI271" s="61"/>
      <c r="BJ271" s="61">
        <v>38024</v>
      </c>
      <c r="BK271" s="61">
        <v>1116</v>
      </c>
      <c r="BL271" s="61">
        <v>19838</v>
      </c>
      <c r="BM271" s="61">
        <v>17070</v>
      </c>
      <c r="BN271" s="61">
        <v>1316</v>
      </c>
      <c r="BO271" s="61">
        <v>1707</v>
      </c>
      <c r="BP271" s="61"/>
      <c r="BQ271" s="61">
        <v>65</v>
      </c>
      <c r="BR271" s="61">
        <v>326</v>
      </c>
      <c r="BS271" s="61">
        <v>410</v>
      </c>
      <c r="BT271" s="61">
        <v>452</v>
      </c>
      <c r="BU271" s="61">
        <v>683</v>
      </c>
      <c r="BV271" s="61">
        <v>533</v>
      </c>
      <c r="BW271" s="61">
        <v>312</v>
      </c>
      <c r="BX271" s="61">
        <v>226</v>
      </c>
      <c r="BY271" s="61">
        <v>2</v>
      </c>
      <c r="BZ271" s="61">
        <v>14</v>
      </c>
      <c r="CA271" s="61"/>
      <c r="CB271" s="61">
        <v>184</v>
      </c>
      <c r="CC271" s="61">
        <v>78</v>
      </c>
      <c r="CD271" s="61">
        <v>2110</v>
      </c>
      <c r="CE271" s="61">
        <v>108</v>
      </c>
      <c r="CF271" s="61">
        <v>6</v>
      </c>
      <c r="CG271" s="61">
        <v>527</v>
      </c>
      <c r="CH271" s="61">
        <v>10</v>
      </c>
      <c r="CI271" s="61">
        <v>116</v>
      </c>
      <c r="CJ271" s="61">
        <v>62</v>
      </c>
      <c r="CK271" s="61">
        <v>55</v>
      </c>
      <c r="CL271" s="61">
        <v>45</v>
      </c>
      <c r="CM271" s="61">
        <v>2</v>
      </c>
      <c r="CN271" s="61"/>
      <c r="CO271" s="61">
        <v>1</v>
      </c>
      <c r="CP271" s="61">
        <v>2391</v>
      </c>
      <c r="CQ271" s="61">
        <v>232</v>
      </c>
      <c r="CR271" s="61">
        <v>48</v>
      </c>
      <c r="CS271" s="61">
        <v>20</v>
      </c>
      <c r="CT271" s="61">
        <v>38</v>
      </c>
      <c r="CU271" s="61">
        <v>1</v>
      </c>
      <c r="CV271" s="61">
        <v>3</v>
      </c>
      <c r="CW271" s="61">
        <v>1</v>
      </c>
      <c r="CX271" s="61">
        <v>1884</v>
      </c>
      <c r="CY271" s="61">
        <v>806</v>
      </c>
      <c r="CZ271" s="61">
        <v>54</v>
      </c>
      <c r="DA271" s="61">
        <v>108</v>
      </c>
      <c r="DB271" s="61">
        <v>171</v>
      </c>
      <c r="DC271" s="61"/>
      <c r="DD271" s="61">
        <v>3023</v>
      </c>
      <c r="DE271" s="61">
        <v>163</v>
      </c>
      <c r="DF271" s="61">
        <v>1966</v>
      </c>
      <c r="DG271" s="61">
        <v>894</v>
      </c>
      <c r="DH271" s="62" t="s">
        <v>2185</v>
      </c>
      <c r="DI271" s="61">
        <v>509</v>
      </c>
      <c r="DJ271" s="61">
        <v>15</v>
      </c>
      <c r="DK271" s="61"/>
      <c r="DL271" s="61">
        <v>95</v>
      </c>
      <c r="DM271" s="61"/>
      <c r="DN271" s="61">
        <v>8</v>
      </c>
    </row>
    <row r="272" spans="1:118" x14ac:dyDescent="0.25">
      <c r="A272" s="61">
        <v>106410806</v>
      </c>
      <c r="B272" s="62" t="s">
        <v>1232</v>
      </c>
      <c r="C272" s="62" t="s">
        <v>2101</v>
      </c>
      <c r="D272" s="62" t="s">
        <v>1227</v>
      </c>
      <c r="E272" s="62" t="s">
        <v>71</v>
      </c>
      <c r="F272" s="62" t="s">
        <v>2213</v>
      </c>
      <c r="G272" s="62" t="s">
        <v>1233</v>
      </c>
      <c r="H272" s="62" t="s">
        <v>1234</v>
      </c>
      <c r="I272" s="62" t="s">
        <v>1235</v>
      </c>
      <c r="J272" s="62" t="s">
        <v>2189</v>
      </c>
      <c r="K272" s="62"/>
      <c r="L272" s="61">
        <v>14</v>
      </c>
      <c r="M272" s="61">
        <v>19</v>
      </c>
      <c r="N272" s="61">
        <v>13</v>
      </c>
      <c r="O272" s="62" t="s">
        <v>1974</v>
      </c>
      <c r="P272" s="62" t="s">
        <v>68</v>
      </c>
      <c r="Q272" s="62" t="s">
        <v>2167</v>
      </c>
      <c r="R272" s="62" t="s">
        <v>2167</v>
      </c>
      <c r="S272" s="62" t="s">
        <v>69</v>
      </c>
      <c r="T272" s="61">
        <v>17663</v>
      </c>
      <c r="U272" s="61">
        <v>16875</v>
      </c>
      <c r="V272" s="61"/>
      <c r="W272" s="61">
        <v>3200</v>
      </c>
      <c r="X272" s="61">
        <v>2797</v>
      </c>
      <c r="Y272" s="61">
        <v>4482</v>
      </c>
      <c r="Z272" s="61">
        <v>4085</v>
      </c>
      <c r="AA272" s="61">
        <v>3848</v>
      </c>
      <c r="AB272" s="61">
        <v>4578</v>
      </c>
      <c r="AC272" s="61">
        <v>3996</v>
      </c>
      <c r="AD272" s="61">
        <v>3316</v>
      </c>
      <c r="AE272" s="61">
        <v>3779</v>
      </c>
      <c r="AF272" s="61">
        <v>457</v>
      </c>
      <c r="AG272" s="61"/>
      <c r="AH272" s="61">
        <v>10069</v>
      </c>
      <c r="AI272" s="61">
        <v>2338</v>
      </c>
      <c r="AJ272" s="61">
        <v>9359</v>
      </c>
      <c r="AK272" s="61">
        <v>86</v>
      </c>
      <c r="AL272" s="61">
        <v>1062</v>
      </c>
      <c r="AM272" s="61">
        <v>498</v>
      </c>
      <c r="AN272" s="61">
        <v>11126</v>
      </c>
      <c r="AO272" s="61">
        <v>279</v>
      </c>
      <c r="AP272" s="61">
        <v>196</v>
      </c>
      <c r="AQ272" s="61">
        <v>27</v>
      </c>
      <c r="AR272" s="61">
        <v>369</v>
      </c>
      <c r="AS272" s="61">
        <v>57</v>
      </c>
      <c r="AT272" s="61">
        <v>8</v>
      </c>
      <c r="AU272" s="61"/>
      <c r="AV272" s="61">
        <v>66</v>
      </c>
      <c r="AW272" s="61">
        <v>152</v>
      </c>
      <c r="AX272" s="61"/>
      <c r="AY272" s="61">
        <v>33114</v>
      </c>
      <c r="AZ272" s="61">
        <v>156</v>
      </c>
      <c r="BA272" s="61">
        <v>3</v>
      </c>
      <c r="BB272" s="61"/>
      <c r="BC272" s="61">
        <v>111</v>
      </c>
      <c r="BD272" s="61">
        <v>2425</v>
      </c>
      <c r="BE272" s="61">
        <v>8504</v>
      </c>
      <c r="BF272" s="61">
        <v>878</v>
      </c>
      <c r="BG272" s="61">
        <v>19468</v>
      </c>
      <c r="BH272" s="61">
        <v>3263</v>
      </c>
      <c r="BI272" s="61"/>
      <c r="BJ272" s="61">
        <v>34538</v>
      </c>
      <c r="BK272" s="61">
        <v>1248</v>
      </c>
      <c r="BL272" s="61">
        <v>30428</v>
      </c>
      <c r="BM272" s="61">
        <v>2862</v>
      </c>
      <c r="BN272" s="61">
        <v>1922</v>
      </c>
      <c r="BO272" s="61">
        <v>2002</v>
      </c>
      <c r="BP272" s="61"/>
      <c r="BQ272" s="61">
        <v>12</v>
      </c>
      <c r="BR272" s="61">
        <v>118</v>
      </c>
      <c r="BS272" s="61">
        <v>159</v>
      </c>
      <c r="BT272" s="61">
        <v>215</v>
      </c>
      <c r="BU272" s="61">
        <v>438</v>
      </c>
      <c r="BV272" s="61">
        <v>783</v>
      </c>
      <c r="BW272" s="61">
        <v>931</v>
      </c>
      <c r="BX272" s="61">
        <v>1268</v>
      </c>
      <c r="BY272" s="61"/>
      <c r="BZ272" s="61"/>
      <c r="CA272" s="61"/>
      <c r="CB272" s="61">
        <v>1180</v>
      </c>
      <c r="CC272" s="61">
        <v>281</v>
      </c>
      <c r="CD272" s="61">
        <v>608</v>
      </c>
      <c r="CE272" s="61">
        <v>22</v>
      </c>
      <c r="CF272" s="61">
        <v>6</v>
      </c>
      <c r="CG272" s="61">
        <v>1815</v>
      </c>
      <c r="CH272" s="61">
        <v>12</v>
      </c>
      <c r="CI272" s="61">
        <v>230</v>
      </c>
      <c r="CJ272" s="61">
        <v>22</v>
      </c>
      <c r="CK272" s="61">
        <v>144</v>
      </c>
      <c r="CL272" s="61">
        <v>904</v>
      </c>
      <c r="CM272" s="61">
        <v>23</v>
      </c>
      <c r="CN272" s="61"/>
      <c r="CO272" s="61">
        <v>1</v>
      </c>
      <c r="CP272" s="61">
        <v>2007</v>
      </c>
      <c r="CQ272" s="61">
        <v>411</v>
      </c>
      <c r="CR272" s="61">
        <v>1</v>
      </c>
      <c r="CS272" s="61">
        <v>166</v>
      </c>
      <c r="CT272" s="61">
        <v>2</v>
      </c>
      <c r="CU272" s="61"/>
      <c r="CV272" s="61"/>
      <c r="CW272" s="61">
        <v>13</v>
      </c>
      <c r="CX272" s="61">
        <v>94</v>
      </c>
      <c r="CY272" s="61">
        <v>2650</v>
      </c>
      <c r="CZ272" s="61">
        <v>9</v>
      </c>
      <c r="DA272" s="61">
        <v>1116</v>
      </c>
      <c r="DB272" s="61">
        <v>55</v>
      </c>
      <c r="DC272" s="61"/>
      <c r="DD272" s="61">
        <v>3924</v>
      </c>
      <c r="DE272" s="61">
        <v>173</v>
      </c>
      <c r="DF272" s="61">
        <v>3532</v>
      </c>
      <c r="DG272" s="61">
        <v>219</v>
      </c>
      <c r="DH272" s="62" t="s">
        <v>2185</v>
      </c>
      <c r="DI272" s="61">
        <v>120</v>
      </c>
      <c r="DJ272" s="61">
        <v>19</v>
      </c>
      <c r="DK272" s="61"/>
      <c r="DL272" s="61"/>
      <c r="DM272" s="61"/>
      <c r="DN272" s="61"/>
    </row>
    <row r="273" spans="1:118" x14ac:dyDescent="0.25">
      <c r="A273" s="61">
        <v>106410817</v>
      </c>
      <c r="B273" s="62" t="s">
        <v>1236</v>
      </c>
      <c r="C273" s="62" t="s">
        <v>1237</v>
      </c>
      <c r="D273" s="62" t="s">
        <v>1227</v>
      </c>
      <c r="E273" s="62" t="s">
        <v>71</v>
      </c>
      <c r="F273" s="62" t="s">
        <v>2213</v>
      </c>
      <c r="G273" s="62" t="s">
        <v>1238</v>
      </c>
      <c r="H273" s="62" t="s">
        <v>1239</v>
      </c>
      <c r="I273" s="62" t="s">
        <v>1240</v>
      </c>
      <c r="J273" s="62" t="s">
        <v>2186</v>
      </c>
      <c r="K273" s="62"/>
      <c r="L273" s="61">
        <v>14</v>
      </c>
      <c r="M273" s="61">
        <v>19</v>
      </c>
      <c r="N273" s="61">
        <v>11</v>
      </c>
      <c r="O273" s="62" t="s">
        <v>1975</v>
      </c>
      <c r="P273" s="62" t="s">
        <v>68</v>
      </c>
      <c r="Q273" s="62" t="s">
        <v>2167</v>
      </c>
      <c r="R273" s="62" t="s">
        <v>2167</v>
      </c>
      <c r="S273" s="62" t="s">
        <v>69</v>
      </c>
      <c r="T273" s="61">
        <v>13386</v>
      </c>
      <c r="U273" s="61">
        <v>10887</v>
      </c>
      <c r="V273" s="61"/>
      <c r="W273" s="61">
        <v>2402</v>
      </c>
      <c r="X273" s="61">
        <v>2185</v>
      </c>
      <c r="Y273" s="61">
        <v>4096</v>
      </c>
      <c r="Z273" s="61">
        <v>3459</v>
      </c>
      <c r="AA273" s="61">
        <v>3003</v>
      </c>
      <c r="AB273" s="61">
        <v>2951</v>
      </c>
      <c r="AC273" s="61">
        <v>2306</v>
      </c>
      <c r="AD273" s="61">
        <v>1642</v>
      </c>
      <c r="AE273" s="61">
        <v>1877</v>
      </c>
      <c r="AF273" s="61">
        <v>352</v>
      </c>
      <c r="AG273" s="61"/>
      <c r="AH273" s="61">
        <v>891</v>
      </c>
      <c r="AI273" s="61">
        <v>193</v>
      </c>
      <c r="AJ273" s="61">
        <v>16097</v>
      </c>
      <c r="AK273" s="61">
        <v>16</v>
      </c>
      <c r="AL273" s="61">
        <v>595</v>
      </c>
      <c r="AM273" s="61">
        <v>2175</v>
      </c>
      <c r="AN273" s="61">
        <v>4306</v>
      </c>
      <c r="AO273" s="61">
        <v>253</v>
      </c>
      <c r="AP273" s="61">
        <v>772</v>
      </c>
      <c r="AQ273" s="61">
        <v>56</v>
      </c>
      <c r="AR273" s="61">
        <v>3</v>
      </c>
      <c r="AS273" s="61">
        <v>5</v>
      </c>
      <c r="AT273" s="61">
        <v>1</v>
      </c>
      <c r="AU273" s="61"/>
      <c r="AV273" s="61">
        <v>11</v>
      </c>
      <c r="AW273" s="61">
        <v>23</v>
      </c>
      <c r="AX273" s="61"/>
      <c r="AY273" s="61">
        <v>22992</v>
      </c>
      <c r="AZ273" s="61">
        <v>141</v>
      </c>
      <c r="BA273" s="61"/>
      <c r="BB273" s="61"/>
      <c r="BC273" s="61"/>
      <c r="BD273" s="61">
        <v>10479</v>
      </c>
      <c r="BE273" s="61">
        <v>5117</v>
      </c>
      <c r="BF273" s="61">
        <v>668</v>
      </c>
      <c r="BG273" s="61">
        <v>6211</v>
      </c>
      <c r="BH273" s="61">
        <v>1654</v>
      </c>
      <c r="BI273" s="61">
        <v>144</v>
      </c>
      <c r="BJ273" s="61">
        <v>24273</v>
      </c>
      <c r="BK273" s="61">
        <v>3530</v>
      </c>
      <c r="BL273" s="61">
        <v>18545</v>
      </c>
      <c r="BM273" s="61">
        <v>2198</v>
      </c>
      <c r="BN273" s="61">
        <v>2587</v>
      </c>
      <c r="BO273" s="61">
        <v>2189</v>
      </c>
      <c r="BP273" s="61"/>
      <c r="BQ273" s="61">
        <v>18</v>
      </c>
      <c r="BR273" s="61">
        <v>130</v>
      </c>
      <c r="BS273" s="61">
        <v>185</v>
      </c>
      <c r="BT273" s="61">
        <v>303</v>
      </c>
      <c r="BU273" s="61">
        <v>568</v>
      </c>
      <c r="BV273" s="61">
        <v>780</v>
      </c>
      <c r="BW273" s="61">
        <v>1052</v>
      </c>
      <c r="BX273" s="61">
        <v>1740</v>
      </c>
      <c r="BY273" s="61"/>
      <c r="BZ273" s="61"/>
      <c r="CA273" s="61"/>
      <c r="CB273" s="61">
        <v>2078</v>
      </c>
      <c r="CC273" s="61">
        <v>257</v>
      </c>
      <c r="CD273" s="61">
        <v>685</v>
      </c>
      <c r="CE273" s="61">
        <v>46</v>
      </c>
      <c r="CF273" s="61">
        <v>17</v>
      </c>
      <c r="CG273" s="61">
        <v>1685</v>
      </c>
      <c r="CH273" s="61">
        <v>8</v>
      </c>
      <c r="CI273" s="61">
        <v>102</v>
      </c>
      <c r="CJ273" s="61">
        <v>74</v>
      </c>
      <c r="CK273" s="61">
        <v>221</v>
      </c>
      <c r="CL273" s="61">
        <v>708</v>
      </c>
      <c r="CM273" s="61">
        <v>4</v>
      </c>
      <c r="CN273" s="61"/>
      <c r="CO273" s="61">
        <v>7</v>
      </c>
      <c r="CP273" s="61">
        <v>2526</v>
      </c>
      <c r="CQ273" s="61">
        <v>1055</v>
      </c>
      <c r="CR273" s="61">
        <v>1</v>
      </c>
      <c r="CS273" s="61">
        <v>50</v>
      </c>
      <c r="CT273" s="61"/>
      <c r="CU273" s="61"/>
      <c r="CV273" s="61"/>
      <c r="CW273" s="61"/>
      <c r="CX273" s="61">
        <v>697</v>
      </c>
      <c r="CY273" s="61">
        <v>3456</v>
      </c>
      <c r="CZ273" s="61">
        <v>213</v>
      </c>
      <c r="DA273" s="61">
        <v>370</v>
      </c>
      <c r="DB273" s="61">
        <v>40</v>
      </c>
      <c r="DC273" s="61"/>
      <c r="DD273" s="61">
        <v>4776</v>
      </c>
      <c r="DE273" s="61">
        <v>1505</v>
      </c>
      <c r="DF273" s="61">
        <v>2908</v>
      </c>
      <c r="DG273" s="61">
        <v>363</v>
      </c>
      <c r="DH273" s="62" t="s">
        <v>2185</v>
      </c>
      <c r="DI273" s="61">
        <v>357</v>
      </c>
      <c r="DJ273" s="61">
        <v>18</v>
      </c>
      <c r="DK273" s="61"/>
      <c r="DL273" s="61">
        <v>16</v>
      </c>
      <c r="DM273" s="61">
        <v>1</v>
      </c>
      <c r="DN273" s="61">
        <v>27</v>
      </c>
    </row>
    <row r="274" spans="1:118" x14ac:dyDescent="0.25">
      <c r="A274" s="61">
        <v>106410828</v>
      </c>
      <c r="B274" s="62" t="s">
        <v>1241</v>
      </c>
      <c r="C274" s="62" t="s">
        <v>1242</v>
      </c>
      <c r="D274" s="62" t="s">
        <v>1227</v>
      </c>
      <c r="E274" s="62" t="s">
        <v>71</v>
      </c>
      <c r="F274" s="62" t="s">
        <v>2213</v>
      </c>
      <c r="G274" s="62" t="s">
        <v>1243</v>
      </c>
      <c r="H274" s="62" t="s">
        <v>1244</v>
      </c>
      <c r="I274" s="62" t="s">
        <v>1245</v>
      </c>
      <c r="J274" s="62" t="s">
        <v>2189</v>
      </c>
      <c r="K274" s="62"/>
      <c r="L274" s="61">
        <v>14</v>
      </c>
      <c r="M274" s="61">
        <v>22</v>
      </c>
      <c r="N274" s="61">
        <v>13</v>
      </c>
      <c r="O274" s="62" t="s">
        <v>1976</v>
      </c>
      <c r="P274" s="62" t="s">
        <v>120</v>
      </c>
      <c r="Q274" s="62" t="s">
        <v>2167</v>
      </c>
      <c r="R274" s="62" t="s">
        <v>2167</v>
      </c>
      <c r="S274" s="62" t="s">
        <v>127</v>
      </c>
      <c r="T274" s="61">
        <v>1716</v>
      </c>
      <c r="U274" s="61">
        <v>1552</v>
      </c>
      <c r="V274" s="61"/>
      <c r="W274" s="61">
        <v>507</v>
      </c>
      <c r="X274" s="61">
        <v>411</v>
      </c>
      <c r="Y274" s="61">
        <v>426</v>
      </c>
      <c r="Z274" s="61">
        <v>402</v>
      </c>
      <c r="AA274" s="61">
        <v>370</v>
      </c>
      <c r="AB274" s="61">
        <v>468</v>
      </c>
      <c r="AC274" s="61">
        <v>347</v>
      </c>
      <c r="AD274" s="61">
        <v>167</v>
      </c>
      <c r="AE274" s="61">
        <v>113</v>
      </c>
      <c r="AF274" s="61">
        <v>57</v>
      </c>
      <c r="AG274" s="61"/>
      <c r="AH274" s="61">
        <v>5</v>
      </c>
      <c r="AI274" s="61"/>
      <c r="AJ274" s="61">
        <v>2175</v>
      </c>
      <c r="AK274" s="61"/>
      <c r="AL274" s="61">
        <v>17</v>
      </c>
      <c r="AM274" s="61">
        <v>326</v>
      </c>
      <c r="AN274" s="61">
        <v>745</v>
      </c>
      <c r="AO274" s="61">
        <v>187</v>
      </c>
      <c r="AP274" s="61">
        <v>48</v>
      </c>
      <c r="AQ274" s="61">
        <v>1</v>
      </c>
      <c r="AR274" s="61"/>
      <c r="AS274" s="61"/>
      <c r="AT274" s="61"/>
      <c r="AU274" s="61"/>
      <c r="AV274" s="61"/>
      <c r="AW274" s="61"/>
      <c r="AX274" s="61"/>
      <c r="AY274" s="61">
        <v>3001</v>
      </c>
      <c r="AZ274" s="61">
        <v>31</v>
      </c>
      <c r="BA274" s="61"/>
      <c r="BB274" s="61"/>
      <c r="BC274" s="61"/>
      <c r="BD274" s="61">
        <v>1451</v>
      </c>
      <c r="BE274" s="61">
        <v>492</v>
      </c>
      <c r="BF274" s="61">
        <v>119</v>
      </c>
      <c r="BG274" s="61">
        <v>969</v>
      </c>
      <c r="BH274" s="61">
        <v>234</v>
      </c>
      <c r="BI274" s="61">
        <v>3</v>
      </c>
      <c r="BJ274" s="61">
        <v>3268</v>
      </c>
      <c r="BK274" s="61">
        <v>64</v>
      </c>
      <c r="BL274" s="61">
        <v>2361</v>
      </c>
      <c r="BM274" s="61">
        <v>843</v>
      </c>
      <c r="BN274" s="61">
        <v>1</v>
      </c>
      <c r="BO274" s="61">
        <v>1</v>
      </c>
      <c r="BP274" s="61"/>
      <c r="BQ274" s="61"/>
      <c r="BR274" s="61"/>
      <c r="BS274" s="61"/>
      <c r="BT274" s="61">
        <v>1</v>
      </c>
      <c r="BU274" s="61"/>
      <c r="BV274" s="61">
        <v>1</v>
      </c>
      <c r="BW274" s="61"/>
      <c r="BX274" s="61"/>
      <c r="BY274" s="61"/>
      <c r="BZ274" s="61"/>
      <c r="CA274" s="61"/>
      <c r="CB274" s="61"/>
      <c r="CC274" s="61"/>
      <c r="CD274" s="61"/>
      <c r="CE274" s="61"/>
      <c r="CF274" s="61"/>
      <c r="CG274" s="61">
        <v>2</v>
      </c>
      <c r="CH274" s="61"/>
      <c r="CI274" s="61"/>
      <c r="CJ274" s="61"/>
      <c r="CK274" s="61">
        <v>2</v>
      </c>
      <c r="CL274" s="61"/>
      <c r="CM274" s="61"/>
      <c r="CN274" s="61"/>
      <c r="CO274" s="61"/>
      <c r="CP274" s="61"/>
      <c r="CQ274" s="61"/>
      <c r="CR274" s="61"/>
      <c r="CS274" s="61"/>
      <c r="CT274" s="61"/>
      <c r="CU274" s="61"/>
      <c r="CV274" s="61"/>
      <c r="CW274" s="61"/>
      <c r="CX274" s="61">
        <v>1</v>
      </c>
      <c r="CY274" s="61">
        <v>1</v>
      </c>
      <c r="CZ274" s="61"/>
      <c r="DA274" s="61"/>
      <c r="DB274" s="61"/>
      <c r="DC274" s="61"/>
      <c r="DD274" s="61">
        <v>2</v>
      </c>
      <c r="DE274" s="61">
        <v>1</v>
      </c>
      <c r="DF274" s="61">
        <v>1</v>
      </c>
      <c r="DG274" s="61"/>
      <c r="DH274" s="62" t="s">
        <v>2185</v>
      </c>
      <c r="DI274" s="61">
        <v>121</v>
      </c>
      <c r="DJ274" s="61">
        <v>7</v>
      </c>
      <c r="DK274" s="61"/>
      <c r="DL274" s="61"/>
      <c r="DM274" s="61"/>
      <c r="DN274" s="61"/>
    </row>
    <row r="275" spans="1:118" x14ac:dyDescent="0.25">
      <c r="A275" s="61">
        <v>106410852</v>
      </c>
      <c r="B275" s="62" t="s">
        <v>1246</v>
      </c>
      <c r="C275" s="62" t="s">
        <v>1247</v>
      </c>
      <c r="D275" s="62" t="s">
        <v>1227</v>
      </c>
      <c r="E275" s="62" t="s">
        <v>71</v>
      </c>
      <c r="F275" s="62" t="s">
        <v>2213</v>
      </c>
      <c r="G275" s="62" t="s">
        <v>1248</v>
      </c>
      <c r="H275" s="62" t="s">
        <v>1249</v>
      </c>
      <c r="I275" s="62" t="s">
        <v>1250</v>
      </c>
      <c r="J275" s="62" t="s">
        <v>2184</v>
      </c>
      <c r="K275" s="62"/>
      <c r="L275" s="61">
        <v>14</v>
      </c>
      <c r="M275" s="61">
        <v>22</v>
      </c>
      <c r="N275" s="61">
        <v>13</v>
      </c>
      <c r="O275" s="62" t="s">
        <v>1972</v>
      </c>
      <c r="P275" s="62" t="s">
        <v>68</v>
      </c>
      <c r="Q275" s="62" t="s">
        <v>2167</v>
      </c>
      <c r="R275" s="62" t="s">
        <v>2167</v>
      </c>
      <c r="S275" s="62" t="s">
        <v>69</v>
      </c>
      <c r="T275" s="61">
        <v>22225</v>
      </c>
      <c r="U275" s="61">
        <v>18965</v>
      </c>
      <c r="V275" s="61">
        <v>1</v>
      </c>
      <c r="W275" s="61">
        <v>4701</v>
      </c>
      <c r="X275" s="61">
        <v>3577</v>
      </c>
      <c r="Y275" s="61">
        <v>5301</v>
      </c>
      <c r="Z275" s="61">
        <v>5523</v>
      </c>
      <c r="AA275" s="61">
        <v>4963</v>
      </c>
      <c r="AB275" s="61">
        <v>5209</v>
      </c>
      <c r="AC275" s="61">
        <v>3789</v>
      </c>
      <c r="AD275" s="61">
        <v>3153</v>
      </c>
      <c r="AE275" s="61">
        <v>4115</v>
      </c>
      <c r="AF275" s="61">
        <v>860</v>
      </c>
      <c r="AG275" s="61"/>
      <c r="AH275" s="61">
        <v>6662</v>
      </c>
      <c r="AI275" s="61">
        <v>1790</v>
      </c>
      <c r="AJ275" s="61">
        <v>10625</v>
      </c>
      <c r="AK275" s="61">
        <v>45</v>
      </c>
      <c r="AL275" s="61">
        <v>1771</v>
      </c>
      <c r="AM275" s="61">
        <v>403</v>
      </c>
      <c r="AN275" s="61">
        <v>19895</v>
      </c>
      <c r="AO275" s="61">
        <v>218</v>
      </c>
      <c r="AP275" s="61">
        <v>192</v>
      </c>
      <c r="AQ275" s="61">
        <v>55</v>
      </c>
      <c r="AR275" s="61">
        <v>147</v>
      </c>
      <c r="AS275" s="61">
        <v>24</v>
      </c>
      <c r="AT275" s="61">
        <v>2</v>
      </c>
      <c r="AU275" s="61"/>
      <c r="AV275" s="61">
        <v>30</v>
      </c>
      <c r="AW275" s="61">
        <v>303</v>
      </c>
      <c r="AX275" s="61">
        <v>16</v>
      </c>
      <c r="AY275" s="61">
        <v>39682</v>
      </c>
      <c r="AZ275" s="61">
        <v>135</v>
      </c>
      <c r="BA275" s="61">
        <v>7</v>
      </c>
      <c r="BB275" s="61">
        <v>15</v>
      </c>
      <c r="BC275" s="61">
        <v>133</v>
      </c>
      <c r="BD275" s="61">
        <v>11936</v>
      </c>
      <c r="BE275" s="61">
        <v>9795</v>
      </c>
      <c r="BF275" s="61">
        <v>1411</v>
      </c>
      <c r="BG275" s="61">
        <v>15296</v>
      </c>
      <c r="BH275" s="61">
        <v>2666</v>
      </c>
      <c r="BI275" s="61">
        <v>87</v>
      </c>
      <c r="BJ275" s="61">
        <v>41191</v>
      </c>
      <c r="BK275" s="61">
        <v>1530</v>
      </c>
      <c r="BL275" s="61">
        <v>36855</v>
      </c>
      <c r="BM275" s="61">
        <v>2806</v>
      </c>
      <c r="BN275" s="61">
        <v>4082</v>
      </c>
      <c r="BO275" s="61">
        <v>3642</v>
      </c>
      <c r="BP275" s="61"/>
      <c r="BQ275" s="61">
        <v>295</v>
      </c>
      <c r="BR275" s="61">
        <v>395</v>
      </c>
      <c r="BS275" s="61">
        <v>479</v>
      </c>
      <c r="BT275" s="61">
        <v>550</v>
      </c>
      <c r="BU275" s="61">
        <v>1004</v>
      </c>
      <c r="BV275" s="61">
        <v>1121</v>
      </c>
      <c r="BW275" s="61">
        <v>1332</v>
      </c>
      <c r="BX275" s="61">
        <v>2526</v>
      </c>
      <c r="BY275" s="61">
        <v>15</v>
      </c>
      <c r="BZ275" s="61">
        <v>7</v>
      </c>
      <c r="CA275" s="61"/>
      <c r="CB275" s="61">
        <v>1321</v>
      </c>
      <c r="CC275" s="61">
        <v>334</v>
      </c>
      <c r="CD275" s="61">
        <v>1010</v>
      </c>
      <c r="CE275" s="61">
        <v>230</v>
      </c>
      <c r="CF275" s="61">
        <v>25</v>
      </c>
      <c r="CG275" s="61">
        <v>4793</v>
      </c>
      <c r="CH275" s="61">
        <v>11</v>
      </c>
      <c r="CI275" s="61">
        <v>152</v>
      </c>
      <c r="CJ275" s="61">
        <v>65</v>
      </c>
      <c r="CK275" s="61">
        <v>301</v>
      </c>
      <c r="CL275" s="61">
        <v>1411</v>
      </c>
      <c r="CM275" s="61">
        <v>48</v>
      </c>
      <c r="CN275" s="61"/>
      <c r="CO275" s="61">
        <v>46</v>
      </c>
      <c r="CP275" s="61">
        <v>4255</v>
      </c>
      <c r="CQ275" s="61">
        <v>1111</v>
      </c>
      <c r="CR275" s="61"/>
      <c r="CS275" s="61">
        <v>267</v>
      </c>
      <c r="CT275" s="61">
        <v>57</v>
      </c>
      <c r="CU275" s="61"/>
      <c r="CV275" s="61">
        <v>1</v>
      </c>
      <c r="CW275" s="61">
        <v>7</v>
      </c>
      <c r="CX275" s="61">
        <v>1011</v>
      </c>
      <c r="CY275" s="61">
        <v>4674</v>
      </c>
      <c r="CZ275" s="61">
        <v>78</v>
      </c>
      <c r="DA275" s="61">
        <v>1772</v>
      </c>
      <c r="DB275" s="61">
        <v>189</v>
      </c>
      <c r="DC275" s="61"/>
      <c r="DD275" s="61">
        <v>7724</v>
      </c>
      <c r="DE275" s="61">
        <v>482</v>
      </c>
      <c r="DF275" s="61">
        <v>6976</v>
      </c>
      <c r="DG275" s="61">
        <v>266</v>
      </c>
      <c r="DH275" s="62" t="s">
        <v>2185</v>
      </c>
      <c r="DI275" s="61">
        <v>241</v>
      </c>
      <c r="DJ275" s="61">
        <v>23</v>
      </c>
      <c r="DK275" s="61">
        <v>134</v>
      </c>
      <c r="DL275" s="61">
        <v>98</v>
      </c>
      <c r="DM275" s="61">
        <v>3</v>
      </c>
      <c r="DN275" s="61"/>
    </row>
    <row r="276" spans="1:118" x14ac:dyDescent="0.25">
      <c r="A276" s="61">
        <v>106410891</v>
      </c>
      <c r="B276" s="62" t="s">
        <v>1251</v>
      </c>
      <c r="C276" s="62" t="s">
        <v>1252</v>
      </c>
      <c r="D276" s="62" t="s">
        <v>1227</v>
      </c>
      <c r="E276" s="62" t="s">
        <v>71</v>
      </c>
      <c r="F276" s="62" t="s">
        <v>2213</v>
      </c>
      <c r="G276" s="62" t="s">
        <v>1253</v>
      </c>
      <c r="H276" s="62" t="s">
        <v>1230</v>
      </c>
      <c r="I276" s="62" t="s">
        <v>1254</v>
      </c>
      <c r="J276" s="62" t="s">
        <v>2184</v>
      </c>
      <c r="K276" s="62"/>
      <c r="L276" s="61">
        <v>18</v>
      </c>
      <c r="M276" s="61">
        <v>22</v>
      </c>
      <c r="N276" s="61">
        <v>13</v>
      </c>
      <c r="O276" s="62" t="s">
        <v>1977</v>
      </c>
      <c r="P276" s="62" t="s">
        <v>68</v>
      </c>
      <c r="Q276" s="62" t="s">
        <v>2167</v>
      </c>
      <c r="R276" s="62" t="s">
        <v>2167</v>
      </c>
      <c r="S276" s="62" t="s">
        <v>69</v>
      </c>
      <c r="T276" s="61">
        <v>11031</v>
      </c>
      <c r="U276" s="61">
        <v>8314</v>
      </c>
      <c r="V276" s="61">
        <v>2</v>
      </c>
      <c r="W276" s="61">
        <v>2129</v>
      </c>
      <c r="X276" s="61">
        <v>1882</v>
      </c>
      <c r="Y276" s="61">
        <v>2568</v>
      </c>
      <c r="Z276" s="61">
        <v>2399</v>
      </c>
      <c r="AA276" s="61">
        <v>2332</v>
      </c>
      <c r="AB276" s="61">
        <v>2512</v>
      </c>
      <c r="AC276" s="61">
        <v>1834</v>
      </c>
      <c r="AD276" s="61">
        <v>1428</v>
      </c>
      <c r="AE276" s="61">
        <v>1924</v>
      </c>
      <c r="AF276" s="61">
        <v>339</v>
      </c>
      <c r="AG276" s="61"/>
      <c r="AH276" s="61">
        <v>1362</v>
      </c>
      <c r="AI276" s="61">
        <v>664</v>
      </c>
      <c r="AJ276" s="61">
        <v>5413</v>
      </c>
      <c r="AK276" s="61">
        <v>3</v>
      </c>
      <c r="AL276" s="61">
        <v>550</v>
      </c>
      <c r="AM276" s="61">
        <v>438</v>
      </c>
      <c r="AN276" s="61">
        <v>10917</v>
      </c>
      <c r="AO276" s="61">
        <v>2</v>
      </c>
      <c r="AP276" s="61">
        <v>340</v>
      </c>
      <c r="AQ276" s="61">
        <v>14</v>
      </c>
      <c r="AR276" s="61">
        <v>6</v>
      </c>
      <c r="AS276" s="61">
        <v>16</v>
      </c>
      <c r="AT276" s="61"/>
      <c r="AU276" s="61"/>
      <c r="AV276" s="61">
        <v>9</v>
      </c>
      <c r="AW276" s="61">
        <v>15</v>
      </c>
      <c r="AX276" s="61">
        <v>186</v>
      </c>
      <c r="AY276" s="61">
        <v>18507</v>
      </c>
      <c r="AZ276" s="61">
        <v>143</v>
      </c>
      <c r="BA276" s="61">
        <v>53</v>
      </c>
      <c r="BB276" s="61">
        <v>43</v>
      </c>
      <c r="BC276" s="61">
        <v>4</v>
      </c>
      <c r="BD276" s="61">
        <v>5866</v>
      </c>
      <c r="BE276" s="61">
        <v>4496</v>
      </c>
      <c r="BF276" s="61">
        <v>721</v>
      </c>
      <c r="BG276" s="61">
        <v>6892</v>
      </c>
      <c r="BH276" s="61">
        <v>1372</v>
      </c>
      <c r="BI276" s="61"/>
      <c r="BJ276" s="61">
        <v>19347</v>
      </c>
      <c r="BK276" s="61">
        <v>106</v>
      </c>
      <c r="BL276" s="61">
        <v>17469</v>
      </c>
      <c r="BM276" s="61">
        <v>1772</v>
      </c>
      <c r="BN276" s="61">
        <v>1247</v>
      </c>
      <c r="BO276" s="61">
        <v>1024</v>
      </c>
      <c r="BP276" s="61"/>
      <c r="BQ276" s="61">
        <v>8</v>
      </c>
      <c r="BR276" s="61">
        <v>46</v>
      </c>
      <c r="BS276" s="61">
        <v>87</v>
      </c>
      <c r="BT276" s="61">
        <v>141</v>
      </c>
      <c r="BU276" s="61">
        <v>228</v>
      </c>
      <c r="BV276" s="61">
        <v>343</v>
      </c>
      <c r="BW276" s="61">
        <v>431</v>
      </c>
      <c r="BX276" s="61">
        <v>987</v>
      </c>
      <c r="BY276" s="61"/>
      <c r="BZ276" s="61"/>
      <c r="CA276" s="61"/>
      <c r="CB276" s="61">
        <v>167</v>
      </c>
      <c r="CC276" s="61">
        <v>74</v>
      </c>
      <c r="CD276" s="61">
        <v>211</v>
      </c>
      <c r="CE276" s="61">
        <v>44</v>
      </c>
      <c r="CF276" s="61">
        <v>30</v>
      </c>
      <c r="CG276" s="61">
        <v>1745</v>
      </c>
      <c r="CH276" s="61"/>
      <c r="CI276" s="61">
        <v>10</v>
      </c>
      <c r="CJ276" s="61">
        <v>210</v>
      </c>
      <c r="CK276" s="61">
        <v>38</v>
      </c>
      <c r="CL276" s="61">
        <v>185</v>
      </c>
      <c r="CM276" s="61">
        <v>4</v>
      </c>
      <c r="CN276" s="61"/>
      <c r="CO276" s="61">
        <v>11</v>
      </c>
      <c r="CP276" s="61">
        <v>1220</v>
      </c>
      <c r="CQ276" s="61">
        <v>227</v>
      </c>
      <c r="CR276" s="61"/>
      <c r="CS276" s="61">
        <v>34</v>
      </c>
      <c r="CT276" s="61">
        <v>2</v>
      </c>
      <c r="CU276" s="61">
        <v>5</v>
      </c>
      <c r="CV276" s="61"/>
      <c r="CW276" s="61"/>
      <c r="CX276" s="61">
        <v>160</v>
      </c>
      <c r="CY276" s="61">
        <v>1603</v>
      </c>
      <c r="CZ276" s="61">
        <v>7</v>
      </c>
      <c r="DA276" s="61">
        <v>470</v>
      </c>
      <c r="DB276" s="61">
        <v>31</v>
      </c>
      <c r="DC276" s="61"/>
      <c r="DD276" s="61">
        <v>2271</v>
      </c>
      <c r="DE276" s="61">
        <v>30</v>
      </c>
      <c r="DF276" s="61">
        <v>2133</v>
      </c>
      <c r="DG276" s="61">
        <v>108</v>
      </c>
      <c r="DH276" s="62" t="s">
        <v>2185</v>
      </c>
      <c r="DI276" s="61">
        <v>208</v>
      </c>
      <c r="DJ276" s="61">
        <v>12</v>
      </c>
      <c r="DK276" s="61"/>
      <c r="DL276" s="61">
        <v>9</v>
      </c>
      <c r="DM276" s="61">
        <v>325</v>
      </c>
      <c r="DN276" s="61"/>
    </row>
    <row r="277" spans="1:118" x14ac:dyDescent="0.25">
      <c r="A277" s="61">
        <v>106414139</v>
      </c>
      <c r="B277" s="62" t="s">
        <v>2164</v>
      </c>
      <c r="C277" s="62" t="s">
        <v>2252</v>
      </c>
      <c r="D277" s="62" t="s">
        <v>1227</v>
      </c>
      <c r="E277" s="62" t="s">
        <v>71</v>
      </c>
      <c r="F277" s="62" t="s">
        <v>2213</v>
      </c>
      <c r="G277" s="62" t="s">
        <v>2165</v>
      </c>
      <c r="H277" s="62" t="s">
        <v>1230</v>
      </c>
      <c r="I277" s="62" t="s">
        <v>1231</v>
      </c>
      <c r="J277" s="62" t="s">
        <v>2189</v>
      </c>
      <c r="K277" s="62"/>
      <c r="L277" s="61">
        <v>14</v>
      </c>
      <c r="M277" s="61">
        <v>22</v>
      </c>
      <c r="N277" s="61">
        <v>13</v>
      </c>
      <c r="O277" s="62" t="s">
        <v>1973</v>
      </c>
      <c r="P277" s="62" t="s">
        <v>68</v>
      </c>
      <c r="Q277" s="62" t="s">
        <v>2167</v>
      </c>
      <c r="R277" s="62" t="s">
        <v>2167</v>
      </c>
      <c r="S277" s="62" t="s">
        <v>69</v>
      </c>
      <c r="T277" s="61">
        <v>14104</v>
      </c>
      <c r="U277" s="61">
        <v>12872</v>
      </c>
      <c r="V277" s="61"/>
      <c r="W277" s="61">
        <v>2465</v>
      </c>
      <c r="X277" s="61">
        <v>2183</v>
      </c>
      <c r="Y277" s="61">
        <v>3569</v>
      </c>
      <c r="Z277" s="61">
        <v>3480</v>
      </c>
      <c r="AA277" s="61">
        <v>3166</v>
      </c>
      <c r="AB277" s="61">
        <v>3642</v>
      </c>
      <c r="AC277" s="61">
        <v>2855</v>
      </c>
      <c r="AD277" s="61">
        <v>2297</v>
      </c>
      <c r="AE277" s="61">
        <v>2877</v>
      </c>
      <c r="AF277" s="61">
        <v>442</v>
      </c>
      <c r="AG277" s="61"/>
      <c r="AH277" s="61">
        <v>3582</v>
      </c>
      <c r="AI277" s="61">
        <v>1681</v>
      </c>
      <c r="AJ277" s="61">
        <v>7859</v>
      </c>
      <c r="AK277" s="61">
        <v>83</v>
      </c>
      <c r="AL277" s="61">
        <v>445</v>
      </c>
      <c r="AM277" s="61">
        <v>340</v>
      </c>
      <c r="AN277" s="61">
        <v>12986</v>
      </c>
      <c r="AO277" s="61">
        <v>110</v>
      </c>
      <c r="AP277" s="61">
        <v>263</v>
      </c>
      <c r="AQ277" s="61">
        <v>37</v>
      </c>
      <c r="AR277" s="61">
        <v>128</v>
      </c>
      <c r="AS277" s="61">
        <v>59</v>
      </c>
      <c r="AT277" s="61">
        <v>18</v>
      </c>
      <c r="AU277" s="61"/>
      <c r="AV277" s="61">
        <v>61</v>
      </c>
      <c r="AW277" s="61">
        <v>200</v>
      </c>
      <c r="AX277" s="61">
        <v>3</v>
      </c>
      <c r="AY277" s="61">
        <v>25882</v>
      </c>
      <c r="AZ277" s="61">
        <v>100</v>
      </c>
      <c r="BA277" s="61">
        <v>4</v>
      </c>
      <c r="BB277" s="61">
        <v>13</v>
      </c>
      <c r="BC277" s="61">
        <v>98</v>
      </c>
      <c r="BD277" s="61">
        <v>2446</v>
      </c>
      <c r="BE277" s="61">
        <v>6463</v>
      </c>
      <c r="BF277" s="61">
        <v>776</v>
      </c>
      <c r="BG277" s="61">
        <v>14760</v>
      </c>
      <c r="BH277" s="61">
        <v>2531</v>
      </c>
      <c r="BI277" s="61"/>
      <c r="BJ277" s="61">
        <v>26976</v>
      </c>
      <c r="BK277" s="61">
        <v>453</v>
      </c>
      <c r="BL277" s="61">
        <v>23714</v>
      </c>
      <c r="BM277" s="61">
        <v>2809</v>
      </c>
      <c r="BN277" s="61">
        <v>1510</v>
      </c>
      <c r="BO277" s="61">
        <v>1374</v>
      </c>
      <c r="BP277" s="61"/>
      <c r="BQ277" s="61">
        <v>29</v>
      </c>
      <c r="BR277" s="61">
        <v>79</v>
      </c>
      <c r="BS277" s="61">
        <v>131</v>
      </c>
      <c r="BT277" s="61">
        <v>163</v>
      </c>
      <c r="BU277" s="61">
        <v>392</v>
      </c>
      <c r="BV277" s="61">
        <v>451</v>
      </c>
      <c r="BW277" s="61">
        <v>575</v>
      </c>
      <c r="BX277" s="61">
        <v>1059</v>
      </c>
      <c r="BY277" s="61">
        <v>3</v>
      </c>
      <c r="BZ277" s="61">
        <v>1</v>
      </c>
      <c r="CA277" s="61">
        <v>1</v>
      </c>
      <c r="CB277" s="61">
        <v>407</v>
      </c>
      <c r="CC277" s="61">
        <v>172</v>
      </c>
      <c r="CD277" s="61">
        <v>401</v>
      </c>
      <c r="CE277" s="61">
        <v>24</v>
      </c>
      <c r="CF277" s="61">
        <v>11</v>
      </c>
      <c r="CG277" s="61">
        <v>1868</v>
      </c>
      <c r="CH277" s="61">
        <v>1</v>
      </c>
      <c r="CI277" s="61">
        <v>153</v>
      </c>
      <c r="CJ277" s="61">
        <v>24</v>
      </c>
      <c r="CK277" s="61">
        <v>158</v>
      </c>
      <c r="CL277" s="61">
        <v>486</v>
      </c>
      <c r="CM277" s="61">
        <v>22</v>
      </c>
      <c r="CN277" s="61"/>
      <c r="CO277" s="61"/>
      <c r="CP277" s="61">
        <v>1458</v>
      </c>
      <c r="CQ277" s="61">
        <v>423</v>
      </c>
      <c r="CR277" s="61">
        <v>1</v>
      </c>
      <c r="CS277" s="61">
        <v>148</v>
      </c>
      <c r="CT277" s="61">
        <v>9</v>
      </c>
      <c r="CU277" s="61"/>
      <c r="CV277" s="61"/>
      <c r="CW277" s="61">
        <v>2</v>
      </c>
      <c r="CX277" s="61">
        <v>105</v>
      </c>
      <c r="CY277" s="61">
        <v>1857</v>
      </c>
      <c r="CZ277" s="61">
        <v>9</v>
      </c>
      <c r="DA277" s="61">
        <v>855</v>
      </c>
      <c r="DB277" s="61">
        <v>58</v>
      </c>
      <c r="DC277" s="61"/>
      <c r="DD277" s="61">
        <v>2884</v>
      </c>
      <c r="DE277" s="61">
        <v>92</v>
      </c>
      <c r="DF277" s="61">
        <v>2633</v>
      </c>
      <c r="DG277" s="61">
        <v>159</v>
      </c>
      <c r="DH277" s="62" t="s">
        <v>2185</v>
      </c>
      <c r="DI277" s="61">
        <v>149</v>
      </c>
      <c r="DJ277" s="61">
        <v>24</v>
      </c>
      <c r="DK277" s="61"/>
      <c r="DL277" s="61"/>
      <c r="DM277" s="61"/>
      <c r="DN277" s="61"/>
    </row>
    <row r="278" spans="1:118" x14ac:dyDescent="0.25">
      <c r="A278" s="61">
        <v>106420483</v>
      </c>
      <c r="B278" s="62" t="s">
        <v>1255</v>
      </c>
      <c r="C278" s="62" t="s">
        <v>1256</v>
      </c>
      <c r="D278" s="62" t="s">
        <v>1257</v>
      </c>
      <c r="E278" s="62" t="s">
        <v>71</v>
      </c>
      <c r="F278" s="62" t="s">
        <v>2213</v>
      </c>
      <c r="G278" s="62" t="s">
        <v>1258</v>
      </c>
      <c r="H278" s="62" t="s">
        <v>1257</v>
      </c>
      <c r="I278" s="62" t="s">
        <v>1259</v>
      </c>
      <c r="J278" s="62" t="s">
        <v>2189</v>
      </c>
      <c r="K278" s="62"/>
      <c r="L278" s="61">
        <v>24</v>
      </c>
      <c r="M278" s="61">
        <v>37</v>
      </c>
      <c r="N278" s="61">
        <v>19</v>
      </c>
      <c r="O278" s="62" t="s">
        <v>1978</v>
      </c>
      <c r="P278" s="62" t="s">
        <v>68</v>
      </c>
      <c r="Q278" s="62" t="s">
        <v>2167</v>
      </c>
      <c r="R278" s="62" t="s">
        <v>2167</v>
      </c>
      <c r="S278" s="62" t="s">
        <v>69</v>
      </c>
      <c r="T278" s="61">
        <v>10271</v>
      </c>
      <c r="U278" s="61">
        <v>9649</v>
      </c>
      <c r="V278" s="61"/>
      <c r="W278" s="61">
        <v>1678</v>
      </c>
      <c r="X278" s="61">
        <v>3087</v>
      </c>
      <c r="Y278" s="61">
        <v>4575</v>
      </c>
      <c r="Z278" s="61">
        <v>1877</v>
      </c>
      <c r="AA278" s="61">
        <v>1756</v>
      </c>
      <c r="AB278" s="61">
        <v>2075</v>
      </c>
      <c r="AC278" s="61">
        <v>1694</v>
      </c>
      <c r="AD278" s="61">
        <v>1195</v>
      </c>
      <c r="AE278" s="61">
        <v>1745</v>
      </c>
      <c r="AF278" s="61">
        <v>238</v>
      </c>
      <c r="AG278" s="61"/>
      <c r="AH278" s="61">
        <v>1008</v>
      </c>
      <c r="AI278" s="61">
        <v>576</v>
      </c>
      <c r="AJ278" s="61">
        <v>5669</v>
      </c>
      <c r="AK278" s="61">
        <v>33</v>
      </c>
      <c r="AL278" s="61">
        <v>35</v>
      </c>
      <c r="AM278" s="61">
        <v>100</v>
      </c>
      <c r="AN278" s="61">
        <v>12499</v>
      </c>
      <c r="AO278" s="61">
        <v>750</v>
      </c>
      <c r="AP278" s="61">
        <v>418</v>
      </c>
      <c r="AQ278" s="61">
        <v>6</v>
      </c>
      <c r="AR278" s="61"/>
      <c r="AS278" s="61">
        <v>4</v>
      </c>
      <c r="AT278" s="61"/>
      <c r="AU278" s="61"/>
      <c r="AV278" s="61">
        <v>468</v>
      </c>
      <c r="AW278" s="61">
        <v>19</v>
      </c>
      <c r="AX278" s="61">
        <v>51</v>
      </c>
      <c r="AY278" s="61">
        <v>17877</v>
      </c>
      <c r="AZ278" s="61">
        <v>80</v>
      </c>
      <c r="BA278" s="61">
        <v>1</v>
      </c>
      <c r="BB278" s="61"/>
      <c r="BC278" s="61">
        <v>246</v>
      </c>
      <c r="BD278" s="61">
        <v>4679</v>
      </c>
      <c r="BE278" s="61">
        <v>3953</v>
      </c>
      <c r="BF278" s="61">
        <v>1031</v>
      </c>
      <c r="BG278" s="61">
        <v>8580</v>
      </c>
      <c r="BH278" s="61">
        <v>1677</v>
      </c>
      <c r="BI278" s="61"/>
      <c r="BJ278" s="61">
        <v>19920</v>
      </c>
      <c r="BK278" s="61">
        <v>166</v>
      </c>
      <c r="BL278" s="61">
        <v>18145</v>
      </c>
      <c r="BM278" s="61">
        <v>1609</v>
      </c>
      <c r="BN278" s="61">
        <v>288</v>
      </c>
      <c r="BO278" s="61">
        <v>229</v>
      </c>
      <c r="BP278" s="61"/>
      <c r="BQ278" s="61">
        <v>29</v>
      </c>
      <c r="BR278" s="61">
        <v>64</v>
      </c>
      <c r="BS278" s="61">
        <v>21</v>
      </c>
      <c r="BT278" s="61">
        <v>50</v>
      </c>
      <c r="BU278" s="61">
        <v>60</v>
      </c>
      <c r="BV278" s="61">
        <v>66</v>
      </c>
      <c r="BW278" s="61">
        <v>49</v>
      </c>
      <c r="BX278" s="61">
        <v>178</v>
      </c>
      <c r="BY278" s="61"/>
      <c r="BZ278" s="61"/>
      <c r="CA278" s="61"/>
      <c r="CB278" s="61">
        <v>25</v>
      </c>
      <c r="CC278" s="61">
        <v>4</v>
      </c>
      <c r="CD278" s="61">
        <v>103</v>
      </c>
      <c r="CE278" s="61"/>
      <c r="CF278" s="61">
        <v>1</v>
      </c>
      <c r="CG278" s="61">
        <v>384</v>
      </c>
      <c r="CH278" s="61"/>
      <c r="CI278" s="61">
        <v>9</v>
      </c>
      <c r="CJ278" s="61">
        <v>7</v>
      </c>
      <c r="CK278" s="61">
        <v>4</v>
      </c>
      <c r="CL278" s="61">
        <v>28</v>
      </c>
      <c r="CM278" s="61">
        <v>12</v>
      </c>
      <c r="CN278" s="61"/>
      <c r="CO278" s="61">
        <v>11</v>
      </c>
      <c r="CP278" s="61">
        <v>318</v>
      </c>
      <c r="CQ278" s="61">
        <v>99</v>
      </c>
      <c r="CR278" s="61">
        <v>13</v>
      </c>
      <c r="CS278" s="61">
        <v>7</v>
      </c>
      <c r="CT278" s="61"/>
      <c r="CU278" s="61"/>
      <c r="CV278" s="61">
        <v>1</v>
      </c>
      <c r="CW278" s="61">
        <v>8</v>
      </c>
      <c r="CX278" s="61">
        <v>61</v>
      </c>
      <c r="CY278" s="61">
        <v>275</v>
      </c>
      <c r="CZ278" s="61">
        <v>62</v>
      </c>
      <c r="DA278" s="61">
        <v>101</v>
      </c>
      <c r="DB278" s="61">
        <v>18</v>
      </c>
      <c r="DC278" s="61"/>
      <c r="DD278" s="61">
        <v>517</v>
      </c>
      <c r="DE278" s="61">
        <v>5</v>
      </c>
      <c r="DF278" s="61">
        <v>465</v>
      </c>
      <c r="DG278" s="61">
        <v>47</v>
      </c>
      <c r="DH278" s="62" t="s">
        <v>2185</v>
      </c>
      <c r="DI278" s="61">
        <v>122</v>
      </c>
      <c r="DJ278" s="61">
        <v>9</v>
      </c>
      <c r="DK278" s="61"/>
      <c r="DL278" s="61"/>
      <c r="DM278" s="61"/>
      <c r="DN278" s="61"/>
    </row>
    <row r="279" spans="1:118" x14ac:dyDescent="0.25">
      <c r="A279" s="61">
        <v>106420491</v>
      </c>
      <c r="B279" s="62" t="s">
        <v>1260</v>
      </c>
      <c r="C279" s="62" t="s">
        <v>1261</v>
      </c>
      <c r="D279" s="62" t="s">
        <v>1257</v>
      </c>
      <c r="E279" s="62" t="s">
        <v>94</v>
      </c>
      <c r="F279" s="62" t="s">
        <v>2213</v>
      </c>
      <c r="G279" s="62" t="s">
        <v>1262</v>
      </c>
      <c r="H279" s="62" t="s">
        <v>1263</v>
      </c>
      <c r="I279" s="62" t="s">
        <v>1264</v>
      </c>
      <c r="J279" s="62" t="s">
        <v>2187</v>
      </c>
      <c r="K279" s="62"/>
      <c r="L279" s="61">
        <v>24</v>
      </c>
      <c r="M279" s="61">
        <v>35</v>
      </c>
      <c r="N279" s="61">
        <v>19</v>
      </c>
      <c r="O279" s="62" t="s">
        <v>1979</v>
      </c>
      <c r="P279" s="62" t="s">
        <v>120</v>
      </c>
      <c r="Q279" s="62" t="s">
        <v>120</v>
      </c>
      <c r="R279" s="62" t="s">
        <v>2167</v>
      </c>
      <c r="S279" s="62" t="s">
        <v>69</v>
      </c>
      <c r="T279" s="61">
        <v>12918</v>
      </c>
      <c r="U279" s="61">
        <v>10165</v>
      </c>
      <c r="V279" s="61"/>
      <c r="W279" s="61">
        <v>3227</v>
      </c>
      <c r="X279" s="61">
        <v>2431</v>
      </c>
      <c r="Y279" s="61">
        <v>4622</v>
      </c>
      <c r="Z279" s="61">
        <v>3336</v>
      </c>
      <c r="AA279" s="61">
        <v>2435</v>
      </c>
      <c r="AB279" s="61">
        <v>2482</v>
      </c>
      <c r="AC279" s="61">
        <v>1657</v>
      </c>
      <c r="AD279" s="61">
        <v>1081</v>
      </c>
      <c r="AE279" s="61">
        <v>1139</v>
      </c>
      <c r="AF279" s="61">
        <v>673</v>
      </c>
      <c r="AG279" s="61"/>
      <c r="AH279" s="61">
        <v>341</v>
      </c>
      <c r="AI279" s="61">
        <v>1739</v>
      </c>
      <c r="AJ279" s="61">
        <v>9508</v>
      </c>
      <c r="AK279" s="61">
        <v>45</v>
      </c>
      <c r="AL279" s="61">
        <v>820</v>
      </c>
      <c r="AM279" s="61">
        <v>172</v>
      </c>
      <c r="AN279" s="61">
        <v>10458</v>
      </c>
      <c r="AO279" s="61">
        <v>575</v>
      </c>
      <c r="AP279" s="61">
        <v>1228</v>
      </c>
      <c r="AQ279" s="61">
        <v>17</v>
      </c>
      <c r="AR279" s="61">
        <v>37</v>
      </c>
      <c r="AS279" s="61">
        <v>6</v>
      </c>
      <c r="AT279" s="61">
        <v>11</v>
      </c>
      <c r="AU279" s="61"/>
      <c r="AV279" s="61">
        <v>223</v>
      </c>
      <c r="AW279" s="61">
        <v>166</v>
      </c>
      <c r="AX279" s="61">
        <v>1</v>
      </c>
      <c r="AY279" s="61">
        <v>20712</v>
      </c>
      <c r="AZ279" s="61">
        <v>56</v>
      </c>
      <c r="BA279" s="61">
        <v>50</v>
      </c>
      <c r="BB279" s="61"/>
      <c r="BC279" s="61">
        <v>1</v>
      </c>
      <c r="BD279" s="61">
        <v>12271</v>
      </c>
      <c r="BE279" s="61">
        <v>4892</v>
      </c>
      <c r="BF279" s="61">
        <v>2004</v>
      </c>
      <c r="BG279" s="61">
        <v>2676</v>
      </c>
      <c r="BH279" s="61">
        <v>1240</v>
      </c>
      <c r="BI279" s="61"/>
      <c r="BJ279" s="61">
        <v>23083</v>
      </c>
      <c r="BK279" s="61">
        <v>57</v>
      </c>
      <c r="BL279" s="61">
        <v>20866</v>
      </c>
      <c r="BM279" s="61">
        <v>2160</v>
      </c>
      <c r="BN279" s="61">
        <v>943</v>
      </c>
      <c r="BO279" s="61">
        <v>769</v>
      </c>
      <c r="BP279" s="61"/>
      <c r="BQ279" s="61">
        <v>38</v>
      </c>
      <c r="BR279" s="61">
        <v>161</v>
      </c>
      <c r="BS279" s="61">
        <v>153</v>
      </c>
      <c r="BT279" s="61">
        <v>147</v>
      </c>
      <c r="BU279" s="61">
        <v>255</v>
      </c>
      <c r="BV279" s="61">
        <v>262</v>
      </c>
      <c r="BW279" s="61">
        <v>266</v>
      </c>
      <c r="BX279" s="61">
        <v>389</v>
      </c>
      <c r="BY279" s="61">
        <v>12</v>
      </c>
      <c r="BZ279" s="61">
        <v>29</v>
      </c>
      <c r="CA279" s="61"/>
      <c r="CB279" s="61">
        <v>44</v>
      </c>
      <c r="CC279" s="61">
        <v>115</v>
      </c>
      <c r="CD279" s="61">
        <v>517</v>
      </c>
      <c r="CE279" s="61">
        <v>30</v>
      </c>
      <c r="CF279" s="61">
        <v>15</v>
      </c>
      <c r="CG279" s="61">
        <v>988</v>
      </c>
      <c r="CH279" s="61">
        <v>3</v>
      </c>
      <c r="CI279" s="61">
        <v>8</v>
      </c>
      <c r="CJ279" s="61">
        <v>142</v>
      </c>
      <c r="CK279" s="61">
        <v>29</v>
      </c>
      <c r="CL279" s="61">
        <v>66</v>
      </c>
      <c r="CM279" s="61">
        <v>5</v>
      </c>
      <c r="CN279" s="61"/>
      <c r="CO279" s="61">
        <v>124</v>
      </c>
      <c r="CP279" s="61">
        <v>1183</v>
      </c>
      <c r="CQ279" s="61">
        <v>13</v>
      </c>
      <c r="CR279" s="61">
        <v>38</v>
      </c>
      <c r="CS279" s="61">
        <v>14</v>
      </c>
      <c r="CT279" s="61">
        <v>7</v>
      </c>
      <c r="CU279" s="61">
        <v>83</v>
      </c>
      <c r="CV279" s="61"/>
      <c r="CW279" s="61"/>
      <c r="CX279" s="61">
        <v>453</v>
      </c>
      <c r="CY279" s="61">
        <v>885</v>
      </c>
      <c r="CZ279" s="61">
        <v>86</v>
      </c>
      <c r="DA279" s="61">
        <v>271</v>
      </c>
      <c r="DB279" s="61">
        <v>17</v>
      </c>
      <c r="DC279" s="61"/>
      <c r="DD279" s="61">
        <v>1712</v>
      </c>
      <c r="DE279" s="61">
        <v>1</v>
      </c>
      <c r="DF279" s="61">
        <v>1576</v>
      </c>
      <c r="DG279" s="61">
        <v>135</v>
      </c>
      <c r="DH279" s="62" t="s">
        <v>2185</v>
      </c>
      <c r="DI279" s="61">
        <v>170</v>
      </c>
      <c r="DJ279" s="61">
        <v>12</v>
      </c>
      <c r="DK279" s="61"/>
      <c r="DL279" s="61"/>
      <c r="DM279" s="61"/>
      <c r="DN279" s="61"/>
    </row>
    <row r="280" spans="1:118" x14ac:dyDescent="0.25">
      <c r="A280" s="61">
        <v>106420493</v>
      </c>
      <c r="B280" s="62" t="s">
        <v>1265</v>
      </c>
      <c r="C280" s="62" t="s">
        <v>1266</v>
      </c>
      <c r="D280" s="62" t="s">
        <v>1257</v>
      </c>
      <c r="E280" s="62" t="s">
        <v>71</v>
      </c>
      <c r="F280" s="62" t="s">
        <v>2213</v>
      </c>
      <c r="G280" s="62" t="s">
        <v>1267</v>
      </c>
      <c r="H280" s="62" t="s">
        <v>1268</v>
      </c>
      <c r="I280" s="62" t="s">
        <v>1269</v>
      </c>
      <c r="J280" s="62" t="s">
        <v>2186</v>
      </c>
      <c r="K280" s="62" t="s">
        <v>138</v>
      </c>
      <c r="L280" s="61">
        <v>24</v>
      </c>
      <c r="M280" s="61">
        <v>35</v>
      </c>
      <c r="N280" s="61">
        <v>19</v>
      </c>
      <c r="O280" s="62" t="s">
        <v>1980</v>
      </c>
      <c r="P280" s="62" t="s">
        <v>68</v>
      </c>
      <c r="Q280" s="62" t="s">
        <v>2167</v>
      </c>
      <c r="R280" s="62" t="s">
        <v>2167</v>
      </c>
      <c r="S280" s="62" t="s">
        <v>69</v>
      </c>
      <c r="T280" s="61">
        <v>37804</v>
      </c>
      <c r="U280" s="61">
        <v>30705</v>
      </c>
      <c r="V280" s="61">
        <v>1</v>
      </c>
      <c r="W280" s="61">
        <v>12225</v>
      </c>
      <c r="X280" s="61">
        <v>8203</v>
      </c>
      <c r="Y280" s="61">
        <v>10755</v>
      </c>
      <c r="Z280" s="61">
        <v>8694</v>
      </c>
      <c r="AA280" s="61">
        <v>6643</v>
      </c>
      <c r="AB280" s="61">
        <v>6769</v>
      </c>
      <c r="AC280" s="61">
        <v>4657</v>
      </c>
      <c r="AD280" s="61">
        <v>3471</v>
      </c>
      <c r="AE280" s="61">
        <v>3924</v>
      </c>
      <c r="AF280" s="61">
        <v>3169</v>
      </c>
      <c r="AG280" s="61"/>
      <c r="AH280" s="61">
        <v>1311</v>
      </c>
      <c r="AI280" s="61">
        <v>1438</v>
      </c>
      <c r="AJ280" s="61">
        <v>42566</v>
      </c>
      <c r="AK280" s="61">
        <v>62</v>
      </c>
      <c r="AL280" s="61">
        <v>364</v>
      </c>
      <c r="AM280" s="61">
        <v>804</v>
      </c>
      <c r="AN280" s="61">
        <v>21965</v>
      </c>
      <c r="AO280" s="61">
        <v>214</v>
      </c>
      <c r="AP280" s="61">
        <v>280</v>
      </c>
      <c r="AQ280" s="61">
        <v>51</v>
      </c>
      <c r="AR280" s="61">
        <v>22</v>
      </c>
      <c r="AS280" s="61">
        <v>10</v>
      </c>
      <c r="AT280" s="61">
        <v>14</v>
      </c>
      <c r="AU280" s="61"/>
      <c r="AV280" s="61">
        <v>821</v>
      </c>
      <c r="AW280" s="61">
        <v>260</v>
      </c>
      <c r="AX280" s="61">
        <v>16</v>
      </c>
      <c r="AY280" s="61">
        <v>66639</v>
      </c>
      <c r="AZ280" s="61">
        <v>105</v>
      </c>
      <c r="BA280" s="61">
        <v>1</v>
      </c>
      <c r="BB280" s="61">
        <v>41</v>
      </c>
      <c r="BC280" s="61">
        <v>36</v>
      </c>
      <c r="BD280" s="61">
        <v>34546</v>
      </c>
      <c r="BE280" s="61">
        <v>11957</v>
      </c>
      <c r="BF280" s="61">
        <v>1969</v>
      </c>
      <c r="BG280" s="61">
        <v>16074</v>
      </c>
      <c r="BH280" s="61">
        <v>3718</v>
      </c>
      <c r="BI280" s="61">
        <v>246</v>
      </c>
      <c r="BJ280" s="61">
        <v>68510</v>
      </c>
      <c r="BK280" s="61">
        <v>408</v>
      </c>
      <c r="BL280" s="61">
        <v>50574</v>
      </c>
      <c r="BM280" s="61">
        <v>17528</v>
      </c>
      <c r="BN280" s="61">
        <v>3703</v>
      </c>
      <c r="BO280" s="61">
        <v>3455</v>
      </c>
      <c r="BP280" s="61"/>
      <c r="BQ280" s="61">
        <v>219</v>
      </c>
      <c r="BR280" s="61">
        <v>528</v>
      </c>
      <c r="BS280" s="61">
        <v>540</v>
      </c>
      <c r="BT280" s="61">
        <v>606</v>
      </c>
      <c r="BU280" s="61">
        <v>1028</v>
      </c>
      <c r="BV280" s="61">
        <v>1114</v>
      </c>
      <c r="BW280" s="61">
        <v>1042</v>
      </c>
      <c r="BX280" s="61">
        <v>1726</v>
      </c>
      <c r="BY280" s="61">
        <v>150</v>
      </c>
      <c r="BZ280" s="61">
        <v>205</v>
      </c>
      <c r="CA280" s="61"/>
      <c r="CB280" s="61">
        <v>246</v>
      </c>
      <c r="CC280" s="61">
        <v>163</v>
      </c>
      <c r="CD280" s="61">
        <v>2862</v>
      </c>
      <c r="CE280" s="61">
        <v>57</v>
      </c>
      <c r="CF280" s="61">
        <v>83</v>
      </c>
      <c r="CG280" s="61">
        <v>3741</v>
      </c>
      <c r="CH280" s="61">
        <v>6</v>
      </c>
      <c r="CI280" s="61">
        <v>143</v>
      </c>
      <c r="CJ280" s="61">
        <v>55</v>
      </c>
      <c r="CK280" s="61">
        <v>280</v>
      </c>
      <c r="CL280" s="61">
        <v>686</v>
      </c>
      <c r="CM280" s="61">
        <v>162</v>
      </c>
      <c r="CN280" s="61"/>
      <c r="CO280" s="61">
        <v>43</v>
      </c>
      <c r="CP280" s="61">
        <v>4650</v>
      </c>
      <c r="CQ280" s="61">
        <v>965</v>
      </c>
      <c r="CR280" s="61">
        <v>14</v>
      </c>
      <c r="CS280" s="61">
        <v>134</v>
      </c>
      <c r="CT280" s="61">
        <v>17</v>
      </c>
      <c r="CU280" s="61"/>
      <c r="CV280" s="61">
        <v>1</v>
      </c>
      <c r="CW280" s="61">
        <v>8</v>
      </c>
      <c r="CX280" s="61">
        <v>2089</v>
      </c>
      <c r="CY280" s="61">
        <v>3485</v>
      </c>
      <c r="CZ280" s="61">
        <v>192</v>
      </c>
      <c r="DA280" s="61">
        <v>1286</v>
      </c>
      <c r="DB280" s="61">
        <v>99</v>
      </c>
      <c r="DC280" s="61">
        <v>7</v>
      </c>
      <c r="DD280" s="61">
        <v>7158</v>
      </c>
      <c r="DE280" s="61">
        <v>65</v>
      </c>
      <c r="DF280" s="61">
        <v>5863</v>
      </c>
      <c r="DG280" s="61">
        <v>1230</v>
      </c>
      <c r="DH280" s="62" t="s">
        <v>2185</v>
      </c>
      <c r="DI280" s="61">
        <v>435</v>
      </c>
      <c r="DJ280" s="61">
        <v>32</v>
      </c>
      <c r="DK280" s="61"/>
      <c r="DL280" s="61"/>
      <c r="DM280" s="61"/>
      <c r="DN280" s="61"/>
    </row>
    <row r="281" spans="1:118" x14ac:dyDescent="0.25">
      <c r="A281" s="61">
        <v>106420514</v>
      </c>
      <c r="B281" s="62" t="s">
        <v>1270</v>
      </c>
      <c r="C281" s="62" t="s">
        <v>1271</v>
      </c>
      <c r="D281" s="62" t="s">
        <v>1257</v>
      </c>
      <c r="E281" s="62" t="s">
        <v>71</v>
      </c>
      <c r="F281" s="62" t="s">
        <v>2213</v>
      </c>
      <c r="G281" s="62" t="s">
        <v>1272</v>
      </c>
      <c r="H281" s="62" t="s">
        <v>1257</v>
      </c>
      <c r="I281" s="62" t="s">
        <v>1273</v>
      </c>
      <c r="J281" s="62" t="s">
        <v>2186</v>
      </c>
      <c r="K281" s="62" t="s">
        <v>518</v>
      </c>
      <c r="L281" s="61">
        <v>24</v>
      </c>
      <c r="M281" s="61">
        <v>37</v>
      </c>
      <c r="N281" s="61">
        <v>19</v>
      </c>
      <c r="O281" s="62" t="s">
        <v>1981</v>
      </c>
      <c r="P281" s="62" t="s">
        <v>68</v>
      </c>
      <c r="Q281" s="62" t="s">
        <v>2167</v>
      </c>
      <c r="R281" s="62" t="s">
        <v>83</v>
      </c>
      <c r="S281" s="62" t="s">
        <v>69</v>
      </c>
      <c r="T281" s="61">
        <v>20308</v>
      </c>
      <c r="U281" s="61">
        <v>19621</v>
      </c>
      <c r="V281" s="61"/>
      <c r="W281" s="61">
        <v>3916</v>
      </c>
      <c r="X281" s="61">
        <v>3566</v>
      </c>
      <c r="Y281" s="61">
        <v>6826</v>
      </c>
      <c r="Z281" s="61">
        <v>4911</v>
      </c>
      <c r="AA281" s="61">
        <v>4467</v>
      </c>
      <c r="AB281" s="61">
        <v>5124</v>
      </c>
      <c r="AC281" s="61">
        <v>4187</v>
      </c>
      <c r="AD281" s="61">
        <v>2556</v>
      </c>
      <c r="AE281" s="61">
        <v>3440</v>
      </c>
      <c r="AF281" s="61">
        <v>936</v>
      </c>
      <c r="AG281" s="61"/>
      <c r="AH281" s="61">
        <v>777</v>
      </c>
      <c r="AI281" s="61">
        <v>1223</v>
      </c>
      <c r="AJ281" s="61">
        <v>13579</v>
      </c>
      <c r="AK281" s="61">
        <v>29</v>
      </c>
      <c r="AL281" s="61">
        <v>70</v>
      </c>
      <c r="AM281" s="61">
        <v>256</v>
      </c>
      <c r="AN281" s="61">
        <v>23995</v>
      </c>
      <c r="AO281" s="61">
        <v>201</v>
      </c>
      <c r="AP281" s="61">
        <v>1262</v>
      </c>
      <c r="AQ281" s="61">
        <v>64</v>
      </c>
      <c r="AR281" s="61">
        <v>16</v>
      </c>
      <c r="AS281" s="61">
        <v>13</v>
      </c>
      <c r="AT281" s="61">
        <v>5</v>
      </c>
      <c r="AU281" s="61"/>
      <c r="AV281" s="61">
        <v>489</v>
      </c>
      <c r="AW281" s="61">
        <v>776</v>
      </c>
      <c r="AX281" s="61">
        <v>54</v>
      </c>
      <c r="AY281" s="61">
        <v>36765</v>
      </c>
      <c r="AZ281" s="61">
        <v>274</v>
      </c>
      <c r="BA281" s="61">
        <v>1</v>
      </c>
      <c r="BB281" s="61"/>
      <c r="BC281" s="61">
        <v>9</v>
      </c>
      <c r="BD281" s="61">
        <v>12937</v>
      </c>
      <c r="BE281" s="61">
        <v>9166</v>
      </c>
      <c r="BF281" s="61">
        <v>1510</v>
      </c>
      <c r="BG281" s="61">
        <v>12554</v>
      </c>
      <c r="BH281" s="61">
        <v>3762</v>
      </c>
      <c r="BI281" s="61"/>
      <c r="BJ281" s="61">
        <v>39929</v>
      </c>
      <c r="BK281" s="61">
        <v>314</v>
      </c>
      <c r="BL281" s="61">
        <v>34510</v>
      </c>
      <c r="BM281" s="61">
        <v>5105</v>
      </c>
      <c r="BN281" s="61">
        <v>4100</v>
      </c>
      <c r="BO281" s="61">
        <v>4140</v>
      </c>
      <c r="BP281" s="61"/>
      <c r="BQ281" s="61">
        <v>232</v>
      </c>
      <c r="BR281" s="61">
        <v>583</v>
      </c>
      <c r="BS281" s="61">
        <v>574</v>
      </c>
      <c r="BT281" s="61">
        <v>743</v>
      </c>
      <c r="BU281" s="61">
        <v>1206</v>
      </c>
      <c r="BV281" s="61">
        <v>1424</v>
      </c>
      <c r="BW281" s="61">
        <v>1156</v>
      </c>
      <c r="BX281" s="61">
        <v>2001</v>
      </c>
      <c r="BY281" s="61">
        <v>110</v>
      </c>
      <c r="BZ281" s="61">
        <v>211</v>
      </c>
      <c r="CA281" s="61"/>
      <c r="CB281" s="61">
        <v>150</v>
      </c>
      <c r="CC281" s="61">
        <v>182</v>
      </c>
      <c r="CD281" s="61">
        <v>1695</v>
      </c>
      <c r="CE281" s="61">
        <v>7</v>
      </c>
      <c r="CF281" s="61">
        <v>40</v>
      </c>
      <c r="CG281" s="61">
        <v>6160</v>
      </c>
      <c r="CH281" s="61">
        <v>6</v>
      </c>
      <c r="CI281" s="61">
        <v>55</v>
      </c>
      <c r="CJ281" s="61">
        <v>126</v>
      </c>
      <c r="CK281" s="61">
        <v>262</v>
      </c>
      <c r="CL281" s="61">
        <v>381</v>
      </c>
      <c r="CM281" s="61">
        <v>277</v>
      </c>
      <c r="CN281" s="61">
        <v>1</v>
      </c>
      <c r="CO281" s="61">
        <v>55</v>
      </c>
      <c r="CP281" s="61">
        <v>5596</v>
      </c>
      <c r="CQ281" s="61">
        <v>1210</v>
      </c>
      <c r="CR281" s="61">
        <v>14</v>
      </c>
      <c r="CS281" s="61">
        <v>163</v>
      </c>
      <c r="CT281" s="61">
        <v>45</v>
      </c>
      <c r="CU281" s="61"/>
      <c r="CV281" s="61"/>
      <c r="CW281" s="61">
        <v>55</v>
      </c>
      <c r="CX281" s="61">
        <v>999</v>
      </c>
      <c r="CY281" s="61">
        <v>4308</v>
      </c>
      <c r="CZ281" s="61">
        <v>828</v>
      </c>
      <c r="DA281" s="61">
        <v>1857</v>
      </c>
      <c r="DB281" s="61">
        <v>248</v>
      </c>
      <c r="DC281" s="61"/>
      <c r="DD281" s="61">
        <v>8240</v>
      </c>
      <c r="DE281" s="61">
        <v>49</v>
      </c>
      <c r="DF281" s="61">
        <v>7496</v>
      </c>
      <c r="DG281" s="61">
        <v>695</v>
      </c>
      <c r="DH281" s="62" t="s">
        <v>2185</v>
      </c>
      <c r="DI281" s="61">
        <v>412</v>
      </c>
      <c r="DJ281" s="61">
        <v>20</v>
      </c>
      <c r="DK281" s="61"/>
      <c r="DL281" s="61"/>
      <c r="DM281" s="61"/>
      <c r="DN281" s="61"/>
    </row>
    <row r="282" spans="1:118" x14ac:dyDescent="0.25">
      <c r="A282" s="61">
        <v>106420522</v>
      </c>
      <c r="B282" s="62" t="s">
        <v>1274</v>
      </c>
      <c r="C282" s="62" t="s">
        <v>1275</v>
      </c>
      <c r="D282" s="62" t="s">
        <v>1257</v>
      </c>
      <c r="E282" s="62" t="s">
        <v>71</v>
      </c>
      <c r="F282" s="62" t="s">
        <v>2213</v>
      </c>
      <c r="G282" s="62" t="s">
        <v>1276</v>
      </c>
      <c r="H282" s="62" t="s">
        <v>1277</v>
      </c>
      <c r="I282" s="62" t="s">
        <v>1278</v>
      </c>
      <c r="J282" s="62" t="s">
        <v>2190</v>
      </c>
      <c r="K282" s="62"/>
      <c r="L282" s="61">
        <v>24</v>
      </c>
      <c r="M282" s="61">
        <v>37</v>
      </c>
      <c r="N282" s="61">
        <v>19</v>
      </c>
      <c r="O282" s="62" t="s">
        <v>1982</v>
      </c>
      <c r="P282" s="62" t="s">
        <v>120</v>
      </c>
      <c r="Q282" s="62" t="s">
        <v>120</v>
      </c>
      <c r="R282" s="62" t="s">
        <v>2167</v>
      </c>
      <c r="S282" s="62" t="s">
        <v>127</v>
      </c>
      <c r="T282" s="61">
        <v>4302</v>
      </c>
      <c r="U282" s="61">
        <v>3484</v>
      </c>
      <c r="V282" s="61"/>
      <c r="W282" s="61">
        <v>677</v>
      </c>
      <c r="X282" s="61">
        <v>719</v>
      </c>
      <c r="Y282" s="61">
        <v>831</v>
      </c>
      <c r="Z282" s="61">
        <v>771</v>
      </c>
      <c r="AA282" s="61">
        <v>738</v>
      </c>
      <c r="AB282" s="61">
        <v>984</v>
      </c>
      <c r="AC282" s="61">
        <v>995</v>
      </c>
      <c r="AD282" s="61">
        <v>857</v>
      </c>
      <c r="AE282" s="61">
        <v>1103</v>
      </c>
      <c r="AF282" s="61">
        <v>111</v>
      </c>
      <c r="AG282" s="61"/>
      <c r="AH282" s="61">
        <v>104</v>
      </c>
      <c r="AI282" s="61">
        <v>79</v>
      </c>
      <c r="AJ282" s="61">
        <v>1570</v>
      </c>
      <c r="AK282" s="61">
        <v>61</v>
      </c>
      <c r="AL282" s="61">
        <v>15</v>
      </c>
      <c r="AM282" s="61">
        <v>44</v>
      </c>
      <c r="AN282" s="61">
        <v>5913</v>
      </c>
      <c r="AO282" s="61">
        <v>369</v>
      </c>
      <c r="AP282" s="61">
        <v>41</v>
      </c>
      <c r="AQ282" s="61">
        <v>8</v>
      </c>
      <c r="AR282" s="61">
        <v>5</v>
      </c>
      <c r="AS282" s="61">
        <v>2</v>
      </c>
      <c r="AT282" s="61"/>
      <c r="AU282" s="61"/>
      <c r="AV282" s="61">
        <v>80</v>
      </c>
      <c r="AW282" s="61">
        <v>15</v>
      </c>
      <c r="AX282" s="61">
        <v>19</v>
      </c>
      <c r="AY282" s="61">
        <v>7045</v>
      </c>
      <c r="AZ282" s="61">
        <v>19</v>
      </c>
      <c r="BA282" s="61"/>
      <c r="BB282" s="61"/>
      <c r="BC282" s="61">
        <v>183</v>
      </c>
      <c r="BD282" s="61">
        <v>1689</v>
      </c>
      <c r="BE282" s="61">
        <v>2544</v>
      </c>
      <c r="BF282" s="61">
        <v>438</v>
      </c>
      <c r="BG282" s="61">
        <v>2659</v>
      </c>
      <c r="BH282" s="61">
        <v>456</v>
      </c>
      <c r="BI282" s="61"/>
      <c r="BJ282" s="61">
        <v>7786</v>
      </c>
      <c r="BK282" s="61">
        <v>54</v>
      </c>
      <c r="BL282" s="61">
        <v>7280</v>
      </c>
      <c r="BM282" s="61">
        <v>452</v>
      </c>
      <c r="BN282" s="61">
        <v>120</v>
      </c>
      <c r="BO282" s="61">
        <v>70</v>
      </c>
      <c r="BP282" s="61"/>
      <c r="BQ282" s="61"/>
      <c r="BR282" s="61">
        <v>6</v>
      </c>
      <c r="BS282" s="61">
        <v>2</v>
      </c>
      <c r="BT282" s="61">
        <v>4</v>
      </c>
      <c r="BU282" s="61">
        <v>11</v>
      </c>
      <c r="BV282" s="61">
        <v>21</v>
      </c>
      <c r="BW282" s="61">
        <v>37</v>
      </c>
      <c r="BX282" s="61">
        <v>109</v>
      </c>
      <c r="BY282" s="61"/>
      <c r="BZ282" s="61"/>
      <c r="CA282" s="61"/>
      <c r="CB282" s="61">
        <v>2</v>
      </c>
      <c r="CC282" s="61">
        <v>1</v>
      </c>
      <c r="CD282" s="61">
        <v>10</v>
      </c>
      <c r="CE282" s="61"/>
      <c r="CF282" s="61"/>
      <c r="CG282" s="61">
        <v>176</v>
      </c>
      <c r="CH282" s="61">
        <v>1</v>
      </c>
      <c r="CI282" s="61">
        <v>14</v>
      </c>
      <c r="CJ282" s="61">
        <v>2</v>
      </c>
      <c r="CK282" s="61">
        <v>9</v>
      </c>
      <c r="CL282" s="61">
        <v>20</v>
      </c>
      <c r="CM282" s="61">
        <v>1</v>
      </c>
      <c r="CN282" s="61"/>
      <c r="CO282" s="61">
        <v>3</v>
      </c>
      <c r="CP282" s="61">
        <v>116</v>
      </c>
      <c r="CQ282" s="61">
        <v>23</v>
      </c>
      <c r="CR282" s="61"/>
      <c r="CS282" s="61">
        <v>1</v>
      </c>
      <c r="CT282" s="61"/>
      <c r="CU282" s="61"/>
      <c r="CV282" s="61"/>
      <c r="CW282" s="61">
        <v>1</v>
      </c>
      <c r="CX282" s="61">
        <v>6</v>
      </c>
      <c r="CY282" s="61">
        <v>160</v>
      </c>
      <c r="CZ282" s="61">
        <v>8</v>
      </c>
      <c r="DA282" s="61">
        <v>11</v>
      </c>
      <c r="DB282" s="61">
        <v>5</v>
      </c>
      <c r="DC282" s="61"/>
      <c r="DD282" s="61">
        <v>190</v>
      </c>
      <c r="DE282" s="61">
        <v>2</v>
      </c>
      <c r="DF282" s="61">
        <v>186</v>
      </c>
      <c r="DG282" s="61">
        <v>2</v>
      </c>
      <c r="DH282" s="62" t="s">
        <v>2185</v>
      </c>
      <c r="DI282" s="61">
        <v>11</v>
      </c>
      <c r="DJ282" s="61">
        <v>6</v>
      </c>
      <c r="DK282" s="61"/>
      <c r="DL282" s="61"/>
      <c r="DM282" s="61"/>
      <c r="DN282" s="61"/>
    </row>
    <row r="283" spans="1:118" x14ac:dyDescent="0.25">
      <c r="A283" s="61">
        <v>106430705</v>
      </c>
      <c r="B283" s="62" t="s">
        <v>1279</v>
      </c>
      <c r="C283" s="62" t="s">
        <v>1280</v>
      </c>
      <c r="D283" s="62" t="s">
        <v>1281</v>
      </c>
      <c r="E283" s="62" t="s">
        <v>184</v>
      </c>
      <c r="F283" s="62" t="s">
        <v>2213</v>
      </c>
      <c r="G283" s="62" t="s">
        <v>1282</v>
      </c>
      <c r="H283" s="62" t="s">
        <v>1283</v>
      </c>
      <c r="I283" s="62" t="s">
        <v>1284</v>
      </c>
      <c r="J283" s="62" t="s">
        <v>2184</v>
      </c>
      <c r="K283" s="62" t="s">
        <v>82</v>
      </c>
      <c r="L283" s="61">
        <v>19</v>
      </c>
      <c r="M283" s="61">
        <v>27</v>
      </c>
      <c r="N283" s="61">
        <v>15</v>
      </c>
      <c r="O283" s="62" t="s">
        <v>1983</v>
      </c>
      <c r="P283" s="62" t="s">
        <v>68</v>
      </c>
      <c r="Q283" s="62" t="s">
        <v>2167</v>
      </c>
      <c r="R283" s="62" t="s">
        <v>2167</v>
      </c>
      <c r="S283" s="62" t="s">
        <v>69</v>
      </c>
      <c r="T283" s="61">
        <v>41060</v>
      </c>
      <c r="U283" s="61">
        <v>35440</v>
      </c>
      <c r="V283" s="61"/>
      <c r="W283" s="61">
        <v>12312</v>
      </c>
      <c r="X283" s="61">
        <v>9660</v>
      </c>
      <c r="Y283" s="61">
        <v>13517</v>
      </c>
      <c r="Z283" s="61">
        <v>11091</v>
      </c>
      <c r="AA283" s="61">
        <v>9628</v>
      </c>
      <c r="AB283" s="61">
        <v>7914</v>
      </c>
      <c r="AC283" s="61">
        <v>4757</v>
      </c>
      <c r="AD283" s="61">
        <v>2784</v>
      </c>
      <c r="AE283" s="61">
        <v>2459</v>
      </c>
      <c r="AF283" s="61">
        <v>2378</v>
      </c>
      <c r="AG283" s="61"/>
      <c r="AH283" s="61">
        <v>13628</v>
      </c>
      <c r="AI283" s="61">
        <v>3424</v>
      </c>
      <c r="AJ283" s="61">
        <v>47051</v>
      </c>
      <c r="AK283" s="61">
        <v>21</v>
      </c>
      <c r="AL283" s="61">
        <v>457</v>
      </c>
      <c r="AM283" s="61">
        <v>2</v>
      </c>
      <c r="AN283" s="61">
        <v>11917</v>
      </c>
      <c r="AO283" s="61">
        <v>888</v>
      </c>
      <c r="AP283" s="61">
        <v>1718</v>
      </c>
      <c r="AQ283" s="61">
        <v>161</v>
      </c>
      <c r="AR283" s="61">
        <v>1</v>
      </c>
      <c r="AS283" s="61"/>
      <c r="AT283" s="61"/>
      <c r="AU283" s="61"/>
      <c r="AV283" s="61">
        <v>357</v>
      </c>
      <c r="AW283" s="61">
        <v>231</v>
      </c>
      <c r="AX283" s="61">
        <v>4</v>
      </c>
      <c r="AY283" s="61">
        <v>73072</v>
      </c>
      <c r="AZ283" s="61">
        <v>44</v>
      </c>
      <c r="BA283" s="61">
        <v>1</v>
      </c>
      <c r="BB283" s="61">
        <v>1</v>
      </c>
      <c r="BC283" s="61">
        <v>14</v>
      </c>
      <c r="BD283" s="61">
        <v>22312</v>
      </c>
      <c r="BE283" s="61">
        <v>8864</v>
      </c>
      <c r="BF283" s="61">
        <v>24602</v>
      </c>
      <c r="BG283" s="61">
        <v>10637</v>
      </c>
      <c r="BH283" s="61">
        <v>10085</v>
      </c>
      <c r="BI283" s="61"/>
      <c r="BJ283" s="61">
        <v>76500</v>
      </c>
      <c r="BK283" s="61">
        <v>4928</v>
      </c>
      <c r="BL283" s="61">
        <v>55399</v>
      </c>
      <c r="BM283" s="61">
        <v>16173</v>
      </c>
      <c r="BN283" s="61">
        <v>6761</v>
      </c>
      <c r="BO283" s="61">
        <v>6512</v>
      </c>
      <c r="BP283" s="61"/>
      <c r="BQ283" s="61">
        <v>257</v>
      </c>
      <c r="BR283" s="61">
        <v>876</v>
      </c>
      <c r="BS283" s="61">
        <v>955</v>
      </c>
      <c r="BT283" s="61">
        <v>1285</v>
      </c>
      <c r="BU283" s="61">
        <v>1980</v>
      </c>
      <c r="BV283" s="61">
        <v>2187</v>
      </c>
      <c r="BW283" s="61">
        <v>2297</v>
      </c>
      <c r="BX283" s="61">
        <v>3272</v>
      </c>
      <c r="BY283" s="61">
        <v>62</v>
      </c>
      <c r="BZ283" s="61">
        <v>102</v>
      </c>
      <c r="CA283" s="61"/>
      <c r="CB283" s="61">
        <v>4865</v>
      </c>
      <c r="CC283" s="61">
        <v>540</v>
      </c>
      <c r="CD283" s="61">
        <v>4898</v>
      </c>
      <c r="CE283" s="61">
        <v>169</v>
      </c>
      <c r="CF283" s="61"/>
      <c r="CG283" s="61">
        <v>2796</v>
      </c>
      <c r="CH283" s="61">
        <v>5</v>
      </c>
      <c r="CI283" s="61">
        <v>354</v>
      </c>
      <c r="CJ283" s="61">
        <v>375</v>
      </c>
      <c r="CK283" s="61">
        <v>443</v>
      </c>
      <c r="CL283" s="61">
        <v>710</v>
      </c>
      <c r="CM283" s="61">
        <v>143</v>
      </c>
      <c r="CN283" s="61"/>
      <c r="CO283" s="61">
        <v>68</v>
      </c>
      <c r="CP283" s="61">
        <v>8840</v>
      </c>
      <c r="CQ283" s="61">
        <v>2086</v>
      </c>
      <c r="CR283" s="61">
        <v>13</v>
      </c>
      <c r="CS283" s="61">
        <v>189</v>
      </c>
      <c r="CT283" s="61">
        <v>14</v>
      </c>
      <c r="CU283" s="61"/>
      <c r="CV283" s="61">
        <v>14</v>
      </c>
      <c r="CW283" s="61">
        <v>21</v>
      </c>
      <c r="CX283" s="61">
        <v>4049</v>
      </c>
      <c r="CY283" s="61">
        <v>6305</v>
      </c>
      <c r="CZ283" s="61">
        <v>346</v>
      </c>
      <c r="DA283" s="61">
        <v>2275</v>
      </c>
      <c r="DB283" s="61">
        <v>298</v>
      </c>
      <c r="DC283" s="61"/>
      <c r="DD283" s="61">
        <v>13273</v>
      </c>
      <c r="DE283" s="61">
        <v>3079</v>
      </c>
      <c r="DF283" s="61">
        <v>8419</v>
      </c>
      <c r="DG283" s="61">
        <v>1775</v>
      </c>
      <c r="DH283" s="62" t="s">
        <v>2185</v>
      </c>
      <c r="DI283" s="61">
        <v>249</v>
      </c>
      <c r="DJ283" s="61">
        <v>27</v>
      </c>
      <c r="DK283" s="61"/>
      <c r="DL283" s="61">
        <v>8</v>
      </c>
      <c r="DM283" s="61">
        <v>3</v>
      </c>
      <c r="DN283" s="61"/>
    </row>
    <row r="284" spans="1:118" x14ac:dyDescent="0.25">
      <c r="A284" s="61">
        <v>106430763</v>
      </c>
      <c r="B284" s="62" t="s">
        <v>1285</v>
      </c>
      <c r="C284" s="62" t="s">
        <v>1286</v>
      </c>
      <c r="D284" s="62" t="s">
        <v>1281</v>
      </c>
      <c r="E284" s="62" t="s">
        <v>94</v>
      </c>
      <c r="F284" s="62" t="s">
        <v>2213</v>
      </c>
      <c r="G284" s="62" t="s">
        <v>1287</v>
      </c>
      <c r="H284" s="62" t="s">
        <v>1288</v>
      </c>
      <c r="I284" s="62" t="s">
        <v>1289</v>
      </c>
      <c r="J284" s="62" t="s">
        <v>2186</v>
      </c>
      <c r="K284" s="62"/>
      <c r="L284" s="61">
        <v>18</v>
      </c>
      <c r="M284" s="61">
        <v>24</v>
      </c>
      <c r="N284" s="61">
        <v>13</v>
      </c>
      <c r="O284" s="62" t="s">
        <v>1984</v>
      </c>
      <c r="P284" s="62" t="s">
        <v>68</v>
      </c>
      <c r="Q284" s="62" t="s">
        <v>2167</v>
      </c>
      <c r="R284" s="62" t="s">
        <v>2167</v>
      </c>
      <c r="S284" s="62" t="s">
        <v>69</v>
      </c>
      <c r="T284" s="61">
        <v>28417</v>
      </c>
      <c r="U284" s="61">
        <v>23814</v>
      </c>
      <c r="V284" s="61"/>
      <c r="W284" s="61">
        <v>6485</v>
      </c>
      <c r="X284" s="61">
        <v>4868</v>
      </c>
      <c r="Y284" s="61">
        <v>7033</v>
      </c>
      <c r="Z284" s="61">
        <v>7491</v>
      </c>
      <c r="AA284" s="61">
        <v>6302</v>
      </c>
      <c r="AB284" s="61">
        <v>6245</v>
      </c>
      <c r="AC284" s="61">
        <v>4296</v>
      </c>
      <c r="AD284" s="61">
        <v>3417</v>
      </c>
      <c r="AE284" s="61">
        <v>4866</v>
      </c>
      <c r="AF284" s="61">
        <v>1224</v>
      </c>
      <c r="AG284" s="61">
        <v>4</v>
      </c>
      <c r="AH284" s="61">
        <v>8513</v>
      </c>
      <c r="AI284" s="61">
        <v>1404</v>
      </c>
      <c r="AJ284" s="61">
        <v>18499</v>
      </c>
      <c r="AK284" s="61">
        <v>17</v>
      </c>
      <c r="AL284" s="61">
        <v>5709</v>
      </c>
      <c r="AM284" s="61">
        <v>344</v>
      </c>
      <c r="AN284" s="61">
        <v>17745</v>
      </c>
      <c r="AO284" s="61">
        <v>903</v>
      </c>
      <c r="AP284" s="61">
        <v>880</v>
      </c>
      <c r="AQ284" s="61">
        <v>76</v>
      </c>
      <c r="AR284" s="61">
        <v>159</v>
      </c>
      <c r="AS284" s="61">
        <v>42</v>
      </c>
      <c r="AT284" s="61">
        <v>41</v>
      </c>
      <c r="AU284" s="61"/>
      <c r="AV284" s="61">
        <v>31</v>
      </c>
      <c r="AW284" s="61">
        <v>150</v>
      </c>
      <c r="AX284" s="61"/>
      <c r="AY284" s="61">
        <v>49550</v>
      </c>
      <c r="AZ284" s="61">
        <v>312</v>
      </c>
      <c r="BA284" s="61">
        <v>5</v>
      </c>
      <c r="BB284" s="61">
        <v>1</v>
      </c>
      <c r="BC284" s="61">
        <v>72</v>
      </c>
      <c r="BD284" s="61">
        <v>13546</v>
      </c>
      <c r="BE284" s="61">
        <v>10025</v>
      </c>
      <c r="BF284" s="61">
        <v>2583</v>
      </c>
      <c r="BG284" s="61">
        <v>21498</v>
      </c>
      <c r="BH284" s="61">
        <v>4579</v>
      </c>
      <c r="BI284" s="61"/>
      <c r="BJ284" s="61">
        <v>52231</v>
      </c>
      <c r="BK284" s="61">
        <v>3659</v>
      </c>
      <c r="BL284" s="61">
        <v>43269</v>
      </c>
      <c r="BM284" s="61">
        <v>5303</v>
      </c>
      <c r="BN284" s="61">
        <v>4658</v>
      </c>
      <c r="BO284" s="61">
        <v>3953</v>
      </c>
      <c r="BP284" s="61"/>
      <c r="BQ284" s="61">
        <v>84</v>
      </c>
      <c r="BR284" s="61">
        <v>450</v>
      </c>
      <c r="BS284" s="61">
        <v>575</v>
      </c>
      <c r="BT284" s="61">
        <v>681</v>
      </c>
      <c r="BU284" s="61">
        <v>1045</v>
      </c>
      <c r="BV284" s="61">
        <v>1236</v>
      </c>
      <c r="BW284" s="61">
        <v>1465</v>
      </c>
      <c r="BX284" s="61">
        <v>3041</v>
      </c>
      <c r="BY284" s="61">
        <v>29</v>
      </c>
      <c r="BZ284" s="61">
        <v>5</v>
      </c>
      <c r="CA284" s="61"/>
      <c r="CB284" s="61">
        <v>1287</v>
      </c>
      <c r="CC284" s="61">
        <v>155</v>
      </c>
      <c r="CD284" s="61">
        <v>2917</v>
      </c>
      <c r="CE284" s="61">
        <v>566</v>
      </c>
      <c r="CF284" s="61">
        <v>13</v>
      </c>
      <c r="CG284" s="61">
        <v>3672</v>
      </c>
      <c r="CH284" s="61">
        <v>1</v>
      </c>
      <c r="CI284" s="61">
        <v>1704</v>
      </c>
      <c r="CJ284" s="61">
        <v>137</v>
      </c>
      <c r="CK284" s="61">
        <v>332</v>
      </c>
      <c r="CL284" s="61">
        <v>1117</v>
      </c>
      <c r="CM284" s="61">
        <v>165</v>
      </c>
      <c r="CN284" s="61"/>
      <c r="CO284" s="61">
        <v>1</v>
      </c>
      <c r="CP284" s="61">
        <v>4657</v>
      </c>
      <c r="CQ284" s="61">
        <v>240</v>
      </c>
      <c r="CR284" s="61"/>
      <c r="CS284" s="61">
        <v>204</v>
      </c>
      <c r="CT284" s="61">
        <v>45</v>
      </c>
      <c r="CU284" s="61"/>
      <c r="CV284" s="61"/>
      <c r="CW284" s="61">
        <v>2</v>
      </c>
      <c r="CX284" s="61">
        <v>880</v>
      </c>
      <c r="CY284" s="61">
        <v>5077</v>
      </c>
      <c r="CZ284" s="61">
        <v>284</v>
      </c>
      <c r="DA284" s="61">
        <v>2294</v>
      </c>
      <c r="DB284" s="61">
        <v>70</v>
      </c>
      <c r="DC284" s="61">
        <v>6</v>
      </c>
      <c r="DD284" s="61">
        <v>8611</v>
      </c>
      <c r="DE284" s="61">
        <v>966</v>
      </c>
      <c r="DF284" s="61">
        <v>7340</v>
      </c>
      <c r="DG284" s="61">
        <v>305</v>
      </c>
      <c r="DH284" s="62" t="s">
        <v>2185</v>
      </c>
      <c r="DI284" s="61">
        <v>300</v>
      </c>
      <c r="DJ284" s="61">
        <v>28</v>
      </c>
      <c r="DK284" s="61">
        <v>9</v>
      </c>
      <c r="DL284" s="61"/>
      <c r="DM284" s="61">
        <v>7</v>
      </c>
      <c r="DN284" s="61"/>
    </row>
    <row r="285" spans="1:118" x14ac:dyDescent="0.25">
      <c r="A285" s="61">
        <v>106430779</v>
      </c>
      <c r="B285" s="62" t="s">
        <v>1290</v>
      </c>
      <c r="C285" s="62" t="s">
        <v>1291</v>
      </c>
      <c r="D285" s="62" t="s">
        <v>1281</v>
      </c>
      <c r="E285" s="62" t="s">
        <v>184</v>
      </c>
      <c r="F285" s="62" t="s">
        <v>2213</v>
      </c>
      <c r="G285" s="62" t="s">
        <v>1292</v>
      </c>
      <c r="H285" s="62" t="s">
        <v>1283</v>
      </c>
      <c r="I285" s="62" t="s">
        <v>1293</v>
      </c>
      <c r="J285" s="62" t="s">
        <v>2186</v>
      </c>
      <c r="K285" s="62"/>
      <c r="L285" s="61">
        <v>18</v>
      </c>
      <c r="M285" s="61">
        <v>28</v>
      </c>
      <c r="N285" s="61">
        <v>15</v>
      </c>
      <c r="O285" s="62" t="s">
        <v>1985</v>
      </c>
      <c r="P285" s="62" t="s">
        <v>68</v>
      </c>
      <c r="Q285" s="62" t="s">
        <v>2167</v>
      </c>
      <c r="R285" s="62" t="s">
        <v>2167</v>
      </c>
      <c r="S285" s="62" t="s">
        <v>69</v>
      </c>
      <c r="T285" s="61">
        <v>26090</v>
      </c>
      <c r="U285" s="61">
        <v>19575</v>
      </c>
      <c r="V285" s="61"/>
      <c r="W285" s="61">
        <v>6140</v>
      </c>
      <c r="X285" s="61">
        <v>4662</v>
      </c>
      <c r="Y285" s="61">
        <v>6066</v>
      </c>
      <c r="Z285" s="61">
        <v>6399</v>
      </c>
      <c r="AA285" s="61">
        <v>5682</v>
      </c>
      <c r="AB285" s="61">
        <v>5440</v>
      </c>
      <c r="AC285" s="61">
        <v>3657</v>
      </c>
      <c r="AD285" s="61">
        <v>2956</v>
      </c>
      <c r="AE285" s="61">
        <v>3589</v>
      </c>
      <c r="AF285" s="61">
        <v>1074</v>
      </c>
      <c r="AG285" s="61"/>
      <c r="AH285" s="61">
        <v>5196</v>
      </c>
      <c r="AI285" s="61">
        <v>1518</v>
      </c>
      <c r="AJ285" s="61">
        <v>9870</v>
      </c>
      <c r="AK285" s="61">
        <v>24</v>
      </c>
      <c r="AL285" s="61">
        <v>4736</v>
      </c>
      <c r="AM285" s="61">
        <v>73</v>
      </c>
      <c r="AN285" s="61">
        <v>24248</v>
      </c>
      <c r="AO285" s="61">
        <v>203</v>
      </c>
      <c r="AP285" s="61">
        <v>313</v>
      </c>
      <c r="AQ285" s="61">
        <v>63</v>
      </c>
      <c r="AR285" s="61">
        <v>1</v>
      </c>
      <c r="AS285" s="61">
        <v>8</v>
      </c>
      <c r="AT285" s="61">
        <v>18</v>
      </c>
      <c r="AU285" s="61"/>
      <c r="AV285" s="61">
        <v>10</v>
      </c>
      <c r="AW285" s="61">
        <v>175</v>
      </c>
      <c r="AX285" s="61">
        <v>7</v>
      </c>
      <c r="AY285" s="61">
        <v>44728</v>
      </c>
      <c r="AZ285" s="61">
        <v>86</v>
      </c>
      <c r="BA285" s="61">
        <v>3</v>
      </c>
      <c r="BB285" s="61">
        <v>1</v>
      </c>
      <c r="BC285" s="61">
        <v>24</v>
      </c>
      <c r="BD285" s="61">
        <v>4893</v>
      </c>
      <c r="BE285" s="61">
        <v>8839</v>
      </c>
      <c r="BF285" s="61">
        <v>6769</v>
      </c>
      <c r="BG285" s="61">
        <v>22156</v>
      </c>
      <c r="BH285" s="61">
        <v>3008</v>
      </c>
      <c r="BI285" s="61"/>
      <c r="BJ285" s="61">
        <v>45665</v>
      </c>
      <c r="BK285" s="61">
        <v>1190</v>
      </c>
      <c r="BL285" s="61">
        <v>43126</v>
      </c>
      <c r="BM285" s="61">
        <v>1349</v>
      </c>
      <c r="BN285" s="61">
        <v>6693</v>
      </c>
      <c r="BO285" s="61">
        <v>3820</v>
      </c>
      <c r="BP285" s="61"/>
      <c r="BQ285" s="61">
        <v>198</v>
      </c>
      <c r="BR285" s="61">
        <v>804</v>
      </c>
      <c r="BS285" s="61">
        <v>1844</v>
      </c>
      <c r="BT285" s="61">
        <v>751</v>
      </c>
      <c r="BU285" s="61">
        <v>1047</v>
      </c>
      <c r="BV285" s="61">
        <v>1289</v>
      </c>
      <c r="BW285" s="61">
        <v>1561</v>
      </c>
      <c r="BX285" s="61">
        <v>2627</v>
      </c>
      <c r="BY285" s="61">
        <v>115</v>
      </c>
      <c r="BZ285" s="61">
        <v>277</v>
      </c>
      <c r="CA285" s="61"/>
      <c r="CB285" s="61">
        <v>1780</v>
      </c>
      <c r="CC285" s="61">
        <v>200</v>
      </c>
      <c r="CD285" s="61">
        <v>1290</v>
      </c>
      <c r="CE285" s="61">
        <v>944</v>
      </c>
      <c r="CF285" s="61">
        <v>17</v>
      </c>
      <c r="CG285" s="61">
        <v>6280</v>
      </c>
      <c r="CH285" s="61">
        <v>2</v>
      </c>
      <c r="CI285" s="61">
        <v>99</v>
      </c>
      <c r="CJ285" s="61">
        <v>103</v>
      </c>
      <c r="CK285" s="61">
        <v>364</v>
      </c>
      <c r="CL285" s="61">
        <v>653</v>
      </c>
      <c r="CM285" s="61">
        <v>196</v>
      </c>
      <c r="CN285" s="61">
        <v>1</v>
      </c>
      <c r="CO285" s="61">
        <v>35</v>
      </c>
      <c r="CP285" s="61">
        <v>7182</v>
      </c>
      <c r="CQ285" s="61">
        <v>1619</v>
      </c>
      <c r="CR285" s="61"/>
      <c r="CS285" s="61">
        <v>180</v>
      </c>
      <c r="CT285" s="61">
        <v>42</v>
      </c>
      <c r="CU285" s="61">
        <v>6</v>
      </c>
      <c r="CV285" s="61">
        <v>7</v>
      </c>
      <c r="CW285" s="61">
        <v>21</v>
      </c>
      <c r="CX285" s="61">
        <v>795</v>
      </c>
      <c r="CY285" s="61">
        <v>4750</v>
      </c>
      <c r="CZ285" s="61">
        <v>371</v>
      </c>
      <c r="DA285" s="61">
        <v>4379</v>
      </c>
      <c r="DB285" s="61">
        <v>218</v>
      </c>
      <c r="DC285" s="61"/>
      <c r="DD285" s="61">
        <v>10513</v>
      </c>
      <c r="DE285" s="61">
        <v>662</v>
      </c>
      <c r="DF285" s="61">
        <v>9601</v>
      </c>
      <c r="DG285" s="61">
        <v>250</v>
      </c>
      <c r="DH285" s="62" t="s">
        <v>2185</v>
      </c>
      <c r="DI285" s="61">
        <v>404</v>
      </c>
      <c r="DJ285" s="61">
        <v>25</v>
      </c>
      <c r="DK285" s="61"/>
      <c r="DL285" s="61">
        <v>25</v>
      </c>
      <c r="DM285" s="61">
        <v>5</v>
      </c>
      <c r="DN285" s="61"/>
    </row>
    <row r="286" spans="1:118" x14ac:dyDescent="0.25">
      <c r="A286" s="61">
        <v>106430837</v>
      </c>
      <c r="B286" s="62" t="s">
        <v>1294</v>
      </c>
      <c r="C286" s="62" t="s">
        <v>2102</v>
      </c>
      <c r="D286" s="62" t="s">
        <v>1281</v>
      </c>
      <c r="E286" s="62" t="s">
        <v>71</v>
      </c>
      <c r="F286" s="62" t="s">
        <v>2213</v>
      </c>
      <c r="G286" s="62" t="s">
        <v>1295</v>
      </c>
      <c r="H286" s="62" t="s">
        <v>1283</v>
      </c>
      <c r="I286" s="62" t="s">
        <v>1296</v>
      </c>
      <c r="J286" s="62" t="s">
        <v>2186</v>
      </c>
      <c r="K286" s="62"/>
      <c r="L286" s="61">
        <v>18</v>
      </c>
      <c r="M286" s="61">
        <v>28</v>
      </c>
      <c r="N286" s="61">
        <v>10</v>
      </c>
      <c r="O286" s="62" t="s">
        <v>1986</v>
      </c>
      <c r="P286" s="62" t="s">
        <v>68</v>
      </c>
      <c r="Q286" s="62" t="s">
        <v>2167</v>
      </c>
      <c r="R286" s="62" t="s">
        <v>2167</v>
      </c>
      <c r="S286" s="62" t="s">
        <v>69</v>
      </c>
      <c r="T286" s="61">
        <v>27494</v>
      </c>
      <c r="U286" s="61">
        <v>21137</v>
      </c>
      <c r="V286" s="61"/>
      <c r="W286" s="61">
        <v>9456</v>
      </c>
      <c r="X286" s="61">
        <v>5282</v>
      </c>
      <c r="Y286" s="61">
        <v>8381</v>
      </c>
      <c r="Z286" s="61">
        <v>6896</v>
      </c>
      <c r="AA286" s="61">
        <v>5052</v>
      </c>
      <c r="AB286" s="61">
        <v>4363</v>
      </c>
      <c r="AC286" s="61">
        <v>2817</v>
      </c>
      <c r="AD286" s="61">
        <v>2062</v>
      </c>
      <c r="AE286" s="61">
        <v>2436</v>
      </c>
      <c r="AF286" s="61">
        <v>1886</v>
      </c>
      <c r="AG286" s="61"/>
      <c r="AH286" s="61">
        <v>6767</v>
      </c>
      <c r="AI286" s="61">
        <v>2238</v>
      </c>
      <c r="AJ286" s="61">
        <v>27447</v>
      </c>
      <c r="AK286" s="61">
        <v>54</v>
      </c>
      <c r="AL286" s="61">
        <v>640</v>
      </c>
      <c r="AM286" s="61">
        <v>180</v>
      </c>
      <c r="AN286" s="61">
        <v>11305</v>
      </c>
      <c r="AO286" s="61">
        <v>409</v>
      </c>
      <c r="AP286" s="61">
        <v>1910</v>
      </c>
      <c r="AQ286" s="61">
        <v>39</v>
      </c>
      <c r="AR286" s="61"/>
      <c r="AS286" s="61">
        <v>1</v>
      </c>
      <c r="AT286" s="61"/>
      <c r="AU286" s="61"/>
      <c r="AV286" s="61"/>
      <c r="AW286" s="61">
        <v>99</v>
      </c>
      <c r="AX286" s="61">
        <v>2</v>
      </c>
      <c r="AY286" s="61">
        <v>45965</v>
      </c>
      <c r="AZ286" s="61">
        <v>18</v>
      </c>
      <c r="BA286" s="61"/>
      <c r="BB286" s="61"/>
      <c r="BC286" s="61"/>
      <c r="BD286" s="61">
        <v>27633</v>
      </c>
      <c r="BE286" s="61">
        <v>6284</v>
      </c>
      <c r="BF286" s="61">
        <v>1789</v>
      </c>
      <c r="BG286" s="61">
        <v>9552</v>
      </c>
      <c r="BH286" s="61">
        <v>3373</v>
      </c>
      <c r="BI286" s="61"/>
      <c r="BJ286" s="61">
        <v>48631</v>
      </c>
      <c r="BK286" s="61">
        <v>1411</v>
      </c>
      <c r="BL286" s="61">
        <v>39440</v>
      </c>
      <c r="BM286" s="61">
        <v>7780</v>
      </c>
      <c r="BN286" s="61">
        <v>3384</v>
      </c>
      <c r="BO286" s="61">
        <v>2755</v>
      </c>
      <c r="BP286" s="61"/>
      <c r="BQ286" s="61">
        <v>71</v>
      </c>
      <c r="BR286" s="61">
        <v>244</v>
      </c>
      <c r="BS286" s="61">
        <v>342</v>
      </c>
      <c r="BT286" s="61">
        <v>445</v>
      </c>
      <c r="BU286" s="61">
        <v>760</v>
      </c>
      <c r="BV286" s="61">
        <v>894</v>
      </c>
      <c r="BW286" s="61">
        <v>1147</v>
      </c>
      <c r="BX286" s="61">
        <v>2089</v>
      </c>
      <c r="BY286" s="61">
        <v>61</v>
      </c>
      <c r="BZ286" s="61">
        <v>86</v>
      </c>
      <c r="CA286" s="61"/>
      <c r="CB286" s="61">
        <v>1516</v>
      </c>
      <c r="CC286" s="61">
        <v>224</v>
      </c>
      <c r="CD286" s="61">
        <v>1678</v>
      </c>
      <c r="CE286" s="61">
        <v>50</v>
      </c>
      <c r="CF286" s="61">
        <v>4</v>
      </c>
      <c r="CG286" s="61">
        <v>2666</v>
      </c>
      <c r="CH286" s="61">
        <v>1</v>
      </c>
      <c r="CI286" s="61">
        <v>34</v>
      </c>
      <c r="CJ286" s="61">
        <v>795</v>
      </c>
      <c r="CK286" s="61">
        <v>216</v>
      </c>
      <c r="CL286" s="61">
        <v>624</v>
      </c>
      <c r="CM286" s="61">
        <v>15</v>
      </c>
      <c r="CN286" s="61"/>
      <c r="CO286" s="61">
        <v>3</v>
      </c>
      <c r="CP286" s="61">
        <v>3615</v>
      </c>
      <c r="CQ286" s="61">
        <v>706</v>
      </c>
      <c r="CR286" s="61"/>
      <c r="CS286" s="61">
        <v>48</v>
      </c>
      <c r="CT286" s="61">
        <v>3</v>
      </c>
      <c r="CU286" s="61">
        <v>52</v>
      </c>
      <c r="CV286" s="61"/>
      <c r="CW286" s="61"/>
      <c r="CX286" s="61">
        <v>1021</v>
      </c>
      <c r="CY286" s="61">
        <v>3295</v>
      </c>
      <c r="CZ286" s="61">
        <v>383</v>
      </c>
      <c r="DA286" s="61">
        <v>1278</v>
      </c>
      <c r="DB286" s="61">
        <v>162</v>
      </c>
      <c r="DC286" s="61"/>
      <c r="DD286" s="61">
        <v>6139</v>
      </c>
      <c r="DE286" s="61">
        <v>700</v>
      </c>
      <c r="DF286" s="61">
        <v>4924</v>
      </c>
      <c r="DG286" s="61">
        <v>515</v>
      </c>
      <c r="DH286" s="62" t="s">
        <v>2185</v>
      </c>
      <c r="DI286" s="61">
        <v>358</v>
      </c>
      <c r="DJ286" s="61">
        <v>23</v>
      </c>
      <c r="DK286" s="61"/>
      <c r="DL286" s="61">
        <v>188</v>
      </c>
      <c r="DM286" s="61">
        <v>27</v>
      </c>
      <c r="DN286" s="61">
        <v>1</v>
      </c>
    </row>
    <row r="287" spans="1:118" x14ac:dyDescent="0.25">
      <c r="A287" s="61">
        <v>106430883</v>
      </c>
      <c r="B287" s="62" t="s">
        <v>1297</v>
      </c>
      <c r="C287" s="62" t="s">
        <v>1298</v>
      </c>
      <c r="D287" s="62" t="s">
        <v>1281</v>
      </c>
      <c r="E287" s="62" t="s">
        <v>100</v>
      </c>
      <c r="F287" s="62" t="s">
        <v>2213</v>
      </c>
      <c r="G287" s="62" t="s">
        <v>1299</v>
      </c>
      <c r="H287" s="62" t="s">
        <v>1283</v>
      </c>
      <c r="I287" s="62" t="s">
        <v>2103</v>
      </c>
      <c r="J287" s="62" t="s">
        <v>2191</v>
      </c>
      <c r="K287" s="62" t="s">
        <v>534</v>
      </c>
      <c r="L287" s="61">
        <v>18</v>
      </c>
      <c r="M287" s="61">
        <v>28</v>
      </c>
      <c r="N287" s="61">
        <v>15</v>
      </c>
      <c r="O287" s="62" t="s">
        <v>1986</v>
      </c>
      <c r="P287" s="62" t="s">
        <v>68</v>
      </c>
      <c r="Q287" s="62" t="s">
        <v>2167</v>
      </c>
      <c r="R287" s="62" t="s">
        <v>83</v>
      </c>
      <c r="S287" s="62" t="s">
        <v>223</v>
      </c>
      <c r="T287" s="61">
        <v>40508</v>
      </c>
      <c r="U287" s="61">
        <v>41976</v>
      </c>
      <c r="V287" s="61">
        <v>13</v>
      </c>
      <c r="W287" s="61">
        <v>3533</v>
      </c>
      <c r="X287" s="61">
        <v>5026</v>
      </c>
      <c r="Y287" s="61">
        <v>15991</v>
      </c>
      <c r="Z287" s="61">
        <v>14918</v>
      </c>
      <c r="AA287" s="61">
        <v>14449</v>
      </c>
      <c r="AB287" s="61">
        <v>15434</v>
      </c>
      <c r="AC287" s="61">
        <v>8797</v>
      </c>
      <c r="AD287" s="61">
        <v>2504</v>
      </c>
      <c r="AE287" s="61">
        <v>1030</v>
      </c>
      <c r="AF287" s="61">
        <v>815</v>
      </c>
      <c r="AG287" s="61"/>
      <c r="AH287" s="61">
        <v>9246</v>
      </c>
      <c r="AI287" s="61">
        <v>6308</v>
      </c>
      <c r="AJ287" s="61">
        <v>39916</v>
      </c>
      <c r="AK287" s="61">
        <v>144</v>
      </c>
      <c r="AL287" s="61">
        <v>5320</v>
      </c>
      <c r="AM287" s="61">
        <v>209</v>
      </c>
      <c r="AN287" s="61">
        <v>21354</v>
      </c>
      <c r="AO287" s="61">
        <v>119</v>
      </c>
      <c r="AP287" s="61">
        <v>6026</v>
      </c>
      <c r="AQ287" s="61">
        <v>84</v>
      </c>
      <c r="AR287" s="61">
        <v>35</v>
      </c>
      <c r="AS287" s="61">
        <v>6</v>
      </c>
      <c r="AT287" s="61">
        <v>14</v>
      </c>
      <c r="AU287" s="61"/>
      <c r="AV287" s="61">
        <v>589</v>
      </c>
      <c r="AW287" s="61">
        <v>644</v>
      </c>
      <c r="AX287" s="61">
        <v>367</v>
      </c>
      <c r="AY287" s="61">
        <v>72239</v>
      </c>
      <c r="AZ287" s="61">
        <v>190</v>
      </c>
      <c r="BA287" s="61">
        <v>1</v>
      </c>
      <c r="BB287" s="61">
        <v>1</v>
      </c>
      <c r="BC287" s="61">
        <v>2125</v>
      </c>
      <c r="BD287" s="61">
        <v>46819</v>
      </c>
      <c r="BE287" s="61">
        <v>5975</v>
      </c>
      <c r="BF287" s="61">
        <v>6442</v>
      </c>
      <c r="BG287" s="61">
        <v>14072</v>
      </c>
      <c r="BH287" s="61">
        <v>9189</v>
      </c>
      <c r="BI287" s="61"/>
      <c r="BJ287" s="61">
        <v>82497</v>
      </c>
      <c r="BK287" s="61">
        <v>4976</v>
      </c>
      <c r="BL287" s="61">
        <v>62281</v>
      </c>
      <c r="BM287" s="61">
        <v>15240</v>
      </c>
      <c r="BN287" s="61">
        <v>6323</v>
      </c>
      <c r="BO287" s="61">
        <v>8334</v>
      </c>
      <c r="BP287" s="61">
        <v>2</v>
      </c>
      <c r="BQ287" s="61">
        <v>385</v>
      </c>
      <c r="BR287" s="61">
        <v>1324</v>
      </c>
      <c r="BS287" s="61">
        <v>1598</v>
      </c>
      <c r="BT287" s="61">
        <v>2147</v>
      </c>
      <c r="BU287" s="61">
        <v>3508</v>
      </c>
      <c r="BV287" s="61">
        <v>2861</v>
      </c>
      <c r="BW287" s="61">
        <v>1410</v>
      </c>
      <c r="BX287" s="61">
        <v>994</v>
      </c>
      <c r="BY287" s="61">
        <v>121</v>
      </c>
      <c r="BZ287" s="61">
        <v>311</v>
      </c>
      <c r="CA287" s="61"/>
      <c r="CB287" s="61">
        <v>2695</v>
      </c>
      <c r="CC287" s="61">
        <v>978</v>
      </c>
      <c r="CD287" s="61">
        <v>5662</v>
      </c>
      <c r="CE287" s="61">
        <v>433</v>
      </c>
      <c r="CF287" s="61">
        <v>49</v>
      </c>
      <c r="CG287" s="61">
        <v>4825</v>
      </c>
      <c r="CH287" s="61">
        <v>17</v>
      </c>
      <c r="CI287" s="61">
        <v>164</v>
      </c>
      <c r="CJ287" s="61">
        <v>403</v>
      </c>
      <c r="CK287" s="61">
        <v>298</v>
      </c>
      <c r="CL287" s="61">
        <v>43</v>
      </c>
      <c r="CM287" s="61">
        <v>129</v>
      </c>
      <c r="CN287" s="61"/>
      <c r="CO287" s="61">
        <v>201</v>
      </c>
      <c r="CP287" s="61">
        <v>11107</v>
      </c>
      <c r="CQ287" s="61">
        <v>1474</v>
      </c>
      <c r="CR287" s="61">
        <v>138</v>
      </c>
      <c r="CS287" s="61">
        <v>190</v>
      </c>
      <c r="CT287" s="61">
        <v>171</v>
      </c>
      <c r="CU287" s="61">
        <v>1</v>
      </c>
      <c r="CV287" s="61">
        <v>1</v>
      </c>
      <c r="CW287" s="61">
        <v>231</v>
      </c>
      <c r="CX287" s="61">
        <v>7805</v>
      </c>
      <c r="CY287" s="61">
        <v>2032</v>
      </c>
      <c r="CZ287" s="61">
        <v>1034</v>
      </c>
      <c r="DA287" s="61">
        <v>1602</v>
      </c>
      <c r="DB287" s="61">
        <v>2186</v>
      </c>
      <c r="DC287" s="61"/>
      <c r="DD287" s="61">
        <v>14659</v>
      </c>
      <c r="DE287" s="61">
        <v>1662</v>
      </c>
      <c r="DF287" s="61">
        <v>10668</v>
      </c>
      <c r="DG287" s="61">
        <v>2329</v>
      </c>
      <c r="DH287" s="62" t="s">
        <v>2185</v>
      </c>
      <c r="DI287" s="61">
        <v>574</v>
      </c>
      <c r="DJ287" s="61">
        <v>24</v>
      </c>
      <c r="DK287" s="61"/>
      <c r="DL287" s="61">
        <v>57</v>
      </c>
      <c r="DM287" s="61"/>
      <c r="DN287" s="61">
        <v>108</v>
      </c>
    </row>
    <row r="288" spans="1:118" x14ac:dyDescent="0.25">
      <c r="A288" s="61">
        <v>106430905</v>
      </c>
      <c r="B288" s="62" t="s">
        <v>1300</v>
      </c>
      <c r="C288" s="62" t="s">
        <v>2104</v>
      </c>
      <c r="D288" s="62" t="s">
        <v>1281</v>
      </c>
      <c r="E288" s="62" t="s">
        <v>71</v>
      </c>
      <c r="F288" s="62" t="s">
        <v>2213</v>
      </c>
      <c r="G288" s="62" t="s">
        <v>1301</v>
      </c>
      <c r="H288" s="62" t="s">
        <v>1302</v>
      </c>
      <c r="I288" s="62" t="s">
        <v>1303</v>
      </c>
      <c r="J288" s="62" t="s">
        <v>2191</v>
      </c>
      <c r="K288" s="62" t="s">
        <v>534</v>
      </c>
      <c r="L288" s="61">
        <v>18</v>
      </c>
      <c r="M288" s="61">
        <v>24</v>
      </c>
      <c r="N288" s="61">
        <v>13</v>
      </c>
      <c r="O288" s="62" t="s">
        <v>1984</v>
      </c>
      <c r="P288" s="62" t="s">
        <v>68</v>
      </c>
      <c r="Q288" s="62" t="s">
        <v>2167</v>
      </c>
      <c r="R288" s="62" t="s">
        <v>83</v>
      </c>
      <c r="S288" s="62" t="s">
        <v>69</v>
      </c>
      <c r="T288" s="61">
        <v>27036</v>
      </c>
      <c r="U288" s="61">
        <v>24044</v>
      </c>
      <c r="V288" s="61">
        <v>12</v>
      </c>
      <c r="W288" s="61">
        <v>9930</v>
      </c>
      <c r="X288" s="61">
        <v>6613</v>
      </c>
      <c r="Y288" s="61">
        <v>7997</v>
      </c>
      <c r="Z288" s="61">
        <v>6323</v>
      </c>
      <c r="AA288" s="61">
        <v>4972</v>
      </c>
      <c r="AB288" s="61">
        <v>4853</v>
      </c>
      <c r="AC288" s="61">
        <v>3588</v>
      </c>
      <c r="AD288" s="61">
        <v>2173</v>
      </c>
      <c r="AE288" s="61">
        <v>2049</v>
      </c>
      <c r="AF288" s="61">
        <v>2594</v>
      </c>
      <c r="AG288" s="61"/>
      <c r="AH288" s="61">
        <v>7139</v>
      </c>
      <c r="AI288" s="61">
        <v>3851</v>
      </c>
      <c r="AJ288" s="61">
        <v>18231</v>
      </c>
      <c r="AK288" s="61">
        <v>86</v>
      </c>
      <c r="AL288" s="61">
        <v>4318</v>
      </c>
      <c r="AM288" s="61">
        <v>638</v>
      </c>
      <c r="AN288" s="61">
        <v>16829</v>
      </c>
      <c r="AO288" s="61">
        <v>261</v>
      </c>
      <c r="AP288" s="61"/>
      <c r="AQ288" s="61">
        <v>71</v>
      </c>
      <c r="AR288" s="61">
        <v>72</v>
      </c>
      <c r="AS288" s="61">
        <v>7</v>
      </c>
      <c r="AT288" s="61">
        <v>4</v>
      </c>
      <c r="AU288" s="61"/>
      <c r="AV288" s="61">
        <v>51</v>
      </c>
      <c r="AW288" s="61">
        <v>184</v>
      </c>
      <c r="AX288" s="61"/>
      <c r="AY288" s="61">
        <v>47066</v>
      </c>
      <c r="AZ288" s="61">
        <v>156</v>
      </c>
      <c r="BA288" s="61">
        <v>2954</v>
      </c>
      <c r="BB288" s="61"/>
      <c r="BC288" s="61">
        <v>160</v>
      </c>
      <c r="BD288" s="61">
        <v>8199</v>
      </c>
      <c r="BE288" s="61">
        <v>4716</v>
      </c>
      <c r="BF288" s="61">
        <v>14198</v>
      </c>
      <c r="BG288" s="61">
        <v>16727</v>
      </c>
      <c r="BH288" s="61">
        <v>7251</v>
      </c>
      <c r="BI288" s="61">
        <v>1</v>
      </c>
      <c r="BJ288" s="61">
        <v>51092</v>
      </c>
      <c r="BK288" s="61">
        <v>1767</v>
      </c>
      <c r="BL288" s="61">
        <v>40425</v>
      </c>
      <c r="BM288" s="61">
        <v>8900</v>
      </c>
      <c r="BN288" s="61">
        <v>5692</v>
      </c>
      <c r="BO288" s="61">
        <v>5716</v>
      </c>
      <c r="BP288" s="61">
        <v>2</v>
      </c>
      <c r="BQ288" s="61">
        <v>136</v>
      </c>
      <c r="BR288" s="61">
        <v>925</v>
      </c>
      <c r="BS288" s="61">
        <v>1064</v>
      </c>
      <c r="BT288" s="61">
        <v>1259</v>
      </c>
      <c r="BU288" s="61">
        <v>1897</v>
      </c>
      <c r="BV288" s="61">
        <v>2133</v>
      </c>
      <c r="BW288" s="61">
        <v>1828</v>
      </c>
      <c r="BX288" s="61">
        <v>2168</v>
      </c>
      <c r="BY288" s="61"/>
      <c r="BZ288" s="61"/>
      <c r="CA288" s="61"/>
      <c r="CB288" s="61">
        <v>1849</v>
      </c>
      <c r="CC288" s="61">
        <v>835</v>
      </c>
      <c r="CD288" s="61">
        <v>1959</v>
      </c>
      <c r="CE288" s="61">
        <v>788</v>
      </c>
      <c r="CF288" s="61">
        <v>123</v>
      </c>
      <c r="CG288" s="61">
        <v>5821</v>
      </c>
      <c r="CH288" s="61">
        <v>35</v>
      </c>
      <c r="CI288" s="61">
        <v>192</v>
      </c>
      <c r="CJ288" s="61"/>
      <c r="CK288" s="61">
        <v>397</v>
      </c>
      <c r="CL288" s="61">
        <v>1894</v>
      </c>
      <c r="CM288" s="61">
        <v>152</v>
      </c>
      <c r="CN288" s="61"/>
      <c r="CO288" s="61">
        <v>5</v>
      </c>
      <c r="CP288" s="61">
        <v>6789</v>
      </c>
      <c r="CQ288" s="61">
        <v>1505</v>
      </c>
      <c r="CR288" s="61">
        <v>1</v>
      </c>
      <c r="CS288" s="61">
        <v>375</v>
      </c>
      <c r="CT288" s="61">
        <v>83</v>
      </c>
      <c r="CU288" s="61">
        <v>6</v>
      </c>
      <c r="CV288" s="61"/>
      <c r="CW288" s="61">
        <v>2</v>
      </c>
      <c r="CX288" s="61">
        <v>1952</v>
      </c>
      <c r="CY288" s="61">
        <v>5544</v>
      </c>
      <c r="CZ288" s="61">
        <v>603</v>
      </c>
      <c r="DA288" s="61">
        <v>2902</v>
      </c>
      <c r="DB288" s="61">
        <v>409</v>
      </c>
      <c r="DC288" s="61"/>
      <c r="DD288" s="61">
        <v>11410</v>
      </c>
      <c r="DE288" s="61">
        <v>909</v>
      </c>
      <c r="DF288" s="61">
        <v>9646</v>
      </c>
      <c r="DG288" s="61">
        <v>855</v>
      </c>
      <c r="DH288" s="62" t="s">
        <v>2185</v>
      </c>
      <c r="DI288" s="61">
        <v>613</v>
      </c>
      <c r="DJ288" s="61">
        <v>54</v>
      </c>
      <c r="DK288" s="61">
        <v>106</v>
      </c>
      <c r="DL288" s="61"/>
      <c r="DM288" s="61"/>
      <c r="DN288" s="61">
        <v>9</v>
      </c>
    </row>
    <row r="289" spans="1:118" x14ac:dyDescent="0.25">
      <c r="A289" s="61">
        <v>106431506</v>
      </c>
      <c r="B289" s="62" t="s">
        <v>1304</v>
      </c>
      <c r="C289" s="62" t="s">
        <v>2105</v>
      </c>
      <c r="D289" s="62" t="s">
        <v>1281</v>
      </c>
      <c r="E289" s="62" t="s">
        <v>71</v>
      </c>
      <c r="F289" s="62" t="s">
        <v>2213</v>
      </c>
      <c r="G289" s="62" t="s">
        <v>1305</v>
      </c>
      <c r="H289" s="62" t="s">
        <v>1283</v>
      </c>
      <c r="I289" s="62" t="s">
        <v>1306</v>
      </c>
      <c r="J289" s="62" t="s">
        <v>2184</v>
      </c>
      <c r="K289" s="62"/>
      <c r="L289" s="61">
        <v>19</v>
      </c>
      <c r="M289" s="61">
        <v>29</v>
      </c>
      <c r="N289" s="61">
        <v>17</v>
      </c>
      <c r="O289" s="62" t="s">
        <v>1987</v>
      </c>
      <c r="P289" s="62" t="s">
        <v>68</v>
      </c>
      <c r="Q289" s="62" t="s">
        <v>2167</v>
      </c>
      <c r="R289" s="62" t="s">
        <v>2167</v>
      </c>
      <c r="S289" s="62" t="s">
        <v>69</v>
      </c>
      <c r="T289" s="61">
        <v>28841</v>
      </c>
      <c r="U289" s="61">
        <v>25070</v>
      </c>
      <c r="V289" s="61">
        <v>3</v>
      </c>
      <c r="W289" s="61">
        <v>6496</v>
      </c>
      <c r="X289" s="61">
        <v>5688</v>
      </c>
      <c r="Y289" s="61">
        <v>7958</v>
      </c>
      <c r="Z289" s="61">
        <v>6787</v>
      </c>
      <c r="AA289" s="61">
        <v>6242</v>
      </c>
      <c r="AB289" s="61">
        <v>6508</v>
      </c>
      <c r="AC289" s="61">
        <v>4889</v>
      </c>
      <c r="AD289" s="61">
        <v>4134</v>
      </c>
      <c r="AE289" s="61">
        <v>4035</v>
      </c>
      <c r="AF289" s="61">
        <v>1177</v>
      </c>
      <c r="AG289" s="61"/>
      <c r="AH289" s="61">
        <v>6572</v>
      </c>
      <c r="AI289" s="61">
        <v>2907</v>
      </c>
      <c r="AJ289" s="61">
        <v>22662</v>
      </c>
      <c r="AK289" s="61">
        <v>170</v>
      </c>
      <c r="AL289" s="61">
        <v>1206</v>
      </c>
      <c r="AM289" s="61">
        <v>578</v>
      </c>
      <c r="AN289" s="61">
        <v>19819</v>
      </c>
      <c r="AO289" s="61">
        <v>232</v>
      </c>
      <c r="AP289" s="61">
        <v>728</v>
      </c>
      <c r="AQ289" s="61">
        <v>79</v>
      </c>
      <c r="AR289" s="61">
        <v>259</v>
      </c>
      <c r="AS289" s="61">
        <v>86</v>
      </c>
      <c r="AT289" s="61">
        <v>17</v>
      </c>
      <c r="AU289" s="61"/>
      <c r="AV289" s="61">
        <v>8</v>
      </c>
      <c r="AW289" s="61">
        <v>484</v>
      </c>
      <c r="AX289" s="61">
        <v>9</v>
      </c>
      <c r="AY289" s="61">
        <v>51476</v>
      </c>
      <c r="AZ289" s="61">
        <v>214</v>
      </c>
      <c r="BA289" s="61"/>
      <c r="BB289" s="61">
        <v>24</v>
      </c>
      <c r="BC289" s="61">
        <v>298</v>
      </c>
      <c r="BD289" s="61">
        <v>7869</v>
      </c>
      <c r="BE289" s="61">
        <v>10972</v>
      </c>
      <c r="BF289" s="61">
        <v>878</v>
      </c>
      <c r="BG289" s="61">
        <v>29029</v>
      </c>
      <c r="BH289" s="61">
        <v>5166</v>
      </c>
      <c r="BI289" s="61"/>
      <c r="BJ289" s="61">
        <v>53914</v>
      </c>
      <c r="BK289" s="61">
        <v>954</v>
      </c>
      <c r="BL289" s="61">
        <v>48784</v>
      </c>
      <c r="BM289" s="61">
        <v>4176</v>
      </c>
      <c r="BN289" s="61">
        <v>2817</v>
      </c>
      <c r="BO289" s="61">
        <v>2952</v>
      </c>
      <c r="BP289" s="61"/>
      <c r="BQ289" s="61">
        <v>67</v>
      </c>
      <c r="BR289" s="61">
        <v>252</v>
      </c>
      <c r="BS289" s="61">
        <v>322</v>
      </c>
      <c r="BT289" s="61">
        <v>482</v>
      </c>
      <c r="BU289" s="61">
        <v>811</v>
      </c>
      <c r="BV289" s="61">
        <v>1087</v>
      </c>
      <c r="BW289" s="61">
        <v>1250</v>
      </c>
      <c r="BX289" s="61">
        <v>1483</v>
      </c>
      <c r="BY289" s="61">
        <v>14</v>
      </c>
      <c r="BZ289" s="61">
        <v>1</v>
      </c>
      <c r="CA289" s="61"/>
      <c r="CB289" s="61">
        <v>777</v>
      </c>
      <c r="CC289" s="61">
        <v>248</v>
      </c>
      <c r="CD289" s="61">
        <v>1539</v>
      </c>
      <c r="CE289" s="61">
        <v>59</v>
      </c>
      <c r="CF289" s="61">
        <v>14</v>
      </c>
      <c r="CG289" s="61">
        <v>3115</v>
      </c>
      <c r="CH289" s="61">
        <v>17</v>
      </c>
      <c r="CI289" s="61">
        <v>300</v>
      </c>
      <c r="CJ289" s="61">
        <v>75</v>
      </c>
      <c r="CK289" s="61">
        <v>250</v>
      </c>
      <c r="CL289" s="61">
        <v>771</v>
      </c>
      <c r="CM289" s="61">
        <v>20</v>
      </c>
      <c r="CN289" s="61"/>
      <c r="CO289" s="61">
        <v>19</v>
      </c>
      <c r="CP289" s="61">
        <v>3551</v>
      </c>
      <c r="CQ289" s="61">
        <v>584</v>
      </c>
      <c r="CR289" s="61">
        <v>1</v>
      </c>
      <c r="CS289" s="61">
        <v>144</v>
      </c>
      <c r="CT289" s="61">
        <v>16</v>
      </c>
      <c r="CU289" s="61"/>
      <c r="CV289" s="61">
        <v>2</v>
      </c>
      <c r="CW289" s="61">
        <v>36</v>
      </c>
      <c r="CX289" s="61">
        <v>302</v>
      </c>
      <c r="CY289" s="61">
        <v>3402</v>
      </c>
      <c r="CZ289" s="61">
        <v>16</v>
      </c>
      <c r="DA289" s="61">
        <v>1950</v>
      </c>
      <c r="DB289" s="61">
        <v>99</v>
      </c>
      <c r="DC289" s="61"/>
      <c r="DD289" s="61">
        <v>5769</v>
      </c>
      <c r="DE289" s="61">
        <v>162</v>
      </c>
      <c r="DF289" s="61">
        <v>5316</v>
      </c>
      <c r="DG289" s="61">
        <v>291</v>
      </c>
      <c r="DH289" s="62" t="s">
        <v>2185</v>
      </c>
      <c r="DI289" s="61">
        <v>242</v>
      </c>
      <c r="DJ289" s="61">
        <v>28</v>
      </c>
      <c r="DK289" s="61"/>
      <c r="DL289" s="61"/>
      <c r="DM289" s="61"/>
      <c r="DN289" s="61"/>
    </row>
    <row r="290" spans="1:118" x14ac:dyDescent="0.25">
      <c r="A290" s="61">
        <v>106434138</v>
      </c>
      <c r="B290" s="62" t="s">
        <v>1307</v>
      </c>
      <c r="C290" s="62" t="s">
        <v>1308</v>
      </c>
      <c r="D290" s="62" t="s">
        <v>1281</v>
      </c>
      <c r="E290" s="62" t="s">
        <v>71</v>
      </c>
      <c r="F290" s="62" t="s">
        <v>2213</v>
      </c>
      <c r="G290" s="62" t="s">
        <v>1309</v>
      </c>
      <c r="H290" s="62" t="s">
        <v>1310</v>
      </c>
      <c r="I290" s="62" t="s">
        <v>1311</v>
      </c>
      <c r="J290" s="62" t="s">
        <v>2188</v>
      </c>
      <c r="K290" s="62"/>
      <c r="L290" s="61">
        <v>20</v>
      </c>
      <c r="M290" s="61">
        <v>30</v>
      </c>
      <c r="N290" s="61">
        <v>17</v>
      </c>
      <c r="O290" s="62" t="s">
        <v>1988</v>
      </c>
      <c r="P290" s="62" t="s">
        <v>120</v>
      </c>
      <c r="Q290" s="62" t="s">
        <v>2167</v>
      </c>
      <c r="R290" s="62" t="s">
        <v>2167</v>
      </c>
      <c r="S290" s="62" t="s">
        <v>69</v>
      </c>
      <c r="T290" s="61">
        <v>13916</v>
      </c>
      <c r="U290" s="61">
        <v>11886</v>
      </c>
      <c r="V290" s="61"/>
      <c r="W290" s="61">
        <v>4217</v>
      </c>
      <c r="X290" s="61">
        <v>3317</v>
      </c>
      <c r="Y290" s="61">
        <v>4024</v>
      </c>
      <c r="Z290" s="61">
        <v>3493</v>
      </c>
      <c r="AA290" s="61">
        <v>3003</v>
      </c>
      <c r="AB290" s="61">
        <v>2767</v>
      </c>
      <c r="AC290" s="61">
        <v>1850</v>
      </c>
      <c r="AD290" s="61">
        <v>1211</v>
      </c>
      <c r="AE290" s="61">
        <v>1069</v>
      </c>
      <c r="AF290" s="61">
        <v>851</v>
      </c>
      <c r="AG290" s="61"/>
      <c r="AH290" s="61">
        <v>423</v>
      </c>
      <c r="AI290" s="61">
        <v>469</v>
      </c>
      <c r="AJ290" s="61">
        <v>15135</v>
      </c>
      <c r="AK290" s="61">
        <v>12</v>
      </c>
      <c r="AL290" s="61">
        <v>692</v>
      </c>
      <c r="AM290" s="61">
        <v>13</v>
      </c>
      <c r="AN290" s="61">
        <v>9058</v>
      </c>
      <c r="AO290" s="61">
        <v>838</v>
      </c>
      <c r="AP290" s="61">
        <v>855</v>
      </c>
      <c r="AQ290" s="61">
        <v>38</v>
      </c>
      <c r="AR290" s="61"/>
      <c r="AS290" s="61"/>
      <c r="AT290" s="61"/>
      <c r="AU290" s="61"/>
      <c r="AV290" s="61">
        <v>111</v>
      </c>
      <c r="AW290" s="61"/>
      <c r="AX290" s="61"/>
      <c r="AY290" s="61">
        <v>23782</v>
      </c>
      <c r="AZ290" s="61">
        <v>116</v>
      </c>
      <c r="BA290" s="61">
        <v>3</v>
      </c>
      <c r="BB290" s="61"/>
      <c r="BC290" s="61"/>
      <c r="BD290" s="61">
        <v>14465</v>
      </c>
      <c r="BE290" s="61">
        <v>3126</v>
      </c>
      <c r="BF290" s="61">
        <v>914</v>
      </c>
      <c r="BG290" s="61">
        <v>6126</v>
      </c>
      <c r="BH290" s="61">
        <v>1171</v>
      </c>
      <c r="BI290" s="61"/>
      <c r="BJ290" s="61">
        <v>25802</v>
      </c>
      <c r="BK290" s="61">
        <v>82</v>
      </c>
      <c r="BL290" s="61">
        <v>21183</v>
      </c>
      <c r="BM290" s="61">
        <v>4537</v>
      </c>
      <c r="BN290" s="61">
        <v>1112</v>
      </c>
      <c r="BO290" s="61">
        <v>953</v>
      </c>
      <c r="BP290" s="61"/>
      <c r="BQ290" s="61">
        <v>31</v>
      </c>
      <c r="BR290" s="61">
        <v>92</v>
      </c>
      <c r="BS290" s="61">
        <v>142</v>
      </c>
      <c r="BT290" s="61">
        <v>180</v>
      </c>
      <c r="BU290" s="61">
        <v>298</v>
      </c>
      <c r="BV290" s="61">
        <v>357</v>
      </c>
      <c r="BW290" s="61">
        <v>394</v>
      </c>
      <c r="BX290" s="61">
        <v>542</v>
      </c>
      <c r="BY290" s="61">
        <v>7</v>
      </c>
      <c r="BZ290" s="61">
        <v>22</v>
      </c>
      <c r="CA290" s="61"/>
      <c r="CB290" s="61">
        <v>93</v>
      </c>
      <c r="CC290" s="61">
        <v>22</v>
      </c>
      <c r="CD290" s="61">
        <v>791</v>
      </c>
      <c r="CE290" s="61">
        <v>27</v>
      </c>
      <c r="CF290" s="61">
        <v>1</v>
      </c>
      <c r="CG290" s="61">
        <v>1129</v>
      </c>
      <c r="CH290" s="61">
        <v>2</v>
      </c>
      <c r="CI290" s="61">
        <v>3</v>
      </c>
      <c r="CJ290" s="61">
        <v>254</v>
      </c>
      <c r="CK290" s="61">
        <v>47</v>
      </c>
      <c r="CL290" s="61">
        <v>140</v>
      </c>
      <c r="CM290" s="61">
        <v>4</v>
      </c>
      <c r="CN290" s="61"/>
      <c r="CO290" s="61"/>
      <c r="CP290" s="61">
        <v>1298</v>
      </c>
      <c r="CQ290" s="61">
        <v>160</v>
      </c>
      <c r="CR290" s="61"/>
      <c r="CS290" s="61">
        <v>22</v>
      </c>
      <c r="CT290" s="61">
        <v>2</v>
      </c>
      <c r="CU290" s="61">
        <v>135</v>
      </c>
      <c r="CV290" s="61"/>
      <c r="CW290" s="61"/>
      <c r="CX290" s="61">
        <v>473</v>
      </c>
      <c r="CY290" s="61">
        <v>1113</v>
      </c>
      <c r="CZ290" s="61">
        <v>68</v>
      </c>
      <c r="DA290" s="61">
        <v>405</v>
      </c>
      <c r="DB290" s="61">
        <v>6</v>
      </c>
      <c r="DC290" s="61"/>
      <c r="DD290" s="61">
        <v>2065</v>
      </c>
      <c r="DE290" s="61">
        <v>29</v>
      </c>
      <c r="DF290" s="61">
        <v>1775</v>
      </c>
      <c r="DG290" s="61">
        <v>261</v>
      </c>
      <c r="DH290" s="62" t="s">
        <v>2185</v>
      </c>
      <c r="DI290" s="61">
        <v>93</v>
      </c>
      <c r="DJ290" s="61">
        <v>8</v>
      </c>
      <c r="DK290" s="61"/>
      <c r="DL290" s="61">
        <v>59</v>
      </c>
      <c r="DM290" s="61"/>
      <c r="DN290" s="61"/>
    </row>
    <row r="291" spans="1:118" x14ac:dyDescent="0.25">
      <c r="A291" s="61">
        <v>106434153</v>
      </c>
      <c r="B291" s="62" t="s">
        <v>1312</v>
      </c>
      <c r="C291" s="62" t="s">
        <v>2106</v>
      </c>
      <c r="D291" s="62" t="s">
        <v>1281</v>
      </c>
      <c r="E291" s="62" t="s">
        <v>71</v>
      </c>
      <c r="F291" s="62" t="s">
        <v>2213</v>
      </c>
      <c r="G291" s="62" t="s">
        <v>1313</v>
      </c>
      <c r="H291" s="62" t="s">
        <v>1281</v>
      </c>
      <c r="I291" s="62" t="s">
        <v>1314</v>
      </c>
      <c r="J291" s="62" t="s">
        <v>2186</v>
      </c>
      <c r="K291" s="62"/>
      <c r="L291" s="61">
        <v>17</v>
      </c>
      <c r="M291" s="61">
        <v>25</v>
      </c>
      <c r="N291" s="61">
        <v>10</v>
      </c>
      <c r="O291" s="62" t="s">
        <v>1989</v>
      </c>
      <c r="P291" s="62" t="s">
        <v>68</v>
      </c>
      <c r="Q291" s="62" t="s">
        <v>2167</v>
      </c>
      <c r="R291" s="62" t="s">
        <v>83</v>
      </c>
      <c r="S291" s="62" t="s">
        <v>69</v>
      </c>
      <c r="T291" s="61">
        <v>33678</v>
      </c>
      <c r="U291" s="61">
        <v>29667</v>
      </c>
      <c r="V291" s="61">
        <v>4</v>
      </c>
      <c r="W291" s="61">
        <v>7377</v>
      </c>
      <c r="X291" s="61">
        <v>5450</v>
      </c>
      <c r="Y291" s="61">
        <v>8386</v>
      </c>
      <c r="Z291" s="61">
        <v>8470</v>
      </c>
      <c r="AA291" s="61">
        <v>6946</v>
      </c>
      <c r="AB291" s="61">
        <v>7531</v>
      </c>
      <c r="AC291" s="61">
        <v>6189</v>
      </c>
      <c r="AD291" s="61">
        <v>5436</v>
      </c>
      <c r="AE291" s="61">
        <v>6122</v>
      </c>
      <c r="AF291" s="61">
        <v>1442</v>
      </c>
      <c r="AG291" s="61"/>
      <c r="AH291" s="61">
        <v>15304</v>
      </c>
      <c r="AI291" s="61">
        <v>2767</v>
      </c>
      <c r="AJ291" s="61">
        <v>16351</v>
      </c>
      <c r="AK291" s="61">
        <v>159</v>
      </c>
      <c r="AL291" s="61">
        <v>988</v>
      </c>
      <c r="AM291" s="61">
        <v>475</v>
      </c>
      <c r="AN291" s="61">
        <v>27305</v>
      </c>
      <c r="AO291" s="61">
        <v>88</v>
      </c>
      <c r="AP291" s="61">
        <v>625</v>
      </c>
      <c r="AQ291" s="61">
        <v>121</v>
      </c>
      <c r="AR291" s="61">
        <v>552</v>
      </c>
      <c r="AS291" s="61">
        <v>108</v>
      </c>
      <c r="AT291" s="61">
        <v>22</v>
      </c>
      <c r="AU291" s="61"/>
      <c r="AV291" s="61">
        <v>7</v>
      </c>
      <c r="AW291" s="61">
        <v>616</v>
      </c>
      <c r="AX291" s="61">
        <v>13</v>
      </c>
      <c r="AY291" s="61">
        <v>60566</v>
      </c>
      <c r="AZ291" s="61">
        <v>462</v>
      </c>
      <c r="BA291" s="61">
        <v>1</v>
      </c>
      <c r="BB291" s="61">
        <v>17</v>
      </c>
      <c r="BC291" s="61">
        <v>151</v>
      </c>
      <c r="BD291" s="61">
        <v>5978</v>
      </c>
      <c r="BE291" s="61">
        <v>14306</v>
      </c>
      <c r="BF291" s="61">
        <v>1162</v>
      </c>
      <c r="BG291" s="61">
        <v>38297</v>
      </c>
      <c r="BH291" s="61">
        <v>3606</v>
      </c>
      <c r="BI291" s="61"/>
      <c r="BJ291" s="61">
        <v>63349</v>
      </c>
      <c r="BK291" s="61">
        <v>1656</v>
      </c>
      <c r="BL291" s="61">
        <v>58465</v>
      </c>
      <c r="BM291" s="61">
        <v>3228</v>
      </c>
      <c r="BN291" s="61">
        <v>4065</v>
      </c>
      <c r="BO291" s="61">
        <v>3801</v>
      </c>
      <c r="BP291" s="61"/>
      <c r="BQ291" s="61">
        <v>123</v>
      </c>
      <c r="BR291" s="61">
        <v>221</v>
      </c>
      <c r="BS291" s="61">
        <v>361</v>
      </c>
      <c r="BT291" s="61">
        <v>509</v>
      </c>
      <c r="BU291" s="61">
        <v>965</v>
      </c>
      <c r="BV291" s="61">
        <v>1379</v>
      </c>
      <c r="BW291" s="61">
        <v>1646</v>
      </c>
      <c r="BX291" s="61">
        <v>2446</v>
      </c>
      <c r="BY291" s="61">
        <v>76</v>
      </c>
      <c r="BZ291" s="61">
        <v>140</v>
      </c>
      <c r="CA291" s="61"/>
      <c r="CB291" s="61">
        <v>1640</v>
      </c>
      <c r="CC291" s="61">
        <v>272</v>
      </c>
      <c r="CD291" s="61">
        <v>1265</v>
      </c>
      <c r="CE291" s="61">
        <v>51</v>
      </c>
      <c r="CF291" s="61">
        <v>16</v>
      </c>
      <c r="CG291" s="61">
        <v>4610</v>
      </c>
      <c r="CH291" s="61">
        <v>12</v>
      </c>
      <c r="CI291" s="61">
        <v>79</v>
      </c>
      <c r="CJ291" s="61">
        <v>60</v>
      </c>
      <c r="CK291" s="61">
        <v>385</v>
      </c>
      <c r="CL291" s="61">
        <v>2244</v>
      </c>
      <c r="CM291" s="61">
        <v>14</v>
      </c>
      <c r="CN291" s="61"/>
      <c r="CO291" s="61">
        <v>3</v>
      </c>
      <c r="CP291" s="61">
        <v>3597</v>
      </c>
      <c r="CQ291" s="61">
        <v>1215</v>
      </c>
      <c r="CR291" s="61"/>
      <c r="CS291" s="61">
        <v>229</v>
      </c>
      <c r="CT291" s="61">
        <v>16</v>
      </c>
      <c r="CU291" s="61"/>
      <c r="CV291" s="61">
        <v>4</v>
      </c>
      <c r="CW291" s="61">
        <v>20</v>
      </c>
      <c r="CX291" s="61">
        <v>312</v>
      </c>
      <c r="CY291" s="61">
        <v>4894</v>
      </c>
      <c r="CZ291" s="61">
        <v>10</v>
      </c>
      <c r="DA291" s="61">
        <v>2547</v>
      </c>
      <c r="DB291" s="61">
        <v>103</v>
      </c>
      <c r="DC291" s="61"/>
      <c r="DD291" s="61">
        <v>7866</v>
      </c>
      <c r="DE291" s="61">
        <v>311</v>
      </c>
      <c r="DF291" s="61">
        <v>7324</v>
      </c>
      <c r="DG291" s="61">
        <v>231</v>
      </c>
      <c r="DH291" s="62" t="s">
        <v>2185</v>
      </c>
      <c r="DI291" s="61">
        <v>327</v>
      </c>
      <c r="DJ291" s="61">
        <v>32</v>
      </c>
      <c r="DK291" s="61"/>
      <c r="DL291" s="61"/>
      <c r="DM291" s="61"/>
      <c r="DN291" s="61"/>
    </row>
    <row r="292" spans="1:118" x14ac:dyDescent="0.25">
      <c r="A292" s="61">
        <v>106440755</v>
      </c>
      <c r="B292" s="62" t="s">
        <v>1315</v>
      </c>
      <c r="C292" s="62" t="s">
        <v>1766</v>
      </c>
      <c r="D292" s="62" t="s">
        <v>1316</v>
      </c>
      <c r="E292" s="62" t="s">
        <v>71</v>
      </c>
      <c r="F292" s="62" t="s">
        <v>2213</v>
      </c>
      <c r="G292" s="62" t="s">
        <v>1317</v>
      </c>
      <c r="H292" s="62" t="s">
        <v>1316</v>
      </c>
      <c r="I292" s="62" t="s">
        <v>1318</v>
      </c>
      <c r="J292" s="62" t="s">
        <v>2184</v>
      </c>
      <c r="K292" s="62"/>
      <c r="L292" s="61">
        <v>20</v>
      </c>
      <c r="M292" s="61">
        <v>29</v>
      </c>
      <c r="N292" s="61">
        <v>17</v>
      </c>
      <c r="O292" s="62" t="s">
        <v>1990</v>
      </c>
      <c r="P292" s="62" t="s">
        <v>68</v>
      </c>
      <c r="Q292" s="62" t="s">
        <v>2167</v>
      </c>
      <c r="R292" s="62" t="s">
        <v>2167</v>
      </c>
      <c r="S292" s="62" t="s">
        <v>69</v>
      </c>
      <c r="T292" s="61">
        <v>22257</v>
      </c>
      <c r="U292" s="61">
        <v>20833</v>
      </c>
      <c r="V292" s="61"/>
      <c r="W292" s="61">
        <v>3491</v>
      </c>
      <c r="X292" s="61">
        <v>4093</v>
      </c>
      <c r="Y292" s="61">
        <v>7648</v>
      </c>
      <c r="Z292" s="61">
        <v>6080</v>
      </c>
      <c r="AA292" s="61">
        <v>5306</v>
      </c>
      <c r="AB292" s="61">
        <v>5849</v>
      </c>
      <c r="AC292" s="61">
        <v>4761</v>
      </c>
      <c r="AD292" s="61">
        <v>2607</v>
      </c>
      <c r="AE292" s="61">
        <v>2561</v>
      </c>
      <c r="AF292" s="61">
        <v>694</v>
      </c>
      <c r="AG292" s="61"/>
      <c r="AH292" s="61">
        <v>578</v>
      </c>
      <c r="AI292" s="61">
        <v>924</v>
      </c>
      <c r="AJ292" s="61">
        <v>8340</v>
      </c>
      <c r="AK292" s="61">
        <v>9</v>
      </c>
      <c r="AL292" s="61">
        <v>1894</v>
      </c>
      <c r="AM292" s="61">
        <v>160</v>
      </c>
      <c r="AN292" s="61">
        <v>31185</v>
      </c>
      <c r="AO292" s="61">
        <v>252</v>
      </c>
      <c r="AP292" s="61">
        <v>596</v>
      </c>
      <c r="AQ292" s="61">
        <v>35</v>
      </c>
      <c r="AR292" s="61">
        <v>75</v>
      </c>
      <c r="AS292" s="61">
        <v>2</v>
      </c>
      <c r="AT292" s="61">
        <v>6</v>
      </c>
      <c r="AU292" s="61"/>
      <c r="AV292" s="61">
        <v>435</v>
      </c>
      <c r="AW292" s="61">
        <v>671</v>
      </c>
      <c r="AX292" s="61">
        <v>192</v>
      </c>
      <c r="AY292" s="61">
        <v>40503</v>
      </c>
      <c r="AZ292" s="61">
        <v>263</v>
      </c>
      <c r="BA292" s="61">
        <v>44</v>
      </c>
      <c r="BB292" s="61"/>
      <c r="BC292" s="61">
        <v>4</v>
      </c>
      <c r="BD292" s="61">
        <v>17576</v>
      </c>
      <c r="BE292" s="61">
        <v>8396</v>
      </c>
      <c r="BF292" s="61">
        <v>904</v>
      </c>
      <c r="BG292" s="61">
        <v>9237</v>
      </c>
      <c r="BH292" s="61">
        <v>6977</v>
      </c>
      <c r="BI292" s="61"/>
      <c r="BJ292" s="61">
        <v>43090</v>
      </c>
      <c r="BK292" s="61">
        <v>76</v>
      </c>
      <c r="BL292" s="61">
        <v>40000</v>
      </c>
      <c r="BM292" s="61">
        <v>3014</v>
      </c>
      <c r="BN292" s="61">
        <v>3515</v>
      </c>
      <c r="BO292" s="61">
        <v>3652</v>
      </c>
      <c r="BP292" s="61"/>
      <c r="BQ292" s="61">
        <v>128</v>
      </c>
      <c r="BR292" s="61">
        <v>359</v>
      </c>
      <c r="BS292" s="61">
        <v>479</v>
      </c>
      <c r="BT292" s="61">
        <v>627</v>
      </c>
      <c r="BU292" s="61">
        <v>1067</v>
      </c>
      <c r="BV292" s="61">
        <v>1559</v>
      </c>
      <c r="BW292" s="61">
        <v>1137</v>
      </c>
      <c r="BX292" s="61">
        <v>1662</v>
      </c>
      <c r="BY292" s="61">
        <v>61</v>
      </c>
      <c r="BZ292" s="61">
        <v>88</v>
      </c>
      <c r="CA292" s="61"/>
      <c r="CB292" s="61">
        <v>118</v>
      </c>
      <c r="CC292" s="61">
        <v>111</v>
      </c>
      <c r="CD292" s="61">
        <v>990</v>
      </c>
      <c r="CE292" s="61">
        <v>180</v>
      </c>
      <c r="CF292" s="61">
        <v>9</v>
      </c>
      <c r="CG292" s="61">
        <v>5759</v>
      </c>
      <c r="CH292" s="61"/>
      <c r="CI292" s="61">
        <v>125</v>
      </c>
      <c r="CJ292" s="61">
        <v>186</v>
      </c>
      <c r="CK292" s="61">
        <v>229</v>
      </c>
      <c r="CL292" s="61">
        <v>1238</v>
      </c>
      <c r="CM292" s="61">
        <v>301</v>
      </c>
      <c r="CN292" s="61"/>
      <c r="CO292" s="61">
        <v>29</v>
      </c>
      <c r="CP292" s="61">
        <v>3802</v>
      </c>
      <c r="CQ292" s="61">
        <v>1052</v>
      </c>
      <c r="CR292" s="61">
        <v>8</v>
      </c>
      <c r="CS292" s="61">
        <v>119</v>
      </c>
      <c r="CT292" s="61">
        <v>72</v>
      </c>
      <c r="CU292" s="61">
        <v>2</v>
      </c>
      <c r="CV292" s="61">
        <v>1</v>
      </c>
      <c r="CW292" s="61">
        <v>3</v>
      </c>
      <c r="CX292" s="61">
        <v>1602</v>
      </c>
      <c r="CY292" s="61">
        <v>3887</v>
      </c>
      <c r="CZ292" s="61">
        <v>108</v>
      </c>
      <c r="DA292" s="61">
        <v>1442</v>
      </c>
      <c r="DB292" s="61">
        <v>115</v>
      </c>
      <c r="DC292" s="61">
        <v>13</v>
      </c>
      <c r="DD292" s="61">
        <v>7167</v>
      </c>
      <c r="DE292" s="61">
        <v>16</v>
      </c>
      <c r="DF292" s="61">
        <v>6699</v>
      </c>
      <c r="DG292" s="61">
        <v>452</v>
      </c>
      <c r="DH292" s="62" t="s">
        <v>2185</v>
      </c>
      <c r="DI292" s="61">
        <v>223</v>
      </c>
      <c r="DJ292" s="61">
        <v>24</v>
      </c>
      <c r="DK292" s="61">
        <v>12</v>
      </c>
      <c r="DL292" s="61"/>
      <c r="DM292" s="61"/>
      <c r="DN292" s="61"/>
    </row>
    <row r="293" spans="1:118" x14ac:dyDescent="0.25">
      <c r="A293" s="61">
        <v>106444013</v>
      </c>
      <c r="B293" s="62" t="s">
        <v>1319</v>
      </c>
      <c r="C293" s="62" t="s">
        <v>1320</v>
      </c>
      <c r="D293" s="62" t="s">
        <v>1316</v>
      </c>
      <c r="E293" s="62" t="s">
        <v>184</v>
      </c>
      <c r="F293" s="62" t="s">
        <v>2213</v>
      </c>
      <c r="G293" s="62" t="s">
        <v>1321</v>
      </c>
      <c r="H293" s="62" t="s">
        <v>1322</v>
      </c>
      <c r="I293" s="62" t="s">
        <v>1323</v>
      </c>
      <c r="J293" s="62" t="s">
        <v>2189</v>
      </c>
      <c r="K293" s="62"/>
      <c r="L293" s="61">
        <v>20</v>
      </c>
      <c r="M293" s="61">
        <v>30</v>
      </c>
      <c r="N293" s="61">
        <v>17</v>
      </c>
      <c r="O293" s="62" t="s">
        <v>1991</v>
      </c>
      <c r="P293" s="62" t="s">
        <v>68</v>
      </c>
      <c r="Q293" s="62" t="s">
        <v>2167</v>
      </c>
      <c r="R293" s="62" t="s">
        <v>2167</v>
      </c>
      <c r="S293" s="62" t="s">
        <v>69</v>
      </c>
      <c r="T293" s="61">
        <v>16085</v>
      </c>
      <c r="U293" s="61">
        <v>13504</v>
      </c>
      <c r="V293" s="61">
        <v>1</v>
      </c>
      <c r="W293" s="61">
        <v>6199</v>
      </c>
      <c r="X293" s="61">
        <v>3804</v>
      </c>
      <c r="Y293" s="61">
        <v>4908</v>
      </c>
      <c r="Z293" s="61">
        <v>3877</v>
      </c>
      <c r="AA293" s="61">
        <v>3048</v>
      </c>
      <c r="AB293" s="61">
        <v>2719</v>
      </c>
      <c r="AC293" s="61">
        <v>1741</v>
      </c>
      <c r="AD293" s="61">
        <v>1016</v>
      </c>
      <c r="AE293" s="61">
        <v>959</v>
      </c>
      <c r="AF293" s="61">
        <v>1319</v>
      </c>
      <c r="AG293" s="61"/>
      <c r="AH293" s="61">
        <v>144</v>
      </c>
      <c r="AI293" s="61">
        <v>154</v>
      </c>
      <c r="AJ293" s="61">
        <v>22449</v>
      </c>
      <c r="AK293" s="61">
        <v>3</v>
      </c>
      <c r="AL293" s="61">
        <v>8</v>
      </c>
      <c r="AM293" s="61">
        <v>5</v>
      </c>
      <c r="AN293" s="61">
        <v>6827</v>
      </c>
      <c r="AO293" s="61">
        <v>320</v>
      </c>
      <c r="AP293" s="61">
        <v>598</v>
      </c>
      <c r="AQ293" s="61">
        <v>21</v>
      </c>
      <c r="AR293" s="61">
        <v>4</v>
      </c>
      <c r="AS293" s="61">
        <v>7</v>
      </c>
      <c r="AT293" s="61">
        <v>18</v>
      </c>
      <c r="AU293" s="61"/>
      <c r="AV293" s="61">
        <v>78</v>
      </c>
      <c r="AW293" s="61">
        <v>145</v>
      </c>
      <c r="AX293" s="61"/>
      <c r="AY293" s="61">
        <v>28269</v>
      </c>
      <c r="AZ293" s="61">
        <v>64</v>
      </c>
      <c r="BA293" s="61">
        <v>10</v>
      </c>
      <c r="BB293" s="61"/>
      <c r="BC293" s="61">
        <v>56</v>
      </c>
      <c r="BD293" s="61">
        <v>19503</v>
      </c>
      <c r="BE293" s="61">
        <v>3580</v>
      </c>
      <c r="BF293" s="61">
        <v>606</v>
      </c>
      <c r="BG293" s="61">
        <v>4574</v>
      </c>
      <c r="BH293" s="61">
        <v>1327</v>
      </c>
      <c r="BI293" s="61"/>
      <c r="BJ293" s="61">
        <v>29590</v>
      </c>
      <c r="BK293" s="61">
        <v>74</v>
      </c>
      <c r="BL293" s="61">
        <v>16557</v>
      </c>
      <c r="BM293" s="61">
        <v>12959</v>
      </c>
      <c r="BN293" s="61">
        <v>2159</v>
      </c>
      <c r="BO293" s="61">
        <v>1376</v>
      </c>
      <c r="BP293" s="61"/>
      <c r="BQ293" s="61">
        <v>149</v>
      </c>
      <c r="BR293" s="61">
        <v>588</v>
      </c>
      <c r="BS293" s="61">
        <v>439</v>
      </c>
      <c r="BT293" s="61">
        <v>310</v>
      </c>
      <c r="BU293" s="61">
        <v>428</v>
      </c>
      <c r="BV293" s="61">
        <v>451</v>
      </c>
      <c r="BW293" s="61">
        <v>438</v>
      </c>
      <c r="BX293" s="61">
        <v>571</v>
      </c>
      <c r="BY293" s="61">
        <v>81</v>
      </c>
      <c r="BZ293" s="61">
        <v>80</v>
      </c>
      <c r="CA293" s="61"/>
      <c r="CB293" s="61">
        <v>36</v>
      </c>
      <c r="CC293" s="61">
        <v>13</v>
      </c>
      <c r="CD293" s="61">
        <v>2208</v>
      </c>
      <c r="CE293" s="61"/>
      <c r="CF293" s="61">
        <v>1</v>
      </c>
      <c r="CG293" s="61">
        <v>1277</v>
      </c>
      <c r="CH293" s="61"/>
      <c r="CI293" s="61">
        <v>121</v>
      </c>
      <c r="CJ293" s="61">
        <v>47</v>
      </c>
      <c r="CK293" s="61">
        <v>76</v>
      </c>
      <c r="CL293" s="61">
        <v>236</v>
      </c>
      <c r="CM293" s="61">
        <v>15</v>
      </c>
      <c r="CN293" s="61"/>
      <c r="CO293" s="61"/>
      <c r="CP293" s="61">
        <v>2549</v>
      </c>
      <c r="CQ293" s="61">
        <v>432</v>
      </c>
      <c r="CR293" s="61"/>
      <c r="CS293" s="61">
        <v>31</v>
      </c>
      <c r="CT293" s="61">
        <v>19</v>
      </c>
      <c r="CU293" s="61">
        <v>9</v>
      </c>
      <c r="CV293" s="61"/>
      <c r="CW293" s="61"/>
      <c r="CX293" s="61">
        <v>1568</v>
      </c>
      <c r="CY293" s="61">
        <v>1396</v>
      </c>
      <c r="CZ293" s="61">
        <v>29</v>
      </c>
      <c r="DA293" s="61">
        <v>524</v>
      </c>
      <c r="DB293" s="61">
        <v>18</v>
      </c>
      <c r="DC293" s="61"/>
      <c r="DD293" s="61">
        <v>3535</v>
      </c>
      <c r="DE293" s="61">
        <v>2</v>
      </c>
      <c r="DF293" s="61">
        <v>2112</v>
      </c>
      <c r="DG293" s="61">
        <v>1421</v>
      </c>
      <c r="DH293" s="62" t="s">
        <v>2185</v>
      </c>
      <c r="DI293" s="61">
        <v>106</v>
      </c>
      <c r="DJ293" s="61">
        <v>14</v>
      </c>
      <c r="DK293" s="61"/>
      <c r="DL293" s="61"/>
      <c r="DM293" s="61"/>
      <c r="DN293" s="61"/>
    </row>
    <row r="294" spans="1:118" x14ac:dyDescent="0.25">
      <c r="A294" s="61">
        <v>106450936</v>
      </c>
      <c r="B294" s="62" t="s">
        <v>1324</v>
      </c>
      <c r="C294" s="62" t="s">
        <v>1325</v>
      </c>
      <c r="D294" s="62" t="s">
        <v>1326</v>
      </c>
      <c r="E294" s="62" t="s">
        <v>94</v>
      </c>
      <c r="F294" s="62" t="s">
        <v>2213</v>
      </c>
      <c r="G294" s="62" t="s">
        <v>1327</v>
      </c>
      <c r="H294" s="62" t="s">
        <v>1328</v>
      </c>
      <c r="I294" s="62" t="s">
        <v>1329</v>
      </c>
      <c r="J294" s="62" t="s">
        <v>2189</v>
      </c>
      <c r="K294" s="62"/>
      <c r="L294" s="61">
        <v>1</v>
      </c>
      <c r="M294" s="61">
        <v>1</v>
      </c>
      <c r="N294" s="61">
        <v>1</v>
      </c>
      <c r="O294" s="62" t="s">
        <v>1992</v>
      </c>
      <c r="P294" s="62" t="s">
        <v>241</v>
      </c>
      <c r="Q294" s="62" t="s">
        <v>120</v>
      </c>
      <c r="R294" s="62" t="s">
        <v>2167</v>
      </c>
      <c r="S294" s="62" t="s">
        <v>127</v>
      </c>
      <c r="T294" s="61">
        <v>2078</v>
      </c>
      <c r="U294" s="61">
        <v>1777</v>
      </c>
      <c r="V294" s="61"/>
      <c r="W294" s="61">
        <v>388</v>
      </c>
      <c r="X294" s="61">
        <v>355</v>
      </c>
      <c r="Y294" s="61">
        <v>472</v>
      </c>
      <c r="Z294" s="61">
        <v>405</v>
      </c>
      <c r="AA294" s="61">
        <v>398</v>
      </c>
      <c r="AB294" s="61">
        <v>485</v>
      </c>
      <c r="AC294" s="61">
        <v>501</v>
      </c>
      <c r="AD294" s="61">
        <v>484</v>
      </c>
      <c r="AE294" s="61">
        <v>297</v>
      </c>
      <c r="AF294" s="61">
        <v>70</v>
      </c>
      <c r="AG294" s="61"/>
      <c r="AH294" s="61">
        <v>8</v>
      </c>
      <c r="AI294" s="61">
        <v>14</v>
      </c>
      <c r="AJ294" s="61">
        <v>377</v>
      </c>
      <c r="AK294" s="61">
        <v>242</v>
      </c>
      <c r="AL294" s="61">
        <v>14</v>
      </c>
      <c r="AM294" s="61"/>
      <c r="AN294" s="61">
        <v>3200</v>
      </c>
      <c r="AO294" s="61">
        <v>114</v>
      </c>
      <c r="AP294" s="61">
        <v>41</v>
      </c>
      <c r="AQ294" s="61">
        <v>4</v>
      </c>
      <c r="AR294" s="61"/>
      <c r="AS294" s="61">
        <v>4</v>
      </c>
      <c r="AT294" s="61">
        <v>1</v>
      </c>
      <c r="AU294" s="61"/>
      <c r="AV294" s="61"/>
      <c r="AW294" s="61">
        <v>4</v>
      </c>
      <c r="AX294" s="61">
        <v>4</v>
      </c>
      <c r="AY294" s="61">
        <v>3493</v>
      </c>
      <c r="AZ294" s="61">
        <v>15</v>
      </c>
      <c r="BA294" s="61"/>
      <c r="BB294" s="61">
        <v>141</v>
      </c>
      <c r="BC294" s="61">
        <v>27</v>
      </c>
      <c r="BD294" s="61">
        <v>1585</v>
      </c>
      <c r="BE294" s="61">
        <v>1180</v>
      </c>
      <c r="BF294" s="61">
        <v>98</v>
      </c>
      <c r="BG294" s="61">
        <v>777</v>
      </c>
      <c r="BH294" s="61">
        <v>215</v>
      </c>
      <c r="BI294" s="61"/>
      <c r="BJ294" s="61">
        <v>3855</v>
      </c>
      <c r="BK294" s="61">
        <v>8</v>
      </c>
      <c r="BL294" s="61">
        <v>3728</v>
      </c>
      <c r="BM294" s="61">
        <v>119</v>
      </c>
      <c r="BN294" s="61">
        <v>175</v>
      </c>
      <c r="BO294" s="61">
        <v>130</v>
      </c>
      <c r="BP294" s="61"/>
      <c r="BQ294" s="61">
        <v>5</v>
      </c>
      <c r="BR294" s="61">
        <v>36</v>
      </c>
      <c r="BS294" s="61">
        <v>26</v>
      </c>
      <c r="BT294" s="61">
        <v>17</v>
      </c>
      <c r="BU294" s="61">
        <v>34</v>
      </c>
      <c r="BV294" s="61">
        <v>59</v>
      </c>
      <c r="BW294" s="61">
        <v>59</v>
      </c>
      <c r="BX294" s="61">
        <v>62</v>
      </c>
      <c r="BY294" s="61">
        <v>1</v>
      </c>
      <c r="BZ294" s="61">
        <v>6</v>
      </c>
      <c r="CA294" s="61"/>
      <c r="CB294" s="61"/>
      <c r="CC294" s="61">
        <v>2</v>
      </c>
      <c r="CD294" s="61">
        <v>24</v>
      </c>
      <c r="CE294" s="61"/>
      <c r="CF294" s="61"/>
      <c r="CG294" s="61">
        <v>252</v>
      </c>
      <c r="CH294" s="61">
        <v>27</v>
      </c>
      <c r="CI294" s="61">
        <v>10</v>
      </c>
      <c r="CJ294" s="61">
        <v>3</v>
      </c>
      <c r="CK294" s="61">
        <v>13</v>
      </c>
      <c r="CL294" s="61"/>
      <c r="CM294" s="61"/>
      <c r="CN294" s="61"/>
      <c r="CO294" s="61">
        <v>1</v>
      </c>
      <c r="CP294" s="61">
        <v>216</v>
      </c>
      <c r="CQ294" s="61">
        <v>57</v>
      </c>
      <c r="CR294" s="61">
        <v>1</v>
      </c>
      <c r="CS294" s="61">
        <v>2</v>
      </c>
      <c r="CT294" s="61"/>
      <c r="CU294" s="61"/>
      <c r="CV294" s="61">
        <v>1</v>
      </c>
      <c r="CW294" s="61"/>
      <c r="CX294" s="61">
        <v>88</v>
      </c>
      <c r="CY294" s="61">
        <v>161</v>
      </c>
      <c r="CZ294" s="61">
        <v>2</v>
      </c>
      <c r="DA294" s="61">
        <v>45</v>
      </c>
      <c r="DB294" s="61">
        <v>9</v>
      </c>
      <c r="DC294" s="61"/>
      <c r="DD294" s="61">
        <v>305</v>
      </c>
      <c r="DE294" s="61"/>
      <c r="DF294" s="61">
        <v>301</v>
      </c>
      <c r="DG294" s="61">
        <v>4</v>
      </c>
      <c r="DH294" s="62" t="s">
        <v>2185</v>
      </c>
      <c r="DI294" s="61">
        <v>121</v>
      </c>
      <c r="DJ294" s="61">
        <v>4</v>
      </c>
      <c r="DK294" s="61"/>
      <c r="DL294" s="61">
        <v>7</v>
      </c>
      <c r="DM294" s="61"/>
      <c r="DN294" s="61">
        <v>1</v>
      </c>
    </row>
    <row r="295" spans="1:118" x14ac:dyDescent="0.25">
      <c r="A295" s="61">
        <v>106450940</v>
      </c>
      <c r="B295" s="62" t="s">
        <v>1330</v>
      </c>
      <c r="C295" s="62" t="s">
        <v>1331</v>
      </c>
      <c r="D295" s="62" t="s">
        <v>1326</v>
      </c>
      <c r="E295" s="62" t="s">
        <v>321</v>
      </c>
      <c r="F295" s="62" t="s">
        <v>2213</v>
      </c>
      <c r="G295" s="62" t="s">
        <v>1332</v>
      </c>
      <c r="H295" s="62" t="s">
        <v>1333</v>
      </c>
      <c r="I295" s="62" t="s">
        <v>1334</v>
      </c>
      <c r="J295" s="62" t="s">
        <v>2184</v>
      </c>
      <c r="K295" s="62" t="s">
        <v>138</v>
      </c>
      <c r="L295" s="61">
        <v>1</v>
      </c>
      <c r="M295" s="61">
        <v>1</v>
      </c>
      <c r="N295" s="61">
        <v>1</v>
      </c>
      <c r="O295" s="62" t="s">
        <v>1993</v>
      </c>
      <c r="P295" s="62" t="s">
        <v>68</v>
      </c>
      <c r="Q295" s="62" t="s">
        <v>2167</v>
      </c>
      <c r="R295" s="62" t="s">
        <v>2167</v>
      </c>
      <c r="S295" s="62" t="s">
        <v>69</v>
      </c>
      <c r="T295" s="61">
        <v>22844</v>
      </c>
      <c r="U295" s="61">
        <v>19301</v>
      </c>
      <c r="V295" s="61"/>
      <c r="W295" s="61">
        <v>3128</v>
      </c>
      <c r="X295" s="61">
        <v>3857</v>
      </c>
      <c r="Y295" s="61">
        <v>7864</v>
      </c>
      <c r="Z295" s="61">
        <v>6945</v>
      </c>
      <c r="AA295" s="61">
        <v>5685</v>
      </c>
      <c r="AB295" s="61">
        <v>6162</v>
      </c>
      <c r="AC295" s="61">
        <v>3754</v>
      </c>
      <c r="AD295" s="61">
        <v>2405</v>
      </c>
      <c r="AE295" s="61">
        <v>1985</v>
      </c>
      <c r="AF295" s="61">
        <v>360</v>
      </c>
      <c r="AG295" s="61"/>
      <c r="AH295" s="61">
        <v>616</v>
      </c>
      <c r="AI295" s="61">
        <v>992</v>
      </c>
      <c r="AJ295" s="61">
        <v>1262</v>
      </c>
      <c r="AK295" s="61">
        <v>880</v>
      </c>
      <c r="AL295" s="61">
        <v>1433</v>
      </c>
      <c r="AM295" s="61">
        <v>429</v>
      </c>
      <c r="AN295" s="61">
        <v>36533</v>
      </c>
      <c r="AO295" s="61">
        <v>272</v>
      </c>
      <c r="AP295" s="61">
        <v>2119</v>
      </c>
      <c r="AQ295" s="61">
        <v>44</v>
      </c>
      <c r="AR295" s="61">
        <v>24</v>
      </c>
      <c r="AS295" s="61">
        <v>4</v>
      </c>
      <c r="AT295" s="61"/>
      <c r="AU295" s="61"/>
      <c r="AV295" s="61">
        <v>213</v>
      </c>
      <c r="AW295" s="61">
        <v>577</v>
      </c>
      <c r="AX295" s="61"/>
      <c r="AY295" s="61">
        <v>38820</v>
      </c>
      <c r="AZ295" s="61">
        <v>71</v>
      </c>
      <c r="BA295" s="61"/>
      <c r="BB295" s="61"/>
      <c r="BC295" s="61"/>
      <c r="BD295" s="61">
        <v>23134</v>
      </c>
      <c r="BE295" s="61">
        <v>10178</v>
      </c>
      <c r="BF295" s="61">
        <v>1030</v>
      </c>
      <c r="BG295" s="61">
        <v>5226</v>
      </c>
      <c r="BH295" s="61">
        <v>2575</v>
      </c>
      <c r="BI295" s="61">
        <v>2</v>
      </c>
      <c r="BJ295" s="61">
        <v>42145</v>
      </c>
      <c r="BK295" s="61">
        <v>171</v>
      </c>
      <c r="BL295" s="61">
        <v>41834</v>
      </c>
      <c r="BM295" s="61">
        <v>140</v>
      </c>
      <c r="BN295" s="61">
        <v>2679</v>
      </c>
      <c r="BO295" s="61">
        <v>2679</v>
      </c>
      <c r="BP295" s="61"/>
      <c r="BQ295" s="61">
        <v>42</v>
      </c>
      <c r="BR295" s="61">
        <v>198</v>
      </c>
      <c r="BS295" s="61">
        <v>251</v>
      </c>
      <c r="BT295" s="61">
        <v>460</v>
      </c>
      <c r="BU295" s="61">
        <v>932</v>
      </c>
      <c r="BV295" s="61">
        <v>1088</v>
      </c>
      <c r="BW295" s="61">
        <v>1136</v>
      </c>
      <c r="BX295" s="61">
        <v>1250</v>
      </c>
      <c r="BY295" s="61"/>
      <c r="BZ295" s="61">
        <v>1</v>
      </c>
      <c r="CA295" s="61"/>
      <c r="CB295" s="61">
        <v>51</v>
      </c>
      <c r="CC295" s="61">
        <v>68</v>
      </c>
      <c r="CD295" s="61">
        <v>117</v>
      </c>
      <c r="CE295" s="61">
        <v>96</v>
      </c>
      <c r="CF295" s="61">
        <v>17</v>
      </c>
      <c r="CG295" s="61">
        <v>4913</v>
      </c>
      <c r="CH295" s="61">
        <v>96</v>
      </c>
      <c r="CI295" s="61">
        <v>221</v>
      </c>
      <c r="CJ295" s="61">
        <v>201</v>
      </c>
      <c r="CK295" s="61">
        <v>228</v>
      </c>
      <c r="CL295" s="61">
        <v>777</v>
      </c>
      <c r="CM295" s="61"/>
      <c r="CN295" s="61"/>
      <c r="CO295" s="61"/>
      <c r="CP295" s="61">
        <v>3059</v>
      </c>
      <c r="CQ295" s="61">
        <v>798</v>
      </c>
      <c r="CR295" s="61">
        <v>5</v>
      </c>
      <c r="CS295" s="61">
        <v>58</v>
      </c>
      <c r="CT295" s="61">
        <v>7</v>
      </c>
      <c r="CU295" s="61"/>
      <c r="CV295" s="61"/>
      <c r="CW295" s="61"/>
      <c r="CX295" s="61">
        <v>1306</v>
      </c>
      <c r="CY295" s="61">
        <v>3608</v>
      </c>
      <c r="CZ295" s="61">
        <v>38</v>
      </c>
      <c r="DA295" s="61">
        <v>365</v>
      </c>
      <c r="DB295" s="61">
        <v>41</v>
      </c>
      <c r="DC295" s="61"/>
      <c r="DD295" s="61">
        <v>5358</v>
      </c>
      <c r="DE295" s="61">
        <v>22</v>
      </c>
      <c r="DF295" s="61">
        <v>5316</v>
      </c>
      <c r="DG295" s="61">
        <v>20</v>
      </c>
      <c r="DH295" s="62" t="s">
        <v>2185</v>
      </c>
      <c r="DI295" s="61">
        <v>246</v>
      </c>
      <c r="DJ295" s="61">
        <v>26</v>
      </c>
      <c r="DK295" s="61"/>
      <c r="DL295" s="61">
        <v>1</v>
      </c>
      <c r="DM295" s="61"/>
      <c r="DN295" s="61">
        <v>4</v>
      </c>
    </row>
    <row r="296" spans="1:118" x14ac:dyDescent="0.25">
      <c r="A296" s="61">
        <v>106450949</v>
      </c>
      <c r="B296" s="62" t="s">
        <v>1335</v>
      </c>
      <c r="C296" s="62" t="s">
        <v>1336</v>
      </c>
      <c r="D296" s="62" t="s">
        <v>1326</v>
      </c>
      <c r="E296" s="62" t="s">
        <v>71</v>
      </c>
      <c r="F296" s="62" t="s">
        <v>2213</v>
      </c>
      <c r="G296" s="62" t="s">
        <v>1337</v>
      </c>
      <c r="H296" s="62" t="s">
        <v>1333</v>
      </c>
      <c r="I296" s="62" t="s">
        <v>1334</v>
      </c>
      <c r="J296" s="62" t="s">
        <v>2184</v>
      </c>
      <c r="K296" s="62" t="s">
        <v>82</v>
      </c>
      <c r="L296" s="61">
        <v>1</v>
      </c>
      <c r="M296" s="61">
        <v>1</v>
      </c>
      <c r="N296" s="61">
        <v>1</v>
      </c>
      <c r="O296" s="62" t="s">
        <v>1993</v>
      </c>
      <c r="P296" s="62" t="s">
        <v>68</v>
      </c>
      <c r="Q296" s="62" t="s">
        <v>2167</v>
      </c>
      <c r="R296" s="62" t="s">
        <v>2167</v>
      </c>
      <c r="S296" s="62" t="s">
        <v>69</v>
      </c>
      <c r="T296" s="61">
        <v>26710</v>
      </c>
      <c r="U296" s="61">
        <v>21671</v>
      </c>
      <c r="V296" s="61">
        <v>2</v>
      </c>
      <c r="W296" s="61">
        <v>6208</v>
      </c>
      <c r="X296" s="61">
        <v>4538</v>
      </c>
      <c r="Y296" s="61">
        <v>8165</v>
      </c>
      <c r="Z296" s="61">
        <v>6974</v>
      </c>
      <c r="AA296" s="61">
        <v>5083</v>
      </c>
      <c r="AB296" s="61">
        <v>5670</v>
      </c>
      <c r="AC296" s="61">
        <v>4344</v>
      </c>
      <c r="AD296" s="61">
        <v>3006</v>
      </c>
      <c r="AE296" s="61">
        <v>2845</v>
      </c>
      <c r="AF296" s="61">
        <v>1550</v>
      </c>
      <c r="AG296" s="61"/>
      <c r="AH296" s="61">
        <v>801</v>
      </c>
      <c r="AI296" s="61">
        <v>912</v>
      </c>
      <c r="AJ296" s="61">
        <v>2410</v>
      </c>
      <c r="AK296" s="61">
        <v>751</v>
      </c>
      <c r="AL296" s="61">
        <v>304</v>
      </c>
      <c r="AM296" s="61">
        <v>559</v>
      </c>
      <c r="AN296" s="61">
        <v>42646</v>
      </c>
      <c r="AO296" s="61">
        <v>295</v>
      </c>
      <c r="AP296" s="61">
        <v>1952</v>
      </c>
      <c r="AQ296" s="61">
        <v>75</v>
      </c>
      <c r="AR296" s="61">
        <v>61</v>
      </c>
      <c r="AS296" s="61">
        <v>16</v>
      </c>
      <c r="AT296" s="61">
        <v>7</v>
      </c>
      <c r="AU296" s="61"/>
      <c r="AV296" s="61">
        <v>74</v>
      </c>
      <c r="AW296" s="61">
        <v>231</v>
      </c>
      <c r="AX296" s="61">
        <v>1</v>
      </c>
      <c r="AY296" s="61">
        <v>45469</v>
      </c>
      <c r="AZ296" s="61">
        <v>181</v>
      </c>
      <c r="BA296" s="61">
        <v>5</v>
      </c>
      <c r="BB296" s="61">
        <v>2</v>
      </c>
      <c r="BC296" s="61">
        <v>14</v>
      </c>
      <c r="BD296" s="61">
        <v>25061</v>
      </c>
      <c r="BE296" s="61">
        <v>11375</v>
      </c>
      <c r="BF296" s="61">
        <v>1322</v>
      </c>
      <c r="BG296" s="61">
        <v>8456</v>
      </c>
      <c r="BH296" s="61">
        <v>2166</v>
      </c>
      <c r="BI296" s="61">
        <v>3</v>
      </c>
      <c r="BJ296" s="61">
        <v>48383</v>
      </c>
      <c r="BK296" s="61">
        <v>391</v>
      </c>
      <c r="BL296" s="61">
        <v>47668</v>
      </c>
      <c r="BM296" s="61">
        <v>324</v>
      </c>
      <c r="BN296" s="61">
        <v>3566</v>
      </c>
      <c r="BO296" s="61">
        <v>4044</v>
      </c>
      <c r="BP296" s="61"/>
      <c r="BQ296" s="61">
        <v>172</v>
      </c>
      <c r="BR296" s="61">
        <v>473</v>
      </c>
      <c r="BS296" s="61">
        <v>445</v>
      </c>
      <c r="BT296" s="61">
        <v>593</v>
      </c>
      <c r="BU296" s="61">
        <v>1176</v>
      </c>
      <c r="BV296" s="61">
        <v>1469</v>
      </c>
      <c r="BW296" s="61">
        <v>1433</v>
      </c>
      <c r="BX296" s="61">
        <v>1511</v>
      </c>
      <c r="BY296" s="61">
        <v>128</v>
      </c>
      <c r="BZ296" s="61">
        <v>210</v>
      </c>
      <c r="CA296" s="61"/>
      <c r="CB296" s="61">
        <v>106</v>
      </c>
      <c r="CC296" s="61">
        <v>102</v>
      </c>
      <c r="CD296" s="61">
        <v>213</v>
      </c>
      <c r="CE296" s="61">
        <v>20</v>
      </c>
      <c r="CF296" s="61">
        <v>117</v>
      </c>
      <c r="CG296" s="61">
        <v>6962</v>
      </c>
      <c r="CH296" s="61">
        <v>90</v>
      </c>
      <c r="CI296" s="61">
        <v>314</v>
      </c>
      <c r="CJ296" s="61">
        <v>133</v>
      </c>
      <c r="CK296" s="61">
        <v>362</v>
      </c>
      <c r="CL296" s="61">
        <v>1203</v>
      </c>
      <c r="CM296" s="61">
        <v>15</v>
      </c>
      <c r="CN296" s="61"/>
      <c r="CO296" s="61"/>
      <c r="CP296" s="61">
        <v>4162</v>
      </c>
      <c r="CQ296" s="61">
        <v>1187</v>
      </c>
      <c r="CR296" s="61">
        <v>6</v>
      </c>
      <c r="CS296" s="61">
        <v>212</v>
      </c>
      <c r="CT296" s="61">
        <v>15</v>
      </c>
      <c r="CU296" s="61">
        <v>1</v>
      </c>
      <c r="CV296" s="61"/>
      <c r="CW296" s="61"/>
      <c r="CX296" s="61">
        <v>1963</v>
      </c>
      <c r="CY296" s="61">
        <v>4249</v>
      </c>
      <c r="CZ296" s="61">
        <v>281</v>
      </c>
      <c r="DA296" s="61">
        <v>1044</v>
      </c>
      <c r="DB296" s="61">
        <v>73</v>
      </c>
      <c r="DC296" s="61"/>
      <c r="DD296" s="61">
        <v>7610</v>
      </c>
      <c r="DE296" s="61">
        <v>29</v>
      </c>
      <c r="DF296" s="61">
        <v>7541</v>
      </c>
      <c r="DG296" s="61">
        <v>40</v>
      </c>
      <c r="DH296" s="62" t="s">
        <v>2185</v>
      </c>
      <c r="DI296" s="61">
        <v>267</v>
      </c>
      <c r="DJ296" s="61">
        <v>25</v>
      </c>
      <c r="DK296" s="61"/>
      <c r="DL296" s="61"/>
      <c r="DM296" s="61"/>
      <c r="DN296" s="61"/>
    </row>
    <row r="297" spans="1:118" x14ac:dyDescent="0.25">
      <c r="A297" s="61">
        <v>106470871</v>
      </c>
      <c r="B297" s="62" t="s">
        <v>1338</v>
      </c>
      <c r="C297" s="62" t="s">
        <v>1339</v>
      </c>
      <c r="D297" s="62" t="s">
        <v>1340</v>
      </c>
      <c r="E297" s="62" t="s">
        <v>71</v>
      </c>
      <c r="F297" s="62" t="s">
        <v>2213</v>
      </c>
      <c r="G297" s="62" t="s">
        <v>1341</v>
      </c>
      <c r="H297" s="62" t="s">
        <v>1342</v>
      </c>
      <c r="I297" s="62" t="s">
        <v>1343</v>
      </c>
      <c r="J297" s="62" t="s">
        <v>2190</v>
      </c>
      <c r="K297" s="62" t="s">
        <v>138</v>
      </c>
      <c r="L297" s="61">
        <v>1</v>
      </c>
      <c r="M297" s="61">
        <v>1</v>
      </c>
      <c r="N297" s="61">
        <v>1</v>
      </c>
      <c r="O297" s="62" t="s">
        <v>1994</v>
      </c>
      <c r="P297" s="62" t="s">
        <v>120</v>
      </c>
      <c r="Q297" s="62" t="s">
        <v>120</v>
      </c>
      <c r="R297" s="62" t="s">
        <v>2167</v>
      </c>
      <c r="S297" s="62" t="s">
        <v>69</v>
      </c>
      <c r="T297" s="61">
        <v>4301</v>
      </c>
      <c r="U297" s="61">
        <v>4048</v>
      </c>
      <c r="V297" s="61"/>
      <c r="W297" s="61">
        <v>622</v>
      </c>
      <c r="X297" s="61">
        <v>767</v>
      </c>
      <c r="Y297" s="61">
        <v>1183</v>
      </c>
      <c r="Z297" s="61">
        <v>1045</v>
      </c>
      <c r="AA297" s="61">
        <v>1030</v>
      </c>
      <c r="AB297" s="61">
        <v>1178</v>
      </c>
      <c r="AC297" s="61">
        <v>1108</v>
      </c>
      <c r="AD297" s="61">
        <v>744</v>
      </c>
      <c r="AE297" s="61">
        <v>550</v>
      </c>
      <c r="AF297" s="61">
        <v>122</v>
      </c>
      <c r="AG297" s="61"/>
      <c r="AH297" s="61">
        <v>102</v>
      </c>
      <c r="AI297" s="61">
        <v>300</v>
      </c>
      <c r="AJ297" s="61">
        <v>356</v>
      </c>
      <c r="AK297" s="61">
        <v>94</v>
      </c>
      <c r="AL297" s="61">
        <v>185</v>
      </c>
      <c r="AM297" s="61">
        <v>453</v>
      </c>
      <c r="AN297" s="61">
        <v>6859</v>
      </c>
      <c r="AO297" s="61">
        <v>279</v>
      </c>
      <c r="AP297" s="61">
        <v>194</v>
      </c>
      <c r="AQ297" s="61">
        <v>21</v>
      </c>
      <c r="AR297" s="61">
        <v>4</v>
      </c>
      <c r="AS297" s="61">
        <v>3</v>
      </c>
      <c r="AT297" s="61"/>
      <c r="AU297" s="61"/>
      <c r="AV297" s="61">
        <v>58</v>
      </c>
      <c r="AW297" s="61">
        <v>58</v>
      </c>
      <c r="AX297" s="61"/>
      <c r="AY297" s="61">
        <v>7700</v>
      </c>
      <c r="AZ297" s="61">
        <v>31</v>
      </c>
      <c r="BA297" s="61"/>
      <c r="BB297" s="61"/>
      <c r="BC297" s="61">
        <v>1</v>
      </c>
      <c r="BD297" s="61">
        <v>3681</v>
      </c>
      <c r="BE297" s="61">
        <v>2537</v>
      </c>
      <c r="BF297" s="61">
        <v>234</v>
      </c>
      <c r="BG297" s="61">
        <v>1503</v>
      </c>
      <c r="BH297" s="61">
        <v>394</v>
      </c>
      <c r="BI297" s="61"/>
      <c r="BJ297" s="61">
        <v>8349</v>
      </c>
      <c r="BK297" s="61">
        <v>54</v>
      </c>
      <c r="BL297" s="61">
        <v>8246</v>
      </c>
      <c r="BM297" s="61">
        <v>49</v>
      </c>
      <c r="BN297" s="61">
        <v>374</v>
      </c>
      <c r="BO297" s="61">
        <v>301</v>
      </c>
      <c r="BP297" s="61"/>
      <c r="BQ297" s="61">
        <v>6</v>
      </c>
      <c r="BR297" s="61">
        <v>47</v>
      </c>
      <c r="BS297" s="61">
        <v>31</v>
      </c>
      <c r="BT297" s="61">
        <v>60</v>
      </c>
      <c r="BU297" s="61">
        <v>99</v>
      </c>
      <c r="BV297" s="61">
        <v>149</v>
      </c>
      <c r="BW297" s="61">
        <v>144</v>
      </c>
      <c r="BX297" s="61">
        <v>121</v>
      </c>
      <c r="BY297" s="61">
        <v>7</v>
      </c>
      <c r="BZ297" s="61">
        <v>11</v>
      </c>
      <c r="CA297" s="61"/>
      <c r="CB297" s="61">
        <v>8</v>
      </c>
      <c r="CC297" s="61">
        <v>26</v>
      </c>
      <c r="CD297" s="61">
        <v>15</v>
      </c>
      <c r="CE297" s="61">
        <v>9</v>
      </c>
      <c r="CF297" s="61">
        <v>23</v>
      </c>
      <c r="CG297" s="61">
        <v>584</v>
      </c>
      <c r="CH297" s="61">
        <v>10</v>
      </c>
      <c r="CI297" s="61">
        <v>39</v>
      </c>
      <c r="CJ297" s="61">
        <v>6</v>
      </c>
      <c r="CK297" s="61">
        <v>26</v>
      </c>
      <c r="CL297" s="61">
        <v>20</v>
      </c>
      <c r="CM297" s="61">
        <v>5</v>
      </c>
      <c r="CN297" s="61"/>
      <c r="CO297" s="61">
        <v>4</v>
      </c>
      <c r="CP297" s="61">
        <v>514</v>
      </c>
      <c r="CQ297" s="61">
        <v>37</v>
      </c>
      <c r="CR297" s="61"/>
      <c r="CS297" s="61">
        <v>20</v>
      </c>
      <c r="CT297" s="61">
        <v>1</v>
      </c>
      <c r="CU297" s="61"/>
      <c r="CV297" s="61"/>
      <c r="CW297" s="61">
        <v>3</v>
      </c>
      <c r="CX297" s="61">
        <v>177</v>
      </c>
      <c r="CY297" s="61">
        <v>393</v>
      </c>
      <c r="CZ297" s="61">
        <v>7</v>
      </c>
      <c r="DA297" s="61">
        <v>87</v>
      </c>
      <c r="DB297" s="61">
        <v>11</v>
      </c>
      <c r="DC297" s="61"/>
      <c r="DD297" s="61">
        <v>675</v>
      </c>
      <c r="DE297" s="61">
        <v>4</v>
      </c>
      <c r="DF297" s="61">
        <v>664</v>
      </c>
      <c r="DG297" s="61">
        <v>7</v>
      </c>
      <c r="DH297" s="62" t="s">
        <v>2185</v>
      </c>
      <c r="DI297" s="61">
        <v>33</v>
      </c>
      <c r="DJ297" s="61">
        <v>8</v>
      </c>
      <c r="DK297" s="61"/>
      <c r="DL297" s="61"/>
      <c r="DM297" s="61"/>
      <c r="DN297" s="61"/>
    </row>
    <row r="298" spans="1:118" x14ac:dyDescent="0.25">
      <c r="A298" s="61">
        <v>106474007</v>
      </c>
      <c r="B298" s="62" t="s">
        <v>1344</v>
      </c>
      <c r="C298" s="62" t="s">
        <v>1345</v>
      </c>
      <c r="D298" s="62" t="s">
        <v>1340</v>
      </c>
      <c r="E298" s="62" t="s">
        <v>71</v>
      </c>
      <c r="F298" s="62" t="s">
        <v>2213</v>
      </c>
      <c r="G298" s="62" t="s">
        <v>1346</v>
      </c>
      <c r="H298" s="62" t="s">
        <v>1347</v>
      </c>
      <c r="I298" s="62" t="s">
        <v>1348</v>
      </c>
      <c r="J298" s="62" t="s">
        <v>2190</v>
      </c>
      <c r="K298" s="62" t="s">
        <v>126</v>
      </c>
      <c r="L298" s="61">
        <v>1</v>
      </c>
      <c r="M298" s="61">
        <v>1</v>
      </c>
      <c r="N298" s="61">
        <v>1</v>
      </c>
      <c r="O298" s="62" t="s">
        <v>1995</v>
      </c>
      <c r="P298" s="62" t="s">
        <v>120</v>
      </c>
      <c r="Q298" s="62" t="s">
        <v>120</v>
      </c>
      <c r="R298" s="62" t="s">
        <v>2167</v>
      </c>
      <c r="S298" s="62" t="s">
        <v>69</v>
      </c>
      <c r="T298" s="61">
        <v>6762</v>
      </c>
      <c r="U298" s="61">
        <v>6239</v>
      </c>
      <c r="V298" s="61"/>
      <c r="W298" s="61">
        <v>1143</v>
      </c>
      <c r="X298" s="61">
        <v>1214</v>
      </c>
      <c r="Y298" s="61">
        <v>1980</v>
      </c>
      <c r="Z298" s="61">
        <v>1594</v>
      </c>
      <c r="AA298" s="61">
        <v>1301</v>
      </c>
      <c r="AB298" s="61">
        <v>1828</v>
      </c>
      <c r="AC298" s="61">
        <v>1457</v>
      </c>
      <c r="AD298" s="61">
        <v>1084</v>
      </c>
      <c r="AE298" s="61">
        <v>1155</v>
      </c>
      <c r="AF298" s="61">
        <v>245</v>
      </c>
      <c r="AG298" s="61"/>
      <c r="AH298" s="61">
        <v>106</v>
      </c>
      <c r="AI298" s="61">
        <v>202</v>
      </c>
      <c r="AJ298" s="61">
        <v>835</v>
      </c>
      <c r="AK298" s="61">
        <v>728</v>
      </c>
      <c r="AL298" s="61">
        <v>53</v>
      </c>
      <c r="AM298" s="61">
        <v>247</v>
      </c>
      <c r="AN298" s="61">
        <v>10830</v>
      </c>
      <c r="AO298" s="61">
        <v>852</v>
      </c>
      <c r="AP298" s="61">
        <v>71</v>
      </c>
      <c r="AQ298" s="61">
        <v>22</v>
      </c>
      <c r="AR298" s="61"/>
      <c r="AS298" s="61">
        <v>20</v>
      </c>
      <c r="AT298" s="61"/>
      <c r="AU298" s="61"/>
      <c r="AV298" s="61">
        <v>56</v>
      </c>
      <c r="AW298" s="61">
        <v>26</v>
      </c>
      <c r="AX298" s="61">
        <v>4</v>
      </c>
      <c r="AY298" s="61">
        <v>11936</v>
      </c>
      <c r="AZ298" s="61">
        <v>9</v>
      </c>
      <c r="BA298" s="61">
        <v>1</v>
      </c>
      <c r="BB298" s="61">
        <v>1</v>
      </c>
      <c r="BC298" s="61"/>
      <c r="BD298" s="61">
        <v>5653</v>
      </c>
      <c r="BE298" s="61">
        <v>3883</v>
      </c>
      <c r="BF298" s="61">
        <v>957</v>
      </c>
      <c r="BG298" s="61">
        <v>1358</v>
      </c>
      <c r="BH298" s="61">
        <v>1150</v>
      </c>
      <c r="BI298" s="61"/>
      <c r="BJ298" s="61">
        <v>13001</v>
      </c>
      <c r="BK298" s="61">
        <v>28</v>
      </c>
      <c r="BL298" s="61">
        <v>12896</v>
      </c>
      <c r="BM298" s="61">
        <v>77</v>
      </c>
      <c r="BN298" s="61">
        <v>517</v>
      </c>
      <c r="BO298" s="61">
        <v>459</v>
      </c>
      <c r="BP298" s="61"/>
      <c r="BQ298" s="61">
        <v>15</v>
      </c>
      <c r="BR298" s="61">
        <v>34</v>
      </c>
      <c r="BS298" s="61">
        <v>44</v>
      </c>
      <c r="BT298" s="61">
        <v>71</v>
      </c>
      <c r="BU298" s="61">
        <v>157</v>
      </c>
      <c r="BV298" s="61">
        <v>194</v>
      </c>
      <c r="BW298" s="61">
        <v>184</v>
      </c>
      <c r="BX298" s="61">
        <v>245</v>
      </c>
      <c r="BY298" s="61">
        <v>8</v>
      </c>
      <c r="BZ298" s="61">
        <v>24</v>
      </c>
      <c r="CA298" s="61"/>
      <c r="CB298" s="61">
        <v>14</v>
      </c>
      <c r="CC298" s="61">
        <v>8</v>
      </c>
      <c r="CD298" s="61">
        <v>36</v>
      </c>
      <c r="CE298" s="61">
        <v>4</v>
      </c>
      <c r="CF298" s="61">
        <v>7</v>
      </c>
      <c r="CG298" s="61">
        <v>852</v>
      </c>
      <c r="CH298" s="61">
        <v>55</v>
      </c>
      <c r="CI298" s="61">
        <v>54</v>
      </c>
      <c r="CJ298" s="61">
        <v>15</v>
      </c>
      <c r="CK298" s="61">
        <v>22</v>
      </c>
      <c r="CL298" s="61">
        <v>79</v>
      </c>
      <c r="CM298" s="61">
        <v>3</v>
      </c>
      <c r="CN298" s="61"/>
      <c r="CO298" s="61">
        <v>3</v>
      </c>
      <c r="CP298" s="61">
        <v>655</v>
      </c>
      <c r="CQ298" s="61">
        <v>97</v>
      </c>
      <c r="CR298" s="61"/>
      <c r="CS298" s="61">
        <v>46</v>
      </c>
      <c r="CT298" s="61">
        <v>2</v>
      </c>
      <c r="CU298" s="61"/>
      <c r="CV298" s="61"/>
      <c r="CW298" s="61"/>
      <c r="CX298" s="61">
        <v>230</v>
      </c>
      <c r="CY298" s="61">
        <v>609</v>
      </c>
      <c r="CZ298" s="61">
        <v>22</v>
      </c>
      <c r="DA298" s="61">
        <v>92</v>
      </c>
      <c r="DB298" s="61">
        <v>23</v>
      </c>
      <c r="DC298" s="61"/>
      <c r="DD298" s="61">
        <v>976</v>
      </c>
      <c r="DE298" s="61">
        <v>5</v>
      </c>
      <c r="DF298" s="61">
        <v>963</v>
      </c>
      <c r="DG298" s="61">
        <v>8</v>
      </c>
      <c r="DH298" s="62" t="s">
        <v>2185</v>
      </c>
      <c r="DI298" s="61">
        <v>28</v>
      </c>
      <c r="DJ298" s="61">
        <v>8</v>
      </c>
      <c r="DK298" s="61"/>
      <c r="DL298" s="61">
        <v>3</v>
      </c>
      <c r="DM298" s="61"/>
      <c r="DN298" s="61"/>
    </row>
    <row r="299" spans="1:118" x14ac:dyDescent="0.25">
      <c r="A299" s="61">
        <v>106480989</v>
      </c>
      <c r="B299" s="62" t="s">
        <v>1349</v>
      </c>
      <c r="C299" s="62" t="s">
        <v>2107</v>
      </c>
      <c r="D299" s="62" t="s">
        <v>1350</v>
      </c>
      <c r="E299" s="62" t="s">
        <v>71</v>
      </c>
      <c r="F299" s="62" t="s">
        <v>2213</v>
      </c>
      <c r="G299" s="62" t="s">
        <v>1351</v>
      </c>
      <c r="H299" s="62" t="s">
        <v>1352</v>
      </c>
      <c r="I299" s="62" t="s">
        <v>1353</v>
      </c>
      <c r="J299" s="62" t="s">
        <v>2184</v>
      </c>
      <c r="K299" s="62"/>
      <c r="L299" s="61">
        <v>5</v>
      </c>
      <c r="M299" s="61">
        <v>14</v>
      </c>
      <c r="N299" s="61">
        <v>3</v>
      </c>
      <c r="O299" s="62" t="s">
        <v>1996</v>
      </c>
      <c r="P299" s="62" t="s">
        <v>68</v>
      </c>
      <c r="Q299" s="62" t="s">
        <v>2167</v>
      </c>
      <c r="R299" s="62" t="s">
        <v>2167</v>
      </c>
      <c r="S299" s="62" t="s">
        <v>69</v>
      </c>
      <c r="T299" s="61">
        <v>29111</v>
      </c>
      <c r="U299" s="61">
        <v>23176</v>
      </c>
      <c r="V299" s="61">
        <v>3</v>
      </c>
      <c r="W299" s="61">
        <v>6148</v>
      </c>
      <c r="X299" s="61">
        <v>5456</v>
      </c>
      <c r="Y299" s="61">
        <v>7732</v>
      </c>
      <c r="Z299" s="61">
        <v>6490</v>
      </c>
      <c r="AA299" s="61">
        <v>5823</v>
      </c>
      <c r="AB299" s="61">
        <v>6550</v>
      </c>
      <c r="AC299" s="61">
        <v>5366</v>
      </c>
      <c r="AD299" s="61">
        <v>3698</v>
      </c>
      <c r="AE299" s="61">
        <v>3963</v>
      </c>
      <c r="AF299" s="61">
        <v>1064</v>
      </c>
      <c r="AG299" s="61"/>
      <c r="AH299" s="61">
        <v>6741</v>
      </c>
      <c r="AI299" s="61">
        <v>15218</v>
      </c>
      <c r="AJ299" s="61">
        <v>9515</v>
      </c>
      <c r="AK299" s="61">
        <v>222</v>
      </c>
      <c r="AL299" s="61">
        <v>1192</v>
      </c>
      <c r="AM299" s="61">
        <v>949</v>
      </c>
      <c r="AN299" s="61">
        <v>18453</v>
      </c>
      <c r="AO299" s="61">
        <v>251</v>
      </c>
      <c r="AP299" s="61">
        <v>930</v>
      </c>
      <c r="AQ299" s="61">
        <v>105</v>
      </c>
      <c r="AR299" s="61">
        <v>235</v>
      </c>
      <c r="AS299" s="61">
        <v>44</v>
      </c>
      <c r="AT299" s="61">
        <v>13</v>
      </c>
      <c r="AU299" s="61"/>
      <c r="AV299" s="61">
        <v>73</v>
      </c>
      <c r="AW299" s="61">
        <v>378</v>
      </c>
      <c r="AX299" s="61">
        <v>5</v>
      </c>
      <c r="AY299" s="61">
        <v>49883</v>
      </c>
      <c r="AZ299" s="61">
        <v>197</v>
      </c>
      <c r="BA299" s="61">
        <v>126</v>
      </c>
      <c r="BB299" s="61">
        <v>3</v>
      </c>
      <c r="BC299" s="61">
        <v>46</v>
      </c>
      <c r="BD299" s="61">
        <v>13851</v>
      </c>
      <c r="BE299" s="61">
        <v>10652</v>
      </c>
      <c r="BF299" s="61">
        <v>689</v>
      </c>
      <c r="BG299" s="61">
        <v>20884</v>
      </c>
      <c r="BH299" s="61">
        <v>6214</v>
      </c>
      <c r="BI299" s="61"/>
      <c r="BJ299" s="61">
        <v>52290</v>
      </c>
      <c r="BK299" s="61">
        <v>454</v>
      </c>
      <c r="BL299" s="61">
        <v>49431</v>
      </c>
      <c r="BM299" s="61">
        <v>2405</v>
      </c>
      <c r="BN299" s="61">
        <v>3020</v>
      </c>
      <c r="BO299" s="61">
        <v>2679</v>
      </c>
      <c r="BP299" s="61"/>
      <c r="BQ299" s="61">
        <v>57</v>
      </c>
      <c r="BR299" s="61">
        <v>204</v>
      </c>
      <c r="BS299" s="61">
        <v>262</v>
      </c>
      <c r="BT299" s="61">
        <v>404</v>
      </c>
      <c r="BU299" s="61">
        <v>853</v>
      </c>
      <c r="BV299" s="61">
        <v>1193</v>
      </c>
      <c r="BW299" s="61">
        <v>1170</v>
      </c>
      <c r="BX299" s="61">
        <v>1552</v>
      </c>
      <c r="BY299" s="61">
        <v>1</v>
      </c>
      <c r="BZ299" s="61">
        <v>3</v>
      </c>
      <c r="CA299" s="61"/>
      <c r="CB299" s="61">
        <v>878</v>
      </c>
      <c r="CC299" s="61">
        <v>1156</v>
      </c>
      <c r="CD299" s="61">
        <v>548</v>
      </c>
      <c r="CE299" s="61">
        <v>39</v>
      </c>
      <c r="CF299" s="61">
        <v>15</v>
      </c>
      <c r="CG299" s="61">
        <v>3039</v>
      </c>
      <c r="CH299" s="61">
        <v>24</v>
      </c>
      <c r="CI299" s="61">
        <v>322</v>
      </c>
      <c r="CJ299" s="61">
        <v>67</v>
      </c>
      <c r="CK299" s="61">
        <v>257</v>
      </c>
      <c r="CL299" s="61">
        <v>1167</v>
      </c>
      <c r="CM299" s="61">
        <v>48</v>
      </c>
      <c r="CN299" s="61"/>
      <c r="CO299" s="61">
        <v>1</v>
      </c>
      <c r="CP299" s="61">
        <v>2989</v>
      </c>
      <c r="CQ299" s="61">
        <v>672</v>
      </c>
      <c r="CR299" s="61">
        <v>4</v>
      </c>
      <c r="CS299" s="61">
        <v>154</v>
      </c>
      <c r="CT299" s="61">
        <v>15</v>
      </c>
      <c r="CU299" s="61">
        <v>1</v>
      </c>
      <c r="CV299" s="61"/>
      <c r="CW299" s="61">
        <v>2</v>
      </c>
      <c r="CX299" s="61">
        <v>576</v>
      </c>
      <c r="CY299" s="61">
        <v>3519</v>
      </c>
      <c r="CZ299" s="61">
        <v>18</v>
      </c>
      <c r="DA299" s="61">
        <v>1415</v>
      </c>
      <c r="DB299" s="61">
        <v>171</v>
      </c>
      <c r="DC299" s="61"/>
      <c r="DD299" s="61">
        <v>5699</v>
      </c>
      <c r="DE299" s="61">
        <v>82</v>
      </c>
      <c r="DF299" s="61">
        <v>5476</v>
      </c>
      <c r="DG299" s="61">
        <v>141</v>
      </c>
      <c r="DH299" s="62" t="s">
        <v>2185</v>
      </c>
      <c r="DI299" s="61">
        <v>248</v>
      </c>
      <c r="DJ299" s="61">
        <v>48</v>
      </c>
      <c r="DK299" s="61">
        <v>1</v>
      </c>
      <c r="DL299" s="61"/>
      <c r="DM299" s="61"/>
      <c r="DN299" s="61"/>
    </row>
    <row r="300" spans="1:118" x14ac:dyDescent="0.25">
      <c r="A300" s="61">
        <v>106481094</v>
      </c>
      <c r="B300" s="62" t="s">
        <v>1354</v>
      </c>
      <c r="C300" s="62" t="s">
        <v>1355</v>
      </c>
      <c r="D300" s="62" t="s">
        <v>1350</v>
      </c>
      <c r="E300" s="62" t="s">
        <v>71</v>
      </c>
      <c r="F300" s="62" t="s">
        <v>2213</v>
      </c>
      <c r="G300" s="62" t="s">
        <v>1356</v>
      </c>
      <c r="H300" s="62" t="s">
        <v>1352</v>
      </c>
      <c r="I300" s="62" t="s">
        <v>2108</v>
      </c>
      <c r="J300" s="62" t="s">
        <v>2189</v>
      </c>
      <c r="K300" s="62"/>
      <c r="L300" s="61">
        <v>5</v>
      </c>
      <c r="M300" s="61">
        <v>14</v>
      </c>
      <c r="N300" s="61">
        <v>3</v>
      </c>
      <c r="O300" s="62" t="s">
        <v>1996</v>
      </c>
      <c r="P300" s="62" t="s">
        <v>68</v>
      </c>
      <c r="Q300" s="62" t="s">
        <v>2167</v>
      </c>
      <c r="R300" s="62" t="s">
        <v>2167</v>
      </c>
      <c r="S300" s="62" t="s">
        <v>69</v>
      </c>
      <c r="T300" s="61">
        <v>20987</v>
      </c>
      <c r="U300" s="61">
        <v>15666</v>
      </c>
      <c r="V300" s="61">
        <v>2</v>
      </c>
      <c r="W300" s="61">
        <v>4355</v>
      </c>
      <c r="X300" s="61">
        <v>3137</v>
      </c>
      <c r="Y300" s="61">
        <v>6424</v>
      </c>
      <c r="Z300" s="61">
        <v>5469</v>
      </c>
      <c r="AA300" s="61">
        <v>4896</v>
      </c>
      <c r="AB300" s="61">
        <v>5352</v>
      </c>
      <c r="AC300" s="61">
        <v>3417</v>
      </c>
      <c r="AD300" s="61">
        <v>1517</v>
      </c>
      <c r="AE300" s="61">
        <v>1241</v>
      </c>
      <c r="AF300" s="61">
        <v>847</v>
      </c>
      <c r="AG300" s="61"/>
      <c r="AH300" s="61">
        <v>3845</v>
      </c>
      <c r="AI300" s="61">
        <v>12920</v>
      </c>
      <c r="AJ300" s="61">
        <v>8374</v>
      </c>
      <c r="AK300" s="61">
        <v>102</v>
      </c>
      <c r="AL300" s="61">
        <v>975</v>
      </c>
      <c r="AM300" s="61">
        <v>571</v>
      </c>
      <c r="AN300" s="61">
        <v>9868</v>
      </c>
      <c r="AO300" s="61">
        <v>207</v>
      </c>
      <c r="AP300" s="61">
        <v>292</v>
      </c>
      <c r="AQ300" s="61">
        <v>29</v>
      </c>
      <c r="AR300" s="61">
        <v>177</v>
      </c>
      <c r="AS300" s="61">
        <v>37</v>
      </c>
      <c r="AT300" s="61">
        <v>6</v>
      </c>
      <c r="AU300" s="61"/>
      <c r="AV300" s="61">
        <v>43</v>
      </c>
      <c r="AW300" s="61">
        <v>230</v>
      </c>
      <c r="AX300" s="61">
        <v>10</v>
      </c>
      <c r="AY300" s="61">
        <v>34955</v>
      </c>
      <c r="AZ300" s="61">
        <v>110</v>
      </c>
      <c r="BA300" s="61">
        <v>35</v>
      </c>
      <c r="BB300" s="61">
        <v>73</v>
      </c>
      <c r="BC300" s="61">
        <v>244</v>
      </c>
      <c r="BD300" s="61">
        <v>22092</v>
      </c>
      <c r="BE300" s="61">
        <v>6059</v>
      </c>
      <c r="BF300" s="61">
        <v>640</v>
      </c>
      <c r="BG300" s="61">
        <v>4592</v>
      </c>
      <c r="BH300" s="61">
        <v>3230</v>
      </c>
      <c r="BI300" s="61">
        <v>42</v>
      </c>
      <c r="BJ300" s="61">
        <v>36655</v>
      </c>
      <c r="BK300" s="61">
        <v>1023</v>
      </c>
      <c r="BL300" s="61">
        <v>32401</v>
      </c>
      <c r="BM300" s="61">
        <v>3231</v>
      </c>
      <c r="BN300" s="61">
        <v>1524</v>
      </c>
      <c r="BO300" s="61">
        <v>1312</v>
      </c>
      <c r="BP300" s="61"/>
      <c r="BQ300" s="61">
        <v>13</v>
      </c>
      <c r="BR300" s="61">
        <v>125</v>
      </c>
      <c r="BS300" s="61">
        <v>180</v>
      </c>
      <c r="BT300" s="61">
        <v>290</v>
      </c>
      <c r="BU300" s="61">
        <v>623</v>
      </c>
      <c r="BV300" s="61">
        <v>632</v>
      </c>
      <c r="BW300" s="61">
        <v>437</v>
      </c>
      <c r="BX300" s="61">
        <v>535</v>
      </c>
      <c r="BY300" s="61">
        <v>1</v>
      </c>
      <c r="BZ300" s="61"/>
      <c r="CA300" s="61"/>
      <c r="CB300" s="61">
        <v>546</v>
      </c>
      <c r="CC300" s="61">
        <v>816</v>
      </c>
      <c r="CD300" s="61">
        <v>338</v>
      </c>
      <c r="CE300" s="61">
        <v>55</v>
      </c>
      <c r="CF300" s="61">
        <v>56</v>
      </c>
      <c r="CG300" s="61">
        <v>1018</v>
      </c>
      <c r="CH300" s="61">
        <v>7</v>
      </c>
      <c r="CI300" s="61">
        <v>128</v>
      </c>
      <c r="CJ300" s="61">
        <v>95</v>
      </c>
      <c r="CK300" s="61">
        <v>74</v>
      </c>
      <c r="CL300" s="61">
        <v>458</v>
      </c>
      <c r="CM300" s="61">
        <v>9</v>
      </c>
      <c r="CN300" s="61"/>
      <c r="CO300" s="61">
        <v>11</v>
      </c>
      <c r="CP300" s="61">
        <v>1493</v>
      </c>
      <c r="CQ300" s="61">
        <v>456</v>
      </c>
      <c r="CR300" s="61"/>
      <c r="CS300" s="61">
        <v>84</v>
      </c>
      <c r="CT300" s="61">
        <v>13</v>
      </c>
      <c r="CU300" s="61">
        <v>9</v>
      </c>
      <c r="CV300" s="61"/>
      <c r="CW300" s="61">
        <v>6</v>
      </c>
      <c r="CX300" s="61">
        <v>961</v>
      </c>
      <c r="CY300" s="61">
        <v>1480</v>
      </c>
      <c r="CZ300" s="61">
        <v>34</v>
      </c>
      <c r="DA300" s="61">
        <v>289</v>
      </c>
      <c r="DB300" s="61">
        <v>72</v>
      </c>
      <c r="DC300" s="61"/>
      <c r="DD300" s="61">
        <v>2836</v>
      </c>
      <c r="DE300" s="61">
        <v>193</v>
      </c>
      <c r="DF300" s="61">
        <v>2483</v>
      </c>
      <c r="DG300" s="61">
        <v>160</v>
      </c>
      <c r="DH300" s="62" t="s">
        <v>2185</v>
      </c>
      <c r="DI300" s="61">
        <v>102</v>
      </c>
      <c r="DJ300" s="61">
        <v>13</v>
      </c>
      <c r="DK300" s="61">
        <v>124</v>
      </c>
      <c r="DL300" s="61">
        <v>83</v>
      </c>
      <c r="DM300" s="61"/>
      <c r="DN300" s="61"/>
    </row>
    <row r="301" spans="1:118" x14ac:dyDescent="0.25">
      <c r="A301" s="61">
        <v>106481357</v>
      </c>
      <c r="B301" s="62" t="s">
        <v>1357</v>
      </c>
      <c r="C301" s="62" t="s">
        <v>1358</v>
      </c>
      <c r="D301" s="62" t="s">
        <v>1350</v>
      </c>
      <c r="E301" s="62" t="s">
        <v>71</v>
      </c>
      <c r="F301" s="62" t="s">
        <v>2213</v>
      </c>
      <c r="G301" s="62" t="s">
        <v>1359</v>
      </c>
      <c r="H301" s="62" t="s">
        <v>1360</v>
      </c>
      <c r="I301" s="62" t="s">
        <v>1361</v>
      </c>
      <c r="J301" s="62" t="s">
        <v>2189</v>
      </c>
      <c r="K301" s="62" t="s">
        <v>138</v>
      </c>
      <c r="L301" s="61">
        <v>3</v>
      </c>
      <c r="M301" s="61">
        <v>11</v>
      </c>
      <c r="N301" s="61">
        <v>3</v>
      </c>
      <c r="O301" s="62" t="s">
        <v>1997</v>
      </c>
      <c r="P301" s="62" t="s">
        <v>68</v>
      </c>
      <c r="Q301" s="62" t="s">
        <v>2167</v>
      </c>
      <c r="R301" s="62" t="s">
        <v>2167</v>
      </c>
      <c r="S301" s="62" t="s">
        <v>69</v>
      </c>
      <c r="T301" s="61">
        <v>35954</v>
      </c>
      <c r="U301" s="61">
        <v>27753</v>
      </c>
      <c r="V301" s="61">
        <v>3</v>
      </c>
      <c r="W301" s="61">
        <v>7667</v>
      </c>
      <c r="X301" s="61">
        <v>5830</v>
      </c>
      <c r="Y301" s="61">
        <v>11472</v>
      </c>
      <c r="Z301" s="61">
        <v>10323</v>
      </c>
      <c r="AA301" s="61">
        <v>8060</v>
      </c>
      <c r="AB301" s="61">
        <v>8206</v>
      </c>
      <c r="AC301" s="61">
        <v>4979</v>
      </c>
      <c r="AD301" s="61">
        <v>2804</v>
      </c>
      <c r="AE301" s="61">
        <v>2817</v>
      </c>
      <c r="AF301" s="61">
        <v>1552</v>
      </c>
      <c r="AG301" s="61"/>
      <c r="AH301" s="61">
        <v>3127</v>
      </c>
      <c r="AI301" s="61">
        <v>15064</v>
      </c>
      <c r="AJ301" s="61">
        <v>14972</v>
      </c>
      <c r="AK301" s="61">
        <v>118</v>
      </c>
      <c r="AL301" s="61">
        <v>2105</v>
      </c>
      <c r="AM301" s="61">
        <v>150</v>
      </c>
      <c r="AN301" s="61">
        <v>28174</v>
      </c>
      <c r="AO301" s="61">
        <v>824</v>
      </c>
      <c r="AP301" s="61">
        <v>1257</v>
      </c>
      <c r="AQ301" s="61">
        <v>105</v>
      </c>
      <c r="AR301" s="61">
        <v>340</v>
      </c>
      <c r="AS301" s="61">
        <v>15</v>
      </c>
      <c r="AT301" s="61">
        <v>10</v>
      </c>
      <c r="AU301" s="61"/>
      <c r="AV301" s="61">
        <v>589</v>
      </c>
      <c r="AW301" s="61">
        <v>139</v>
      </c>
      <c r="AX301" s="61">
        <v>8</v>
      </c>
      <c r="AY301" s="61">
        <v>59564</v>
      </c>
      <c r="AZ301" s="61">
        <v>368</v>
      </c>
      <c r="BA301" s="61">
        <v>103</v>
      </c>
      <c r="BB301" s="61">
        <v>16</v>
      </c>
      <c r="BC301" s="61">
        <v>157</v>
      </c>
      <c r="BD301" s="61">
        <v>35277</v>
      </c>
      <c r="BE301" s="61">
        <v>11334</v>
      </c>
      <c r="BF301" s="61">
        <v>2071</v>
      </c>
      <c r="BG301" s="61">
        <v>9225</v>
      </c>
      <c r="BH301" s="61">
        <v>5802</v>
      </c>
      <c r="BI301" s="61">
        <v>1</v>
      </c>
      <c r="BJ301" s="61">
        <v>63710</v>
      </c>
      <c r="BK301" s="61">
        <v>1175</v>
      </c>
      <c r="BL301" s="61">
        <v>56881</v>
      </c>
      <c r="BM301" s="61">
        <v>5654</v>
      </c>
      <c r="BN301" s="61">
        <v>3006</v>
      </c>
      <c r="BO301" s="61">
        <v>2770</v>
      </c>
      <c r="BP301" s="61"/>
      <c r="BQ301" s="61">
        <v>59</v>
      </c>
      <c r="BR301" s="61">
        <v>286</v>
      </c>
      <c r="BS301" s="61">
        <v>411</v>
      </c>
      <c r="BT301" s="61">
        <v>589</v>
      </c>
      <c r="BU301" s="61">
        <v>1041</v>
      </c>
      <c r="BV301" s="61">
        <v>1095</v>
      </c>
      <c r="BW301" s="61">
        <v>1021</v>
      </c>
      <c r="BX301" s="61">
        <v>1238</v>
      </c>
      <c r="BY301" s="61">
        <v>20</v>
      </c>
      <c r="BZ301" s="61">
        <v>16</v>
      </c>
      <c r="CA301" s="61"/>
      <c r="CB301" s="61">
        <v>477</v>
      </c>
      <c r="CC301" s="61">
        <v>1045</v>
      </c>
      <c r="CD301" s="61">
        <v>844</v>
      </c>
      <c r="CE301" s="61">
        <v>175</v>
      </c>
      <c r="CF301" s="61">
        <v>5</v>
      </c>
      <c r="CG301" s="61">
        <v>3220</v>
      </c>
      <c r="CH301" s="61">
        <v>10</v>
      </c>
      <c r="CI301" s="61">
        <v>260</v>
      </c>
      <c r="CJ301" s="61">
        <v>144</v>
      </c>
      <c r="CK301" s="61">
        <v>295</v>
      </c>
      <c r="CL301" s="61">
        <v>974</v>
      </c>
      <c r="CM301" s="61">
        <v>29</v>
      </c>
      <c r="CN301" s="61"/>
      <c r="CO301" s="61"/>
      <c r="CP301" s="61">
        <v>3062</v>
      </c>
      <c r="CQ301" s="61">
        <v>903</v>
      </c>
      <c r="CR301" s="61">
        <v>29</v>
      </c>
      <c r="CS301" s="61">
        <v>65</v>
      </c>
      <c r="CT301" s="61">
        <v>4</v>
      </c>
      <c r="CU301" s="61">
        <v>3</v>
      </c>
      <c r="CV301" s="61">
        <v>1</v>
      </c>
      <c r="CW301" s="61">
        <v>7</v>
      </c>
      <c r="CX301" s="61">
        <v>1561</v>
      </c>
      <c r="CY301" s="61">
        <v>3185</v>
      </c>
      <c r="CZ301" s="61">
        <v>131</v>
      </c>
      <c r="DA301" s="61">
        <v>642</v>
      </c>
      <c r="DB301" s="61">
        <v>256</v>
      </c>
      <c r="DC301" s="61">
        <v>1</v>
      </c>
      <c r="DD301" s="61">
        <v>5776</v>
      </c>
      <c r="DE301" s="61">
        <v>265</v>
      </c>
      <c r="DF301" s="61">
        <v>5142</v>
      </c>
      <c r="DG301" s="61">
        <v>369</v>
      </c>
      <c r="DH301" s="62" t="s">
        <v>2185</v>
      </c>
      <c r="DI301" s="61">
        <v>132</v>
      </c>
      <c r="DJ301" s="61">
        <v>19</v>
      </c>
      <c r="DK301" s="61">
        <v>4</v>
      </c>
      <c r="DL301" s="61">
        <v>211</v>
      </c>
      <c r="DM301" s="61"/>
      <c r="DN301" s="61"/>
    </row>
    <row r="302" spans="1:118" x14ac:dyDescent="0.25">
      <c r="A302" s="61">
        <v>106484044</v>
      </c>
      <c r="B302" s="62" t="s">
        <v>1362</v>
      </c>
      <c r="C302" s="62" t="s">
        <v>1363</v>
      </c>
      <c r="D302" s="62" t="s">
        <v>1350</v>
      </c>
      <c r="E302" s="62" t="s">
        <v>71</v>
      </c>
      <c r="F302" s="62" t="s">
        <v>2213</v>
      </c>
      <c r="G302" s="62" t="s">
        <v>1364</v>
      </c>
      <c r="H302" s="62" t="s">
        <v>1365</v>
      </c>
      <c r="I302" s="62" t="s">
        <v>1366</v>
      </c>
      <c r="J302" s="62" t="s">
        <v>2189</v>
      </c>
      <c r="K302" s="62" t="s">
        <v>82</v>
      </c>
      <c r="L302" s="61">
        <v>3</v>
      </c>
      <c r="M302" s="61">
        <v>11</v>
      </c>
      <c r="N302" s="61">
        <v>3</v>
      </c>
      <c r="O302" s="62" t="s">
        <v>1998</v>
      </c>
      <c r="P302" s="62" t="s">
        <v>68</v>
      </c>
      <c r="Q302" s="62" t="s">
        <v>2167</v>
      </c>
      <c r="R302" s="62" t="s">
        <v>2167</v>
      </c>
      <c r="S302" s="62" t="s">
        <v>69</v>
      </c>
      <c r="T302" s="61">
        <v>21407</v>
      </c>
      <c r="U302" s="61">
        <v>17115</v>
      </c>
      <c r="V302" s="61"/>
      <c r="W302" s="61">
        <v>4640</v>
      </c>
      <c r="X302" s="61">
        <v>4604</v>
      </c>
      <c r="Y302" s="61">
        <v>5568</v>
      </c>
      <c r="Z302" s="61">
        <v>4408</v>
      </c>
      <c r="AA302" s="61">
        <v>4260</v>
      </c>
      <c r="AB302" s="61">
        <v>4653</v>
      </c>
      <c r="AC302" s="61">
        <v>3867</v>
      </c>
      <c r="AD302" s="61">
        <v>2857</v>
      </c>
      <c r="AE302" s="61">
        <v>2907</v>
      </c>
      <c r="AF302" s="61">
        <v>758</v>
      </c>
      <c r="AG302" s="61"/>
      <c r="AH302" s="61">
        <v>3160</v>
      </c>
      <c r="AI302" s="61">
        <v>5417</v>
      </c>
      <c r="AJ302" s="61">
        <v>7995</v>
      </c>
      <c r="AK302" s="61">
        <v>190</v>
      </c>
      <c r="AL302" s="61">
        <v>708</v>
      </c>
      <c r="AM302" s="61">
        <v>239</v>
      </c>
      <c r="AN302" s="61">
        <v>20813</v>
      </c>
      <c r="AO302" s="61">
        <v>167</v>
      </c>
      <c r="AP302" s="61">
        <v>580</v>
      </c>
      <c r="AQ302" s="61">
        <v>26</v>
      </c>
      <c r="AR302" s="61">
        <v>78</v>
      </c>
      <c r="AS302" s="61">
        <v>34</v>
      </c>
      <c r="AT302" s="61">
        <v>7</v>
      </c>
      <c r="AU302" s="61"/>
      <c r="AV302" s="61">
        <v>22</v>
      </c>
      <c r="AW302" s="61">
        <v>321</v>
      </c>
      <c r="AX302" s="61"/>
      <c r="AY302" s="61">
        <v>37004</v>
      </c>
      <c r="AZ302" s="61">
        <v>123</v>
      </c>
      <c r="BA302" s="61">
        <v>109</v>
      </c>
      <c r="BB302" s="61">
        <v>2</v>
      </c>
      <c r="BC302" s="61">
        <v>49</v>
      </c>
      <c r="BD302" s="61">
        <v>6758</v>
      </c>
      <c r="BE302" s="61">
        <v>7624</v>
      </c>
      <c r="BF302" s="61">
        <v>833</v>
      </c>
      <c r="BG302" s="61">
        <v>21032</v>
      </c>
      <c r="BH302" s="61">
        <v>2275</v>
      </c>
      <c r="BI302" s="61"/>
      <c r="BJ302" s="61">
        <v>38522</v>
      </c>
      <c r="BK302" s="61">
        <v>180</v>
      </c>
      <c r="BL302" s="61">
        <v>37159</v>
      </c>
      <c r="BM302" s="61">
        <v>1183</v>
      </c>
      <c r="BN302" s="61">
        <v>1912</v>
      </c>
      <c r="BO302" s="61">
        <v>1862</v>
      </c>
      <c r="BP302" s="61"/>
      <c r="BQ302" s="61">
        <v>45</v>
      </c>
      <c r="BR302" s="61">
        <v>199</v>
      </c>
      <c r="BS302" s="61">
        <v>214</v>
      </c>
      <c r="BT302" s="61">
        <v>296</v>
      </c>
      <c r="BU302" s="61">
        <v>595</v>
      </c>
      <c r="BV302" s="61">
        <v>737</v>
      </c>
      <c r="BW302" s="61">
        <v>755</v>
      </c>
      <c r="BX302" s="61">
        <v>927</v>
      </c>
      <c r="BY302" s="61"/>
      <c r="BZ302" s="61">
        <v>6</v>
      </c>
      <c r="CA302" s="61"/>
      <c r="CB302" s="61">
        <v>335</v>
      </c>
      <c r="CC302" s="61">
        <v>411</v>
      </c>
      <c r="CD302" s="61">
        <v>425</v>
      </c>
      <c r="CE302" s="61">
        <v>50</v>
      </c>
      <c r="CF302" s="61">
        <v>14</v>
      </c>
      <c r="CG302" s="61">
        <v>2520</v>
      </c>
      <c r="CH302" s="61">
        <v>19</v>
      </c>
      <c r="CI302" s="61">
        <v>175</v>
      </c>
      <c r="CJ302" s="61">
        <v>28</v>
      </c>
      <c r="CK302" s="61">
        <v>178</v>
      </c>
      <c r="CL302" s="61">
        <v>433</v>
      </c>
      <c r="CM302" s="61">
        <v>55</v>
      </c>
      <c r="CN302" s="61"/>
      <c r="CO302" s="61"/>
      <c r="CP302" s="61">
        <v>2347</v>
      </c>
      <c r="CQ302" s="61">
        <v>430</v>
      </c>
      <c r="CR302" s="61">
        <v>7</v>
      </c>
      <c r="CS302" s="61">
        <v>99</v>
      </c>
      <c r="CT302" s="61">
        <v>13</v>
      </c>
      <c r="CU302" s="61">
        <v>2</v>
      </c>
      <c r="CV302" s="61">
        <v>1</v>
      </c>
      <c r="CW302" s="61">
        <v>6</v>
      </c>
      <c r="CX302" s="61">
        <v>244</v>
      </c>
      <c r="CY302" s="61">
        <v>2145</v>
      </c>
      <c r="CZ302" s="61">
        <v>22</v>
      </c>
      <c r="DA302" s="61">
        <v>1246</v>
      </c>
      <c r="DB302" s="61">
        <v>117</v>
      </c>
      <c r="DC302" s="61"/>
      <c r="DD302" s="61">
        <v>3774</v>
      </c>
      <c r="DE302" s="61">
        <v>26</v>
      </c>
      <c r="DF302" s="61">
        <v>3663</v>
      </c>
      <c r="DG302" s="61">
        <v>85</v>
      </c>
      <c r="DH302" s="62" t="s">
        <v>2185</v>
      </c>
      <c r="DI302" s="61">
        <v>140</v>
      </c>
      <c r="DJ302" s="61">
        <v>27</v>
      </c>
      <c r="DK302" s="61"/>
      <c r="DL302" s="61"/>
      <c r="DM302" s="61"/>
      <c r="DN302" s="61"/>
    </row>
    <row r="303" spans="1:118" x14ac:dyDescent="0.25">
      <c r="A303" s="61">
        <v>106490964</v>
      </c>
      <c r="B303" s="62" t="s">
        <v>1369</v>
      </c>
      <c r="C303" s="62" t="s">
        <v>1370</v>
      </c>
      <c r="D303" s="62" t="s">
        <v>1367</v>
      </c>
      <c r="E303" s="62" t="s">
        <v>94</v>
      </c>
      <c r="F303" s="62" t="s">
        <v>2213</v>
      </c>
      <c r="G303" s="62" t="s">
        <v>1371</v>
      </c>
      <c r="H303" s="62" t="s">
        <v>1372</v>
      </c>
      <c r="I303" s="62" t="s">
        <v>1373</v>
      </c>
      <c r="J303" s="62" t="s">
        <v>2190</v>
      </c>
      <c r="K303" s="62"/>
      <c r="L303" s="61">
        <v>2</v>
      </c>
      <c r="M303" s="61">
        <v>2</v>
      </c>
      <c r="N303" s="61">
        <v>2</v>
      </c>
      <c r="O303" s="62" t="s">
        <v>2000</v>
      </c>
      <c r="P303" s="62" t="s">
        <v>120</v>
      </c>
      <c r="Q303" s="62" t="s">
        <v>2167</v>
      </c>
      <c r="R303" s="62" t="s">
        <v>2167</v>
      </c>
      <c r="S303" s="62" t="s">
        <v>127</v>
      </c>
      <c r="T303" s="61">
        <v>4689</v>
      </c>
      <c r="U303" s="61">
        <v>4309</v>
      </c>
      <c r="V303" s="61"/>
      <c r="W303" s="61">
        <v>1119</v>
      </c>
      <c r="X303" s="61">
        <v>885</v>
      </c>
      <c r="Y303" s="61">
        <v>1334</v>
      </c>
      <c r="Z303" s="61">
        <v>1209</v>
      </c>
      <c r="AA303" s="61">
        <v>915</v>
      </c>
      <c r="AB303" s="61">
        <v>1190</v>
      </c>
      <c r="AC303" s="61">
        <v>867</v>
      </c>
      <c r="AD303" s="61">
        <v>613</v>
      </c>
      <c r="AE303" s="61">
        <v>738</v>
      </c>
      <c r="AF303" s="61">
        <v>128</v>
      </c>
      <c r="AG303" s="61"/>
      <c r="AH303" s="61">
        <v>104</v>
      </c>
      <c r="AI303" s="61">
        <v>82</v>
      </c>
      <c r="AJ303" s="61">
        <v>3207</v>
      </c>
      <c r="AK303" s="61">
        <v>1529</v>
      </c>
      <c r="AL303" s="61">
        <v>1</v>
      </c>
      <c r="AM303" s="61">
        <v>15</v>
      </c>
      <c r="AN303" s="61">
        <v>4060</v>
      </c>
      <c r="AO303" s="61">
        <v>205</v>
      </c>
      <c r="AP303" s="61">
        <v>42</v>
      </c>
      <c r="AQ303" s="61">
        <v>6</v>
      </c>
      <c r="AR303" s="61"/>
      <c r="AS303" s="61">
        <v>1</v>
      </c>
      <c r="AT303" s="61"/>
      <c r="AU303" s="61"/>
      <c r="AV303" s="61">
        <v>6</v>
      </c>
      <c r="AW303" s="61">
        <v>14</v>
      </c>
      <c r="AX303" s="61">
        <v>3</v>
      </c>
      <c r="AY303" s="61">
        <v>8703</v>
      </c>
      <c r="AZ303" s="61">
        <v>8</v>
      </c>
      <c r="BA303" s="61"/>
      <c r="BB303" s="61"/>
      <c r="BC303" s="61">
        <v>10</v>
      </c>
      <c r="BD303" s="61">
        <v>3757</v>
      </c>
      <c r="BE303" s="61">
        <v>2200</v>
      </c>
      <c r="BF303" s="61">
        <v>589</v>
      </c>
      <c r="BG303" s="61">
        <v>1833</v>
      </c>
      <c r="BH303" s="61">
        <v>605</v>
      </c>
      <c r="BI303" s="61">
        <v>14</v>
      </c>
      <c r="BJ303" s="61">
        <v>8998</v>
      </c>
      <c r="BK303" s="61">
        <v>3</v>
      </c>
      <c r="BL303" s="61">
        <v>7086</v>
      </c>
      <c r="BM303" s="61">
        <v>1909</v>
      </c>
      <c r="BN303" s="61">
        <v>390</v>
      </c>
      <c r="BO303" s="61">
        <v>283</v>
      </c>
      <c r="BP303" s="61"/>
      <c r="BQ303" s="61">
        <v>9</v>
      </c>
      <c r="BR303" s="61">
        <v>21</v>
      </c>
      <c r="BS303" s="61">
        <v>39</v>
      </c>
      <c r="BT303" s="61">
        <v>45</v>
      </c>
      <c r="BU303" s="61">
        <v>88</v>
      </c>
      <c r="BV303" s="61">
        <v>120</v>
      </c>
      <c r="BW303" s="61">
        <v>95</v>
      </c>
      <c r="BX303" s="61">
        <v>256</v>
      </c>
      <c r="BY303" s="61"/>
      <c r="BZ303" s="61"/>
      <c r="CA303" s="61"/>
      <c r="CB303" s="61">
        <v>8</v>
      </c>
      <c r="CC303" s="61">
        <v>4</v>
      </c>
      <c r="CD303" s="61">
        <v>95</v>
      </c>
      <c r="CE303" s="61"/>
      <c r="CF303" s="61"/>
      <c r="CG303" s="61">
        <v>559</v>
      </c>
      <c r="CH303" s="61">
        <v>7</v>
      </c>
      <c r="CI303" s="61">
        <v>36</v>
      </c>
      <c r="CJ303" s="61">
        <v>17</v>
      </c>
      <c r="CK303" s="61">
        <v>42</v>
      </c>
      <c r="CL303" s="61">
        <v>27</v>
      </c>
      <c r="CM303" s="61">
        <v>1</v>
      </c>
      <c r="CN303" s="61"/>
      <c r="CO303" s="61"/>
      <c r="CP303" s="61">
        <v>396</v>
      </c>
      <c r="CQ303" s="61">
        <v>150</v>
      </c>
      <c r="CR303" s="61"/>
      <c r="CS303" s="61">
        <v>1</v>
      </c>
      <c r="CT303" s="61">
        <v>2</v>
      </c>
      <c r="CU303" s="61"/>
      <c r="CV303" s="61"/>
      <c r="CW303" s="61">
        <v>1</v>
      </c>
      <c r="CX303" s="61">
        <v>121</v>
      </c>
      <c r="CY303" s="61">
        <v>431</v>
      </c>
      <c r="CZ303" s="61">
        <v>19</v>
      </c>
      <c r="DA303" s="61">
        <v>81</v>
      </c>
      <c r="DB303" s="61">
        <v>21</v>
      </c>
      <c r="DC303" s="61"/>
      <c r="DD303" s="61">
        <v>673</v>
      </c>
      <c r="DE303" s="61">
        <v>1</v>
      </c>
      <c r="DF303" s="61">
        <v>616</v>
      </c>
      <c r="DG303" s="61">
        <v>56</v>
      </c>
      <c r="DH303" s="62" t="s">
        <v>2185</v>
      </c>
      <c r="DI303" s="61">
        <v>43</v>
      </c>
      <c r="DJ303" s="61">
        <v>8</v>
      </c>
      <c r="DK303" s="61"/>
      <c r="DL303" s="61"/>
      <c r="DM303" s="61"/>
      <c r="DN303" s="61"/>
    </row>
    <row r="304" spans="1:118" x14ac:dyDescent="0.25">
      <c r="A304" s="61">
        <v>106491001</v>
      </c>
      <c r="B304" s="62" t="s">
        <v>1374</v>
      </c>
      <c r="C304" s="62" t="s">
        <v>1376</v>
      </c>
      <c r="D304" s="62" t="s">
        <v>1367</v>
      </c>
      <c r="E304" s="62" t="s">
        <v>71</v>
      </c>
      <c r="F304" s="62" t="s">
        <v>2213</v>
      </c>
      <c r="G304" s="62" t="s">
        <v>1377</v>
      </c>
      <c r="H304" s="62" t="s">
        <v>1378</v>
      </c>
      <c r="I304" s="62" t="s">
        <v>1379</v>
      </c>
      <c r="J304" s="62" t="s">
        <v>2188</v>
      </c>
      <c r="K304" s="62"/>
      <c r="L304" s="61">
        <v>2</v>
      </c>
      <c r="M304" s="61">
        <v>10</v>
      </c>
      <c r="N304" s="61">
        <v>3</v>
      </c>
      <c r="O304" s="62" t="s">
        <v>2001</v>
      </c>
      <c r="P304" s="62" t="s">
        <v>68</v>
      </c>
      <c r="Q304" s="62" t="s">
        <v>2167</v>
      </c>
      <c r="R304" s="62" t="s">
        <v>2167</v>
      </c>
      <c r="S304" s="62" t="s">
        <v>69</v>
      </c>
      <c r="T304" s="61">
        <v>9305</v>
      </c>
      <c r="U304" s="61">
        <v>7731</v>
      </c>
      <c r="V304" s="61"/>
      <c r="W304" s="61">
        <v>1840</v>
      </c>
      <c r="X304" s="61">
        <v>1679</v>
      </c>
      <c r="Y304" s="61">
        <v>2338</v>
      </c>
      <c r="Z304" s="61">
        <v>2223</v>
      </c>
      <c r="AA304" s="61">
        <v>1997</v>
      </c>
      <c r="AB304" s="61">
        <v>2202</v>
      </c>
      <c r="AC304" s="61">
        <v>1860</v>
      </c>
      <c r="AD304" s="61">
        <v>1117</v>
      </c>
      <c r="AE304" s="61">
        <v>1496</v>
      </c>
      <c r="AF304" s="61">
        <v>284</v>
      </c>
      <c r="AG304" s="61"/>
      <c r="AH304" s="61">
        <v>327</v>
      </c>
      <c r="AI304" s="61">
        <v>354</v>
      </c>
      <c r="AJ304" s="61">
        <v>3496</v>
      </c>
      <c r="AK304" s="61">
        <v>20</v>
      </c>
      <c r="AL304" s="61">
        <v>259</v>
      </c>
      <c r="AM304" s="61">
        <v>102</v>
      </c>
      <c r="AN304" s="61">
        <v>12478</v>
      </c>
      <c r="AO304" s="61">
        <v>839</v>
      </c>
      <c r="AP304" s="61">
        <v>152</v>
      </c>
      <c r="AQ304" s="61">
        <v>25</v>
      </c>
      <c r="AR304" s="61">
        <v>11</v>
      </c>
      <c r="AS304" s="61">
        <v>1</v>
      </c>
      <c r="AT304" s="61"/>
      <c r="AU304" s="61"/>
      <c r="AV304" s="61">
        <v>89</v>
      </c>
      <c r="AW304" s="61">
        <v>85</v>
      </c>
      <c r="AX304" s="61">
        <v>2</v>
      </c>
      <c r="AY304" s="61">
        <v>15709</v>
      </c>
      <c r="AZ304" s="61">
        <v>69</v>
      </c>
      <c r="BA304" s="61">
        <v>22</v>
      </c>
      <c r="BB304" s="61"/>
      <c r="BC304" s="61">
        <v>25</v>
      </c>
      <c r="BD304" s="61">
        <v>5981</v>
      </c>
      <c r="BE304" s="61">
        <v>4021</v>
      </c>
      <c r="BF304" s="61">
        <v>1020</v>
      </c>
      <c r="BG304" s="61">
        <v>4365</v>
      </c>
      <c r="BH304" s="61">
        <v>1649</v>
      </c>
      <c r="BI304" s="61"/>
      <c r="BJ304" s="61">
        <v>17036</v>
      </c>
      <c r="BK304" s="61">
        <v>111</v>
      </c>
      <c r="BL304" s="61">
        <v>15215</v>
      </c>
      <c r="BM304" s="61">
        <v>1710</v>
      </c>
      <c r="BN304" s="61">
        <v>951</v>
      </c>
      <c r="BO304" s="61">
        <v>766</v>
      </c>
      <c r="BP304" s="61"/>
      <c r="BQ304" s="61">
        <v>20</v>
      </c>
      <c r="BR304" s="61">
        <v>93</v>
      </c>
      <c r="BS304" s="61">
        <v>107</v>
      </c>
      <c r="BT304" s="61">
        <v>136</v>
      </c>
      <c r="BU304" s="61">
        <v>257</v>
      </c>
      <c r="BV304" s="61">
        <v>323</v>
      </c>
      <c r="BW304" s="61">
        <v>268</v>
      </c>
      <c r="BX304" s="61">
        <v>499</v>
      </c>
      <c r="BY304" s="61">
        <v>1</v>
      </c>
      <c r="BZ304" s="61">
        <v>13</v>
      </c>
      <c r="CA304" s="61"/>
      <c r="CB304" s="61">
        <v>43</v>
      </c>
      <c r="CC304" s="61">
        <v>28</v>
      </c>
      <c r="CD304" s="61">
        <v>201</v>
      </c>
      <c r="CE304" s="61">
        <v>37</v>
      </c>
      <c r="CF304" s="61">
        <v>22</v>
      </c>
      <c r="CG304" s="61">
        <v>1386</v>
      </c>
      <c r="CH304" s="61"/>
      <c r="CI304" s="61">
        <v>57</v>
      </c>
      <c r="CJ304" s="61">
        <v>28</v>
      </c>
      <c r="CK304" s="61">
        <v>53</v>
      </c>
      <c r="CL304" s="61">
        <v>141</v>
      </c>
      <c r="CM304" s="61">
        <v>5</v>
      </c>
      <c r="CN304" s="61"/>
      <c r="CO304" s="61">
        <v>7</v>
      </c>
      <c r="CP304" s="61">
        <v>1014</v>
      </c>
      <c r="CQ304" s="61">
        <v>302</v>
      </c>
      <c r="CR304" s="61">
        <v>1</v>
      </c>
      <c r="CS304" s="61">
        <v>33</v>
      </c>
      <c r="CT304" s="61">
        <v>7</v>
      </c>
      <c r="CU304" s="61">
        <v>67</v>
      </c>
      <c r="CV304" s="61"/>
      <c r="CW304" s="61">
        <v>2</v>
      </c>
      <c r="CX304" s="61">
        <v>400</v>
      </c>
      <c r="CY304" s="61">
        <v>1012</v>
      </c>
      <c r="CZ304" s="61">
        <v>46</v>
      </c>
      <c r="DA304" s="61">
        <v>237</v>
      </c>
      <c r="DB304" s="61">
        <v>22</v>
      </c>
      <c r="DC304" s="61"/>
      <c r="DD304" s="61">
        <v>1717</v>
      </c>
      <c r="DE304" s="61">
        <v>16</v>
      </c>
      <c r="DF304" s="61">
        <v>1575</v>
      </c>
      <c r="DG304" s="61">
        <v>126</v>
      </c>
      <c r="DH304" s="62" t="s">
        <v>2185</v>
      </c>
      <c r="DI304" s="61">
        <v>80</v>
      </c>
      <c r="DJ304" s="61">
        <v>15</v>
      </c>
      <c r="DK304" s="61">
        <v>7</v>
      </c>
      <c r="DL304" s="61"/>
      <c r="DM304" s="61"/>
      <c r="DN304" s="61"/>
    </row>
    <row r="305" spans="1:118" x14ac:dyDescent="0.25">
      <c r="A305" s="61">
        <v>106491064</v>
      </c>
      <c r="B305" s="62" t="s">
        <v>1380</v>
      </c>
      <c r="C305" s="62" t="s">
        <v>1381</v>
      </c>
      <c r="D305" s="62" t="s">
        <v>1367</v>
      </c>
      <c r="E305" s="62" t="s">
        <v>71</v>
      </c>
      <c r="F305" s="62" t="s">
        <v>2213</v>
      </c>
      <c r="G305" s="62" t="s">
        <v>1382</v>
      </c>
      <c r="H305" s="62" t="s">
        <v>1368</v>
      </c>
      <c r="I305" s="62" t="s">
        <v>1383</v>
      </c>
      <c r="J305" s="62" t="s">
        <v>2184</v>
      </c>
      <c r="K305" s="62" t="s">
        <v>82</v>
      </c>
      <c r="L305" s="61">
        <v>5</v>
      </c>
      <c r="M305" s="61">
        <v>10</v>
      </c>
      <c r="N305" s="61">
        <v>2</v>
      </c>
      <c r="O305" s="62" t="s">
        <v>1999</v>
      </c>
      <c r="P305" s="62" t="s">
        <v>68</v>
      </c>
      <c r="Q305" s="62" t="s">
        <v>2167</v>
      </c>
      <c r="R305" s="62" t="s">
        <v>2167</v>
      </c>
      <c r="S305" s="62" t="s">
        <v>69</v>
      </c>
      <c r="T305" s="61">
        <v>18712</v>
      </c>
      <c r="U305" s="61">
        <v>17840</v>
      </c>
      <c r="V305" s="61">
        <v>2</v>
      </c>
      <c r="W305" s="61">
        <v>3234</v>
      </c>
      <c r="X305" s="61">
        <v>2859</v>
      </c>
      <c r="Y305" s="61">
        <v>5502</v>
      </c>
      <c r="Z305" s="61">
        <v>4983</v>
      </c>
      <c r="AA305" s="61">
        <v>4342</v>
      </c>
      <c r="AB305" s="61">
        <v>5190</v>
      </c>
      <c r="AC305" s="61">
        <v>4145</v>
      </c>
      <c r="AD305" s="61">
        <v>2358</v>
      </c>
      <c r="AE305" s="61">
        <v>3243</v>
      </c>
      <c r="AF305" s="61">
        <v>694</v>
      </c>
      <c r="AG305" s="61">
        <v>4</v>
      </c>
      <c r="AH305" s="61">
        <v>660</v>
      </c>
      <c r="AI305" s="61">
        <v>1503</v>
      </c>
      <c r="AJ305" s="61">
        <v>6914</v>
      </c>
      <c r="AK305" s="61">
        <v>97</v>
      </c>
      <c r="AL305" s="61">
        <v>448</v>
      </c>
      <c r="AM305" s="61">
        <v>186</v>
      </c>
      <c r="AN305" s="61">
        <v>26746</v>
      </c>
      <c r="AO305" s="61">
        <v>612</v>
      </c>
      <c r="AP305" s="61">
        <v>415</v>
      </c>
      <c r="AQ305" s="61">
        <v>75</v>
      </c>
      <c r="AR305" s="61">
        <v>25</v>
      </c>
      <c r="AS305" s="61">
        <v>1</v>
      </c>
      <c r="AT305" s="61">
        <v>2</v>
      </c>
      <c r="AU305" s="61"/>
      <c r="AV305" s="61">
        <v>111</v>
      </c>
      <c r="AW305" s="61">
        <v>176</v>
      </c>
      <c r="AX305" s="61">
        <v>6</v>
      </c>
      <c r="AY305" s="61">
        <v>34831</v>
      </c>
      <c r="AZ305" s="61">
        <v>155</v>
      </c>
      <c r="BA305" s="61">
        <v>46</v>
      </c>
      <c r="BB305" s="61"/>
      <c r="BC305" s="61">
        <v>44</v>
      </c>
      <c r="BD305" s="61">
        <v>15964</v>
      </c>
      <c r="BE305" s="61">
        <v>9391</v>
      </c>
      <c r="BF305" s="61">
        <v>1435</v>
      </c>
      <c r="BG305" s="61">
        <v>5904</v>
      </c>
      <c r="BH305" s="61">
        <v>3860</v>
      </c>
      <c r="BI305" s="61"/>
      <c r="BJ305" s="61">
        <v>36554</v>
      </c>
      <c r="BK305" s="61">
        <v>137</v>
      </c>
      <c r="BL305" s="61">
        <v>33601</v>
      </c>
      <c r="BM305" s="61">
        <v>2816</v>
      </c>
      <c r="BN305" s="61">
        <v>3913</v>
      </c>
      <c r="BO305" s="61">
        <v>4201</v>
      </c>
      <c r="BP305" s="61">
        <v>1</v>
      </c>
      <c r="BQ305" s="61">
        <v>170</v>
      </c>
      <c r="BR305" s="61">
        <v>472</v>
      </c>
      <c r="BS305" s="61">
        <v>502</v>
      </c>
      <c r="BT305" s="61">
        <v>662</v>
      </c>
      <c r="BU305" s="61">
        <v>1322</v>
      </c>
      <c r="BV305" s="61">
        <v>1502</v>
      </c>
      <c r="BW305" s="61">
        <v>1277</v>
      </c>
      <c r="BX305" s="61">
        <v>1995</v>
      </c>
      <c r="BY305" s="61">
        <v>56</v>
      </c>
      <c r="BZ305" s="61">
        <v>157</v>
      </c>
      <c r="CA305" s="61"/>
      <c r="CB305" s="61">
        <v>165</v>
      </c>
      <c r="CC305" s="61">
        <v>213</v>
      </c>
      <c r="CD305" s="61">
        <v>895</v>
      </c>
      <c r="CE305" s="61">
        <v>118</v>
      </c>
      <c r="CF305" s="61">
        <v>72</v>
      </c>
      <c r="CG305" s="61">
        <v>6619</v>
      </c>
      <c r="CH305" s="61">
        <v>33</v>
      </c>
      <c r="CI305" s="61">
        <v>164</v>
      </c>
      <c r="CJ305" s="61">
        <v>195</v>
      </c>
      <c r="CK305" s="61">
        <v>372</v>
      </c>
      <c r="CL305" s="61">
        <v>827</v>
      </c>
      <c r="CM305" s="61">
        <v>108</v>
      </c>
      <c r="CN305" s="61"/>
      <c r="CO305" s="61">
        <v>41</v>
      </c>
      <c r="CP305" s="61">
        <v>4433</v>
      </c>
      <c r="CQ305" s="61">
        <v>1560</v>
      </c>
      <c r="CR305" s="61">
        <v>14</v>
      </c>
      <c r="CS305" s="61">
        <v>156</v>
      </c>
      <c r="CT305" s="61">
        <v>63</v>
      </c>
      <c r="CU305" s="61">
        <v>152</v>
      </c>
      <c r="CV305" s="61"/>
      <c r="CW305" s="61">
        <v>30</v>
      </c>
      <c r="CX305" s="61">
        <v>2336</v>
      </c>
      <c r="CY305" s="61">
        <v>4424</v>
      </c>
      <c r="CZ305" s="61">
        <v>161</v>
      </c>
      <c r="DA305" s="61">
        <v>1137</v>
      </c>
      <c r="DB305" s="61">
        <v>57</v>
      </c>
      <c r="DC305" s="61"/>
      <c r="DD305" s="61">
        <v>8115</v>
      </c>
      <c r="DE305" s="61">
        <v>50</v>
      </c>
      <c r="DF305" s="61">
        <v>7527</v>
      </c>
      <c r="DG305" s="61">
        <v>538</v>
      </c>
      <c r="DH305" s="62" t="s">
        <v>2185</v>
      </c>
      <c r="DI305" s="61">
        <v>278</v>
      </c>
      <c r="DJ305" s="61">
        <v>33</v>
      </c>
      <c r="DK305" s="61">
        <v>55</v>
      </c>
      <c r="DL305" s="61"/>
      <c r="DM305" s="61"/>
      <c r="DN305" s="61"/>
    </row>
    <row r="306" spans="1:118" x14ac:dyDescent="0.25">
      <c r="A306" s="61">
        <v>106491076</v>
      </c>
      <c r="B306" s="62" t="s">
        <v>1384</v>
      </c>
      <c r="C306" s="62" t="s">
        <v>1385</v>
      </c>
      <c r="D306" s="62" t="s">
        <v>1367</v>
      </c>
      <c r="E306" s="62" t="s">
        <v>94</v>
      </c>
      <c r="F306" s="62" t="s">
        <v>2213</v>
      </c>
      <c r="G306" s="62" t="s">
        <v>1386</v>
      </c>
      <c r="H306" s="62" t="s">
        <v>1367</v>
      </c>
      <c r="I306" s="62" t="s">
        <v>1375</v>
      </c>
      <c r="J306" s="62" t="s">
        <v>2188</v>
      </c>
      <c r="K306" s="62"/>
      <c r="L306" s="61">
        <v>5</v>
      </c>
      <c r="M306" s="61">
        <v>10</v>
      </c>
      <c r="N306" s="61">
        <v>3</v>
      </c>
      <c r="O306" s="62" t="s">
        <v>2002</v>
      </c>
      <c r="P306" s="62" t="s">
        <v>68</v>
      </c>
      <c r="Q306" s="62" t="s">
        <v>2167</v>
      </c>
      <c r="R306" s="62" t="s">
        <v>2167</v>
      </c>
      <c r="S306" s="62" t="s">
        <v>69</v>
      </c>
      <c r="T306" s="61">
        <v>5026</v>
      </c>
      <c r="U306" s="61">
        <v>4366</v>
      </c>
      <c r="V306" s="61"/>
      <c r="W306" s="61">
        <v>936</v>
      </c>
      <c r="X306" s="61">
        <v>819</v>
      </c>
      <c r="Y306" s="61">
        <v>1026</v>
      </c>
      <c r="Z306" s="61">
        <v>1057</v>
      </c>
      <c r="AA306" s="61">
        <v>887</v>
      </c>
      <c r="AB306" s="61">
        <v>1102</v>
      </c>
      <c r="AC306" s="61">
        <v>1172</v>
      </c>
      <c r="AD306" s="61">
        <v>1034</v>
      </c>
      <c r="AE306" s="61">
        <v>1142</v>
      </c>
      <c r="AF306" s="61">
        <v>217</v>
      </c>
      <c r="AG306" s="61"/>
      <c r="AH306" s="61">
        <v>77</v>
      </c>
      <c r="AI306" s="61">
        <v>94</v>
      </c>
      <c r="AJ306" s="61">
        <v>2359</v>
      </c>
      <c r="AK306" s="61">
        <v>10</v>
      </c>
      <c r="AL306" s="61">
        <v>5</v>
      </c>
      <c r="AM306" s="61">
        <v>62</v>
      </c>
      <c r="AN306" s="61">
        <v>6785</v>
      </c>
      <c r="AO306" s="61">
        <v>454</v>
      </c>
      <c r="AP306" s="61">
        <v>89</v>
      </c>
      <c r="AQ306" s="61">
        <v>15</v>
      </c>
      <c r="AR306" s="61"/>
      <c r="AS306" s="61">
        <v>2</v>
      </c>
      <c r="AT306" s="61"/>
      <c r="AU306" s="61"/>
      <c r="AV306" s="61">
        <v>30</v>
      </c>
      <c r="AW306" s="61">
        <v>32</v>
      </c>
      <c r="AX306" s="61">
        <v>52</v>
      </c>
      <c r="AY306" s="61">
        <v>8636</v>
      </c>
      <c r="AZ306" s="61">
        <v>15</v>
      </c>
      <c r="BA306" s="61">
        <v>9</v>
      </c>
      <c r="BB306" s="61"/>
      <c r="BC306" s="61"/>
      <c r="BD306" s="61">
        <v>3252</v>
      </c>
      <c r="BE306" s="61">
        <v>2811</v>
      </c>
      <c r="BF306" s="61">
        <v>404</v>
      </c>
      <c r="BG306" s="61">
        <v>2530</v>
      </c>
      <c r="BH306" s="61">
        <v>395</v>
      </c>
      <c r="BI306" s="61"/>
      <c r="BJ306" s="61">
        <v>9392</v>
      </c>
      <c r="BK306" s="61">
        <v>48</v>
      </c>
      <c r="BL306" s="61">
        <v>7917</v>
      </c>
      <c r="BM306" s="61">
        <v>1427</v>
      </c>
      <c r="BN306" s="61">
        <v>439</v>
      </c>
      <c r="BO306" s="61">
        <v>380</v>
      </c>
      <c r="BP306" s="61"/>
      <c r="BQ306" s="61">
        <v>7</v>
      </c>
      <c r="BR306" s="61">
        <v>35</v>
      </c>
      <c r="BS306" s="61">
        <v>32</v>
      </c>
      <c r="BT306" s="61">
        <v>56</v>
      </c>
      <c r="BU306" s="61">
        <v>105</v>
      </c>
      <c r="BV306" s="61">
        <v>141</v>
      </c>
      <c r="BW306" s="61">
        <v>146</v>
      </c>
      <c r="BX306" s="61">
        <v>296</v>
      </c>
      <c r="BY306" s="61"/>
      <c r="BZ306" s="61">
        <v>1</v>
      </c>
      <c r="CA306" s="61"/>
      <c r="CB306" s="61">
        <v>3</v>
      </c>
      <c r="CC306" s="61">
        <v>10</v>
      </c>
      <c r="CD306" s="61">
        <v>81</v>
      </c>
      <c r="CE306" s="61"/>
      <c r="CF306" s="61">
        <v>6</v>
      </c>
      <c r="CG306" s="61">
        <v>719</v>
      </c>
      <c r="CH306" s="61"/>
      <c r="CI306" s="61">
        <v>65</v>
      </c>
      <c r="CJ306" s="61">
        <v>8</v>
      </c>
      <c r="CK306" s="61">
        <v>22</v>
      </c>
      <c r="CL306" s="61">
        <v>93</v>
      </c>
      <c r="CM306" s="61"/>
      <c r="CN306" s="61"/>
      <c r="CO306" s="61">
        <v>10</v>
      </c>
      <c r="CP306" s="61">
        <v>313</v>
      </c>
      <c r="CQ306" s="61">
        <v>280</v>
      </c>
      <c r="CR306" s="61"/>
      <c r="CS306" s="61">
        <v>10</v>
      </c>
      <c r="CT306" s="61">
        <v>16</v>
      </c>
      <c r="CU306" s="61">
        <v>1</v>
      </c>
      <c r="CV306" s="61"/>
      <c r="CW306" s="61"/>
      <c r="CX306" s="61">
        <v>151</v>
      </c>
      <c r="CY306" s="61">
        <v>537</v>
      </c>
      <c r="CZ306" s="61">
        <v>26</v>
      </c>
      <c r="DA306" s="61">
        <v>102</v>
      </c>
      <c r="DB306" s="61">
        <v>3</v>
      </c>
      <c r="DC306" s="61"/>
      <c r="DD306" s="61">
        <v>819</v>
      </c>
      <c r="DE306" s="61">
        <v>5</v>
      </c>
      <c r="DF306" s="61">
        <v>765</v>
      </c>
      <c r="DG306" s="61">
        <v>49</v>
      </c>
      <c r="DH306" s="62" t="s">
        <v>2185</v>
      </c>
      <c r="DI306" s="61">
        <v>83</v>
      </c>
      <c r="DJ306" s="61">
        <v>9</v>
      </c>
      <c r="DK306" s="61"/>
      <c r="DL306" s="61">
        <v>58</v>
      </c>
      <c r="DM306" s="61"/>
      <c r="DN306" s="61">
        <v>1</v>
      </c>
    </row>
    <row r="307" spans="1:118" x14ac:dyDescent="0.25">
      <c r="A307" s="61">
        <v>106491338</v>
      </c>
      <c r="B307" s="62" t="s">
        <v>1387</v>
      </c>
      <c r="C307" s="62" t="s">
        <v>2109</v>
      </c>
      <c r="D307" s="62" t="s">
        <v>1367</v>
      </c>
      <c r="E307" s="62" t="s">
        <v>94</v>
      </c>
      <c r="F307" s="62" t="s">
        <v>2213</v>
      </c>
      <c r="G307" s="62" t="s">
        <v>1388</v>
      </c>
      <c r="H307" s="62" t="s">
        <v>1389</v>
      </c>
      <c r="I307" s="62" t="s">
        <v>1390</v>
      </c>
      <c r="J307" s="62" t="s">
        <v>2190</v>
      </c>
      <c r="K307" s="62"/>
      <c r="L307" s="61">
        <v>2</v>
      </c>
      <c r="M307" s="61">
        <v>10</v>
      </c>
      <c r="N307" s="61">
        <v>2</v>
      </c>
      <c r="O307" s="62" t="s">
        <v>2003</v>
      </c>
      <c r="P307" s="62" t="s">
        <v>120</v>
      </c>
      <c r="Q307" s="62" t="s">
        <v>2167</v>
      </c>
      <c r="R307" s="62" t="s">
        <v>2167</v>
      </c>
      <c r="S307" s="62" t="s">
        <v>127</v>
      </c>
      <c r="T307" s="61">
        <v>379</v>
      </c>
      <c r="U307" s="61">
        <v>343</v>
      </c>
      <c r="V307" s="61"/>
      <c r="W307" s="61">
        <v>47</v>
      </c>
      <c r="X307" s="61">
        <v>47</v>
      </c>
      <c r="Y307" s="61">
        <v>91</v>
      </c>
      <c r="Z307" s="61">
        <v>78</v>
      </c>
      <c r="AA307" s="61">
        <v>73</v>
      </c>
      <c r="AB307" s="61">
        <v>109</v>
      </c>
      <c r="AC307" s="61">
        <v>113</v>
      </c>
      <c r="AD307" s="61">
        <v>82</v>
      </c>
      <c r="AE307" s="61">
        <v>78</v>
      </c>
      <c r="AF307" s="61">
        <v>4</v>
      </c>
      <c r="AG307" s="61"/>
      <c r="AH307" s="61">
        <v>3</v>
      </c>
      <c r="AI307" s="61">
        <v>1</v>
      </c>
      <c r="AJ307" s="61"/>
      <c r="AK307" s="61"/>
      <c r="AL307" s="61">
        <v>7</v>
      </c>
      <c r="AM307" s="61">
        <v>657</v>
      </c>
      <c r="AN307" s="61">
        <v>54</v>
      </c>
      <c r="AO307" s="61">
        <v>21</v>
      </c>
      <c r="AP307" s="61">
        <v>4</v>
      </c>
      <c r="AQ307" s="61">
        <v>1</v>
      </c>
      <c r="AR307" s="61"/>
      <c r="AS307" s="61"/>
      <c r="AT307" s="61">
        <v>1</v>
      </c>
      <c r="AU307" s="61"/>
      <c r="AV307" s="61">
        <v>2</v>
      </c>
      <c r="AW307" s="61"/>
      <c r="AX307" s="61">
        <v>4</v>
      </c>
      <c r="AY307" s="61">
        <v>683</v>
      </c>
      <c r="AZ307" s="61">
        <v>1</v>
      </c>
      <c r="BA307" s="61">
        <v>3</v>
      </c>
      <c r="BB307" s="61">
        <v>1</v>
      </c>
      <c r="BC307" s="61">
        <v>1</v>
      </c>
      <c r="BD307" s="61">
        <v>28</v>
      </c>
      <c r="BE307" s="61">
        <v>199</v>
      </c>
      <c r="BF307" s="61">
        <v>15</v>
      </c>
      <c r="BG307" s="61">
        <v>438</v>
      </c>
      <c r="BH307" s="61">
        <v>40</v>
      </c>
      <c r="BI307" s="61">
        <v>2</v>
      </c>
      <c r="BJ307" s="61">
        <v>722</v>
      </c>
      <c r="BK307" s="61">
        <v>722</v>
      </c>
      <c r="BL307" s="61"/>
      <c r="BM307" s="61"/>
      <c r="BN307" s="61">
        <v>38</v>
      </c>
      <c r="BO307" s="61">
        <v>31</v>
      </c>
      <c r="BP307" s="61"/>
      <c r="BQ307" s="61">
        <v>2</v>
      </c>
      <c r="BR307" s="61">
        <v>3</v>
      </c>
      <c r="BS307" s="61">
        <v>8</v>
      </c>
      <c r="BT307" s="61">
        <v>3</v>
      </c>
      <c r="BU307" s="61">
        <v>8</v>
      </c>
      <c r="BV307" s="61">
        <v>11</v>
      </c>
      <c r="BW307" s="61">
        <v>9</v>
      </c>
      <c r="BX307" s="61">
        <v>25</v>
      </c>
      <c r="BY307" s="61"/>
      <c r="BZ307" s="61"/>
      <c r="CA307" s="61"/>
      <c r="CB307" s="61"/>
      <c r="CC307" s="61"/>
      <c r="CD307" s="61"/>
      <c r="CE307" s="61"/>
      <c r="CF307" s="61">
        <v>69</v>
      </c>
      <c r="CG307" s="61"/>
      <c r="CH307" s="61"/>
      <c r="CI307" s="61"/>
      <c r="CJ307" s="61">
        <v>1</v>
      </c>
      <c r="CK307" s="61">
        <v>2</v>
      </c>
      <c r="CL307" s="61">
        <v>2</v>
      </c>
      <c r="CM307" s="61"/>
      <c r="CN307" s="61"/>
      <c r="CO307" s="61"/>
      <c r="CP307" s="61">
        <v>54</v>
      </c>
      <c r="CQ307" s="61">
        <v>10</v>
      </c>
      <c r="CR307" s="61"/>
      <c r="CS307" s="61"/>
      <c r="CT307" s="61"/>
      <c r="CU307" s="61"/>
      <c r="CV307" s="61"/>
      <c r="CW307" s="61"/>
      <c r="CX307" s="61">
        <v>1</v>
      </c>
      <c r="CY307" s="61">
        <v>31</v>
      </c>
      <c r="CZ307" s="61">
        <v>1</v>
      </c>
      <c r="DA307" s="61">
        <v>28</v>
      </c>
      <c r="DB307" s="61">
        <v>8</v>
      </c>
      <c r="DC307" s="61"/>
      <c r="DD307" s="61">
        <v>69</v>
      </c>
      <c r="DE307" s="61">
        <v>69</v>
      </c>
      <c r="DF307" s="61"/>
      <c r="DG307" s="61"/>
      <c r="DH307" s="62" t="s">
        <v>2185</v>
      </c>
      <c r="DI307" s="61">
        <v>37</v>
      </c>
      <c r="DJ307" s="61">
        <v>5</v>
      </c>
      <c r="DK307" s="61"/>
      <c r="DL307" s="61"/>
      <c r="DM307" s="61"/>
      <c r="DN307" s="61"/>
    </row>
    <row r="308" spans="1:118" x14ac:dyDescent="0.25">
      <c r="A308" s="61">
        <v>106494019</v>
      </c>
      <c r="B308" s="62" t="s">
        <v>1391</v>
      </c>
      <c r="C308" s="62" t="s">
        <v>2110</v>
      </c>
      <c r="D308" s="62" t="s">
        <v>1367</v>
      </c>
      <c r="E308" s="62" t="s">
        <v>71</v>
      </c>
      <c r="F308" s="62" t="s">
        <v>2213</v>
      </c>
      <c r="G308" s="62" t="s">
        <v>1392</v>
      </c>
      <c r="H308" s="62" t="s">
        <v>1368</v>
      </c>
      <c r="I308" s="62" t="s">
        <v>1393</v>
      </c>
      <c r="J308" s="62" t="s">
        <v>2187</v>
      </c>
      <c r="K308" s="62"/>
      <c r="L308" s="61">
        <v>5</v>
      </c>
      <c r="M308" s="61">
        <v>2</v>
      </c>
      <c r="N308" s="61">
        <v>2</v>
      </c>
      <c r="O308" s="62" t="s">
        <v>1999</v>
      </c>
      <c r="P308" s="62" t="s">
        <v>68</v>
      </c>
      <c r="Q308" s="62" t="s">
        <v>2167</v>
      </c>
      <c r="R308" s="62" t="s">
        <v>2167</v>
      </c>
      <c r="S308" s="62" t="s">
        <v>69</v>
      </c>
      <c r="T308" s="61">
        <v>27779</v>
      </c>
      <c r="U308" s="61">
        <v>23715</v>
      </c>
      <c r="V308" s="61">
        <v>5</v>
      </c>
      <c r="W308" s="61">
        <v>5394</v>
      </c>
      <c r="X308" s="61">
        <v>6002</v>
      </c>
      <c r="Y308" s="61">
        <v>6854</v>
      </c>
      <c r="Z308" s="61">
        <v>5812</v>
      </c>
      <c r="AA308" s="61">
        <v>5192</v>
      </c>
      <c r="AB308" s="61">
        <v>5888</v>
      </c>
      <c r="AC308" s="61">
        <v>5985</v>
      </c>
      <c r="AD308" s="61">
        <v>4505</v>
      </c>
      <c r="AE308" s="61">
        <v>5008</v>
      </c>
      <c r="AF308" s="61">
        <v>858</v>
      </c>
      <c r="AG308" s="61">
        <v>1</v>
      </c>
      <c r="AH308" s="61">
        <v>1506</v>
      </c>
      <c r="AI308" s="61">
        <v>1681</v>
      </c>
      <c r="AJ308" s="61">
        <v>11783</v>
      </c>
      <c r="AK308" s="61">
        <v>340</v>
      </c>
      <c r="AL308" s="61">
        <v>671</v>
      </c>
      <c r="AM308" s="61">
        <v>631</v>
      </c>
      <c r="AN308" s="61">
        <v>34887</v>
      </c>
      <c r="AO308" s="61">
        <v>326</v>
      </c>
      <c r="AP308" s="61">
        <v>352</v>
      </c>
      <c r="AQ308" s="61">
        <v>68</v>
      </c>
      <c r="AR308" s="61">
        <v>71</v>
      </c>
      <c r="AS308" s="61">
        <v>71</v>
      </c>
      <c r="AT308" s="61">
        <v>38</v>
      </c>
      <c r="AU308" s="61"/>
      <c r="AV308" s="61">
        <v>42</v>
      </c>
      <c r="AW308" s="61">
        <v>613</v>
      </c>
      <c r="AX308" s="61">
        <v>26</v>
      </c>
      <c r="AY308" s="61">
        <v>49532</v>
      </c>
      <c r="AZ308" s="61">
        <v>209</v>
      </c>
      <c r="BA308" s="61">
        <v>4</v>
      </c>
      <c r="BB308" s="61">
        <v>9</v>
      </c>
      <c r="BC308" s="61">
        <v>138</v>
      </c>
      <c r="BD308" s="61">
        <v>9936</v>
      </c>
      <c r="BE308" s="61">
        <v>13386</v>
      </c>
      <c r="BF308" s="61">
        <v>1217</v>
      </c>
      <c r="BG308" s="61">
        <v>24704</v>
      </c>
      <c r="BH308" s="61">
        <v>2255</v>
      </c>
      <c r="BI308" s="61">
        <v>1</v>
      </c>
      <c r="BJ308" s="61">
        <v>51499</v>
      </c>
      <c r="BK308" s="61">
        <v>318</v>
      </c>
      <c r="BL308" s="61">
        <v>46939</v>
      </c>
      <c r="BM308" s="61">
        <v>4242</v>
      </c>
      <c r="BN308" s="61">
        <v>2467</v>
      </c>
      <c r="BO308" s="61">
        <v>2316</v>
      </c>
      <c r="BP308" s="61"/>
      <c r="BQ308" s="61">
        <v>86</v>
      </c>
      <c r="BR308" s="61">
        <v>174</v>
      </c>
      <c r="BS308" s="61">
        <v>220</v>
      </c>
      <c r="BT308" s="61">
        <v>302</v>
      </c>
      <c r="BU308" s="61">
        <v>588</v>
      </c>
      <c r="BV308" s="61">
        <v>1014</v>
      </c>
      <c r="BW308" s="61">
        <v>963</v>
      </c>
      <c r="BX308" s="61">
        <v>1311</v>
      </c>
      <c r="BY308" s="61">
        <v>41</v>
      </c>
      <c r="BZ308" s="61">
        <v>84</v>
      </c>
      <c r="CA308" s="61"/>
      <c r="CB308" s="61">
        <v>131</v>
      </c>
      <c r="CC308" s="61">
        <v>110</v>
      </c>
      <c r="CD308" s="61">
        <v>533</v>
      </c>
      <c r="CE308" s="61">
        <v>18</v>
      </c>
      <c r="CF308" s="61">
        <v>14</v>
      </c>
      <c r="CG308" s="61">
        <v>3941</v>
      </c>
      <c r="CH308" s="61">
        <v>36</v>
      </c>
      <c r="CI308" s="61">
        <v>179</v>
      </c>
      <c r="CJ308" s="61">
        <v>30</v>
      </c>
      <c r="CK308" s="61">
        <v>170</v>
      </c>
      <c r="CL308" s="61">
        <v>396</v>
      </c>
      <c r="CM308" s="61">
        <v>14</v>
      </c>
      <c r="CN308" s="61"/>
      <c r="CO308" s="61">
        <v>53</v>
      </c>
      <c r="CP308" s="61">
        <v>3243</v>
      </c>
      <c r="CQ308" s="61">
        <v>506</v>
      </c>
      <c r="CR308" s="61"/>
      <c r="CS308" s="61">
        <v>164</v>
      </c>
      <c r="CT308" s="61">
        <v>17</v>
      </c>
      <c r="CU308" s="61">
        <v>1</v>
      </c>
      <c r="CV308" s="61">
        <v>3</v>
      </c>
      <c r="CW308" s="61">
        <v>7</v>
      </c>
      <c r="CX308" s="61">
        <v>270</v>
      </c>
      <c r="CY308" s="61">
        <v>3001</v>
      </c>
      <c r="CZ308" s="61">
        <v>13</v>
      </c>
      <c r="DA308" s="61">
        <v>1435</v>
      </c>
      <c r="DB308" s="61">
        <v>64</v>
      </c>
      <c r="DC308" s="61"/>
      <c r="DD308" s="61">
        <v>4783</v>
      </c>
      <c r="DE308" s="61">
        <v>30</v>
      </c>
      <c r="DF308" s="61">
        <v>4560</v>
      </c>
      <c r="DG308" s="61">
        <v>193</v>
      </c>
      <c r="DH308" s="62" t="s">
        <v>2185</v>
      </c>
      <c r="DI308" s="61">
        <v>173</v>
      </c>
      <c r="DJ308" s="61">
        <v>34</v>
      </c>
      <c r="DK308" s="61"/>
      <c r="DL308" s="61"/>
      <c r="DM308" s="61"/>
      <c r="DN308" s="61"/>
    </row>
    <row r="309" spans="1:118" x14ac:dyDescent="0.25">
      <c r="A309" s="61">
        <v>106494106</v>
      </c>
      <c r="B309" s="62" t="s">
        <v>1768</v>
      </c>
      <c r="C309" s="62" t="s">
        <v>1767</v>
      </c>
      <c r="D309" s="62" t="s">
        <v>1367</v>
      </c>
      <c r="E309" s="62" t="s">
        <v>71</v>
      </c>
      <c r="F309" s="62" t="s">
        <v>2213</v>
      </c>
      <c r="G309" s="62" t="s">
        <v>1769</v>
      </c>
      <c r="H309" s="62" t="s">
        <v>1368</v>
      </c>
      <c r="I309" s="62" t="s">
        <v>1393</v>
      </c>
      <c r="J309" s="62" t="s">
        <v>2188</v>
      </c>
      <c r="K309" s="62"/>
      <c r="L309" s="61">
        <v>2</v>
      </c>
      <c r="M309" s="61">
        <v>2</v>
      </c>
      <c r="N309" s="61">
        <v>2</v>
      </c>
      <c r="O309" s="62" t="s">
        <v>1999</v>
      </c>
      <c r="P309" s="62" t="s">
        <v>68</v>
      </c>
      <c r="Q309" s="62" t="s">
        <v>2167</v>
      </c>
      <c r="R309" s="62" t="s">
        <v>2167</v>
      </c>
      <c r="S309" s="62" t="s">
        <v>69</v>
      </c>
      <c r="T309" s="61">
        <v>15122</v>
      </c>
      <c r="U309" s="61">
        <v>12772</v>
      </c>
      <c r="V309" s="61">
        <v>3</v>
      </c>
      <c r="W309" s="61">
        <v>2999</v>
      </c>
      <c r="X309" s="61">
        <v>2418</v>
      </c>
      <c r="Y309" s="61">
        <v>4588</v>
      </c>
      <c r="Z309" s="61">
        <v>4013</v>
      </c>
      <c r="AA309" s="61">
        <v>3375</v>
      </c>
      <c r="AB309" s="61">
        <v>3781</v>
      </c>
      <c r="AC309" s="61">
        <v>3088</v>
      </c>
      <c r="AD309" s="61">
        <v>1593</v>
      </c>
      <c r="AE309" s="61">
        <v>1306</v>
      </c>
      <c r="AF309" s="61">
        <v>736</v>
      </c>
      <c r="AG309" s="61"/>
      <c r="AH309" s="61">
        <v>657</v>
      </c>
      <c r="AI309" s="61">
        <v>845</v>
      </c>
      <c r="AJ309" s="61">
        <v>8125</v>
      </c>
      <c r="AK309" s="61">
        <v>341</v>
      </c>
      <c r="AL309" s="61">
        <v>663</v>
      </c>
      <c r="AM309" s="61">
        <v>854</v>
      </c>
      <c r="AN309" s="61">
        <v>16412</v>
      </c>
      <c r="AO309" s="61">
        <v>548</v>
      </c>
      <c r="AP309" s="61">
        <v>207</v>
      </c>
      <c r="AQ309" s="61">
        <v>20</v>
      </c>
      <c r="AR309" s="61">
        <v>127</v>
      </c>
      <c r="AS309" s="61">
        <v>6</v>
      </c>
      <c r="AT309" s="61">
        <v>9</v>
      </c>
      <c r="AU309" s="61"/>
      <c r="AV309" s="61">
        <v>191</v>
      </c>
      <c r="AW309" s="61">
        <v>987</v>
      </c>
      <c r="AX309" s="61">
        <v>13</v>
      </c>
      <c r="AY309" s="61">
        <v>25362</v>
      </c>
      <c r="AZ309" s="61">
        <v>52</v>
      </c>
      <c r="BA309" s="61">
        <v>4</v>
      </c>
      <c r="BB309" s="61">
        <v>61</v>
      </c>
      <c r="BC309" s="61">
        <v>110</v>
      </c>
      <c r="BD309" s="61">
        <v>12769</v>
      </c>
      <c r="BE309" s="61">
        <v>4968</v>
      </c>
      <c r="BF309" s="61">
        <v>1018</v>
      </c>
      <c r="BG309" s="61">
        <v>6324</v>
      </c>
      <c r="BH309" s="61">
        <v>2671</v>
      </c>
      <c r="BI309" s="61">
        <v>147</v>
      </c>
      <c r="BJ309" s="61">
        <v>27897</v>
      </c>
      <c r="BK309" s="61">
        <v>312</v>
      </c>
      <c r="BL309" s="61">
        <v>23700</v>
      </c>
      <c r="BM309" s="61">
        <v>3885</v>
      </c>
      <c r="BN309" s="61">
        <v>1379</v>
      </c>
      <c r="BO309" s="61">
        <v>1414</v>
      </c>
      <c r="BP309" s="61"/>
      <c r="BQ309" s="61">
        <v>21</v>
      </c>
      <c r="BR309" s="61">
        <v>121</v>
      </c>
      <c r="BS309" s="61">
        <v>175</v>
      </c>
      <c r="BT309" s="61">
        <v>241</v>
      </c>
      <c r="BU309" s="61">
        <v>483</v>
      </c>
      <c r="BV309" s="61">
        <v>659</v>
      </c>
      <c r="BW309" s="61">
        <v>515</v>
      </c>
      <c r="BX309" s="61">
        <v>564</v>
      </c>
      <c r="BY309" s="61">
        <v>13</v>
      </c>
      <c r="BZ309" s="61">
        <v>1</v>
      </c>
      <c r="CA309" s="61"/>
      <c r="CB309" s="61">
        <v>57</v>
      </c>
      <c r="CC309" s="61">
        <v>66</v>
      </c>
      <c r="CD309" s="61">
        <v>369</v>
      </c>
      <c r="CE309" s="61">
        <v>87</v>
      </c>
      <c r="CF309" s="61">
        <v>57</v>
      </c>
      <c r="CG309" s="61">
        <v>2116</v>
      </c>
      <c r="CH309" s="61">
        <v>41</v>
      </c>
      <c r="CI309" s="61">
        <v>100</v>
      </c>
      <c r="CJ309" s="61">
        <v>38</v>
      </c>
      <c r="CK309" s="61">
        <v>104</v>
      </c>
      <c r="CL309" s="61">
        <v>427</v>
      </c>
      <c r="CM309" s="61">
        <v>6</v>
      </c>
      <c r="CN309" s="61"/>
      <c r="CO309" s="61">
        <v>3</v>
      </c>
      <c r="CP309" s="61">
        <v>1578</v>
      </c>
      <c r="CQ309" s="61">
        <v>419</v>
      </c>
      <c r="CR309" s="61"/>
      <c r="CS309" s="61">
        <v>88</v>
      </c>
      <c r="CT309" s="61">
        <v>21</v>
      </c>
      <c r="CU309" s="61"/>
      <c r="CV309" s="61">
        <v>3</v>
      </c>
      <c r="CW309" s="61">
        <v>4</v>
      </c>
      <c r="CX309" s="61">
        <v>654</v>
      </c>
      <c r="CY309" s="61">
        <v>1362</v>
      </c>
      <c r="CZ309" s="61">
        <v>103</v>
      </c>
      <c r="DA309" s="61">
        <v>624</v>
      </c>
      <c r="DB309" s="61">
        <v>50</v>
      </c>
      <c r="DC309" s="61"/>
      <c r="DD309" s="61">
        <v>2793</v>
      </c>
      <c r="DE309" s="61">
        <v>43</v>
      </c>
      <c r="DF309" s="61">
        <v>2559</v>
      </c>
      <c r="DG309" s="61">
        <v>191</v>
      </c>
      <c r="DH309" s="62" t="s">
        <v>2185</v>
      </c>
      <c r="DI309" s="61">
        <v>84</v>
      </c>
      <c r="DJ309" s="61">
        <v>12</v>
      </c>
      <c r="DK309" s="61">
        <v>94</v>
      </c>
      <c r="DL309" s="61">
        <v>106</v>
      </c>
      <c r="DM309" s="61">
        <v>2</v>
      </c>
      <c r="DN309" s="61"/>
    </row>
    <row r="310" spans="1:118" x14ac:dyDescent="0.25">
      <c r="A310" s="61">
        <v>106500852</v>
      </c>
      <c r="B310" s="62" t="s">
        <v>1394</v>
      </c>
      <c r="C310" s="62" t="s">
        <v>1395</v>
      </c>
      <c r="D310" s="62" t="s">
        <v>1396</v>
      </c>
      <c r="E310" s="62" t="s">
        <v>184</v>
      </c>
      <c r="F310" s="62" t="s">
        <v>2213</v>
      </c>
      <c r="G310" s="62" t="s">
        <v>1397</v>
      </c>
      <c r="H310" s="62" t="s">
        <v>1398</v>
      </c>
      <c r="I310" s="62" t="s">
        <v>1399</v>
      </c>
      <c r="J310" s="62" t="s">
        <v>2186</v>
      </c>
      <c r="K310" s="62" t="s">
        <v>82</v>
      </c>
      <c r="L310" s="61">
        <v>10</v>
      </c>
      <c r="M310" s="61">
        <v>21</v>
      </c>
      <c r="N310" s="61">
        <v>5</v>
      </c>
      <c r="O310" s="62" t="s">
        <v>2004</v>
      </c>
      <c r="P310" s="62" t="s">
        <v>68</v>
      </c>
      <c r="Q310" s="62" t="s">
        <v>2167</v>
      </c>
      <c r="R310" s="62" t="s">
        <v>2167</v>
      </c>
      <c r="S310" s="62" t="s">
        <v>69</v>
      </c>
      <c r="T310" s="61">
        <v>47468</v>
      </c>
      <c r="U310" s="61">
        <v>40987</v>
      </c>
      <c r="V310" s="61"/>
      <c r="W310" s="61">
        <v>12755</v>
      </c>
      <c r="X310" s="61">
        <v>9410</v>
      </c>
      <c r="Y310" s="61">
        <v>15723</v>
      </c>
      <c r="Z310" s="61">
        <v>14156</v>
      </c>
      <c r="AA310" s="61">
        <v>11113</v>
      </c>
      <c r="AB310" s="61">
        <v>10929</v>
      </c>
      <c r="AC310" s="61">
        <v>5982</v>
      </c>
      <c r="AD310" s="61">
        <v>3068</v>
      </c>
      <c r="AE310" s="61">
        <v>2232</v>
      </c>
      <c r="AF310" s="61">
        <v>3087</v>
      </c>
      <c r="AG310" s="61"/>
      <c r="AH310" s="61">
        <v>1843</v>
      </c>
      <c r="AI310" s="61">
        <v>5241</v>
      </c>
      <c r="AJ310" s="61">
        <v>33654</v>
      </c>
      <c r="AK310" s="61">
        <v>126</v>
      </c>
      <c r="AL310" s="61">
        <v>4101</v>
      </c>
      <c r="AM310" s="61">
        <v>1892</v>
      </c>
      <c r="AN310" s="61">
        <v>41598</v>
      </c>
      <c r="AO310" s="61">
        <v>396</v>
      </c>
      <c r="AP310" s="61">
        <v>4478</v>
      </c>
      <c r="AQ310" s="61">
        <v>106</v>
      </c>
      <c r="AR310" s="61">
        <v>51</v>
      </c>
      <c r="AS310" s="61">
        <v>13</v>
      </c>
      <c r="AT310" s="61">
        <v>26</v>
      </c>
      <c r="AU310" s="61"/>
      <c r="AV310" s="61"/>
      <c r="AW310" s="61">
        <v>4619</v>
      </c>
      <c r="AX310" s="61">
        <v>35</v>
      </c>
      <c r="AY310" s="61">
        <v>78370</v>
      </c>
      <c r="AZ310" s="61">
        <v>339</v>
      </c>
      <c r="BA310" s="61">
        <v>6</v>
      </c>
      <c r="BB310" s="61">
        <v>1</v>
      </c>
      <c r="BC310" s="61"/>
      <c r="BD310" s="61">
        <v>47971</v>
      </c>
      <c r="BE310" s="61">
        <v>11934</v>
      </c>
      <c r="BF310" s="61">
        <v>1431</v>
      </c>
      <c r="BG310" s="61">
        <v>22091</v>
      </c>
      <c r="BH310" s="61">
        <v>5028</v>
      </c>
      <c r="BI310" s="61"/>
      <c r="BJ310" s="61">
        <v>88455</v>
      </c>
      <c r="BK310" s="61">
        <v>439</v>
      </c>
      <c r="BL310" s="61">
        <v>81229</v>
      </c>
      <c r="BM310" s="61">
        <v>6787</v>
      </c>
      <c r="BN310" s="61">
        <v>6507</v>
      </c>
      <c r="BO310" s="61">
        <v>7325</v>
      </c>
      <c r="BP310" s="61"/>
      <c r="BQ310" s="61">
        <v>352</v>
      </c>
      <c r="BR310" s="61">
        <v>803</v>
      </c>
      <c r="BS310" s="61">
        <v>1062</v>
      </c>
      <c r="BT310" s="61">
        <v>1560</v>
      </c>
      <c r="BU310" s="61">
        <v>2679</v>
      </c>
      <c r="BV310" s="61">
        <v>2737</v>
      </c>
      <c r="BW310" s="61">
        <v>2084</v>
      </c>
      <c r="BX310" s="61">
        <v>1940</v>
      </c>
      <c r="BY310" s="61">
        <v>270</v>
      </c>
      <c r="BZ310" s="61">
        <v>345</v>
      </c>
      <c r="CA310" s="61"/>
      <c r="CB310" s="61">
        <v>399</v>
      </c>
      <c r="CC310" s="61">
        <v>599</v>
      </c>
      <c r="CD310" s="61">
        <v>3600</v>
      </c>
      <c r="CE310" s="61">
        <v>606</v>
      </c>
      <c r="CF310" s="61">
        <v>160</v>
      </c>
      <c r="CG310" s="61">
        <v>8446</v>
      </c>
      <c r="CH310" s="61">
        <v>22</v>
      </c>
      <c r="CI310" s="61">
        <v>288</v>
      </c>
      <c r="CJ310" s="61">
        <v>365</v>
      </c>
      <c r="CK310" s="61">
        <v>516</v>
      </c>
      <c r="CL310" s="61">
        <v>1109</v>
      </c>
      <c r="CM310" s="61">
        <v>150</v>
      </c>
      <c r="CN310" s="61">
        <v>1</v>
      </c>
      <c r="CO310" s="61">
        <v>88</v>
      </c>
      <c r="CP310" s="61">
        <v>8908</v>
      </c>
      <c r="CQ310" s="61">
        <v>1869</v>
      </c>
      <c r="CR310" s="61">
        <v>30</v>
      </c>
      <c r="CS310" s="61">
        <v>338</v>
      </c>
      <c r="CT310" s="61">
        <v>140</v>
      </c>
      <c r="CU310" s="61">
        <v>25</v>
      </c>
      <c r="CV310" s="61"/>
      <c r="CW310" s="61">
        <v>5</v>
      </c>
      <c r="CX310" s="61">
        <v>5237</v>
      </c>
      <c r="CY310" s="61">
        <v>4623</v>
      </c>
      <c r="CZ310" s="61">
        <v>1576</v>
      </c>
      <c r="DA310" s="61">
        <v>2270</v>
      </c>
      <c r="DB310" s="61">
        <v>126</v>
      </c>
      <c r="DC310" s="61"/>
      <c r="DD310" s="61">
        <v>13832</v>
      </c>
      <c r="DE310" s="61">
        <v>134</v>
      </c>
      <c r="DF310" s="61">
        <v>12777</v>
      </c>
      <c r="DG310" s="61">
        <v>921</v>
      </c>
      <c r="DH310" s="62" t="s">
        <v>2185</v>
      </c>
      <c r="DI310" s="61">
        <v>394</v>
      </c>
      <c r="DJ310" s="61">
        <v>33</v>
      </c>
      <c r="DK310" s="61">
        <v>15</v>
      </c>
      <c r="DL310" s="61"/>
      <c r="DM310" s="61"/>
      <c r="DN310" s="61"/>
    </row>
    <row r="311" spans="1:118" x14ac:dyDescent="0.25">
      <c r="A311" s="61">
        <v>106500867</v>
      </c>
      <c r="B311" s="62" t="s">
        <v>1400</v>
      </c>
      <c r="C311" s="62" t="s">
        <v>1770</v>
      </c>
      <c r="D311" s="62" t="s">
        <v>1396</v>
      </c>
      <c r="E311" s="62" t="s">
        <v>184</v>
      </c>
      <c r="F311" s="62" t="s">
        <v>2213</v>
      </c>
      <c r="G311" s="62" t="s">
        <v>1401</v>
      </c>
      <c r="H311" s="62" t="s">
        <v>1402</v>
      </c>
      <c r="I311" s="62" t="s">
        <v>1403</v>
      </c>
      <c r="J311" s="62" t="s">
        <v>2184</v>
      </c>
      <c r="K311" s="62"/>
      <c r="L311" s="61">
        <v>10</v>
      </c>
      <c r="M311" s="61">
        <v>12</v>
      </c>
      <c r="N311" s="61">
        <v>8</v>
      </c>
      <c r="O311" s="62" t="s">
        <v>2005</v>
      </c>
      <c r="P311" s="62" t="s">
        <v>68</v>
      </c>
      <c r="Q311" s="62" t="s">
        <v>2167</v>
      </c>
      <c r="R311" s="62" t="s">
        <v>2167</v>
      </c>
      <c r="S311" s="62" t="s">
        <v>69</v>
      </c>
      <c r="T311" s="61">
        <v>34703</v>
      </c>
      <c r="U311" s="61">
        <v>27322</v>
      </c>
      <c r="V311" s="61"/>
      <c r="W311" s="61">
        <v>12292</v>
      </c>
      <c r="X311" s="61">
        <v>8662</v>
      </c>
      <c r="Y311" s="61">
        <v>10740</v>
      </c>
      <c r="Z311" s="61">
        <v>8507</v>
      </c>
      <c r="AA311" s="61">
        <v>6358</v>
      </c>
      <c r="AB311" s="61">
        <v>5770</v>
      </c>
      <c r="AC311" s="61">
        <v>3167</v>
      </c>
      <c r="AD311" s="61">
        <v>2165</v>
      </c>
      <c r="AE311" s="61">
        <v>1922</v>
      </c>
      <c r="AF311" s="61">
        <v>2442</v>
      </c>
      <c r="AG311" s="61"/>
      <c r="AH311" s="61">
        <v>403</v>
      </c>
      <c r="AI311" s="61">
        <v>1506</v>
      </c>
      <c r="AJ311" s="61">
        <v>32310</v>
      </c>
      <c r="AK311" s="61">
        <v>39</v>
      </c>
      <c r="AL311" s="61">
        <v>4247</v>
      </c>
      <c r="AM311" s="61">
        <v>206</v>
      </c>
      <c r="AN311" s="61">
        <v>23314</v>
      </c>
      <c r="AO311" s="61">
        <v>1345</v>
      </c>
      <c r="AP311" s="61">
        <v>3968</v>
      </c>
      <c r="AQ311" s="61">
        <v>84</v>
      </c>
      <c r="AR311" s="61">
        <v>16</v>
      </c>
      <c r="AS311" s="61">
        <v>10</v>
      </c>
      <c r="AT311" s="61"/>
      <c r="AU311" s="61"/>
      <c r="AV311" s="61"/>
      <c r="AW311" s="61">
        <v>81</v>
      </c>
      <c r="AX311" s="61"/>
      <c r="AY311" s="61">
        <v>56514</v>
      </c>
      <c r="AZ311" s="61">
        <v>5</v>
      </c>
      <c r="BA311" s="61"/>
      <c r="BB311" s="61"/>
      <c r="BC311" s="61"/>
      <c r="BD311" s="61">
        <v>42835</v>
      </c>
      <c r="BE311" s="61">
        <v>7236</v>
      </c>
      <c r="BF311" s="61">
        <v>830</v>
      </c>
      <c r="BG311" s="61">
        <v>8552</v>
      </c>
      <c r="BH311" s="61">
        <v>2571</v>
      </c>
      <c r="BI311" s="61">
        <v>1</v>
      </c>
      <c r="BJ311" s="61">
        <v>62025</v>
      </c>
      <c r="BK311" s="61">
        <v>1729</v>
      </c>
      <c r="BL311" s="61">
        <v>49010</v>
      </c>
      <c r="BM311" s="61">
        <v>11286</v>
      </c>
      <c r="BN311" s="61">
        <v>3889</v>
      </c>
      <c r="BO311" s="61">
        <v>3247</v>
      </c>
      <c r="BP311" s="61"/>
      <c r="BQ311" s="61">
        <v>126</v>
      </c>
      <c r="BR311" s="61">
        <v>376</v>
      </c>
      <c r="BS311" s="61">
        <v>514</v>
      </c>
      <c r="BT311" s="61">
        <v>701</v>
      </c>
      <c r="BU311" s="61">
        <v>1273</v>
      </c>
      <c r="BV311" s="61">
        <v>1199</v>
      </c>
      <c r="BW311" s="61">
        <v>1277</v>
      </c>
      <c r="BX311" s="61">
        <v>1530</v>
      </c>
      <c r="BY311" s="61">
        <v>49</v>
      </c>
      <c r="BZ311" s="61">
        <v>91</v>
      </c>
      <c r="CA311" s="61"/>
      <c r="CB311" s="61">
        <v>98</v>
      </c>
      <c r="CC311" s="61">
        <v>168</v>
      </c>
      <c r="CD311" s="61">
        <v>2315</v>
      </c>
      <c r="CE311" s="61">
        <v>782</v>
      </c>
      <c r="CF311" s="61">
        <v>22</v>
      </c>
      <c r="CG311" s="61">
        <v>3746</v>
      </c>
      <c r="CH311" s="61">
        <v>5</v>
      </c>
      <c r="CI311" s="61">
        <v>5</v>
      </c>
      <c r="CJ311" s="61">
        <v>1007</v>
      </c>
      <c r="CK311" s="61">
        <v>178</v>
      </c>
      <c r="CL311" s="61">
        <v>848</v>
      </c>
      <c r="CM311" s="61"/>
      <c r="CN311" s="61"/>
      <c r="CO311" s="61">
        <v>111</v>
      </c>
      <c r="CP311" s="61">
        <v>4615</v>
      </c>
      <c r="CQ311" s="61">
        <v>13</v>
      </c>
      <c r="CR311" s="61">
        <v>12</v>
      </c>
      <c r="CS311" s="61">
        <v>126</v>
      </c>
      <c r="CT311" s="61"/>
      <c r="CU311" s="61">
        <v>220</v>
      </c>
      <c r="CV311" s="61"/>
      <c r="CW311" s="61">
        <v>1</v>
      </c>
      <c r="CX311" s="61">
        <v>2563</v>
      </c>
      <c r="CY311" s="61">
        <v>3534</v>
      </c>
      <c r="CZ311" s="61">
        <v>40</v>
      </c>
      <c r="DA311" s="61">
        <v>924</v>
      </c>
      <c r="DB311" s="61">
        <v>75</v>
      </c>
      <c r="DC311" s="61"/>
      <c r="DD311" s="61">
        <v>7136</v>
      </c>
      <c r="DE311" s="61">
        <v>558</v>
      </c>
      <c r="DF311" s="61">
        <v>5453</v>
      </c>
      <c r="DG311" s="61">
        <v>1125</v>
      </c>
      <c r="DH311" s="62" t="s">
        <v>2185</v>
      </c>
      <c r="DI311" s="61">
        <v>209</v>
      </c>
      <c r="DJ311" s="61">
        <v>32</v>
      </c>
      <c r="DK311" s="61"/>
      <c r="DL311" s="61">
        <v>2</v>
      </c>
      <c r="DM311" s="61"/>
      <c r="DN311" s="61"/>
    </row>
    <row r="312" spans="1:118" x14ac:dyDescent="0.25">
      <c r="A312" s="61">
        <v>106500939</v>
      </c>
      <c r="B312" s="62" t="s">
        <v>1404</v>
      </c>
      <c r="C312" s="62" t="s">
        <v>1405</v>
      </c>
      <c r="D312" s="62" t="s">
        <v>1396</v>
      </c>
      <c r="E312" s="62" t="s">
        <v>71</v>
      </c>
      <c r="F312" s="62" t="s">
        <v>2213</v>
      </c>
      <c r="G312" s="62" t="s">
        <v>1406</v>
      </c>
      <c r="H312" s="62" t="s">
        <v>1398</v>
      </c>
      <c r="I312" s="62" t="s">
        <v>1407</v>
      </c>
      <c r="J312" s="62" t="s">
        <v>2186</v>
      </c>
      <c r="K312" s="62" t="s">
        <v>82</v>
      </c>
      <c r="L312" s="61">
        <v>10</v>
      </c>
      <c r="M312" s="61">
        <v>12</v>
      </c>
      <c r="N312" s="61">
        <v>5</v>
      </c>
      <c r="O312" s="62" t="s">
        <v>2006</v>
      </c>
      <c r="P312" s="62" t="s">
        <v>68</v>
      </c>
      <c r="Q312" s="62" t="s">
        <v>2167</v>
      </c>
      <c r="R312" s="62" t="s">
        <v>2167</v>
      </c>
      <c r="S312" s="62" t="s">
        <v>69</v>
      </c>
      <c r="T312" s="61">
        <v>36940</v>
      </c>
      <c r="U312" s="61">
        <v>27728</v>
      </c>
      <c r="V312" s="61">
        <v>1</v>
      </c>
      <c r="W312" s="61">
        <v>8151</v>
      </c>
      <c r="X312" s="61">
        <v>6490</v>
      </c>
      <c r="Y312" s="61">
        <v>11042</v>
      </c>
      <c r="Z312" s="61">
        <v>9077</v>
      </c>
      <c r="AA312" s="61">
        <v>7417</v>
      </c>
      <c r="AB312" s="61">
        <v>7593</v>
      </c>
      <c r="AC312" s="61">
        <v>5041</v>
      </c>
      <c r="AD312" s="61">
        <v>3840</v>
      </c>
      <c r="AE312" s="61">
        <v>4151</v>
      </c>
      <c r="AF312" s="61">
        <v>1866</v>
      </c>
      <c r="AG312" s="61">
        <v>1</v>
      </c>
      <c r="AH312" s="61">
        <v>1558</v>
      </c>
      <c r="AI312" s="61">
        <v>4268</v>
      </c>
      <c r="AJ312" s="61">
        <v>22780</v>
      </c>
      <c r="AK312" s="61">
        <v>166</v>
      </c>
      <c r="AL312" s="61">
        <v>1793</v>
      </c>
      <c r="AM312" s="61">
        <v>296</v>
      </c>
      <c r="AN312" s="61">
        <v>33808</v>
      </c>
      <c r="AO312" s="61">
        <v>562</v>
      </c>
      <c r="AP312" s="61">
        <v>621</v>
      </c>
      <c r="AQ312" s="61">
        <v>79</v>
      </c>
      <c r="AR312" s="61">
        <v>202</v>
      </c>
      <c r="AS312" s="61">
        <v>54</v>
      </c>
      <c r="AT312" s="61">
        <v>24</v>
      </c>
      <c r="AU312" s="61"/>
      <c r="AV312" s="61">
        <v>10</v>
      </c>
      <c r="AW312" s="61">
        <v>203</v>
      </c>
      <c r="AX312" s="61">
        <v>10</v>
      </c>
      <c r="AY312" s="61">
        <v>61605</v>
      </c>
      <c r="AZ312" s="61">
        <v>423</v>
      </c>
      <c r="BA312" s="61">
        <v>5</v>
      </c>
      <c r="BB312" s="61">
        <v>15</v>
      </c>
      <c r="BC312" s="61">
        <v>405</v>
      </c>
      <c r="BD312" s="61">
        <v>33058</v>
      </c>
      <c r="BE312" s="61">
        <v>13236</v>
      </c>
      <c r="BF312" s="61">
        <v>1811</v>
      </c>
      <c r="BG312" s="61">
        <v>12851</v>
      </c>
      <c r="BH312" s="61">
        <v>3601</v>
      </c>
      <c r="BI312" s="61">
        <v>112</v>
      </c>
      <c r="BJ312" s="61">
        <v>64669</v>
      </c>
      <c r="BK312" s="61">
        <v>1151</v>
      </c>
      <c r="BL312" s="61">
        <v>58928</v>
      </c>
      <c r="BM312" s="61">
        <v>4590</v>
      </c>
      <c r="BN312" s="61">
        <v>6112</v>
      </c>
      <c r="BO312" s="61">
        <v>5657</v>
      </c>
      <c r="BP312" s="61"/>
      <c r="BQ312" s="61">
        <v>223</v>
      </c>
      <c r="BR312" s="61">
        <v>583</v>
      </c>
      <c r="BS312" s="61">
        <v>735</v>
      </c>
      <c r="BT312" s="61">
        <v>1032</v>
      </c>
      <c r="BU312" s="61">
        <v>1848</v>
      </c>
      <c r="BV312" s="61">
        <v>2151</v>
      </c>
      <c r="BW312" s="61">
        <v>2286</v>
      </c>
      <c r="BX312" s="61">
        <v>2757</v>
      </c>
      <c r="BY312" s="61">
        <v>51</v>
      </c>
      <c r="BZ312" s="61">
        <v>103</v>
      </c>
      <c r="CA312" s="61"/>
      <c r="CB312" s="61">
        <v>351</v>
      </c>
      <c r="CC312" s="61">
        <v>475</v>
      </c>
      <c r="CD312" s="61">
        <v>2662</v>
      </c>
      <c r="CE312" s="61">
        <v>347</v>
      </c>
      <c r="CF312" s="61">
        <v>40</v>
      </c>
      <c r="CG312" s="61">
        <v>7865</v>
      </c>
      <c r="CH312" s="61">
        <v>29</v>
      </c>
      <c r="CI312" s="61">
        <v>340</v>
      </c>
      <c r="CJ312" s="61">
        <v>199</v>
      </c>
      <c r="CK312" s="61">
        <v>418</v>
      </c>
      <c r="CL312" s="61">
        <v>2222</v>
      </c>
      <c r="CM312" s="61">
        <v>168</v>
      </c>
      <c r="CN312" s="61"/>
      <c r="CO312" s="61">
        <v>20</v>
      </c>
      <c r="CP312" s="61">
        <v>6245</v>
      </c>
      <c r="CQ312" s="61">
        <v>1853</v>
      </c>
      <c r="CR312" s="61">
        <v>1</v>
      </c>
      <c r="CS312" s="61">
        <v>281</v>
      </c>
      <c r="CT312" s="61">
        <v>13</v>
      </c>
      <c r="CU312" s="61">
        <v>1</v>
      </c>
      <c r="CV312" s="61">
        <v>2</v>
      </c>
      <c r="CW312" s="61">
        <v>3</v>
      </c>
      <c r="CX312" s="61">
        <v>2377</v>
      </c>
      <c r="CY312" s="61">
        <v>7096</v>
      </c>
      <c r="CZ312" s="61">
        <v>307</v>
      </c>
      <c r="DA312" s="61">
        <v>1812</v>
      </c>
      <c r="DB312" s="61">
        <v>177</v>
      </c>
      <c r="DC312" s="61"/>
      <c r="DD312" s="61">
        <v>11769</v>
      </c>
      <c r="DE312" s="61">
        <v>411</v>
      </c>
      <c r="DF312" s="61">
        <v>10550</v>
      </c>
      <c r="DG312" s="61">
        <v>808</v>
      </c>
      <c r="DH312" s="62" t="s">
        <v>2185</v>
      </c>
      <c r="DI312" s="61">
        <v>423</v>
      </c>
      <c r="DJ312" s="61">
        <v>44</v>
      </c>
      <c r="DK312" s="61">
        <v>368</v>
      </c>
      <c r="DL312" s="61">
        <v>83</v>
      </c>
      <c r="DM312" s="61">
        <v>3</v>
      </c>
      <c r="DN312" s="61"/>
    </row>
    <row r="313" spans="1:118" x14ac:dyDescent="0.25">
      <c r="A313" s="61">
        <v>106500967</v>
      </c>
      <c r="B313" s="62" t="s">
        <v>1408</v>
      </c>
      <c r="C313" s="62" t="s">
        <v>2111</v>
      </c>
      <c r="D313" s="62" t="s">
        <v>1396</v>
      </c>
      <c r="E313" s="62" t="s">
        <v>94</v>
      </c>
      <c r="F313" s="62" t="s">
        <v>2213</v>
      </c>
      <c r="G313" s="62" t="s">
        <v>1409</v>
      </c>
      <c r="H313" s="62" t="s">
        <v>1410</v>
      </c>
      <c r="I313" s="62" t="s">
        <v>1411</v>
      </c>
      <c r="J313" s="62" t="s">
        <v>2187</v>
      </c>
      <c r="K313" s="62"/>
      <c r="L313" s="61">
        <v>10</v>
      </c>
      <c r="M313" s="61">
        <v>12</v>
      </c>
      <c r="N313" s="61">
        <v>8</v>
      </c>
      <c r="O313" s="62" t="s">
        <v>2007</v>
      </c>
      <c r="P313" s="62" t="s">
        <v>120</v>
      </c>
      <c r="Q313" s="62" t="s">
        <v>120</v>
      </c>
      <c r="R313" s="62" t="s">
        <v>2167</v>
      </c>
      <c r="S313" s="62" t="s">
        <v>69</v>
      </c>
      <c r="T313" s="61">
        <v>14348</v>
      </c>
      <c r="U313" s="61">
        <v>9873</v>
      </c>
      <c r="V313" s="61"/>
      <c r="W313" s="61">
        <v>4011</v>
      </c>
      <c r="X313" s="61">
        <v>2909</v>
      </c>
      <c r="Y313" s="61">
        <v>3831</v>
      </c>
      <c r="Z313" s="61">
        <v>3766</v>
      </c>
      <c r="AA313" s="61">
        <v>3301</v>
      </c>
      <c r="AB313" s="61">
        <v>2456</v>
      </c>
      <c r="AC313" s="61">
        <v>1489</v>
      </c>
      <c r="AD313" s="61">
        <v>989</v>
      </c>
      <c r="AE313" s="61">
        <v>796</v>
      </c>
      <c r="AF313" s="61">
        <v>673</v>
      </c>
      <c r="AG313" s="61"/>
      <c r="AH313" s="61">
        <v>61</v>
      </c>
      <c r="AI313" s="61">
        <v>370</v>
      </c>
      <c r="AJ313" s="61">
        <v>7230</v>
      </c>
      <c r="AK313" s="61">
        <v>5</v>
      </c>
      <c r="AL313" s="61">
        <v>369</v>
      </c>
      <c r="AM313" s="61">
        <v>326</v>
      </c>
      <c r="AN313" s="61">
        <v>15860</v>
      </c>
      <c r="AO313" s="61">
        <v>689</v>
      </c>
      <c r="AP313" s="61">
        <v>298</v>
      </c>
      <c r="AQ313" s="61">
        <v>21</v>
      </c>
      <c r="AR313" s="61">
        <v>1</v>
      </c>
      <c r="AS313" s="61">
        <v>1</v>
      </c>
      <c r="AT313" s="61"/>
      <c r="AU313" s="61"/>
      <c r="AV313" s="61"/>
      <c r="AW313" s="61">
        <v>28</v>
      </c>
      <c r="AX313" s="61"/>
      <c r="AY313" s="61">
        <v>23126</v>
      </c>
      <c r="AZ313" s="61">
        <v>24</v>
      </c>
      <c r="BA313" s="61">
        <v>30</v>
      </c>
      <c r="BB313" s="61"/>
      <c r="BC313" s="61"/>
      <c r="BD313" s="61">
        <v>14879</v>
      </c>
      <c r="BE313" s="61">
        <v>3477</v>
      </c>
      <c r="BF313" s="61">
        <v>338</v>
      </c>
      <c r="BG313" s="61">
        <v>3372</v>
      </c>
      <c r="BH313" s="61">
        <v>2155</v>
      </c>
      <c r="BI313" s="61"/>
      <c r="BJ313" s="61">
        <v>24221</v>
      </c>
      <c r="BK313" s="61">
        <v>34</v>
      </c>
      <c r="BL313" s="61">
        <v>22488</v>
      </c>
      <c r="BM313" s="61">
        <v>1699</v>
      </c>
      <c r="BN313" s="61">
        <v>462</v>
      </c>
      <c r="BO313" s="61">
        <v>339</v>
      </c>
      <c r="BP313" s="61"/>
      <c r="BQ313" s="61">
        <v>22</v>
      </c>
      <c r="BR313" s="61">
        <v>43</v>
      </c>
      <c r="BS313" s="61">
        <v>49</v>
      </c>
      <c r="BT313" s="61">
        <v>71</v>
      </c>
      <c r="BU313" s="61">
        <v>121</v>
      </c>
      <c r="BV313" s="61">
        <v>127</v>
      </c>
      <c r="BW313" s="61">
        <v>125</v>
      </c>
      <c r="BX313" s="61">
        <v>201</v>
      </c>
      <c r="BY313" s="61">
        <v>6</v>
      </c>
      <c r="BZ313" s="61">
        <v>36</v>
      </c>
      <c r="CA313" s="61"/>
      <c r="CB313" s="61">
        <v>4</v>
      </c>
      <c r="CC313" s="61">
        <v>10</v>
      </c>
      <c r="CD313" s="61">
        <v>84</v>
      </c>
      <c r="CE313" s="61">
        <v>13</v>
      </c>
      <c r="CF313" s="61">
        <v>13</v>
      </c>
      <c r="CG313" s="61">
        <v>677</v>
      </c>
      <c r="CH313" s="61"/>
      <c r="CI313" s="61">
        <v>45</v>
      </c>
      <c r="CJ313" s="61">
        <v>13</v>
      </c>
      <c r="CK313" s="61">
        <v>18</v>
      </c>
      <c r="CL313" s="61">
        <v>25</v>
      </c>
      <c r="CM313" s="61">
        <v>3</v>
      </c>
      <c r="CN313" s="61"/>
      <c r="CO313" s="61">
        <v>2</v>
      </c>
      <c r="CP313" s="61">
        <v>558</v>
      </c>
      <c r="CQ313" s="61">
        <v>128</v>
      </c>
      <c r="CR313" s="61">
        <v>1</v>
      </c>
      <c r="CS313" s="61">
        <v>5</v>
      </c>
      <c r="CT313" s="61">
        <v>1</v>
      </c>
      <c r="CU313" s="61">
        <v>1</v>
      </c>
      <c r="CV313" s="61"/>
      <c r="CW313" s="61"/>
      <c r="CX313" s="61">
        <v>253</v>
      </c>
      <c r="CY313" s="61">
        <v>436</v>
      </c>
      <c r="CZ313" s="61">
        <v>1</v>
      </c>
      <c r="DA313" s="61">
        <v>93</v>
      </c>
      <c r="DB313" s="61">
        <v>17</v>
      </c>
      <c r="DC313" s="61">
        <v>1</v>
      </c>
      <c r="DD313" s="61">
        <v>801</v>
      </c>
      <c r="DE313" s="61">
        <v>4</v>
      </c>
      <c r="DF313" s="61">
        <v>754</v>
      </c>
      <c r="DG313" s="61">
        <v>43</v>
      </c>
      <c r="DH313" s="62" t="s">
        <v>2185</v>
      </c>
      <c r="DI313" s="61">
        <v>150</v>
      </c>
      <c r="DJ313" s="61">
        <v>12</v>
      </c>
      <c r="DK313" s="61"/>
      <c r="DL313" s="61">
        <v>3</v>
      </c>
      <c r="DM313" s="61"/>
      <c r="DN313" s="61">
        <v>1</v>
      </c>
    </row>
    <row r="314" spans="1:118" x14ac:dyDescent="0.25">
      <c r="A314" s="61">
        <v>106521041</v>
      </c>
      <c r="B314" s="62" t="s">
        <v>1412</v>
      </c>
      <c r="C314" s="62" t="s">
        <v>1413</v>
      </c>
      <c r="D314" s="62" t="s">
        <v>1414</v>
      </c>
      <c r="E314" s="62" t="s">
        <v>71</v>
      </c>
      <c r="F314" s="62" t="s">
        <v>2213</v>
      </c>
      <c r="G314" s="62" t="s">
        <v>1415</v>
      </c>
      <c r="H314" s="62" t="s">
        <v>1416</v>
      </c>
      <c r="I314" s="62" t="s">
        <v>1417</v>
      </c>
      <c r="J314" s="62" t="s">
        <v>2188</v>
      </c>
      <c r="K314" s="62" t="s">
        <v>138</v>
      </c>
      <c r="L314" s="61">
        <v>1</v>
      </c>
      <c r="M314" s="61">
        <v>3</v>
      </c>
      <c r="N314" s="61">
        <v>4</v>
      </c>
      <c r="O314" s="62" t="s">
        <v>2008</v>
      </c>
      <c r="P314" s="62" t="s">
        <v>120</v>
      </c>
      <c r="Q314" s="62" t="s">
        <v>120</v>
      </c>
      <c r="R314" s="62" t="s">
        <v>2167</v>
      </c>
      <c r="S314" s="62" t="s">
        <v>69</v>
      </c>
      <c r="T314" s="61">
        <v>16933</v>
      </c>
      <c r="U314" s="61">
        <v>13635</v>
      </c>
      <c r="V314" s="61"/>
      <c r="W314" s="61">
        <v>3948</v>
      </c>
      <c r="X314" s="61">
        <v>3208</v>
      </c>
      <c r="Y314" s="61">
        <v>4865</v>
      </c>
      <c r="Z314" s="61">
        <v>4298</v>
      </c>
      <c r="AA314" s="61">
        <v>3295</v>
      </c>
      <c r="AB314" s="61">
        <v>3900</v>
      </c>
      <c r="AC314" s="61">
        <v>2613</v>
      </c>
      <c r="AD314" s="61">
        <v>1907</v>
      </c>
      <c r="AE314" s="61">
        <v>1759</v>
      </c>
      <c r="AF314" s="61">
        <v>775</v>
      </c>
      <c r="AG314" s="61"/>
      <c r="AH314" s="61">
        <v>304</v>
      </c>
      <c r="AI314" s="61">
        <v>322</v>
      </c>
      <c r="AJ314" s="61">
        <v>4717</v>
      </c>
      <c r="AK314" s="61">
        <v>246</v>
      </c>
      <c r="AL314" s="61">
        <v>258</v>
      </c>
      <c r="AM314" s="61">
        <v>217</v>
      </c>
      <c r="AN314" s="61">
        <v>24504</v>
      </c>
      <c r="AO314" s="61">
        <v>587</v>
      </c>
      <c r="AP314" s="61">
        <v>908</v>
      </c>
      <c r="AQ314" s="61">
        <v>28</v>
      </c>
      <c r="AR314" s="61">
        <v>36</v>
      </c>
      <c r="AS314" s="61">
        <v>10</v>
      </c>
      <c r="AT314" s="61">
        <v>3</v>
      </c>
      <c r="AU314" s="61"/>
      <c r="AV314" s="61">
        <v>288</v>
      </c>
      <c r="AW314" s="61">
        <v>345</v>
      </c>
      <c r="AX314" s="61"/>
      <c r="AY314" s="61">
        <v>28322</v>
      </c>
      <c r="AZ314" s="61">
        <v>37</v>
      </c>
      <c r="BA314" s="61"/>
      <c r="BB314" s="61">
        <v>2</v>
      </c>
      <c r="BC314" s="61">
        <v>2</v>
      </c>
      <c r="BD314" s="61">
        <v>16689</v>
      </c>
      <c r="BE314" s="61">
        <v>7089</v>
      </c>
      <c r="BF314" s="61">
        <v>828</v>
      </c>
      <c r="BG314" s="61">
        <v>3983</v>
      </c>
      <c r="BH314" s="61">
        <v>1978</v>
      </c>
      <c r="BI314" s="61">
        <v>1</v>
      </c>
      <c r="BJ314" s="61">
        <v>30568</v>
      </c>
      <c r="BK314" s="61">
        <v>150</v>
      </c>
      <c r="BL314" s="61">
        <v>28653</v>
      </c>
      <c r="BM314" s="61">
        <v>1765</v>
      </c>
      <c r="BN314" s="61">
        <v>1066</v>
      </c>
      <c r="BO314" s="61">
        <v>855</v>
      </c>
      <c r="BP314" s="61"/>
      <c r="BQ314" s="61">
        <v>26</v>
      </c>
      <c r="BR314" s="61">
        <v>93</v>
      </c>
      <c r="BS314" s="61">
        <v>109</v>
      </c>
      <c r="BT314" s="61">
        <v>126</v>
      </c>
      <c r="BU314" s="61">
        <v>278</v>
      </c>
      <c r="BV314" s="61">
        <v>370</v>
      </c>
      <c r="BW314" s="61">
        <v>363</v>
      </c>
      <c r="BX314" s="61">
        <v>474</v>
      </c>
      <c r="BY314" s="61">
        <v>31</v>
      </c>
      <c r="BZ314" s="61">
        <v>51</v>
      </c>
      <c r="CA314" s="61"/>
      <c r="CB314" s="61">
        <v>24</v>
      </c>
      <c r="CC314" s="61">
        <v>11</v>
      </c>
      <c r="CD314" s="61">
        <v>140</v>
      </c>
      <c r="CE314" s="61">
        <v>12</v>
      </c>
      <c r="CF314" s="61">
        <v>10</v>
      </c>
      <c r="CG314" s="61">
        <v>1711</v>
      </c>
      <c r="CH314" s="61">
        <v>13</v>
      </c>
      <c r="CI314" s="61">
        <v>95</v>
      </c>
      <c r="CJ314" s="61">
        <v>35</v>
      </c>
      <c r="CK314" s="61">
        <v>51</v>
      </c>
      <c r="CL314" s="61">
        <v>216</v>
      </c>
      <c r="CM314" s="61">
        <v>21</v>
      </c>
      <c r="CN314" s="61"/>
      <c r="CO314" s="61"/>
      <c r="CP314" s="61">
        <v>1181</v>
      </c>
      <c r="CQ314" s="61">
        <v>247</v>
      </c>
      <c r="CR314" s="61"/>
      <c r="CS314" s="61">
        <v>45</v>
      </c>
      <c r="CT314" s="61">
        <v>30</v>
      </c>
      <c r="CU314" s="61"/>
      <c r="CV314" s="61"/>
      <c r="CW314" s="61"/>
      <c r="CX314" s="61">
        <v>517</v>
      </c>
      <c r="CY314" s="61">
        <v>1157</v>
      </c>
      <c r="CZ314" s="61">
        <v>26</v>
      </c>
      <c r="DA314" s="61">
        <v>195</v>
      </c>
      <c r="DB314" s="61">
        <v>26</v>
      </c>
      <c r="DC314" s="61"/>
      <c r="DD314" s="61">
        <v>1921</v>
      </c>
      <c r="DE314" s="61">
        <v>7</v>
      </c>
      <c r="DF314" s="61">
        <v>1848</v>
      </c>
      <c r="DG314" s="61">
        <v>66</v>
      </c>
      <c r="DH314" s="62" t="s">
        <v>2185</v>
      </c>
      <c r="DI314" s="61">
        <v>76</v>
      </c>
      <c r="DJ314" s="61">
        <v>15</v>
      </c>
      <c r="DK314" s="61"/>
      <c r="DL314" s="61"/>
      <c r="DM314" s="61"/>
      <c r="DN314" s="61"/>
    </row>
    <row r="315" spans="1:118" x14ac:dyDescent="0.25">
      <c r="A315" s="61">
        <v>106531059</v>
      </c>
      <c r="B315" s="62" t="s">
        <v>1418</v>
      </c>
      <c r="C315" s="62" t="s">
        <v>1419</v>
      </c>
      <c r="D315" s="62" t="s">
        <v>1420</v>
      </c>
      <c r="E315" s="62" t="s">
        <v>94</v>
      </c>
      <c r="F315" s="62" t="s">
        <v>2213</v>
      </c>
      <c r="G315" s="62" t="s">
        <v>1421</v>
      </c>
      <c r="H315" s="62" t="s">
        <v>1422</v>
      </c>
      <c r="I315" s="62" t="s">
        <v>1423</v>
      </c>
      <c r="J315" s="62" t="s">
        <v>2188</v>
      </c>
      <c r="K315" s="62"/>
      <c r="L315" s="61">
        <v>2</v>
      </c>
      <c r="M315" s="61">
        <v>2</v>
      </c>
      <c r="N315" s="61">
        <v>2</v>
      </c>
      <c r="O315" s="62" t="s">
        <v>2009</v>
      </c>
      <c r="P315" s="62" t="s">
        <v>241</v>
      </c>
      <c r="Q315" s="62" t="s">
        <v>120</v>
      </c>
      <c r="R315" s="62" t="s">
        <v>2167</v>
      </c>
      <c r="S315" s="62" t="s">
        <v>127</v>
      </c>
      <c r="T315" s="61">
        <v>2398</v>
      </c>
      <c r="U315" s="61">
        <v>2649</v>
      </c>
      <c r="V315" s="61">
        <v>1</v>
      </c>
      <c r="W315" s="61">
        <v>353</v>
      </c>
      <c r="X315" s="61">
        <v>514</v>
      </c>
      <c r="Y315" s="61">
        <v>814</v>
      </c>
      <c r="Z315" s="61">
        <v>667</v>
      </c>
      <c r="AA315" s="61">
        <v>698</v>
      </c>
      <c r="AB315" s="61">
        <v>649</v>
      </c>
      <c r="AC315" s="61">
        <v>566</v>
      </c>
      <c r="AD315" s="61">
        <v>467</v>
      </c>
      <c r="AE315" s="61">
        <v>253</v>
      </c>
      <c r="AF315" s="61">
        <v>67</v>
      </c>
      <c r="AG315" s="61"/>
      <c r="AH315" s="61">
        <v>46</v>
      </c>
      <c r="AI315" s="61">
        <v>30</v>
      </c>
      <c r="AJ315" s="61">
        <v>191</v>
      </c>
      <c r="AK315" s="61">
        <v>80</v>
      </c>
      <c r="AL315" s="61">
        <v>45</v>
      </c>
      <c r="AM315" s="61">
        <v>31</v>
      </c>
      <c r="AN315" s="61">
        <v>4625</v>
      </c>
      <c r="AO315" s="61">
        <v>189</v>
      </c>
      <c r="AP315" s="61">
        <v>26</v>
      </c>
      <c r="AQ315" s="61">
        <v>3</v>
      </c>
      <c r="AR315" s="61"/>
      <c r="AS315" s="61"/>
      <c r="AT315" s="61"/>
      <c r="AU315" s="61"/>
      <c r="AV315" s="61"/>
      <c r="AW315" s="61"/>
      <c r="AX315" s="61">
        <v>1</v>
      </c>
      <c r="AY315" s="61">
        <v>4560</v>
      </c>
      <c r="AZ315" s="61">
        <v>1</v>
      </c>
      <c r="BA315" s="61"/>
      <c r="BB315" s="61">
        <v>229</v>
      </c>
      <c r="BC315" s="61">
        <v>27</v>
      </c>
      <c r="BD315" s="61">
        <v>289</v>
      </c>
      <c r="BE315" s="61">
        <v>1231</v>
      </c>
      <c r="BF315" s="61">
        <v>154</v>
      </c>
      <c r="BG315" s="61">
        <v>2989</v>
      </c>
      <c r="BH315" s="61">
        <v>385</v>
      </c>
      <c r="BI315" s="61"/>
      <c r="BJ315" s="61">
        <v>5048</v>
      </c>
      <c r="BK315" s="61">
        <v>14</v>
      </c>
      <c r="BL315" s="61">
        <v>5020</v>
      </c>
      <c r="BM315" s="61">
        <v>14</v>
      </c>
      <c r="BN315" s="61">
        <v>150</v>
      </c>
      <c r="BO315" s="61">
        <v>157</v>
      </c>
      <c r="BP315" s="61"/>
      <c r="BQ315" s="61">
        <v>1</v>
      </c>
      <c r="BR315" s="61">
        <v>13</v>
      </c>
      <c r="BS315" s="61">
        <v>12</v>
      </c>
      <c r="BT315" s="61">
        <v>28</v>
      </c>
      <c r="BU315" s="61">
        <v>48</v>
      </c>
      <c r="BV315" s="61">
        <v>58</v>
      </c>
      <c r="BW315" s="61">
        <v>75</v>
      </c>
      <c r="BX315" s="61">
        <v>72</v>
      </c>
      <c r="BY315" s="61"/>
      <c r="BZ315" s="61"/>
      <c r="CA315" s="61"/>
      <c r="CB315" s="61">
        <v>1</v>
      </c>
      <c r="CC315" s="61">
        <v>1</v>
      </c>
      <c r="CD315" s="61">
        <v>4</v>
      </c>
      <c r="CE315" s="61">
        <v>1</v>
      </c>
      <c r="CF315" s="61">
        <v>1</v>
      </c>
      <c r="CG315" s="61">
        <v>297</v>
      </c>
      <c r="CH315" s="61">
        <v>2</v>
      </c>
      <c r="CI315" s="61">
        <v>38</v>
      </c>
      <c r="CJ315" s="61">
        <v>7</v>
      </c>
      <c r="CK315" s="61">
        <v>14</v>
      </c>
      <c r="CL315" s="61"/>
      <c r="CM315" s="61"/>
      <c r="CN315" s="61"/>
      <c r="CO315" s="61"/>
      <c r="CP315" s="61">
        <v>203</v>
      </c>
      <c r="CQ315" s="61">
        <v>41</v>
      </c>
      <c r="CR315" s="61"/>
      <c r="CS315" s="61"/>
      <c r="CT315" s="61"/>
      <c r="CU315" s="61"/>
      <c r="CV315" s="61">
        <v>4</v>
      </c>
      <c r="CW315" s="61"/>
      <c r="CX315" s="61">
        <v>21</v>
      </c>
      <c r="CY315" s="61">
        <v>193</v>
      </c>
      <c r="CZ315" s="61">
        <v>7</v>
      </c>
      <c r="DA315" s="61">
        <v>23</v>
      </c>
      <c r="DB315" s="61">
        <v>62</v>
      </c>
      <c r="DC315" s="61">
        <v>1</v>
      </c>
      <c r="DD315" s="61">
        <v>307</v>
      </c>
      <c r="DE315" s="61">
        <v>1</v>
      </c>
      <c r="DF315" s="61">
        <v>305</v>
      </c>
      <c r="DG315" s="61">
        <v>1</v>
      </c>
      <c r="DH315" s="62" t="s">
        <v>2185</v>
      </c>
      <c r="DI315" s="61">
        <v>51</v>
      </c>
      <c r="DJ315" s="61">
        <v>4</v>
      </c>
      <c r="DK315" s="61"/>
      <c r="DL315" s="61">
        <v>12</v>
      </c>
      <c r="DM315" s="61"/>
      <c r="DN315" s="61"/>
    </row>
    <row r="316" spans="1:118" x14ac:dyDescent="0.25">
      <c r="A316" s="61">
        <v>106540734</v>
      </c>
      <c r="B316" s="62" t="s">
        <v>1424</v>
      </c>
      <c r="C316" s="62" t="s">
        <v>1425</v>
      </c>
      <c r="D316" s="62" t="s">
        <v>1426</v>
      </c>
      <c r="E316" s="62" t="s">
        <v>94</v>
      </c>
      <c r="F316" s="62" t="s">
        <v>2213</v>
      </c>
      <c r="G316" s="62" t="s">
        <v>1427</v>
      </c>
      <c r="H316" s="62" t="s">
        <v>1428</v>
      </c>
      <c r="I316" s="62" t="s">
        <v>1429</v>
      </c>
      <c r="J316" s="62" t="s">
        <v>2191</v>
      </c>
      <c r="K316" s="62" t="s">
        <v>138</v>
      </c>
      <c r="L316" s="61">
        <v>22</v>
      </c>
      <c r="M316" s="61">
        <v>26</v>
      </c>
      <c r="N316" s="61">
        <v>16</v>
      </c>
      <c r="O316" s="62" t="s">
        <v>2010</v>
      </c>
      <c r="P316" s="62" t="s">
        <v>68</v>
      </c>
      <c r="Q316" s="62" t="s">
        <v>2167</v>
      </c>
      <c r="R316" s="62" t="s">
        <v>2167</v>
      </c>
      <c r="S316" s="62" t="s">
        <v>69</v>
      </c>
      <c r="T316" s="61">
        <v>40135</v>
      </c>
      <c r="U316" s="61">
        <v>32312</v>
      </c>
      <c r="V316" s="61"/>
      <c r="W316" s="61">
        <v>10608</v>
      </c>
      <c r="X316" s="61">
        <v>8589</v>
      </c>
      <c r="Y316" s="61">
        <v>12893</v>
      </c>
      <c r="Z316" s="61">
        <v>10906</v>
      </c>
      <c r="AA316" s="61">
        <v>8154</v>
      </c>
      <c r="AB316" s="61">
        <v>7359</v>
      </c>
      <c r="AC316" s="61">
        <v>4921</v>
      </c>
      <c r="AD316" s="61">
        <v>3324</v>
      </c>
      <c r="AE316" s="61">
        <v>2914</v>
      </c>
      <c r="AF316" s="61">
        <v>2779</v>
      </c>
      <c r="AG316" s="61"/>
      <c r="AH316" s="61">
        <v>323</v>
      </c>
      <c r="AI316" s="61">
        <v>513</v>
      </c>
      <c r="AJ316" s="61">
        <v>11235</v>
      </c>
      <c r="AK316" s="61">
        <v>31</v>
      </c>
      <c r="AL316" s="61">
        <v>1380</v>
      </c>
      <c r="AM316" s="61">
        <v>52648</v>
      </c>
      <c r="AN316" s="61">
        <v>6317</v>
      </c>
      <c r="AO316" s="61">
        <v>782</v>
      </c>
      <c r="AP316" s="61">
        <v>2078</v>
      </c>
      <c r="AQ316" s="61">
        <v>112</v>
      </c>
      <c r="AR316" s="61">
        <v>4</v>
      </c>
      <c r="AS316" s="61">
        <v>63</v>
      </c>
      <c r="AT316" s="61">
        <v>21</v>
      </c>
      <c r="AU316" s="61"/>
      <c r="AV316" s="61">
        <v>562</v>
      </c>
      <c r="AW316" s="61">
        <v>679</v>
      </c>
      <c r="AX316" s="61">
        <v>1</v>
      </c>
      <c r="AY316" s="61">
        <v>67506</v>
      </c>
      <c r="AZ316" s="61">
        <v>173</v>
      </c>
      <c r="BA316" s="61">
        <v>308</v>
      </c>
      <c r="BB316" s="61">
        <v>11</v>
      </c>
      <c r="BC316" s="61">
        <v>147</v>
      </c>
      <c r="BD316" s="61">
        <v>7040</v>
      </c>
      <c r="BE316" s="61">
        <v>9480</v>
      </c>
      <c r="BF316" s="61">
        <v>1529</v>
      </c>
      <c r="BG316" s="61">
        <v>54387</v>
      </c>
      <c r="BH316" s="61"/>
      <c r="BI316" s="61">
        <v>11</v>
      </c>
      <c r="BJ316" s="61">
        <v>72447</v>
      </c>
      <c r="BK316" s="61">
        <v>382</v>
      </c>
      <c r="BL316" s="61">
        <v>63032</v>
      </c>
      <c r="BM316" s="61">
        <v>9033</v>
      </c>
      <c r="BN316" s="61">
        <v>6482</v>
      </c>
      <c r="BO316" s="61">
        <v>6805</v>
      </c>
      <c r="BP316" s="61"/>
      <c r="BQ316" s="61">
        <v>229</v>
      </c>
      <c r="BR316" s="61">
        <v>771</v>
      </c>
      <c r="BS316" s="61">
        <v>1072</v>
      </c>
      <c r="BT316" s="61">
        <v>1354</v>
      </c>
      <c r="BU316" s="61">
        <v>2308</v>
      </c>
      <c r="BV316" s="61">
        <v>2504</v>
      </c>
      <c r="BW316" s="61">
        <v>2164</v>
      </c>
      <c r="BX316" s="61">
        <v>2477</v>
      </c>
      <c r="BY316" s="61">
        <v>200</v>
      </c>
      <c r="BZ316" s="61">
        <v>208</v>
      </c>
      <c r="CA316" s="61"/>
      <c r="CB316" s="61">
        <v>272</v>
      </c>
      <c r="CC316" s="61">
        <v>296</v>
      </c>
      <c r="CD316" s="61">
        <v>5420</v>
      </c>
      <c r="CE316" s="61">
        <v>819</v>
      </c>
      <c r="CF316" s="61">
        <v>64</v>
      </c>
      <c r="CG316" s="61">
        <v>6391</v>
      </c>
      <c r="CH316" s="61">
        <v>25</v>
      </c>
      <c r="CI316" s="61">
        <v>238</v>
      </c>
      <c r="CJ316" s="61">
        <v>140</v>
      </c>
      <c r="CK316" s="61">
        <v>570</v>
      </c>
      <c r="CL316" s="61">
        <v>1205</v>
      </c>
      <c r="CM316" s="61">
        <v>405</v>
      </c>
      <c r="CN316" s="61"/>
      <c r="CO316" s="61"/>
      <c r="CP316" s="61">
        <v>8741</v>
      </c>
      <c r="CQ316" s="61">
        <v>1629</v>
      </c>
      <c r="CR316" s="61">
        <v>34</v>
      </c>
      <c r="CS316" s="61">
        <v>195</v>
      </c>
      <c r="CT316" s="61">
        <v>94</v>
      </c>
      <c r="CU316" s="61">
        <v>19</v>
      </c>
      <c r="CV316" s="61"/>
      <c r="CW316" s="61">
        <v>17</v>
      </c>
      <c r="CX316" s="61">
        <v>4264</v>
      </c>
      <c r="CY316" s="61">
        <v>7044</v>
      </c>
      <c r="CZ316" s="61">
        <v>76</v>
      </c>
      <c r="DA316" s="61">
        <v>1772</v>
      </c>
      <c r="DB316" s="61">
        <v>131</v>
      </c>
      <c r="DC316" s="61"/>
      <c r="DD316" s="61">
        <v>13287</v>
      </c>
      <c r="DE316" s="61">
        <v>144</v>
      </c>
      <c r="DF316" s="61">
        <v>11510</v>
      </c>
      <c r="DG316" s="61">
        <v>1633</v>
      </c>
      <c r="DH316" s="62" t="s">
        <v>2185</v>
      </c>
      <c r="DI316" s="61">
        <v>581</v>
      </c>
      <c r="DJ316" s="61">
        <v>34</v>
      </c>
      <c r="DK316" s="61"/>
      <c r="DL316" s="61"/>
      <c r="DM316" s="61"/>
      <c r="DN316" s="61"/>
    </row>
    <row r="317" spans="1:118" x14ac:dyDescent="0.25">
      <c r="A317" s="61">
        <v>106540798</v>
      </c>
      <c r="B317" s="62" t="s">
        <v>1430</v>
      </c>
      <c r="C317" s="62" t="s">
        <v>1771</v>
      </c>
      <c r="D317" s="62" t="s">
        <v>1426</v>
      </c>
      <c r="E317" s="62" t="s">
        <v>94</v>
      </c>
      <c r="F317" s="62" t="s">
        <v>2213</v>
      </c>
      <c r="G317" s="62" t="s">
        <v>1431</v>
      </c>
      <c r="H317" s="62" t="s">
        <v>1432</v>
      </c>
      <c r="I317" s="62" t="s">
        <v>1433</v>
      </c>
      <c r="J317" s="62" t="s">
        <v>2187</v>
      </c>
      <c r="K317" s="62"/>
      <c r="L317" s="61">
        <v>23</v>
      </c>
      <c r="M317" s="61">
        <v>26</v>
      </c>
      <c r="N317" s="61">
        <v>14</v>
      </c>
      <c r="O317" s="62" t="s">
        <v>2011</v>
      </c>
      <c r="P317" s="62" t="s">
        <v>120</v>
      </c>
      <c r="Q317" s="62" t="s">
        <v>2167</v>
      </c>
      <c r="R317" s="62" t="s">
        <v>2167</v>
      </c>
      <c r="S317" s="62" t="s">
        <v>69</v>
      </c>
      <c r="T317" s="61">
        <v>23556</v>
      </c>
      <c r="U317" s="61">
        <v>18816</v>
      </c>
      <c r="V317" s="61">
        <v>1</v>
      </c>
      <c r="W317" s="61">
        <v>7812</v>
      </c>
      <c r="X317" s="61">
        <v>5684</v>
      </c>
      <c r="Y317" s="61">
        <v>6764</v>
      </c>
      <c r="Z317" s="61">
        <v>5824</v>
      </c>
      <c r="AA317" s="61">
        <v>4414</v>
      </c>
      <c r="AB317" s="61">
        <v>4235</v>
      </c>
      <c r="AC317" s="61">
        <v>2802</v>
      </c>
      <c r="AD317" s="61">
        <v>1651</v>
      </c>
      <c r="AE317" s="61">
        <v>1431</v>
      </c>
      <c r="AF317" s="61">
        <v>1756</v>
      </c>
      <c r="AG317" s="61"/>
      <c r="AH317" s="61">
        <v>532</v>
      </c>
      <c r="AI317" s="61">
        <v>449</v>
      </c>
      <c r="AJ317" s="61">
        <v>25495</v>
      </c>
      <c r="AK317" s="61">
        <v>701</v>
      </c>
      <c r="AL317" s="61">
        <v>1105</v>
      </c>
      <c r="AM317" s="61">
        <v>86</v>
      </c>
      <c r="AN317" s="61">
        <v>14005</v>
      </c>
      <c r="AO317" s="61">
        <v>298</v>
      </c>
      <c r="AP317" s="61">
        <v>2815</v>
      </c>
      <c r="AQ317" s="61">
        <v>63</v>
      </c>
      <c r="AR317" s="61">
        <v>17</v>
      </c>
      <c r="AS317" s="61">
        <v>4</v>
      </c>
      <c r="AT317" s="61">
        <v>5</v>
      </c>
      <c r="AU317" s="61"/>
      <c r="AV317" s="61">
        <v>180</v>
      </c>
      <c r="AW317" s="61">
        <v>102</v>
      </c>
      <c r="AX317" s="61">
        <v>3</v>
      </c>
      <c r="AY317" s="61">
        <v>38614</v>
      </c>
      <c r="AZ317" s="61">
        <v>113</v>
      </c>
      <c r="BA317" s="61">
        <v>107</v>
      </c>
      <c r="BB317" s="61">
        <v>6</v>
      </c>
      <c r="BC317" s="61">
        <v>46</v>
      </c>
      <c r="BD317" s="61">
        <v>28553</v>
      </c>
      <c r="BE317" s="61">
        <v>5795</v>
      </c>
      <c r="BF317" s="61">
        <v>595</v>
      </c>
      <c r="BG317" s="61">
        <v>5324</v>
      </c>
      <c r="BH317" s="61">
        <v>2106</v>
      </c>
      <c r="BI317" s="61"/>
      <c r="BJ317" s="61">
        <v>42373</v>
      </c>
      <c r="BK317" s="61">
        <v>189</v>
      </c>
      <c r="BL317" s="61">
        <v>34089</v>
      </c>
      <c r="BM317" s="61">
        <v>8095</v>
      </c>
      <c r="BN317" s="61">
        <v>1984</v>
      </c>
      <c r="BO317" s="61">
        <v>1963</v>
      </c>
      <c r="BP317" s="61"/>
      <c r="BQ317" s="61">
        <v>71</v>
      </c>
      <c r="BR317" s="61">
        <v>212</v>
      </c>
      <c r="BS317" s="61">
        <v>269</v>
      </c>
      <c r="BT317" s="61">
        <v>375</v>
      </c>
      <c r="BU317" s="61">
        <v>596</v>
      </c>
      <c r="BV317" s="61">
        <v>745</v>
      </c>
      <c r="BW317" s="61">
        <v>703</v>
      </c>
      <c r="BX317" s="61">
        <v>777</v>
      </c>
      <c r="BY317" s="61">
        <v>103</v>
      </c>
      <c r="BZ317" s="61">
        <v>96</v>
      </c>
      <c r="CA317" s="61"/>
      <c r="CB317" s="61">
        <v>69</v>
      </c>
      <c r="CC317" s="61">
        <v>33</v>
      </c>
      <c r="CD317" s="61">
        <v>1699</v>
      </c>
      <c r="CE317" s="61">
        <v>31</v>
      </c>
      <c r="CF317" s="61">
        <v>3</v>
      </c>
      <c r="CG317" s="61">
        <v>2035</v>
      </c>
      <c r="CH317" s="61">
        <v>77</v>
      </c>
      <c r="CI317" s="61">
        <v>133</v>
      </c>
      <c r="CJ317" s="61">
        <v>74</v>
      </c>
      <c r="CK317" s="61">
        <v>173</v>
      </c>
      <c r="CL317" s="61">
        <v>185</v>
      </c>
      <c r="CM317" s="61"/>
      <c r="CN317" s="61"/>
      <c r="CO317" s="61">
        <v>8</v>
      </c>
      <c r="CP317" s="61">
        <v>2584</v>
      </c>
      <c r="CQ317" s="61">
        <v>729</v>
      </c>
      <c r="CR317" s="61"/>
      <c r="CS317" s="61">
        <v>54</v>
      </c>
      <c r="CT317" s="61"/>
      <c r="CU317" s="61">
        <v>4</v>
      </c>
      <c r="CV317" s="61"/>
      <c r="CW317" s="61">
        <v>3</v>
      </c>
      <c r="CX317" s="61">
        <v>1346</v>
      </c>
      <c r="CY317" s="61">
        <v>2198</v>
      </c>
      <c r="CZ317" s="61">
        <v>27</v>
      </c>
      <c r="DA317" s="61">
        <v>358</v>
      </c>
      <c r="DB317" s="61">
        <v>18</v>
      </c>
      <c r="DC317" s="61"/>
      <c r="DD317" s="61">
        <v>3947</v>
      </c>
      <c r="DE317" s="61">
        <v>36</v>
      </c>
      <c r="DF317" s="61">
        <v>3222</v>
      </c>
      <c r="DG317" s="61">
        <v>689</v>
      </c>
      <c r="DH317" s="62" t="s">
        <v>2185</v>
      </c>
      <c r="DI317" s="61">
        <v>167</v>
      </c>
      <c r="DJ317" s="61">
        <v>22</v>
      </c>
      <c r="DK317" s="61"/>
      <c r="DL317" s="61"/>
      <c r="DM317" s="61"/>
      <c r="DN317" s="61"/>
    </row>
    <row r="318" spans="1:118" x14ac:dyDescent="0.25">
      <c r="A318" s="61">
        <v>106540816</v>
      </c>
      <c r="B318" s="62" t="s">
        <v>1434</v>
      </c>
      <c r="C318" s="62" t="s">
        <v>1435</v>
      </c>
      <c r="D318" s="62" t="s">
        <v>1426</v>
      </c>
      <c r="E318" s="62" t="s">
        <v>94</v>
      </c>
      <c r="F318" s="62" t="s">
        <v>2213</v>
      </c>
      <c r="G318" s="62" t="s">
        <v>2112</v>
      </c>
      <c r="H318" s="62" t="s">
        <v>1426</v>
      </c>
      <c r="I318" s="62" t="s">
        <v>1436</v>
      </c>
      <c r="J318" s="62" t="s">
        <v>2189</v>
      </c>
      <c r="K318" s="62"/>
      <c r="L318" s="61">
        <v>22</v>
      </c>
      <c r="M318" s="61">
        <v>26</v>
      </c>
      <c r="N318" s="61">
        <v>16</v>
      </c>
      <c r="O318" s="62" t="s">
        <v>2012</v>
      </c>
      <c r="P318" s="62" t="s">
        <v>120</v>
      </c>
      <c r="Q318" s="62" t="s">
        <v>2167</v>
      </c>
      <c r="R318" s="62" t="s">
        <v>2167</v>
      </c>
      <c r="S318" s="62" t="s">
        <v>69</v>
      </c>
      <c r="T318" s="61">
        <v>16816</v>
      </c>
      <c r="U318" s="61">
        <v>12563</v>
      </c>
      <c r="V318" s="61"/>
      <c r="W318" s="61">
        <v>4823</v>
      </c>
      <c r="X318" s="61">
        <v>4113</v>
      </c>
      <c r="Y318" s="61">
        <v>5354</v>
      </c>
      <c r="Z318" s="61">
        <v>4512</v>
      </c>
      <c r="AA318" s="61">
        <v>3556</v>
      </c>
      <c r="AB318" s="61">
        <v>2944</v>
      </c>
      <c r="AC318" s="61">
        <v>1554</v>
      </c>
      <c r="AD318" s="61">
        <v>806</v>
      </c>
      <c r="AE318" s="61">
        <v>736</v>
      </c>
      <c r="AF318" s="61">
        <v>981</v>
      </c>
      <c r="AG318" s="61"/>
      <c r="AH318" s="61">
        <v>215</v>
      </c>
      <c r="AI318" s="61">
        <v>1289</v>
      </c>
      <c r="AJ318" s="61">
        <v>17604</v>
      </c>
      <c r="AK318" s="61">
        <v>881</v>
      </c>
      <c r="AL318" s="61">
        <v>294</v>
      </c>
      <c r="AM318" s="61">
        <v>27</v>
      </c>
      <c r="AN318" s="61">
        <v>9069</v>
      </c>
      <c r="AO318" s="61">
        <v>243</v>
      </c>
      <c r="AP318" s="61">
        <v>188</v>
      </c>
      <c r="AQ318" s="61">
        <v>58</v>
      </c>
      <c r="AR318" s="61"/>
      <c r="AS318" s="61"/>
      <c r="AT318" s="61">
        <v>1</v>
      </c>
      <c r="AU318" s="61"/>
      <c r="AV318" s="61"/>
      <c r="AW318" s="61">
        <v>37</v>
      </c>
      <c r="AX318" s="61">
        <v>76</v>
      </c>
      <c r="AY318" s="61">
        <v>28484</v>
      </c>
      <c r="AZ318" s="61">
        <v>147</v>
      </c>
      <c r="BA318" s="61"/>
      <c r="BB318" s="61"/>
      <c r="BC318" s="61">
        <v>145</v>
      </c>
      <c r="BD318" s="61">
        <v>20547</v>
      </c>
      <c r="BE318" s="61">
        <v>3101</v>
      </c>
      <c r="BF318" s="61">
        <v>474</v>
      </c>
      <c r="BG318" s="61">
        <v>3396</v>
      </c>
      <c r="BH318" s="61">
        <v>1861</v>
      </c>
      <c r="BI318" s="61"/>
      <c r="BJ318" s="61">
        <v>29379</v>
      </c>
      <c r="BK318" s="61">
        <v>181</v>
      </c>
      <c r="BL318" s="61">
        <v>25884</v>
      </c>
      <c r="BM318" s="61">
        <v>3314</v>
      </c>
      <c r="BN318" s="61">
        <v>1211</v>
      </c>
      <c r="BO318" s="61">
        <v>1027</v>
      </c>
      <c r="BP318" s="61"/>
      <c r="BQ318" s="61">
        <v>47</v>
      </c>
      <c r="BR318" s="61">
        <v>142</v>
      </c>
      <c r="BS318" s="61">
        <v>211</v>
      </c>
      <c r="BT318" s="61">
        <v>254</v>
      </c>
      <c r="BU318" s="61">
        <v>406</v>
      </c>
      <c r="BV318" s="61">
        <v>388</v>
      </c>
      <c r="BW318" s="61">
        <v>299</v>
      </c>
      <c r="BX318" s="61">
        <v>449</v>
      </c>
      <c r="BY318" s="61">
        <v>21</v>
      </c>
      <c r="BZ318" s="61">
        <v>21</v>
      </c>
      <c r="CA318" s="61"/>
      <c r="CB318" s="61">
        <v>30</v>
      </c>
      <c r="CC318" s="61">
        <v>74</v>
      </c>
      <c r="CD318" s="61">
        <v>1024</v>
      </c>
      <c r="CE318" s="61">
        <v>28</v>
      </c>
      <c r="CF318" s="61"/>
      <c r="CG318" s="61">
        <v>1007</v>
      </c>
      <c r="CH318" s="61">
        <v>75</v>
      </c>
      <c r="CI318" s="61">
        <v>119</v>
      </c>
      <c r="CJ318" s="61">
        <v>47</v>
      </c>
      <c r="CK318" s="61">
        <v>79</v>
      </c>
      <c r="CL318" s="61">
        <v>105</v>
      </c>
      <c r="CM318" s="61">
        <v>7</v>
      </c>
      <c r="CN318" s="61"/>
      <c r="CO318" s="61"/>
      <c r="CP318" s="61">
        <v>1478</v>
      </c>
      <c r="CQ318" s="61">
        <v>367</v>
      </c>
      <c r="CR318" s="61"/>
      <c r="CS318" s="61">
        <v>32</v>
      </c>
      <c r="CT318" s="61">
        <v>2</v>
      </c>
      <c r="CU318" s="61"/>
      <c r="CV318" s="61"/>
      <c r="CW318" s="61">
        <v>2</v>
      </c>
      <c r="CX318" s="61">
        <v>869</v>
      </c>
      <c r="CY318" s="61">
        <v>1095</v>
      </c>
      <c r="CZ318" s="61">
        <v>12</v>
      </c>
      <c r="DA318" s="61">
        <v>228</v>
      </c>
      <c r="DB318" s="61">
        <v>34</v>
      </c>
      <c r="DC318" s="61"/>
      <c r="DD318" s="61">
        <v>2238</v>
      </c>
      <c r="DE318" s="61">
        <v>60</v>
      </c>
      <c r="DF318" s="61">
        <v>1907</v>
      </c>
      <c r="DG318" s="61">
        <v>271</v>
      </c>
      <c r="DH318" s="62" t="s">
        <v>2185</v>
      </c>
      <c r="DI318" s="61">
        <v>112</v>
      </c>
      <c r="DJ318" s="61">
        <v>12</v>
      </c>
      <c r="DK318" s="61"/>
      <c r="DL318" s="61"/>
      <c r="DM318" s="61"/>
      <c r="DN318" s="61"/>
    </row>
    <row r="319" spans="1:118" x14ac:dyDescent="0.25">
      <c r="A319" s="61">
        <v>106554011</v>
      </c>
      <c r="B319" s="62" t="s">
        <v>1437</v>
      </c>
      <c r="C319" s="62" t="s">
        <v>1438</v>
      </c>
      <c r="D319" s="62" t="s">
        <v>1439</v>
      </c>
      <c r="E319" s="62" t="s">
        <v>71</v>
      </c>
      <c r="F319" s="62" t="s">
        <v>2213</v>
      </c>
      <c r="G319" s="62" t="s">
        <v>2113</v>
      </c>
      <c r="H319" s="62" t="s">
        <v>2114</v>
      </c>
      <c r="I319" s="62" t="s">
        <v>1440</v>
      </c>
      <c r="J319" s="62" t="s">
        <v>2189</v>
      </c>
      <c r="K319" s="62"/>
      <c r="L319" s="61">
        <v>4</v>
      </c>
      <c r="M319" s="61">
        <v>5</v>
      </c>
      <c r="N319" s="61">
        <v>8</v>
      </c>
      <c r="O319" s="62" t="s">
        <v>2013</v>
      </c>
      <c r="P319" s="62" t="s">
        <v>120</v>
      </c>
      <c r="Q319" s="62" t="s">
        <v>120</v>
      </c>
      <c r="R319" s="62" t="s">
        <v>2167</v>
      </c>
      <c r="S319" s="62" t="s">
        <v>69</v>
      </c>
      <c r="T319" s="61">
        <v>16664</v>
      </c>
      <c r="U319" s="61">
        <v>13482</v>
      </c>
      <c r="V319" s="61"/>
      <c r="W319" s="61">
        <v>2412</v>
      </c>
      <c r="X319" s="61">
        <v>2622</v>
      </c>
      <c r="Y319" s="61">
        <v>4243</v>
      </c>
      <c r="Z319" s="61">
        <v>3541</v>
      </c>
      <c r="AA319" s="61">
        <v>3165</v>
      </c>
      <c r="AB319" s="61">
        <v>4184</v>
      </c>
      <c r="AC319" s="61">
        <v>3847</v>
      </c>
      <c r="AD319" s="61">
        <v>2974</v>
      </c>
      <c r="AE319" s="61">
        <v>2691</v>
      </c>
      <c r="AF319" s="61">
        <v>467</v>
      </c>
      <c r="AG319" s="61"/>
      <c r="AH319" s="61">
        <v>141</v>
      </c>
      <c r="AI319" s="61">
        <v>241</v>
      </c>
      <c r="AJ319" s="61">
        <v>1618</v>
      </c>
      <c r="AK319" s="61">
        <v>72</v>
      </c>
      <c r="AL319" s="61">
        <v>364</v>
      </c>
      <c r="AM319" s="61">
        <v>114</v>
      </c>
      <c r="AN319" s="61">
        <v>27596</v>
      </c>
      <c r="AO319" s="61">
        <v>1002</v>
      </c>
      <c r="AP319" s="61">
        <v>483</v>
      </c>
      <c r="AQ319" s="61">
        <v>39</v>
      </c>
      <c r="AR319" s="61">
        <v>79</v>
      </c>
      <c r="AS319" s="61">
        <v>7</v>
      </c>
      <c r="AT319" s="61">
        <v>1</v>
      </c>
      <c r="AU319" s="61"/>
      <c r="AV319" s="61">
        <v>196</v>
      </c>
      <c r="AW319" s="61">
        <v>148</v>
      </c>
      <c r="AX319" s="61"/>
      <c r="AY319" s="61">
        <v>28143</v>
      </c>
      <c r="AZ319" s="61">
        <v>38</v>
      </c>
      <c r="BA319" s="61"/>
      <c r="BB319" s="61"/>
      <c r="BC319" s="61">
        <v>7</v>
      </c>
      <c r="BD319" s="61">
        <v>11748</v>
      </c>
      <c r="BE319" s="61">
        <v>9404</v>
      </c>
      <c r="BF319" s="61">
        <v>1354</v>
      </c>
      <c r="BG319" s="61">
        <v>6424</v>
      </c>
      <c r="BH319" s="61">
        <v>1216</v>
      </c>
      <c r="BI319" s="61"/>
      <c r="BJ319" s="61">
        <v>30146</v>
      </c>
      <c r="BK319" s="61">
        <v>54</v>
      </c>
      <c r="BL319" s="61">
        <v>29929</v>
      </c>
      <c r="BM319" s="61">
        <v>163</v>
      </c>
      <c r="BN319" s="61">
        <v>1784</v>
      </c>
      <c r="BO319" s="61">
        <v>1613</v>
      </c>
      <c r="BP319" s="61"/>
      <c r="BQ319" s="61">
        <v>33</v>
      </c>
      <c r="BR319" s="61">
        <v>138</v>
      </c>
      <c r="BS319" s="61">
        <v>139</v>
      </c>
      <c r="BT319" s="61">
        <v>221</v>
      </c>
      <c r="BU319" s="61">
        <v>508</v>
      </c>
      <c r="BV319" s="61">
        <v>688</v>
      </c>
      <c r="BW319" s="61">
        <v>729</v>
      </c>
      <c r="BX319" s="61">
        <v>919</v>
      </c>
      <c r="BY319" s="61">
        <v>5</v>
      </c>
      <c r="BZ319" s="61">
        <v>17</v>
      </c>
      <c r="CA319" s="61"/>
      <c r="CB319" s="61">
        <v>11</v>
      </c>
      <c r="CC319" s="61">
        <v>16</v>
      </c>
      <c r="CD319" s="61">
        <v>67</v>
      </c>
      <c r="CE319" s="61">
        <v>21</v>
      </c>
      <c r="CF319" s="61">
        <v>6</v>
      </c>
      <c r="CG319" s="61">
        <v>3270</v>
      </c>
      <c r="CH319" s="61">
        <v>6</v>
      </c>
      <c r="CI319" s="61">
        <v>159</v>
      </c>
      <c r="CJ319" s="61">
        <v>74</v>
      </c>
      <c r="CK319" s="61">
        <v>114</v>
      </c>
      <c r="CL319" s="61">
        <v>680</v>
      </c>
      <c r="CM319" s="61">
        <v>5</v>
      </c>
      <c r="CN319" s="61"/>
      <c r="CO319" s="61"/>
      <c r="CP319" s="61">
        <v>1833</v>
      </c>
      <c r="CQ319" s="61">
        <v>497</v>
      </c>
      <c r="CR319" s="61">
        <v>6</v>
      </c>
      <c r="CS319" s="61">
        <v>19</v>
      </c>
      <c r="CT319" s="61">
        <v>3</v>
      </c>
      <c r="CU319" s="61"/>
      <c r="CV319" s="61"/>
      <c r="CW319" s="61"/>
      <c r="CX319" s="61">
        <v>623</v>
      </c>
      <c r="CY319" s="61">
        <v>2256</v>
      </c>
      <c r="CZ319" s="61">
        <v>100</v>
      </c>
      <c r="DA319" s="61">
        <v>407</v>
      </c>
      <c r="DB319" s="61">
        <v>11</v>
      </c>
      <c r="DC319" s="61"/>
      <c r="DD319" s="61">
        <v>3397</v>
      </c>
      <c r="DE319" s="61">
        <v>3</v>
      </c>
      <c r="DF319" s="61">
        <v>3381</v>
      </c>
      <c r="DG319" s="61">
        <v>13</v>
      </c>
      <c r="DH319" s="62" t="s">
        <v>2185</v>
      </c>
      <c r="DI319" s="61">
        <v>140</v>
      </c>
      <c r="DJ319" s="61">
        <v>14</v>
      </c>
      <c r="DK319" s="61">
        <v>2</v>
      </c>
      <c r="DL319" s="61">
        <v>1</v>
      </c>
      <c r="DM319" s="61"/>
      <c r="DN319" s="61">
        <v>7</v>
      </c>
    </row>
    <row r="320" spans="1:118" x14ac:dyDescent="0.25">
      <c r="A320" s="61">
        <v>106560473</v>
      </c>
      <c r="B320" s="62" t="s">
        <v>1441</v>
      </c>
      <c r="C320" s="62" t="s">
        <v>1442</v>
      </c>
      <c r="D320" s="62" t="s">
        <v>1443</v>
      </c>
      <c r="E320" s="62" t="s">
        <v>71</v>
      </c>
      <c r="F320" s="62" t="s">
        <v>2213</v>
      </c>
      <c r="G320" s="62" t="s">
        <v>1444</v>
      </c>
      <c r="H320" s="62" t="s">
        <v>1443</v>
      </c>
      <c r="I320" s="62" t="s">
        <v>1445</v>
      </c>
      <c r="J320" s="62" t="s">
        <v>2184</v>
      </c>
      <c r="K320" s="62"/>
      <c r="L320" s="61">
        <v>26</v>
      </c>
      <c r="M320" s="61">
        <v>37</v>
      </c>
      <c r="N320" s="61">
        <v>19</v>
      </c>
      <c r="O320" s="62" t="s">
        <v>2014</v>
      </c>
      <c r="P320" s="62" t="s">
        <v>68</v>
      </c>
      <c r="Q320" s="62" t="s">
        <v>2167</v>
      </c>
      <c r="R320" s="62" t="s">
        <v>2167</v>
      </c>
      <c r="S320" s="62" t="s">
        <v>69</v>
      </c>
      <c r="T320" s="61">
        <v>23386</v>
      </c>
      <c r="U320" s="61">
        <v>17243</v>
      </c>
      <c r="V320" s="61">
        <v>2</v>
      </c>
      <c r="W320" s="61">
        <v>5634</v>
      </c>
      <c r="X320" s="61">
        <v>4097</v>
      </c>
      <c r="Y320" s="61">
        <v>6270</v>
      </c>
      <c r="Z320" s="61">
        <v>5377</v>
      </c>
      <c r="AA320" s="61">
        <v>4497</v>
      </c>
      <c r="AB320" s="61">
        <v>4613</v>
      </c>
      <c r="AC320" s="61">
        <v>3286</v>
      </c>
      <c r="AD320" s="61">
        <v>2479</v>
      </c>
      <c r="AE320" s="61">
        <v>2892</v>
      </c>
      <c r="AF320" s="61">
        <v>1486</v>
      </c>
      <c r="AG320" s="61"/>
      <c r="AH320" s="61">
        <v>547</v>
      </c>
      <c r="AI320" s="61">
        <v>981</v>
      </c>
      <c r="AJ320" s="61">
        <v>16224</v>
      </c>
      <c r="AK320" s="61">
        <v>10</v>
      </c>
      <c r="AL320" s="61">
        <v>140</v>
      </c>
      <c r="AM320" s="61">
        <v>23</v>
      </c>
      <c r="AN320" s="61">
        <v>22706</v>
      </c>
      <c r="AO320" s="61">
        <v>188</v>
      </c>
      <c r="AP320" s="61">
        <v>1605</v>
      </c>
      <c r="AQ320" s="61">
        <v>53</v>
      </c>
      <c r="AR320" s="61">
        <v>202</v>
      </c>
      <c r="AS320" s="61">
        <v>50</v>
      </c>
      <c r="AT320" s="61">
        <v>1</v>
      </c>
      <c r="AU320" s="61"/>
      <c r="AV320" s="61">
        <v>1</v>
      </c>
      <c r="AW320" s="61">
        <v>102</v>
      </c>
      <c r="AX320" s="61">
        <v>8</v>
      </c>
      <c r="AY320" s="61">
        <v>38282</v>
      </c>
      <c r="AZ320" s="61">
        <v>133</v>
      </c>
      <c r="BA320" s="61">
        <v>3</v>
      </c>
      <c r="BB320" s="61"/>
      <c r="BC320" s="61"/>
      <c r="BD320" s="61">
        <v>14654</v>
      </c>
      <c r="BE320" s="61">
        <v>7379</v>
      </c>
      <c r="BF320" s="61">
        <v>1336</v>
      </c>
      <c r="BG320" s="61">
        <v>15023</v>
      </c>
      <c r="BH320" s="61">
        <v>2239</v>
      </c>
      <c r="BI320" s="61"/>
      <c r="BJ320" s="61">
        <v>40631</v>
      </c>
      <c r="BK320" s="61">
        <v>50</v>
      </c>
      <c r="BL320" s="61">
        <v>37533</v>
      </c>
      <c r="BM320" s="61">
        <v>3048</v>
      </c>
      <c r="BN320" s="61">
        <v>3102</v>
      </c>
      <c r="BO320" s="61">
        <v>2857</v>
      </c>
      <c r="BP320" s="61"/>
      <c r="BQ320" s="61">
        <v>62</v>
      </c>
      <c r="BR320" s="61">
        <v>282</v>
      </c>
      <c r="BS320" s="61">
        <v>311</v>
      </c>
      <c r="BT320" s="61">
        <v>497</v>
      </c>
      <c r="BU320" s="61">
        <v>783</v>
      </c>
      <c r="BV320" s="61">
        <v>1049</v>
      </c>
      <c r="BW320" s="61">
        <v>1144</v>
      </c>
      <c r="BX320" s="61">
        <v>1703</v>
      </c>
      <c r="BY320" s="61">
        <v>57</v>
      </c>
      <c r="BZ320" s="61">
        <v>71</v>
      </c>
      <c r="CA320" s="61"/>
      <c r="CB320" s="61">
        <v>95</v>
      </c>
      <c r="CC320" s="61">
        <v>124</v>
      </c>
      <c r="CD320" s="61">
        <v>1519</v>
      </c>
      <c r="CE320" s="61">
        <v>16</v>
      </c>
      <c r="CF320" s="61"/>
      <c r="CG320" s="61">
        <v>4205</v>
      </c>
      <c r="CH320" s="61"/>
      <c r="CI320" s="61">
        <v>61</v>
      </c>
      <c r="CJ320" s="61">
        <v>950</v>
      </c>
      <c r="CK320" s="61">
        <v>106</v>
      </c>
      <c r="CL320" s="61">
        <v>912</v>
      </c>
      <c r="CM320" s="61"/>
      <c r="CN320" s="61"/>
      <c r="CO320" s="61"/>
      <c r="CP320" s="61">
        <v>3075</v>
      </c>
      <c r="CQ320" s="61"/>
      <c r="CR320" s="61"/>
      <c r="CS320" s="61"/>
      <c r="CT320" s="61"/>
      <c r="CU320" s="61">
        <v>53</v>
      </c>
      <c r="CV320" s="61"/>
      <c r="CW320" s="61"/>
      <c r="CX320" s="61">
        <v>776</v>
      </c>
      <c r="CY320" s="61">
        <v>3550</v>
      </c>
      <c r="CZ320" s="61">
        <v>43</v>
      </c>
      <c r="DA320" s="61">
        <v>1534</v>
      </c>
      <c r="DB320" s="61">
        <v>55</v>
      </c>
      <c r="DC320" s="61">
        <v>1</v>
      </c>
      <c r="DD320" s="61">
        <v>5959</v>
      </c>
      <c r="DE320" s="61">
        <v>10</v>
      </c>
      <c r="DF320" s="61">
        <v>5590</v>
      </c>
      <c r="DG320" s="61">
        <v>359</v>
      </c>
      <c r="DH320" s="62" t="s">
        <v>2185</v>
      </c>
      <c r="DI320" s="61">
        <v>242</v>
      </c>
      <c r="DJ320" s="61">
        <v>22</v>
      </c>
      <c r="DK320" s="61"/>
      <c r="DL320" s="61">
        <v>3</v>
      </c>
      <c r="DM320" s="61">
        <v>802</v>
      </c>
      <c r="DN320" s="61"/>
    </row>
    <row r="321" spans="1:118" x14ac:dyDescent="0.25">
      <c r="A321" s="61">
        <v>106560481</v>
      </c>
      <c r="B321" s="62" t="s">
        <v>1446</v>
      </c>
      <c r="C321" s="62" t="s">
        <v>1447</v>
      </c>
      <c r="D321" s="62" t="s">
        <v>1443</v>
      </c>
      <c r="E321" s="62" t="s">
        <v>100</v>
      </c>
      <c r="F321" s="62" t="s">
        <v>2213</v>
      </c>
      <c r="G321" s="62" t="s">
        <v>1448</v>
      </c>
      <c r="H321" s="62" t="s">
        <v>1443</v>
      </c>
      <c r="I321" s="62" t="s">
        <v>1445</v>
      </c>
      <c r="J321" s="62" t="s">
        <v>2184</v>
      </c>
      <c r="K321" s="62" t="s">
        <v>82</v>
      </c>
      <c r="L321" s="61">
        <v>26</v>
      </c>
      <c r="M321" s="61">
        <v>37</v>
      </c>
      <c r="N321" s="61">
        <v>19</v>
      </c>
      <c r="O321" s="62" t="s">
        <v>2014</v>
      </c>
      <c r="P321" s="62" t="s">
        <v>68</v>
      </c>
      <c r="Q321" s="62" t="s">
        <v>2167</v>
      </c>
      <c r="R321" s="62" t="s">
        <v>83</v>
      </c>
      <c r="S321" s="62" t="s">
        <v>69</v>
      </c>
      <c r="T321" s="61">
        <v>23346</v>
      </c>
      <c r="U321" s="61">
        <v>22509</v>
      </c>
      <c r="V321" s="61">
        <v>13</v>
      </c>
      <c r="W321" s="61">
        <v>6313</v>
      </c>
      <c r="X321" s="61">
        <v>5143</v>
      </c>
      <c r="Y321" s="61">
        <v>8067</v>
      </c>
      <c r="Z321" s="61">
        <v>7222</v>
      </c>
      <c r="AA321" s="61">
        <v>6070</v>
      </c>
      <c r="AB321" s="61">
        <v>5851</v>
      </c>
      <c r="AC321" s="61">
        <v>3436</v>
      </c>
      <c r="AD321" s="61">
        <v>1340</v>
      </c>
      <c r="AE321" s="61">
        <v>966</v>
      </c>
      <c r="AF321" s="61">
        <v>1454</v>
      </c>
      <c r="AG321" s="61">
        <v>6</v>
      </c>
      <c r="AH321" s="61">
        <v>536</v>
      </c>
      <c r="AI321" s="61">
        <v>1143</v>
      </c>
      <c r="AJ321" s="61">
        <v>28923</v>
      </c>
      <c r="AK321" s="61">
        <v>85</v>
      </c>
      <c r="AL321" s="61">
        <v>1373</v>
      </c>
      <c r="AM321" s="61">
        <v>183</v>
      </c>
      <c r="AN321" s="61">
        <v>13625</v>
      </c>
      <c r="AO321" s="61">
        <v>107</v>
      </c>
      <c r="AP321" s="61">
        <v>969</v>
      </c>
      <c r="AQ321" s="61">
        <v>31</v>
      </c>
      <c r="AR321" s="61">
        <v>86</v>
      </c>
      <c r="AS321" s="61">
        <v>6</v>
      </c>
      <c r="AT321" s="61">
        <v>40</v>
      </c>
      <c r="AU321" s="61"/>
      <c r="AV321" s="61">
        <v>1287</v>
      </c>
      <c r="AW321" s="61">
        <v>1389</v>
      </c>
      <c r="AX321" s="61">
        <v>32</v>
      </c>
      <c r="AY321" s="61">
        <v>40810</v>
      </c>
      <c r="AZ321" s="61">
        <v>792</v>
      </c>
      <c r="BA321" s="61"/>
      <c r="BB321" s="61">
        <v>91</v>
      </c>
      <c r="BC321" s="61">
        <v>226</v>
      </c>
      <c r="BD321" s="61">
        <v>26323</v>
      </c>
      <c r="BE321" s="61">
        <v>4638</v>
      </c>
      <c r="BF321" s="61">
        <v>1238</v>
      </c>
      <c r="BG321" s="61">
        <v>8430</v>
      </c>
      <c r="BH321" s="61">
        <v>5239</v>
      </c>
      <c r="BI321" s="61"/>
      <c r="BJ321" s="61">
        <v>45868</v>
      </c>
      <c r="BK321" s="61">
        <v>200</v>
      </c>
      <c r="BL321" s="61">
        <v>34466</v>
      </c>
      <c r="BM321" s="61">
        <v>11202</v>
      </c>
      <c r="BN321" s="61">
        <v>2081</v>
      </c>
      <c r="BO321" s="61">
        <v>2357</v>
      </c>
      <c r="BP321" s="61"/>
      <c r="BQ321" s="61">
        <v>158</v>
      </c>
      <c r="BR321" s="61">
        <v>462</v>
      </c>
      <c r="BS321" s="61">
        <v>491</v>
      </c>
      <c r="BT321" s="61">
        <v>589</v>
      </c>
      <c r="BU321" s="61">
        <v>894</v>
      </c>
      <c r="BV321" s="61">
        <v>714</v>
      </c>
      <c r="BW321" s="61">
        <v>434</v>
      </c>
      <c r="BX321" s="61">
        <v>480</v>
      </c>
      <c r="BY321" s="61">
        <v>94</v>
      </c>
      <c r="BZ321" s="61">
        <v>122</v>
      </c>
      <c r="CA321" s="61"/>
      <c r="CB321" s="61">
        <v>96</v>
      </c>
      <c r="CC321" s="61">
        <v>97</v>
      </c>
      <c r="CD321" s="61">
        <v>2353</v>
      </c>
      <c r="CE321" s="61">
        <v>67</v>
      </c>
      <c r="CF321" s="61">
        <v>11</v>
      </c>
      <c r="CG321" s="61">
        <v>1799</v>
      </c>
      <c r="CH321" s="61">
        <v>15</v>
      </c>
      <c r="CI321" s="61">
        <v>49</v>
      </c>
      <c r="CJ321" s="61">
        <v>75</v>
      </c>
      <c r="CK321" s="61">
        <v>108</v>
      </c>
      <c r="CL321" s="61">
        <v>136</v>
      </c>
      <c r="CM321" s="61">
        <v>37</v>
      </c>
      <c r="CN321" s="61"/>
      <c r="CO321" s="61">
        <v>20</v>
      </c>
      <c r="CP321" s="61">
        <v>3281</v>
      </c>
      <c r="CQ321" s="61">
        <v>491</v>
      </c>
      <c r="CR321" s="61">
        <v>40</v>
      </c>
      <c r="CS321" s="61">
        <v>47</v>
      </c>
      <c r="CT321" s="61">
        <v>38</v>
      </c>
      <c r="CU321" s="61"/>
      <c r="CV321" s="61">
        <v>12</v>
      </c>
      <c r="CW321" s="61">
        <v>104</v>
      </c>
      <c r="CX321" s="61">
        <v>2198</v>
      </c>
      <c r="CY321" s="61">
        <v>1294</v>
      </c>
      <c r="CZ321" s="61">
        <v>127</v>
      </c>
      <c r="DA321" s="61">
        <v>698</v>
      </c>
      <c r="DB321" s="61">
        <v>121</v>
      </c>
      <c r="DC321" s="61"/>
      <c r="DD321" s="61">
        <v>4438</v>
      </c>
      <c r="DE321" s="61">
        <v>26</v>
      </c>
      <c r="DF321" s="61">
        <v>3348</v>
      </c>
      <c r="DG321" s="61">
        <v>1064</v>
      </c>
      <c r="DH321" s="62" t="s">
        <v>2185</v>
      </c>
      <c r="DI321" s="61">
        <v>223</v>
      </c>
      <c r="DJ321" s="61">
        <v>20</v>
      </c>
      <c r="DK321" s="61">
        <v>2</v>
      </c>
      <c r="DL321" s="61"/>
      <c r="DM321" s="61"/>
      <c r="DN321" s="61"/>
    </row>
    <row r="322" spans="1:118" x14ac:dyDescent="0.25">
      <c r="A322" s="61">
        <v>106560492</v>
      </c>
      <c r="B322" s="62" t="s">
        <v>1449</v>
      </c>
      <c r="C322" s="62" t="s">
        <v>2115</v>
      </c>
      <c r="D322" s="62" t="s">
        <v>1443</v>
      </c>
      <c r="E322" s="62" t="s">
        <v>184</v>
      </c>
      <c r="F322" s="62" t="s">
        <v>2213</v>
      </c>
      <c r="G322" s="62" t="s">
        <v>1450</v>
      </c>
      <c r="H322" s="62" t="s">
        <v>1451</v>
      </c>
      <c r="I322" s="62" t="s">
        <v>1452</v>
      </c>
      <c r="J322" s="62" t="s">
        <v>2186</v>
      </c>
      <c r="K322" s="62" t="s">
        <v>82</v>
      </c>
      <c r="L322" s="61">
        <v>26</v>
      </c>
      <c r="M322" s="61">
        <v>44</v>
      </c>
      <c r="N322" s="61">
        <v>27</v>
      </c>
      <c r="O322" s="62" t="s">
        <v>2015</v>
      </c>
      <c r="P322" s="62" t="s">
        <v>68</v>
      </c>
      <c r="Q322" s="62" t="s">
        <v>2167</v>
      </c>
      <c r="R322" s="62" t="s">
        <v>2167</v>
      </c>
      <c r="S322" s="62" t="s">
        <v>69</v>
      </c>
      <c r="T322" s="61">
        <v>20809</v>
      </c>
      <c r="U322" s="61">
        <v>17299</v>
      </c>
      <c r="V322" s="61"/>
      <c r="W322" s="61">
        <v>3952</v>
      </c>
      <c r="X322" s="61">
        <v>4382</v>
      </c>
      <c r="Y322" s="61">
        <v>5580</v>
      </c>
      <c r="Z322" s="61">
        <v>4514</v>
      </c>
      <c r="AA322" s="61">
        <v>4538</v>
      </c>
      <c r="AB322" s="61">
        <v>4727</v>
      </c>
      <c r="AC322" s="61">
        <v>3435</v>
      </c>
      <c r="AD322" s="61">
        <v>2758</v>
      </c>
      <c r="AE322" s="61">
        <v>3474</v>
      </c>
      <c r="AF322" s="61">
        <v>748</v>
      </c>
      <c r="AG322" s="61"/>
      <c r="AH322" s="61">
        <v>1122</v>
      </c>
      <c r="AI322" s="61">
        <v>743</v>
      </c>
      <c r="AJ322" s="61">
        <v>7599</v>
      </c>
      <c r="AK322" s="61">
        <v>3</v>
      </c>
      <c r="AL322" s="61">
        <v>3722</v>
      </c>
      <c r="AM322" s="61">
        <v>26</v>
      </c>
      <c r="AN322" s="61">
        <v>24893</v>
      </c>
      <c r="AO322" s="61">
        <v>307</v>
      </c>
      <c r="AP322" s="61">
        <v>363</v>
      </c>
      <c r="AQ322" s="61">
        <v>47</v>
      </c>
      <c r="AR322" s="61">
        <v>2</v>
      </c>
      <c r="AS322" s="61">
        <v>3</v>
      </c>
      <c r="AT322" s="61">
        <v>9</v>
      </c>
      <c r="AU322" s="61"/>
      <c r="AV322" s="61">
        <v>380</v>
      </c>
      <c r="AW322" s="61">
        <v>132</v>
      </c>
      <c r="AX322" s="61">
        <v>4</v>
      </c>
      <c r="AY322" s="61">
        <v>36344</v>
      </c>
      <c r="AZ322" s="61">
        <v>45</v>
      </c>
      <c r="BA322" s="61">
        <v>3</v>
      </c>
      <c r="BB322" s="61"/>
      <c r="BC322" s="61">
        <v>464</v>
      </c>
      <c r="BD322" s="61">
        <v>3645</v>
      </c>
      <c r="BE322" s="61">
        <v>8215</v>
      </c>
      <c r="BF322" s="61">
        <v>5763</v>
      </c>
      <c r="BG322" s="61">
        <v>17620</v>
      </c>
      <c r="BH322" s="61">
        <v>2865</v>
      </c>
      <c r="BI322" s="61"/>
      <c r="BJ322" s="61">
        <v>38108</v>
      </c>
      <c r="BK322" s="61">
        <v>371</v>
      </c>
      <c r="BL322" s="61">
        <v>35929</v>
      </c>
      <c r="BM322" s="61">
        <v>1808</v>
      </c>
      <c r="BN322" s="61">
        <v>5989</v>
      </c>
      <c r="BO322" s="61">
        <v>4553</v>
      </c>
      <c r="BP322" s="61">
        <v>9</v>
      </c>
      <c r="BQ322" s="61">
        <v>172</v>
      </c>
      <c r="BR322" s="61">
        <v>764</v>
      </c>
      <c r="BS322" s="61">
        <v>1059</v>
      </c>
      <c r="BT322" s="61">
        <v>832</v>
      </c>
      <c r="BU322" s="61">
        <v>1260</v>
      </c>
      <c r="BV322" s="61">
        <v>1498</v>
      </c>
      <c r="BW322" s="61">
        <v>1763</v>
      </c>
      <c r="BX322" s="61">
        <v>3065</v>
      </c>
      <c r="BY322" s="61">
        <v>47</v>
      </c>
      <c r="BZ322" s="61">
        <v>91</v>
      </c>
      <c r="CA322" s="61"/>
      <c r="CB322" s="61">
        <v>436</v>
      </c>
      <c r="CC322" s="61">
        <v>139</v>
      </c>
      <c r="CD322" s="61">
        <v>1173</v>
      </c>
      <c r="CE322" s="61">
        <v>1050</v>
      </c>
      <c r="CF322" s="61">
        <v>3</v>
      </c>
      <c r="CG322" s="61">
        <v>7749</v>
      </c>
      <c r="CH322" s="61">
        <v>1</v>
      </c>
      <c r="CI322" s="61">
        <v>231</v>
      </c>
      <c r="CJ322" s="61">
        <v>115</v>
      </c>
      <c r="CK322" s="61">
        <v>344</v>
      </c>
      <c r="CL322" s="61">
        <v>890</v>
      </c>
      <c r="CM322" s="61">
        <v>415</v>
      </c>
      <c r="CN322" s="61"/>
      <c r="CO322" s="61">
        <v>26</v>
      </c>
      <c r="CP322" s="61">
        <v>6941</v>
      </c>
      <c r="CQ322" s="61">
        <v>1263</v>
      </c>
      <c r="CR322" s="61">
        <v>3</v>
      </c>
      <c r="CS322" s="61">
        <v>206</v>
      </c>
      <c r="CT322" s="61">
        <v>28</v>
      </c>
      <c r="CU322" s="61">
        <v>1</v>
      </c>
      <c r="CV322" s="61">
        <v>12</v>
      </c>
      <c r="CW322" s="61">
        <v>74</v>
      </c>
      <c r="CX322" s="61">
        <v>1282</v>
      </c>
      <c r="CY322" s="61">
        <v>5673</v>
      </c>
      <c r="CZ322" s="61">
        <v>392</v>
      </c>
      <c r="DA322" s="61">
        <v>3019</v>
      </c>
      <c r="DB322" s="61">
        <v>185</v>
      </c>
      <c r="DC322" s="61"/>
      <c r="DD322" s="61">
        <v>10551</v>
      </c>
      <c r="DE322" s="61">
        <v>210</v>
      </c>
      <c r="DF322" s="61">
        <v>9944</v>
      </c>
      <c r="DG322" s="61">
        <v>397</v>
      </c>
      <c r="DH322" s="62" t="s">
        <v>2185</v>
      </c>
      <c r="DI322" s="61">
        <v>321</v>
      </c>
      <c r="DJ322" s="61">
        <v>23</v>
      </c>
      <c r="DK322" s="61"/>
      <c r="DL322" s="61">
        <v>5</v>
      </c>
      <c r="DM322" s="61">
        <v>2</v>
      </c>
      <c r="DN322" s="61"/>
    </row>
    <row r="323" spans="1:118" x14ac:dyDescent="0.25">
      <c r="A323" s="61">
        <v>106560501</v>
      </c>
      <c r="B323" s="62" t="s">
        <v>1453</v>
      </c>
      <c r="C323" s="62" t="s">
        <v>1454</v>
      </c>
      <c r="D323" s="62" t="s">
        <v>1443</v>
      </c>
      <c r="E323" s="62" t="s">
        <v>71</v>
      </c>
      <c r="F323" s="62" t="s">
        <v>2213</v>
      </c>
      <c r="G323" s="62" t="s">
        <v>1455</v>
      </c>
      <c r="H323" s="62" t="s">
        <v>1456</v>
      </c>
      <c r="I323" s="62" t="s">
        <v>1457</v>
      </c>
      <c r="J323" s="62" t="s">
        <v>2188</v>
      </c>
      <c r="K323" s="62"/>
      <c r="L323" s="61">
        <v>26</v>
      </c>
      <c r="M323" s="61">
        <v>37</v>
      </c>
      <c r="N323" s="61">
        <v>19</v>
      </c>
      <c r="O323" s="62" t="s">
        <v>2016</v>
      </c>
      <c r="P323" s="62" t="s">
        <v>120</v>
      </c>
      <c r="Q323" s="62" t="s">
        <v>120</v>
      </c>
      <c r="R323" s="62" t="s">
        <v>2167</v>
      </c>
      <c r="S323" s="62" t="s">
        <v>127</v>
      </c>
      <c r="T323" s="61">
        <v>4496</v>
      </c>
      <c r="U323" s="61">
        <v>3828</v>
      </c>
      <c r="V323" s="61"/>
      <c r="W323" s="61">
        <v>798</v>
      </c>
      <c r="X323" s="61">
        <v>832</v>
      </c>
      <c r="Y323" s="61">
        <v>920</v>
      </c>
      <c r="Z323" s="61">
        <v>907</v>
      </c>
      <c r="AA323" s="61">
        <v>907</v>
      </c>
      <c r="AB323" s="61">
        <v>1176</v>
      </c>
      <c r="AC323" s="61">
        <v>1063</v>
      </c>
      <c r="AD323" s="61">
        <v>798</v>
      </c>
      <c r="AE323" s="61">
        <v>821</v>
      </c>
      <c r="AF323" s="61">
        <v>102</v>
      </c>
      <c r="AG323" s="61"/>
      <c r="AH323" s="61">
        <v>62</v>
      </c>
      <c r="AI323" s="61">
        <v>50</v>
      </c>
      <c r="AJ323" s="61">
        <v>1027</v>
      </c>
      <c r="AK323" s="61">
        <v>3</v>
      </c>
      <c r="AL323" s="61">
        <v>124</v>
      </c>
      <c r="AM323" s="61">
        <v>4</v>
      </c>
      <c r="AN323" s="61">
        <v>7054</v>
      </c>
      <c r="AO323" s="61">
        <v>286</v>
      </c>
      <c r="AP323" s="61">
        <v>238</v>
      </c>
      <c r="AQ323" s="61">
        <v>10</v>
      </c>
      <c r="AR323" s="61">
        <v>15</v>
      </c>
      <c r="AS323" s="61">
        <v>1</v>
      </c>
      <c r="AT323" s="61"/>
      <c r="AU323" s="61"/>
      <c r="AV323" s="61"/>
      <c r="AW323" s="61">
        <v>12</v>
      </c>
      <c r="AX323" s="61">
        <v>2</v>
      </c>
      <c r="AY323" s="61">
        <v>7680</v>
      </c>
      <c r="AZ323" s="61">
        <v>80</v>
      </c>
      <c r="BA323" s="61"/>
      <c r="BB323" s="61"/>
      <c r="BC323" s="61"/>
      <c r="BD323" s="61">
        <v>2625</v>
      </c>
      <c r="BE323" s="61">
        <v>2199</v>
      </c>
      <c r="BF323" s="61">
        <v>281</v>
      </c>
      <c r="BG323" s="61">
        <v>2587</v>
      </c>
      <c r="BH323" s="61">
        <v>632</v>
      </c>
      <c r="BI323" s="61"/>
      <c r="BJ323" s="61">
        <v>8324</v>
      </c>
      <c r="BK323" s="61">
        <v>7</v>
      </c>
      <c r="BL323" s="61">
        <v>7922</v>
      </c>
      <c r="BM323" s="61">
        <v>395</v>
      </c>
      <c r="BN323" s="61">
        <v>333</v>
      </c>
      <c r="BO323" s="61">
        <v>271</v>
      </c>
      <c r="BP323" s="61"/>
      <c r="BQ323" s="61">
        <v>3</v>
      </c>
      <c r="BR323" s="61">
        <v>23</v>
      </c>
      <c r="BS323" s="61">
        <v>30</v>
      </c>
      <c r="BT323" s="61">
        <v>34</v>
      </c>
      <c r="BU323" s="61">
        <v>58</v>
      </c>
      <c r="BV323" s="61">
        <v>112</v>
      </c>
      <c r="BW323" s="61">
        <v>134</v>
      </c>
      <c r="BX323" s="61">
        <v>208</v>
      </c>
      <c r="BY323" s="61"/>
      <c r="BZ323" s="61">
        <v>2</v>
      </c>
      <c r="CA323" s="61"/>
      <c r="CB323" s="61">
        <v>3</v>
      </c>
      <c r="CC323" s="61">
        <v>3</v>
      </c>
      <c r="CD323" s="61">
        <v>29</v>
      </c>
      <c r="CE323" s="61">
        <v>9</v>
      </c>
      <c r="CF323" s="61"/>
      <c r="CG323" s="61">
        <v>559</v>
      </c>
      <c r="CH323" s="61">
        <v>1</v>
      </c>
      <c r="CI323" s="61">
        <v>32</v>
      </c>
      <c r="CJ323" s="61">
        <v>56</v>
      </c>
      <c r="CK323" s="61">
        <v>26</v>
      </c>
      <c r="CL323" s="61">
        <v>110</v>
      </c>
      <c r="CM323" s="61"/>
      <c r="CN323" s="61"/>
      <c r="CO323" s="61">
        <v>72</v>
      </c>
      <c r="CP323" s="61">
        <v>302</v>
      </c>
      <c r="CQ323" s="61">
        <v>1</v>
      </c>
      <c r="CR323" s="61"/>
      <c r="CS323" s="61">
        <v>1</v>
      </c>
      <c r="CT323" s="61"/>
      <c r="CU323" s="61">
        <v>4</v>
      </c>
      <c r="CV323" s="61"/>
      <c r="CW323" s="61"/>
      <c r="CX323" s="61">
        <v>86</v>
      </c>
      <c r="CY323" s="61">
        <v>401</v>
      </c>
      <c r="CZ323" s="61"/>
      <c r="DA323" s="61">
        <v>108</v>
      </c>
      <c r="DB323" s="61">
        <v>9</v>
      </c>
      <c r="DC323" s="61"/>
      <c r="DD323" s="61">
        <v>604</v>
      </c>
      <c r="DE323" s="61"/>
      <c r="DF323" s="61">
        <v>586</v>
      </c>
      <c r="DG323" s="61">
        <v>18</v>
      </c>
      <c r="DH323" s="62" t="s">
        <v>2185</v>
      </c>
      <c r="DI323" s="61">
        <v>91</v>
      </c>
      <c r="DJ323" s="61">
        <v>6</v>
      </c>
      <c r="DK323" s="61"/>
      <c r="DL323" s="61"/>
      <c r="DM323" s="61"/>
      <c r="DN323" s="61"/>
    </row>
    <row r="324" spans="1:118" x14ac:dyDescent="0.25">
      <c r="A324" s="61">
        <v>106560508</v>
      </c>
      <c r="B324" s="62" t="s">
        <v>1458</v>
      </c>
      <c r="C324" s="62" t="s">
        <v>2116</v>
      </c>
      <c r="D324" s="62" t="s">
        <v>1443</v>
      </c>
      <c r="E324" s="62" t="s">
        <v>71</v>
      </c>
      <c r="F324" s="62" t="s">
        <v>2213</v>
      </c>
      <c r="G324" s="62" t="s">
        <v>1459</v>
      </c>
      <c r="H324" s="62" t="s">
        <v>1460</v>
      </c>
      <c r="I324" s="62" t="s">
        <v>1461</v>
      </c>
      <c r="J324" s="62" t="s">
        <v>2187</v>
      </c>
      <c r="K324" s="62"/>
      <c r="L324" s="61">
        <v>26</v>
      </c>
      <c r="M324" s="61">
        <v>44</v>
      </c>
      <c r="N324" s="61">
        <v>19</v>
      </c>
      <c r="O324" s="62" t="s">
        <v>2017</v>
      </c>
      <c r="P324" s="62" t="s">
        <v>68</v>
      </c>
      <c r="Q324" s="62" t="s">
        <v>2167</v>
      </c>
      <c r="R324" s="62" t="s">
        <v>2167</v>
      </c>
      <c r="S324" s="62" t="s">
        <v>69</v>
      </c>
      <c r="T324" s="61">
        <v>12433</v>
      </c>
      <c r="U324" s="61">
        <v>9403</v>
      </c>
      <c r="V324" s="61"/>
      <c r="W324" s="61">
        <v>2586</v>
      </c>
      <c r="X324" s="61">
        <v>2353</v>
      </c>
      <c r="Y324" s="61">
        <v>3026</v>
      </c>
      <c r="Z324" s="61">
        <v>2672</v>
      </c>
      <c r="AA324" s="61">
        <v>2227</v>
      </c>
      <c r="AB324" s="61">
        <v>2322</v>
      </c>
      <c r="AC324" s="61">
        <v>1898</v>
      </c>
      <c r="AD324" s="61">
        <v>1771</v>
      </c>
      <c r="AE324" s="61">
        <v>2605</v>
      </c>
      <c r="AF324" s="61">
        <v>376</v>
      </c>
      <c r="AG324" s="61"/>
      <c r="AH324" s="61">
        <v>659</v>
      </c>
      <c r="AI324" s="61">
        <v>728</v>
      </c>
      <c r="AJ324" s="61">
        <v>5677</v>
      </c>
      <c r="AK324" s="61">
        <v>14</v>
      </c>
      <c r="AL324" s="61">
        <v>1564</v>
      </c>
      <c r="AM324" s="61"/>
      <c r="AN324" s="61">
        <v>13194</v>
      </c>
      <c r="AO324" s="61">
        <v>411</v>
      </c>
      <c r="AP324" s="61">
        <v>506</v>
      </c>
      <c r="AQ324" s="61">
        <v>18</v>
      </c>
      <c r="AR324" s="61">
        <v>40</v>
      </c>
      <c r="AS324" s="61">
        <v>5</v>
      </c>
      <c r="AT324" s="61">
        <v>1</v>
      </c>
      <c r="AU324" s="61"/>
      <c r="AV324" s="61">
        <v>8</v>
      </c>
      <c r="AW324" s="61">
        <v>28</v>
      </c>
      <c r="AX324" s="61">
        <v>2</v>
      </c>
      <c r="AY324" s="61">
        <v>20759</v>
      </c>
      <c r="AZ324" s="61">
        <v>10</v>
      </c>
      <c r="BA324" s="61"/>
      <c r="BB324" s="61">
        <v>3</v>
      </c>
      <c r="BC324" s="61">
        <v>35</v>
      </c>
      <c r="BD324" s="61">
        <v>5910</v>
      </c>
      <c r="BE324" s="61">
        <v>5837</v>
      </c>
      <c r="BF324" s="61">
        <v>2399</v>
      </c>
      <c r="BG324" s="61">
        <v>6281</v>
      </c>
      <c r="BH324" s="61">
        <v>1409</v>
      </c>
      <c r="BI324" s="61"/>
      <c r="BJ324" s="61">
        <v>21836</v>
      </c>
      <c r="BK324" s="61">
        <v>95</v>
      </c>
      <c r="BL324" s="61">
        <v>20814</v>
      </c>
      <c r="BM324" s="61">
        <v>927</v>
      </c>
      <c r="BN324" s="61">
        <v>1533</v>
      </c>
      <c r="BO324" s="61">
        <v>1272</v>
      </c>
      <c r="BP324" s="61"/>
      <c r="BQ324" s="61">
        <v>17</v>
      </c>
      <c r="BR324" s="61">
        <v>78</v>
      </c>
      <c r="BS324" s="61">
        <v>100</v>
      </c>
      <c r="BT324" s="61">
        <v>141</v>
      </c>
      <c r="BU324" s="61">
        <v>255</v>
      </c>
      <c r="BV324" s="61">
        <v>420</v>
      </c>
      <c r="BW324" s="61">
        <v>606</v>
      </c>
      <c r="BX324" s="61">
        <v>1183</v>
      </c>
      <c r="BY324" s="61"/>
      <c r="BZ324" s="61">
        <v>5</v>
      </c>
      <c r="CA324" s="61"/>
      <c r="CB324" s="61">
        <v>130</v>
      </c>
      <c r="CC324" s="61">
        <v>67</v>
      </c>
      <c r="CD324" s="61">
        <v>416</v>
      </c>
      <c r="CE324" s="61">
        <v>119</v>
      </c>
      <c r="CF324" s="61"/>
      <c r="CG324" s="61">
        <v>2071</v>
      </c>
      <c r="CH324" s="61">
        <v>2</v>
      </c>
      <c r="CI324" s="61">
        <v>169</v>
      </c>
      <c r="CJ324" s="61">
        <v>34</v>
      </c>
      <c r="CK324" s="61">
        <v>107</v>
      </c>
      <c r="CL324" s="61">
        <v>520</v>
      </c>
      <c r="CM324" s="61">
        <v>37</v>
      </c>
      <c r="CN324" s="61"/>
      <c r="CO324" s="61">
        <v>90</v>
      </c>
      <c r="CP324" s="61">
        <v>1255</v>
      </c>
      <c r="CQ324" s="61">
        <v>473</v>
      </c>
      <c r="CR324" s="61">
        <v>1</v>
      </c>
      <c r="CS324" s="61">
        <v>109</v>
      </c>
      <c r="CT324" s="61">
        <v>10</v>
      </c>
      <c r="CU324" s="61"/>
      <c r="CV324" s="61"/>
      <c r="CW324" s="61"/>
      <c r="CX324" s="61">
        <v>238</v>
      </c>
      <c r="CY324" s="61">
        <v>2056</v>
      </c>
      <c r="CZ324" s="61">
        <v>38</v>
      </c>
      <c r="DA324" s="61">
        <v>453</v>
      </c>
      <c r="DB324" s="61">
        <v>20</v>
      </c>
      <c r="DC324" s="61"/>
      <c r="DD324" s="61">
        <v>2805</v>
      </c>
      <c r="DE324" s="61">
        <v>17</v>
      </c>
      <c r="DF324" s="61">
        <v>2689</v>
      </c>
      <c r="DG324" s="61">
        <v>99</v>
      </c>
      <c r="DH324" s="62" t="s">
        <v>2185</v>
      </c>
      <c r="DI324" s="61">
        <v>180</v>
      </c>
      <c r="DJ324" s="61">
        <v>14</v>
      </c>
      <c r="DK324" s="61"/>
      <c r="DL324" s="61">
        <v>10</v>
      </c>
      <c r="DM324" s="61"/>
      <c r="DN324" s="61"/>
    </row>
    <row r="325" spans="1:118" x14ac:dyDescent="0.25">
      <c r="A325" s="61">
        <v>106560525</v>
      </c>
      <c r="B325" s="62" t="s">
        <v>1462</v>
      </c>
      <c r="C325" s="62" t="s">
        <v>1463</v>
      </c>
      <c r="D325" s="62" t="s">
        <v>1443</v>
      </c>
      <c r="E325" s="62" t="s">
        <v>71</v>
      </c>
      <c r="F325" s="62" t="s">
        <v>2213</v>
      </c>
      <c r="G325" s="62" t="s">
        <v>1464</v>
      </c>
      <c r="H325" s="62" t="s">
        <v>1465</v>
      </c>
      <c r="I325" s="62" t="s">
        <v>1466</v>
      </c>
      <c r="J325" s="62" t="s">
        <v>2189</v>
      </c>
      <c r="K325" s="62"/>
      <c r="L325" s="61">
        <v>25</v>
      </c>
      <c r="M325" s="61">
        <v>38</v>
      </c>
      <c r="N325" s="61">
        <v>27</v>
      </c>
      <c r="O325" s="62" t="s">
        <v>2018</v>
      </c>
      <c r="P325" s="62" t="s">
        <v>68</v>
      </c>
      <c r="Q325" s="62" t="s">
        <v>2167</v>
      </c>
      <c r="R325" s="62" t="s">
        <v>2167</v>
      </c>
      <c r="S325" s="62" t="s">
        <v>69</v>
      </c>
      <c r="T325" s="61">
        <v>16725</v>
      </c>
      <c r="U325" s="61">
        <v>13401</v>
      </c>
      <c r="V325" s="61">
        <v>4</v>
      </c>
      <c r="W325" s="61">
        <v>4223</v>
      </c>
      <c r="X325" s="61">
        <v>3753</v>
      </c>
      <c r="Y325" s="61">
        <v>4532</v>
      </c>
      <c r="Z325" s="61">
        <v>3996</v>
      </c>
      <c r="AA325" s="61">
        <v>3821</v>
      </c>
      <c r="AB325" s="61">
        <v>3776</v>
      </c>
      <c r="AC325" s="61">
        <v>2189</v>
      </c>
      <c r="AD325" s="61">
        <v>1634</v>
      </c>
      <c r="AE325" s="61">
        <v>1539</v>
      </c>
      <c r="AF325" s="61">
        <v>667</v>
      </c>
      <c r="AG325" s="61"/>
      <c r="AH325" s="61">
        <v>915</v>
      </c>
      <c r="AI325" s="61">
        <v>354</v>
      </c>
      <c r="AJ325" s="61">
        <v>7745</v>
      </c>
      <c r="AK325" s="61">
        <v>21</v>
      </c>
      <c r="AL325" s="61">
        <v>983</v>
      </c>
      <c r="AM325" s="61">
        <v>150</v>
      </c>
      <c r="AN325" s="61">
        <v>19962</v>
      </c>
      <c r="AO325" s="61">
        <v>992</v>
      </c>
      <c r="AP325" s="61">
        <v>604</v>
      </c>
      <c r="AQ325" s="61">
        <v>26</v>
      </c>
      <c r="AR325" s="61">
        <v>12</v>
      </c>
      <c r="AS325" s="61">
        <v>7</v>
      </c>
      <c r="AT325" s="61">
        <v>2</v>
      </c>
      <c r="AU325" s="61"/>
      <c r="AV325" s="61">
        <v>300</v>
      </c>
      <c r="AW325" s="61">
        <v>110</v>
      </c>
      <c r="AX325" s="61">
        <v>2</v>
      </c>
      <c r="AY325" s="61">
        <v>28041</v>
      </c>
      <c r="AZ325" s="61">
        <v>24</v>
      </c>
      <c r="BA325" s="61">
        <v>1</v>
      </c>
      <c r="BB325" s="61"/>
      <c r="BC325" s="61">
        <v>7</v>
      </c>
      <c r="BD325" s="61">
        <v>12254</v>
      </c>
      <c r="BE325" s="61">
        <v>5019</v>
      </c>
      <c r="BF325" s="61">
        <v>651</v>
      </c>
      <c r="BG325" s="61">
        <v>9706</v>
      </c>
      <c r="BH325" s="61">
        <v>2500</v>
      </c>
      <c r="BI325" s="61"/>
      <c r="BJ325" s="61">
        <v>30130</v>
      </c>
      <c r="BK325" s="61">
        <v>100</v>
      </c>
      <c r="BL325" s="61">
        <v>28405</v>
      </c>
      <c r="BM325" s="61">
        <v>1625</v>
      </c>
      <c r="BN325" s="61">
        <v>2931</v>
      </c>
      <c r="BO325" s="61">
        <v>2400</v>
      </c>
      <c r="BP325" s="61"/>
      <c r="BQ325" s="61">
        <v>108</v>
      </c>
      <c r="BR325" s="61">
        <v>287</v>
      </c>
      <c r="BS325" s="61">
        <v>384</v>
      </c>
      <c r="BT325" s="61">
        <v>586</v>
      </c>
      <c r="BU325" s="61">
        <v>913</v>
      </c>
      <c r="BV325" s="61">
        <v>893</v>
      </c>
      <c r="BW325" s="61">
        <v>881</v>
      </c>
      <c r="BX325" s="61">
        <v>1225</v>
      </c>
      <c r="BY325" s="61">
        <v>20</v>
      </c>
      <c r="BZ325" s="61">
        <v>34</v>
      </c>
      <c r="CA325" s="61"/>
      <c r="CB325" s="61">
        <v>224</v>
      </c>
      <c r="CC325" s="61">
        <v>63</v>
      </c>
      <c r="CD325" s="61">
        <v>812</v>
      </c>
      <c r="CE325" s="61">
        <v>153</v>
      </c>
      <c r="CF325" s="61">
        <v>25</v>
      </c>
      <c r="CG325" s="61">
        <v>4048</v>
      </c>
      <c r="CH325" s="61">
        <v>6</v>
      </c>
      <c r="CI325" s="61">
        <v>204</v>
      </c>
      <c r="CJ325" s="61">
        <v>135</v>
      </c>
      <c r="CK325" s="61">
        <v>126</v>
      </c>
      <c r="CL325" s="61">
        <v>614</v>
      </c>
      <c r="CM325" s="61">
        <v>16</v>
      </c>
      <c r="CN325" s="61"/>
      <c r="CO325" s="61">
        <v>76</v>
      </c>
      <c r="CP325" s="61">
        <v>3394</v>
      </c>
      <c r="CQ325" s="61">
        <v>635</v>
      </c>
      <c r="CR325" s="61">
        <v>1</v>
      </c>
      <c r="CS325" s="61">
        <v>108</v>
      </c>
      <c r="CT325" s="61">
        <v>16</v>
      </c>
      <c r="CU325" s="61"/>
      <c r="CV325" s="61"/>
      <c r="CW325" s="61"/>
      <c r="CX325" s="61">
        <v>998</v>
      </c>
      <c r="CY325" s="61">
        <v>2792</v>
      </c>
      <c r="CZ325" s="61">
        <v>66</v>
      </c>
      <c r="DA325" s="61">
        <v>1330</v>
      </c>
      <c r="DB325" s="61">
        <v>144</v>
      </c>
      <c r="DC325" s="61">
        <v>1</v>
      </c>
      <c r="DD325" s="61">
        <v>5331</v>
      </c>
      <c r="DE325" s="61">
        <v>47</v>
      </c>
      <c r="DF325" s="61">
        <v>5022</v>
      </c>
      <c r="DG325" s="61">
        <v>262</v>
      </c>
      <c r="DH325" s="62" t="s">
        <v>2185</v>
      </c>
      <c r="DI325" s="61">
        <v>144</v>
      </c>
      <c r="DJ325" s="61">
        <v>10</v>
      </c>
      <c r="DK325" s="61">
        <v>1</v>
      </c>
      <c r="DL325" s="61">
        <v>1</v>
      </c>
      <c r="DM325" s="61">
        <v>1</v>
      </c>
      <c r="DN325" s="61">
        <v>5</v>
      </c>
    </row>
    <row r="326" spans="1:118" x14ac:dyDescent="0.25">
      <c r="A326" s="61">
        <v>106560529</v>
      </c>
      <c r="B326" s="62" t="s">
        <v>1467</v>
      </c>
      <c r="C326" s="62" t="s">
        <v>2117</v>
      </c>
      <c r="D326" s="62" t="s">
        <v>1443</v>
      </c>
      <c r="E326" s="62" t="s">
        <v>71</v>
      </c>
      <c r="F326" s="62" t="s">
        <v>2213</v>
      </c>
      <c r="G326" s="62" t="s">
        <v>1468</v>
      </c>
      <c r="H326" s="62" t="s">
        <v>1469</v>
      </c>
      <c r="I326" s="62" t="s">
        <v>1470</v>
      </c>
      <c r="J326" s="62" t="s">
        <v>2184</v>
      </c>
      <c r="K326" s="62"/>
      <c r="L326" s="61">
        <v>26</v>
      </c>
      <c r="M326" s="61">
        <v>44</v>
      </c>
      <c r="N326" s="61">
        <v>19</v>
      </c>
      <c r="O326" s="62" t="s">
        <v>2019</v>
      </c>
      <c r="P326" s="62" t="s">
        <v>68</v>
      </c>
      <c r="Q326" s="62" t="s">
        <v>2167</v>
      </c>
      <c r="R326" s="62" t="s">
        <v>2167</v>
      </c>
      <c r="S326" s="62" t="s">
        <v>69</v>
      </c>
      <c r="T326" s="61">
        <v>28223</v>
      </c>
      <c r="U326" s="61">
        <v>23997</v>
      </c>
      <c r="V326" s="61"/>
      <c r="W326" s="61">
        <v>8589</v>
      </c>
      <c r="X326" s="61">
        <v>5710</v>
      </c>
      <c r="Y326" s="61">
        <v>9076</v>
      </c>
      <c r="Z326" s="61">
        <v>6753</v>
      </c>
      <c r="AA326" s="61">
        <v>6002</v>
      </c>
      <c r="AB326" s="61">
        <v>5381</v>
      </c>
      <c r="AC326" s="61">
        <v>3601</v>
      </c>
      <c r="AD326" s="61">
        <v>2612</v>
      </c>
      <c r="AE326" s="61">
        <v>2511</v>
      </c>
      <c r="AF326" s="61">
        <v>1985</v>
      </c>
      <c r="AG326" s="61"/>
      <c r="AH326" s="61">
        <v>1738</v>
      </c>
      <c r="AI326" s="61">
        <v>2015</v>
      </c>
      <c r="AJ326" s="61">
        <v>35489</v>
      </c>
      <c r="AK326" s="61">
        <v>4</v>
      </c>
      <c r="AL326" s="61">
        <v>785</v>
      </c>
      <c r="AM326" s="61"/>
      <c r="AN326" s="61">
        <v>12189</v>
      </c>
      <c r="AO326" s="61">
        <v>560</v>
      </c>
      <c r="AP326" s="61">
        <v>3071</v>
      </c>
      <c r="AQ326" s="61">
        <v>40</v>
      </c>
      <c r="AR326" s="61">
        <v>70</v>
      </c>
      <c r="AS326" s="61">
        <v>5</v>
      </c>
      <c r="AT326" s="61">
        <v>3</v>
      </c>
      <c r="AU326" s="61"/>
      <c r="AV326" s="61">
        <v>168</v>
      </c>
      <c r="AW326" s="61">
        <v>199</v>
      </c>
      <c r="AX326" s="61">
        <v>4</v>
      </c>
      <c r="AY326" s="61">
        <v>48039</v>
      </c>
      <c r="AZ326" s="61">
        <v>37</v>
      </c>
      <c r="BA326" s="61">
        <v>2</v>
      </c>
      <c r="BB326" s="61">
        <v>6</v>
      </c>
      <c r="BC326" s="61">
        <v>8</v>
      </c>
      <c r="BD326" s="61">
        <v>24892</v>
      </c>
      <c r="BE326" s="61">
        <v>9018</v>
      </c>
      <c r="BF326" s="61">
        <v>3397</v>
      </c>
      <c r="BG326" s="61">
        <v>8026</v>
      </c>
      <c r="BH326" s="61">
        <v>6887</v>
      </c>
      <c r="BI326" s="61"/>
      <c r="BJ326" s="61">
        <v>52220</v>
      </c>
      <c r="BK326" s="61">
        <v>227</v>
      </c>
      <c r="BL326" s="61">
        <v>39391</v>
      </c>
      <c r="BM326" s="61">
        <v>12602</v>
      </c>
      <c r="BN326" s="61">
        <v>3186</v>
      </c>
      <c r="BO326" s="61">
        <v>3164</v>
      </c>
      <c r="BP326" s="61"/>
      <c r="BQ326" s="61">
        <v>72</v>
      </c>
      <c r="BR326" s="61">
        <v>292</v>
      </c>
      <c r="BS326" s="61">
        <v>365</v>
      </c>
      <c r="BT326" s="61">
        <v>545</v>
      </c>
      <c r="BU326" s="61">
        <v>978</v>
      </c>
      <c r="BV326" s="61">
        <v>1163</v>
      </c>
      <c r="BW326" s="61">
        <v>1207</v>
      </c>
      <c r="BX326" s="61">
        <v>1599</v>
      </c>
      <c r="BY326" s="61">
        <v>61</v>
      </c>
      <c r="BZ326" s="61">
        <v>68</v>
      </c>
      <c r="CA326" s="61"/>
      <c r="CB326" s="61">
        <v>442</v>
      </c>
      <c r="CC326" s="61">
        <v>285</v>
      </c>
      <c r="CD326" s="61">
        <v>3305</v>
      </c>
      <c r="CE326" s="61">
        <v>87</v>
      </c>
      <c r="CF326" s="61"/>
      <c r="CG326" s="61">
        <v>2230</v>
      </c>
      <c r="CH326" s="61">
        <v>1</v>
      </c>
      <c r="CI326" s="61">
        <v>163</v>
      </c>
      <c r="CJ326" s="61">
        <v>113</v>
      </c>
      <c r="CK326" s="61">
        <v>248</v>
      </c>
      <c r="CL326" s="61">
        <v>1144</v>
      </c>
      <c r="CM326" s="61">
        <v>131</v>
      </c>
      <c r="CN326" s="61"/>
      <c r="CO326" s="61">
        <v>45</v>
      </c>
      <c r="CP326" s="61">
        <v>3445</v>
      </c>
      <c r="CQ326" s="61">
        <v>896</v>
      </c>
      <c r="CR326" s="61">
        <v>4</v>
      </c>
      <c r="CS326" s="61">
        <v>147</v>
      </c>
      <c r="CT326" s="61">
        <v>12</v>
      </c>
      <c r="CU326" s="61">
        <v>1</v>
      </c>
      <c r="CV326" s="61"/>
      <c r="CW326" s="61">
        <v>1</v>
      </c>
      <c r="CX326" s="61">
        <v>1483</v>
      </c>
      <c r="CY326" s="61">
        <v>3855</v>
      </c>
      <c r="CZ326" s="61">
        <v>150</v>
      </c>
      <c r="DA326" s="61">
        <v>823</v>
      </c>
      <c r="DB326" s="61">
        <v>39</v>
      </c>
      <c r="DC326" s="61"/>
      <c r="DD326" s="61">
        <v>6350</v>
      </c>
      <c r="DE326" s="61">
        <v>70</v>
      </c>
      <c r="DF326" s="61">
        <v>4829</v>
      </c>
      <c r="DG326" s="61">
        <v>1451</v>
      </c>
      <c r="DH326" s="62" t="s">
        <v>2185</v>
      </c>
      <c r="DI326" s="61">
        <v>265</v>
      </c>
      <c r="DJ326" s="61">
        <v>20</v>
      </c>
      <c r="DK326" s="61"/>
      <c r="DL326" s="61">
        <v>8</v>
      </c>
      <c r="DM326" s="61"/>
      <c r="DN326" s="61"/>
    </row>
    <row r="327" spans="1:118" x14ac:dyDescent="0.25">
      <c r="A327" s="61">
        <v>106571086</v>
      </c>
      <c r="B327" s="62" t="s">
        <v>1471</v>
      </c>
      <c r="C327" s="62" t="s">
        <v>1472</v>
      </c>
      <c r="D327" s="62" t="s">
        <v>1473</v>
      </c>
      <c r="E327" s="62" t="s">
        <v>71</v>
      </c>
      <c r="F327" s="62" t="s">
        <v>2213</v>
      </c>
      <c r="G327" s="62" t="s">
        <v>1474</v>
      </c>
      <c r="H327" s="62" t="s">
        <v>1475</v>
      </c>
      <c r="I327" s="62" t="s">
        <v>1476</v>
      </c>
      <c r="J327" s="62" t="s">
        <v>2189</v>
      </c>
      <c r="K327" s="62"/>
      <c r="L327" s="61">
        <v>3</v>
      </c>
      <c r="M327" s="61">
        <v>4</v>
      </c>
      <c r="N327" s="61">
        <v>3</v>
      </c>
      <c r="O327" s="62" t="s">
        <v>2020</v>
      </c>
      <c r="P327" s="62" t="s">
        <v>68</v>
      </c>
      <c r="Q327" s="62" t="s">
        <v>2167</v>
      </c>
      <c r="R327" s="62" t="s">
        <v>2167</v>
      </c>
      <c r="S327" s="62" t="s">
        <v>69</v>
      </c>
      <c r="T327" s="61">
        <v>11819</v>
      </c>
      <c r="U327" s="61">
        <v>10008</v>
      </c>
      <c r="V327" s="61"/>
      <c r="W327" s="61">
        <v>2931</v>
      </c>
      <c r="X327" s="61">
        <v>2449</v>
      </c>
      <c r="Y327" s="61">
        <v>3500</v>
      </c>
      <c r="Z327" s="61">
        <v>3072</v>
      </c>
      <c r="AA327" s="61">
        <v>2369</v>
      </c>
      <c r="AB327" s="61">
        <v>2607</v>
      </c>
      <c r="AC327" s="61">
        <v>1741</v>
      </c>
      <c r="AD327" s="61">
        <v>1196</v>
      </c>
      <c r="AE327" s="61">
        <v>1349</v>
      </c>
      <c r="AF327" s="61">
        <v>613</v>
      </c>
      <c r="AG327" s="61"/>
      <c r="AH327" s="61">
        <v>359</v>
      </c>
      <c r="AI327" s="61">
        <v>887</v>
      </c>
      <c r="AJ327" s="61">
        <v>8994</v>
      </c>
      <c r="AK327" s="61">
        <v>75</v>
      </c>
      <c r="AL327" s="61">
        <v>685</v>
      </c>
      <c r="AM327" s="61">
        <v>94</v>
      </c>
      <c r="AN327" s="61">
        <v>10733</v>
      </c>
      <c r="AO327" s="61">
        <v>355</v>
      </c>
      <c r="AP327" s="61">
        <v>1</v>
      </c>
      <c r="AQ327" s="61">
        <v>30</v>
      </c>
      <c r="AR327" s="61">
        <v>84</v>
      </c>
      <c r="AS327" s="61">
        <v>4</v>
      </c>
      <c r="AT327" s="61">
        <v>1</v>
      </c>
      <c r="AU327" s="61"/>
      <c r="AV327" s="61">
        <v>329</v>
      </c>
      <c r="AW327" s="61">
        <v>47</v>
      </c>
      <c r="AX327" s="61"/>
      <c r="AY327" s="61">
        <v>20762</v>
      </c>
      <c r="AZ327" s="61">
        <v>143</v>
      </c>
      <c r="BA327" s="61"/>
      <c r="BB327" s="61"/>
      <c r="BC327" s="61"/>
      <c r="BD327" s="61">
        <v>11401</v>
      </c>
      <c r="BE327" s="61">
        <v>4216</v>
      </c>
      <c r="BF327" s="61">
        <v>719</v>
      </c>
      <c r="BG327" s="61">
        <v>4454</v>
      </c>
      <c r="BH327" s="61">
        <v>1037</v>
      </c>
      <c r="BI327" s="61"/>
      <c r="BJ327" s="61">
        <v>21827</v>
      </c>
      <c r="BK327" s="61">
        <v>397</v>
      </c>
      <c r="BL327" s="61">
        <v>18561</v>
      </c>
      <c r="BM327" s="61">
        <v>2869</v>
      </c>
      <c r="BN327" s="61">
        <v>1249</v>
      </c>
      <c r="BO327" s="61">
        <v>1188</v>
      </c>
      <c r="BP327" s="61"/>
      <c r="BQ327" s="61">
        <v>48</v>
      </c>
      <c r="BR327" s="61">
        <v>280</v>
      </c>
      <c r="BS327" s="61">
        <v>277</v>
      </c>
      <c r="BT327" s="61">
        <v>255</v>
      </c>
      <c r="BU327" s="61">
        <v>399</v>
      </c>
      <c r="BV327" s="61">
        <v>410</v>
      </c>
      <c r="BW327" s="61">
        <v>324</v>
      </c>
      <c r="BX327" s="61">
        <v>411</v>
      </c>
      <c r="BY327" s="61">
        <v>9</v>
      </c>
      <c r="BZ327" s="61">
        <v>24</v>
      </c>
      <c r="CA327" s="61"/>
      <c r="CB327" s="61">
        <v>40</v>
      </c>
      <c r="CC327" s="61">
        <v>119</v>
      </c>
      <c r="CD327" s="61">
        <v>680</v>
      </c>
      <c r="CE327" s="61">
        <v>76</v>
      </c>
      <c r="CF327" s="61">
        <v>5</v>
      </c>
      <c r="CG327" s="61">
        <v>1514</v>
      </c>
      <c r="CH327" s="61">
        <v>3</v>
      </c>
      <c r="CI327" s="61">
        <v>89</v>
      </c>
      <c r="CJ327" s="61">
        <v>21</v>
      </c>
      <c r="CK327" s="61">
        <v>88</v>
      </c>
      <c r="CL327" s="61">
        <v>122</v>
      </c>
      <c r="CM327" s="61">
        <v>16</v>
      </c>
      <c r="CN327" s="61"/>
      <c r="CO327" s="61">
        <v>49</v>
      </c>
      <c r="CP327" s="61">
        <v>1626</v>
      </c>
      <c r="CQ327" s="61">
        <v>318</v>
      </c>
      <c r="CR327" s="61">
        <v>13</v>
      </c>
      <c r="CS327" s="61">
        <v>32</v>
      </c>
      <c r="CT327" s="61">
        <v>51</v>
      </c>
      <c r="CU327" s="61"/>
      <c r="CV327" s="61"/>
      <c r="CW327" s="61">
        <v>12</v>
      </c>
      <c r="CX327" s="61">
        <v>810</v>
      </c>
      <c r="CY327" s="61">
        <v>1146</v>
      </c>
      <c r="CZ327" s="61">
        <v>44</v>
      </c>
      <c r="DA327" s="61">
        <v>406</v>
      </c>
      <c r="DB327" s="61">
        <v>26</v>
      </c>
      <c r="DC327" s="61">
        <v>5</v>
      </c>
      <c r="DD327" s="61">
        <v>2437</v>
      </c>
      <c r="DE327" s="61">
        <v>55</v>
      </c>
      <c r="DF327" s="61">
        <v>2154</v>
      </c>
      <c r="DG327" s="61">
        <v>228</v>
      </c>
      <c r="DH327" s="62" t="s">
        <v>2185</v>
      </c>
      <c r="DI327" s="61">
        <v>108</v>
      </c>
      <c r="DJ327" s="61">
        <v>17</v>
      </c>
      <c r="DK327" s="61"/>
      <c r="DL327" s="61">
        <v>71</v>
      </c>
      <c r="DM327" s="61"/>
      <c r="DN327" s="61"/>
    </row>
    <row r="328" spans="1:118" x14ac:dyDescent="0.25">
      <c r="A328" s="61">
        <v>106574010</v>
      </c>
      <c r="B328" s="62" t="s">
        <v>1477</v>
      </c>
      <c r="C328" s="62" t="s">
        <v>1480</v>
      </c>
      <c r="D328" s="62" t="s">
        <v>1473</v>
      </c>
      <c r="E328" s="62" t="s">
        <v>71</v>
      </c>
      <c r="F328" s="62" t="s">
        <v>2213</v>
      </c>
      <c r="G328" s="62" t="s">
        <v>1481</v>
      </c>
      <c r="H328" s="62" t="s">
        <v>1478</v>
      </c>
      <c r="I328" s="62" t="s">
        <v>1479</v>
      </c>
      <c r="J328" s="62" t="s">
        <v>2190</v>
      </c>
      <c r="K328" s="62"/>
      <c r="L328" s="61">
        <v>3</v>
      </c>
      <c r="M328" s="61">
        <v>4</v>
      </c>
      <c r="N328" s="61">
        <v>3</v>
      </c>
      <c r="O328" s="62" t="s">
        <v>2021</v>
      </c>
      <c r="P328" s="62" t="s">
        <v>68</v>
      </c>
      <c r="Q328" s="62" t="s">
        <v>2167</v>
      </c>
      <c r="R328" s="62" t="s">
        <v>2167</v>
      </c>
      <c r="S328" s="62" t="s">
        <v>69</v>
      </c>
      <c r="T328" s="61">
        <v>14751</v>
      </c>
      <c r="U328" s="61">
        <v>11151</v>
      </c>
      <c r="V328" s="61">
        <v>1</v>
      </c>
      <c r="W328" s="61">
        <v>3205</v>
      </c>
      <c r="X328" s="61">
        <v>3308</v>
      </c>
      <c r="Y328" s="61">
        <v>5578</v>
      </c>
      <c r="Z328" s="61">
        <v>3382</v>
      </c>
      <c r="AA328" s="61">
        <v>2474</v>
      </c>
      <c r="AB328" s="61">
        <v>2574</v>
      </c>
      <c r="AC328" s="61">
        <v>1869</v>
      </c>
      <c r="AD328" s="61">
        <v>1308</v>
      </c>
      <c r="AE328" s="61">
        <v>1621</v>
      </c>
      <c r="AF328" s="61">
        <v>584</v>
      </c>
      <c r="AG328" s="61"/>
      <c r="AH328" s="61">
        <v>1839</v>
      </c>
      <c r="AI328" s="61">
        <v>1022</v>
      </c>
      <c r="AJ328" s="61">
        <v>8164</v>
      </c>
      <c r="AK328" s="61">
        <v>85</v>
      </c>
      <c r="AL328" s="61">
        <v>1359</v>
      </c>
      <c r="AM328" s="61">
        <v>418</v>
      </c>
      <c r="AN328" s="61">
        <v>13016</v>
      </c>
      <c r="AO328" s="61">
        <v>242</v>
      </c>
      <c r="AP328" s="61">
        <v>105</v>
      </c>
      <c r="AQ328" s="61">
        <v>7</v>
      </c>
      <c r="AR328" s="61">
        <v>106</v>
      </c>
      <c r="AS328" s="61">
        <v>36</v>
      </c>
      <c r="AT328" s="61">
        <v>3</v>
      </c>
      <c r="AU328" s="61"/>
      <c r="AV328" s="61">
        <v>53</v>
      </c>
      <c r="AW328" s="61">
        <v>227</v>
      </c>
      <c r="AX328" s="61">
        <v>1</v>
      </c>
      <c r="AY328" s="61">
        <v>24540</v>
      </c>
      <c r="AZ328" s="61">
        <v>124</v>
      </c>
      <c r="BA328" s="61">
        <v>2</v>
      </c>
      <c r="BB328" s="61">
        <v>74</v>
      </c>
      <c r="BC328" s="61">
        <v>238</v>
      </c>
      <c r="BD328" s="61">
        <v>10317</v>
      </c>
      <c r="BE328" s="61">
        <v>4177</v>
      </c>
      <c r="BF328" s="61">
        <v>751</v>
      </c>
      <c r="BG328" s="61">
        <v>8800</v>
      </c>
      <c r="BH328" s="61">
        <v>1833</v>
      </c>
      <c r="BI328" s="61">
        <v>25</v>
      </c>
      <c r="BJ328" s="61">
        <v>25903</v>
      </c>
      <c r="BK328" s="61">
        <v>825</v>
      </c>
      <c r="BL328" s="61">
        <v>21984</v>
      </c>
      <c r="BM328" s="61">
        <v>3094</v>
      </c>
      <c r="BN328" s="61">
        <v>905</v>
      </c>
      <c r="BO328" s="61">
        <v>781</v>
      </c>
      <c r="BP328" s="61"/>
      <c r="BQ328" s="61">
        <v>32</v>
      </c>
      <c r="BR328" s="61">
        <v>129</v>
      </c>
      <c r="BS328" s="61">
        <v>104</v>
      </c>
      <c r="BT328" s="61">
        <v>139</v>
      </c>
      <c r="BU328" s="61">
        <v>224</v>
      </c>
      <c r="BV328" s="61">
        <v>264</v>
      </c>
      <c r="BW328" s="61">
        <v>303</v>
      </c>
      <c r="BX328" s="61">
        <v>490</v>
      </c>
      <c r="BY328" s="61">
        <v>1</v>
      </c>
      <c r="BZ328" s="61"/>
      <c r="CA328" s="61"/>
      <c r="CB328" s="61">
        <v>91</v>
      </c>
      <c r="CC328" s="61">
        <v>47</v>
      </c>
      <c r="CD328" s="61">
        <v>341</v>
      </c>
      <c r="CE328" s="61">
        <v>59</v>
      </c>
      <c r="CF328" s="61">
        <v>30</v>
      </c>
      <c r="CG328" s="61">
        <v>1103</v>
      </c>
      <c r="CH328" s="61">
        <v>15</v>
      </c>
      <c r="CI328" s="61">
        <v>78</v>
      </c>
      <c r="CJ328" s="61">
        <v>51</v>
      </c>
      <c r="CK328" s="61">
        <v>36</v>
      </c>
      <c r="CL328" s="61">
        <v>280</v>
      </c>
      <c r="CM328" s="61">
        <v>8</v>
      </c>
      <c r="CN328" s="61"/>
      <c r="CO328" s="61">
        <v>5</v>
      </c>
      <c r="CP328" s="61">
        <v>864</v>
      </c>
      <c r="CQ328" s="61">
        <v>288</v>
      </c>
      <c r="CR328" s="61"/>
      <c r="CS328" s="61">
        <v>55</v>
      </c>
      <c r="CT328" s="61">
        <v>7</v>
      </c>
      <c r="CU328" s="61">
        <v>6</v>
      </c>
      <c r="CV328" s="61">
        <v>5</v>
      </c>
      <c r="CW328" s="61">
        <v>3</v>
      </c>
      <c r="CX328" s="61">
        <v>323</v>
      </c>
      <c r="CY328" s="61">
        <v>990</v>
      </c>
      <c r="CZ328" s="61">
        <v>17</v>
      </c>
      <c r="DA328" s="61">
        <v>326</v>
      </c>
      <c r="DB328" s="61">
        <v>30</v>
      </c>
      <c r="DC328" s="61"/>
      <c r="DD328" s="61">
        <v>1686</v>
      </c>
      <c r="DE328" s="61">
        <v>56</v>
      </c>
      <c r="DF328" s="61">
        <v>1446</v>
      </c>
      <c r="DG328" s="61">
        <v>184</v>
      </c>
      <c r="DH328" s="62" t="s">
        <v>2185</v>
      </c>
      <c r="DI328" s="61">
        <v>48</v>
      </c>
      <c r="DJ328" s="61">
        <v>8</v>
      </c>
      <c r="DK328" s="61">
        <v>88</v>
      </c>
      <c r="DL328" s="61">
        <v>57</v>
      </c>
      <c r="DM328" s="61"/>
      <c r="DN328" s="61"/>
    </row>
    <row r="329" spans="1:118" x14ac:dyDescent="0.25">
      <c r="A329" s="61">
        <v>106580996</v>
      </c>
      <c r="B329" s="62" t="s">
        <v>1482</v>
      </c>
      <c r="C329" s="62" t="s">
        <v>1483</v>
      </c>
      <c r="D329" s="62" t="s">
        <v>1484</v>
      </c>
      <c r="E329" s="62" t="s">
        <v>71</v>
      </c>
      <c r="F329" s="62" t="s">
        <v>2213</v>
      </c>
      <c r="G329" s="62" t="s">
        <v>1485</v>
      </c>
      <c r="H329" s="62" t="s">
        <v>1486</v>
      </c>
      <c r="I329" s="62" t="s">
        <v>1487</v>
      </c>
      <c r="J329" s="62" t="s">
        <v>2187</v>
      </c>
      <c r="K329" s="62" t="s">
        <v>138</v>
      </c>
      <c r="L329" s="61">
        <v>3</v>
      </c>
      <c r="M329" s="61">
        <v>3</v>
      </c>
      <c r="N329" s="61">
        <v>4</v>
      </c>
      <c r="O329" s="62" t="s">
        <v>2022</v>
      </c>
      <c r="P329" s="62" t="s">
        <v>120</v>
      </c>
      <c r="Q329" s="62" t="s">
        <v>2167</v>
      </c>
      <c r="R329" s="62" t="s">
        <v>2167</v>
      </c>
      <c r="S329" s="62" t="s">
        <v>69</v>
      </c>
      <c r="T329" s="61">
        <v>28994</v>
      </c>
      <c r="U329" s="61">
        <v>23143</v>
      </c>
      <c r="V329" s="61">
        <v>9</v>
      </c>
      <c r="W329" s="61">
        <v>6411</v>
      </c>
      <c r="X329" s="61">
        <v>5398</v>
      </c>
      <c r="Y329" s="61">
        <v>10023</v>
      </c>
      <c r="Z329" s="61">
        <v>8060</v>
      </c>
      <c r="AA329" s="61">
        <v>6385</v>
      </c>
      <c r="AB329" s="61">
        <v>6112</v>
      </c>
      <c r="AC329" s="61">
        <v>4109</v>
      </c>
      <c r="AD329" s="61">
        <v>2253</v>
      </c>
      <c r="AE329" s="61">
        <v>1990</v>
      </c>
      <c r="AF329" s="61">
        <v>1405</v>
      </c>
      <c r="AG329" s="61"/>
      <c r="AH329" s="61">
        <v>2842</v>
      </c>
      <c r="AI329" s="61">
        <v>2383</v>
      </c>
      <c r="AJ329" s="61">
        <v>12587</v>
      </c>
      <c r="AK329" s="61">
        <v>266</v>
      </c>
      <c r="AL329" s="61">
        <v>1183</v>
      </c>
      <c r="AM329" s="61">
        <v>204</v>
      </c>
      <c r="AN329" s="61">
        <v>32681</v>
      </c>
      <c r="AO329" s="61"/>
      <c r="AP329" s="61">
        <v>2830</v>
      </c>
      <c r="AQ329" s="61">
        <v>84</v>
      </c>
      <c r="AR329" s="61">
        <v>544</v>
      </c>
      <c r="AS329" s="61">
        <v>1</v>
      </c>
      <c r="AT329" s="61"/>
      <c r="AU329" s="61"/>
      <c r="AV329" s="61">
        <v>527</v>
      </c>
      <c r="AW329" s="61"/>
      <c r="AX329" s="61">
        <v>16</v>
      </c>
      <c r="AY329" s="61">
        <v>47484</v>
      </c>
      <c r="AZ329" s="61">
        <v>12</v>
      </c>
      <c r="BA329" s="61">
        <v>442</v>
      </c>
      <c r="BB329" s="61"/>
      <c r="BC329" s="61">
        <v>148</v>
      </c>
      <c r="BD329" s="61">
        <v>30032</v>
      </c>
      <c r="BE329" s="61">
        <v>8865</v>
      </c>
      <c r="BF329" s="61">
        <v>2281</v>
      </c>
      <c r="BG329" s="61">
        <v>7335</v>
      </c>
      <c r="BH329" s="61">
        <v>3627</v>
      </c>
      <c r="BI329" s="61">
        <v>6</v>
      </c>
      <c r="BJ329" s="61">
        <v>52146</v>
      </c>
      <c r="BK329" s="61">
        <v>2106</v>
      </c>
      <c r="BL329" s="61">
        <v>45882</v>
      </c>
      <c r="BM329" s="61">
        <v>4158</v>
      </c>
      <c r="BN329" s="61">
        <v>3885</v>
      </c>
      <c r="BO329" s="61">
        <v>3657</v>
      </c>
      <c r="BP329" s="61">
        <v>1</v>
      </c>
      <c r="BQ329" s="61">
        <v>69</v>
      </c>
      <c r="BR329" s="61">
        <v>333</v>
      </c>
      <c r="BS329" s="61">
        <v>472</v>
      </c>
      <c r="BT329" s="61">
        <v>703</v>
      </c>
      <c r="BU329" s="61">
        <v>1288</v>
      </c>
      <c r="BV329" s="61">
        <v>1581</v>
      </c>
      <c r="BW329" s="61">
        <v>1478</v>
      </c>
      <c r="BX329" s="61">
        <v>1618</v>
      </c>
      <c r="BY329" s="61">
        <v>1</v>
      </c>
      <c r="BZ329" s="61"/>
      <c r="CA329" s="61"/>
      <c r="CB329" s="61">
        <v>636</v>
      </c>
      <c r="CC329" s="61">
        <v>203</v>
      </c>
      <c r="CD329" s="61">
        <v>1036</v>
      </c>
      <c r="CE329" s="61">
        <v>120</v>
      </c>
      <c r="CF329" s="61">
        <v>17</v>
      </c>
      <c r="CG329" s="61">
        <v>5491</v>
      </c>
      <c r="CH329" s="61">
        <v>40</v>
      </c>
      <c r="CI329" s="61">
        <v>13</v>
      </c>
      <c r="CJ329" s="61">
        <v>251</v>
      </c>
      <c r="CK329" s="61">
        <v>367</v>
      </c>
      <c r="CL329" s="61">
        <v>1048</v>
      </c>
      <c r="CM329" s="61">
        <v>94</v>
      </c>
      <c r="CN329" s="61"/>
      <c r="CO329" s="61">
        <v>95</v>
      </c>
      <c r="CP329" s="61">
        <v>4023</v>
      </c>
      <c r="CQ329" s="61">
        <v>1281</v>
      </c>
      <c r="CR329" s="61">
        <v>17</v>
      </c>
      <c r="CS329" s="61">
        <v>100</v>
      </c>
      <c r="CT329" s="61">
        <v>40</v>
      </c>
      <c r="CU329" s="61">
        <v>4</v>
      </c>
      <c r="CV329" s="61">
        <v>2</v>
      </c>
      <c r="CW329" s="61">
        <v>195</v>
      </c>
      <c r="CX329" s="61">
        <v>2124</v>
      </c>
      <c r="CY329" s="61">
        <v>4357</v>
      </c>
      <c r="CZ329" s="61">
        <v>200</v>
      </c>
      <c r="DA329" s="61">
        <v>779</v>
      </c>
      <c r="DB329" s="61">
        <v>76</v>
      </c>
      <c r="DC329" s="61">
        <v>7</v>
      </c>
      <c r="DD329" s="61">
        <v>7543</v>
      </c>
      <c r="DE329" s="61">
        <v>472</v>
      </c>
      <c r="DF329" s="61">
        <v>6647</v>
      </c>
      <c r="DG329" s="61">
        <v>424</v>
      </c>
      <c r="DH329" s="62" t="s">
        <v>2185</v>
      </c>
      <c r="DI329" s="61">
        <v>173</v>
      </c>
      <c r="DJ329" s="61">
        <v>22</v>
      </c>
      <c r="DK329" s="61">
        <v>58</v>
      </c>
      <c r="DL329" s="61"/>
      <c r="DM329" s="61">
        <v>13</v>
      </c>
      <c r="DN329" s="61"/>
    </row>
  </sheetData>
  <sortState ref="A2:GG334">
    <sortCondition ref="N2:N33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110"/>
  <sheetViews>
    <sheetView workbookViewId="0">
      <selection sqref="A1:C1"/>
    </sheetView>
  </sheetViews>
  <sheetFormatPr defaultRowHeight="14.4" x14ac:dyDescent="0.3"/>
  <cols>
    <col min="1" max="1" width="36.44140625" customWidth="1"/>
    <col min="2" max="2" width="47.109375" customWidth="1"/>
    <col min="3" max="3" width="40.6640625" customWidth="1"/>
  </cols>
  <sheetData>
    <row r="1" spans="1:3" s="22" customFormat="1" x14ac:dyDescent="0.3">
      <c r="A1" s="107" t="s">
        <v>1655</v>
      </c>
      <c r="B1" s="107"/>
      <c r="C1" s="107"/>
    </row>
    <row r="2" spans="1:3" s="22" customFormat="1" ht="15" customHeight="1" x14ac:dyDescent="0.3">
      <c r="A2" s="107" t="s">
        <v>1656</v>
      </c>
      <c r="B2" s="107"/>
      <c r="C2" s="107"/>
    </row>
    <row r="3" spans="1:3" s="22" customFormat="1" ht="15" customHeight="1" x14ac:dyDescent="0.3">
      <c r="A3" s="107" t="s">
        <v>2251</v>
      </c>
      <c r="B3" s="107"/>
      <c r="C3" s="107"/>
    </row>
    <row r="4" spans="1:3" s="22" customFormat="1" x14ac:dyDescent="0.3">
      <c r="A4" s="105" t="s">
        <v>2254</v>
      </c>
      <c r="B4" s="105"/>
      <c r="C4" s="105"/>
    </row>
    <row r="5" spans="1:3" s="22" customFormat="1" x14ac:dyDescent="0.3">
      <c r="A5" s="2"/>
      <c r="B5" s="2"/>
    </row>
    <row r="6" spans="1:3" s="22" customFormat="1" ht="66.75" customHeight="1" x14ac:dyDescent="0.3">
      <c r="A6" s="108" t="s">
        <v>2155</v>
      </c>
      <c r="B6" s="108"/>
      <c r="C6" s="108"/>
    </row>
    <row r="7" spans="1:3" ht="15" customHeight="1" x14ac:dyDescent="0.3">
      <c r="A7" s="109" t="s">
        <v>1657</v>
      </c>
      <c r="B7" s="109"/>
      <c r="C7" s="109"/>
    </row>
    <row r="8" spans="1:3" x14ac:dyDescent="0.3">
      <c r="A8" s="91"/>
      <c r="B8" s="106"/>
      <c r="C8" s="23"/>
    </row>
    <row r="9" spans="1:3" s="25" customFormat="1" ht="43.5" customHeight="1" x14ac:dyDescent="0.3">
      <c r="A9" s="98" t="s">
        <v>1658</v>
      </c>
      <c r="B9" s="99"/>
      <c r="C9" s="100"/>
    </row>
    <row r="10" spans="1:3" s="25" customFormat="1" ht="21.6" customHeight="1" x14ac:dyDescent="0.3">
      <c r="A10" s="98" t="s">
        <v>1659</v>
      </c>
      <c r="B10" s="99"/>
      <c r="C10" s="100"/>
    </row>
    <row r="11" spans="1:3" s="25" customFormat="1" ht="15" customHeight="1" x14ac:dyDescent="0.3">
      <c r="A11" s="98" t="s">
        <v>2142</v>
      </c>
      <c r="B11" s="99"/>
      <c r="C11" s="100"/>
    </row>
    <row r="12" spans="1:3" s="25" customFormat="1" ht="64.5" customHeight="1" x14ac:dyDescent="0.3">
      <c r="A12" s="98" t="s">
        <v>2126</v>
      </c>
      <c r="B12" s="99"/>
      <c r="C12" s="100"/>
    </row>
    <row r="13" spans="1:3" x14ac:dyDescent="0.3">
      <c r="A13" s="103"/>
      <c r="B13" s="93"/>
      <c r="C13" s="24"/>
    </row>
    <row r="14" spans="1:3" x14ac:dyDescent="0.3">
      <c r="A14" s="101"/>
      <c r="B14" s="101"/>
    </row>
    <row r="15" spans="1:3" x14ac:dyDescent="0.3">
      <c r="A15" s="101"/>
      <c r="B15" s="101"/>
    </row>
    <row r="16" spans="1:3" x14ac:dyDescent="0.3">
      <c r="A16" s="104" t="s">
        <v>1660</v>
      </c>
      <c r="B16" s="104"/>
    </row>
    <row r="17" spans="1:2" ht="43.95" customHeight="1" x14ac:dyDescent="0.3">
      <c r="A17" s="102" t="s">
        <v>2156</v>
      </c>
      <c r="B17" s="102"/>
    </row>
    <row r="18" spans="1:2" x14ac:dyDescent="0.3">
      <c r="A18" s="93"/>
      <c r="B18" s="93"/>
    </row>
    <row r="19" spans="1:2" x14ac:dyDescent="0.3">
      <c r="A19" s="3" t="s">
        <v>1624</v>
      </c>
      <c r="B19" s="89" t="s">
        <v>1661</v>
      </c>
    </row>
    <row r="20" spans="1:2" ht="19.2" x14ac:dyDescent="0.3">
      <c r="A20" s="4" t="s">
        <v>1662</v>
      </c>
      <c r="B20" s="90"/>
    </row>
    <row r="21" spans="1:2" x14ac:dyDescent="0.3">
      <c r="A21" s="5"/>
      <c r="B21" s="5"/>
    </row>
    <row r="22" spans="1:2" x14ac:dyDescent="0.3">
      <c r="A22" s="6" t="s">
        <v>1625</v>
      </c>
      <c r="B22" s="7" t="s">
        <v>1663</v>
      </c>
    </row>
    <row r="23" spans="1:2" x14ac:dyDescent="0.3">
      <c r="A23" s="6" t="s">
        <v>1626</v>
      </c>
      <c r="B23" s="7" t="s">
        <v>1664</v>
      </c>
    </row>
    <row r="24" spans="1:2" x14ac:dyDescent="0.3">
      <c r="A24" s="6" t="s">
        <v>1627</v>
      </c>
      <c r="B24" s="7" t="s">
        <v>1665</v>
      </c>
    </row>
    <row r="25" spans="1:2" x14ac:dyDescent="0.3">
      <c r="A25" s="6" t="s">
        <v>1628</v>
      </c>
      <c r="B25" s="7" t="s">
        <v>1666</v>
      </c>
    </row>
    <row r="26" spans="1:2" x14ac:dyDescent="0.3">
      <c r="A26" s="6" t="s">
        <v>1629</v>
      </c>
      <c r="B26" s="7" t="s">
        <v>1667</v>
      </c>
    </row>
    <row r="27" spans="1:2" x14ac:dyDescent="0.3">
      <c r="A27" s="6" t="s">
        <v>1630</v>
      </c>
      <c r="B27" s="7" t="s">
        <v>1668</v>
      </c>
    </row>
    <row r="28" spans="1:2" x14ac:dyDescent="0.3">
      <c r="A28" s="6" t="s">
        <v>1631</v>
      </c>
      <c r="B28" s="7" t="s">
        <v>1669</v>
      </c>
    </row>
    <row r="29" spans="1:2" x14ac:dyDescent="0.3">
      <c r="A29" s="6" t="s">
        <v>1632</v>
      </c>
      <c r="B29" s="7" t="s">
        <v>1670</v>
      </c>
    </row>
    <row r="30" spans="1:2" x14ac:dyDescent="0.3">
      <c r="A30" s="6" t="s">
        <v>1633</v>
      </c>
      <c r="B30" s="7" t="s">
        <v>1671</v>
      </c>
    </row>
    <row r="31" spans="1:2" x14ac:dyDescent="0.3">
      <c r="A31" s="6" t="s">
        <v>1634</v>
      </c>
      <c r="B31" s="7" t="s">
        <v>1672</v>
      </c>
    </row>
    <row r="32" spans="1:2" x14ac:dyDescent="0.3">
      <c r="A32" s="6" t="s">
        <v>1635</v>
      </c>
      <c r="B32" s="7" t="s">
        <v>1772</v>
      </c>
    </row>
    <row r="33" spans="1:2" x14ac:dyDescent="0.3">
      <c r="A33" s="6" t="s">
        <v>1673</v>
      </c>
      <c r="B33" s="7" t="s">
        <v>1674</v>
      </c>
    </row>
    <row r="34" spans="1:2" x14ac:dyDescent="0.3">
      <c r="A34" s="6" t="s">
        <v>1636</v>
      </c>
      <c r="B34" s="7" t="s">
        <v>1675</v>
      </c>
    </row>
    <row r="35" spans="1:2" x14ac:dyDescent="0.3">
      <c r="A35" s="6" t="s">
        <v>1676</v>
      </c>
      <c r="B35" s="7" t="s">
        <v>1677</v>
      </c>
    </row>
    <row r="36" spans="1:2" x14ac:dyDescent="0.3">
      <c r="A36" s="6" t="s">
        <v>1637</v>
      </c>
      <c r="B36" s="7" t="s">
        <v>1678</v>
      </c>
    </row>
    <row r="37" spans="1:2" x14ac:dyDescent="0.3">
      <c r="A37" s="6" t="s">
        <v>1638</v>
      </c>
      <c r="B37" s="7" t="s">
        <v>1679</v>
      </c>
    </row>
    <row r="38" spans="1:2" x14ac:dyDescent="0.3">
      <c r="A38" s="6" t="s">
        <v>1639</v>
      </c>
      <c r="B38" s="7" t="s">
        <v>1680</v>
      </c>
    </row>
    <row r="39" spans="1:2" x14ac:dyDescent="0.3">
      <c r="A39" s="6" t="s">
        <v>1681</v>
      </c>
      <c r="B39" s="7" t="s">
        <v>1682</v>
      </c>
    </row>
    <row r="40" spans="1:2" x14ac:dyDescent="0.3">
      <c r="A40" s="6" t="s">
        <v>1640</v>
      </c>
      <c r="B40" s="7" t="s">
        <v>1683</v>
      </c>
    </row>
    <row r="41" spans="1:2" x14ac:dyDescent="0.3">
      <c r="A41" s="8"/>
      <c r="B41" s="9"/>
    </row>
    <row r="42" spans="1:2" x14ac:dyDescent="0.3">
      <c r="A42" s="13"/>
      <c r="B42" s="13"/>
    </row>
    <row r="43" spans="1:2" x14ac:dyDescent="0.3">
      <c r="A43" s="10" t="s">
        <v>1651</v>
      </c>
      <c r="B43" s="89" t="s">
        <v>1684</v>
      </c>
    </row>
    <row r="44" spans="1:2" ht="19.2" x14ac:dyDescent="0.3">
      <c r="A44" s="11" t="s">
        <v>1685</v>
      </c>
      <c r="B44" s="90"/>
    </row>
    <row r="45" spans="1:2" x14ac:dyDescent="0.3">
      <c r="A45" s="6"/>
      <c r="B45" s="12"/>
    </row>
    <row r="46" spans="1:2" x14ac:dyDescent="0.3">
      <c r="A46" s="6" t="s">
        <v>1641</v>
      </c>
      <c r="B46" s="7" t="s">
        <v>1686</v>
      </c>
    </row>
    <row r="47" spans="1:2" x14ac:dyDescent="0.3">
      <c r="A47" s="6" t="s">
        <v>1642</v>
      </c>
      <c r="B47" s="7" t="s">
        <v>1687</v>
      </c>
    </row>
    <row r="48" spans="1:2" x14ac:dyDescent="0.3">
      <c r="A48" s="6" t="s">
        <v>1643</v>
      </c>
      <c r="B48" s="7" t="s">
        <v>1688</v>
      </c>
    </row>
    <row r="49" spans="1:3" x14ac:dyDescent="0.3">
      <c r="A49" s="6" t="s">
        <v>1689</v>
      </c>
      <c r="B49" s="7" t="s">
        <v>1690</v>
      </c>
    </row>
    <row r="50" spans="1:3" x14ac:dyDescent="0.3">
      <c r="A50" s="6" t="s">
        <v>1644</v>
      </c>
      <c r="B50" s="7" t="s">
        <v>1691</v>
      </c>
    </row>
    <row r="51" spans="1:3" x14ac:dyDescent="0.3">
      <c r="A51" s="6" t="s">
        <v>1645</v>
      </c>
      <c r="B51" s="7" t="s">
        <v>1692</v>
      </c>
    </row>
    <row r="52" spans="1:3" x14ac:dyDescent="0.3">
      <c r="A52" s="6" t="s">
        <v>1693</v>
      </c>
      <c r="B52" s="7" t="s">
        <v>1694</v>
      </c>
    </row>
    <row r="53" spans="1:3" x14ac:dyDescent="0.3">
      <c r="A53" s="6" t="s">
        <v>1695</v>
      </c>
      <c r="B53" s="7" t="s">
        <v>1696</v>
      </c>
    </row>
    <row r="54" spans="1:3" x14ac:dyDescent="0.3">
      <c r="A54" s="6" t="s">
        <v>1646</v>
      </c>
      <c r="B54" s="7" t="s">
        <v>1697</v>
      </c>
    </row>
    <row r="55" spans="1:3" x14ac:dyDescent="0.3">
      <c r="A55" s="6" t="s">
        <v>1698</v>
      </c>
      <c r="B55" s="7" t="s">
        <v>1699</v>
      </c>
    </row>
    <row r="56" spans="1:3" x14ac:dyDescent="0.3">
      <c r="A56" s="6" t="s">
        <v>1700</v>
      </c>
      <c r="B56" s="7" t="s">
        <v>1701</v>
      </c>
    </row>
    <row r="57" spans="1:3" x14ac:dyDescent="0.3">
      <c r="A57" s="6" t="s">
        <v>1647</v>
      </c>
      <c r="B57" s="7" t="s">
        <v>1702</v>
      </c>
    </row>
    <row r="58" spans="1:3" x14ac:dyDescent="0.3">
      <c r="A58" s="6" t="s">
        <v>1648</v>
      </c>
      <c r="B58" s="7" t="s">
        <v>1703</v>
      </c>
    </row>
    <row r="59" spans="1:3" x14ac:dyDescent="0.3">
      <c r="A59" s="6" t="s">
        <v>1649</v>
      </c>
      <c r="B59" s="7" t="s">
        <v>1704</v>
      </c>
    </row>
    <row r="60" spans="1:3" x14ac:dyDescent="0.3">
      <c r="A60" s="6" t="s">
        <v>1650</v>
      </c>
      <c r="B60" s="7" t="s">
        <v>1705</v>
      </c>
    </row>
    <row r="61" spans="1:3" x14ac:dyDescent="0.3">
      <c r="A61" s="91"/>
      <c r="B61" s="92"/>
    </row>
    <row r="62" spans="1:3" x14ac:dyDescent="0.3">
      <c r="A62" s="29" t="s">
        <v>1609</v>
      </c>
      <c r="B62" s="94" t="s">
        <v>1706</v>
      </c>
      <c r="C62" s="95"/>
    </row>
    <row r="63" spans="1:3" ht="19.2" x14ac:dyDescent="0.3">
      <c r="A63" s="30" t="s">
        <v>1707</v>
      </c>
      <c r="B63" s="96"/>
      <c r="C63" s="97"/>
    </row>
    <row r="64" spans="1:3" x14ac:dyDescent="0.3">
      <c r="A64" s="31"/>
      <c r="B64" s="34" t="s">
        <v>2160</v>
      </c>
      <c r="C64" s="34" t="s">
        <v>2161</v>
      </c>
    </row>
    <row r="65" spans="1:3" ht="20.399999999999999" x14ac:dyDescent="0.3">
      <c r="A65" s="32" t="s">
        <v>17</v>
      </c>
      <c r="B65" s="32" t="s">
        <v>1708</v>
      </c>
      <c r="C65" s="32" t="s">
        <v>1708</v>
      </c>
    </row>
    <row r="66" spans="1:3" ht="20.399999999999999" x14ac:dyDescent="0.3">
      <c r="A66" s="32" t="s">
        <v>14</v>
      </c>
      <c r="B66" s="32" t="s">
        <v>1709</v>
      </c>
      <c r="C66" s="32" t="s">
        <v>1709</v>
      </c>
    </row>
    <row r="67" spans="1:3" ht="28.8" x14ac:dyDescent="0.3">
      <c r="A67" s="32" t="s">
        <v>15</v>
      </c>
      <c r="B67" s="33" t="s">
        <v>2138</v>
      </c>
      <c r="C67" s="33" t="s">
        <v>2157</v>
      </c>
    </row>
    <row r="68" spans="1:3" ht="20.399999999999999" x14ac:dyDescent="0.3">
      <c r="A68" s="32" t="s">
        <v>1710</v>
      </c>
      <c r="B68" s="32" t="s">
        <v>2139</v>
      </c>
      <c r="C68" s="32" t="s">
        <v>2158</v>
      </c>
    </row>
    <row r="69" spans="1:3" ht="20.399999999999999" x14ac:dyDescent="0.3">
      <c r="A69" s="32" t="s">
        <v>2140</v>
      </c>
      <c r="B69" s="32" t="s">
        <v>2141</v>
      </c>
      <c r="C69" s="32" t="s">
        <v>2159</v>
      </c>
    </row>
    <row r="70" spans="1:3" ht="20.399999999999999" x14ac:dyDescent="0.3">
      <c r="A70" s="32" t="s">
        <v>16</v>
      </c>
      <c r="B70" s="32" t="s">
        <v>1711</v>
      </c>
      <c r="C70" s="32" t="s">
        <v>1711</v>
      </c>
    </row>
    <row r="71" spans="1:3" ht="20.399999999999999" x14ac:dyDescent="0.3">
      <c r="A71" s="32" t="s">
        <v>1621</v>
      </c>
      <c r="B71" s="32" t="s">
        <v>1712</v>
      </c>
      <c r="C71" s="32" t="s">
        <v>1712</v>
      </c>
    </row>
    <row r="72" spans="1:3" s="20" customFormat="1" x14ac:dyDescent="0.3">
      <c r="A72" s="21"/>
      <c r="B72" s="21"/>
    </row>
    <row r="74" spans="1:3" x14ac:dyDescent="0.3">
      <c r="A74" s="14" t="s">
        <v>1714</v>
      </c>
      <c r="B74" s="14" t="s">
        <v>1717</v>
      </c>
      <c r="C74" s="15" t="s">
        <v>1718</v>
      </c>
    </row>
    <row r="75" spans="1:3" ht="20.399999999999999" x14ac:dyDescent="0.3">
      <c r="A75" s="16" t="s">
        <v>31</v>
      </c>
      <c r="B75" s="16" t="s">
        <v>1721</v>
      </c>
      <c r="C75" s="17" t="s">
        <v>1722</v>
      </c>
    </row>
    <row r="76" spans="1:3" x14ac:dyDescent="0.3">
      <c r="A76" s="16" t="s">
        <v>30</v>
      </c>
      <c r="B76" s="16" t="s">
        <v>1720</v>
      </c>
      <c r="C76" s="18" t="s">
        <v>1723</v>
      </c>
    </row>
    <row r="77" spans="1:3" ht="40.799999999999997" x14ac:dyDescent="0.3">
      <c r="A77" s="16" t="s">
        <v>32</v>
      </c>
      <c r="B77" s="16" t="s">
        <v>1726</v>
      </c>
      <c r="C77" s="17" t="s">
        <v>1724</v>
      </c>
    </row>
    <row r="78" spans="1:3" ht="20.399999999999999" x14ac:dyDescent="0.3">
      <c r="A78" s="16" t="s">
        <v>2149</v>
      </c>
      <c r="B78" s="16" t="s">
        <v>2122</v>
      </c>
      <c r="C78" s="19" t="s">
        <v>1725</v>
      </c>
    </row>
    <row r="79" spans="1:3" ht="30.6" x14ac:dyDescent="0.3">
      <c r="A79" s="16" t="s">
        <v>1713</v>
      </c>
      <c r="B79" s="16" t="s">
        <v>2123</v>
      </c>
      <c r="C79" s="19" t="s">
        <v>2162</v>
      </c>
    </row>
    <row r="80" spans="1:3" s="26" customFormat="1" x14ac:dyDescent="0.3">
      <c r="A80" s="16" t="s">
        <v>2120</v>
      </c>
      <c r="B80" s="16" t="s">
        <v>2121</v>
      </c>
      <c r="C80" s="27" t="s">
        <v>2124</v>
      </c>
    </row>
    <row r="81" spans="1:3" x14ac:dyDescent="0.3">
      <c r="A81" s="28" t="s">
        <v>1715</v>
      </c>
    </row>
    <row r="83" spans="1:3" x14ac:dyDescent="0.3">
      <c r="A83" s="37" t="s">
        <v>1608</v>
      </c>
      <c r="B83" s="63" t="s">
        <v>1706</v>
      </c>
      <c r="C83" s="39"/>
    </row>
    <row r="84" spans="1:3" ht="136.19999999999999" customHeight="1" x14ac:dyDescent="0.3">
      <c r="A84" s="38" t="s">
        <v>18</v>
      </c>
      <c r="B84" s="64" t="s">
        <v>2234</v>
      </c>
      <c r="C84" s="40"/>
    </row>
    <row r="85" spans="1:3" x14ac:dyDescent="0.3">
      <c r="A85" s="38" t="s">
        <v>19</v>
      </c>
      <c r="B85" s="64" t="s">
        <v>2235</v>
      </c>
      <c r="C85" s="40"/>
    </row>
    <row r="86" spans="1:3" ht="45.6" customHeight="1" x14ac:dyDescent="0.3">
      <c r="A86" s="38" t="s">
        <v>1719</v>
      </c>
      <c r="B86" s="65" t="s">
        <v>2236</v>
      </c>
      <c r="C86" s="40"/>
    </row>
    <row r="87" spans="1:3" ht="36" customHeight="1" x14ac:dyDescent="0.3">
      <c r="A87" s="38" t="s">
        <v>28</v>
      </c>
      <c r="B87" s="64" t="s">
        <v>2237</v>
      </c>
      <c r="C87" s="40"/>
    </row>
    <row r="88" spans="1:3" x14ac:dyDescent="0.3">
      <c r="A88" s="38" t="s">
        <v>20</v>
      </c>
      <c r="B88" s="64" t="s">
        <v>2238</v>
      </c>
      <c r="C88" s="40"/>
    </row>
    <row r="89" spans="1:3" ht="24" customHeight="1" x14ac:dyDescent="0.3">
      <c r="A89" s="38" t="s">
        <v>2232</v>
      </c>
      <c r="B89" s="64" t="s">
        <v>2239</v>
      </c>
      <c r="C89" s="40"/>
    </row>
    <row r="90" spans="1:3" ht="54.6" customHeight="1" x14ac:dyDescent="0.3">
      <c r="A90" s="38" t="s">
        <v>1716</v>
      </c>
      <c r="B90" s="65" t="s">
        <v>2240</v>
      </c>
      <c r="C90" s="40"/>
    </row>
    <row r="91" spans="1:3" ht="21.6" x14ac:dyDescent="0.3">
      <c r="A91" s="38" t="s">
        <v>22</v>
      </c>
      <c r="B91" s="64" t="s">
        <v>2241</v>
      </c>
      <c r="C91" s="40"/>
    </row>
    <row r="92" spans="1:3" ht="54.6" customHeight="1" x14ac:dyDescent="0.3">
      <c r="A92" s="38" t="s">
        <v>2233</v>
      </c>
      <c r="B92" s="64" t="s">
        <v>2242</v>
      </c>
      <c r="C92" s="40"/>
    </row>
    <row r="93" spans="1:3" s="35" customFormat="1" x14ac:dyDescent="0.3">
      <c r="A93" s="38" t="s">
        <v>2231</v>
      </c>
      <c r="B93" s="64" t="s">
        <v>2243</v>
      </c>
      <c r="C93" s="41"/>
    </row>
    <row r="94" spans="1:3" ht="55.2" customHeight="1" x14ac:dyDescent="0.3">
      <c r="A94" s="38" t="s">
        <v>29</v>
      </c>
      <c r="B94" s="64" t="s">
        <v>2244</v>
      </c>
      <c r="C94" s="40"/>
    </row>
    <row r="95" spans="1:3" x14ac:dyDescent="0.3">
      <c r="A95" s="38" t="s">
        <v>16</v>
      </c>
      <c r="B95" s="64" t="s">
        <v>2245</v>
      </c>
      <c r="C95" s="40"/>
    </row>
    <row r="96" spans="1:3" ht="34.200000000000003" customHeight="1" x14ac:dyDescent="0.3">
      <c r="A96" s="38" t="s">
        <v>23</v>
      </c>
      <c r="B96" s="64" t="s">
        <v>2246</v>
      </c>
      <c r="C96" s="40"/>
    </row>
    <row r="97" spans="1:3" ht="55.2" customHeight="1" x14ac:dyDescent="0.3">
      <c r="A97" s="38" t="s">
        <v>24</v>
      </c>
      <c r="B97" s="64" t="s">
        <v>2247</v>
      </c>
      <c r="C97" s="40"/>
    </row>
    <row r="98" spans="1:3" ht="55.8" customHeight="1" x14ac:dyDescent="0.3">
      <c r="A98" s="38" t="s">
        <v>25</v>
      </c>
      <c r="B98" s="64" t="s">
        <v>2248</v>
      </c>
      <c r="C98" s="40"/>
    </row>
    <row r="99" spans="1:3" s="35" customFormat="1" ht="35.4" customHeight="1" x14ac:dyDescent="0.3">
      <c r="A99" s="38" t="s">
        <v>1553</v>
      </c>
      <c r="B99" s="64" t="s">
        <v>2249</v>
      </c>
      <c r="C99" s="41"/>
    </row>
    <row r="100" spans="1:3" ht="147.6" customHeight="1" x14ac:dyDescent="0.3">
      <c r="A100" s="38" t="s">
        <v>2125</v>
      </c>
      <c r="B100" s="64" t="s">
        <v>2250</v>
      </c>
      <c r="C100" s="22"/>
    </row>
    <row r="101" spans="1:3" x14ac:dyDescent="0.3">
      <c r="C101" s="22"/>
    </row>
    <row r="102" spans="1:3" x14ac:dyDescent="0.3">
      <c r="C102" s="22"/>
    </row>
    <row r="103" spans="1:3" x14ac:dyDescent="0.3">
      <c r="C103" s="22"/>
    </row>
    <row r="104" spans="1:3" x14ac:dyDescent="0.3">
      <c r="C104" s="22"/>
    </row>
    <row r="105" spans="1:3" x14ac:dyDescent="0.3">
      <c r="C105" s="22"/>
    </row>
    <row r="106" spans="1:3" x14ac:dyDescent="0.3">
      <c r="C106" s="22"/>
    </row>
    <row r="107" spans="1:3" x14ac:dyDescent="0.3">
      <c r="C107" s="22"/>
    </row>
    <row r="108" spans="1:3" x14ac:dyDescent="0.3">
      <c r="C108" s="22"/>
    </row>
    <row r="109" spans="1:3" x14ac:dyDescent="0.3">
      <c r="C109" s="22"/>
    </row>
    <row r="110" spans="1:3" x14ac:dyDescent="0.3">
      <c r="C110" s="22"/>
    </row>
  </sheetData>
  <sortState ref="A83:A97">
    <sortCondition ref="A83:A97"/>
  </sortState>
  <mergeCells count="20">
    <mergeCell ref="A4:C4"/>
    <mergeCell ref="A8:B8"/>
    <mergeCell ref="A2:C2"/>
    <mergeCell ref="A1:C1"/>
    <mergeCell ref="A3:C3"/>
    <mergeCell ref="A6:C6"/>
    <mergeCell ref="A7:C7"/>
    <mergeCell ref="A9:C9"/>
    <mergeCell ref="A14:B15"/>
    <mergeCell ref="A17:B17"/>
    <mergeCell ref="A13:B13"/>
    <mergeCell ref="A16:B16"/>
    <mergeCell ref="A10:C10"/>
    <mergeCell ref="A11:C11"/>
    <mergeCell ref="A12:C12"/>
    <mergeCell ref="B43:B44"/>
    <mergeCell ref="A61:B61"/>
    <mergeCell ref="A18:B18"/>
    <mergeCell ref="B19:B20"/>
    <mergeCell ref="B62:C63"/>
  </mergeCells>
  <hyperlinks>
    <hyperlink ref="A81" r:id="rId1"/>
  </hyperlinks>
  <printOptions horizontalCentered="1"/>
  <pageMargins left="0.7" right="0.7" top="0.5" bottom="0.5" header="0.3" footer="0.3"/>
  <pageSetup scale="73" fitToHeight="9" orientation="portrait" r:id="rId2"/>
  <headerFooter>
    <oddFooter>&amp;C&amp;P of &amp;N</oddFooter>
  </headerFooter>
  <rowBreaks count="2" manualBreakCount="2">
    <brk id="41" max="2" man="1"/>
    <brk id="81"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Pivot</vt:lpstr>
      <vt:lpstr>Data</vt:lpstr>
      <vt:lpstr>Instructions &amp; Footnotes</vt:lpstr>
      <vt:lpstr>'Instructions &amp; Footnotes'!Print_Area</vt:lpstr>
      <vt:lpstr>Pivot!Print_Area</vt:lpstr>
      <vt:lpstr>Profile!Print_Area</vt:lpstr>
      <vt:lpstr>'Instructions &amp; Footnotes'!Print_Titles</vt:lpstr>
      <vt:lpstr>Profile!Print_Titles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keywords>Emergency Department Data, Pivot Profile, OSHPD, Office of Statewide Health Planning and Development</cp:keywords>
  <cp:lastModifiedBy>Costa, Julie@OSHPD</cp:lastModifiedBy>
  <cp:lastPrinted>2016-10-11T17:02:41Z</cp:lastPrinted>
  <dcterms:created xsi:type="dcterms:W3CDTF">2014-08-06T20:01:49Z</dcterms:created>
  <dcterms:modified xsi:type="dcterms:W3CDTF">2016-10-13T15:05:48Z</dcterms:modified>
</cp:coreProperties>
</file>