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codeName="{1AED2BDD-1FA3-CEF2-32D4-FBADEFEB71EE}"/>
  <workbookPr codeName="ThisWorkbook" defaultThemeVersion="124226"/>
  <mc:AlternateContent xmlns:mc="http://schemas.openxmlformats.org/markup-compatibility/2006">
    <mc:Choice Requires="x15">
      <x15ac:absPath xmlns:x15ac="http://schemas.microsoft.com/office/spreadsheetml/2010/11/ac" url="T:\HIRC\HIRC Products\PivotTables\ED\"/>
    </mc:Choice>
  </mc:AlternateContent>
  <xr:revisionPtr revIDLastSave="0" documentId="13_ncr:1_{8B939DA3-E5C6-4EC4-A279-35B1A6D7CFB8}" xr6:coauthVersionLast="44" xr6:coauthVersionMax="44" xr10:uidLastSave="{00000000-0000-0000-0000-000000000000}"/>
  <bookViews>
    <workbookView xWindow="-108" yWindow="-108" windowWidth="23256" windowHeight="12576" tabRatio="772" xr2:uid="{00000000-000D-0000-FFFF-FFFF00000000}"/>
  </bookViews>
  <sheets>
    <sheet name="Pivot Profile" sheetId="2" r:id="rId1"/>
    <sheet name="Pivot" sheetId="4" r:id="rId2"/>
    <sheet name="Data" sheetId="1" r:id="rId3"/>
    <sheet name="Instructions &amp; Footnotes" sheetId="6" r:id="rId4"/>
  </sheets>
  <definedNames>
    <definedName name="_xlnm._FilterDatabase" localSheetId="2" hidden="1">Data!$A$1:$GB$329</definedName>
    <definedName name="_xlnm.Print_Area" localSheetId="3">'Instructions &amp; Footnotes'!$A$1:$C$97</definedName>
    <definedName name="_xlnm.Print_Area" localSheetId="0">'Pivot Profile'!$A$2:$H$131</definedName>
    <definedName name="_xlnm.Print_Titles" localSheetId="3">'Instructions &amp; Footnotes'!$1:$3</definedName>
  </definedNames>
  <calcPr calcId="191029"/>
  <pivotCaches>
    <pivotCache cacheId="1" r:id="rId5"/>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5" i="2" l="1"/>
  <c r="B14" i="2"/>
  <c r="B13" i="2"/>
  <c r="B12" i="2"/>
  <c r="B8" i="2"/>
  <c r="B9" i="2"/>
  <c r="B10" i="2"/>
  <c r="B11" i="2"/>
  <c r="H18" i="2" l="1"/>
  <c r="D28" i="2"/>
  <c r="D33" i="2"/>
  <c r="B67" i="2"/>
  <c r="B23" i="2"/>
  <c r="B115" i="2"/>
  <c r="D128" i="2"/>
  <c r="B99" i="2"/>
  <c r="D27" i="2"/>
  <c r="D52" i="2"/>
  <c r="D106" i="2"/>
  <c r="B48" i="2"/>
  <c r="B36" i="2"/>
  <c r="B34" i="2"/>
  <c r="D71" i="2"/>
  <c r="B28" i="2"/>
  <c r="D25" i="2"/>
  <c r="B49" i="2"/>
  <c r="B84" i="2"/>
  <c r="B106" i="2"/>
  <c r="D118" i="2"/>
  <c r="D32" i="2"/>
  <c r="D43" i="2"/>
  <c r="B53" i="2"/>
  <c r="B101" i="2"/>
  <c r="D117" i="2"/>
  <c r="B125" i="2"/>
  <c r="D93" i="2"/>
  <c r="B91" i="2"/>
  <c r="B60" i="2"/>
  <c r="B22" i="2"/>
  <c r="D61" i="2"/>
  <c r="B30" i="2"/>
  <c r="B95" i="2"/>
  <c r="D36" i="2"/>
  <c r="D127" i="2"/>
  <c r="D101" i="2"/>
  <c r="B86" i="2"/>
  <c r="B50" i="2"/>
  <c r="D24" i="2"/>
  <c r="D53" i="2"/>
  <c r="D99" i="2"/>
  <c r="B58" i="2"/>
  <c r="B46" i="2"/>
  <c r="D108" i="2"/>
  <c r="B108" i="2"/>
  <c r="D69" i="2"/>
  <c r="D104" i="2"/>
  <c r="B104" i="2"/>
  <c r="B96" i="2"/>
  <c r="B62" i="2"/>
  <c r="B59" i="2"/>
  <c r="D84" i="2"/>
  <c r="D22" i="2"/>
  <c r="B51" i="2"/>
  <c r="D98" i="2"/>
  <c r="B70" i="2"/>
  <c r="D77" i="2"/>
  <c r="B128" i="2"/>
  <c r="B72" i="2"/>
  <c r="B118" i="2"/>
  <c r="D100" i="2"/>
  <c r="D97" i="2"/>
  <c r="B103" i="2"/>
  <c r="B32" i="2"/>
  <c r="B130" i="2"/>
  <c r="D70" i="2"/>
  <c r="D44" i="2"/>
  <c r="D109" i="2"/>
  <c r="D67" i="2"/>
  <c r="D115" i="2"/>
  <c r="B33" i="2"/>
  <c r="B71" i="2"/>
  <c r="D23" i="2"/>
  <c r="D35" i="2"/>
  <c r="D103" i="2"/>
  <c r="B105" i="2"/>
  <c r="B93" i="2"/>
  <c r="B26" i="2"/>
  <c r="B124" i="2"/>
  <c r="B69" i="2"/>
  <c r="B25" i="2"/>
  <c r="B45" i="2"/>
  <c r="B85" i="2"/>
  <c r="D31" i="2"/>
  <c r="D30" i="2"/>
  <c r="D79" i="2"/>
  <c r="D68" i="2"/>
  <c r="B29" i="2"/>
  <c r="D122" i="2"/>
  <c r="B43" i="2"/>
  <c r="D105" i="2"/>
  <c r="D116" i="2"/>
  <c r="D119" i="2"/>
  <c r="B68" i="2"/>
  <c r="D95" i="2"/>
  <c r="D94" i="2"/>
  <c r="D58" i="2"/>
  <c r="D96" i="2"/>
  <c r="B52" i="2"/>
  <c r="B116" i="2"/>
  <c r="B102" i="2"/>
  <c r="B31" i="2"/>
  <c r="B94" i="2"/>
  <c r="D129" i="2"/>
  <c r="B109" i="2"/>
  <c r="B100" i="2"/>
  <c r="B129" i="2"/>
  <c r="D121" i="2"/>
  <c r="D78" i="2"/>
  <c r="D48" i="2"/>
  <c r="D50" i="2"/>
  <c r="D85" i="2"/>
  <c r="B79" i="2"/>
  <c r="D60" i="2"/>
  <c r="B24" i="2"/>
  <c r="B98" i="2"/>
  <c r="D102" i="2"/>
  <c r="D45" i="2"/>
  <c r="D72" i="2"/>
  <c r="B27" i="2"/>
  <c r="B122" i="2"/>
  <c r="D123" i="2"/>
  <c r="B92" i="2"/>
  <c r="B120" i="2"/>
  <c r="D62" i="2"/>
  <c r="D51" i="2"/>
  <c r="D120" i="2"/>
  <c r="D130" i="2"/>
  <c r="D126" i="2"/>
  <c r="D124" i="2"/>
  <c r="D125" i="2"/>
  <c r="B78" i="2"/>
  <c r="D26" i="2"/>
  <c r="B126" i="2"/>
  <c r="B77" i="2"/>
  <c r="D86" i="2"/>
  <c r="B123" i="2"/>
  <c r="D92" i="2"/>
  <c r="B35" i="2"/>
  <c r="B121" i="2"/>
  <c r="D29" i="2"/>
  <c r="D110" i="2"/>
  <c r="B117" i="2"/>
  <c r="B107" i="2"/>
  <c r="D49" i="2"/>
  <c r="B127" i="2"/>
  <c r="D46" i="2"/>
  <c r="B110" i="2"/>
  <c r="D47" i="2"/>
  <c r="B47" i="2"/>
  <c r="B119" i="2"/>
  <c r="D59" i="2"/>
  <c r="D34" i="2"/>
  <c r="B97" i="2"/>
  <c r="B61" i="2"/>
  <c r="B44" i="2"/>
  <c r="D91" i="2"/>
  <c r="D107" i="2"/>
  <c r="D111" i="2" l="1"/>
  <c r="F44" i="2"/>
  <c r="F61" i="2"/>
  <c r="F97" i="2"/>
  <c r="F119" i="2"/>
  <c r="F47" i="2"/>
  <c r="F110" i="2"/>
  <c r="F127" i="2"/>
  <c r="F107" i="2"/>
  <c r="F117" i="2"/>
  <c r="F121" i="2"/>
  <c r="F35" i="2"/>
  <c r="F123" i="2"/>
  <c r="B80" i="2"/>
  <c r="F77" i="2"/>
  <c r="F80" i="2" s="1"/>
  <c r="G77" i="2" s="1"/>
  <c r="F126" i="2"/>
  <c r="F78" i="2"/>
  <c r="F120" i="2"/>
  <c r="F92" i="2"/>
  <c r="F122" i="2"/>
  <c r="F27" i="2"/>
  <c r="F98" i="2"/>
  <c r="F24" i="2"/>
  <c r="F79" i="2"/>
  <c r="F129" i="2"/>
  <c r="F100" i="2"/>
  <c r="F109" i="2"/>
  <c r="F94" i="2"/>
  <c r="F31" i="2"/>
  <c r="F102" i="2"/>
  <c r="F116" i="2"/>
  <c r="F52" i="2"/>
  <c r="D63" i="2"/>
  <c r="F68" i="2"/>
  <c r="F43" i="2"/>
  <c r="B54" i="2"/>
  <c r="F29" i="2"/>
  <c r="F85" i="2"/>
  <c r="C85" i="2"/>
  <c r="F45" i="2"/>
  <c r="F25" i="2"/>
  <c r="F69" i="2"/>
  <c r="F124" i="2"/>
  <c r="F26" i="2"/>
  <c r="F93" i="2"/>
  <c r="F105" i="2"/>
  <c r="F71" i="2"/>
  <c r="F33" i="2"/>
  <c r="D131" i="2"/>
  <c r="D73" i="2"/>
  <c r="F130" i="2"/>
  <c r="F32" i="2"/>
  <c r="F103" i="2"/>
  <c r="F118" i="2"/>
  <c r="F72" i="2"/>
  <c r="F128" i="2"/>
  <c r="D80" i="2"/>
  <c r="E77" i="2"/>
  <c r="F70" i="2"/>
  <c r="F51" i="2"/>
  <c r="D37" i="2"/>
  <c r="D87" i="2"/>
  <c r="F59" i="2"/>
  <c r="F62" i="2"/>
  <c r="F96" i="2"/>
  <c r="F104" i="2"/>
  <c r="F108" i="2"/>
  <c r="F46" i="2"/>
  <c r="F58" i="2"/>
  <c r="B63" i="2"/>
  <c r="F50" i="2"/>
  <c r="F86" i="2"/>
  <c r="F95" i="2"/>
  <c r="F30" i="2"/>
  <c r="B37" i="2"/>
  <c r="F22" i="2"/>
  <c r="F60" i="2"/>
  <c r="B111" i="2"/>
  <c r="F91" i="2"/>
  <c r="F125" i="2"/>
  <c r="F101" i="2"/>
  <c r="F53" i="2"/>
  <c r="D54" i="2"/>
  <c r="F106" i="2"/>
  <c r="B87" i="2"/>
  <c r="F84" i="2"/>
  <c r="F87" i="2" s="1"/>
  <c r="G84" i="2" s="1"/>
  <c r="C84" i="2"/>
  <c r="F49" i="2"/>
  <c r="F28" i="2"/>
  <c r="F34" i="2"/>
  <c r="F36" i="2"/>
  <c r="F48" i="2"/>
  <c r="F99" i="2"/>
  <c r="B131" i="2"/>
  <c r="F115" i="2"/>
  <c r="F23" i="2"/>
  <c r="B73" i="2"/>
  <c r="F67" i="2"/>
  <c r="B6" i="2"/>
  <c r="B18" i="2"/>
  <c r="B7" i="2"/>
  <c r="B16" i="2"/>
  <c r="B17" i="2"/>
  <c r="F73" i="2" l="1"/>
  <c r="G67" i="2"/>
  <c r="C86" i="2"/>
  <c r="F37" i="2"/>
  <c r="G28" i="2" s="1"/>
  <c r="F111" i="2"/>
  <c r="G97" i="2" s="1"/>
  <c r="G86" i="2"/>
  <c r="F63" i="2"/>
  <c r="E84" i="2"/>
  <c r="F54" i="2"/>
  <c r="G44" i="2" s="1"/>
  <c r="E85" i="2"/>
  <c r="C77" i="2"/>
  <c r="E79" i="2"/>
  <c r="C79" i="2"/>
  <c r="F131" i="2"/>
  <c r="G130" i="2" s="1"/>
  <c r="G79" i="2"/>
  <c r="G71" i="2"/>
  <c r="C78" i="2"/>
  <c r="E86" i="2"/>
  <c r="G78" i="2"/>
  <c r="G80" i="2" s="1"/>
  <c r="E78" i="2"/>
  <c r="E80" i="2" s="1"/>
  <c r="C87" i="2"/>
  <c r="G85" i="2"/>
  <c r="G87" i="2" s="1"/>
  <c r="G99" i="2" l="1"/>
  <c r="G119" i="2"/>
  <c r="G49" i="2"/>
  <c r="G127" i="2"/>
  <c r="G116" i="2"/>
  <c r="G102" i="2"/>
  <c r="G118" i="2"/>
  <c r="G108" i="2"/>
  <c r="G93" i="2"/>
  <c r="G107" i="2"/>
  <c r="G110" i="2"/>
  <c r="G123" i="2"/>
  <c r="G115" i="2"/>
  <c r="G124" i="2"/>
  <c r="G94" i="2"/>
  <c r="G96" i="2"/>
  <c r="G105" i="2"/>
  <c r="G98" i="2"/>
  <c r="G104" i="2"/>
  <c r="G128" i="2"/>
  <c r="G95" i="2"/>
  <c r="G100" i="2"/>
  <c r="G34" i="2"/>
  <c r="C34" i="2"/>
  <c r="E34" i="2"/>
  <c r="E26" i="2"/>
  <c r="E35" i="2"/>
  <c r="C32" i="2"/>
  <c r="C24" i="2"/>
  <c r="E23" i="2"/>
  <c r="E36" i="2"/>
  <c r="C22" i="2"/>
  <c r="E32" i="2"/>
  <c r="C36" i="2"/>
  <c r="C25" i="2"/>
  <c r="E29" i="2"/>
  <c r="C27" i="2"/>
  <c r="C29" i="2"/>
  <c r="C26" i="2"/>
  <c r="E24" i="2"/>
  <c r="E25" i="2"/>
  <c r="E33" i="2"/>
  <c r="C28" i="2"/>
  <c r="E22" i="2"/>
  <c r="E28" i="2"/>
  <c r="C31" i="2"/>
  <c r="E30" i="2"/>
  <c r="C33" i="2"/>
  <c r="C30" i="2"/>
  <c r="C35" i="2"/>
  <c r="E31" i="2"/>
  <c r="E27" i="2"/>
  <c r="C23" i="2"/>
  <c r="G43" i="2"/>
  <c r="E48" i="2"/>
  <c r="C43" i="2"/>
  <c r="E51" i="2"/>
  <c r="E43" i="2"/>
  <c r="E46" i="2"/>
  <c r="C51" i="2"/>
  <c r="E53" i="2"/>
  <c r="C49" i="2"/>
  <c r="E49" i="2"/>
  <c r="C46" i="2"/>
  <c r="C50" i="2"/>
  <c r="C52" i="2"/>
  <c r="C45" i="2"/>
  <c r="C44" i="2"/>
  <c r="E44" i="2"/>
  <c r="C48" i="2"/>
  <c r="E45" i="2"/>
  <c r="C47" i="2"/>
  <c r="E52" i="2"/>
  <c r="E47" i="2"/>
  <c r="E50" i="2"/>
  <c r="C53" i="2"/>
  <c r="G70" i="2"/>
  <c r="G73" i="2"/>
  <c r="E69" i="2"/>
  <c r="C68" i="2"/>
  <c r="E67" i="2"/>
  <c r="C67" i="2"/>
  <c r="E72" i="2"/>
  <c r="E68" i="2"/>
  <c r="C71" i="2"/>
  <c r="E70" i="2"/>
  <c r="E71" i="2"/>
  <c r="C69" i="2"/>
  <c r="C70" i="2"/>
  <c r="C72" i="2"/>
  <c r="G25" i="2"/>
  <c r="G117" i="2"/>
  <c r="C126" i="2"/>
  <c r="E120" i="2"/>
  <c r="E115" i="2"/>
  <c r="E122" i="2"/>
  <c r="C117" i="2"/>
  <c r="C122" i="2"/>
  <c r="C116" i="2"/>
  <c r="C124" i="2"/>
  <c r="E127" i="2"/>
  <c r="C123" i="2"/>
  <c r="E121" i="2"/>
  <c r="C125" i="2"/>
  <c r="E128" i="2"/>
  <c r="E119" i="2"/>
  <c r="C128" i="2"/>
  <c r="E117" i="2"/>
  <c r="E118" i="2"/>
  <c r="C119" i="2"/>
  <c r="C127" i="2"/>
  <c r="E125" i="2"/>
  <c r="C120" i="2"/>
  <c r="C129" i="2"/>
  <c r="E116" i="2"/>
  <c r="C115" i="2"/>
  <c r="C121" i="2"/>
  <c r="E124" i="2"/>
  <c r="E126" i="2"/>
  <c r="E129" i="2"/>
  <c r="E130" i="2"/>
  <c r="E123" i="2"/>
  <c r="C130" i="2"/>
  <c r="C118" i="2"/>
  <c r="G33" i="2"/>
  <c r="G69" i="2"/>
  <c r="G91" i="2"/>
  <c r="G59" i="2"/>
  <c r="C59" i="2"/>
  <c r="C58" i="2"/>
  <c r="E59" i="2"/>
  <c r="E62" i="2"/>
  <c r="C62" i="2"/>
  <c r="E60" i="2"/>
  <c r="C60" i="2"/>
  <c r="C61" i="2"/>
  <c r="E58" i="2"/>
  <c r="E61" i="2"/>
  <c r="G36" i="2"/>
  <c r="G32" i="2"/>
  <c r="G24" i="2"/>
  <c r="G52" i="2"/>
  <c r="G60" i="2"/>
  <c r="G109" i="2"/>
  <c r="E107" i="2"/>
  <c r="C97" i="2"/>
  <c r="E92" i="2"/>
  <c r="C98" i="2"/>
  <c r="C109" i="2"/>
  <c r="E95" i="2"/>
  <c r="E103" i="2"/>
  <c r="E98" i="2"/>
  <c r="E101" i="2"/>
  <c r="E93" i="2"/>
  <c r="C110" i="2"/>
  <c r="C99" i="2"/>
  <c r="E91" i="2"/>
  <c r="E110" i="2"/>
  <c r="C108" i="2"/>
  <c r="E100" i="2"/>
  <c r="C101" i="2"/>
  <c r="E106" i="2"/>
  <c r="C94" i="2"/>
  <c r="E109" i="2"/>
  <c r="C103" i="2"/>
  <c r="E108" i="2"/>
  <c r="E96" i="2"/>
  <c r="E97" i="2"/>
  <c r="C96" i="2"/>
  <c r="C95" i="2"/>
  <c r="E105" i="2"/>
  <c r="C106" i="2"/>
  <c r="C93" i="2"/>
  <c r="C92" i="2"/>
  <c r="E102" i="2"/>
  <c r="C100" i="2"/>
  <c r="C104" i="2"/>
  <c r="C107" i="2"/>
  <c r="C102" i="2"/>
  <c r="E94" i="2"/>
  <c r="C105" i="2"/>
  <c r="E104" i="2"/>
  <c r="C91" i="2"/>
  <c r="E99" i="2"/>
  <c r="G126" i="2"/>
  <c r="G27" i="2"/>
  <c r="G31" i="2"/>
  <c r="G46" i="2"/>
  <c r="G68" i="2"/>
  <c r="G45" i="2"/>
  <c r="G47" i="2"/>
  <c r="G23" i="2"/>
  <c r="E73" i="2"/>
  <c r="G26" i="2"/>
  <c r="G120" i="2"/>
  <c r="G30" i="2"/>
  <c r="G101" i="2"/>
  <c r="G92" i="2"/>
  <c r="C80" i="2"/>
  <c r="E87" i="2"/>
  <c r="G62" i="2"/>
  <c r="G72" i="2"/>
  <c r="G29" i="2"/>
  <c r="G48" i="2"/>
  <c r="G61" i="2"/>
  <c r="G53" i="2"/>
  <c r="G50" i="2"/>
  <c r="G35" i="2"/>
  <c r="G122" i="2"/>
  <c r="C73" i="2"/>
  <c r="G51" i="2"/>
  <c r="G103" i="2"/>
  <c r="G129" i="2"/>
  <c r="G121" i="2"/>
  <c r="G106" i="2"/>
  <c r="G58" i="2"/>
  <c r="G22" i="2"/>
  <c r="G125" i="2"/>
  <c r="G131" i="2" l="1"/>
  <c r="C54" i="2"/>
  <c r="C37" i="2"/>
  <c r="C111" i="2"/>
  <c r="G111" i="2"/>
  <c r="G54" i="2"/>
  <c r="E131" i="2"/>
  <c r="E111" i="2"/>
  <c r="C131" i="2"/>
  <c r="E37" i="2"/>
  <c r="G37" i="2"/>
  <c r="C63" i="2"/>
  <c r="E54" i="2"/>
  <c r="G63" i="2"/>
  <c r="E63" i="2"/>
</calcChain>
</file>

<file path=xl/sharedStrings.xml><?xml version="1.0" encoding="utf-8"?>
<sst xmlns="http://schemas.openxmlformats.org/spreadsheetml/2006/main" count="4746" uniqueCount="2148">
  <si>
    <t>oshpd_id</t>
  </si>
  <si>
    <t>Sex_Female</t>
  </si>
  <si>
    <t>Sex_Male</t>
  </si>
  <si>
    <t>Sex_Unknown</t>
  </si>
  <si>
    <t>Age_01_09</t>
  </si>
  <si>
    <t>Age_10_19</t>
  </si>
  <si>
    <t>Age_20_29</t>
  </si>
  <si>
    <t>Age_30_39</t>
  </si>
  <si>
    <t>Age_40_49</t>
  </si>
  <si>
    <t>Age_50_59</t>
  </si>
  <si>
    <t>Age_60_69</t>
  </si>
  <si>
    <t>Age_70_79</t>
  </si>
  <si>
    <t>Age_80_</t>
  </si>
  <si>
    <t>Age_Under_1</t>
  </si>
  <si>
    <t>Age_Unknown</t>
  </si>
  <si>
    <t>Black</t>
  </si>
  <si>
    <t>Hispanic</t>
  </si>
  <si>
    <t>Other</t>
  </si>
  <si>
    <t>White</t>
  </si>
  <si>
    <t>Acute Care</t>
  </si>
  <si>
    <t>Against Medical Advice</t>
  </si>
  <si>
    <t>Died</t>
  </si>
  <si>
    <t>Home Health Service</t>
  </si>
  <si>
    <t>Hospice Care</t>
  </si>
  <si>
    <t>Other Care</t>
  </si>
  <si>
    <t>Other/Unknown</t>
  </si>
  <si>
    <t>Prison/Jail</t>
  </si>
  <si>
    <t>Psychiatric Care</t>
  </si>
  <si>
    <t>Residential Care Facility</t>
  </si>
  <si>
    <t>Routine (home)</t>
  </si>
  <si>
    <t>SN/IC Care</t>
  </si>
  <si>
    <t>Critical Access Hospital</t>
  </si>
  <si>
    <t>Not Defined Elsewhere</t>
  </si>
  <si>
    <t>Medi-Cal</t>
  </si>
  <si>
    <t>Medicare</t>
  </si>
  <si>
    <t>Private Coverage</t>
  </si>
  <si>
    <t>Uninsured</t>
  </si>
  <si>
    <t>Dx_All_Pregnancies</t>
  </si>
  <si>
    <t>Dx_Blood_Bloodforming_organs</t>
  </si>
  <si>
    <t>Dx_Circulatory</t>
  </si>
  <si>
    <t>Dx_Congenital_anomalies</t>
  </si>
  <si>
    <t>Dx_Digestive</t>
  </si>
  <si>
    <t>Dx_Endocrine_Metabolism</t>
  </si>
  <si>
    <t>Dx_Genitourinary</t>
  </si>
  <si>
    <t>Dx_Infections</t>
  </si>
  <si>
    <t>Dx_Injuries_Drugs_Complications</t>
  </si>
  <si>
    <t>Dx_Musculoskeletal</t>
  </si>
  <si>
    <t>Dx_Neoplasms</t>
  </si>
  <si>
    <t>Dx_Nervous_Sensory_Systems</t>
  </si>
  <si>
    <t>Dx_Other_Reasons</t>
  </si>
  <si>
    <t>Dx_Perinatal_disorders</t>
  </si>
  <si>
    <t>Dx_Psychoses_Neuroses</t>
  </si>
  <si>
    <t>Dx_Respiratory</t>
  </si>
  <si>
    <t>Dx_Skin_disorders</t>
  </si>
  <si>
    <t>Dx_Symptoms</t>
  </si>
  <si>
    <t>Dx_Births</t>
  </si>
  <si>
    <t>Dx_Invalid</t>
  </si>
  <si>
    <t>EC_Accidental_Falls</t>
  </si>
  <si>
    <t>EC_Accidental_Poisoning</t>
  </si>
  <si>
    <t>EC_Adverse_Effects_of_Drugs</t>
  </si>
  <si>
    <t>EC_Fire_Accidents</t>
  </si>
  <si>
    <t>EC_Inflicted_by_Others</t>
  </si>
  <si>
    <t>EC_Late_Effects_of_Injury</t>
  </si>
  <si>
    <t>EC_Misadventures_Complication</t>
  </si>
  <si>
    <t>EC_Natural_Environment</t>
  </si>
  <si>
    <t>EC_None</t>
  </si>
  <si>
    <t>EC_Other_Accidents</t>
  </si>
  <si>
    <t>EC_Other_Vehicle_Transport</t>
  </si>
  <si>
    <t>EC_Rail_Motor_Vehicle</t>
  </si>
  <si>
    <t>EC_Self_Inflicted</t>
  </si>
  <si>
    <t>EC_Submersion_Suffocation_Foreig</t>
  </si>
  <si>
    <t>EC_Undetermined</t>
  </si>
  <si>
    <t>EC_War</t>
  </si>
  <si>
    <t>ED Visit</t>
  </si>
  <si>
    <t>a_Sex_Female</t>
  </si>
  <si>
    <t>a_Sex_Male</t>
  </si>
  <si>
    <t>a_Sex_Unknown</t>
  </si>
  <si>
    <t>a_Age_10_19</t>
  </si>
  <si>
    <t>a_Age_20_29</t>
  </si>
  <si>
    <t>a_Age_30_39</t>
  </si>
  <si>
    <t>a_Age_40_49</t>
  </si>
  <si>
    <t>a_Age_50_59</t>
  </si>
  <si>
    <t>a_Age_60_69</t>
  </si>
  <si>
    <t>a_Age_70_79</t>
  </si>
  <si>
    <t>a_Age_80_</t>
  </si>
  <si>
    <t>a_Age_Under_1</t>
  </si>
  <si>
    <t>a_Age_01_09</t>
  </si>
  <si>
    <t>a_Age_Unknown</t>
  </si>
  <si>
    <t>a_Black</t>
  </si>
  <si>
    <t>a_Hispanic</t>
  </si>
  <si>
    <t>a_White</t>
  </si>
  <si>
    <t>a_Died</t>
  </si>
  <si>
    <t>a_Medicare</t>
  </si>
  <si>
    <t>a_Uninsured</t>
  </si>
  <si>
    <t>a_Dx_All_Pregnancies</t>
  </si>
  <si>
    <t>a_Dx_Blood_Bloodforming_organs</t>
  </si>
  <si>
    <t>a_Dx_Circulatory</t>
  </si>
  <si>
    <t>a_Dx_Digestive</t>
  </si>
  <si>
    <t>a_Dx_Endocrine_Metabolism</t>
  </si>
  <si>
    <t>a_Dx_Genitourinary</t>
  </si>
  <si>
    <t>a_Dx_Infections</t>
  </si>
  <si>
    <t>a_Dx_Injuries_Drugs_Complication</t>
  </si>
  <si>
    <t>a_Dx_Musculoskeletal</t>
  </si>
  <si>
    <t>a_Dx_Neoplasms</t>
  </si>
  <si>
    <t>a_Dx_Nervous_Sensory_Systems</t>
  </si>
  <si>
    <t>a_Dx_Other_Reasons</t>
  </si>
  <si>
    <t>a_Dx_Psychoses_Neuroses</t>
  </si>
  <si>
    <t>a_Dx_Respiratory</t>
  </si>
  <si>
    <t>a_Dx_Skin_disorders</t>
  </si>
  <si>
    <t>a_Dx_Symptoms</t>
  </si>
  <si>
    <t>a_Dx_Births</t>
  </si>
  <si>
    <t>a_Dx_Congenital_anomalies</t>
  </si>
  <si>
    <t>a_Dx_Perinatal_disorders</t>
  </si>
  <si>
    <t>a_EC_Accidental_Falls</t>
  </si>
  <si>
    <t>a_EC_Accidental_Poisoning</t>
  </si>
  <si>
    <t>a_EC_Adverse_Effects_of_Drugs</t>
  </si>
  <si>
    <t>a_EC_Inflicted_by_Others</t>
  </si>
  <si>
    <t>a_EC_Late_Effects_of_Injury</t>
  </si>
  <si>
    <t>a_EC_Misadventures_Complication</t>
  </si>
  <si>
    <t>a_EC_None</t>
  </si>
  <si>
    <t>a_EC_Other_Accidents</t>
  </si>
  <si>
    <t>a_EC_Other_Vehicle_Transport</t>
  </si>
  <si>
    <t>a_EC_Rail_Motor_Vehicle</t>
  </si>
  <si>
    <t>a_EC_Self_Inflicted</t>
  </si>
  <si>
    <t>a_EC_Submersion_Suffocation_Fore</t>
  </si>
  <si>
    <t>a_EC_Fire_Accidents</t>
  </si>
  <si>
    <t>a_EC_Natural_Environment</t>
  </si>
  <si>
    <t>a_EC_Undetermined</t>
  </si>
  <si>
    <t>a_EC_War</t>
  </si>
  <si>
    <t>010735</t>
  </si>
  <si>
    <t>ALAMEDA HOSPITAL</t>
  </si>
  <si>
    <t>ALAMEDA</t>
  </si>
  <si>
    <t>2070 CLINTON</t>
  </si>
  <si>
    <t>010739</t>
  </si>
  <si>
    <t>2450 ASHBY STREET</t>
  </si>
  <si>
    <t>BERKELEY</t>
  </si>
  <si>
    <t>010776</t>
  </si>
  <si>
    <t>CHILDRENS HOSPITAL AND RESEARCH CTR AT OAKLAND</t>
  </si>
  <si>
    <t>747 52ND STREET</t>
  </si>
  <si>
    <t>OAKLAND</t>
  </si>
  <si>
    <t>Level I - Pediatric</t>
  </si>
  <si>
    <t>010846</t>
  </si>
  <si>
    <t>1411 EAST 31ST STREET</t>
  </si>
  <si>
    <t>Level II</t>
  </si>
  <si>
    <t>Teaching</t>
  </si>
  <si>
    <t>010856</t>
  </si>
  <si>
    <t>280 W. MACARTHUR BOULEVARD</t>
  </si>
  <si>
    <t>010858</t>
  </si>
  <si>
    <t>27400 HESPERIAN BOULEVARD</t>
  </si>
  <si>
    <t>HAYWARD</t>
  </si>
  <si>
    <t>010937</t>
  </si>
  <si>
    <t>350 HAWTHORNE AVENUE</t>
  </si>
  <si>
    <t>010967</t>
  </si>
  <si>
    <t>ST. ROSE HOSPITAL</t>
  </si>
  <si>
    <t>27200 CALAROGA AVENUE</t>
  </si>
  <si>
    <t>010987</t>
  </si>
  <si>
    <t>WASHINGTON HOSPITAL - FREMONT</t>
  </si>
  <si>
    <t>2000 MOWRY AVENUE</t>
  </si>
  <si>
    <t>FREMONT</t>
  </si>
  <si>
    <t>District</t>
  </si>
  <si>
    <t>013619</t>
  </si>
  <si>
    <t>SAN LEANDRO HOSPITAL</t>
  </si>
  <si>
    <t>13855 EAST 14TH STREET</t>
  </si>
  <si>
    <t>SAN LEANDRO</t>
  </si>
  <si>
    <t>014050</t>
  </si>
  <si>
    <t>VALLEYCARE MEDICAL CENTER</t>
  </si>
  <si>
    <t>5555 WEST LAS POSITAS BLVD.</t>
  </si>
  <si>
    <t>PLEASANTON</t>
  </si>
  <si>
    <t>EDEN MEDICAL CENTER</t>
  </si>
  <si>
    <t>CASTRO VALLEY</t>
  </si>
  <si>
    <t>034002</t>
  </si>
  <si>
    <t>SUTTER AMADOR HOSPITAL</t>
  </si>
  <si>
    <t>200 MISSION BLVD</t>
  </si>
  <si>
    <t>JACKSON</t>
  </si>
  <si>
    <t>040802</t>
  </si>
  <si>
    <t>240 SPRUCE STREET</t>
  </si>
  <si>
    <t>GRIDLEY</t>
  </si>
  <si>
    <t>Level IV</t>
  </si>
  <si>
    <t>040875</t>
  </si>
  <si>
    <t>FEATHER RIVER HOSPITAL</t>
  </si>
  <si>
    <t>5974 PENTZ ROAD</t>
  </si>
  <si>
    <t>PARADISE</t>
  </si>
  <si>
    <t>040937</t>
  </si>
  <si>
    <t>OROVILLE HOSPITAL</t>
  </si>
  <si>
    <t>2767 OLIVE HIGHWAY</t>
  </si>
  <si>
    <t>OROVILLE</t>
  </si>
  <si>
    <t>Level III</t>
  </si>
  <si>
    <t>040962</t>
  </si>
  <si>
    <t>1531 ESPLANADE</t>
  </si>
  <si>
    <t>CHICO</t>
  </si>
  <si>
    <t>050932</t>
  </si>
  <si>
    <t>768 MOUNTAIN RANCH ROAD</t>
  </si>
  <si>
    <t>SAN ANDREAS</t>
  </si>
  <si>
    <t>060870</t>
  </si>
  <si>
    <t>COLUSA REGIONAL MEDICAL CENTER</t>
  </si>
  <si>
    <t>COLUSA</t>
  </si>
  <si>
    <t>199 EAST WEBSTER STREET</t>
  </si>
  <si>
    <t>070904</t>
  </si>
  <si>
    <t>DOCTORS MEDICAL CENTER - SAN PABLO</t>
  </si>
  <si>
    <t>2000 VALE ROAD</t>
  </si>
  <si>
    <t>SAN PABLO</t>
  </si>
  <si>
    <t>070924</t>
  </si>
  <si>
    <t>CONTRA COSTA REGIONAL MEDICAL CENTER</t>
  </si>
  <si>
    <t>2500 ALHAMBRA AVENUE</t>
  </si>
  <si>
    <t>MARTINEZ</t>
  </si>
  <si>
    <t>070934</t>
  </si>
  <si>
    <t>SUTTER DELTA MEDICAL CENTER</t>
  </si>
  <si>
    <t>3901 LONE TREE WAY</t>
  </si>
  <si>
    <t>ANTIOCH</t>
  </si>
  <si>
    <t>070988</t>
  </si>
  <si>
    <t>JOHN MUIR MEDICAL CENTER-WALNUT CREEK CAMPUS</t>
  </si>
  <si>
    <t>1601 YGNACIO VALLEY ROAD</t>
  </si>
  <si>
    <t>WALNUT CREEK</t>
  </si>
  <si>
    <t>070990</t>
  </si>
  <si>
    <t>1425 SOUTH MAIN STREET</t>
  </si>
  <si>
    <t>071018</t>
  </si>
  <si>
    <t>JOHN MUIR MEDICAL CENTER-CONCORD CAMPUS</t>
  </si>
  <si>
    <t>2540 EAST STREET</t>
  </si>
  <si>
    <t>CONCORD</t>
  </si>
  <si>
    <t>074017</t>
  </si>
  <si>
    <t>SAN RAMON REGIONAL MEDICAL CENTER</t>
  </si>
  <si>
    <t>Investor - Corporation</t>
  </si>
  <si>
    <t>6001 NORRIS CANYON ROAD</t>
  </si>
  <si>
    <t>SAN RAMON</t>
  </si>
  <si>
    <t>074097</t>
  </si>
  <si>
    <t>4501 SAND CREEK ROAD</t>
  </si>
  <si>
    <t>084001</t>
  </si>
  <si>
    <t>SUTTER COAST HOSPITAL</t>
  </si>
  <si>
    <t>800 EAST WASHINGTON BOULEVARD</t>
  </si>
  <si>
    <t>CRESCENT CITY</t>
  </si>
  <si>
    <t>090793</t>
  </si>
  <si>
    <t>BARTON MEMORIAL HOSPITAL</t>
  </si>
  <si>
    <t>2170 SOUTH AVENUE</t>
  </si>
  <si>
    <t>SOUTH LAKE TAHOE</t>
  </si>
  <si>
    <t>090933</t>
  </si>
  <si>
    <t>1100 MARSHALL WAY</t>
  </si>
  <si>
    <t>PLACERVILLE</t>
  </si>
  <si>
    <t>100005</t>
  </si>
  <si>
    <t>CLOVIS COMMUNITY MEDICAL CENTER</t>
  </si>
  <si>
    <t>FRESNO</t>
  </si>
  <si>
    <t>2755 HERNDON AVENUE</t>
  </si>
  <si>
    <t>CLOVIS</t>
  </si>
  <si>
    <t>100697</t>
  </si>
  <si>
    <t>COALINGA REGIONAL MEDICAL CENTER</t>
  </si>
  <si>
    <t>1191 PHELPS AVENUE</t>
  </si>
  <si>
    <t>COALINGA</t>
  </si>
  <si>
    <t>100717</t>
  </si>
  <si>
    <t>COMMUNITY REGIONAL MEDICAL CENTER-FRESNO</t>
  </si>
  <si>
    <t>Level I</t>
  </si>
  <si>
    <t>100797</t>
  </si>
  <si>
    <t>372 WEST CYPRESS AVENUE</t>
  </si>
  <si>
    <t>REEDLEY</t>
  </si>
  <si>
    <t>100899</t>
  </si>
  <si>
    <t>ST. AGNES MEDICAL CENTER</t>
  </si>
  <si>
    <t>1303 EAST HERNDON AVENUE</t>
  </si>
  <si>
    <t>104062</t>
  </si>
  <si>
    <t>7300 NORTH FRESNO STREET</t>
  </si>
  <si>
    <t>110889</t>
  </si>
  <si>
    <t>GLENN MEDICAL CENTER</t>
  </si>
  <si>
    <t>1133 WEST SYCAMORE STREET</t>
  </si>
  <si>
    <t>WILLOWS</t>
  </si>
  <si>
    <t>121002</t>
  </si>
  <si>
    <t>MAD RIVER COMMUNITY HOSPITAL</t>
  </si>
  <si>
    <t>3800 JANES ROAD</t>
  </si>
  <si>
    <t>ARCATA</t>
  </si>
  <si>
    <t>121031</t>
  </si>
  <si>
    <t>JEROLD PHELPS COMMUNITY HOSPITAL</t>
  </si>
  <si>
    <t>733 CEDAR STREET</t>
  </si>
  <si>
    <t>GARBERVILLE</t>
  </si>
  <si>
    <t>121051</t>
  </si>
  <si>
    <t>REDWOOD MEMORIAL HOSPITAL</t>
  </si>
  <si>
    <t>3300 RENNER DRIVE</t>
  </si>
  <si>
    <t>FORTUNA</t>
  </si>
  <si>
    <t>121080</t>
  </si>
  <si>
    <t>ST. JOSEPH HOSPITAL - EUREKA</t>
  </si>
  <si>
    <t>2700 DOLBEER STREET</t>
  </si>
  <si>
    <t>EUREKA</t>
  </si>
  <si>
    <t>130699</t>
  </si>
  <si>
    <t>EL CENTRO REGIONAL MEDICAL CENTER</t>
  </si>
  <si>
    <t>1415 ROSS AVENUE</t>
  </si>
  <si>
    <t>EL CENTRO</t>
  </si>
  <si>
    <t>130760</t>
  </si>
  <si>
    <t>207 WEST LEGION ROAD</t>
  </si>
  <si>
    <t>BRAWLEY</t>
  </si>
  <si>
    <t>141273</t>
  </si>
  <si>
    <t>NORTHERN INYO HOSPITAL</t>
  </si>
  <si>
    <t>150 PIONEER LANE</t>
  </si>
  <si>
    <t>BISHOP</t>
  </si>
  <si>
    <t>141338</t>
  </si>
  <si>
    <t>SOUTHERN INYO HOSPITAL</t>
  </si>
  <si>
    <t>501 EAST LOCUST STREET</t>
  </si>
  <si>
    <t>LONE PINE</t>
  </si>
  <si>
    <t>150706</t>
  </si>
  <si>
    <t>DELANO REGIONAL MEDICAL CENTER</t>
  </si>
  <si>
    <t>1401 GARCES HIGHWAY</t>
  </si>
  <si>
    <t>DELANO</t>
  </si>
  <si>
    <t>150722</t>
  </si>
  <si>
    <t>BAKERSFIELD</t>
  </si>
  <si>
    <t>150736</t>
  </si>
  <si>
    <t>KERN MEDICAL CENTER</t>
  </si>
  <si>
    <t>1700 MOUNT VERNON AVENUE</t>
  </si>
  <si>
    <t>150737</t>
  </si>
  <si>
    <t>KERN VALLEY HEALTHCARE DISTRICT</t>
  </si>
  <si>
    <t>6412 LAUREL AVENUE</t>
  </si>
  <si>
    <t>LAKE ISABELLA</t>
  </si>
  <si>
    <t>150761</t>
  </si>
  <si>
    <t>MERCY HOSPITAL - BAKERSFIELD</t>
  </si>
  <si>
    <t>2215 TRUXTUN AVENUE</t>
  </si>
  <si>
    <t>150782</t>
  </si>
  <si>
    <t>RIDGECREST REGIONAL HOSPITAL</t>
  </si>
  <si>
    <t>1081 NORTH CHINA LAKE BLVD.</t>
  </si>
  <si>
    <t>RIDGECREST</t>
  </si>
  <si>
    <t>150788</t>
  </si>
  <si>
    <t>SAN JOAQUIN COMMUNITY HOSPITAL</t>
  </si>
  <si>
    <t>2615 CHESTER AVENUE</t>
  </si>
  <si>
    <t>150808</t>
  </si>
  <si>
    <t>TEHACHAPI HOSPITAL</t>
  </si>
  <si>
    <t>115 WEST E STREET</t>
  </si>
  <si>
    <t>TEHACHAPI</t>
  </si>
  <si>
    <t>154101</t>
  </si>
  <si>
    <t>BAKERSFIELD HEART HOSPITAL</t>
  </si>
  <si>
    <t>Investor - Limited Liability Company</t>
  </si>
  <si>
    <t>3001 SILLECT AVENUE</t>
  </si>
  <si>
    <t>164029</t>
  </si>
  <si>
    <t>ADVENTIST MEDICAL CENTER</t>
  </si>
  <si>
    <t>115 MALL DRIVE</t>
  </si>
  <si>
    <t>HANFORD</t>
  </si>
  <si>
    <t>171049</t>
  </si>
  <si>
    <t>ST. HELENA HOSPITAL - CLEARLAKE</t>
  </si>
  <si>
    <t>15630 18TH AVE - HWY 53</t>
  </si>
  <si>
    <t>CLEARLAKE</t>
  </si>
  <si>
    <t>171395</t>
  </si>
  <si>
    <t>SUTTER LAKESIDE HOSPITAL</t>
  </si>
  <si>
    <t>5176 HILL ROAD EAST</t>
  </si>
  <si>
    <t>LAKEPORT</t>
  </si>
  <si>
    <t>184008</t>
  </si>
  <si>
    <t>BANNER LASSEN MEDICAL CENTER</t>
  </si>
  <si>
    <t>1800 SPRING RIDGE DRIVE</t>
  </si>
  <si>
    <t>SUSANVILLE</t>
  </si>
  <si>
    <t>190017</t>
  </si>
  <si>
    <t>LOS ANGELES</t>
  </si>
  <si>
    <t>Investor - Partnership</t>
  </si>
  <si>
    <t>100 SOUTH RAYMOND AVENUE</t>
  </si>
  <si>
    <t>ALHAMBRA</t>
  </si>
  <si>
    <t>San Gabriel Valley</t>
  </si>
  <si>
    <t>190034</t>
  </si>
  <si>
    <t>ANTELOPE VALLEY HOSPITAL</t>
  </si>
  <si>
    <t>1600 WEST AVENUE J</t>
  </si>
  <si>
    <t>LANCASTER</t>
  </si>
  <si>
    <t>Antelope Valley</t>
  </si>
  <si>
    <t>190045</t>
  </si>
  <si>
    <t>CATALINA ISLAND MEDICAL CENTER</t>
  </si>
  <si>
    <t>100 FALLS CANYON ROAD</t>
  </si>
  <si>
    <t>AVALON</t>
  </si>
  <si>
    <t>South Bay</t>
  </si>
  <si>
    <t>190053</t>
  </si>
  <si>
    <t>LONG BEACH</t>
  </si>
  <si>
    <t>East</t>
  </si>
  <si>
    <t>190081</t>
  </si>
  <si>
    <t>BEVERLY HOSPITAL</t>
  </si>
  <si>
    <t>309 WEST BEVERLY BOULEVARD</t>
  </si>
  <si>
    <t>MONTEBELLO</t>
  </si>
  <si>
    <t>190110</t>
  </si>
  <si>
    <t>3828 DELMAS TERRACE</t>
  </si>
  <si>
    <t>CULVER CITY</t>
  </si>
  <si>
    <t>West</t>
  </si>
  <si>
    <t>190125</t>
  </si>
  <si>
    <t>CALIFORNIA HOSPITAL MEDICAL CENTER - LOS ANGELES</t>
  </si>
  <si>
    <t>1401 SOUTH GRAND AVENUE</t>
  </si>
  <si>
    <t>Metro</t>
  </si>
  <si>
    <t>190148</t>
  </si>
  <si>
    <t>CENTINELA HOSPITAL MEDICAL CENTER</t>
  </si>
  <si>
    <t>555 EAST HARDY STREET</t>
  </si>
  <si>
    <t>INGLEWOOD</t>
  </si>
  <si>
    <t>190159</t>
  </si>
  <si>
    <t>21530 SOUTH PIONEER BOULEVARD</t>
  </si>
  <si>
    <t>HAWAIIAN GARDENS</t>
  </si>
  <si>
    <t>190170</t>
  </si>
  <si>
    <t>4650 SUNSET BOULEVARD</t>
  </si>
  <si>
    <t>190197</t>
  </si>
  <si>
    <t>COMMUNITY HOSPITAL OF HUNTINGTON PARK</t>
  </si>
  <si>
    <t>2623 EAST SLAUSON AVENUE</t>
  </si>
  <si>
    <t>HUNTINGTON PARK</t>
  </si>
  <si>
    <t>190198</t>
  </si>
  <si>
    <t>LOS ANGELES COMMUNITY HOSPITAL</t>
  </si>
  <si>
    <t>4081 EAST OLYMPIC BOULEVARD</t>
  </si>
  <si>
    <t>190200</t>
  </si>
  <si>
    <t>SAN GABRIEL VALLEY MEDICAL CENTER</t>
  </si>
  <si>
    <t>438 W. LAS TUNAS DRIVE</t>
  </si>
  <si>
    <t>SAN GABRIEL</t>
  </si>
  <si>
    <t>190240</t>
  </si>
  <si>
    <t>LAKEWOOD REGIONAL MEDICAL CENTER</t>
  </si>
  <si>
    <t>3700 EAST SOUTH STREET</t>
  </si>
  <si>
    <t>LAKEWOOD</t>
  </si>
  <si>
    <t>190243</t>
  </si>
  <si>
    <t>11500 BROOKSHIRE AVENUE</t>
  </si>
  <si>
    <t>DOWNEY</t>
  </si>
  <si>
    <t>190256</t>
  </si>
  <si>
    <t>EAST LOS ANGELES DOCTORS HOSPITAL</t>
  </si>
  <si>
    <t>4060 WHITTIER BOULEVARD</t>
  </si>
  <si>
    <t>190280</t>
  </si>
  <si>
    <t>ENCINO HOSPITAL MEDICAL CENTER</t>
  </si>
  <si>
    <t>16237 VENTURA BOULEVARD</t>
  </si>
  <si>
    <t>ENCINO</t>
  </si>
  <si>
    <t>San Fernando Valley</t>
  </si>
  <si>
    <t>190298</t>
  </si>
  <si>
    <t>FOOTHILL PRESBYTERIAN HOSPITAL-JOHNSTON MEMORIAL</t>
  </si>
  <si>
    <t>250 SOUTH GRAND AVENUE</t>
  </si>
  <si>
    <t>GLENDORA</t>
  </si>
  <si>
    <t>190315</t>
  </si>
  <si>
    <t>GARFIELD MEDICAL CENTER</t>
  </si>
  <si>
    <t>525 NORTH GARFIELD AVENUE</t>
  </si>
  <si>
    <t>MONTEREY PARK</t>
  </si>
  <si>
    <t>190323</t>
  </si>
  <si>
    <t>GLENDALE</t>
  </si>
  <si>
    <t>190328</t>
  </si>
  <si>
    <t>150 WEST ROUTE 66</t>
  </si>
  <si>
    <t>190352</t>
  </si>
  <si>
    <t>GREATER EL MONTE COMMUNITY HOSPITAL</t>
  </si>
  <si>
    <t>1701 SANTA ANITA AVENUE</t>
  </si>
  <si>
    <t>SOUTH EL MONTE</t>
  </si>
  <si>
    <t>190382</t>
  </si>
  <si>
    <t>HOLLYWOOD PRESBYTERIAN MEDICAL CENTER</t>
  </si>
  <si>
    <t>1300 NORTH VERMONT AVENUE</t>
  </si>
  <si>
    <t>190385</t>
  </si>
  <si>
    <t>PROVIDENCE HOLY CROSS MEDICAL CENTER</t>
  </si>
  <si>
    <t>15031 RINALDI STREET</t>
  </si>
  <si>
    <t>MISSION HILLS</t>
  </si>
  <si>
    <t>190392</t>
  </si>
  <si>
    <t>GOOD SAMARITAN HOSPITAL-LOS ANGELES</t>
  </si>
  <si>
    <t>1225 WILSHIRE BOULEVARD</t>
  </si>
  <si>
    <t>190400</t>
  </si>
  <si>
    <t>HUNTINGTON MEMORIAL HOSPITAL</t>
  </si>
  <si>
    <t>100 W. CALIFORNIA BOULEVARD</t>
  </si>
  <si>
    <t>PASADENA</t>
  </si>
  <si>
    <t>190413</t>
  </si>
  <si>
    <t>CITRUS VALLEY MEDICAL CENTER - IC CAMPUS</t>
  </si>
  <si>
    <t>210 W. SAN BERNARDINO ROAD</t>
  </si>
  <si>
    <t>COVINA</t>
  </si>
  <si>
    <t>190422</t>
  </si>
  <si>
    <t>TORRANCE MEMORIAL MEDICAL CENTER</t>
  </si>
  <si>
    <t>TORRANCE</t>
  </si>
  <si>
    <t>190429</t>
  </si>
  <si>
    <t>4867 SUNSET BOULEVARD</t>
  </si>
  <si>
    <t>190431</t>
  </si>
  <si>
    <t>25825 SOUTH VERMONT AVENUE</t>
  </si>
  <si>
    <t>HARBOR CITY</t>
  </si>
  <si>
    <t>190432</t>
  </si>
  <si>
    <t>13652 CANTARA STREET</t>
  </si>
  <si>
    <t>PANORAMA CITY</t>
  </si>
  <si>
    <t>190434</t>
  </si>
  <si>
    <t>6041 CADILLAC AVENUE</t>
  </si>
  <si>
    <t>190470</t>
  </si>
  <si>
    <t>4101 TORRANCE BOULEVARD</t>
  </si>
  <si>
    <t>190475</t>
  </si>
  <si>
    <t>1720 TERMINO AVENUE</t>
  </si>
  <si>
    <t>190500</t>
  </si>
  <si>
    <t>MARINA DEL REY HOSPITAL</t>
  </si>
  <si>
    <t>4650 LINCOLN BOULEVARD</t>
  </si>
  <si>
    <t>MARINA DEL REY</t>
  </si>
  <si>
    <t>190517</t>
  </si>
  <si>
    <t>PROVIDENCE TARZANA MEDICAL CENTER</t>
  </si>
  <si>
    <t>18321 CLARK STREET</t>
  </si>
  <si>
    <t>TARZANA</t>
  </si>
  <si>
    <t>190521</t>
  </si>
  <si>
    <t>MEMORIAL HOSPITAL OF GARDENA</t>
  </si>
  <si>
    <t>1145 W. REDONDO BEACH BLVD.</t>
  </si>
  <si>
    <t>GARDENA</t>
  </si>
  <si>
    <t>190522</t>
  </si>
  <si>
    <t>GLENDALE MEMORIAL HOSPITAL AND HEALTH CENTER</t>
  </si>
  <si>
    <t>1420 SOUTH CENTRAL AVENUE</t>
  </si>
  <si>
    <t>190524</t>
  </si>
  <si>
    <t>MISSION COMMUNITY HOSPITAL - PANORAMA CAMPUS</t>
  </si>
  <si>
    <t>14850 ROSCOE BOULEVARD</t>
  </si>
  <si>
    <t>190525</t>
  </si>
  <si>
    <t>LONG BEACH MEMORIAL MEDICAL CENTER</t>
  </si>
  <si>
    <t>2801 ATLANTIC AVENUE</t>
  </si>
  <si>
    <t>Level II &amp; Level II - Ped</t>
  </si>
  <si>
    <t>190529</t>
  </si>
  <si>
    <t>METHODIST HOSPITAL OF SOUTHERN CALIFORNIA</t>
  </si>
  <si>
    <t>300 WEST HUNTINGTON DRIVE</t>
  </si>
  <si>
    <t>ARCADIA</t>
  </si>
  <si>
    <t>190534</t>
  </si>
  <si>
    <t>OLYMPIA MEDICAL CENTER</t>
  </si>
  <si>
    <t>190547</t>
  </si>
  <si>
    <t>MONTEREY PARK HOSPITAL</t>
  </si>
  <si>
    <t>900 SOUTH ATLANTIC BOULEVARD</t>
  </si>
  <si>
    <t>190555</t>
  </si>
  <si>
    <t>CEDARS SINAI MEDICAL CENTER</t>
  </si>
  <si>
    <t>8700 BEVERLY BOULEVARD</t>
  </si>
  <si>
    <t>Level I &amp; Level II - Ped</t>
  </si>
  <si>
    <t>190568</t>
  </si>
  <si>
    <t>NORTHRIDGE HOSPITAL MEDICAL CENTER</t>
  </si>
  <si>
    <t>18300 ROSCOE BOULEVARD</t>
  </si>
  <si>
    <t>NORTHRIDGE</t>
  </si>
  <si>
    <t>190570</t>
  </si>
  <si>
    <t>NORWALK COMMUNITY HOSPITAL</t>
  </si>
  <si>
    <t>13222 BLOOMFIELD AVENUE</t>
  </si>
  <si>
    <t>NORWALK</t>
  </si>
  <si>
    <t>190587</t>
  </si>
  <si>
    <t>2776 PACIFIC AVENUE</t>
  </si>
  <si>
    <t>190630</t>
  </si>
  <si>
    <t>POMONA VALLEY HOSPITAL MEDICAL CENTER</t>
  </si>
  <si>
    <t>1798 NORTH GAREY AVENUE</t>
  </si>
  <si>
    <t>POMONA</t>
  </si>
  <si>
    <t>190631</t>
  </si>
  <si>
    <t>PRESBYTERIAN INTERCOMMUNITY HOSPITAL</t>
  </si>
  <si>
    <t>12401 EAST WASHINGTON BLVD.</t>
  </si>
  <si>
    <t>WHITTIER</t>
  </si>
  <si>
    <t>190636</t>
  </si>
  <si>
    <t>CITRUS VALLEY MEDICAL CENTER - QV CAMPUS</t>
  </si>
  <si>
    <t>1115 SOUTH SUNSET AVENUE</t>
  </si>
  <si>
    <t>WEST COVINA</t>
  </si>
  <si>
    <t>190673</t>
  </si>
  <si>
    <t>SAN DIMAS COMMUNITY HOSPITAL</t>
  </si>
  <si>
    <t>1350 WEST COVINA BOULEVARD</t>
  </si>
  <si>
    <t>SAN DIMAS</t>
  </si>
  <si>
    <t>190680</t>
  </si>
  <si>
    <t>PROVIDENCE LITTLE COMPANY OF MARY MC - SAN PEDRO</t>
  </si>
  <si>
    <t>1300 WEST SEVENTH STREET</t>
  </si>
  <si>
    <t>SAN PEDRO</t>
  </si>
  <si>
    <t>190687</t>
  </si>
  <si>
    <t>1250 16TH STREET</t>
  </si>
  <si>
    <t>SANTA MONICA</t>
  </si>
  <si>
    <t>190696</t>
  </si>
  <si>
    <t>PACIFICA HOSPITAL OF THE VALLEY</t>
  </si>
  <si>
    <t>9449 SAN FERNANDO ROAD</t>
  </si>
  <si>
    <t>SUN VALLEY</t>
  </si>
  <si>
    <t>190708</t>
  </si>
  <si>
    <t>SHERMAN OAKS HOSPITAL</t>
  </si>
  <si>
    <t>4929 VAN NUYS BOULEVARD</t>
  </si>
  <si>
    <t>SHERMAN OAKS</t>
  </si>
  <si>
    <t>190754</t>
  </si>
  <si>
    <t>ST. FRANCIS MEDICAL CENTER</t>
  </si>
  <si>
    <t>LYNWOOD</t>
  </si>
  <si>
    <t>South</t>
  </si>
  <si>
    <t>190756</t>
  </si>
  <si>
    <t>190758</t>
  </si>
  <si>
    <t>PROVIDENCE SAINT JOSEPH MEDICAL CENTER</t>
  </si>
  <si>
    <t>501 SO. BUENA VISTA</t>
  </si>
  <si>
    <t>BURBANK</t>
  </si>
  <si>
    <t>190762</t>
  </si>
  <si>
    <t>ST. VINCENT MEDICAL CENTER</t>
  </si>
  <si>
    <t>2131 WEST 3RD STREET</t>
  </si>
  <si>
    <t>190766</t>
  </si>
  <si>
    <t>13100 SOUTH STUDEBAKER ROAD</t>
  </si>
  <si>
    <t>190796</t>
  </si>
  <si>
    <t>RONALD REAGAN UCLA MEDICAL CENTER</t>
  </si>
  <si>
    <t>757 WESTWOOD PLAZA</t>
  </si>
  <si>
    <t>Level I &amp; Level I - Ped</t>
  </si>
  <si>
    <t>190812</t>
  </si>
  <si>
    <t>VALLEY PRESBYTERIAN HOSPITAL</t>
  </si>
  <si>
    <t>15107 VAN OWEN STREET</t>
  </si>
  <si>
    <t>VAN NUYS</t>
  </si>
  <si>
    <t>190818</t>
  </si>
  <si>
    <t>1812 VERDUGO BOULEVARD</t>
  </si>
  <si>
    <t>190859</t>
  </si>
  <si>
    <t>WEST HILLS HOSPITAL AND MEDICAL CENTER</t>
  </si>
  <si>
    <t>7300 MEDICAL CENTER DRIVE</t>
  </si>
  <si>
    <t>190878</t>
  </si>
  <si>
    <t>WHITE MEMORIAL MEDICAL CENTER</t>
  </si>
  <si>
    <t>1720 CESAR E. CHAVEZ AVENUE</t>
  </si>
  <si>
    <t>190883</t>
  </si>
  <si>
    <t>WHITTIER HOSPITAL MEDICAL CENTER</t>
  </si>
  <si>
    <t>9080 COLIMA ROAD</t>
  </si>
  <si>
    <t>190949</t>
  </si>
  <si>
    <t>23845 WEST MCBEAN PARKWAY</t>
  </si>
  <si>
    <t>VALENCIA</t>
  </si>
  <si>
    <t>191227</t>
  </si>
  <si>
    <t>LAC/HARBOR-UCLA MEDICAL CENTER</t>
  </si>
  <si>
    <t>1000 WEST CARSON STREET</t>
  </si>
  <si>
    <t>191228</t>
  </si>
  <si>
    <t>LAC+USC MEDICAL CENTER</t>
  </si>
  <si>
    <t>1200 NORTH STATE STREET</t>
  </si>
  <si>
    <t>191231</t>
  </si>
  <si>
    <t>LOS ANGELES COUNTY OLIVE VIEW-UCLA MEDICAL CENTER</t>
  </si>
  <si>
    <t>14445 OLIVE VIEW DRIVE</t>
  </si>
  <si>
    <t>SYLMAR</t>
  </si>
  <si>
    <t>191450</t>
  </si>
  <si>
    <t>5601 DE SOTO AVENUE</t>
  </si>
  <si>
    <t>WOODLAND HILLS</t>
  </si>
  <si>
    <t>196035</t>
  </si>
  <si>
    <t>1011 BALDWIN PARK BLVD.</t>
  </si>
  <si>
    <t>BALDWIN PARK</t>
  </si>
  <si>
    <t>196403</t>
  </si>
  <si>
    <t>KAISER FOUNDATION HOSPITAL - DOWNEY</t>
  </si>
  <si>
    <t>9333 IMPERIAL HIGHWAY</t>
  </si>
  <si>
    <t>196405</t>
  </si>
  <si>
    <t>PALMDALE REGIONAL MEDICAL CENTER</t>
  </si>
  <si>
    <t>38600 MEDICAL CENTER DRIVE</t>
  </si>
  <si>
    <t>PALMDALE</t>
  </si>
  <si>
    <t>201281</t>
  </si>
  <si>
    <t>MADERA COMMUNITY HOSPITAL</t>
  </si>
  <si>
    <t>MADERA</t>
  </si>
  <si>
    <t>1250 EAST ALMOND AVENUE</t>
  </si>
  <si>
    <t>204019</t>
  </si>
  <si>
    <t>210992</t>
  </si>
  <si>
    <t>99 MONTECILLO ROAD</t>
  </si>
  <si>
    <t>SAN RAFAEL</t>
  </si>
  <si>
    <t>211006</t>
  </si>
  <si>
    <t>MARIN GENERAL HOSPITAL</t>
  </si>
  <si>
    <t>250 BON AIR ROAD</t>
  </si>
  <si>
    <t>GREENBRAE</t>
  </si>
  <si>
    <t>214034</t>
  </si>
  <si>
    <t>NOVATO COMMUNITY HOSPITAL</t>
  </si>
  <si>
    <t>NOVATO</t>
  </si>
  <si>
    <t>220733</t>
  </si>
  <si>
    <t>JOHN C FREMONT HEALTHCARE DISTRICT</t>
  </si>
  <si>
    <t>MARIPOSA</t>
  </si>
  <si>
    <t>5189 HOSPITAL RD., PO BOX 216</t>
  </si>
  <si>
    <t>230949</t>
  </si>
  <si>
    <t>FRANK R HOWARD MEMORIAL HOSPITAL</t>
  </si>
  <si>
    <t>1 MADRONE STREET</t>
  </si>
  <si>
    <t>WILLITS</t>
  </si>
  <si>
    <t>231013</t>
  </si>
  <si>
    <t>MENDOCINO COAST DISTRICT HOSPITAL</t>
  </si>
  <si>
    <t>700 RIVER DRIVE</t>
  </si>
  <si>
    <t>FORT BRAGG</t>
  </si>
  <si>
    <t>231396</t>
  </si>
  <si>
    <t>275 HOSPITAL DRIVE</t>
  </si>
  <si>
    <t>UKIAH</t>
  </si>
  <si>
    <t>240924</t>
  </si>
  <si>
    <t>MEMORIAL HOSPITAL LOS BANOS</t>
  </si>
  <si>
    <t>MERCED</t>
  </si>
  <si>
    <t>520 WEST I STREET</t>
  </si>
  <si>
    <t>LOS BANOS</t>
  </si>
  <si>
    <t>240942</t>
  </si>
  <si>
    <t>MERCY MEDICAL CENTER - MERCED</t>
  </si>
  <si>
    <t>333  MERCY AVENUE</t>
  </si>
  <si>
    <t>250955</t>
  </si>
  <si>
    <t>SURPRISE VALLEY COMMUNITY HOSPITAL</t>
  </si>
  <si>
    <t>CEDARVILLE</t>
  </si>
  <si>
    <t>250956</t>
  </si>
  <si>
    <t>MODOC MEDICAL CENTER</t>
  </si>
  <si>
    <t>ALTURAS</t>
  </si>
  <si>
    <t>260011</t>
  </si>
  <si>
    <t>MAMMOTH HOSPITAL</t>
  </si>
  <si>
    <t>85 SIERRA PARK ROAD</t>
  </si>
  <si>
    <t>MAMMOTH LAKES</t>
  </si>
  <si>
    <t>270744</t>
  </si>
  <si>
    <t>MONTEREY</t>
  </si>
  <si>
    <t>23625 W. R. HOLMAN HIGHWAY</t>
  </si>
  <si>
    <t>270777</t>
  </si>
  <si>
    <t>GEORGE L MEE MEMORIAL HOSPITAL</t>
  </si>
  <si>
    <t>300 CANAL STREET</t>
  </si>
  <si>
    <t>KING CITY</t>
  </si>
  <si>
    <t>270875</t>
  </si>
  <si>
    <t>SALINAS VALLEY MEMORIAL HOSPITAL</t>
  </si>
  <si>
    <t>450 EAST ROMIE LANE</t>
  </si>
  <si>
    <t>SALINAS</t>
  </si>
  <si>
    <t>274043</t>
  </si>
  <si>
    <t>NATIVIDAD MEDICAL CENTER</t>
  </si>
  <si>
    <t>1441 CONSTITUTION BOULEVARD</t>
  </si>
  <si>
    <t>281047</t>
  </si>
  <si>
    <t>NAPA</t>
  </si>
  <si>
    <t>1000 TRANCAS STREET</t>
  </si>
  <si>
    <t>281078</t>
  </si>
  <si>
    <t>ST. HELENA HOSPITAL</t>
  </si>
  <si>
    <t>10 WOODLAND RD.</t>
  </si>
  <si>
    <t>ST. HELENA</t>
  </si>
  <si>
    <t>291023</t>
  </si>
  <si>
    <t>SIERRA NEVADA MEMORIAL HOSPITAL</t>
  </si>
  <si>
    <t>155 GLASSON WAY</t>
  </si>
  <si>
    <t>GRASS VALLEY</t>
  </si>
  <si>
    <t>291053</t>
  </si>
  <si>
    <t>TAHOE FOREST HOSPITAL</t>
  </si>
  <si>
    <t>TRUCKEE</t>
  </si>
  <si>
    <t>300032</t>
  </si>
  <si>
    <t>ORANGE</t>
  </si>
  <si>
    <t>300225</t>
  </si>
  <si>
    <t>ORANGE COAST MEMORIAL MEDICAL CENTER</t>
  </si>
  <si>
    <t>9920 TALBERT AVENUE</t>
  </si>
  <si>
    <t>FOUNTAIN VALLEY</t>
  </si>
  <si>
    <t>ANAHEIM</t>
  </si>
  <si>
    <t>301098</t>
  </si>
  <si>
    <t>AHMC ANAHEIM REGIONAL MEDICAL CENTER</t>
  </si>
  <si>
    <t>1111 WEST LA PALMA AVENUE</t>
  </si>
  <si>
    <t>301140</t>
  </si>
  <si>
    <t>2601 EAST CHAPMAN AVENUE</t>
  </si>
  <si>
    <t>301175</t>
  </si>
  <si>
    <t>17100 EUCLID STREET</t>
  </si>
  <si>
    <t>301188</t>
  </si>
  <si>
    <t>1025 SOUTH ANAHEIM BLVD.</t>
  </si>
  <si>
    <t>301205</t>
  </si>
  <si>
    <t>HOAG MEMORIAL HOSPITAL PRESBYTERIAN</t>
  </si>
  <si>
    <t>NEWPORT BEACH</t>
  </si>
  <si>
    <t>301209</t>
  </si>
  <si>
    <t>HUNTINGTON BEACH HOSPITAL</t>
  </si>
  <si>
    <t>17772 BEACH BOULEVARD</t>
  </si>
  <si>
    <t>HUNTINGTON BEACH</t>
  </si>
  <si>
    <t>301234</t>
  </si>
  <si>
    <t>LA PALMA INTERCOMMUNITY HOSPITAL</t>
  </si>
  <si>
    <t>7901 WALKER STREET</t>
  </si>
  <si>
    <t>LA PALMA</t>
  </si>
  <si>
    <t>301248</t>
  </si>
  <si>
    <t>LOS ALAMITOS MEDICAL CENTER</t>
  </si>
  <si>
    <t>3751 KATELLA AVENUE</t>
  </si>
  <si>
    <t>LOS ALAMITOS</t>
  </si>
  <si>
    <t>301258</t>
  </si>
  <si>
    <t>SANTA ANA</t>
  </si>
  <si>
    <t>301262</t>
  </si>
  <si>
    <t>MISSION HOSPITAL REGIONAL MEDICAL CENTER</t>
  </si>
  <si>
    <t>27700 MEDICAL CENTER ROAD</t>
  </si>
  <si>
    <t>MISSION VIEJO</t>
  </si>
  <si>
    <t>301279</t>
  </si>
  <si>
    <t>UNIVERSITY OF CALIFORNIA IRVINE MEDICAL CENTER</t>
  </si>
  <si>
    <t>101 CITY DRIVE SOUTH</t>
  </si>
  <si>
    <t>301283</t>
  </si>
  <si>
    <t>GARDEN GROVE HOSPITAL AND MEDICAL CENTER</t>
  </si>
  <si>
    <t>12601 GARDEN GROVE BLVD.</t>
  </si>
  <si>
    <t>GARDEN GROVE</t>
  </si>
  <si>
    <t>301297</t>
  </si>
  <si>
    <t>PLACENTIA LINDA HOSPITAL</t>
  </si>
  <si>
    <t>1301 NORTH ROSE DRIVE</t>
  </si>
  <si>
    <t>PLACENTIA</t>
  </si>
  <si>
    <t>301317</t>
  </si>
  <si>
    <t>SADDLEBACK MEMORIAL MEDICAL CENTER</t>
  </si>
  <si>
    <t>24451 HEALTH CENTER DRIVE</t>
  </si>
  <si>
    <t>LAGUNA HILLS</t>
  </si>
  <si>
    <t>301337</t>
  </si>
  <si>
    <t>MISSION HOSPITAL LAGUNA BEACH</t>
  </si>
  <si>
    <t>31872 COAST HIGHWAY</t>
  </si>
  <si>
    <t>LAGUNA BEACH</t>
  </si>
  <si>
    <t>301340</t>
  </si>
  <si>
    <t>ST. JOSEPH HOSPITAL - ORANGE</t>
  </si>
  <si>
    <t>1100 WEST STEWART DRIVE</t>
  </si>
  <si>
    <t>301342</t>
  </si>
  <si>
    <t>ST. JUDE MEDICAL CENTER</t>
  </si>
  <si>
    <t>101 EAST VALENCIA MESA DRIVE</t>
  </si>
  <si>
    <t>FULLERTON</t>
  </si>
  <si>
    <t>301379</t>
  </si>
  <si>
    <t>WEST ANAHEIM MEDICAL CENTER</t>
  </si>
  <si>
    <t>3033 WEST ORANGE AVENUE</t>
  </si>
  <si>
    <t>301566</t>
  </si>
  <si>
    <t>1001 NORTH TUSTIN AVENUE</t>
  </si>
  <si>
    <t>304113</t>
  </si>
  <si>
    <t>27700 MEDICAL CTR. RD., 5TH FL</t>
  </si>
  <si>
    <t>310791</t>
  </si>
  <si>
    <t>SUTTER AUBURN FAITH HOSPITAL</t>
  </si>
  <si>
    <t>11815 EDUCATION STREET</t>
  </si>
  <si>
    <t>AUBURN</t>
  </si>
  <si>
    <t>311000</t>
  </si>
  <si>
    <t>SUTTER ROSEVILLE MEDICAL CENTER</t>
  </si>
  <si>
    <t>ONE MEDICAL PLAZA</t>
  </si>
  <si>
    <t>ROSEVILLE</t>
  </si>
  <si>
    <t>314024</t>
  </si>
  <si>
    <t>1600 EUREKA ROAD</t>
  </si>
  <si>
    <t>320859</t>
  </si>
  <si>
    <t>EASTERN PLUMAS HOSPITAL-PORTOLA CAMPUS</t>
  </si>
  <si>
    <t>500 1ST STREET</t>
  </si>
  <si>
    <t>PORTOLA</t>
  </si>
  <si>
    <t>320986</t>
  </si>
  <si>
    <t>PLUMAS DISTRICT HOSPITAL</t>
  </si>
  <si>
    <t>1065 BUCKS LAKE ROAD</t>
  </si>
  <si>
    <t>QUINCY</t>
  </si>
  <si>
    <t>321016</t>
  </si>
  <si>
    <t>130 BRENTWOOD DRIVE</t>
  </si>
  <si>
    <t>CHESTER</t>
  </si>
  <si>
    <t>331152</t>
  </si>
  <si>
    <t>CORONA REGIONAL MEDICAL CENTER-MAIN</t>
  </si>
  <si>
    <t>RIVERSIDE</t>
  </si>
  <si>
    <t>800 SOUTH MAIN STREET</t>
  </si>
  <si>
    <t>CORONA</t>
  </si>
  <si>
    <t>331164</t>
  </si>
  <si>
    <t>DESERT REGIONAL MEDICAL CENTER</t>
  </si>
  <si>
    <t>1150 NORTH INDIAN CANYON DRIVE</t>
  </si>
  <si>
    <t>PALM SPRINGS</t>
  </si>
  <si>
    <t>331168</t>
  </si>
  <si>
    <t>EISENHOWER MEDICAL CENTER</t>
  </si>
  <si>
    <t>RANCHO MIRAGE</t>
  </si>
  <si>
    <t>331194</t>
  </si>
  <si>
    <t>HEMET VALLEY MEDICAL CENTER</t>
  </si>
  <si>
    <t>1117 EAST DEVONSHIRE</t>
  </si>
  <si>
    <t>HEMET</t>
  </si>
  <si>
    <t>331216</t>
  </si>
  <si>
    <t>JOHN F KENNEDY MEMORIAL HOSPITAL</t>
  </si>
  <si>
    <t>INDIO</t>
  </si>
  <si>
    <t>331288</t>
  </si>
  <si>
    <t>PALO VERDE HOSPITAL</t>
  </si>
  <si>
    <t>250 NORTH FIRST STREET</t>
  </si>
  <si>
    <t>BLYTHE</t>
  </si>
  <si>
    <t>331293</t>
  </si>
  <si>
    <t>PARKVIEW COMMUNITY HOSPITAL MEDICAL CENTER</t>
  </si>
  <si>
    <t>3865 JACKSON STREET</t>
  </si>
  <si>
    <t>331312</t>
  </si>
  <si>
    <t>RIVERSIDE COMMUNITY HOSPITAL</t>
  </si>
  <si>
    <t>4445 MAGNOLIA AVENUE</t>
  </si>
  <si>
    <t>331326</t>
  </si>
  <si>
    <t>SAN GORGONIO MEMORIAL HOSPITAL</t>
  </si>
  <si>
    <t>600 HIGHLAND SPRINGS AVENUE</t>
  </si>
  <si>
    <t>BANNING</t>
  </si>
  <si>
    <t>334018</t>
  </si>
  <si>
    <t>MENIFEE VALLEY MEDICAL CENTER</t>
  </si>
  <si>
    <t>28400 MCCALL BOULEVARD</t>
  </si>
  <si>
    <t>SUN CITY</t>
  </si>
  <si>
    <t>334025</t>
  </si>
  <si>
    <t>10800 MAGNOLIA AVENUE</t>
  </si>
  <si>
    <t>334048</t>
  </si>
  <si>
    <t>27300 IRIS AVENUE</t>
  </si>
  <si>
    <t>MORENO VALLEY</t>
  </si>
  <si>
    <t>334068</t>
  </si>
  <si>
    <t>SOUTHWEST HEALTHCARE SYSTEM-MURRIETA</t>
  </si>
  <si>
    <t>25500 MEDICAL CENTER DRIVE</t>
  </si>
  <si>
    <t>MURRIETA</t>
  </si>
  <si>
    <t>334487</t>
  </si>
  <si>
    <t>RIVERSIDE COUNTY REGIONAL MEDICAL CENTER</t>
  </si>
  <si>
    <t>26520 CACTUS AVENUE</t>
  </si>
  <si>
    <t>334589</t>
  </si>
  <si>
    <t>LOMA LINDA UNIVERSITY MEDICAL CENTER-MURRIETA</t>
  </si>
  <si>
    <t>28062 BAXTER ROAD</t>
  </si>
  <si>
    <t>340913</t>
  </si>
  <si>
    <t>SACRAMENTO</t>
  </si>
  <si>
    <t>2025 MORSE AVENUE</t>
  </si>
  <si>
    <t>340947</t>
  </si>
  <si>
    <t>MERCY GENERAL HOSPITAL</t>
  </si>
  <si>
    <t>4001 J STREET</t>
  </si>
  <si>
    <t>340950</t>
  </si>
  <si>
    <t>MERCY SAN JUAN HOSPITAL</t>
  </si>
  <si>
    <t>6501 COYLE AVENUE</t>
  </si>
  <si>
    <t>CARMICHAEL</t>
  </si>
  <si>
    <t>340951</t>
  </si>
  <si>
    <t>METHODIST HOSPITAL OF SACRAMENTO</t>
  </si>
  <si>
    <t>7500 HOSPITAL DRIVE</t>
  </si>
  <si>
    <t>341006</t>
  </si>
  <si>
    <t>UNIVERSITY OF CALIFORNIA DAVIS MEDICAL CENTER</t>
  </si>
  <si>
    <t>2315 STOCKTON BOULEVARD</t>
  </si>
  <si>
    <t>341051</t>
  </si>
  <si>
    <t>341052</t>
  </si>
  <si>
    <t>SUTTER MEMORIAL HOSPITAL</t>
  </si>
  <si>
    <t>5151 F STREET</t>
  </si>
  <si>
    <t>342344</t>
  </si>
  <si>
    <t>6600 BRUCEVILLE ROAD</t>
  </si>
  <si>
    <t>344029</t>
  </si>
  <si>
    <t>1650 CREEKSIDE DRIVE</t>
  </si>
  <si>
    <t>FOLSOM</t>
  </si>
  <si>
    <t>350784</t>
  </si>
  <si>
    <t>HAZEL HAWKINS MEMORIAL HOSPITAL</t>
  </si>
  <si>
    <t>911 SUNSET DRIVE</t>
  </si>
  <si>
    <t>HOLLISTER</t>
  </si>
  <si>
    <t>361110</t>
  </si>
  <si>
    <t>BEAR VALLEY COMMUNITY HOSPITAL</t>
  </si>
  <si>
    <t>SAN BERNARDINO</t>
  </si>
  <si>
    <t>41870 GARSTIN DRIVE</t>
  </si>
  <si>
    <t>BIG BEAR LAKE</t>
  </si>
  <si>
    <t>361144</t>
  </si>
  <si>
    <t>CHINO VALLEY MEDICAL CENTER</t>
  </si>
  <si>
    <t>5451 WALNUT AVENUE</t>
  </si>
  <si>
    <t>CHINO</t>
  </si>
  <si>
    <t>361166</t>
  </si>
  <si>
    <t>MONTCLAIR HOSPITAL MEDICAL CENTER</t>
  </si>
  <si>
    <t>5000 SAN BERNARDINO STREET</t>
  </si>
  <si>
    <t>MONTCLAIR</t>
  </si>
  <si>
    <t>361223</t>
  </si>
  <si>
    <t>9961 SIERRA AVENUE</t>
  </si>
  <si>
    <t>FONTANA</t>
  </si>
  <si>
    <t>361246</t>
  </si>
  <si>
    <t>LOMA LINDA UNIVERSITY MEDICAL CENTER</t>
  </si>
  <si>
    <t>11234 ANDERSON STREET</t>
  </si>
  <si>
    <t>LOMA LINDA</t>
  </si>
  <si>
    <t>361266</t>
  </si>
  <si>
    <t>MOUNTAINS COMMUNITY HOSPITAL</t>
  </si>
  <si>
    <t>29101 HOSPITAL ROAD</t>
  </si>
  <si>
    <t>LAKE ARROWHEAD</t>
  </si>
  <si>
    <t>361308</t>
  </si>
  <si>
    <t>REDLANDS COMMUNITY HOSPITAL</t>
  </si>
  <si>
    <t>350 TERRACINA BOULEVARD</t>
  </si>
  <si>
    <t>REDLANDS</t>
  </si>
  <si>
    <t>361318</t>
  </si>
  <si>
    <t>SAN ANTONIO COMMUNITY HOSPITAL</t>
  </si>
  <si>
    <t>999 SAN BERNARDINO ROAD</t>
  </si>
  <si>
    <t>UPLAND</t>
  </si>
  <si>
    <t>361323</t>
  </si>
  <si>
    <t>COMMUNITY HOSPITAL OF SAN BERNARDINO</t>
  </si>
  <si>
    <t>1805 MEDICAL CENTER DRIVE</t>
  </si>
  <si>
    <t>361339</t>
  </si>
  <si>
    <t>ST. BERNARDINE MEDICAL CENTER</t>
  </si>
  <si>
    <t>2101 NORTH WATERMAN AVENUE</t>
  </si>
  <si>
    <t>361343</t>
  </si>
  <si>
    <t>APPLE VALLEY</t>
  </si>
  <si>
    <t>361370</t>
  </si>
  <si>
    <t>15248 ELEVENTH STREET</t>
  </si>
  <si>
    <t>VICTORVILLE</t>
  </si>
  <si>
    <t>361458</t>
  </si>
  <si>
    <t>COLORADO RIVER MEDICAL CENTER</t>
  </si>
  <si>
    <t>1401 BAILEY AVENUE</t>
  </si>
  <si>
    <t>NEEDLES</t>
  </si>
  <si>
    <t>362041</t>
  </si>
  <si>
    <t>HI-DESERT MEDICAL CENTER</t>
  </si>
  <si>
    <t>6601 WHITE FEATHER ROAD</t>
  </si>
  <si>
    <t>JOSHUA TREE</t>
  </si>
  <si>
    <t>364144</t>
  </si>
  <si>
    <t>DESERT VALLEY HOSPITAL</t>
  </si>
  <si>
    <t>16850 BEAR VALLEY ROAD</t>
  </si>
  <si>
    <t>364231</t>
  </si>
  <si>
    <t>ARROWHEAD REGIONAL MEDICAL CENTER</t>
  </si>
  <si>
    <t>400 N. PEPPER AVENUE</t>
  </si>
  <si>
    <t>COLTON</t>
  </si>
  <si>
    <t>BARSTOW COMMUNITY HOSPITAL</t>
  </si>
  <si>
    <t>BARSTOW</t>
  </si>
  <si>
    <t>370652</t>
  </si>
  <si>
    <t>ALVARADO HOSPITAL MEDICAL CENTER</t>
  </si>
  <si>
    <t>SAN DIEGO</t>
  </si>
  <si>
    <t>6655 ALVARADO ROAD</t>
  </si>
  <si>
    <t>370673</t>
  </si>
  <si>
    <t>Level II - Pediatric</t>
  </si>
  <si>
    <t>370689</t>
  </si>
  <si>
    <t>SHARP CORONADO HOSPITAL AND HEALTHCARE CENTER</t>
  </si>
  <si>
    <t>250 PROSPECT PLACE</t>
  </si>
  <si>
    <t>CORONADO</t>
  </si>
  <si>
    <t>370694</t>
  </si>
  <si>
    <t>SHARP MEMORIAL HOSPITAL</t>
  </si>
  <si>
    <t>7901 FROST STREET</t>
  </si>
  <si>
    <t>370705</t>
  </si>
  <si>
    <t>FALLBROOK HOSPITAL DISTRICT</t>
  </si>
  <si>
    <t>624 EAST ELDER STREET</t>
  </si>
  <si>
    <t>FALLBROOK</t>
  </si>
  <si>
    <t>370714</t>
  </si>
  <si>
    <t>GROSSMONT HOSPITAL</t>
  </si>
  <si>
    <t>5555 GROSSMONT CENTER DRIVE</t>
  </si>
  <si>
    <t>LA MESA</t>
  </si>
  <si>
    <t>370730</t>
  </si>
  <si>
    <t>4647 ZION AVENUE</t>
  </si>
  <si>
    <t>370744</t>
  </si>
  <si>
    <t>SCRIPPS MERCY HOSPITAL</t>
  </si>
  <si>
    <t>4077 FIFTH AVENUE</t>
  </si>
  <si>
    <t>370755</t>
  </si>
  <si>
    <t>555 E. VALLEY PARKWAY</t>
  </si>
  <si>
    <t>ESCONDIDO</t>
  </si>
  <si>
    <t>370759</t>
  </si>
  <si>
    <t>PARADISE VALLEY HOSPITAL</t>
  </si>
  <si>
    <t>2400 EAST FOURTH STREET</t>
  </si>
  <si>
    <t>NATIONAL CITY</t>
  </si>
  <si>
    <t>370771</t>
  </si>
  <si>
    <t>SCRIPPS MEMORIAL HOSPITAL - LA JOLLA</t>
  </si>
  <si>
    <t>9888 GENESEE AVENUE</t>
  </si>
  <si>
    <t>LA JOLLA</t>
  </si>
  <si>
    <t>370780</t>
  </si>
  <si>
    <t>TRI-CITY MEDICAL CENTER</t>
  </si>
  <si>
    <t>4002 VISTA WAY</t>
  </si>
  <si>
    <t>OCEANSIDE</t>
  </si>
  <si>
    <t>370782</t>
  </si>
  <si>
    <t>UNIVERSITY OF CALIF-SAN DIEGO MEDICAL CENTER</t>
  </si>
  <si>
    <t>200 WEST ARBOR DRIVE</t>
  </si>
  <si>
    <t>370875</t>
  </si>
  <si>
    <t>SHARP CHULA VISTA MEDICAL CENTER</t>
  </si>
  <si>
    <t>751 MEDICAL CENTER COURT</t>
  </si>
  <si>
    <t>CHULA VISTA</t>
  </si>
  <si>
    <t>370977</t>
  </si>
  <si>
    <t>POMERADO HOSPITAL</t>
  </si>
  <si>
    <t>15615 POMERADO ROAD</t>
  </si>
  <si>
    <t>POWAY</t>
  </si>
  <si>
    <t>371394</t>
  </si>
  <si>
    <t>SCRIPPS MEMORIAL HOSPITAL - ENCINITAS</t>
  </si>
  <si>
    <t>354 SANTA FE DRIVE</t>
  </si>
  <si>
    <t>ENCINITAS</t>
  </si>
  <si>
    <t>380857</t>
  </si>
  <si>
    <t>SAN FRANCISCO</t>
  </si>
  <si>
    <t>2425 GEARY BOULEVARD</t>
  </si>
  <si>
    <t>380929</t>
  </si>
  <si>
    <t>CALIFORNIA PACIFIC MED CTR-PACIFIC CAMPUS</t>
  </si>
  <si>
    <t>2333 BUCHANAN STREET</t>
  </si>
  <si>
    <t>380939</t>
  </si>
  <si>
    <t>SAN FRANCISCO GENERAL HOSPITAL</t>
  </si>
  <si>
    <t>1001 POTRERO AVENUE</t>
  </si>
  <si>
    <t>380960</t>
  </si>
  <si>
    <t>ST. FRANCIS MEMORIAL HOSPITAL</t>
  </si>
  <si>
    <t>900 HYDE STREET</t>
  </si>
  <si>
    <t>380964</t>
  </si>
  <si>
    <t>3555 CESAR CHAVEZ STREET</t>
  </si>
  <si>
    <t>380965</t>
  </si>
  <si>
    <t>ST. MARY'S MEDICAL CENTER, SAN FRANCISCO</t>
  </si>
  <si>
    <t>450 STANYAN STREET</t>
  </si>
  <si>
    <t>381154</t>
  </si>
  <si>
    <t>UCSF MEDICAL CENTER</t>
  </si>
  <si>
    <t>505 PARNASSUS AVENUE</t>
  </si>
  <si>
    <t>382715</t>
  </si>
  <si>
    <t>CHINESE HOSPITAL</t>
  </si>
  <si>
    <t>845 JACKSON STREET</t>
  </si>
  <si>
    <t>390846</t>
  </si>
  <si>
    <t>DAMERON HOSPITAL</t>
  </si>
  <si>
    <t>525 WEST ACACIA</t>
  </si>
  <si>
    <t>STOCKTON</t>
  </si>
  <si>
    <t>390923</t>
  </si>
  <si>
    <t>LODI MEMORIAL HOSPITAL</t>
  </si>
  <si>
    <t>975 SOUTH FAIRMONT AVENUE</t>
  </si>
  <si>
    <t>LODI</t>
  </si>
  <si>
    <t>391010</t>
  </si>
  <si>
    <t>SAN JOAQUIN GENERAL HOSPITAL</t>
  </si>
  <si>
    <t>500 WEST HOSPITAL ROAD</t>
  </si>
  <si>
    <t>FRENCH CAMP</t>
  </si>
  <si>
    <t>391042</t>
  </si>
  <si>
    <t>1800 NORTH CALIFORNIA STREET</t>
  </si>
  <si>
    <t>391056</t>
  </si>
  <si>
    <t>SUTTER TRACY COMMUNITY HOSPITAL</t>
  </si>
  <si>
    <t>1420 NORTH TRACY BOULEVARD</t>
  </si>
  <si>
    <t>TRACY</t>
  </si>
  <si>
    <t>392287</t>
  </si>
  <si>
    <t>DOCTORS HOSPITAL OF MANTECA</t>
  </si>
  <si>
    <t>1205 EAST NORTH STREET</t>
  </si>
  <si>
    <t>MANTECA</t>
  </si>
  <si>
    <t>394009</t>
  </si>
  <si>
    <t>1777 WEST YOSEMITE AVENUE</t>
  </si>
  <si>
    <t>400466</t>
  </si>
  <si>
    <t>SAN LUIS OBISPO</t>
  </si>
  <si>
    <t>345 SOUTH HALCYON ROAD</t>
  </si>
  <si>
    <t>ARROYO GRANDE</t>
  </si>
  <si>
    <t>400480</t>
  </si>
  <si>
    <t>FRENCH HOSPITAL MEDICAL CENTER</t>
  </si>
  <si>
    <t>1911 JOHNSON AVENUE</t>
  </si>
  <si>
    <t>400524</t>
  </si>
  <si>
    <t>SIERRA VISTA REGIONAL MEDICAL CENTER</t>
  </si>
  <si>
    <t>1010 MURRAY STREET</t>
  </si>
  <si>
    <t>400548</t>
  </si>
  <si>
    <t>TWIN CITIES COMMUNITY HOSPITAL</t>
  </si>
  <si>
    <t>1100 LAS TABLAS ROAD</t>
  </si>
  <si>
    <t>TEMPLETON</t>
  </si>
  <si>
    <t>410782</t>
  </si>
  <si>
    <t>SAN MATEO MEDICAL CENTER</t>
  </si>
  <si>
    <t>SAN MATEO</t>
  </si>
  <si>
    <t>222 WEST 39TH AVENUE</t>
  </si>
  <si>
    <t>410804</t>
  </si>
  <si>
    <t>1150 VETERANS BOULEVARD</t>
  </si>
  <si>
    <t>REDWOOD CITY</t>
  </si>
  <si>
    <t>410806</t>
  </si>
  <si>
    <t>1200 EL CAMINO REAL</t>
  </si>
  <si>
    <t>SOUTH SAN FRANCISCO</t>
  </si>
  <si>
    <t>410817</t>
  </si>
  <si>
    <t>SETON MEDICAL CENTER</t>
  </si>
  <si>
    <t>1900 SULLIVAN AVENUE</t>
  </si>
  <si>
    <t>DALY CITY</t>
  </si>
  <si>
    <t>410828</t>
  </si>
  <si>
    <t>600 MARINE BOULEVARD</t>
  </si>
  <si>
    <t>MOSS BEACH</t>
  </si>
  <si>
    <t>410852</t>
  </si>
  <si>
    <t>MILLS-PENINSULA MEDICAL CENTER</t>
  </si>
  <si>
    <t>1501 TROUSDALE DRIVE</t>
  </si>
  <si>
    <t>BURLINGAME</t>
  </si>
  <si>
    <t>410891</t>
  </si>
  <si>
    <t>SEQUOIA HOSPITAL</t>
  </si>
  <si>
    <t>170 ALAMEDA DE LAS PULGAS</t>
  </si>
  <si>
    <t>420483</t>
  </si>
  <si>
    <t>GOLETA VALLEY COTTAGE HOSPITAL</t>
  </si>
  <si>
    <t>SANTA BARBARA</t>
  </si>
  <si>
    <t>351 SOUTH PATTERSON AVENUE</t>
  </si>
  <si>
    <t>420491</t>
  </si>
  <si>
    <t>LOMPOC VALLEY MEDICAL CENTER</t>
  </si>
  <si>
    <t>1515 E. OCEAN AVENUE</t>
  </si>
  <si>
    <t>LOMPOC</t>
  </si>
  <si>
    <t>420493</t>
  </si>
  <si>
    <t>1400 EAST CHURCH STREET</t>
  </si>
  <si>
    <t>SANTA MARIA</t>
  </si>
  <si>
    <t>420514</t>
  </si>
  <si>
    <t>SANTA BARBARA COTTAGE HOSPITAL</t>
  </si>
  <si>
    <t>420522</t>
  </si>
  <si>
    <t>SANTA YNEZ VALLEY COTTAGE HOSPITAL</t>
  </si>
  <si>
    <t>2050 VIBORG ROAD</t>
  </si>
  <si>
    <t>SOLVANG</t>
  </si>
  <si>
    <t>430705</t>
  </si>
  <si>
    <t>REGIONAL MEDICAL OF SAN JOSE</t>
  </si>
  <si>
    <t>SANTA CLARA</t>
  </si>
  <si>
    <t>225 NORTH JACKSON AVENUE</t>
  </si>
  <si>
    <t>SAN JOSE</t>
  </si>
  <si>
    <t>430763</t>
  </si>
  <si>
    <t>EL CAMINO HOSPITAL</t>
  </si>
  <si>
    <t>2500 GRANT ROAD</t>
  </si>
  <si>
    <t>MOUNTAIN VIEW</t>
  </si>
  <si>
    <t>430779</t>
  </si>
  <si>
    <t>GOOD SAMARITAN HOSPITAL-SAN JOSE</t>
  </si>
  <si>
    <t>2425 SAMARITAN DRIVE</t>
  </si>
  <si>
    <t>430837</t>
  </si>
  <si>
    <t>2105 FOREST AVENUE</t>
  </si>
  <si>
    <t>430883</t>
  </si>
  <si>
    <t>SANTA CLARA VALLEY MEDICAL CENTER</t>
  </si>
  <si>
    <t>751 SOUTH BASCOM AVENUE</t>
  </si>
  <si>
    <t>430905</t>
  </si>
  <si>
    <t>STANFORD HOSPITAL</t>
  </si>
  <si>
    <t>300 PASTEUR DRIVE</t>
  </si>
  <si>
    <t>PALO ALTO</t>
  </si>
  <si>
    <t>431506</t>
  </si>
  <si>
    <t>250 HOSPITAL PARKWAY</t>
  </si>
  <si>
    <t>434138</t>
  </si>
  <si>
    <t>ST. LOUISE REGIONAL HOSPITAL</t>
  </si>
  <si>
    <t>9400 NO NAME UNO</t>
  </si>
  <si>
    <t>GILROY</t>
  </si>
  <si>
    <t>434153</t>
  </si>
  <si>
    <t>700 LAWRENCE EXPRESSWAY</t>
  </si>
  <si>
    <t>440755</t>
  </si>
  <si>
    <t>SANTA CRUZ</t>
  </si>
  <si>
    <t>1555 SOQUEL DRIVE</t>
  </si>
  <si>
    <t>444013</t>
  </si>
  <si>
    <t>WATSONVILLE COMMUNITY HOSPITAL</t>
  </si>
  <si>
    <t>75 NIELSON STREET</t>
  </si>
  <si>
    <t>WATSONVILLE</t>
  </si>
  <si>
    <t>450936</t>
  </si>
  <si>
    <t>MAYERS MEMORIAL HOSPITAL</t>
  </si>
  <si>
    <t>FALL RIVER MILLS</t>
  </si>
  <si>
    <t>450940</t>
  </si>
  <si>
    <t>SHASTA REGIONAL MEDICAL CENTER</t>
  </si>
  <si>
    <t>1100 BUTTE STREET</t>
  </si>
  <si>
    <t>REDDING</t>
  </si>
  <si>
    <t>450949</t>
  </si>
  <si>
    <t>MERCY MEDICAL CENTER - REDDING</t>
  </si>
  <si>
    <t>2175 ROSALINE AVENUE</t>
  </si>
  <si>
    <t>470871</t>
  </si>
  <si>
    <t>MERCY MEDICAL CENTER MT. SHASTA</t>
  </si>
  <si>
    <t>914 PINE STREET, BOX 239</t>
  </si>
  <si>
    <t>MOUNT SHASTA</t>
  </si>
  <si>
    <t>474007</t>
  </si>
  <si>
    <t>FAIRCHILD MEDICAL CENTER</t>
  </si>
  <si>
    <t>444 BRUCE STREET</t>
  </si>
  <si>
    <t>YREKA</t>
  </si>
  <si>
    <t>480989</t>
  </si>
  <si>
    <t>975 SERENO DRIVE</t>
  </si>
  <si>
    <t>VALLEJO</t>
  </si>
  <si>
    <t>481094</t>
  </si>
  <si>
    <t>SUTTER SOLANO MEDICAL CENTER</t>
  </si>
  <si>
    <t>300 HOSPITAL DRIVE</t>
  </si>
  <si>
    <t>481357</t>
  </si>
  <si>
    <t>NORTH BAY MEDICAL CENTER</t>
  </si>
  <si>
    <t>1200 B. GALE WILSON BLVD.</t>
  </si>
  <si>
    <t>FAIRFIELD</t>
  </si>
  <si>
    <t>484044</t>
  </si>
  <si>
    <t>KAISER FOUNDATION HOSPITAL - VACAVILLE</t>
  </si>
  <si>
    <t>1 QUALITY DRIVE</t>
  </si>
  <si>
    <t>VACAVILLE</t>
  </si>
  <si>
    <t>490919</t>
  </si>
  <si>
    <t>SONOMA</t>
  </si>
  <si>
    <t>3325 CHANATE ROAD</t>
  </si>
  <si>
    <t>SANTA ROSA</t>
  </si>
  <si>
    <t>490964</t>
  </si>
  <si>
    <t>HEALDSBURG DISTRICT HOSPITAL</t>
  </si>
  <si>
    <t>1375 UNIVERSITY STREET</t>
  </si>
  <si>
    <t>HEALDSBURG</t>
  </si>
  <si>
    <t>491001</t>
  </si>
  <si>
    <t>PETALUMA VALLEY HOSPITAL</t>
  </si>
  <si>
    <t>PETALUMA</t>
  </si>
  <si>
    <t>491064</t>
  </si>
  <si>
    <t>SANTA ROSA MEMORIAL HOSPITAL-MONTGOMERY</t>
  </si>
  <si>
    <t>1165 MONTGOMERY DRIVE</t>
  </si>
  <si>
    <t>491076</t>
  </si>
  <si>
    <t>SONOMA VALLEY HOSPITAL</t>
  </si>
  <si>
    <t>347 ANDRIEUX STREET</t>
  </si>
  <si>
    <t>491338</t>
  </si>
  <si>
    <t>PALM DRIVE HOSPITAL</t>
  </si>
  <si>
    <t>501 PETALUMA AVENUE</t>
  </si>
  <si>
    <t>SEBASTOPOL</t>
  </si>
  <si>
    <t>494019</t>
  </si>
  <si>
    <t>401 BICENTENNIAL WAY</t>
  </si>
  <si>
    <t>500852</t>
  </si>
  <si>
    <t>DOCTORS MEDICAL CENTER</t>
  </si>
  <si>
    <t>1441 FLORIDA AVENUE</t>
  </si>
  <si>
    <t>MODESTO</t>
  </si>
  <si>
    <t>500867</t>
  </si>
  <si>
    <t>825 DELBON AVENUE</t>
  </si>
  <si>
    <t>TURLOCK</t>
  </si>
  <si>
    <t>500939</t>
  </si>
  <si>
    <t>MEMORIAL HOSPITAL MEDICAL CENTER - MODESTO</t>
  </si>
  <si>
    <t>1700 COFFEE ROAD</t>
  </si>
  <si>
    <t>500967</t>
  </si>
  <si>
    <t>350 SOUTH OAK STREET</t>
  </si>
  <si>
    <t>OAKDALE</t>
  </si>
  <si>
    <t>521041</t>
  </si>
  <si>
    <t>ST. ELIZABETH COMMUNITY HOSPITAL</t>
  </si>
  <si>
    <t>2550 SISTER MARY COLUMBA DRIVE</t>
  </si>
  <si>
    <t>RED BLUFF</t>
  </si>
  <si>
    <t>531059</t>
  </si>
  <si>
    <t>TRINITY HOSPITAL</t>
  </si>
  <si>
    <t>WEAVERVILLE</t>
  </si>
  <si>
    <t>540734</t>
  </si>
  <si>
    <t>KAWEAH DELTA MEDICAL CENTER</t>
  </si>
  <si>
    <t>TULARE</t>
  </si>
  <si>
    <t>400 WEST MINERAL KING</t>
  </si>
  <si>
    <t>VISALIA</t>
  </si>
  <si>
    <t>540798</t>
  </si>
  <si>
    <t>465 WEST PUTNAM AVENUE</t>
  </si>
  <si>
    <t>PORTERVILLE</t>
  </si>
  <si>
    <t>540816</t>
  </si>
  <si>
    <t>TULARE REGIONAL MEDICAL CENTER</t>
  </si>
  <si>
    <t>554011</t>
  </si>
  <si>
    <t>SONORA REGIONAL MEDICAL CENTER - GREENLEY</t>
  </si>
  <si>
    <t>560473</t>
  </si>
  <si>
    <t>COMMUNITY MEMORIAL HOSPITAL-SAN BUENAVENTURA</t>
  </si>
  <si>
    <t>VENTURA</t>
  </si>
  <si>
    <t>147 N. BRENT STREET</t>
  </si>
  <si>
    <t>560481</t>
  </si>
  <si>
    <t>VENTURA COUNTY MEDICAL CENTER</t>
  </si>
  <si>
    <t>3291 LOMA VISTA ROAD</t>
  </si>
  <si>
    <t>560492</t>
  </si>
  <si>
    <t>215 WEST JANSS ROAD</t>
  </si>
  <si>
    <t>THOUSAND OAKS</t>
  </si>
  <si>
    <t>560501</t>
  </si>
  <si>
    <t>OJAI VALLEY COMMUNITY HOSPITAL</t>
  </si>
  <si>
    <t>1306 MARICOPA HIGHWAY</t>
  </si>
  <si>
    <t>OJAI</t>
  </si>
  <si>
    <t>560508</t>
  </si>
  <si>
    <t>2309 ANTONIO AVENUE</t>
  </si>
  <si>
    <t>CAMARILLO</t>
  </si>
  <si>
    <t>560525</t>
  </si>
  <si>
    <t>SIMI VALLEY HOSPITAL AND HEALTH CARE SVCS-SYCAMORE</t>
  </si>
  <si>
    <t>2975 NORTH SYCAMORE DRIVE</t>
  </si>
  <si>
    <t>SIMI VALLEY</t>
  </si>
  <si>
    <t>560529</t>
  </si>
  <si>
    <t>1600 NORTH ROSE AVENUE</t>
  </si>
  <si>
    <t>OXNARD</t>
  </si>
  <si>
    <t>571086</t>
  </si>
  <si>
    <t>WOODLAND MEMORIAL HOSPITAL</t>
  </si>
  <si>
    <t>1325 COTTONWOOD STREET</t>
  </si>
  <si>
    <t>WOODLAND</t>
  </si>
  <si>
    <t>574010</t>
  </si>
  <si>
    <t>DAVIS</t>
  </si>
  <si>
    <t>SUTTER DAVIS HOSPITAL</t>
  </si>
  <si>
    <t>2000 SUTTER PLACE</t>
  </si>
  <si>
    <t>580996</t>
  </si>
  <si>
    <t>RIDEOUT MEMORIAL HOSPITAL</t>
  </si>
  <si>
    <t>726 FOURTH ST</t>
  </si>
  <si>
    <t>MARYSVILLE</t>
  </si>
  <si>
    <t>(All)</t>
  </si>
  <si>
    <t>Values</t>
  </si>
  <si>
    <t>Sum of Sex_Female</t>
  </si>
  <si>
    <t>Sum of a_Sex_Female</t>
  </si>
  <si>
    <t>Sum of Sex_Male</t>
  </si>
  <si>
    <t>Sum of a_Sex_Male</t>
  </si>
  <si>
    <t>Sum of a_Dx_Congenital_anomalies</t>
  </si>
  <si>
    <t>Sum of a_Dx_Perinatal_disorders</t>
  </si>
  <si>
    <t>FACILITY COUNTY</t>
  </si>
  <si>
    <t>Sum of a_Age_Under_1</t>
  </si>
  <si>
    <t>Sum of Sex_Unknown</t>
  </si>
  <si>
    <t>Sum of a_Sex_Unknown</t>
  </si>
  <si>
    <t>Sum of Age_Under_1</t>
  </si>
  <si>
    <t>Sum of Age_01_09</t>
  </si>
  <si>
    <t>Sum of a_Age_01_09</t>
  </si>
  <si>
    <t>Sum of Age_10_19</t>
  </si>
  <si>
    <t>Sum of a_Age_10_19</t>
  </si>
  <si>
    <t>Sum of Age_20_29</t>
  </si>
  <si>
    <t>Sum of a_Age_20_29</t>
  </si>
  <si>
    <t>Sum of Age_30_39</t>
  </si>
  <si>
    <t>Sum of a_Age_30_39</t>
  </si>
  <si>
    <t>Sum of Age_40_49</t>
  </si>
  <si>
    <t>Sum of a_Age_40_49</t>
  </si>
  <si>
    <t>Sum of Age_50_59</t>
  </si>
  <si>
    <t>Sum of a_Age_50_59</t>
  </si>
  <si>
    <t>Sum of Age_60_69</t>
  </si>
  <si>
    <t>Sum of a_Age_60_69</t>
  </si>
  <si>
    <t>Sum of Age_70_79</t>
  </si>
  <si>
    <t>Sum of a_Age_70_79</t>
  </si>
  <si>
    <t>Sum of Age_80_</t>
  </si>
  <si>
    <t>Sum of a_Age_80_</t>
  </si>
  <si>
    <t>Sum of Age_Unknown</t>
  </si>
  <si>
    <t>Sum of a_Age_Unknown</t>
  </si>
  <si>
    <t>Sum of Black</t>
  </si>
  <si>
    <t>Sum of a_Black</t>
  </si>
  <si>
    <t>Sum of Hispanic</t>
  </si>
  <si>
    <t>Sum of a_Hispanic</t>
  </si>
  <si>
    <t>Sum of White</t>
  </si>
  <si>
    <t>Sum of a_White</t>
  </si>
  <si>
    <t>Sum of Died</t>
  </si>
  <si>
    <t>Sum of a_Died</t>
  </si>
  <si>
    <t>Sum of Medicare</t>
  </si>
  <si>
    <t>Sum of a_Medicare</t>
  </si>
  <si>
    <t>Sum of Uninsured</t>
  </si>
  <si>
    <t>Sum of a_Uninsured</t>
  </si>
  <si>
    <t>Sum of Dx_All_Pregnancies</t>
  </si>
  <si>
    <t>Sum of a_Dx_All_Pregnancies</t>
  </si>
  <si>
    <t>Sum of Dx_Blood_Bloodforming_organs</t>
  </si>
  <si>
    <t>Sum of a_Dx_Blood_Bloodforming_organs</t>
  </si>
  <si>
    <t>Sum of Dx_Circulatory</t>
  </si>
  <si>
    <t>Sum of a_Dx_Circulatory</t>
  </si>
  <si>
    <t>Sum of Dx_Congenital_anomalies</t>
  </si>
  <si>
    <t>Sum of Dx_Digestive</t>
  </si>
  <si>
    <t>Sum of a_Dx_Digestive</t>
  </si>
  <si>
    <t>Sum of Dx_Endocrine_Metabolism</t>
  </si>
  <si>
    <t>Sum of a_Dx_Endocrine_Metabolism</t>
  </si>
  <si>
    <t>Sum of Dx_Genitourinary</t>
  </si>
  <si>
    <t>Sum of a_Dx_Genitourinary</t>
  </si>
  <si>
    <t>Sum of Dx_Infections</t>
  </si>
  <si>
    <t>Sum of a_Dx_Infections</t>
  </si>
  <si>
    <t>Sum of Dx_Injuries_Drugs_Complications</t>
  </si>
  <si>
    <t>Sum of a_Dx_Injuries_Drugs_Complication</t>
  </si>
  <si>
    <t>Sum of Dx_Musculoskeletal</t>
  </si>
  <si>
    <t>Sum of a_Dx_Musculoskeletal</t>
  </si>
  <si>
    <t>Sum of Dx_Neoplasms</t>
  </si>
  <si>
    <t>Sum of a_Dx_Neoplasms</t>
  </si>
  <si>
    <t>Sum of Dx_Nervous_Sensory_Systems</t>
  </si>
  <si>
    <t>Sum of a_Dx_Nervous_Sensory_Systems</t>
  </si>
  <si>
    <t>Sum of Dx_Other_Reasons</t>
  </si>
  <si>
    <t>Sum of a_Dx_Other_Reasons</t>
  </si>
  <si>
    <t>Sum of Dx_Perinatal_disorders</t>
  </si>
  <si>
    <t>Sum of Dx_Psychoses_Neuroses</t>
  </si>
  <si>
    <t>Sum of a_Dx_Psychoses_Neuroses</t>
  </si>
  <si>
    <t>Sum of Dx_Respiratory</t>
  </si>
  <si>
    <t>Sum of a_Dx_Respiratory</t>
  </si>
  <si>
    <t>Sum of Dx_Skin_disorders</t>
  </si>
  <si>
    <t>Sum of a_Dx_Skin_disorders</t>
  </si>
  <si>
    <t>Sum of Dx_Symptoms</t>
  </si>
  <si>
    <t>Sum of a_Dx_Symptoms</t>
  </si>
  <si>
    <t>Sum of Dx_Births</t>
  </si>
  <si>
    <t>Sum of a_Dx_Births</t>
  </si>
  <si>
    <t>Sum of Dx_Invalid</t>
  </si>
  <si>
    <t>Sum of EC_Accidental_Falls</t>
  </si>
  <si>
    <t>Sum of a_EC_Accidental_Falls</t>
  </si>
  <si>
    <t>Sum of EC_Accidental_Poisoning</t>
  </si>
  <si>
    <t>Sum of a_EC_Accidental_Poisoning</t>
  </si>
  <si>
    <t>Sum of EC_Adverse_Effects_of_Drugs</t>
  </si>
  <si>
    <t>Sum of a_EC_Adverse_Effects_of_Drugs</t>
  </si>
  <si>
    <t>Sum of EC_Fire_Accidents</t>
  </si>
  <si>
    <t>Sum of a_EC_Fire_Accidents</t>
  </si>
  <si>
    <t>Sum of EC_Inflicted_by_Others</t>
  </si>
  <si>
    <t>Sum of a_EC_Inflicted_by_Others</t>
  </si>
  <si>
    <t>Sum of EC_Late_Effects_of_Injury</t>
  </si>
  <si>
    <t>Sum of a_EC_Late_Effects_of_Injury</t>
  </si>
  <si>
    <t>Sum of EC_Misadventures_Complication</t>
  </si>
  <si>
    <t>Sum of a_EC_Misadventures_Complication</t>
  </si>
  <si>
    <t>Sum of EC_Natural_Environment</t>
  </si>
  <si>
    <t>Sum of a_EC_Natural_Environment</t>
  </si>
  <si>
    <t>Sum of EC_None</t>
  </si>
  <si>
    <t>Sum of a_EC_None</t>
  </si>
  <si>
    <t>Sum of EC_Other_Accidents</t>
  </si>
  <si>
    <t>Sum of a_EC_Other_Accidents</t>
  </si>
  <si>
    <t>Sum of EC_Other_Vehicle_Transport</t>
  </si>
  <si>
    <t>Sum of a_EC_Other_Vehicle_Transport</t>
  </si>
  <si>
    <t>Sum of EC_Rail_Motor_Vehicle</t>
  </si>
  <si>
    <t>Sum of a_EC_Rail_Motor_Vehicle</t>
  </si>
  <si>
    <t>Sum of EC_Self_Inflicted</t>
  </si>
  <si>
    <t>Sum of a_EC_Self_Inflicted</t>
  </si>
  <si>
    <t>Sum of EC_Submersion_Suffocation_Foreig</t>
  </si>
  <si>
    <t>Sum of a_EC_Submersion_Suffocation_Fore</t>
  </si>
  <si>
    <t>Sum of EC_Undetermined</t>
  </si>
  <si>
    <t>Sum of a_EC_Undetermined</t>
  </si>
  <si>
    <t>Sum of EC_War</t>
  </si>
  <si>
    <t>Sum of a_EC_War</t>
  </si>
  <si>
    <t>Profile Characteristics (Individual Hospital Information will appear only if one hospital is selected)</t>
  </si>
  <si>
    <t>OSHPD Facility No.</t>
  </si>
  <si>
    <t>Hospital Name</t>
  </si>
  <si>
    <t>County</t>
  </si>
  <si>
    <t>Address</t>
  </si>
  <si>
    <t>City</t>
  </si>
  <si>
    <t>ZIP Code</t>
  </si>
  <si>
    <t>Type of Control</t>
  </si>
  <si>
    <t>Licensed Bed Size</t>
  </si>
  <si>
    <t>Senate District</t>
  </si>
  <si>
    <t>Assembly District</t>
  </si>
  <si>
    <t>Emergency Department Level</t>
  </si>
  <si>
    <t>ED Admit</t>
  </si>
  <si>
    <t>Total ED</t>
  </si>
  <si>
    <t>Expected Payer Source</t>
  </si>
  <si>
    <t>Native_American_Eski</t>
  </si>
  <si>
    <t>Other_Race</t>
  </si>
  <si>
    <t>Unknown_Race</t>
  </si>
  <si>
    <t>Acute_Care</t>
  </si>
  <si>
    <t>Against_Medical_Advice</t>
  </si>
  <si>
    <t>Home_Health_Service</t>
  </si>
  <si>
    <t>Hospice_Care</t>
  </si>
  <si>
    <t>Other_Care</t>
  </si>
  <si>
    <t>Other_Unknown</t>
  </si>
  <si>
    <t>Prison_Jail</t>
  </si>
  <si>
    <t>Psychiatric_Care</t>
  </si>
  <si>
    <t>Residential_Care_Facility</t>
  </si>
  <si>
    <t>Routine</t>
  </si>
  <si>
    <t>SN_IC_Care</t>
  </si>
  <si>
    <t>Childrens_or_Cancer_Center</t>
  </si>
  <si>
    <t>Critical_Access_Hospital</t>
  </si>
  <si>
    <t>Not_Defined_Elsewhere</t>
  </si>
  <si>
    <t>Medi_Cal</t>
  </si>
  <si>
    <t>Other_Payer</t>
  </si>
  <si>
    <t>Private_Coverage</t>
  </si>
  <si>
    <t>a_Asian_Pacific_Isla</t>
  </si>
  <si>
    <t>a_Other_Race</t>
  </si>
  <si>
    <t>a_Unknown_Race</t>
  </si>
  <si>
    <t>a_Native_American_Es</t>
  </si>
  <si>
    <t>a_Acute_Care</t>
  </si>
  <si>
    <t>a_Against_Medical_Advice</t>
  </si>
  <si>
    <t>a_Home_Health_Service</t>
  </si>
  <si>
    <t>a_Other_Care</t>
  </si>
  <si>
    <t>a_Other_Unknown</t>
  </si>
  <si>
    <t>a_Residential_Care_Facility</t>
  </si>
  <si>
    <t>a_Routine</t>
  </si>
  <si>
    <t>a_SN_IC_Care</t>
  </si>
  <si>
    <t>a_Prison_Jail</t>
  </si>
  <si>
    <t>a_Hospice_Care</t>
  </si>
  <si>
    <t>a_Psychiatric_Care</t>
  </si>
  <si>
    <t>a_Childrens_or_Cancer_Center</t>
  </si>
  <si>
    <t>a_Critical_Access_Hospital</t>
  </si>
  <si>
    <t>a_Not_Defined_Elsewhere</t>
  </si>
  <si>
    <t>a_Medi_Cal</t>
  </si>
  <si>
    <t>a_Other_Payer</t>
  </si>
  <si>
    <t>a_Private_Coverage</t>
  </si>
  <si>
    <t>Asian_Pacific_Island</t>
  </si>
  <si>
    <t>Sum of Asian_Pacific_Island</t>
  </si>
  <si>
    <t>Sum of a_Asian_Pacific_Isla</t>
  </si>
  <si>
    <t>Sum of Native_American_Eski</t>
  </si>
  <si>
    <t>Sum of a_Native_American_Es</t>
  </si>
  <si>
    <t>Sum of Other_Race</t>
  </si>
  <si>
    <t>Sum of a_Other_Race</t>
  </si>
  <si>
    <t>Sum of Unknown_Race</t>
  </si>
  <si>
    <t>Sum of a_Unknown_Race</t>
  </si>
  <si>
    <t>Sum of Acute_Care</t>
  </si>
  <si>
    <t>Sum of a_Acute_Care</t>
  </si>
  <si>
    <t>Sum of Against_Medical_Advice</t>
  </si>
  <si>
    <t>Sum of a_Against_Medical_Advice</t>
  </si>
  <si>
    <t>Sum of Home_Health_Service</t>
  </si>
  <si>
    <t>Sum of a_Home_Health_Service</t>
  </si>
  <si>
    <t>Sum of Hospice_Care</t>
  </si>
  <si>
    <t>Sum of a_Hospice_Care</t>
  </si>
  <si>
    <t>Sum of Other_Care</t>
  </si>
  <si>
    <t>Sum of a_Other_Care</t>
  </si>
  <si>
    <t>Sum of Other_Unknown</t>
  </si>
  <si>
    <t>Sum of a_Other_Unknown</t>
  </si>
  <si>
    <t>Sum of Prison_Jail</t>
  </si>
  <si>
    <t>Sum of a_Prison_Jail</t>
  </si>
  <si>
    <t>Sum of Psychiatric_Care</t>
  </si>
  <si>
    <t>Sum of a_Psychiatric_Care</t>
  </si>
  <si>
    <t>Sum of Residential_Care_Facility</t>
  </si>
  <si>
    <t>Sum of a_Residential_Care_Facility</t>
  </si>
  <si>
    <t>Sum of Routine</t>
  </si>
  <si>
    <t>Sum of a_Routine</t>
  </si>
  <si>
    <t>Sum of SN_IC_Care</t>
  </si>
  <si>
    <t>Sum of a_SN_IC_Care</t>
  </si>
  <si>
    <t>Sum of Childrens_or_Cancer_Center</t>
  </si>
  <si>
    <t>Sum of a_Childrens_or_Cancer_Center</t>
  </si>
  <si>
    <t>Sum of Critical_Access_Hospital</t>
  </si>
  <si>
    <t>Sum of a_Critical_Access_Hospital</t>
  </si>
  <si>
    <t>Sum of Not_Defined_Elsewhere</t>
  </si>
  <si>
    <t>Sum of a_Not_Defined_Elsewhere</t>
  </si>
  <si>
    <t>Sum of Medi_Cal</t>
  </si>
  <si>
    <t>Sum of a_Medi_Cal</t>
  </si>
  <si>
    <t>Sum of Other_Payer</t>
  </si>
  <si>
    <t>Sum of a_Other_Payer</t>
  </si>
  <si>
    <t>Sum of Private_Coverage</t>
  </si>
  <si>
    <t>Sum of a_Private_Coverage</t>
  </si>
  <si>
    <t>Native American/Eskimo</t>
  </si>
  <si>
    <t>Disposition</t>
  </si>
  <si>
    <t>Race Group</t>
  </si>
  <si>
    <t>Age Group</t>
  </si>
  <si>
    <t>Under 1</t>
  </si>
  <si>
    <t>1 - 9</t>
  </si>
  <si>
    <t>10 - 19</t>
  </si>
  <si>
    <t>20 - 29</t>
  </si>
  <si>
    <t>30 - 39</t>
  </si>
  <si>
    <t>40 - 49</t>
  </si>
  <si>
    <t>50 - 59</t>
  </si>
  <si>
    <t>60 - 69</t>
  </si>
  <si>
    <t>70 - 79</t>
  </si>
  <si>
    <t>80+</t>
  </si>
  <si>
    <t>Unknown</t>
  </si>
  <si>
    <t>Male</t>
  </si>
  <si>
    <t>Female</t>
  </si>
  <si>
    <t>Principal Diagnosis Group</t>
  </si>
  <si>
    <t>Infections</t>
  </si>
  <si>
    <t>Neoplasms</t>
  </si>
  <si>
    <t>Endocrine/Metabolism</t>
  </si>
  <si>
    <t>Blood/Blood-forming Organs</t>
  </si>
  <si>
    <t>Psychoses &amp; Neurosis</t>
  </si>
  <si>
    <t>Nervous &amp; Sensory Systems</t>
  </si>
  <si>
    <t>Circulatory</t>
  </si>
  <si>
    <t>Respiratory</t>
  </si>
  <si>
    <t>Digestive</t>
  </si>
  <si>
    <t>Genitourinary</t>
  </si>
  <si>
    <t>All Pregnancies</t>
  </si>
  <si>
    <t>Skin Disorders</t>
  </si>
  <si>
    <t>Musculoskeletal</t>
  </si>
  <si>
    <t>Perinatal Disorders</t>
  </si>
  <si>
    <t>Symptoms</t>
  </si>
  <si>
    <t>Injuries/Drugs/Complications</t>
  </si>
  <si>
    <t>Other Reasons for Health Services</t>
  </si>
  <si>
    <t>Births</t>
  </si>
  <si>
    <t>Invalid</t>
  </si>
  <si>
    <t>Rail &amp; Motor Vehicle</t>
  </si>
  <si>
    <t>Other Vehicle/Transport</t>
  </si>
  <si>
    <t>Accidental Poisoning</t>
  </si>
  <si>
    <t>Misadventures/Complications</t>
  </si>
  <si>
    <t>Accidental Falls</t>
  </si>
  <si>
    <t>Fire Accidents</t>
  </si>
  <si>
    <t>Natural/Environment</t>
  </si>
  <si>
    <t>Submersion/Suffocation/Foreign Body</t>
  </si>
  <si>
    <t>Other Accidents</t>
  </si>
  <si>
    <t>Adverse Effects of Drugs</t>
  </si>
  <si>
    <t>Self-Inflicted</t>
  </si>
  <si>
    <t>Inflicted by Others</t>
  </si>
  <si>
    <t>Undetermined</t>
  </si>
  <si>
    <t>War</t>
  </si>
  <si>
    <t>Late Effects of Injury</t>
  </si>
  <si>
    <t>None</t>
  </si>
  <si>
    <r>
      <t>Congenital Anomalies</t>
    </r>
    <r>
      <rPr>
        <sz val="9"/>
        <color theme="1"/>
        <rFont val="Calibri"/>
        <family val="2"/>
        <scheme val="minor"/>
      </rPr>
      <t xml:space="preserve"> (Birth Defects)</t>
    </r>
  </si>
  <si>
    <t>Principal Cause of Injury Group</t>
  </si>
  <si>
    <t>Number of Facilities</t>
  </si>
  <si>
    <t>State of California</t>
  </si>
  <si>
    <t>Office of Statewide Health Planning and Development</t>
  </si>
  <si>
    <t>INSTRUCTIONS FOR USING THE PIVOT PROFILE:</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</si>
  <si>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</si>
  <si>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</si>
  <si>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DATA REFERENCES/NOTES:</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</si>
  <si>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Patient Discharge Data Reporting Manual</t>
    </r>
    <r>
      <rPr>
        <sz val="8"/>
        <rFont val="Arial"/>
        <family val="2"/>
      </rPr>
      <t xml:space="preserve"> on the OSHPD web site (</t>
    </r>
    <r>
      <rPr>
        <b/>
        <u/>
        <sz val="8"/>
        <rFont val="Arial"/>
        <family val="2"/>
      </rPr>
      <t>www.oshpd.ca.gov</t>
    </r>
    <r>
      <rPr>
        <sz val="8"/>
        <rFont val="Arial"/>
        <family val="2"/>
      </rPr>
      <t>).</t>
    </r>
  </si>
  <si>
    <t>Principal Diagnostic Group</t>
  </si>
  <si>
    <t>Principal Diagnosis Code Range</t>
  </si>
  <si>
    <t>(based upon the ICD-9-CM coding of the Principal Diagnosis)</t>
  </si>
  <si>
    <t>001-139</t>
  </si>
  <si>
    <t>140-239</t>
  </si>
  <si>
    <t>240-279</t>
  </si>
  <si>
    <t>280-289</t>
  </si>
  <si>
    <t>290-319</t>
  </si>
  <si>
    <t>320-389</t>
  </si>
  <si>
    <t>390-459</t>
  </si>
  <si>
    <t>460-519</t>
  </si>
  <si>
    <t>520-579</t>
  </si>
  <si>
    <t>580-629</t>
  </si>
  <si>
    <t>Skin</t>
  </si>
  <si>
    <t>680-709</t>
  </si>
  <si>
    <t>710-739</t>
  </si>
  <si>
    <t>Congenital Anomalies (Birth Defects)</t>
  </si>
  <si>
    <t>740-759</t>
  </si>
  <si>
    <t>760-779</t>
  </si>
  <si>
    <t>780-799</t>
  </si>
  <si>
    <t>800-999</t>
  </si>
  <si>
    <t>Other Reasons</t>
  </si>
  <si>
    <t>V01-V29, V40-V89</t>
  </si>
  <si>
    <t>V30-V39</t>
  </si>
  <si>
    <t>Principal E-Code Range</t>
  </si>
  <si>
    <t>(based upon the ICD-9-CM coding of the Principal E-Code)</t>
  </si>
  <si>
    <t>E800-E825</t>
  </si>
  <si>
    <t>E826-E848</t>
  </si>
  <si>
    <t>E850-E869</t>
  </si>
  <si>
    <t>Misadventures/Complication</t>
  </si>
  <si>
    <t>E870-E879</t>
  </si>
  <si>
    <t>E880-E888</t>
  </si>
  <si>
    <t>E890-E899</t>
  </si>
  <si>
    <t>Natural/Environmental</t>
  </si>
  <si>
    <t>E900-E909</t>
  </si>
  <si>
    <t>Submersion, Suffocation, Foreign Bodies</t>
  </si>
  <si>
    <t>E910-E915</t>
  </si>
  <si>
    <t>E916-E928</t>
  </si>
  <si>
    <t>Adverse Effects/Therapeutics</t>
  </si>
  <si>
    <t>E930-E949</t>
  </si>
  <si>
    <t>Self Inflicted</t>
  </si>
  <si>
    <t>E950-E958</t>
  </si>
  <si>
    <t>E960-E968, E970-E976, E978-E979</t>
  </si>
  <si>
    <t>E980-E988</t>
  </si>
  <si>
    <t>E990-E998</t>
  </si>
  <si>
    <t>E929, E959, E969, E977, E989, E999</t>
  </si>
  <si>
    <t>Description</t>
  </si>
  <si>
    <t>(based upon combination of the "Ethnicity" and "Race" data fields)</t>
  </si>
  <si>
    <r>
      <t xml:space="preserve">Ethnicity = "Non-Hispanic", "Unknown", or Invalid </t>
    </r>
    <r>
      <rPr>
        <b/>
        <u/>
        <sz val="8"/>
        <rFont val="Arial"/>
        <family val="2"/>
      </rPr>
      <t>and</t>
    </r>
    <r>
      <rPr>
        <sz val="8"/>
        <rFont val="Arial"/>
        <family val="2"/>
      </rPr>
      <t xml:space="preserve"> 
Race = "White" </t>
    </r>
  </si>
  <si>
    <r>
      <t xml:space="preserve">Ethnicity = "Non-Hispanic", "Unknown", or Invalid </t>
    </r>
    <r>
      <rPr>
        <b/>
        <u/>
        <sz val="8"/>
        <rFont val="Arial"/>
        <family val="2"/>
      </rPr>
      <t>and</t>
    </r>
    <r>
      <rPr>
        <sz val="8"/>
        <rFont val="Arial"/>
        <family val="2"/>
      </rPr>
      <t xml:space="preserve"> 
Race = "Black" </t>
    </r>
  </si>
  <si>
    <r>
      <t xml:space="preserve">Ethnicity = "Hispanic" </t>
    </r>
    <r>
      <rPr>
        <b/>
        <u/>
        <sz val="7"/>
        <rFont val="Arial"/>
        <family val="2"/>
      </rPr>
      <t>and</t>
    </r>
    <r>
      <rPr>
        <sz val="7"/>
        <rFont val="Arial"/>
        <family val="2"/>
      </rPr>
      <t xml:space="preserve"> Race = "White", "Black", "Native American", "Asian/Pacific Islander", "Other",  "Unknown", or Invalid</t>
    </r>
  </si>
  <si>
    <t>Asian/Pacific Islander</t>
  </si>
  <si>
    <r>
      <t xml:space="preserve">Ethnicity = "Non-Hispanic", "Unknown", or Invalid </t>
    </r>
    <r>
      <rPr>
        <b/>
        <u/>
        <sz val="8"/>
        <rFont val="Arial"/>
        <family val="2"/>
      </rPr>
      <t>and</t>
    </r>
    <r>
      <rPr>
        <sz val="8"/>
        <rFont val="Arial"/>
        <family val="2"/>
      </rPr>
      <t xml:space="preserve"> 
Race = "Asian/Pacific Islander" </t>
    </r>
  </si>
  <si>
    <r>
      <t xml:space="preserve">Ethnicity = "Non-Hispanic", "Unknown", or Invalid </t>
    </r>
    <r>
      <rPr>
        <b/>
        <u/>
        <sz val="8"/>
        <rFont val="Arial"/>
        <family val="2"/>
      </rPr>
      <t>and</t>
    </r>
    <r>
      <rPr>
        <sz val="8"/>
        <rFont val="Arial"/>
        <family val="2"/>
      </rPr>
      <t xml:space="preserve"> 
Race = "Native American/Eskimo" </t>
    </r>
  </si>
  <si>
    <r>
      <t xml:space="preserve">Ethnicity = "Non-Hispanic", "Unknown", or Invalid </t>
    </r>
    <r>
      <rPr>
        <b/>
        <u/>
        <sz val="8"/>
        <rFont val="Arial"/>
        <family val="2"/>
      </rPr>
      <t>and</t>
    </r>
    <r>
      <rPr>
        <sz val="8"/>
        <rFont val="Arial"/>
        <family val="2"/>
      </rPr>
      <t xml:space="preserve"> 
Race = "Other".</t>
    </r>
  </si>
  <si>
    <r>
      <t xml:space="preserve">Ethnicity = "Non-Hispanic", "Unknown", or Invalid </t>
    </r>
    <r>
      <rPr>
        <b/>
        <u/>
        <sz val="8"/>
        <rFont val="Arial"/>
        <family val="2"/>
      </rPr>
      <t>and</t>
    </r>
    <r>
      <rPr>
        <sz val="8"/>
        <rFont val="Arial"/>
        <family val="2"/>
      </rPr>
      <t xml:space="preserve"> Race = "Unknown"; Also includes invalid and unreported cases.</t>
    </r>
  </si>
  <si>
    <t>Other Payer</t>
  </si>
  <si>
    <t>Expected Payer Crosswalk</t>
  </si>
  <si>
    <t>http://oshpd.ca.gov/HID/MIRCal/ManualsGuides.html</t>
  </si>
  <si>
    <t>Disposition Crosswalk</t>
  </si>
  <si>
    <t>Home Health Services</t>
  </si>
  <si>
    <t>From Emergency Department Data (DISPN)</t>
  </si>
  <si>
    <t>From Emergency Department Data (PAYER)</t>
  </si>
  <si>
    <t>09=Self-Pay</t>
  </si>
  <si>
    <t>11=Other Non-federal Programs, CH=Champus (Tricare), DS=Disability, OF=Other Federal Programs, TV=Title V, VA=Veterans Affairs Plans, 00=Other, or 99=Invalid/Unknown</t>
  </si>
  <si>
    <t>Not an option on this dataset</t>
  </si>
  <si>
    <t>From Patient Discharge Data (DISP)</t>
  </si>
  <si>
    <t>From Patient Discharge Data (PAY_CAT)</t>
  </si>
  <si>
    <t>NOTE: The Emergency Department Data Pivot Profile uses all of the data from the Emergency Department dataset and those records from the Patient Discharge dataset where the Source of Admission was "The admittion hospitals Emergency Room."  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</si>
  <si>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5.  Database:  The background data that is necessary to run the pivot table is located in the "DATA" worksheet.  DO NOT MAKE ANY CHANGES TO THIS WORKSHEET, AS IT CONTAINS MANY LINKS, FORMULAS AND CUSTOM FORMATS THAT CAN EASILY BE CORRUPTED.  If you would like to use the data in the "DATA" worksheet, make a copy of it and use the copy (in Excel, Copy Sheet function).</t>
  </si>
  <si>
    <t>Childrens Hospital or Cancer Center</t>
  </si>
  <si>
    <r>
      <rPr>
        <b/>
        <sz val="8"/>
        <color theme="1"/>
        <rFont val="Arial"/>
        <family val="2"/>
      </rPr>
      <t>02</t>
    </r>
    <r>
      <rPr>
        <sz val="8"/>
        <color theme="1"/>
        <rFont val="Arial"/>
        <family val="2"/>
      </rPr>
      <t xml:space="preserve">=Discharged/transferred to a short term general hospital for inpatient care, </t>
    </r>
    <r>
      <rPr>
        <b/>
        <sz val="8"/>
        <color theme="1"/>
        <rFont val="Arial"/>
        <family val="2"/>
      </rPr>
      <t>82</t>
    </r>
    <r>
      <rPr>
        <sz val="8"/>
        <color theme="1"/>
        <rFont val="Arial"/>
        <family val="2"/>
      </rPr>
      <t xml:space="preserve">=Discharged/Transferred to a Short Term General Hospital for Inpatient Care with a Planned Acute Care Hospital Inpatient Readmission, </t>
    </r>
    <r>
      <rPr>
        <b/>
        <sz val="8"/>
        <color theme="1"/>
        <rFont val="Arial"/>
        <family val="2"/>
      </rPr>
      <t>63</t>
    </r>
    <r>
      <rPr>
        <sz val="8"/>
        <color theme="1"/>
        <rFont val="Arial"/>
        <family val="2"/>
      </rPr>
      <t xml:space="preserve">=Discharged/transferred to a Medicare certified long term care hospital (LTCH), </t>
    </r>
    <r>
      <rPr>
        <b/>
        <sz val="8"/>
        <color theme="1"/>
        <rFont val="Arial"/>
        <family val="2"/>
      </rPr>
      <t>91</t>
    </r>
    <r>
      <rPr>
        <sz val="8"/>
        <color theme="1"/>
        <rFont val="Arial"/>
        <family val="2"/>
      </rPr>
      <t xml:space="preserve">=Discharged/Transferred to a Medicare certified Long Term Care Hospital (LTCH) with a Planned Acute Care Hospital Inpatient Readmission, </t>
    </r>
    <r>
      <rPr>
        <b/>
        <sz val="8"/>
        <color theme="1"/>
        <rFont val="Arial"/>
        <family val="2"/>
      </rPr>
      <t>43</t>
    </r>
    <r>
      <rPr>
        <sz val="8"/>
        <color theme="1"/>
        <rFont val="Arial"/>
        <family val="2"/>
      </rPr>
      <t xml:space="preserve">=Discharged/transferred to a federal health care facility, or </t>
    </r>
    <r>
      <rPr>
        <b/>
        <sz val="8"/>
        <color theme="1"/>
        <rFont val="Arial"/>
        <family val="2"/>
      </rPr>
      <t>88</t>
    </r>
    <r>
      <rPr>
        <sz val="8"/>
        <color theme="1"/>
        <rFont val="Arial"/>
        <family val="2"/>
      </rPr>
      <t>=Discharged/Transferred to a Federal Health Care Facility with a Planned Acute Care Hospital Inpatient Readmission</t>
    </r>
  </si>
  <si>
    <r>
      <rPr>
        <b/>
        <sz val="8"/>
        <color theme="1"/>
        <rFont val="Arial"/>
        <family val="2"/>
      </rPr>
      <t>02</t>
    </r>
    <r>
      <rPr>
        <sz val="8"/>
        <color theme="1"/>
        <rFont val="Arial"/>
        <family val="2"/>
      </rPr>
      <t xml:space="preserve">=Acute Care within the admitting hospital or </t>
    </r>
    <r>
      <rPr>
        <b/>
        <sz val="8"/>
        <color theme="1"/>
        <rFont val="Arial"/>
        <family val="2"/>
      </rPr>
      <t>05</t>
    </r>
    <r>
      <rPr>
        <sz val="8"/>
        <color theme="1"/>
        <rFont val="Arial"/>
        <family val="2"/>
      </rPr>
      <t>=Acute Care at another hospital</t>
    </r>
  </si>
  <si>
    <r>
      <rPr>
        <b/>
        <sz val="8"/>
        <color theme="1"/>
        <rFont val="Arial"/>
        <family val="2"/>
      </rPr>
      <t>10</t>
    </r>
    <r>
      <rPr>
        <sz val="8"/>
        <color theme="1"/>
        <rFont val="Arial"/>
        <family val="2"/>
      </rPr>
      <t>=Left Against Medical Advice</t>
    </r>
  </si>
  <si>
    <r>
      <rPr>
        <b/>
        <sz val="8"/>
        <color theme="1"/>
        <rFont val="Arial"/>
        <family val="2"/>
      </rPr>
      <t>11</t>
    </r>
    <r>
      <rPr>
        <sz val="8"/>
        <color theme="1"/>
        <rFont val="Arial"/>
        <family val="2"/>
      </rPr>
      <t>=Died</t>
    </r>
  </si>
  <si>
    <r>
      <rPr>
        <b/>
        <sz val="8"/>
        <color theme="1"/>
        <rFont val="Arial"/>
        <family val="2"/>
      </rPr>
      <t>12</t>
    </r>
    <r>
      <rPr>
        <sz val="8"/>
        <color theme="1"/>
        <rFont val="Arial"/>
        <family val="2"/>
      </rPr>
      <t>=Home Health Service</t>
    </r>
  </si>
  <si>
    <r>
      <rPr>
        <b/>
        <sz val="8"/>
        <color theme="1"/>
        <rFont val="Arial"/>
        <family val="2"/>
      </rPr>
      <t>03</t>
    </r>
    <r>
      <rPr>
        <sz val="8"/>
        <color theme="1"/>
        <rFont val="Arial"/>
        <family val="2"/>
      </rPr>
      <t xml:space="preserve">=Other Care within the admitting hospital or </t>
    </r>
    <r>
      <rPr>
        <b/>
        <sz val="8"/>
        <color theme="1"/>
        <rFont val="Arial"/>
        <family val="2"/>
      </rPr>
      <t>06</t>
    </r>
    <r>
      <rPr>
        <sz val="8"/>
        <color theme="1"/>
        <rFont val="Arial"/>
        <family val="2"/>
      </rPr>
      <t>=Other Care (not SN/IC) at another hospital</t>
    </r>
  </si>
  <si>
    <r>
      <rPr>
        <b/>
        <sz val="8"/>
        <color theme="1"/>
        <rFont val="Arial"/>
        <family val="2"/>
      </rPr>
      <t>00</t>
    </r>
    <r>
      <rPr>
        <sz val="8"/>
        <color theme="1"/>
        <rFont val="Arial"/>
        <family val="2"/>
      </rPr>
      <t xml:space="preserve">=Invalid/Blank or </t>
    </r>
    <r>
      <rPr>
        <b/>
        <sz val="8"/>
        <color theme="1"/>
        <rFont val="Arial"/>
        <family val="2"/>
      </rPr>
      <t>13</t>
    </r>
    <r>
      <rPr>
        <sz val="8"/>
        <color theme="1"/>
        <rFont val="Arial"/>
        <family val="2"/>
      </rPr>
      <t>=Other</t>
    </r>
  </si>
  <si>
    <r>
      <rPr>
        <b/>
        <sz val="8"/>
        <color theme="1"/>
        <rFont val="Arial"/>
        <family val="2"/>
      </rPr>
      <t>09</t>
    </r>
    <r>
      <rPr>
        <sz val="8"/>
        <color theme="1"/>
        <rFont val="Arial"/>
        <family val="2"/>
      </rPr>
      <t>=Prison/Jail</t>
    </r>
  </si>
  <si>
    <r>
      <rPr>
        <b/>
        <sz val="8"/>
        <color theme="1"/>
        <rFont val="Arial"/>
        <family val="2"/>
      </rPr>
      <t>08</t>
    </r>
    <r>
      <rPr>
        <sz val="8"/>
        <color theme="1"/>
        <rFont val="Arial"/>
        <family val="2"/>
      </rPr>
      <t>=Residential Care Facility</t>
    </r>
  </si>
  <si>
    <r>
      <rPr>
        <b/>
        <sz val="8"/>
        <color theme="1"/>
        <rFont val="Arial"/>
        <family val="2"/>
      </rPr>
      <t>01</t>
    </r>
    <r>
      <rPr>
        <sz val="8"/>
        <color theme="1"/>
        <rFont val="Arial"/>
        <family val="2"/>
      </rPr>
      <t>=Routine (home)</t>
    </r>
  </si>
  <si>
    <r>
      <rPr>
        <b/>
        <sz val="8"/>
        <color theme="1"/>
        <rFont val="Arial"/>
        <family val="2"/>
      </rPr>
      <t>04</t>
    </r>
    <r>
      <rPr>
        <sz val="8"/>
        <color theme="1"/>
        <rFont val="Arial"/>
        <family val="2"/>
      </rPr>
      <t xml:space="preserve">=Skilled Nursing/Intermediate Care (SN/IC) within the admitting hospital or </t>
    </r>
    <r>
      <rPr>
        <b/>
        <sz val="8"/>
        <color theme="1"/>
        <rFont val="Arial"/>
        <family val="2"/>
      </rPr>
      <t>07</t>
    </r>
    <r>
      <rPr>
        <sz val="8"/>
        <color theme="1"/>
        <rFont val="Arial"/>
        <family val="2"/>
      </rPr>
      <t>=SN/IC at another facility</t>
    </r>
  </si>
  <si>
    <r>
      <rPr>
        <b/>
        <sz val="8"/>
        <color theme="1"/>
        <rFont val="Arial"/>
        <family val="2"/>
      </rPr>
      <t>01</t>
    </r>
    <r>
      <rPr>
        <sz val="8"/>
        <color theme="1"/>
        <rFont val="Arial"/>
        <family val="2"/>
      </rPr>
      <t xml:space="preserve">=Discharged to home or self care (routine discharge) or </t>
    </r>
    <r>
      <rPr>
        <b/>
        <sz val="8"/>
        <color theme="1"/>
        <rFont val="Arial"/>
        <family val="2"/>
      </rPr>
      <t>81</t>
    </r>
    <r>
      <rPr>
        <sz val="8"/>
        <color theme="1"/>
        <rFont val="Arial"/>
        <family val="2"/>
      </rPr>
      <t>=Discharged/Transferred to Home or Self Care with a Planned Acute Care Hospital Inpatient Readmission</t>
    </r>
  </si>
  <si>
    <r>
      <rPr>
        <b/>
        <sz val="8"/>
        <rFont val="Arial"/>
        <family val="2"/>
      </rPr>
      <t>MC</t>
    </r>
    <r>
      <rPr>
        <sz val="8"/>
        <rFont val="Arial"/>
        <family val="2"/>
      </rPr>
      <t>=Medicaid (Californias Medi-Cal Program)</t>
    </r>
  </si>
  <si>
    <r>
      <rPr>
        <b/>
        <sz val="8"/>
        <rFont val="Arial"/>
        <family val="2"/>
      </rPr>
      <t>MA</t>
    </r>
    <r>
      <rPr>
        <sz val="8"/>
        <rFont val="Arial"/>
        <family val="2"/>
      </rPr>
      <t xml:space="preserve">=Medicare Part A, </t>
    </r>
    <r>
      <rPr>
        <b/>
        <sz val="8"/>
        <rFont val="Arial"/>
        <family val="2"/>
      </rPr>
      <t>MB</t>
    </r>
    <r>
      <rPr>
        <sz val="8"/>
        <rFont val="Arial"/>
        <family val="2"/>
      </rPr>
      <t xml:space="preserve">=Medicare Part B, or </t>
    </r>
    <r>
      <rPr>
        <b/>
        <sz val="8"/>
        <rFont val="Arial"/>
        <family val="2"/>
      </rPr>
      <t>16</t>
    </r>
    <r>
      <rPr>
        <sz val="8"/>
        <rFont val="Arial"/>
        <family val="2"/>
      </rPr>
      <t>=Health Maintenance Organization (HMO) Medicare Risk</t>
    </r>
  </si>
  <si>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</si>
  <si>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</si>
  <si>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</si>
  <si>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05</t>
    </r>
    <r>
      <rPr>
        <sz val="8"/>
        <color theme="1"/>
        <rFont val="Arial"/>
        <family val="2"/>
      </rPr>
      <t>=County Indigent Programs,</t>
    </r>
    <r>
      <rPr>
        <b/>
        <sz val="8"/>
        <color theme="1"/>
        <rFont val="Arial"/>
        <family val="2"/>
      </rPr>
      <t xml:space="preserve"> 07</t>
    </r>
    <r>
      <rPr>
        <sz val="8"/>
        <color theme="1"/>
        <rFont val="Arial"/>
        <family val="2"/>
      </rPr>
      <t xml:space="preserve">=Other Indigent, or </t>
    </r>
    <r>
      <rPr>
        <b/>
        <sz val="8"/>
        <color theme="1"/>
        <rFont val="Arial"/>
        <family val="2"/>
      </rPr>
      <t>08</t>
    </r>
    <r>
      <rPr>
        <sz val="8"/>
        <color theme="1"/>
        <rFont val="Arial"/>
        <family val="2"/>
      </rPr>
      <t>=Self-Pay</t>
    </r>
  </si>
  <si>
    <r>
      <rPr>
        <b/>
        <sz val="8"/>
        <color theme="1"/>
        <rFont val="Arial"/>
        <family val="2"/>
      </rPr>
      <t>04</t>
    </r>
    <r>
      <rPr>
        <sz val="8"/>
        <color theme="1"/>
        <rFont val="Arial"/>
        <family val="2"/>
      </rPr>
      <t xml:space="preserve">=Workers Compensation, </t>
    </r>
    <r>
      <rPr>
        <b/>
        <sz val="8"/>
        <color theme="1"/>
        <rFont val="Arial"/>
        <family val="2"/>
      </rPr>
      <t>06</t>
    </r>
    <r>
      <rPr>
        <sz val="8"/>
        <color theme="1"/>
        <rFont val="Arial"/>
        <family val="2"/>
      </rPr>
      <t xml:space="preserve">=Other Government. </t>
    </r>
    <r>
      <rPr>
        <b/>
        <sz val="8"/>
        <color theme="1"/>
        <rFont val="Arial"/>
        <family val="2"/>
      </rPr>
      <t>09</t>
    </r>
    <r>
      <rPr>
        <sz val="8"/>
        <color theme="1"/>
        <rFont val="Arial"/>
        <family val="2"/>
      </rPr>
      <t xml:space="preserve">=Other Payer, or </t>
    </r>
    <r>
      <rPr>
        <b/>
        <sz val="8"/>
        <color theme="1"/>
        <rFont val="Arial"/>
        <family val="2"/>
      </rPr>
      <t>00</t>
    </r>
    <r>
      <rPr>
        <sz val="8"/>
        <color theme="1"/>
        <rFont val="Arial"/>
        <family val="2"/>
      </rPr>
      <t>=Invalid/Blank</t>
    </r>
  </si>
  <si>
    <r>
      <rPr>
        <b/>
        <sz val="8"/>
        <color theme="1"/>
        <rFont val="Arial"/>
        <family val="2"/>
      </rPr>
      <t>07</t>
    </r>
    <r>
      <rPr>
        <sz val="8"/>
        <color theme="1"/>
        <rFont val="Arial"/>
        <family val="2"/>
      </rPr>
      <t>=Left against medical advice or discontinued care</t>
    </r>
  </si>
  <si>
    <r>
      <rPr>
        <b/>
        <sz val="8"/>
        <color theme="1"/>
        <rFont val="Arial"/>
        <family val="2"/>
      </rPr>
      <t>05</t>
    </r>
    <r>
      <rPr>
        <sz val="8"/>
        <color theme="1"/>
        <rFont val="Arial"/>
        <family val="2"/>
      </rPr>
      <t xml:space="preserve">=Discharged/transferred to a designated cancer center or children’s hospital or </t>
    </r>
    <r>
      <rPr>
        <b/>
        <sz val="8"/>
        <color theme="1"/>
        <rFont val="Arial"/>
        <family val="2"/>
      </rPr>
      <t>85</t>
    </r>
    <r>
      <rPr>
        <sz val="8"/>
        <color theme="1"/>
        <rFont val="Arial"/>
        <family val="2"/>
      </rPr>
      <t>=Discharged/Transferred to a designated Cancer Center or Children's Hospital with a Planned Acute Care Hospital Inpatient Readmission</t>
    </r>
  </si>
  <si>
    <r>
      <rPr>
        <b/>
        <sz val="8"/>
        <color theme="1"/>
        <rFont val="Arial"/>
        <family val="2"/>
      </rPr>
      <t>66</t>
    </r>
    <r>
      <rPr>
        <sz val="8"/>
        <color theme="1"/>
        <rFont val="Arial"/>
        <family val="2"/>
      </rPr>
      <t xml:space="preserve">=Discharged/transferred to a Critical Access Hospital (CAH) or </t>
    </r>
    <r>
      <rPr>
        <b/>
        <sz val="8"/>
        <color theme="1"/>
        <rFont val="Arial"/>
        <family val="2"/>
      </rPr>
      <t>94</t>
    </r>
    <r>
      <rPr>
        <sz val="8"/>
        <color theme="1"/>
        <rFont val="Arial"/>
        <family val="2"/>
      </rPr>
      <t>=Discharged/Transferred to a Critical Access Hospital (CAH) with a Planned Acute Care Hospital Inpatient Readmission</t>
    </r>
  </si>
  <si>
    <r>
      <rPr>
        <b/>
        <sz val="8"/>
        <color theme="1"/>
        <rFont val="Arial"/>
        <family val="2"/>
      </rPr>
      <t>20</t>
    </r>
    <r>
      <rPr>
        <sz val="8"/>
        <color theme="1"/>
        <rFont val="Arial"/>
        <family val="2"/>
      </rPr>
      <t>=Expired</t>
    </r>
  </si>
  <si>
    <r>
      <rPr>
        <b/>
        <sz val="8"/>
        <color theme="1"/>
        <rFont val="Arial"/>
        <family val="2"/>
      </rPr>
      <t>06</t>
    </r>
    <r>
      <rPr>
        <sz val="8"/>
        <color theme="1"/>
        <rFont val="Arial"/>
        <family val="2"/>
      </rPr>
      <t xml:space="preserve">=Discharged/transferred to home under care of organized home health service organization in anticipation of covered skilled care or </t>
    </r>
    <r>
      <rPr>
        <b/>
        <sz val="8"/>
        <color theme="1"/>
        <rFont val="Arial"/>
        <family val="2"/>
      </rPr>
      <t>86</t>
    </r>
    <r>
      <rPr>
        <sz val="8"/>
        <color theme="1"/>
        <rFont val="Arial"/>
        <family val="2"/>
      </rPr>
      <t>=Discharged/Transferred to home under care of organized home health service organization with a Planned Acute Care Hospital Inpatient Readmission</t>
    </r>
  </si>
  <si>
    <r>
      <rPr>
        <b/>
        <sz val="8"/>
        <color theme="1"/>
        <rFont val="Arial"/>
        <family val="2"/>
      </rPr>
      <t>50</t>
    </r>
    <r>
      <rPr>
        <sz val="8"/>
        <color theme="1"/>
        <rFont val="Arial"/>
        <family val="2"/>
      </rPr>
      <t xml:space="preserve">=Discharged home with hospice care or </t>
    </r>
    <r>
      <rPr>
        <b/>
        <sz val="8"/>
        <color theme="1"/>
        <rFont val="Arial"/>
        <family val="2"/>
      </rPr>
      <t>51</t>
    </r>
    <r>
      <rPr>
        <sz val="8"/>
        <color theme="1"/>
        <rFont val="Arial"/>
        <family val="2"/>
      </rPr>
      <t>=Discharged to a medical facility with hospice care</t>
    </r>
  </si>
  <si>
    <r>
      <rPr>
        <b/>
        <sz val="8"/>
        <color theme="1"/>
        <rFont val="Arial"/>
        <family val="2"/>
      </rPr>
      <t>70</t>
    </r>
    <r>
      <rPr>
        <sz val="8"/>
        <color theme="1"/>
        <rFont val="Arial"/>
        <family val="2"/>
      </rPr>
      <t xml:space="preserve">=Discharged/transferred to another type of health care institution not defined elsewhere in this code list or </t>
    </r>
    <r>
      <rPr>
        <b/>
        <sz val="8"/>
        <color theme="1"/>
        <rFont val="Arial"/>
        <family val="2"/>
      </rPr>
      <t>95</t>
    </r>
    <r>
      <rPr>
        <sz val="8"/>
        <color theme="1"/>
        <rFont val="Arial"/>
        <family val="2"/>
      </rPr>
      <t>=Discharged/Transferred to another type of health care institution not defined elsewhere in this code list with a Planned Acute Care Hospital Inpatient Readmission</t>
    </r>
  </si>
  <si>
    <r>
      <rPr>
        <b/>
        <sz val="8"/>
        <color theme="1"/>
        <rFont val="Arial"/>
        <family val="2"/>
      </rPr>
      <t>62</t>
    </r>
    <r>
      <rPr>
        <sz val="8"/>
        <color theme="1"/>
        <rFont val="Arial"/>
        <family val="2"/>
      </rPr>
      <t xml:space="preserve">=Discharged/transferred to an inpatient rehabilitation facility (IRF) including a rehabilitation distinct part unit of a hospital or </t>
    </r>
    <r>
      <rPr>
        <b/>
        <sz val="8"/>
        <color theme="1"/>
        <rFont val="Arial"/>
        <family val="2"/>
      </rPr>
      <t>90</t>
    </r>
    <r>
      <rPr>
        <sz val="8"/>
        <color theme="1"/>
        <rFont val="Arial"/>
        <family val="2"/>
      </rPr>
      <t>=Discharged/Transferred to an Inpatient Rehabilitation Facility (IRF) including Rehabilitation Distinct Part Unit of a Hospital with a Planned Acute Care Hospital Inpatient Readmission</t>
    </r>
  </si>
  <si>
    <r>
      <rPr>
        <b/>
        <sz val="8"/>
        <color theme="1"/>
        <rFont val="Arial"/>
        <family val="2"/>
      </rPr>
      <t>69</t>
    </r>
    <r>
      <rPr>
        <sz val="8"/>
        <color theme="1"/>
        <rFont val="Arial"/>
        <family val="2"/>
      </rPr>
      <t xml:space="preserve">=Discharged/Transferred to a designated Disaster Alternative Care Site, </t>
    </r>
    <r>
      <rPr>
        <b/>
        <sz val="8"/>
        <color theme="1"/>
        <rFont val="Arial"/>
        <family val="2"/>
      </rPr>
      <t>00</t>
    </r>
    <r>
      <rPr>
        <sz val="8"/>
        <color theme="1"/>
        <rFont val="Arial"/>
        <family val="2"/>
      </rPr>
      <t xml:space="preserve">=Other, or </t>
    </r>
    <r>
      <rPr>
        <b/>
        <sz val="8"/>
        <color theme="1"/>
        <rFont val="Arial"/>
        <family val="2"/>
      </rPr>
      <t>99</t>
    </r>
    <r>
      <rPr>
        <sz val="8"/>
        <color theme="1"/>
        <rFont val="Arial"/>
        <family val="2"/>
      </rPr>
      <t>=Invalid/Missing</t>
    </r>
  </si>
  <si>
    <r>
      <rPr>
        <b/>
        <sz val="8"/>
        <color theme="1"/>
        <rFont val="Arial"/>
        <family val="2"/>
      </rPr>
      <t>21</t>
    </r>
    <r>
      <rPr>
        <sz val="8"/>
        <color theme="1"/>
        <rFont val="Arial"/>
        <family val="2"/>
      </rPr>
      <t xml:space="preserve">=Discharged/transferred to court/law enforcement or </t>
    </r>
    <r>
      <rPr>
        <b/>
        <sz val="8"/>
        <color theme="1"/>
        <rFont val="Arial"/>
        <family val="2"/>
      </rPr>
      <t>87</t>
    </r>
    <r>
      <rPr>
        <sz val="8"/>
        <color theme="1"/>
        <rFont val="Arial"/>
        <family val="2"/>
      </rPr>
      <t>=Discharged/Transferred to Court/Law Enforcement with a Planned Acute Care Hospital Inpatient Readmission</t>
    </r>
  </si>
  <si>
    <r>
      <rPr>
        <b/>
        <sz val="8"/>
        <color theme="1"/>
        <rFont val="Arial"/>
        <family val="2"/>
      </rPr>
      <t>65</t>
    </r>
    <r>
      <rPr>
        <sz val="8"/>
        <color theme="1"/>
        <rFont val="Arial"/>
        <family val="2"/>
      </rPr>
      <t xml:space="preserve">=Discharged/transferred to a psychiatric hospital or psychiatric distinct part unit of a hospital or </t>
    </r>
    <r>
      <rPr>
        <b/>
        <sz val="8"/>
        <color theme="1"/>
        <rFont val="Arial"/>
        <family val="2"/>
      </rPr>
      <t>93</t>
    </r>
    <r>
      <rPr>
        <sz val="8"/>
        <color theme="1"/>
        <rFont val="Arial"/>
        <family val="2"/>
      </rPr>
      <t>=Discharged/Transferred to a Psychiatric Hospital or Psychiatric Distinct Part Unit of a Hospital with a Planned Acute Care Hospital Inpatient Readmission</t>
    </r>
  </si>
  <si>
    <r>
      <rPr>
        <b/>
        <sz val="8"/>
        <color theme="1"/>
        <rFont val="Arial"/>
        <family val="2"/>
      </rPr>
      <t>04</t>
    </r>
    <r>
      <rPr>
        <sz val="8"/>
        <color theme="1"/>
        <rFont val="Arial"/>
        <family val="2"/>
      </rPr>
      <t xml:space="preserve">=Discharged/transferred to a facility that provides custodial or supportive care or </t>
    </r>
    <r>
      <rPr>
        <b/>
        <sz val="8"/>
        <color theme="1"/>
        <rFont val="Arial"/>
        <family val="2"/>
      </rPr>
      <t>84</t>
    </r>
    <r>
      <rPr>
        <sz val="8"/>
        <color theme="1"/>
        <rFont val="Arial"/>
        <family val="2"/>
      </rPr>
      <t>=Discharged/Transferred to a facility that provides custodial or supportive care (includes intermediate care facility) with a Planned Acute Care Hospital Inpatient Readmission</t>
    </r>
  </si>
  <si>
    <r>
      <rPr>
        <b/>
        <sz val="8"/>
        <color theme="1"/>
        <rFont val="Arial"/>
        <family val="2"/>
      </rPr>
      <t>03</t>
    </r>
    <r>
      <rPr>
        <sz val="8"/>
        <color theme="1"/>
        <rFont val="Arial"/>
        <family val="2"/>
      </rPr>
      <t xml:space="preserve">=Discharged/transferred to skilled nursing facility (SNF) with Medicare certification in anticipation of covered skilled care, </t>
    </r>
    <r>
      <rPr>
        <b/>
        <sz val="8"/>
        <color theme="1"/>
        <rFont val="Arial"/>
        <family val="2"/>
      </rPr>
      <t>83</t>
    </r>
    <r>
      <rPr>
        <sz val="8"/>
        <color theme="1"/>
        <rFont val="Arial"/>
        <family val="2"/>
      </rPr>
      <t xml:space="preserve">=Discharged/Transferred to Skilled Nursing Facility (SNF) with Medicare Certification with a Planned Acute Care Hospital Inpatient Readmission, </t>
    </r>
    <r>
      <rPr>
        <b/>
        <sz val="8"/>
        <color theme="1"/>
        <rFont val="Arial"/>
        <family val="2"/>
      </rPr>
      <t>61</t>
    </r>
    <r>
      <rPr>
        <sz val="8"/>
        <color theme="1"/>
        <rFont val="Arial"/>
        <family val="2"/>
      </rPr>
      <t xml:space="preserve">=Discharged/transferred to a hospital-based Medicare approved swing bed, </t>
    </r>
    <r>
      <rPr>
        <b/>
        <sz val="8"/>
        <color theme="1"/>
        <rFont val="Arial"/>
        <family val="2"/>
      </rPr>
      <t>89</t>
    </r>
    <r>
      <rPr>
        <sz val="8"/>
        <color theme="1"/>
        <rFont val="Arial"/>
        <family val="2"/>
      </rPr>
      <t xml:space="preserve">=Discharged/Transferred to a hospital-based Medicare approved swing bed with a Planned Acute Care Hospital Inpatient Readmission, </t>
    </r>
    <r>
      <rPr>
        <b/>
        <sz val="8"/>
        <color theme="1"/>
        <rFont val="Arial"/>
        <family val="2"/>
      </rPr>
      <t>64</t>
    </r>
    <r>
      <rPr>
        <sz val="8"/>
        <color theme="1"/>
        <rFont val="Arial"/>
        <family val="2"/>
      </rPr>
      <t xml:space="preserve">=Discharged/transferred to a nursing facility certified under Medicaid (Medi-Cal), but not certified under Medicare, or </t>
    </r>
    <r>
      <rPr>
        <b/>
        <sz val="8"/>
        <color theme="1"/>
        <rFont val="Arial"/>
        <family val="2"/>
      </rPr>
      <t>92</t>
    </r>
    <r>
      <rPr>
        <sz val="8"/>
        <color theme="1"/>
        <rFont val="Arial"/>
        <family val="2"/>
      </rPr>
      <t>=Discharged/Transferred to a Nursing Facility certified under Medicaid (Medi-Cal), but not certified under Medicare with a Planned Acute Care Hospital Inpatient Readmission</t>
    </r>
  </si>
  <si>
    <t>Gender</t>
  </si>
  <si>
    <t>All_Other</t>
  </si>
  <si>
    <t>English</t>
  </si>
  <si>
    <t>Spanish</t>
  </si>
  <si>
    <t>a_All_Other</t>
  </si>
  <si>
    <t>a_English</t>
  </si>
  <si>
    <t>a_Spanish</t>
  </si>
  <si>
    <t>datayear</t>
  </si>
  <si>
    <t>Sum of All_Other</t>
  </si>
  <si>
    <t>Sum of English</t>
  </si>
  <si>
    <t>Sum of Spanish</t>
  </si>
  <si>
    <t>Sum of a_All_Other</t>
  </si>
  <si>
    <t>Sum of a_English</t>
  </si>
  <si>
    <t>Principal Language Spoken</t>
  </si>
  <si>
    <t>All Other</t>
  </si>
  <si>
    <t>Sum of a_Spanish</t>
  </si>
  <si>
    <t>TEACHING HOSPITAL</t>
  </si>
  <si>
    <t>ASSEMBLY DISTRICT</t>
  </si>
  <si>
    <t>SENATE DISTRICT</t>
  </si>
  <si>
    <t>3.  Printing: The three-page Profile is set to print in portrait format.</t>
  </si>
  <si>
    <t>ED_Visit</t>
  </si>
  <si>
    <t>Inpatient_from_ED</t>
  </si>
  <si>
    <t>SANTA MONICA - UCLA MEDICAL CENTER AND ORTHOPAEDIC HOSPITAL</t>
  </si>
  <si>
    <t>Sex_Other</t>
  </si>
  <si>
    <t>SUTTER MEDICAL CENTER OF SANTA ROSA</t>
  </si>
  <si>
    <t>Sum of a_Sex_Other</t>
  </si>
  <si>
    <t>Sum of Sex_Other</t>
  </si>
  <si>
    <t>630-679</t>
  </si>
  <si>
    <t>Sum of a_dx_invalid</t>
  </si>
  <si>
    <t>010805</t>
  </si>
  <si>
    <t>20103 LAKE CHABOT ROAD</t>
  </si>
  <si>
    <t>160702</t>
  </si>
  <si>
    <t>CORCORAN DISTRICT HOSPITAL</t>
  </si>
  <si>
    <t>1310 HANNA AVENUE</t>
  </si>
  <si>
    <t>CORCORAN</t>
  </si>
  <si>
    <t>190066</t>
  </si>
  <si>
    <t>BELLFLOWER</t>
  </si>
  <si>
    <t>190854</t>
  </si>
  <si>
    <t>LOS ANGELES METROPOLITAN MEDICAL CENTER</t>
  </si>
  <si>
    <t>2231 SOUTH WESTERN AVENUE</t>
  </si>
  <si>
    <t>301097</t>
  </si>
  <si>
    <t>3350 WEST BALL ROAD</t>
  </si>
  <si>
    <t>301132</t>
  </si>
  <si>
    <t>441 LAKEVIEW AVENUE</t>
  </si>
  <si>
    <t>361105</t>
  </si>
  <si>
    <t>555 SOUTH 7TH AVENUE</t>
  </si>
  <si>
    <t>484001</t>
  </si>
  <si>
    <t>NORTH BAY VACAVALLEY HOSPITAL</t>
  </si>
  <si>
    <t>1000 NUT TREE ROAD</t>
  </si>
  <si>
    <t>2011 Emergency Department Pivot Profile</t>
  </si>
  <si>
    <t>2011 Emergency Department Summary Report</t>
  </si>
  <si>
    <t>Source: 2011 California Emergency Department Data</t>
  </si>
  <si>
    <t>2011 Patient Discharge Data</t>
  </si>
  <si>
    <t>Other/Unknown/Invalid</t>
  </si>
  <si>
    <t>oshpd_id9</t>
  </si>
  <si>
    <t>FAC_NAME</t>
  </si>
  <si>
    <t>FAC_ADDRESS_ONE</t>
  </si>
  <si>
    <t>FAC_CITY</t>
  </si>
  <si>
    <t>FAC_ZIPCODE</t>
  </si>
  <si>
    <t>TRAUMA_CTR</t>
  </si>
  <si>
    <t>TEACH_HOSP</t>
  </si>
  <si>
    <t>ASSEMBLY_DIST</t>
  </si>
  <si>
    <t>SENATE_DIST</t>
  </si>
  <si>
    <t>MED_SVC_STUDY_AREA</t>
  </si>
  <si>
    <t>LACO_SVC_PLAN_AREA</t>
  </si>
  <si>
    <t>HEALTH_SVC_AREA</t>
  </si>
  <si>
    <t>COUNTY</t>
  </si>
  <si>
    <t>TYPE_LIC</t>
  </si>
  <si>
    <t>TYPE_CNTRL</t>
  </si>
  <si>
    <t>TYPE_SVC_PRINCIPAL</t>
  </si>
  <si>
    <t>GAC_BED_LIC_SUBTOTL</t>
  </si>
  <si>
    <t>ED_LIC_LEVL_BEGIN</t>
  </si>
  <si>
    <t>a_sex_Other</t>
  </si>
  <si>
    <t>a_Dx_Invalid</t>
  </si>
  <si>
    <t>NO</t>
  </si>
  <si>
    <t>2e</t>
  </si>
  <si>
    <t>05 - East Bay</t>
  </si>
  <si>
    <t>Alameda</t>
  </si>
  <si>
    <t>General Acute Care</t>
  </si>
  <si>
    <t>General Medical / Surgical</t>
  </si>
  <si>
    <t>Basic</t>
  </si>
  <si>
    <t>ALTA BATES SUMMIT MED CTR-ALTA BATES CAMPUS</t>
  </si>
  <si>
    <t>2b</t>
  </si>
  <si>
    <t>Non-Profit Corporation (incl. Church-related)</t>
  </si>
  <si>
    <t>2c</t>
  </si>
  <si>
    <t>Pediatric</t>
  </si>
  <si>
    <t>2f</t>
  </si>
  <si>
    <t>010844</t>
  </si>
  <si>
    <t>ALTA BATES SUMMIT MED CTR-HERRICK CAMPUS</t>
  </si>
  <si>
    <t>2001 DWIGHT WAY</t>
  </si>
  <si>
    <t>2a</t>
  </si>
  <si>
    <t>Psychiatric</t>
  </si>
  <si>
    <t>0</t>
  </si>
  <si>
    <t>ALAMEDA CO MED CTR - HIGHLAND CAMPUS</t>
  </si>
  <si>
    <t>YES</t>
  </si>
  <si>
    <t>City and/or County</t>
  </si>
  <si>
    <t>KAISER FND HOSP - OAKLAND CAMPUS</t>
  </si>
  <si>
    <t>KAISER FND HOSP - HAYWARD/FREMONT</t>
  </si>
  <si>
    <t>2g</t>
  </si>
  <si>
    <t>ALTA BATES SUMMIT MED CTR-SUMMIT CAMPUS-HAWTHORNE</t>
  </si>
  <si>
    <t>2m</t>
  </si>
  <si>
    <t>2l</t>
  </si>
  <si>
    <t>2h</t>
  </si>
  <si>
    <t>2k</t>
  </si>
  <si>
    <t>4</t>
  </si>
  <si>
    <t>06 - North San Joaquin</t>
  </si>
  <si>
    <t>Amador</t>
  </si>
  <si>
    <t>BIGGS GRIDLEY MEMORIAL HOSPITAL</t>
  </si>
  <si>
    <t>9</t>
  </si>
  <si>
    <t>01 - Northern California</t>
  </si>
  <si>
    <t>Butte</t>
  </si>
  <si>
    <t>Standby</t>
  </si>
  <si>
    <t>8</t>
  </si>
  <si>
    <t>10</t>
  </si>
  <si>
    <t>ENLOE MEDICAL CENTER- ESPLANADE CAMPUS</t>
  </si>
  <si>
    <t>7.1</t>
  </si>
  <si>
    <t>MARK TWAIN ST. JOSEPHS HOSPITAL</t>
  </si>
  <si>
    <t>12</t>
  </si>
  <si>
    <t>Calaveras</t>
  </si>
  <si>
    <t>15</t>
  </si>
  <si>
    <t>Colusa</t>
  </si>
  <si>
    <t>18f</t>
  </si>
  <si>
    <t>Contra Costa</t>
  </si>
  <si>
    <t>18a</t>
  </si>
  <si>
    <t>18e</t>
  </si>
  <si>
    <t>18j</t>
  </si>
  <si>
    <t>KAISER FND HOSP - WALNUT CREEK</t>
  </si>
  <si>
    <t>18c</t>
  </si>
  <si>
    <t>18h</t>
  </si>
  <si>
    <t>KAISER FOUND HSP-ANTIOCH</t>
  </si>
  <si>
    <t>19</t>
  </si>
  <si>
    <t>Del Norte</t>
  </si>
  <si>
    <t>24</t>
  </si>
  <si>
    <t>02 - Golden Empire</t>
  </si>
  <si>
    <t>El Dorado</t>
  </si>
  <si>
    <t>MARSHALL  MEDICAL CENTER (1-RH)</t>
  </si>
  <si>
    <t>23.3</t>
  </si>
  <si>
    <t>31</t>
  </si>
  <si>
    <t>09 - Central</t>
  </si>
  <si>
    <t>Fresno</t>
  </si>
  <si>
    <t>27</t>
  </si>
  <si>
    <t>2823 FRESNO AND R STREETS</t>
  </si>
  <si>
    <t>35c</t>
  </si>
  <si>
    <t>Comprehensive</t>
  </si>
  <si>
    <t>SIERRA KINGS DISTRICT HOSPITAL</t>
  </si>
  <si>
    <t>32</t>
  </si>
  <si>
    <t>35f</t>
  </si>
  <si>
    <t>KAISER FND HOSP - FRESNO</t>
  </si>
  <si>
    <t>37</t>
  </si>
  <si>
    <t>Glenn</t>
  </si>
  <si>
    <t>39</t>
  </si>
  <si>
    <t>Humboldt</t>
  </si>
  <si>
    <t>44</t>
  </si>
  <si>
    <t>42</t>
  </si>
  <si>
    <t>48</t>
  </si>
  <si>
    <t>14 - San Diego/Imperial</t>
  </si>
  <si>
    <t>Imperial</t>
  </si>
  <si>
    <t>PIONEERS MEMORIAL HOSPITAL</t>
  </si>
  <si>
    <t>50</t>
  </si>
  <si>
    <t>53</t>
  </si>
  <si>
    <t>12 - Inland Counties</t>
  </si>
  <si>
    <t>Inyo</t>
  </si>
  <si>
    <t>55</t>
  </si>
  <si>
    <t>Long-Term Care (SN/IC)</t>
  </si>
  <si>
    <t>60</t>
  </si>
  <si>
    <t>Kern</t>
  </si>
  <si>
    <t>BAKERSFIELD MEMORIAL HOSPITAL- 34TH STREET</t>
  </si>
  <si>
    <t>420 - 34TH STREET</t>
  </si>
  <si>
    <t>66a</t>
  </si>
  <si>
    <t>63</t>
  </si>
  <si>
    <t>66d</t>
  </si>
  <si>
    <t>64</t>
  </si>
  <si>
    <t>62</t>
  </si>
  <si>
    <t>68</t>
  </si>
  <si>
    <t>Kings</t>
  </si>
  <si>
    <t>69</t>
  </si>
  <si>
    <t>71.1</t>
  </si>
  <si>
    <t>Lake</t>
  </si>
  <si>
    <t>70.1</t>
  </si>
  <si>
    <t>72</t>
  </si>
  <si>
    <t>Lassen</t>
  </si>
  <si>
    <t>ALHAMBRA HOSPITAL</t>
  </si>
  <si>
    <t>78.2eeee</t>
  </si>
  <si>
    <t>11 - Los Angeles</t>
  </si>
  <si>
    <t>Los Angeles</t>
  </si>
  <si>
    <t>77.1b</t>
  </si>
  <si>
    <t>78.1</t>
  </si>
  <si>
    <t>ST. MARY MEDICAL CENTER</t>
  </si>
  <si>
    <t>1050 LINDEN AVENUE, BOX 887</t>
  </si>
  <si>
    <t>78.2kkk</t>
  </si>
  <si>
    <t>BELLFLOWER MEDICAL CENTER</t>
  </si>
  <si>
    <t>9542 EAST ARTESIA BOULEVARD</t>
  </si>
  <si>
    <t>78.2m</t>
  </si>
  <si>
    <t>78.2ww</t>
  </si>
  <si>
    <t>BROTMAN MEDICAL CENTER</t>
  </si>
  <si>
    <t>78.2y</t>
  </si>
  <si>
    <t>78.2ffff</t>
  </si>
  <si>
    <t>78.2q</t>
  </si>
  <si>
    <t>TRI-CITY REGIONAL MEDICAL CENTER</t>
  </si>
  <si>
    <t>78.2n</t>
  </si>
  <si>
    <t>CHILDRENS HOSPITAL OF LOS ANGELES</t>
  </si>
  <si>
    <t>78.2g</t>
  </si>
  <si>
    <t>78.2ccc</t>
  </si>
  <si>
    <t>78.2d</t>
  </si>
  <si>
    <t>DOWNEY REGIONAL MEDICAL CENTER</t>
  </si>
  <si>
    <t>78.2eee</t>
  </si>
  <si>
    <t>78.2yy</t>
  </si>
  <si>
    <t>78.2qq</t>
  </si>
  <si>
    <t>78.2qqq</t>
  </si>
  <si>
    <t>GLENDALE ADVENTIST MEDICAL CENTER - WILSON TERRACE</t>
  </si>
  <si>
    <t>1509 EAST WILSON TERRACE</t>
  </si>
  <si>
    <t>78.2ee</t>
  </si>
  <si>
    <t>EAST VALLEY HOSPITAL MEDICAL CENTER</t>
  </si>
  <si>
    <t>78.2yyy</t>
  </si>
  <si>
    <t>78.2hh</t>
  </si>
  <si>
    <t>78.2mm</t>
  </si>
  <si>
    <t>3330 WEST LOMITA BOULEVARD</t>
  </si>
  <si>
    <t>78.2aaaa</t>
  </si>
  <si>
    <t>KAISER FND HOSP - LOS ANGELES</t>
  </si>
  <si>
    <t>KAISER FND HOSP - SOUTH BAY</t>
  </si>
  <si>
    <t>KAISER FND HOSP - PANORAMA CITY</t>
  </si>
  <si>
    <t>78.2zz</t>
  </si>
  <si>
    <t>KAISER FND HOSP - WEST LA</t>
  </si>
  <si>
    <t>78.2x</t>
  </si>
  <si>
    <t>PROVIDENCE LITTLE COMPANY OF MARY MC - TORRANCE</t>
  </si>
  <si>
    <t>78.2u</t>
  </si>
  <si>
    <t>COMMUNITY HOSPITAL OF LONG BEACH</t>
  </si>
  <si>
    <t>78.2lll</t>
  </si>
  <si>
    <t>78.2j</t>
  </si>
  <si>
    <t>78.2iiii</t>
  </si>
  <si>
    <t>78.2xxx</t>
  </si>
  <si>
    <t>5900 WEST OLYMPIA BLVD</t>
  </si>
  <si>
    <t>78.2nn</t>
  </si>
  <si>
    <t>78.2jjjj</t>
  </si>
  <si>
    <t>PACIFIC HOSPITAL OF LONG BEACH</t>
  </si>
  <si>
    <t>78.2tt</t>
  </si>
  <si>
    <t>78.2uu</t>
  </si>
  <si>
    <t>78.2www</t>
  </si>
  <si>
    <t>78.2o</t>
  </si>
  <si>
    <t>78.2kkkk</t>
  </si>
  <si>
    <t>University of California</t>
  </si>
  <si>
    <t>78.2ppp</t>
  </si>
  <si>
    <t>78.2jj</t>
  </si>
  <si>
    <t>3630 IMPERIAL HIGHWAY</t>
  </si>
  <si>
    <t>78.2sss</t>
  </si>
  <si>
    <t>ST. JOHNS HEALTH CENTER</t>
  </si>
  <si>
    <t>2121 Santa Monica Blvd</t>
  </si>
  <si>
    <t>78.2ttt</t>
  </si>
  <si>
    <t>COAST PLAZA DOCTORS HOSPITAL</t>
  </si>
  <si>
    <t>78.2w</t>
  </si>
  <si>
    <t>VERDUGO HILLS HOSPITAL</t>
  </si>
  <si>
    <t>78.2dd</t>
  </si>
  <si>
    <t>78.2nnn</t>
  </si>
  <si>
    <t>CANOGA PARK</t>
  </si>
  <si>
    <t>78.2xx</t>
  </si>
  <si>
    <t>HENRY MAYO NEWHALL MEMORIAL HOSPITAL</t>
  </si>
  <si>
    <t>76.1a</t>
  </si>
  <si>
    <t>78.2gg</t>
  </si>
  <si>
    <t>KAISER FND HOSP - WOODLAND HILLS</t>
  </si>
  <si>
    <t>KAISER FND HOSP - BALDWIN PARK</t>
  </si>
  <si>
    <t>77.1a</t>
  </si>
  <si>
    <t>80</t>
  </si>
  <si>
    <t>Madera</t>
  </si>
  <si>
    <t>CHILDRENS HOSPITAL CENTRAL CALIFORNIA</t>
  </si>
  <si>
    <t>9300 VALLEY CHILDRENS PLACE</t>
  </si>
  <si>
    <t>KAISER FND HOSP - SAN RAFAEL</t>
  </si>
  <si>
    <t>83a</t>
  </si>
  <si>
    <t>04 - West Bay</t>
  </si>
  <si>
    <t>Marin</t>
  </si>
  <si>
    <t>180 ROLAND WAY</t>
  </si>
  <si>
    <t>83b</t>
  </si>
  <si>
    <t>85</t>
  </si>
  <si>
    <t>Mariposa</t>
  </si>
  <si>
    <t>91</t>
  </si>
  <si>
    <t>Mendocino</t>
  </si>
  <si>
    <t>89</t>
  </si>
  <si>
    <t>UKIAH VALLEY MEDICAL CENTER/HOSPITAL DRIVE</t>
  </si>
  <si>
    <t>93.1</t>
  </si>
  <si>
    <t>94</t>
  </si>
  <si>
    <t>Merced</t>
  </si>
  <si>
    <t>97.1</t>
  </si>
  <si>
    <t>MAIN AND WASHINGTON STS, BOX 246</t>
  </si>
  <si>
    <t>99</t>
  </si>
  <si>
    <t>Modoc</t>
  </si>
  <si>
    <t>228 MC DOWELL STREET</t>
  </si>
  <si>
    <t>98</t>
  </si>
  <si>
    <t>103</t>
  </si>
  <si>
    <t>Mono</t>
  </si>
  <si>
    <t>COMMUNITY HOSPITAL MONTEREY PENINSULA</t>
  </si>
  <si>
    <t>110</t>
  </si>
  <si>
    <t>08 - Mid-Coast</t>
  </si>
  <si>
    <t>Monterey</t>
  </si>
  <si>
    <t>105</t>
  </si>
  <si>
    <t>109.2</t>
  </si>
  <si>
    <t>QUEEN OF THE VALLEY HOSPITAL - NAPA</t>
  </si>
  <si>
    <t>112.1</t>
  </si>
  <si>
    <t>03 - North Bay</t>
  </si>
  <si>
    <t>Napa</t>
  </si>
  <si>
    <t>111.1</t>
  </si>
  <si>
    <t>113</t>
  </si>
  <si>
    <t>Nevada</t>
  </si>
  <si>
    <t>10121 PINE STREET POB 759</t>
  </si>
  <si>
    <t>114</t>
  </si>
  <si>
    <t>CHILDRENS HOSPITAL OF ORANGE COUNTY</t>
  </si>
  <si>
    <t>455 SO. MAIN STREET</t>
  </si>
  <si>
    <t>116h</t>
  </si>
  <si>
    <t>13 - Orange</t>
  </si>
  <si>
    <t>Orange</t>
  </si>
  <si>
    <t>116j</t>
  </si>
  <si>
    <t>ANAHEIM GENERAL HOSPITAL</t>
  </si>
  <si>
    <t>116c</t>
  </si>
  <si>
    <t>116l</t>
  </si>
  <si>
    <t>KAISER FND HOSP - ANAHEIM</t>
  </si>
  <si>
    <t>116n</t>
  </si>
  <si>
    <t>CHAPMAN MEDICAL CENTER</t>
  </si>
  <si>
    <t>FOUNTAIN VALLEY RGNL HOSP AND MED CTR - EUCLID</t>
  </si>
  <si>
    <t>WESTERN MEDICAL CENTER HOSPITAL - ANAHEIM</t>
  </si>
  <si>
    <t>ONE HOAG DRIVE</t>
  </si>
  <si>
    <t>116p</t>
  </si>
  <si>
    <t>116s</t>
  </si>
  <si>
    <t>116a</t>
  </si>
  <si>
    <t>116e</t>
  </si>
  <si>
    <t>COASTAL COMMUNITIES HOSPITAL</t>
  </si>
  <si>
    <t>2701 BRISTOL STREET</t>
  </si>
  <si>
    <t>116g</t>
  </si>
  <si>
    <t>115.2a</t>
  </si>
  <si>
    <t>116r</t>
  </si>
  <si>
    <t>116m</t>
  </si>
  <si>
    <t>115.2d</t>
  </si>
  <si>
    <t>115.2c</t>
  </si>
  <si>
    <t>116f</t>
  </si>
  <si>
    <t>WESTERN MEDICAL CENTER - SANTA ANA</t>
  </si>
  <si>
    <t>CHILDRENS HOSPITAL AT MISSION</t>
  </si>
  <si>
    <t>304460</t>
  </si>
  <si>
    <t>HOAG ORTHOPEDIC INSTITUTE</t>
  </si>
  <si>
    <t>16250 SAND CANYON AVENUE</t>
  </si>
  <si>
    <t>IRVINE</t>
  </si>
  <si>
    <t>116o</t>
  </si>
  <si>
    <t>119</t>
  </si>
  <si>
    <t>Placer</t>
  </si>
  <si>
    <t>121.1</t>
  </si>
  <si>
    <t>KAISER FND HOSP - ROSEVILLE</t>
  </si>
  <si>
    <t>124</t>
  </si>
  <si>
    <t>Plumas</t>
  </si>
  <si>
    <t>123.1</t>
  </si>
  <si>
    <t>SENECA HEALTHCARE DISTRICT</t>
  </si>
  <si>
    <t>125</t>
  </si>
  <si>
    <t>135d</t>
  </si>
  <si>
    <t>Riverside</t>
  </si>
  <si>
    <t>129.4</t>
  </si>
  <si>
    <t>39-000 BOB HOPE DRIVE</t>
  </si>
  <si>
    <t>129.1</t>
  </si>
  <si>
    <t>132</t>
  </si>
  <si>
    <t>47-111 MONROE STREET</t>
  </si>
  <si>
    <t>128</t>
  </si>
  <si>
    <t>No</t>
  </si>
  <si>
    <t>126</t>
  </si>
  <si>
    <t>135c</t>
  </si>
  <si>
    <t>135a</t>
  </si>
  <si>
    <t>134</t>
  </si>
  <si>
    <t>133.1</t>
  </si>
  <si>
    <t>KAISER FND HOSP - RIVERSIDE</t>
  </si>
  <si>
    <t>KAISER FND HOSPITAL - MORENO VALLEY</t>
  </si>
  <si>
    <t>131a</t>
  </si>
  <si>
    <t>131b</t>
  </si>
  <si>
    <t>KAISER FND HOSP - SACRAMENTO</t>
  </si>
  <si>
    <t>139d</t>
  </si>
  <si>
    <t>Sacramento</t>
  </si>
  <si>
    <t>139i</t>
  </si>
  <si>
    <t>139b</t>
  </si>
  <si>
    <t>139h</t>
  </si>
  <si>
    <t>139f</t>
  </si>
  <si>
    <t>SUTTER GENERAL HOSPITAL</t>
  </si>
  <si>
    <t>2801 L STREET</t>
  </si>
  <si>
    <t>139g</t>
  </si>
  <si>
    <t>KAISER FND HOSP - SOUTH SACRAMENTO</t>
  </si>
  <si>
    <t>MERCY HOSPITAL - FOLSOM</t>
  </si>
  <si>
    <t>139e</t>
  </si>
  <si>
    <t>140</t>
  </si>
  <si>
    <t>San Benito</t>
  </si>
  <si>
    <t>149</t>
  </si>
  <si>
    <t>San Bernardino</t>
  </si>
  <si>
    <t>146</t>
  </si>
  <si>
    <t>151a</t>
  </si>
  <si>
    <t>151c</t>
  </si>
  <si>
    <t>KAISER FND HOSP - FONTANA</t>
  </si>
  <si>
    <t>151f</t>
  </si>
  <si>
    <t>151i</t>
  </si>
  <si>
    <t>147</t>
  </si>
  <si>
    <t>151j</t>
  </si>
  <si>
    <t>151g</t>
  </si>
  <si>
    <t>151k</t>
  </si>
  <si>
    <t>ST. MARY REGIONAL MEDICAL CENTER</t>
  </si>
  <si>
    <t>18300 HIGHWAY 18</t>
  </si>
  <si>
    <t>145.1b</t>
  </si>
  <si>
    <t>VICTOR VALLEY COMMUNITY HOSPITAL</t>
  </si>
  <si>
    <t>145.1a</t>
  </si>
  <si>
    <t>143</t>
  </si>
  <si>
    <t>144.2</t>
  </si>
  <si>
    <t>161e</t>
  </si>
  <si>
    <t>San Diego</t>
  </si>
  <si>
    <t>RADY CHILDRENS HOSPITAL - SAN DIEGO</t>
  </si>
  <si>
    <t>3020 CHILDRENS WAY</t>
  </si>
  <si>
    <t>161b</t>
  </si>
  <si>
    <t>161n</t>
  </si>
  <si>
    <t>160</t>
  </si>
  <si>
    <t>161f</t>
  </si>
  <si>
    <t>KAISER FND HOSP - SAN DIEGO</t>
  </si>
  <si>
    <t>161o</t>
  </si>
  <si>
    <t>370745</t>
  </si>
  <si>
    <t>SHARP MESA VISTA HOSPITAL</t>
  </si>
  <si>
    <t>7850 VISTA HILL AVENUE</t>
  </si>
  <si>
    <t>Acute Psychiatric</t>
  </si>
  <si>
    <t>PALOMAR MEDICAL CENTER</t>
  </si>
  <si>
    <t>156e</t>
  </si>
  <si>
    <t>161g</t>
  </si>
  <si>
    <t>161r</t>
  </si>
  <si>
    <t>156d</t>
  </si>
  <si>
    <t>161s</t>
  </si>
  <si>
    <t>161q</t>
  </si>
  <si>
    <t>156a</t>
  </si>
  <si>
    <t>KAISER FND HOSP - SAN FRANCISCO</t>
  </si>
  <si>
    <t>162h</t>
  </si>
  <si>
    <t>San Francisco</t>
  </si>
  <si>
    <t>162b</t>
  </si>
  <si>
    <t>162c</t>
  </si>
  <si>
    <t>CALIFORNIA PACIFIC MEDICAL CENTER - ST. LUKES CAMPUS</t>
  </si>
  <si>
    <t>162g</t>
  </si>
  <si>
    <t>162a</t>
  </si>
  <si>
    <t>169b</t>
  </si>
  <si>
    <t>San Joaquin</t>
  </si>
  <si>
    <t>166</t>
  </si>
  <si>
    <t>ST. JOSEPHS MEDICAL CENTER OF STOCKTON</t>
  </si>
  <si>
    <t>169a</t>
  </si>
  <si>
    <t>163</t>
  </si>
  <si>
    <t>164.1</t>
  </si>
  <si>
    <t>KAISER FND HOSP-MANTECA</t>
  </si>
  <si>
    <t>ARROYO GRANDE COMMUNITY HOSPITAL</t>
  </si>
  <si>
    <t>171</t>
  </si>
  <si>
    <t>San Luis Obispo</t>
  </si>
  <si>
    <t>172</t>
  </si>
  <si>
    <t>170</t>
  </si>
  <si>
    <t>176e</t>
  </si>
  <si>
    <t>San Mateo</t>
  </si>
  <si>
    <t>KAISER FND HOSP - REDWOOD CITY</t>
  </si>
  <si>
    <t>176c</t>
  </si>
  <si>
    <t>KAISER FND HOSP - SOUTH SAN FRANCISCO</t>
  </si>
  <si>
    <t>176a</t>
  </si>
  <si>
    <t>176d</t>
  </si>
  <si>
    <t>SETON MEDICAL CENTER - COASTSIDE</t>
  </si>
  <si>
    <t>175.1</t>
  </si>
  <si>
    <t>176g</t>
  </si>
  <si>
    <t>181a</t>
  </si>
  <si>
    <t>10 - Santa Barbara/Ventura</t>
  </si>
  <si>
    <t>Santa Barbara</t>
  </si>
  <si>
    <t>179</t>
  </si>
  <si>
    <t>MARIAN MEDICAL CENTER</t>
  </si>
  <si>
    <t>180.1</t>
  </si>
  <si>
    <t>320 WEST PUEBLO STREET</t>
  </si>
  <si>
    <t>181b</t>
  </si>
  <si>
    <t>178.1</t>
  </si>
  <si>
    <t>183b</t>
  </si>
  <si>
    <t>07 - Santa Clara</t>
  </si>
  <si>
    <t>Santa Clara</t>
  </si>
  <si>
    <t>183a</t>
  </si>
  <si>
    <t>183m</t>
  </si>
  <si>
    <t>OCONNOR HOSPITAL - SAN JOSE</t>
  </si>
  <si>
    <t>183j</t>
  </si>
  <si>
    <t>KAISER FND HOSP - SAN JOSE</t>
  </si>
  <si>
    <t>183i</t>
  </si>
  <si>
    <t>182</t>
  </si>
  <si>
    <t>KAISER FND HOSP - SANTA CLARA</t>
  </si>
  <si>
    <t>183f</t>
  </si>
  <si>
    <t>434218</t>
  </si>
  <si>
    <t>KAISER PERMANENTE P.H.F - SANTA CLARA</t>
  </si>
  <si>
    <t>3840 HOMESTEAD ROAD</t>
  </si>
  <si>
    <t>183n</t>
  </si>
  <si>
    <t>Psychiatric Health Facility</t>
  </si>
  <si>
    <t>DOMINICAN HOSPITAL-SANTA CRUZ/SOQUEL</t>
  </si>
  <si>
    <t>185.1</t>
  </si>
  <si>
    <t>Santa Cruz</t>
  </si>
  <si>
    <t>184</t>
  </si>
  <si>
    <t>HWY. 299-E, P O BOX 459</t>
  </si>
  <si>
    <t>190</t>
  </si>
  <si>
    <t>Shasta</t>
  </si>
  <si>
    <t>189.2</t>
  </si>
  <si>
    <t>197</t>
  </si>
  <si>
    <t>Siskiyou</t>
  </si>
  <si>
    <t>195</t>
  </si>
  <si>
    <t>KAISER FND HOSP - REHABILITATION CENTER VALLEJO</t>
  </si>
  <si>
    <t>204</t>
  </si>
  <si>
    <t>Solano</t>
  </si>
  <si>
    <t>202b</t>
  </si>
  <si>
    <t>202a</t>
  </si>
  <si>
    <t>210.1</t>
  </si>
  <si>
    <t>Sonoma</t>
  </si>
  <si>
    <t>205.1</t>
  </si>
  <si>
    <t>400 NORTH MC DOWELL BOULEVARD</t>
  </si>
  <si>
    <t>209.1</t>
  </si>
  <si>
    <t>208</t>
  </si>
  <si>
    <t>210.2</t>
  </si>
  <si>
    <t>KAISER FND HOSP - SANTA ROSA</t>
  </si>
  <si>
    <t>215a</t>
  </si>
  <si>
    <t>Stanislaus</t>
  </si>
  <si>
    <t>EMANUEL MEDICAL CENTER, INC</t>
  </si>
  <si>
    <t>212.1</t>
  </si>
  <si>
    <t>215b</t>
  </si>
  <si>
    <t>OAK VALLEY DISTRICT HOSPITAL (2-RH)</t>
  </si>
  <si>
    <t>211</t>
  </si>
  <si>
    <t>221</t>
  </si>
  <si>
    <t>Tehama</t>
  </si>
  <si>
    <t>60 B EASTER AVENUE</t>
  </si>
  <si>
    <t>224</t>
  </si>
  <si>
    <t>Trinity</t>
  </si>
  <si>
    <t>233</t>
  </si>
  <si>
    <t>Tulare</t>
  </si>
  <si>
    <t>SIERRA VIEW DISTRICT HOSPITAL</t>
  </si>
  <si>
    <t>231</t>
  </si>
  <si>
    <t>869 CHERRY AVENUE</t>
  </si>
  <si>
    <t>230</t>
  </si>
  <si>
    <t>1000 Greenley Road</t>
  </si>
  <si>
    <t>Sonora</t>
  </si>
  <si>
    <t>234.2</t>
  </si>
  <si>
    <t>Tuolumne</t>
  </si>
  <si>
    <t>241c</t>
  </si>
  <si>
    <t>Ventura</t>
  </si>
  <si>
    <t>LOS ROBLES HOSPITAL AND MEDICAL CENTER</t>
  </si>
  <si>
    <t>240b</t>
  </si>
  <si>
    <t>238</t>
  </si>
  <si>
    <t>ST. JOHNS PLEASANT VALLEY HOSPITAL</t>
  </si>
  <si>
    <t>239</t>
  </si>
  <si>
    <t>240a</t>
  </si>
  <si>
    <t>ST. JOHNS REGIONAL MEDICAL CENTER</t>
  </si>
  <si>
    <t>241b</t>
  </si>
  <si>
    <t>246.1</t>
  </si>
  <si>
    <t>Yolo</t>
  </si>
  <si>
    <t>244</t>
  </si>
  <si>
    <t>249</t>
  </si>
  <si>
    <t>Yuba</t>
  </si>
  <si>
    <t>Sum of oshpd_id9</t>
  </si>
  <si>
    <t>FACILITY NAME</t>
  </si>
  <si>
    <t>ED LEVEL</t>
  </si>
  <si>
    <t>TRAUMA CENTER LEVEL</t>
  </si>
  <si>
    <t>Modified April 6, 2020</t>
  </si>
  <si>
    <r>
      <rPr>
        <b/>
        <sz val="8"/>
        <rFont val="Arial"/>
        <family val="2"/>
      </rPr>
      <t>12</t>
    </r>
    <r>
      <rPr>
        <sz val="8"/>
        <rFont val="Arial"/>
        <family val="2"/>
      </rPr>
      <t>=Preferred Provider Organization (PPO),</t>
    </r>
    <r>
      <rPr>
        <b/>
        <sz val="8"/>
        <rFont val="Arial"/>
        <family val="2"/>
      </rPr>
      <t>13</t>
    </r>
    <r>
      <rPr>
        <sz val="8"/>
        <rFont val="Arial"/>
        <family val="2"/>
      </rPr>
      <t xml:space="preserve">=Point of Service (POS), </t>
    </r>
    <r>
      <rPr>
        <b/>
        <sz val="8"/>
        <rFont val="Arial"/>
        <family val="2"/>
      </rPr>
      <t>14</t>
    </r>
    <r>
      <rPr>
        <sz val="8"/>
        <rFont val="Arial"/>
        <family val="2"/>
      </rPr>
      <t>=Exclusive Provider Organization (EPO),</t>
    </r>
    <r>
      <rPr>
        <b/>
        <sz val="8"/>
        <rFont val="Arial"/>
        <family val="2"/>
      </rPr>
      <t xml:space="preserve"> AM</t>
    </r>
    <r>
      <rPr>
        <sz val="8"/>
        <rFont val="Arial"/>
        <family val="2"/>
      </rPr>
      <t xml:space="preserve">=Automobile Medical, </t>
    </r>
    <r>
      <rPr>
        <b/>
        <sz val="8"/>
        <rFont val="Arial"/>
        <family val="2"/>
      </rPr>
      <t>BL</t>
    </r>
    <r>
      <rPr>
        <sz val="8"/>
        <rFont val="Arial"/>
        <family val="2"/>
      </rPr>
      <t xml:space="preserve">=Blue Cross/Blue Shield, </t>
    </r>
    <r>
      <rPr>
        <b/>
        <sz val="8"/>
        <rFont val="Arial"/>
        <family val="2"/>
      </rPr>
      <t>CI</t>
    </r>
    <r>
      <rPr>
        <sz val="8"/>
        <rFont val="Arial"/>
        <family val="2"/>
      </rPr>
      <t xml:space="preserve">=Commercial Insurance Company, or </t>
    </r>
    <r>
      <rPr>
        <b/>
        <sz val="8"/>
        <rFont val="Arial"/>
        <family val="2"/>
      </rPr>
      <t>HM</t>
    </r>
    <r>
      <rPr>
        <sz val="8"/>
        <rFont val="Arial"/>
        <family val="2"/>
      </rPr>
      <t>=Health Maintenance Organization</t>
    </r>
  </si>
  <si>
    <t>Trauma Center Level</t>
  </si>
  <si>
    <t>Children's or Cancer Center**</t>
  </si>
  <si>
    <t>Hospice Care**</t>
  </si>
  <si>
    <t>Psychiatric Care**</t>
  </si>
  <si>
    <t>Critical Access Hospital**</t>
  </si>
  <si>
    <t>Not Defined Elsewhere**</t>
  </si>
  <si>
    <t>Count of Facilities Selected</t>
  </si>
  <si>
    <t>** Not reported separately for ED admits in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</si>
</sst>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entury Gothic"/>
      <family val="2"/>
    </font>
    <font>
      <sz val="10"/>
      <name val="MS Sans Serif"/>
      <family val="2"/>
    </font>
    <font>
      <sz val="10"/>
      <name val="Arial"/>
      <family val="2"/>
    </font>
    <font>
      <b/>
      <sz val="10"/>
      <name val="Arial"/>
      <family val="2"/>
    </font>
    <font>
      <b/>
      <sz val="11"/>
      <color theme="0"/>
      <name val="Calibri"/>
      <family val="2"/>
      <scheme val="minor"/>
    </font>
    <font>
      <sz val="9"/>
      <color theme="1"/>
      <name val="Calibri"/>
      <family val="2"/>
      <scheme val="minor"/>
    </font>
    <font>
      <sz val="10"/>
      <name val="MS Sans Serif"/>
      <family val="2"/>
    </font>
    <font>
      <sz val="8"/>
      <name val="Arial"/>
      <family val="2"/>
    </font>
    <font>
      <b/>
      <sz val="8"/>
      <name val="Arial"/>
      <family val="2"/>
    </font>
    <font>
      <b/>
      <i/>
      <u/>
      <sz val="8"/>
      <name val="Arial"/>
      <family val="2"/>
    </font>
    <font>
      <b/>
      <u/>
      <sz val="8"/>
      <name val="Arial"/>
      <family val="2"/>
    </font>
    <font>
      <b/>
      <sz val="7"/>
      <name val="Arial"/>
      <family val="2"/>
    </font>
    <font>
      <b/>
      <u/>
      <sz val="7"/>
      <name val="Arial"/>
      <family val="2"/>
    </font>
    <font>
      <sz val="7"/>
      <name val="Arial"/>
      <family val="2"/>
    </font>
    <font>
      <sz val="8"/>
      <color theme="1"/>
      <name val="Arial"/>
      <family val="2"/>
    </font>
    <font>
      <b/>
      <sz val="8"/>
      <color theme="1"/>
      <name val="Arial"/>
      <family val="2"/>
    </font>
    <font>
      <sz val="11"/>
      <name val="Calibri"/>
      <family val="2"/>
      <scheme val="minor"/>
    </font>
    <font>
      <sz val="9"/>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indexed="13"/>
        <bgColor indexed="64"/>
      </patternFill>
    </fill>
    <fill>
      <patternFill patternType="solid">
        <fgColor rgb="FFFFFFFF"/>
        <bgColor indexed="64"/>
      </patternFill>
    </fill>
    <fill>
      <patternFill patternType="solid">
        <fgColor rgb="FFFFFF00"/>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0" fontId="4" fillId="0" borderId="0"/>
    <xf numFmtId="0" fontId="5" fillId="0" borderId="0"/>
    <xf numFmtId="9" fontId="4" fillId="0" borderId="0" applyFont="0" applyFill="0" applyBorder="0" applyAlignment="0" applyProtection="0"/>
    <xf numFmtId="9" fontId="4" fillId="0" borderId="0" applyFont="0" applyFill="0" applyBorder="0" applyAlignment="0" applyProtection="0"/>
    <xf numFmtId="0" fontId="9" fillId="0" borderId="0"/>
  </cellStyleXfs>
  <cellXfs count="88">
    <xf numFmtId="0" fontId="0" fillId="0" borderId="0" xfId="0"/>
    <xf numFmtId="0" fontId="0" fillId="0" borderId="0" xfId="0" pivotButton="1"/>
    <xf numFmtId="3" fontId="0" fillId="0" borderId="0" xfId="0" applyNumberFormat="1"/>
    <xf numFmtId="164" fontId="0" fillId="2" borderId="0" xfId="0" applyNumberFormat="1" applyFill="1"/>
    <xf numFmtId="164" fontId="0" fillId="2" borderId="1" xfId="2" applyNumberFormat="1" applyFont="1" applyFill="1" applyBorder="1"/>
    <xf numFmtId="164" fontId="0" fillId="2" borderId="0" xfId="2" applyNumberFormat="1" applyFont="1" applyFill="1"/>
    <xf numFmtId="0" fontId="0" fillId="2" borderId="0" xfId="0" applyFill="1" applyAlignment="1">
      <alignment horizontal="left" indent="1"/>
    </xf>
    <xf numFmtId="0" fontId="5" fillId="2" borderId="0" xfId="8" applyFont="1" applyFill="1" applyBorder="1" applyAlignment="1">
      <alignment horizontal="left" indent="1"/>
    </xf>
    <xf numFmtId="0" fontId="6" fillId="2" borderId="0" xfId="8" applyFont="1" applyFill="1" applyBorder="1"/>
    <xf numFmtId="0" fontId="0" fillId="2" borderId="0" xfId="0" applyFill="1"/>
    <xf numFmtId="165" fontId="0" fillId="2" borderId="0" xfId="1" applyNumberFormat="1" applyFont="1" applyFill="1"/>
    <xf numFmtId="0" fontId="0" fillId="0" borderId="0" xfId="0"/>
    <xf numFmtId="165" fontId="0" fillId="2" borderId="0" xfId="0" applyNumberFormat="1" applyFill="1"/>
    <xf numFmtId="49" fontId="0" fillId="2" borderId="0" xfId="0" applyNumberFormat="1" applyFill="1" applyAlignment="1">
      <alignment horizontal="left" indent="1"/>
    </xf>
    <xf numFmtId="0" fontId="0" fillId="2" borderId="0" xfId="0" applyFill="1" applyAlignment="1">
      <alignment horizontal="left"/>
    </xf>
    <xf numFmtId="0" fontId="3" fillId="2" borderId="0" xfId="0" applyFont="1" applyFill="1" applyAlignment="1"/>
    <xf numFmtId="0" fontId="8" fillId="2" borderId="0" xfId="0" applyFont="1" applyFill="1" applyAlignment="1">
      <alignment horizontal="right"/>
    </xf>
    <xf numFmtId="0" fontId="6" fillId="0" borderId="0" xfId="11" applyFont="1" applyBorder="1" applyAlignment="1">
      <alignment horizontal="center" vertical="center" wrapText="1"/>
    </xf>
    <xf numFmtId="0" fontId="11" fillId="0" borderId="2" xfId="11" applyFont="1" applyBorder="1" applyAlignment="1">
      <alignment horizontal="center" vertical="center" wrapText="1"/>
    </xf>
    <xf numFmtId="0" fontId="11" fillId="0" borderId="3" xfId="11" applyFont="1" applyBorder="1" applyAlignment="1">
      <alignment horizontal="center" vertical="center" wrapText="1"/>
    </xf>
    <xf numFmtId="0" fontId="14" fillId="0" borderId="4" xfId="11" applyFont="1" applyBorder="1" applyAlignment="1">
      <alignment horizontal="center" vertical="center" wrapText="1"/>
    </xf>
    <xf numFmtId="0" fontId="11" fillId="0" borderId="5" xfId="11" applyFont="1" applyBorder="1" applyAlignment="1">
      <alignment horizontal="center" vertical="center" wrapText="1"/>
    </xf>
    <xf numFmtId="0" fontId="10" fillId="0" borderId="5" xfId="11" applyFont="1" applyBorder="1"/>
    <xf numFmtId="0" fontId="10" fillId="0" borderId="5" xfId="11" applyFont="1" applyBorder="1" applyAlignment="1">
      <alignment horizontal="left" indent="2"/>
    </xf>
    <xf numFmtId="0" fontId="10" fillId="0" borderId="0" xfId="11" applyFont="1" applyBorder="1"/>
    <xf numFmtId="0" fontId="10" fillId="0" borderId="0" xfId="11" applyFont="1" applyBorder="1" applyAlignment="1">
      <alignment horizontal="left"/>
    </xf>
    <xf numFmtId="0" fontId="11" fillId="0" borderId="3" xfId="11" applyFont="1" applyBorder="1" applyAlignment="1">
      <alignment horizontal="center"/>
    </xf>
    <xf numFmtId="0" fontId="14" fillId="0" borderId="6" xfId="11" applyFont="1" applyBorder="1" applyAlignment="1">
      <alignment horizontal="center" vertical="center" wrapText="1"/>
    </xf>
    <xf numFmtId="0" fontId="10" fillId="0" borderId="5" xfId="11" applyFont="1" applyBorder="1" applyAlignment="1">
      <alignment wrapText="1"/>
    </xf>
    <xf numFmtId="0" fontId="10" fillId="0" borderId="0" xfId="11" applyFont="1"/>
    <xf numFmtId="0" fontId="10" fillId="0" borderId="7" xfId="11" applyFont="1" applyBorder="1" applyAlignment="1">
      <alignment vertical="center" wrapText="1"/>
    </xf>
    <xf numFmtId="0" fontId="10" fillId="0" borderId="3" xfId="11" applyFont="1" applyBorder="1"/>
    <xf numFmtId="0" fontId="10" fillId="0" borderId="5" xfId="11" applyFont="1" applyBorder="1" applyAlignment="1">
      <alignment vertical="center" wrapText="1"/>
    </xf>
    <xf numFmtId="0" fontId="16" fillId="0" borderId="5" xfId="11" applyFont="1" applyBorder="1" applyAlignment="1">
      <alignment vertical="center" wrapText="1"/>
    </xf>
    <xf numFmtId="0" fontId="11" fillId="0" borderId="5" xfId="11" applyFont="1" applyFill="1" applyBorder="1" applyAlignment="1">
      <alignment vertical="center" wrapText="1"/>
    </xf>
    <xf numFmtId="0" fontId="11" fillId="0" borderId="5" xfId="11" applyFont="1" applyFill="1" applyBorder="1" applyAlignment="1">
      <alignment vertical="center"/>
    </xf>
    <xf numFmtId="0" fontId="10" fillId="0" borderId="5" xfId="11" applyFont="1" applyFill="1" applyBorder="1" applyAlignment="1">
      <alignment vertical="center" wrapText="1"/>
    </xf>
    <xf numFmtId="0" fontId="17" fillId="0" borderId="5" xfId="0" applyFont="1" applyBorder="1" applyAlignment="1">
      <alignment vertical="top"/>
    </xf>
    <xf numFmtId="0" fontId="17" fillId="0" borderId="5" xfId="0" applyFont="1" applyBorder="1" applyAlignment="1"/>
    <xf numFmtId="0" fontId="17" fillId="0" borderId="5" xfId="0" applyFont="1" applyBorder="1" applyAlignment="1">
      <alignment vertical="top" wrapText="1"/>
    </xf>
    <xf numFmtId="0" fontId="17" fillId="0" borderId="5" xfId="0" applyFont="1" applyBorder="1" applyAlignment="1">
      <alignment vertical="center"/>
    </xf>
    <xf numFmtId="49" fontId="17" fillId="0" borderId="5" xfId="0" applyNumberFormat="1" applyFont="1" applyBorder="1" applyAlignment="1">
      <alignment vertical="top" wrapText="1"/>
    </xf>
    <xf numFmtId="49" fontId="0" fillId="0" borderId="0" xfId="0" applyNumberFormat="1"/>
    <xf numFmtId="49" fontId="0" fillId="5" borderId="0" xfId="0" applyNumberFormat="1" applyFill="1"/>
    <xf numFmtId="0" fontId="0" fillId="5" borderId="0" xfId="0" applyFill="1"/>
    <xf numFmtId="49" fontId="0" fillId="2" borderId="0" xfId="0" applyNumberFormat="1" applyFill="1"/>
    <xf numFmtId="0" fontId="0" fillId="2" borderId="0" xfId="0" applyNumberFormat="1" applyFill="1"/>
    <xf numFmtId="0" fontId="0" fillId="0" borderId="0" xfId="0"/>
    <xf numFmtId="0" fontId="10" fillId="0" borderId="0" xfId="11" applyFont="1" applyBorder="1" applyAlignment="1">
      <alignment vertical="center" wrapText="1"/>
    </xf>
    <xf numFmtId="0" fontId="0" fillId="0" borderId="0" xfId="0" applyBorder="1"/>
    <xf numFmtId="0" fontId="0" fillId="0" borderId="8" xfId="0" applyBorder="1"/>
    <xf numFmtId="0" fontId="0" fillId="0" borderId="10" xfId="0" applyBorder="1"/>
    <xf numFmtId="0" fontId="0" fillId="0" borderId="0" xfId="0" applyAlignment="1"/>
    <xf numFmtId="0" fontId="0" fillId="0" borderId="0" xfId="0" applyNumberFormat="1"/>
    <xf numFmtId="49" fontId="0" fillId="0" borderId="0" xfId="0" applyNumberFormat="1"/>
    <xf numFmtId="0" fontId="0" fillId="6" borderId="0" xfId="0" applyFill="1"/>
    <xf numFmtId="0" fontId="0" fillId="0" borderId="0" xfId="0" applyNumberFormat="1"/>
    <xf numFmtId="0" fontId="19" fillId="2" borderId="0" xfId="0" applyFont="1" applyFill="1"/>
    <xf numFmtId="0" fontId="17" fillId="0" borderId="0" xfId="0" applyFont="1" applyFill="1" applyBorder="1" applyAlignment="1">
      <alignment vertical="center"/>
    </xf>
    <xf numFmtId="0" fontId="0" fillId="0" borderId="0" xfId="0"/>
    <xf numFmtId="0" fontId="0" fillId="0" borderId="0" xfId="0" applyNumberFormat="1"/>
    <xf numFmtId="49" fontId="0" fillId="0" borderId="0" xfId="0" applyNumberFormat="1"/>
    <xf numFmtId="37" fontId="0" fillId="2" borderId="0" xfId="1" applyNumberFormat="1" applyFont="1" applyFill="1"/>
    <xf numFmtId="37" fontId="0" fillId="2" borderId="1" xfId="1" applyNumberFormat="1" applyFont="1" applyFill="1" applyBorder="1"/>
    <xf numFmtId="37" fontId="0" fillId="2" borderId="0" xfId="1" applyNumberFormat="1" applyFont="1" applyFill="1" applyBorder="1"/>
    <xf numFmtId="0" fontId="0" fillId="2" borderId="0" xfId="0" applyFill="1" applyBorder="1"/>
    <xf numFmtId="0" fontId="7" fillId="3"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20" fillId="2" borderId="0" xfId="0" applyFont="1" applyFill="1" applyAlignment="1">
      <alignment horizontal="left" vertical="top"/>
    </xf>
    <xf numFmtId="0" fontId="11" fillId="0" borderId="3" xfId="11" applyFont="1" applyBorder="1" applyAlignment="1">
      <alignment horizontal="center" vertical="center"/>
    </xf>
    <xf numFmtId="0" fontId="11" fillId="0" borderId="6" xfId="11" applyFont="1" applyBorder="1" applyAlignment="1">
      <alignment horizontal="center" vertical="center"/>
    </xf>
    <xf numFmtId="0" fontId="11" fillId="0" borderId="3" xfId="11" applyFont="1" applyBorder="1" applyAlignment="1">
      <alignment horizontal="center" vertical="center" wrapText="1"/>
    </xf>
    <xf numFmtId="0" fontId="11" fillId="0" borderId="6" xfId="11" applyFont="1" applyBorder="1" applyAlignment="1">
      <alignment horizontal="center" vertical="center" wrapText="1"/>
    </xf>
    <xf numFmtId="0" fontId="10" fillId="0" borderId="2" xfId="11" applyFont="1" applyBorder="1" applyAlignment="1">
      <alignment horizontal="left" vertical="center" wrapText="1"/>
    </xf>
    <xf numFmtId="0" fontId="10" fillId="0" borderId="8" xfId="11" applyFont="1" applyBorder="1" applyAlignment="1">
      <alignment horizontal="left" vertical="center" wrapText="1"/>
    </xf>
    <xf numFmtId="0" fontId="10" fillId="0" borderId="1" xfId="11" applyFont="1" applyBorder="1" applyAlignment="1">
      <alignment horizontal="left" vertical="center" wrapText="1"/>
    </xf>
    <xf numFmtId="0" fontId="11" fillId="0" borderId="7" xfId="11" applyFont="1" applyBorder="1" applyAlignment="1">
      <alignment vertical="center" wrapText="1"/>
    </xf>
    <xf numFmtId="0" fontId="11" fillId="0" borderId="0" xfId="11" applyFont="1" applyBorder="1" applyAlignment="1">
      <alignment vertical="center" wrapText="1"/>
    </xf>
    <xf numFmtId="0" fontId="11" fillId="0" borderId="9" xfId="11" applyFont="1" applyBorder="1" applyAlignment="1">
      <alignment vertical="center" wrapText="1"/>
    </xf>
    <xf numFmtId="0" fontId="10" fillId="0" borderId="0" xfId="11" applyFont="1" applyBorder="1" applyAlignment="1">
      <alignment horizontal="center" vertical="center" wrapText="1"/>
    </xf>
    <xf numFmtId="0" fontId="10" fillId="0" borderId="0" xfId="11" applyFont="1" applyBorder="1" applyAlignment="1">
      <alignment horizontal="left" vertical="center" wrapText="1"/>
    </xf>
    <xf numFmtId="0" fontId="10" fillId="0" borderId="4" xfId="11" applyFont="1" applyBorder="1" applyAlignment="1">
      <alignment horizontal="left" vertical="center" wrapText="1"/>
    </xf>
    <xf numFmtId="0" fontId="11" fillId="4" borderId="0" xfId="11" applyFont="1" applyFill="1" applyBorder="1" applyAlignment="1">
      <alignment horizontal="left" vertical="center" wrapText="1"/>
    </xf>
    <xf numFmtId="0" fontId="10" fillId="0" borderId="11" xfId="11" applyFont="1" applyBorder="1" applyAlignment="1">
      <alignment horizontal="left" vertical="center" wrapText="1"/>
    </xf>
    <xf numFmtId="0" fontId="11" fillId="0" borderId="0" xfId="11" applyFont="1" applyBorder="1" applyAlignment="1">
      <alignment horizontal="center" vertical="center" wrapText="1"/>
    </xf>
    <xf numFmtId="0" fontId="6" fillId="0" borderId="0" xfId="11" applyFont="1" applyBorder="1" applyAlignment="1">
      <alignment horizontal="center" vertical="center" wrapText="1"/>
    </xf>
    <xf numFmtId="0" fontId="11" fillId="4" borderId="0" xfId="11" applyFont="1" applyFill="1" applyBorder="1" applyAlignment="1">
      <alignment horizontal="center" vertical="center" wrapText="1"/>
    </xf>
  </cellXfs>
  <cellStyles count="12">
    <cellStyle name="Comma" xfId="1" builtinId="3"/>
    <cellStyle name="Comma 2" xfId="5" xr:uid="{00000000-0005-0000-0000-000001000000}"/>
    <cellStyle name="Comma 3" xfId="4" xr:uid="{00000000-0005-0000-0000-000002000000}"/>
    <cellStyle name="Normal" xfId="0" builtinId="0"/>
    <cellStyle name="Normal 2" xfId="6" xr:uid="{00000000-0005-0000-0000-000004000000}"/>
    <cellStyle name="Normal 3" xfId="7" xr:uid="{00000000-0005-0000-0000-000005000000}"/>
    <cellStyle name="Normal 4" xfId="3" xr:uid="{00000000-0005-0000-0000-000006000000}"/>
    <cellStyle name="Normal 5" xfId="11" xr:uid="{00000000-0005-0000-0000-000007000000}"/>
    <cellStyle name="Normal_Profile Worksheet-2000" xfId="8" xr:uid="{00000000-0005-0000-0000-000008000000}"/>
    <cellStyle name="Percent" xfId="2" builtinId="5"/>
    <cellStyle name="Percent 2" xfId="10" xr:uid="{00000000-0005-0000-0000-00000A000000}"/>
    <cellStyle name="Percent 3" xfId="9" xr:uid="{00000000-0005-0000-0000-00000B000000}"/>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6/relationships/vbaProject" Target="vbaProject.bin"/><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4</xdr:row>
      <xdr:rowOff>83820</xdr:rowOff>
    </xdr:from>
    <xdr:to>
      <xdr:col>6</xdr:col>
      <xdr:colOff>548640</xdr:colOff>
      <xdr:row>9</xdr:row>
      <xdr:rowOff>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6820" y="762000"/>
          <a:ext cx="1524000" cy="8305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derson, Karen@OSHPD" refreshedDate="43927.467152083336" createdVersion="6" refreshedVersion="6" minRefreshableVersion="3" recordCount="328" xr:uid="{981011B9-DA87-429C-A542-9B98DAB3D67B}">
  <cacheSource type="worksheet">
    <worksheetSource ref="A1:GB329" sheet="Data"/>
  </cacheSource>
  <cacheFields count="184">
    <cacheField name="oshpd_id9" numFmtId="0">
      <sharedItems containsSemiMixedTypes="0" containsString="0" containsNumber="1" containsInteger="1" minValue="106010735" maxValue="106580996"/>
    </cacheField>
    <cacheField name="oshpd_id" numFmtId="49">
      <sharedItems/>
    </cacheField>
    <cacheField name="FAC_NAME" numFmtId="49">
      <sharedItems count="328">
        <s v="ALAMEDA HOSPITAL"/>
        <s v="ALTA BATES SUMMIT MED CTR-ALTA BATES CAMPUS"/>
        <s v="CHILDRENS HOSPITAL AND RESEARCH CTR AT OAKLAND"/>
        <s v="EDEN MEDICAL CENTER"/>
        <s v="ALTA BATES SUMMIT MED CTR-HERRICK CAMPUS"/>
        <s v="ALAMEDA CO MED CTR - HIGHLAND CAMPUS"/>
        <s v="KAISER FND HOSP - OAKLAND CAMPUS"/>
        <s v="KAISER FND HOSP - HAYWARD/FREMONT"/>
        <s v="ALTA BATES SUMMIT MED CTR-SUMMIT CAMPUS-HAWTHORNE"/>
        <s v="ST. ROSE HOSPITAL"/>
        <s v="WASHINGTON HOSPITAL - FREMONT"/>
        <s v="SAN LEANDRO HOSPITAL"/>
        <s v="VALLEYCARE MEDICAL CENTER"/>
        <s v="SUTTER AMADOR HOSPITAL"/>
        <s v="BIGGS GRIDLEY MEMORIAL HOSPITAL"/>
        <s v="FEATHER RIVER HOSPITAL"/>
        <s v="OROVILLE HOSPITAL"/>
        <s v="ENLOE MEDICAL CENTER- ESPLANADE CAMPUS"/>
        <s v="MARK TWAIN ST. JOSEPHS HOSPITAL"/>
        <s v="COLUSA REGIONAL MEDICAL CENTER"/>
        <s v="DOCTORS MEDICAL CENTER - SAN PABLO"/>
        <s v="CONTRA COSTA REGIONAL MEDICAL CENTER"/>
        <s v="SUTTER DELTA MEDICAL CENTER"/>
        <s v="JOHN MUIR MEDICAL CENTER-WALNUT CREEK CAMPUS"/>
        <s v="KAISER FND HOSP - WALNUT CREEK"/>
        <s v="JOHN MUIR MEDICAL CENTER-CONCORD CAMPUS"/>
        <s v="SAN RAMON REGIONAL MEDICAL CENTER"/>
        <s v="KAISER FOUND HSP-ANTIOCH"/>
        <s v="SUTTER COAST HOSPITAL"/>
        <s v="BARTON MEMORIAL HOSPITAL"/>
        <s v="MARSHALL  MEDICAL CENTER (1-RH)"/>
        <s v="CLOVIS COMMUNITY MEDICAL CENTER"/>
        <s v="COALINGA REGIONAL MEDICAL CENTER"/>
        <s v="COMMUNITY REGIONAL MEDICAL CENTER-FRESNO"/>
        <s v="SIERRA KINGS DISTRICT HOSPITAL"/>
        <s v="ST. AGNES MEDICAL CENTER"/>
        <s v="KAISER FND HOSP - FRESNO"/>
        <s v="GLENN MEDICAL CENTER"/>
        <s v="MAD RIVER COMMUNITY HOSPITAL"/>
        <s v="JEROLD PHELPS COMMUNITY HOSPITAL"/>
        <s v="REDWOOD MEMORIAL HOSPITAL"/>
        <s v="ST. JOSEPH HOSPITAL - EUREKA"/>
        <s v="EL CENTRO REGIONAL MEDICAL CENTER"/>
        <s v="PIONEERS MEMORIAL HOSPITAL"/>
        <s v="NORTHERN INYO HOSPITAL"/>
        <s v="SOUTHERN INYO HOSPITAL"/>
        <s v="DELANO REGIONAL MEDICAL CENTER"/>
        <s v="BAKERSFIELD MEMORIAL HOSPITAL- 34TH STREET"/>
        <s v="KERN MEDICAL CENTER"/>
        <s v="KERN VALLEY HEALTHCARE DISTRICT"/>
        <s v="MERCY HOSPITAL - BAKERSFIELD"/>
        <s v="RIDGECREST REGIONAL HOSPITAL"/>
        <s v="SAN JOAQUIN COMMUNITY HOSPITAL"/>
        <s v="TEHACHAPI HOSPITAL"/>
        <s v="BAKERSFIELD HEART HOSPITAL"/>
        <s v="CORCORAN DISTRICT HOSPITAL"/>
        <s v="ADVENTIST MEDICAL CENTER"/>
        <s v="ST. HELENA HOSPITAL - CLEARLAKE"/>
        <s v="SUTTER LAKESIDE HOSPITAL"/>
        <s v="BANNER LASSEN MEDICAL CENTER"/>
        <s v="ALHAMBRA HOSPITAL"/>
        <s v="ANTELOPE VALLEY HOSPITAL"/>
        <s v="CATALINA ISLAND MEDICAL CENTER"/>
        <s v="ST. MARY MEDICAL CENTER"/>
        <s v="BELLFLOWER MEDICAL CENTER"/>
        <s v="BEVERLY HOSPITAL"/>
        <s v="BROTMAN MEDICAL CENTER"/>
        <s v="CALIFORNIA HOSPITAL MEDICAL CENTER - LOS ANGELES"/>
        <s v="CENTINELA HOSPITAL MEDICAL CENTER"/>
        <s v="TRI-CITY REGIONAL MEDICAL CENTER"/>
        <s v="CHILDRENS HOSPITAL OF LOS ANGELES"/>
        <s v="COMMUNITY HOSPITAL OF HUNTINGTON PARK"/>
        <s v="LOS ANGELES COMMUNITY HOSPITAL"/>
        <s v="SAN GABRIEL VALLEY MEDICAL CENTER"/>
        <s v="LAKEWOOD REGIONAL MEDICAL CENTER"/>
        <s v="DOWNEY REGIONAL MEDICAL CENTER"/>
        <s v="EAST LOS ANGELES DOCTORS HOSPITAL"/>
        <s v="ENCINO HOSPITAL MEDICAL CENTER"/>
        <s v="FOOTHILL PRESBYTERIAN HOSPITAL-JOHNSTON MEMORIAL"/>
        <s v="GARFIELD MEDICAL CENTER"/>
        <s v="GLENDALE ADVENTIST MEDICAL CENTER - WILSON TERRACE"/>
        <s v="EAST VALLEY HOSPITAL MEDICAL CENTER"/>
        <s v="GREATER EL MONTE COMMUNITY HOSPITAL"/>
        <s v="HOLLYWOOD PRESBYTERIAN MEDICAL CENTER"/>
        <s v="PROVIDENCE HOLY CROSS MEDICAL CENTER"/>
        <s v="GOOD SAMARITAN HOSPITAL-LOS ANGELES"/>
        <s v="HUNTINGTON MEMORIAL HOSPITAL"/>
        <s v="CITRUS VALLEY MEDICAL CENTER - IC CAMPUS"/>
        <s v="TORRANCE MEMORIAL MEDICAL CENTER"/>
        <s v="KAISER FND HOSP - LOS ANGELES"/>
        <s v="KAISER FND HOSP - SOUTH BAY"/>
        <s v="KAISER FND HOSP - PANORAMA CITY"/>
        <s v="KAISER FND HOSP - WEST LA"/>
        <s v="PROVIDENCE LITTLE COMPANY OF MARY MC - TORRANCE"/>
        <s v="COMMUNITY HOSPITAL OF LONG BEACH"/>
        <s v="MARINA DEL REY HOSPITAL"/>
        <s v="PROVIDENCE TARZANA MEDICAL CENTER"/>
        <s v="MEMORIAL HOSPITAL OF GARDENA"/>
        <s v="GLENDALE MEMORIAL HOSPITAL AND HEALTH CENTER"/>
        <s v="MISSION COMMUNITY HOSPITAL - PANORAMA CAMPUS"/>
        <s v="LONG BEACH MEMORIAL MEDICAL CENTER"/>
        <s v="METHODIST HOSPITAL OF SOUTHERN CALIFORNIA"/>
        <s v="OLYMPIA MEDICAL CENTER"/>
        <s v="MONTEREY PARK HOSPITAL"/>
        <s v="CEDARS SINAI MEDICAL CENTER"/>
        <s v="NORTHRIDGE HOSPITAL MEDICAL CENTER"/>
        <s v="NORWALK COMMUNITY HOSPITAL"/>
        <s v="PACIFIC HOSPITAL OF LONG BEACH"/>
        <s v="POMONA VALLEY HOSPITAL MEDICAL CENTER"/>
        <s v="PRESBYTERIAN INTERCOMMUNITY HOSPITAL"/>
        <s v="CITRUS VALLEY MEDICAL CENTER - QV CAMPUS"/>
        <s v="SAN DIMAS COMMUNITY HOSPITAL"/>
        <s v="PROVIDENCE LITTLE COMPANY OF MARY MC - SAN PEDRO"/>
        <s v="SANTA MONICA - UCLA MEDICAL CENTER AND ORTHOPAEDIC HOSPITAL"/>
        <s v="PACIFICA HOSPITAL OF THE VALLEY"/>
        <s v="SHERMAN OAKS HOSPITAL"/>
        <s v="ST. FRANCIS MEDICAL CENTER"/>
        <s v="ST. JOHNS HEALTH CENTER"/>
        <s v="PROVIDENCE SAINT JOSEPH MEDICAL CENTER"/>
        <s v="ST. VINCENT MEDICAL CENTER"/>
        <s v="COAST PLAZA DOCTORS HOSPITAL"/>
        <s v="RONALD REAGAN UCLA MEDICAL CENTER"/>
        <s v="VALLEY PRESBYTERIAN HOSPITAL"/>
        <s v="VERDUGO HILLS HOSPITAL"/>
        <s v="LOS ANGELES METROPOLITAN MEDICAL CENTER"/>
        <s v="WEST HILLS HOSPITAL AND MEDICAL CENTER"/>
        <s v="WHITE MEMORIAL MEDICAL CENTER"/>
        <s v="WHITTIER HOSPITAL MEDICAL CENTER"/>
        <s v="HENRY MAYO NEWHALL MEMORIAL HOSPITAL"/>
        <s v="LAC/HARBOR-UCLA MEDICAL CENTER"/>
        <s v="LAC+USC MEDICAL CENTER"/>
        <s v="LOS ANGELES COUNTY OLIVE VIEW-UCLA MEDICAL CENTER"/>
        <s v="KAISER FND HOSP - WOODLAND HILLS"/>
        <s v="KAISER FND HOSP - BALDWIN PARK"/>
        <s v="KAISER FOUNDATION HOSPITAL - DOWNEY"/>
        <s v="PALMDALE REGIONAL MEDICAL CENTER"/>
        <s v="MADERA COMMUNITY HOSPITAL"/>
        <s v="CHILDRENS HOSPITAL CENTRAL CALIFORNIA"/>
        <s v="KAISER FND HOSP - SAN RAFAEL"/>
        <s v="MARIN GENERAL HOSPITAL"/>
        <s v="NOVATO COMMUNITY HOSPITAL"/>
        <s v="JOHN C FREMONT HEALTHCARE DISTRICT"/>
        <s v="FRANK R HOWARD MEMORIAL HOSPITAL"/>
        <s v="MENDOCINO COAST DISTRICT HOSPITAL"/>
        <s v="UKIAH VALLEY MEDICAL CENTER/HOSPITAL DRIVE"/>
        <s v="MEMORIAL HOSPITAL LOS BANOS"/>
        <s v="MERCY MEDICAL CENTER - MERCED"/>
        <s v="SURPRISE VALLEY COMMUNITY HOSPITAL"/>
        <s v="MODOC MEDICAL CENTER"/>
        <s v="MAMMOTH HOSPITAL"/>
        <s v="COMMUNITY HOSPITAL MONTEREY PENINSULA"/>
        <s v="GEORGE L MEE MEMORIAL HOSPITAL"/>
        <s v="SALINAS VALLEY MEMORIAL HOSPITAL"/>
        <s v="NATIVIDAD MEDICAL CENTER"/>
        <s v="QUEEN OF THE VALLEY HOSPITAL - NAPA"/>
        <s v="ST. HELENA HOSPITAL"/>
        <s v="SIERRA NEVADA MEMORIAL HOSPITAL"/>
        <s v="TAHOE FOREST HOSPITAL"/>
        <s v="CHILDRENS HOSPITAL OF ORANGE COUNTY"/>
        <s v="ORANGE COAST MEMORIAL MEDICAL CENTER"/>
        <s v="ANAHEIM GENERAL HOSPITAL"/>
        <s v="AHMC ANAHEIM REGIONAL MEDICAL CENTER"/>
        <s v="KAISER FND HOSP - ANAHEIM"/>
        <s v="CHAPMAN MEDICAL CENTER"/>
        <s v="FOUNTAIN VALLEY RGNL HOSP AND MED CTR - EUCLID"/>
        <s v="WESTERN MEDICAL CENTER HOSPITAL - ANAHEIM"/>
        <s v="HOAG MEMORIAL HOSPITAL PRESBYTERIAN"/>
        <s v="HUNTINGTON BEACH HOSPITAL"/>
        <s v="LA PALMA INTERCOMMUNITY HOSPITAL"/>
        <s v="LOS ALAMITOS MEDICAL CENTER"/>
        <s v="COASTAL COMMUNITIES HOSPITAL"/>
        <s v="MISSION HOSPITAL REGIONAL MEDICAL CENTER"/>
        <s v="UNIVERSITY OF CALIFORNIA IRVINE MEDICAL CENTER"/>
        <s v="GARDEN GROVE HOSPITAL AND MEDICAL CENTER"/>
        <s v="PLACENTIA LINDA HOSPITAL"/>
        <s v="SADDLEBACK MEMORIAL MEDICAL CENTER"/>
        <s v="MISSION HOSPITAL LAGUNA BEACH"/>
        <s v="ST. JOSEPH HOSPITAL - ORANGE"/>
        <s v="ST. JUDE MEDICAL CENTER"/>
        <s v="WEST ANAHEIM MEDICAL CENTER"/>
        <s v="WESTERN MEDICAL CENTER - SANTA ANA"/>
        <s v="CHILDRENS HOSPITAL AT MISSION"/>
        <s v="HOAG ORTHOPEDIC INSTITUTE"/>
        <s v="SUTTER AUBURN FAITH HOSPITAL"/>
        <s v="SUTTER ROSEVILLE MEDICAL CENTER"/>
        <s v="KAISER FND HOSP - ROSEVILLE"/>
        <s v="EASTERN PLUMAS HOSPITAL-PORTOLA CAMPUS"/>
        <s v="PLUMAS DISTRICT HOSPITAL"/>
        <s v="SENECA HEALTHCARE DISTRICT"/>
        <s v="CORONA REGIONAL MEDICAL CENTER-MAIN"/>
        <s v="DESERT REGIONAL MEDICAL CENTER"/>
        <s v="EISENHOWER MEDICAL CENTER"/>
        <s v="HEMET VALLEY MEDICAL CENTER"/>
        <s v="JOHN F KENNEDY MEMORIAL HOSPITAL"/>
        <s v="PALO VERDE HOSPITAL"/>
        <s v="PARKVIEW COMMUNITY HOSPITAL MEDICAL CENTER"/>
        <s v="RIVERSIDE COMMUNITY HOSPITAL"/>
        <s v="SAN GORGONIO MEMORIAL HOSPITAL"/>
        <s v="MENIFEE VALLEY MEDICAL CENTER"/>
        <s v="KAISER FND HOSP - RIVERSIDE"/>
        <s v="KAISER FND HOSPITAL - MORENO VALLEY"/>
        <s v="SOUTHWEST HEALTHCARE SYSTEM-MURRIETA"/>
        <s v="RIVERSIDE COUNTY REGIONAL MEDICAL CENTER"/>
        <s v="LOMA LINDA UNIVERSITY MEDICAL CENTER-MURRIETA"/>
        <s v="KAISER FND HOSP - SACRAMENTO"/>
        <s v="MERCY GENERAL HOSPITAL"/>
        <s v="MERCY SAN JUAN HOSPITAL"/>
        <s v="METHODIST HOSPITAL OF SACRAMENTO"/>
        <s v="UNIVERSITY OF CALIFORNIA DAVIS MEDICAL CENTER"/>
        <s v="SUTTER GENERAL HOSPITAL"/>
        <s v="SUTTER MEMORIAL HOSPITAL"/>
        <s v="KAISER FND HOSP - SOUTH SACRAMENTO"/>
        <s v="MERCY HOSPITAL - FOLSOM"/>
        <s v="HAZEL HAWKINS MEMORIAL HOSPITAL"/>
        <s v="BARSTOW COMMUNITY HOSPITAL"/>
        <s v="BEAR VALLEY COMMUNITY HOSPITAL"/>
        <s v="CHINO VALLEY MEDICAL CENTER"/>
        <s v="MONTCLAIR HOSPITAL MEDICAL CENTER"/>
        <s v="KAISER FND HOSP - FONTANA"/>
        <s v="LOMA LINDA UNIVERSITY MEDICAL CENTER"/>
        <s v="MOUNTAINS COMMUNITY HOSPITAL"/>
        <s v="REDLANDS COMMUNITY HOSPITAL"/>
        <s v="SAN ANTONIO COMMUNITY HOSPITAL"/>
        <s v="COMMUNITY HOSPITAL OF SAN BERNARDINO"/>
        <s v="ST. BERNARDINE MEDICAL CENTER"/>
        <s v="ST. MARY REGIONAL MEDICAL CENTER"/>
        <s v="VICTOR VALLEY COMMUNITY HOSPITAL"/>
        <s v="COLORADO RIVER MEDICAL CENTER"/>
        <s v="HI-DESERT MEDICAL CENTER"/>
        <s v="DESERT VALLEY HOSPITAL"/>
        <s v="ARROWHEAD REGIONAL MEDICAL CENTER"/>
        <s v="ALVARADO HOSPITAL MEDICAL CENTER"/>
        <s v="RADY CHILDRENS HOSPITAL - SAN DIEGO"/>
        <s v="SHARP CORONADO HOSPITAL AND HEALTHCARE CENTER"/>
        <s v="SHARP MEMORIAL HOSPITAL"/>
        <s v="FALLBROOK HOSPITAL DISTRICT"/>
        <s v="GROSSMONT HOSPITAL"/>
        <s v="KAISER FND HOSP - SAN DIEGO"/>
        <s v="SCRIPPS MERCY HOSPITAL"/>
        <s v="SHARP MESA VISTA HOSPITAL"/>
        <s v="PALOMAR MEDICAL CENTER"/>
        <s v="PARADISE VALLEY HOSPITAL"/>
        <s v="SCRIPPS MEMORIAL HOSPITAL - LA JOLLA"/>
        <s v="TRI-CITY MEDICAL CENTER"/>
        <s v="UNIVERSITY OF CALIF-SAN DIEGO MEDICAL CENTER"/>
        <s v="SHARP CHULA VISTA MEDICAL CENTER"/>
        <s v="POMERADO HOSPITAL"/>
        <s v="SCRIPPS MEMORIAL HOSPITAL - ENCINITAS"/>
        <s v="KAISER FND HOSP - SAN FRANCISCO"/>
        <s v="CALIFORNIA PACIFIC MED CTR-PACIFIC CAMPUS"/>
        <s v="SAN FRANCISCO GENERAL HOSPITAL"/>
        <s v="ST. FRANCIS MEMORIAL HOSPITAL"/>
        <s v="CALIFORNIA PACIFIC MEDICAL CENTER - ST. LUKES CAMPUS"/>
        <s v="ST. MARY'S MEDICAL CENTER, SAN FRANCISCO"/>
        <s v="UCSF MEDICAL CENTER"/>
        <s v="CHINESE HOSPITAL"/>
        <s v="DAMERON HOSPITAL"/>
        <s v="LODI MEMORIAL HOSPITAL"/>
        <s v="SAN JOAQUIN GENERAL HOSPITAL"/>
        <s v="ST. JOSEPHS MEDICAL CENTER OF STOCKTON"/>
        <s v="SUTTER TRACY COMMUNITY HOSPITAL"/>
        <s v="DOCTORS HOSPITAL OF MANTECA"/>
        <s v="KAISER FND HOSP-MANTECA"/>
        <s v="ARROYO GRANDE COMMUNITY HOSPITAL"/>
        <s v="FRENCH HOSPITAL MEDICAL CENTER"/>
        <s v="SIERRA VISTA REGIONAL MEDICAL CENTER"/>
        <s v="TWIN CITIES COMMUNITY HOSPITAL"/>
        <s v="SAN MATEO MEDICAL CENTER"/>
        <s v="KAISER FND HOSP - REDWOOD CITY"/>
        <s v="KAISER FND HOSP - SOUTH SAN FRANCISCO"/>
        <s v="SETON MEDICAL CENTER"/>
        <s v="SETON MEDICAL CENTER - COASTSIDE"/>
        <s v="MILLS-PENINSULA MEDICAL CENTER"/>
        <s v="SEQUOIA HOSPITAL"/>
        <s v="GOLETA VALLEY COTTAGE HOSPITAL"/>
        <s v="LOMPOC VALLEY MEDICAL CENTER"/>
        <s v="MARIAN MEDICAL CENTER"/>
        <s v="SANTA BARBARA COTTAGE HOSPITAL"/>
        <s v="SANTA YNEZ VALLEY COTTAGE HOSPITAL"/>
        <s v="REGIONAL MEDICAL OF SAN JOSE"/>
        <s v="EL CAMINO HOSPITAL"/>
        <s v="GOOD SAMARITAN HOSPITAL-SAN JOSE"/>
        <s v="OCONNOR HOSPITAL - SAN JOSE"/>
        <s v="SANTA CLARA VALLEY MEDICAL CENTER"/>
        <s v="STANFORD HOSPITAL"/>
        <s v="KAISER FND HOSP - SAN JOSE"/>
        <s v="ST. LOUISE REGIONAL HOSPITAL"/>
        <s v="KAISER FND HOSP - SANTA CLARA"/>
        <s v="KAISER PERMANENTE P.H.F - SANTA CLARA"/>
        <s v="DOMINICAN HOSPITAL-SANTA CRUZ/SOQUEL"/>
        <s v="WATSONVILLE COMMUNITY HOSPITAL"/>
        <s v="MAYERS MEMORIAL HOSPITAL"/>
        <s v="SHASTA REGIONAL MEDICAL CENTER"/>
        <s v="MERCY MEDICAL CENTER - REDDING"/>
        <s v="MERCY MEDICAL CENTER MT. SHASTA"/>
        <s v="FAIRCHILD MEDICAL CENTER"/>
        <s v="KAISER FND HOSP - REHABILITATION CENTER VALLEJO"/>
        <s v="SUTTER SOLANO MEDICAL CENTER"/>
        <s v="NORTH BAY MEDICAL CENTER"/>
        <s v="NORTH BAY VACAVALLEY HOSPITAL"/>
        <s v="KAISER FOUNDATION HOSPITAL - VACAVILLE"/>
        <s v="SUTTER MEDICAL CENTER OF SANTA ROSA"/>
        <s v="HEALDSBURG DISTRICT HOSPITAL"/>
        <s v="PETALUMA VALLEY HOSPITAL"/>
        <s v="SANTA ROSA MEMORIAL HOSPITAL-MONTGOMERY"/>
        <s v="SONOMA VALLEY HOSPITAL"/>
        <s v="PALM DRIVE HOSPITAL"/>
        <s v="KAISER FND HOSP - SANTA ROSA"/>
        <s v="DOCTORS MEDICAL CENTER"/>
        <s v="EMANUEL MEDICAL CENTER, INC"/>
        <s v="MEMORIAL HOSPITAL MEDICAL CENTER - MODESTO"/>
        <s v="OAK VALLEY DISTRICT HOSPITAL (2-RH)"/>
        <s v="ST. ELIZABETH COMMUNITY HOSPITAL"/>
        <s v="TRINITY HOSPITAL"/>
        <s v="KAWEAH DELTA MEDICAL CENTER"/>
        <s v="SIERRA VIEW DISTRICT HOSPITAL"/>
        <s v="TULARE REGIONAL MEDICAL CENTER"/>
        <s v="SONORA REGIONAL MEDICAL CENTER - GREENLEY"/>
        <s v="COMMUNITY MEMORIAL HOSPITAL-SAN BUENAVENTURA"/>
        <s v="VENTURA COUNTY MEDICAL CENTER"/>
        <s v="LOS ROBLES HOSPITAL AND MEDICAL CENTER"/>
        <s v="OJAI VALLEY COMMUNITY HOSPITAL"/>
        <s v="ST. JOHNS PLEASANT VALLEY HOSPITAL"/>
        <s v="SIMI VALLEY HOSPITAL AND HEALTH CARE SVCS-SYCAMORE"/>
        <s v="ST. JOHNS REGIONAL MEDICAL CENTER"/>
        <s v="WOODLAND MEMORIAL HOSPITAL"/>
        <s v="SUTTER DAVIS HOSPITAL"/>
        <s v="RIDEOUT MEMORIAL HOSPITAL"/>
      </sharedItems>
    </cacheField>
    <cacheField name="FAC_ADDRESS_ONE" numFmtId="49">
      <sharedItems/>
    </cacheField>
    <cacheField name="FAC_CITY" numFmtId="49">
      <sharedItems/>
    </cacheField>
    <cacheField name="FAC_ZIPCODE" numFmtId="0">
      <sharedItems containsSemiMixedTypes="0" containsString="0" containsNumber="1" containsInteger="1" minValue="90015" maxValue="96160"/>
    </cacheField>
    <cacheField name="TRAUMA_CTR" numFmtId="49">
      <sharedItems containsBlank="1" count="10">
        <m/>
        <s v="Level I - Pediatric"/>
        <s v="Level II"/>
        <s v="Level IV"/>
        <s v="Level III"/>
        <s v="Level I"/>
        <s v="Level II &amp; Level II - Ped"/>
        <s v="Level I &amp; Level II - Ped"/>
        <s v="Level I &amp; Level I - Ped"/>
        <s v="Level II - Pediatric"/>
      </sharedItems>
    </cacheField>
    <cacheField name="TEACH_HOSP" numFmtId="49">
      <sharedItems count="2">
        <s v="NO"/>
        <s v="YES"/>
      </sharedItems>
    </cacheField>
    <cacheField name="ASSEMBLY_DIST" numFmtId="0">
      <sharedItems containsSemiMixedTypes="0" containsString="0" containsNumber="1" containsInteger="1" minValue="1" maxValue="80" count="79">
        <n v="16"/>
        <n v="14"/>
        <n v="18"/>
        <n v="20"/>
        <n v="10"/>
        <n v="3"/>
        <n v="25"/>
        <n v="2"/>
        <n v="11"/>
        <n v="15"/>
        <n v="1"/>
        <n v="4"/>
        <n v="29"/>
        <n v="30"/>
        <n v="31"/>
        <n v="80"/>
        <n v="34"/>
        <n v="32"/>
        <n v="49"/>
        <n v="36"/>
        <n v="54"/>
        <n v="55"/>
        <n v="50"/>
        <n v="58"/>
        <n v="47"/>
        <n v="46"/>
        <n v="51"/>
        <n v="56"/>
        <n v="45"/>
        <n v="41"/>
        <n v="59"/>
        <n v="43"/>
        <n v="39"/>
        <n v="44"/>
        <n v="57"/>
        <n v="53"/>
        <n v="42"/>
        <n v="40"/>
        <n v="61"/>
        <n v="48"/>
        <n v="60"/>
        <n v="38"/>
        <n v="6"/>
        <n v="17"/>
        <n v="27"/>
        <n v="28"/>
        <n v="7"/>
        <n v="72"/>
        <n v="68"/>
        <n v="67"/>
        <n v="71"/>
        <n v="69"/>
        <n v="73"/>
        <n v="70"/>
        <n v="64"/>
        <n v="65"/>
        <n v="66"/>
        <n v="5"/>
        <n v="9"/>
        <n v="62"/>
        <n v="63"/>
        <n v="78"/>
        <n v="76"/>
        <n v="79"/>
        <n v="77"/>
        <n v="75"/>
        <n v="74"/>
        <n v="12"/>
        <n v="13"/>
        <n v="26"/>
        <n v="33"/>
        <n v="19"/>
        <n v="21"/>
        <n v="35"/>
        <n v="23"/>
        <n v="22"/>
        <n v="24"/>
        <n v="8"/>
        <n v="37"/>
      </sharedItems>
    </cacheField>
    <cacheField name="SENATE_DIST" numFmtId="0">
      <sharedItems containsSemiMixedTypes="0" containsString="0" containsNumber="1" containsInteger="1" minValue="1" maxValue="40" count="40">
        <n v="9"/>
        <n v="10"/>
        <n v="1"/>
        <n v="4"/>
        <n v="7"/>
        <n v="14"/>
        <n v="16"/>
        <n v="2"/>
        <n v="40"/>
        <n v="18"/>
        <n v="22"/>
        <n v="17"/>
        <n v="27"/>
        <n v="30"/>
        <n v="26"/>
        <n v="25"/>
        <n v="21"/>
        <n v="23"/>
        <n v="29"/>
        <n v="24"/>
        <n v="20"/>
        <n v="28"/>
        <n v="32"/>
        <n v="19"/>
        <n v="12"/>
        <n v="3"/>
        <n v="15"/>
        <n v="33"/>
        <n v="35"/>
        <n v="34"/>
        <n v="37"/>
        <n v="31"/>
        <n v="36"/>
        <n v="6"/>
        <n v="39"/>
        <n v="38"/>
        <n v="8"/>
        <n v="5"/>
        <n v="11"/>
        <n v="13"/>
      </sharedItems>
    </cacheField>
    <cacheField name="MED_SVC_STUDY_AREA" numFmtId="49">
      <sharedItems/>
    </cacheField>
    <cacheField name="LACO_SVC_PLAN_AREA" numFmtId="49">
      <sharedItems containsBlank="1"/>
    </cacheField>
    <cacheField name="HEALTH_SVC_AREA" numFmtId="49">
      <sharedItems/>
    </cacheField>
    <cacheField name="COUNTY" numFmtId="49">
      <sharedItems count="55">
        <s v="Alameda"/>
        <s v="Amador"/>
        <s v="Butte"/>
        <s v="Calaveras"/>
        <s v="Colusa"/>
        <s v="Contra Costa"/>
        <s v="Del Norte"/>
        <s v="El Dorado"/>
        <s v="Fresno"/>
        <s v="Glenn"/>
        <s v="Humboldt"/>
        <s v="Imperial"/>
        <s v="Inyo"/>
        <s v="Kern"/>
        <s v="Kings"/>
        <s v="Lake"/>
        <s v="Lassen"/>
        <s v="Los Angeles"/>
        <s v="Madera"/>
        <s v="Marin"/>
        <s v="Mariposa"/>
        <s v="Mendocino"/>
        <s v="Merced"/>
        <s v="Modoc"/>
        <s v="Mono"/>
        <s v="Monterey"/>
        <s v="Napa"/>
        <s v="Nevada"/>
        <s v="Orange"/>
        <s v="Placer"/>
        <s v="Plumas"/>
        <s v="Riverside"/>
        <s v="Sacramento"/>
        <s v="San Benito"/>
        <s v="San Bernardino"/>
        <s v="San Diego"/>
        <s v="San Francisco"/>
        <s v="San Joaquin"/>
        <s v="San Luis Obispo"/>
        <s v="San Mateo"/>
        <s v="Santa Barbara"/>
        <s v="Santa Clara"/>
        <s v="Santa Cruz"/>
        <s v="Shasta"/>
        <s v="Siskiyou"/>
        <s v="Solano"/>
        <s v="Sonoma"/>
        <s v="Stanislaus"/>
        <s v="Tehama"/>
        <s v="Trinity"/>
        <s v="Tulare"/>
        <s v="Tuolumne"/>
        <s v="Ventura"/>
        <s v="Yolo"/>
        <s v="Yuba"/>
      </sharedItems>
    </cacheField>
    <cacheField name="TYPE_LIC" numFmtId="49">
      <sharedItems/>
    </cacheField>
    <cacheField name="TYPE_CNTRL" numFmtId="49">
      <sharedItems containsBlank="1"/>
    </cacheField>
    <cacheField name="TYPE_SVC_PRINCIPAL" numFmtId="49">
      <sharedItems containsBlank="1"/>
    </cacheField>
    <cacheField name="GAC_BED_LIC_SUBTOTL" numFmtId="0">
      <sharedItems containsSemiMixedTypes="0" containsString="0" containsNumber="1" containsInteger="1" minValue="0" maxValue="896"/>
    </cacheField>
    <cacheField name="ED_LIC_LEVL_BEGIN" numFmtId="49">
      <sharedItems count="4">
        <s v="Basic"/>
        <s v="0"/>
        <s v="Standby"/>
        <s v="Comprehensive"/>
      </sharedItems>
    </cacheField>
    <cacheField name="Sex_Female" numFmtId="0">
      <sharedItems containsString="0" containsBlank="1" containsNumber="1" containsInteger="1" minValue="208" maxValue="53415"/>
    </cacheField>
    <cacheField name="Sex_Male" numFmtId="0">
      <sharedItems containsString="0" containsBlank="1" containsNumber="1" containsInteger="1" minValue="218" maxValue="65303"/>
    </cacheField>
    <cacheField name="Sex_Unknown" numFmtId="0">
      <sharedItems containsString="0" containsBlank="1" containsNumber="1" containsInteger="1" minValue="1" maxValue="12"/>
    </cacheField>
    <cacheField name="Sex_Other" numFmtId="0">
      <sharedItems containsString="0" containsBlank="1" containsNumber="1" containsInteger="1" minValue="1" maxValue="3"/>
    </cacheField>
    <cacheField name="Age_01_09" numFmtId="0">
      <sharedItems containsString="0" containsBlank="1" containsNumber="1" containsInteger="1" minValue="1" maxValue="38641"/>
    </cacheField>
    <cacheField name="Age_10_19" numFmtId="0">
      <sharedItems containsString="0" containsBlank="1" containsNumber="1" containsInteger="1" minValue="32" maxValue="16034"/>
    </cacheField>
    <cacheField name="Age_20_29" numFmtId="0">
      <sharedItems containsString="0" containsBlank="1" containsNumber="1" containsInteger="1" minValue="29" maxValue="22278"/>
    </cacheField>
    <cacheField name="Age_30_39" numFmtId="0">
      <sharedItems containsString="0" containsBlank="1" containsNumber="1" containsInteger="1" minValue="35" maxValue="19115"/>
    </cacheField>
    <cacheField name="Age_40_49" numFmtId="0">
      <sharedItems containsString="0" containsBlank="1" containsNumber="1" containsInteger="1" minValue="28" maxValue="23063"/>
    </cacheField>
    <cacheField name="Age_50_59" numFmtId="0">
      <sharedItems containsString="0" containsBlank="1" containsNumber="1" containsInteger="1" minValue="26" maxValue="22552"/>
    </cacheField>
    <cacheField name="Age_60_69" numFmtId="0">
      <sharedItems containsString="0" containsBlank="1" containsNumber="1" containsInteger="1" minValue="6" maxValue="9361"/>
    </cacheField>
    <cacheField name="Age_70_79" numFmtId="0">
      <sharedItems containsString="0" containsBlank="1" containsNumber="1" containsInteger="1" minValue="1" maxValue="7138"/>
    </cacheField>
    <cacheField name="Age_80_" numFmtId="0">
      <sharedItems containsString="0" containsBlank="1" containsNumber="1" containsInteger="1" minValue="1" maxValue="7436"/>
    </cacheField>
    <cacheField name="Age_Under_1" numFmtId="0">
      <sharedItems containsString="0" containsBlank="1" containsNumber="1" containsInteger="1" minValue="2" maxValue="13752"/>
    </cacheField>
    <cacheField name="Age_Unknown" numFmtId="0">
      <sharedItems containsString="0" containsBlank="1" containsNumber="1" containsInteger="1" minValue="1" maxValue="104"/>
    </cacheField>
    <cacheField name="Asian_Pacific_Island" numFmtId="0">
      <sharedItems containsString="0" containsBlank="1" containsNumber="1" containsInteger="1" minValue="1" maxValue="13194"/>
    </cacheField>
    <cacheField name="Black" numFmtId="0">
      <sharedItems containsString="0" containsBlank="1" containsNumber="1" containsInteger="1" minValue="2" maxValue="32468"/>
    </cacheField>
    <cacheField name="Hispanic" numFmtId="0">
      <sharedItems containsString="0" containsBlank="1" containsNumber="1" containsInteger="1" minValue="13" maxValue="76444"/>
    </cacheField>
    <cacheField name="Native_American_Eski" numFmtId="0">
      <sharedItems containsString="0" containsBlank="1" containsNumber="1" containsInteger="1" minValue="1" maxValue="1373"/>
    </cacheField>
    <cacheField name="Other_Race" numFmtId="0">
      <sharedItems containsString="0" containsBlank="1" containsNumber="1" containsInteger="1" minValue="1" maxValue="14321"/>
    </cacheField>
    <cacheField name="Unknown_Race" numFmtId="0">
      <sharedItems containsString="0" containsBlank="1" containsNumber="1" containsInteger="1" minValue="1" maxValue="32500"/>
    </cacheField>
    <cacheField name="White" numFmtId="0">
      <sharedItems containsString="0" containsBlank="1" containsNumber="1" containsInteger="1" minValue="1" maxValue="53352"/>
    </cacheField>
    <cacheField name="Acute_Care" numFmtId="0">
      <sharedItems containsString="0" containsBlank="1" containsNumber="1" containsInteger="1" minValue="1" maxValue="6347"/>
    </cacheField>
    <cacheField name="Against_Medical_Advice" numFmtId="0">
      <sharedItems containsString="0" containsBlank="1" containsNumber="1" containsInteger="1" minValue="4" maxValue="9682"/>
    </cacheField>
    <cacheField name="Childrens_or_Cancer_Center" numFmtId="0">
      <sharedItems containsString="0" containsBlank="1" containsNumber="1" containsInteger="1" minValue="1" maxValue="2647"/>
    </cacheField>
    <cacheField name="Died" numFmtId="0">
      <sharedItems containsString="0" containsBlank="1" containsNumber="1" containsInteger="1" minValue="1" maxValue="258"/>
    </cacheField>
    <cacheField name="Home_Health_Service" numFmtId="0">
      <sharedItems containsString="0" containsBlank="1" containsNumber="1" containsInteger="1" minValue="1" maxValue="579"/>
    </cacheField>
    <cacheField name="Hospice_Care" numFmtId="0">
      <sharedItems containsString="0" containsBlank="1" containsNumber="1" containsInteger="1" minValue="1" maxValue="132"/>
    </cacheField>
    <cacheField name="Other_Care" numFmtId="0">
      <sharedItems containsString="0" containsBlank="1" containsNumber="1" containsInteger="1" minValue="1" maxValue="191"/>
    </cacheField>
    <cacheField name="Other_Unknown" numFmtId="0">
      <sharedItems containsString="0" containsBlank="1" containsNumber="1" containsInteger="1" minValue="1" maxValue="480"/>
    </cacheField>
    <cacheField name="Prison_Jail" numFmtId="0">
      <sharedItems containsString="0" containsBlank="1" containsNumber="1" containsInteger="1" minValue="1" maxValue="1830"/>
    </cacheField>
    <cacheField name="Psychiatric_Care" numFmtId="0">
      <sharedItems containsString="0" containsBlank="1" containsNumber="1" containsInteger="1" minValue="1" maxValue="3758"/>
    </cacheField>
    <cacheField name="Residential_Care_Facility" numFmtId="0">
      <sharedItems containsString="0" containsBlank="1" containsNumber="1" containsInteger="1" minValue="1" maxValue="546"/>
    </cacheField>
    <cacheField name="Routine" numFmtId="0">
      <sharedItems containsString="0" containsBlank="1" containsNumber="1" containsInteger="1" minValue="371" maxValue="96874"/>
    </cacheField>
    <cacheField name="SN_IC_Care" numFmtId="0">
      <sharedItems containsString="0" containsBlank="1" containsNumber="1" containsInteger="1" minValue="1" maxValue="1128"/>
    </cacheField>
    <cacheField name="Not_Defined_Elsewhere" numFmtId="0">
      <sharedItems containsString="0" containsBlank="1" containsNumber="1" containsInteger="1" minValue="1" maxValue="5518"/>
    </cacheField>
    <cacheField name="Critical_Access_Hospital" numFmtId="0">
      <sharedItems containsString="0" containsBlank="1" containsNumber="1" containsInteger="1" minValue="1" maxValue="364"/>
    </cacheField>
    <cacheField name="Medi_Cal" numFmtId="0">
      <sharedItems containsString="0" containsBlank="1" containsNumber="1" containsInteger="1" minValue="17" maxValue="52717"/>
    </cacheField>
    <cacheField name="Medicare" numFmtId="0">
      <sharedItems containsString="0" containsBlank="1" containsNumber="1" containsInteger="1" minValue="4" maxValue="32313"/>
    </cacheField>
    <cacheField name="Other_Payer" numFmtId="0">
      <sharedItems containsString="0" containsBlank="1" containsNumber="1" containsInteger="1" minValue="24" maxValue="34789"/>
    </cacheField>
    <cacheField name="Private_Coverage" numFmtId="0">
      <sharedItems containsString="0" containsBlank="1" containsNumber="1" containsInteger="1" minValue="117" maxValue="54141"/>
    </cacheField>
    <cacheField name="Uninsured" numFmtId="0">
      <sharedItems containsString="0" containsBlank="1" containsNumber="1" containsInteger="1" minValue="1" maxValue="107789"/>
    </cacheField>
    <cacheField name="Dx_All_Pregnancies" numFmtId="0">
      <sharedItems containsString="0" containsBlank="1" containsNumber="1" containsInteger="1" minValue="1" maxValue="5307"/>
    </cacheField>
    <cacheField name="Dx_Blood_Bloodforming_organs" numFmtId="0">
      <sharedItems containsString="0" containsBlank="1" containsNumber="1" containsInteger="1" minValue="1" maxValue="571"/>
    </cacheField>
    <cacheField name="Dx_Circulatory" numFmtId="0">
      <sharedItems containsString="0" containsBlank="1" containsNumber="1" containsInteger="1" minValue="24" maxValue="4753"/>
    </cacheField>
    <cacheField name="Dx_Congenital_anomalies" numFmtId="0">
      <sharedItems containsString="0" containsBlank="1" containsNumber="1" containsInteger="1" minValue="1" maxValue="206"/>
    </cacheField>
    <cacheField name="Dx_Digestive" numFmtId="0">
      <sharedItems containsString="0" containsBlank="1" containsNumber="1" containsInteger="1" minValue="29" maxValue="7450"/>
    </cacheField>
    <cacheField name="Dx_Endocrine_Metabolism" numFmtId="0">
      <sharedItems containsString="0" containsBlank="1" containsNumber="1" containsInteger="1" minValue="10" maxValue="3425"/>
    </cacheField>
    <cacheField name="Dx_Genitourinary" numFmtId="0">
      <sharedItems containsString="0" containsBlank="1" containsNumber="1" containsInteger="1" minValue="26" maxValue="7637"/>
    </cacheField>
    <cacheField name="Dx_Infections" numFmtId="0">
      <sharedItems containsString="0" containsBlank="1" containsNumber="1" containsInteger="1" minValue="6" maxValue="8890"/>
    </cacheField>
    <cacheField name="Dx_Injuries_Drugs_Complications" numFmtId="0">
      <sharedItems containsString="0" containsBlank="1" containsNumber="1" containsInteger="1" minValue="121" maxValue="20426"/>
    </cacheField>
    <cacheField name="Dx_Musculoskeletal" numFmtId="0">
      <sharedItems containsString="0" containsBlank="1" containsNumber="1" containsInteger="1" minValue="22" maxValue="9747"/>
    </cacheField>
    <cacheField name="Dx_Neoplasms" numFmtId="0">
      <sharedItems containsString="0" containsBlank="1" containsNumber="1" containsInteger="1" minValue="1" maxValue="838"/>
    </cacheField>
    <cacheField name="Dx_Nervous_Sensory_Systems" numFmtId="0">
      <sharedItems containsString="0" containsBlank="1" containsNumber="1" containsInteger="1" minValue="28" maxValue="7816"/>
    </cacheField>
    <cacheField name="Dx_Other_Reasons" numFmtId="0">
      <sharedItems containsString="0" containsBlank="1" containsNumber="1" containsInteger="1" minValue="3" maxValue="10459"/>
    </cacheField>
    <cacheField name="Dx_Perinatal_disorders" numFmtId="0">
      <sharedItems containsString="0" containsBlank="1" containsNumber="1" containsInteger="1" minValue="1" maxValue="555"/>
    </cacheField>
    <cacheField name="Dx_Psychoses_Neuroses" numFmtId="0">
      <sharedItems containsString="0" containsBlank="1" containsNumber="1" containsInteger="1" minValue="13" maxValue="11875"/>
    </cacheField>
    <cacheField name="Dx_Respiratory" numFmtId="0">
      <sharedItems containsString="0" containsBlank="1" containsNumber="1" containsInteger="1" minValue="33" maxValue="14500"/>
    </cacheField>
    <cacheField name="Dx_Skin_disorders" numFmtId="0">
      <sharedItems containsString="0" containsBlank="1" containsNumber="1" containsInteger="1" minValue="6" maxValue="5301"/>
    </cacheField>
    <cacheField name="Dx_Symptoms" numFmtId="0">
      <sharedItems containsString="0" containsBlank="1" containsNumber="1" containsInteger="1" minValue="93" maxValue="24878"/>
    </cacheField>
    <cacheField name="Dx_Invalid" numFmtId="0">
      <sharedItems containsString="0" containsBlank="1" containsNumber="1" containsInteger="1" minValue="1" maxValue="8"/>
    </cacheField>
    <cacheField name="Dx_Births" numFmtId="0">
      <sharedItems containsString="0" containsBlank="1" containsNumber="1" containsInteger="1" minValue="1" maxValue="5"/>
    </cacheField>
    <cacheField name="EC_Accidental_Falls" numFmtId="0">
      <sharedItems containsString="0" containsBlank="1" containsNumber="1" containsInteger="1" minValue="40" maxValue="7497"/>
    </cacheField>
    <cacheField name="EC_Accidental_Poisoning" numFmtId="0">
      <sharedItems containsString="0" containsBlank="1" containsNumber="1" containsInteger="1" minValue="2" maxValue="497"/>
    </cacheField>
    <cacheField name="EC_Adverse_Effects_of_Drugs" numFmtId="0">
      <sharedItems containsString="0" containsBlank="1" containsNumber="1" containsInteger="1" minValue="2" maxValue="1193"/>
    </cacheField>
    <cacheField name="EC_Fire_Accidents" numFmtId="0">
      <sharedItems containsString="0" containsBlank="1" containsNumber="1" containsInteger="1" minValue="1" maxValue="84"/>
    </cacheField>
    <cacheField name="EC_Inflicted_by_Others" numFmtId="0">
      <sharedItems containsString="0" containsBlank="1" containsNumber="1" containsInteger="1" minValue="6" maxValue="3289"/>
    </cacheField>
    <cacheField name="EC_Late_Effects_of_Injury" numFmtId="0">
      <sharedItems containsString="0" containsBlank="1" containsNumber="1" containsInteger="1" minValue="1" maxValue="922"/>
    </cacheField>
    <cacheField name="EC_Misadventures_Complication" numFmtId="0">
      <sharedItems containsString="0" containsBlank="1" containsNumber="1" containsInteger="1" minValue="1" maxValue="1146"/>
    </cacheField>
    <cacheField name="EC_Natural_Environment" numFmtId="0">
      <sharedItems containsString="0" containsBlank="1" containsNumber="1" containsInteger="1" minValue="14" maxValue="1242"/>
    </cacheField>
    <cacheField name="EC_None" numFmtId="0">
      <sharedItems containsString="0" containsBlank="1" containsNumber="1" containsInteger="1" minValue="292" maxValue="97767"/>
    </cacheField>
    <cacheField name="EC_Other_Accidents" numFmtId="0">
      <sharedItems containsString="0" containsBlank="1" containsNumber="1" containsInteger="1" minValue="44" maxValue="8632"/>
    </cacheField>
    <cacheField name="EC_Other_Vehicle_Transport" numFmtId="0">
      <sharedItems containsString="0" containsBlank="1" containsNumber="1" containsInteger="1" minValue="4" maxValue="622"/>
    </cacheField>
    <cacheField name="EC_Rail_Motor_Vehicle" numFmtId="0">
      <sharedItems containsString="0" containsBlank="1" containsNumber="1" containsInteger="1" minValue="15" maxValue="2790"/>
    </cacheField>
    <cacheField name="EC_Self_Inflicted" numFmtId="0">
      <sharedItems containsString="0" containsBlank="1" containsNumber="1" containsInteger="1" minValue="1" maxValue="773"/>
    </cacheField>
    <cacheField name="EC_Submersion_Suffocation_Foreig" numFmtId="0">
      <sharedItems containsString="0" containsBlank="1" containsNumber="1" containsInteger="1" minValue="2" maxValue="746"/>
    </cacheField>
    <cacheField name="EC_Undetermined" numFmtId="0">
      <sharedItems containsString="0" containsBlank="1" containsNumber="1" containsInteger="1" minValue="1" maxValue="555"/>
    </cacheField>
    <cacheField name="EC_War" numFmtId="0">
      <sharedItems containsString="0" containsBlank="1" containsNumber="1" containsInteger="1" minValue="1" maxValue="2"/>
    </cacheField>
    <cacheField name="ED_Visit" numFmtId="0">
      <sharedItems containsString="0" containsBlank="1" containsNumber="1" containsInteger="1" minValue="426" maxValue="118718"/>
    </cacheField>
    <cacheField name="All_Other" numFmtId="0">
      <sharedItems containsString="0" containsBlank="1" containsNumber="1" containsInteger="1" minValue="1" maxValue="4039"/>
    </cacheField>
    <cacheField name="English" numFmtId="0">
      <sharedItems containsString="0" containsBlank="1" containsNumber="1" containsInteger="1" minValue="414" maxValue="85822"/>
    </cacheField>
    <cacheField name="Spanish" numFmtId="0">
      <sharedItems containsString="0" containsBlank="1" containsNumber="1" containsInteger="1" minValue="6" maxValue="49050"/>
    </cacheField>
    <cacheField name="a_Sex_Female" numFmtId="0">
      <sharedItems containsString="0" containsBlank="1" containsNumber="1" containsInteger="1" minValue="1" maxValue="12528"/>
    </cacheField>
    <cacheField name="a_Sex_Male" numFmtId="0">
      <sharedItems containsString="0" containsBlank="1" containsNumber="1" containsInteger="1" minValue="3" maxValue="13807"/>
    </cacheField>
    <cacheField name="a_Sex_Unknown" numFmtId="0">
      <sharedItems containsString="0" containsBlank="1" containsNumber="1" containsInteger="1" minValue="1" maxValue="5"/>
    </cacheField>
    <cacheField name="a_sex_Other" numFmtId="0">
      <sharedItems containsString="0" containsBlank="1" containsNumber="1" containsInteger="1" minValue="1" maxValue="2"/>
    </cacheField>
    <cacheField name="a_Age_10_19" numFmtId="0">
      <sharedItems containsString="0" containsBlank="1" containsNumber="1" containsInteger="1" minValue="1" maxValue="1857"/>
    </cacheField>
    <cacheField name="a_Age_20_29" numFmtId="0">
      <sharedItems containsString="0" containsBlank="1" containsNumber="1" containsInteger="1" minValue="1" maxValue="3469"/>
    </cacheField>
    <cacheField name="a_Age_30_39" numFmtId="0">
      <sharedItems containsString="0" containsBlank="1" containsNumber="1" containsInteger="1" minValue="1" maxValue="3375"/>
    </cacheField>
    <cacheField name="a_Age_40_49" numFmtId="0">
      <sharedItems containsString="0" containsBlank="1" containsNumber="1" containsInteger="1" minValue="1" maxValue="4618"/>
    </cacheField>
    <cacheField name="a_Age_50_59" numFmtId="0">
      <sharedItems containsString="0" containsBlank="1" containsNumber="1" containsInteger="1" minValue="1" maxValue="5611"/>
    </cacheField>
    <cacheField name="a_Age_60_69" numFmtId="0">
      <sharedItems containsString="0" containsBlank="1" containsNumber="1" containsInteger="1" minValue="2" maxValue="3858"/>
    </cacheField>
    <cacheField name="a_Age_70_79" numFmtId="0">
      <sharedItems containsString="0" containsBlank="1" containsNumber="1" containsInteger="1" minValue="1" maxValue="3737"/>
    </cacheField>
    <cacheField name="a_Age_80_" numFmtId="0">
      <sharedItems containsString="0" containsBlank="1" containsNumber="1" containsInteger="1" minValue="1" maxValue="6205"/>
    </cacheField>
    <cacheField name="a_Age_Under_1" numFmtId="0">
      <sharedItems containsString="0" containsBlank="1" containsNumber="1" containsInteger="1" minValue="1" maxValue="2484"/>
    </cacheField>
    <cacheField name="a_Age_01_09" numFmtId="0">
      <sharedItems containsString="0" containsBlank="1" containsNumber="1" containsInteger="1" minValue="1" maxValue="3731"/>
    </cacheField>
    <cacheField name="a_Age_Unknown" numFmtId="0">
      <sharedItems containsString="0" containsBlank="1" containsNumber="1" containsInteger="1" minValue="1" maxValue="4"/>
    </cacheField>
    <cacheField name="a_Asian_Pacific_Isla" numFmtId="0">
      <sharedItems containsString="0" containsBlank="1" containsNumber="1" containsInteger="1" minValue="1" maxValue="3926"/>
    </cacheField>
    <cacheField name="a_Black" numFmtId="0">
      <sharedItems containsString="0" containsBlank="1" containsNumber="1" containsInteger="1" minValue="1" maxValue="11309"/>
    </cacheField>
    <cacheField name="a_Hispanic" numFmtId="0">
      <sharedItems containsString="0" containsBlank="1" containsNumber="1" containsInteger="1" minValue="1" maxValue="17520"/>
    </cacheField>
    <cacheField name="a_Other_Race" numFmtId="0">
      <sharedItems containsString="0" containsBlank="1" containsNumber="1" containsInteger="1" minValue="1" maxValue="3441"/>
    </cacheField>
    <cacheField name="a_Unknown_Race" numFmtId="0">
      <sharedItems containsString="0" containsBlank="1" containsNumber="1" containsInteger="1" minValue="1" maxValue="941"/>
    </cacheField>
    <cacheField name="a_White" numFmtId="0">
      <sharedItems containsString="0" containsBlank="1" containsNumber="1" containsInteger="1" minValue="1" maxValue="14963"/>
    </cacheField>
    <cacheField name="a_Native_American_Es" numFmtId="0">
      <sharedItems containsString="0" containsBlank="1" containsNumber="1" containsInteger="1" minValue="1" maxValue="348"/>
    </cacheField>
    <cacheField name="a_Acute_Care" numFmtId="0">
      <sharedItems containsString="0" containsBlank="1" containsNumber="1" containsInteger="1" minValue="1" maxValue="837"/>
    </cacheField>
    <cacheField name="a_Against_Medical_Advice" numFmtId="0">
      <sharedItems containsString="0" containsBlank="1" containsNumber="1" containsInteger="1" minValue="1" maxValue="835"/>
    </cacheField>
    <cacheField name="a_Died" numFmtId="0">
      <sharedItems containsString="0" containsBlank="1" containsNumber="1" containsInteger="1" minValue="1" maxValue="926"/>
    </cacheField>
    <cacheField name="a_Home_Health_Service" numFmtId="0">
      <sharedItems containsString="0" containsBlank="1" containsNumber="1" containsInteger="1" minValue="1" maxValue="3866"/>
    </cacheField>
    <cacheField name="a_Other_Care" numFmtId="0">
      <sharedItems containsString="0" containsBlank="1" containsNumber="1" containsInteger="1" minValue="1" maxValue="718"/>
    </cacheField>
    <cacheField name="a_Other_Unknown" numFmtId="0">
      <sharedItems containsString="0" containsBlank="1" containsNumber="1" containsInteger="1" minValue="1" maxValue="540"/>
    </cacheField>
    <cacheField name="a_Residential_Care_Facility" numFmtId="0">
      <sharedItems containsString="0" containsBlank="1" containsNumber="1" containsInteger="1" minValue="1" maxValue="519"/>
    </cacheField>
    <cacheField name="a_Routine" numFmtId="0">
      <sharedItems containsString="0" containsBlank="1" containsNumber="1" containsInteger="1" minValue="1" maxValue="21628"/>
    </cacheField>
    <cacheField name="a_SN_IC_Care" numFmtId="0">
      <sharedItems containsString="0" containsBlank="1" containsNumber="1" containsInteger="1" minValue="1" maxValue="3281"/>
    </cacheField>
    <cacheField name="a_Prison_Jail" numFmtId="0">
      <sharedItems containsString="0" containsBlank="1" containsNumber="1" containsInteger="1" minValue="1" maxValue="1205"/>
    </cacheField>
    <cacheField name="a_Hospice_Care" numFmtId="0">
      <sharedItems containsString="0" containsBlank="1" containsNumber="1" containsInteger="1" minValue="0" maxValue="0"/>
    </cacheField>
    <cacheField name="a_Psychiatric_Care" numFmtId="0">
      <sharedItems containsString="0" containsBlank="1" containsNumber="1" containsInteger="1" minValue="0" maxValue="0"/>
    </cacheField>
    <cacheField name="a_Childrens_or_Cancer_Center" numFmtId="0">
      <sharedItems containsString="0" containsBlank="1" containsNumber="1" containsInteger="1" minValue="0" maxValue="0"/>
    </cacheField>
    <cacheField name="a_Critical_Access_Hospital" numFmtId="0">
      <sharedItems containsString="0" containsBlank="1" containsNumber="1" containsInteger="1" minValue="0" maxValue="0"/>
    </cacheField>
    <cacheField name="a_Not_Defined_Elsewhere" numFmtId="0">
      <sharedItems containsString="0" containsBlank="1" containsNumber="1" containsInteger="1" minValue="0" maxValue="0"/>
    </cacheField>
    <cacheField name="a_Medi_Cal" numFmtId="0">
      <sharedItems containsString="0" containsBlank="1" containsNumber="1" containsInteger="1" minValue="1" maxValue="14057"/>
    </cacheField>
    <cacheField name="a_Medicare" numFmtId="0">
      <sharedItems containsString="0" containsBlank="1" containsNumber="1" containsInteger="1" minValue="1" maxValue="13353"/>
    </cacheField>
    <cacheField name="a_Other_Payer" numFmtId="0">
      <sharedItems containsString="0" containsBlank="1" containsNumber="1" containsInteger="1" minValue="1" maxValue="1652"/>
    </cacheField>
    <cacheField name="a_Private_Coverage" numFmtId="0">
      <sharedItems containsString="0" containsBlank="1" containsNumber="1" containsInteger="1" minValue="2" maxValue="6321"/>
    </cacheField>
    <cacheField name="a_Uninsured" numFmtId="0">
      <sharedItems containsString="0" containsBlank="1" containsNumber="1" containsInteger="1" minValue="3" maxValue="7617"/>
    </cacheField>
    <cacheField name="a_Dx_All_Pregnancies" numFmtId="0">
      <sharedItems containsString="0" containsBlank="1" containsNumber="1" containsInteger="1" minValue="1" maxValue="1538"/>
    </cacheField>
    <cacheField name="a_Dx_Blood_Bloodforming_organs" numFmtId="0">
      <sharedItems containsString="0" containsBlank="1" containsNumber="1" containsInteger="1" minValue="1" maxValue="498"/>
    </cacheField>
    <cacheField name="a_Dx_Circulatory" numFmtId="0">
      <sharedItems containsString="0" containsBlank="1" containsNumber="1" containsInteger="1" minValue="2" maxValue="4713"/>
    </cacheField>
    <cacheField name="a_Dx_Congenital_anomalies" numFmtId="0">
      <sharedItems containsString="0" containsBlank="1" containsNumber="1" containsInteger="1" minValue="1" maxValue="189"/>
    </cacheField>
    <cacheField name="a_Dx_Digestive" numFmtId="0">
      <sharedItems containsString="0" containsBlank="1" containsNumber="1" containsInteger="1" minValue="1" maxValue="3820"/>
    </cacheField>
    <cacheField name="a_Dx_Endocrine_Metabolism" numFmtId="0">
      <sharedItems containsString="0" containsBlank="1" containsNumber="1" containsInteger="1" minValue="1" maxValue="1214"/>
    </cacheField>
    <cacheField name="a_Dx_Genitourinary" numFmtId="0">
      <sharedItems containsString="0" containsBlank="1" containsNumber="1" containsInteger="1" minValue="1" maxValue="1475"/>
    </cacheField>
    <cacheField name="a_Dx_Infections" numFmtId="0">
      <sharedItems containsString="0" containsBlank="1" containsNumber="1" containsInteger="1" minValue="1" maxValue="2010"/>
    </cacheField>
    <cacheField name="a_Dx_Injuries_Drugs_Complication" numFmtId="0">
      <sharedItems containsString="0" containsBlank="1" containsNumber="1" containsInteger="1" minValue="2" maxValue="4130"/>
    </cacheField>
    <cacheField name="a_Dx_Musculoskeletal" numFmtId="0">
      <sharedItems containsString="0" containsBlank="1" containsNumber="1" containsInteger="1" minValue="1" maxValue="938"/>
    </cacheField>
    <cacheField name="a_Dx_Neoplasms" numFmtId="0">
      <sharedItems containsString="0" containsBlank="1" containsNumber="1" containsInteger="1" minValue="1" maxValue="1451"/>
    </cacheField>
    <cacheField name="a_Dx_Nervous_Sensory_Systems" numFmtId="0">
      <sharedItems containsString="0" containsBlank="1" containsNumber="1" containsInteger="1" minValue="1" maxValue="1124"/>
    </cacheField>
    <cacheField name="a_Dx_Other_Reasons" numFmtId="0">
      <sharedItems containsString="0" containsBlank="1" containsNumber="1" containsInteger="1" minValue="1" maxValue="205"/>
    </cacheField>
    <cacheField name="a_Dx_Psychoses_Neuroses" numFmtId="0">
      <sharedItems containsString="0" containsBlank="1" containsNumber="1" containsInteger="1" minValue="1" maxValue="4591"/>
    </cacheField>
    <cacheField name="a_Dx_Respiratory" numFmtId="0">
      <sharedItems containsString="0" containsBlank="1" containsNumber="1" containsInteger="1" minValue="1" maxValue="2512"/>
    </cacheField>
    <cacheField name="a_Dx_Skin_disorders" numFmtId="0">
      <sharedItems containsString="0" containsBlank="1" containsNumber="1" containsInteger="1" minValue="2" maxValue="846"/>
    </cacheField>
    <cacheField name="a_Dx_Symptoms" numFmtId="0">
      <sharedItems containsString="0" containsBlank="1" containsNumber="1" containsInteger="1" minValue="1" maxValue="2110"/>
    </cacheField>
    <cacheField name="a_Dx_Births" numFmtId="0">
      <sharedItems containsString="0" containsBlank="1" containsNumber="1" containsInteger="1" minValue="1" maxValue="16"/>
    </cacheField>
    <cacheField name="a_Dx_Perinatal_disorders" numFmtId="0">
      <sharedItems containsString="0" containsBlank="1" containsNumber="1" containsInteger="1" minValue="1" maxValue="356"/>
    </cacheField>
    <cacheField name="a_Dx_Invalid" numFmtId="0">
      <sharedItems containsString="0" containsBlank="1" containsNumber="1" containsInteger="1" minValue="1" maxValue="1"/>
    </cacheField>
    <cacheField name="a_EC_Accidental_Falls" numFmtId="0">
      <sharedItems containsString="0" containsBlank="1" containsNumber="1" containsInteger="1" minValue="1" maxValue="1654"/>
    </cacheField>
    <cacheField name="a_EC_Accidental_Poisoning" numFmtId="0">
      <sharedItems containsString="0" containsBlank="1" containsNumber="1" containsInteger="1" minValue="1" maxValue="214"/>
    </cacheField>
    <cacheField name="a_EC_Adverse_Effects_of_Drugs" numFmtId="0">
      <sharedItems containsString="0" containsBlank="1" containsNumber="1" containsInteger="1" minValue="1" maxValue="1825"/>
    </cacheField>
    <cacheField name="a_EC_Inflicted_by_Others" numFmtId="0">
      <sharedItems containsString="0" containsBlank="1" containsNumber="1" containsInteger="1" minValue="1" maxValue="550"/>
    </cacheField>
    <cacheField name="a_EC_Late_Effects_of_Injury" numFmtId="0">
      <sharedItems containsString="0" containsBlank="1" containsNumber="1" containsInteger="1" minValue="1" maxValue="193"/>
    </cacheField>
    <cacheField name="a_EC_Misadventures_Complication" numFmtId="0">
      <sharedItems containsString="0" containsBlank="1" containsNumber="1" containsInteger="1" minValue="1" maxValue="2278"/>
    </cacheField>
    <cacheField name="a_EC_Natural_Environment" numFmtId="0">
      <sharedItems containsString="0" containsBlank="1" containsNumber="1" containsInteger="1" minValue="1" maxValue="91"/>
    </cacheField>
    <cacheField name="a_EC_None" numFmtId="0">
      <sharedItems containsString="0" containsBlank="1" containsNumber="1" containsInteger="1" minValue="1" maxValue="19727"/>
    </cacheField>
    <cacheField name="a_EC_Other_Accidents" numFmtId="0">
      <sharedItems containsString="0" containsBlank="1" containsNumber="1" containsInteger="1" minValue="1" maxValue="593"/>
    </cacheField>
    <cacheField name="a_EC_Other_Vehicle_Transport" numFmtId="0">
      <sharedItems containsString="0" containsBlank="1" containsNumber="1" containsInteger="1" minValue="1" maxValue="188"/>
    </cacheField>
    <cacheField name="a_EC_Rail_Motor_Vehicle" numFmtId="0">
      <sharedItems containsString="0" containsBlank="1" containsNumber="1" containsInteger="1" minValue="1" maxValue="923"/>
    </cacheField>
    <cacheField name="a_EC_Self_Inflicted" numFmtId="0">
      <sharedItems containsString="0" containsBlank="1" containsNumber="1" containsInteger="1" minValue="1" maxValue="273"/>
    </cacheField>
    <cacheField name="a_EC_Submersion_Suffocation_Fore" numFmtId="0">
      <sharedItems containsString="0" containsBlank="1" containsNumber="1" containsInteger="1" minValue="1" maxValue="116"/>
    </cacheField>
    <cacheField name="a_EC_Undetermined" numFmtId="0">
      <sharedItems containsString="0" containsBlank="1" containsNumber="1" containsInteger="1" minValue="1" maxValue="94"/>
    </cacheField>
    <cacheField name="a_EC_Fire_Accidents" numFmtId="0">
      <sharedItems containsString="0" containsBlank="1" containsNumber="1" containsInteger="1" minValue="1" maxValue="79"/>
    </cacheField>
    <cacheField name="a_EC_War" numFmtId="0">
      <sharedItems containsString="0" containsBlank="1" containsNumber="1" containsInteger="1" minValue="1" maxValue="3"/>
    </cacheField>
    <cacheField name="Inpatient_from_ED" numFmtId="0">
      <sharedItems containsString="0" containsBlank="1" containsNumber="1" containsInteger="1" minValue="1" maxValue="24750"/>
    </cacheField>
    <cacheField name="a_All_Other" numFmtId="0">
      <sharedItems containsString="0" containsBlank="1" containsNumber="1" containsInteger="1" minValue="1" maxValue="2891"/>
    </cacheField>
    <cacheField name="a_English" numFmtId="0">
      <sharedItems containsString="0" containsBlank="1" containsNumber="1" containsInteger="1" minValue="1" maxValue="20187"/>
    </cacheField>
    <cacheField name="a_Spanish" numFmtId="0">
      <sharedItems containsString="0" containsBlank="1" containsNumber="1" containsInteger="1" minValue="1" maxValue="10976"/>
    </cacheField>
    <cacheField name="datayear" numFmtId="0">
      <sharedItems containsSemiMixedTypes="0" containsString="0" containsNumber="1" containsInteger="1" minValue="2011" maxValue="20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
  <r>
    <n v="106010735"/>
    <s v="010735"/>
    <x v="0"/>
    <s v="2070 CLINTON"/>
    <s v="ALAMEDA"/>
    <n v="94501"/>
    <x v="0"/>
    <x v="0"/>
    <x v="0"/>
    <x v="0"/>
    <s v="2e"/>
    <m/>
    <s v="05 - East Bay"/>
    <x v="0"/>
    <s v="General Acute Care"/>
    <s v="District"/>
    <s v="General Medical / Surgical"/>
    <n v="100"/>
    <x v="0"/>
    <n v="7312"/>
    <n v="5457"/>
    <m/>
    <m/>
    <n v="759"/>
    <n v="1127"/>
    <n v="2418"/>
    <n v="1963"/>
    <n v="1904"/>
    <n v="1776"/>
    <n v="1203"/>
    <n v="654"/>
    <n v="891"/>
    <n v="74"/>
    <m/>
    <n v="1212"/>
    <n v="2719"/>
    <n v="176"/>
    <n v="20"/>
    <n v="2923"/>
    <n v="331"/>
    <n v="5388"/>
    <n v="189"/>
    <n v="267"/>
    <n v="2"/>
    <n v="27"/>
    <n v="33"/>
    <n v="9"/>
    <n v="6"/>
    <n v="4"/>
    <n v="91"/>
    <n v="166"/>
    <n v="11"/>
    <n v="11769"/>
    <n v="195"/>
    <m/>
    <m/>
    <n v="1051"/>
    <n v="2554"/>
    <n v="2726"/>
    <n v="4100"/>
    <n v="2338"/>
    <n v="261"/>
    <n v="42"/>
    <n v="207"/>
    <n v="2"/>
    <n v="646"/>
    <n v="145"/>
    <n v="634"/>
    <n v="210"/>
    <n v="3242"/>
    <n v="871"/>
    <n v="10"/>
    <n v="760"/>
    <n v="603"/>
    <n v="3"/>
    <n v="476"/>
    <n v="1198"/>
    <n v="650"/>
    <n v="2809"/>
    <m/>
    <m/>
    <n v="1019"/>
    <n v="71"/>
    <n v="68"/>
    <n v="3"/>
    <n v="172"/>
    <n v="13"/>
    <n v="19"/>
    <n v="128"/>
    <n v="8985"/>
    <n v="1669"/>
    <n v="92"/>
    <n v="390"/>
    <n v="37"/>
    <n v="101"/>
    <n v="2"/>
    <m/>
    <n v="12769"/>
    <n v="521"/>
    <n v="11921"/>
    <n v="327"/>
    <n v="1362"/>
    <n v="1096"/>
    <m/>
    <m/>
    <n v="15"/>
    <n v="110"/>
    <n v="115"/>
    <n v="202"/>
    <n v="381"/>
    <n v="402"/>
    <n v="401"/>
    <n v="832"/>
    <m/>
    <m/>
    <m/>
    <n v="419"/>
    <n v="363"/>
    <n v="152"/>
    <n v="241"/>
    <n v="20"/>
    <n v="1263"/>
    <m/>
    <n v="103"/>
    <n v="31"/>
    <n v="80"/>
    <n v="146"/>
    <n v="21"/>
    <n v="11"/>
    <n v="15"/>
    <n v="1291"/>
    <n v="760"/>
    <m/>
    <n v="0"/>
    <n v="0"/>
    <n v="0"/>
    <n v="0"/>
    <n v="0"/>
    <n v="372"/>
    <n v="1519"/>
    <n v="11"/>
    <n v="399"/>
    <n v="157"/>
    <n v="15"/>
    <n v="53"/>
    <n v="417"/>
    <n v="2"/>
    <n v="365"/>
    <n v="101"/>
    <n v="151"/>
    <n v="281"/>
    <n v="163"/>
    <n v="40"/>
    <n v="33"/>
    <n v="41"/>
    <n v="4"/>
    <n v="38"/>
    <n v="426"/>
    <n v="107"/>
    <n v="221"/>
    <m/>
    <m/>
    <m/>
    <n v="123"/>
    <n v="10"/>
    <n v="67"/>
    <n v="2"/>
    <n v="16"/>
    <n v="71"/>
    <n v="2"/>
    <n v="2131"/>
    <n v="8"/>
    <n v="3"/>
    <n v="5"/>
    <n v="15"/>
    <n v="4"/>
    <n v="1"/>
    <m/>
    <m/>
    <n v="2458"/>
    <n v="272"/>
    <n v="2115"/>
    <n v="71"/>
    <n v="2011"/>
  </r>
  <r>
    <n v="106010739"/>
    <s v="010739"/>
    <x v="1"/>
    <s v="2450 ASHBY STREET"/>
    <s v="BERKELEY"/>
    <n v="94705"/>
    <x v="0"/>
    <x v="0"/>
    <x v="1"/>
    <x v="0"/>
    <s v="2b"/>
    <m/>
    <s v="05 - East Bay"/>
    <x v="0"/>
    <s v="General Acute Care"/>
    <s v="Non-Profit Corporation (incl. Church-related)"/>
    <s v="General Medical / Surgical"/>
    <n v="347"/>
    <x v="0"/>
    <n v="20915"/>
    <n v="14610"/>
    <m/>
    <m/>
    <n v="574"/>
    <n v="2360"/>
    <n v="8554"/>
    <n v="5744"/>
    <n v="5120"/>
    <n v="5391"/>
    <n v="3723"/>
    <n v="1855"/>
    <n v="1967"/>
    <n v="237"/>
    <m/>
    <n v="2406"/>
    <n v="12898"/>
    <n v="3348"/>
    <n v="67"/>
    <n v="2560"/>
    <n v="252"/>
    <n v="13994"/>
    <n v="196"/>
    <n v="302"/>
    <n v="22"/>
    <n v="31"/>
    <n v="9"/>
    <m/>
    <n v="6"/>
    <n v="4"/>
    <m/>
    <n v="1031"/>
    <n v="52"/>
    <n v="33639"/>
    <n v="172"/>
    <n v="61"/>
    <m/>
    <n v="8302"/>
    <n v="5815"/>
    <n v="1498"/>
    <n v="13469"/>
    <n v="6441"/>
    <n v="1879"/>
    <n v="222"/>
    <n v="744"/>
    <n v="3"/>
    <n v="1760"/>
    <n v="488"/>
    <n v="2020"/>
    <n v="776"/>
    <n v="8326"/>
    <n v="1680"/>
    <n v="35"/>
    <n v="2515"/>
    <n v="1362"/>
    <n v="36"/>
    <n v="2261"/>
    <n v="2721"/>
    <n v="1581"/>
    <n v="7115"/>
    <n v="1"/>
    <m/>
    <n v="2468"/>
    <n v="205"/>
    <n v="324"/>
    <n v="14"/>
    <n v="503"/>
    <n v="50"/>
    <n v="181"/>
    <n v="326"/>
    <n v="26025"/>
    <n v="3759"/>
    <n v="313"/>
    <n v="1023"/>
    <n v="145"/>
    <n v="170"/>
    <n v="19"/>
    <m/>
    <n v="35525"/>
    <n v="440"/>
    <n v="34072"/>
    <n v="1013"/>
    <n v="3754"/>
    <n v="2876"/>
    <m/>
    <m/>
    <n v="84"/>
    <n v="502"/>
    <n v="532"/>
    <n v="593"/>
    <n v="1016"/>
    <n v="1272"/>
    <n v="954"/>
    <n v="1674"/>
    <n v="3"/>
    <m/>
    <m/>
    <n v="543"/>
    <n v="2370"/>
    <n v="408"/>
    <n v="268"/>
    <n v="26"/>
    <n v="3002"/>
    <n v="13"/>
    <n v="57"/>
    <n v="123"/>
    <n v="184"/>
    <n v="892"/>
    <n v="282"/>
    <n v="27"/>
    <n v="45"/>
    <n v="3915"/>
    <n v="1104"/>
    <n v="1"/>
    <n v="0"/>
    <n v="0"/>
    <n v="0"/>
    <n v="0"/>
    <n v="0"/>
    <n v="865"/>
    <n v="3022"/>
    <n v="49"/>
    <n v="2285"/>
    <n v="409"/>
    <n v="192"/>
    <n v="223"/>
    <n v="1103"/>
    <n v="4"/>
    <n v="992"/>
    <n v="308"/>
    <n v="307"/>
    <n v="688"/>
    <n v="655"/>
    <n v="145"/>
    <n v="197"/>
    <n v="241"/>
    <n v="4"/>
    <n v="105"/>
    <n v="724"/>
    <n v="229"/>
    <n v="510"/>
    <n v="2"/>
    <n v="1"/>
    <m/>
    <n v="343"/>
    <n v="67"/>
    <n v="603"/>
    <n v="11"/>
    <n v="33"/>
    <n v="303"/>
    <n v="24"/>
    <n v="5071"/>
    <n v="83"/>
    <n v="19"/>
    <n v="21"/>
    <n v="34"/>
    <n v="11"/>
    <n v="7"/>
    <m/>
    <m/>
    <n v="6630"/>
    <n v="144"/>
    <n v="6320"/>
    <n v="166"/>
    <n v="2011"/>
  </r>
  <r>
    <n v="106010776"/>
    <s v="010776"/>
    <x v="2"/>
    <s v="747 52ND STREET"/>
    <s v="OAKLAND"/>
    <n v="94609"/>
    <x v="1"/>
    <x v="0"/>
    <x v="0"/>
    <x v="0"/>
    <s v="2c"/>
    <m/>
    <s v="05 - East Bay"/>
    <x v="0"/>
    <s v="General Acute Care"/>
    <s v="Non-Profit Corporation (incl. Church-related)"/>
    <s v="Pediatric"/>
    <n v="190"/>
    <x v="0"/>
    <n v="19109"/>
    <n v="21576"/>
    <n v="1"/>
    <m/>
    <n v="24679"/>
    <n v="9368"/>
    <n v="273"/>
    <n v="70"/>
    <n v="47"/>
    <n v="34"/>
    <n v="14"/>
    <n v="5"/>
    <m/>
    <n v="6196"/>
    <m/>
    <n v="2200"/>
    <n v="13041"/>
    <n v="15621"/>
    <n v="32"/>
    <n v="5948"/>
    <n v="172"/>
    <n v="3672"/>
    <n v="338"/>
    <n v="774"/>
    <m/>
    <n v="11"/>
    <m/>
    <m/>
    <m/>
    <n v="13"/>
    <m/>
    <m/>
    <m/>
    <n v="39550"/>
    <m/>
    <m/>
    <m/>
    <n v="29221"/>
    <n v="23"/>
    <n v="1768"/>
    <n v="6686"/>
    <n v="2988"/>
    <n v="27"/>
    <n v="79"/>
    <n v="27"/>
    <n v="8"/>
    <n v="949"/>
    <n v="60"/>
    <n v="582"/>
    <n v="182"/>
    <n v="6481"/>
    <n v="2465"/>
    <n v="11"/>
    <n v="2518"/>
    <n v="821"/>
    <n v="188"/>
    <n v="378"/>
    <n v="1915"/>
    <n v="870"/>
    <n v="23125"/>
    <m/>
    <m/>
    <n v="3456"/>
    <n v="173"/>
    <n v="63"/>
    <n v="20"/>
    <n v="244"/>
    <n v="1"/>
    <n v="25"/>
    <n v="556"/>
    <n v="31437"/>
    <n v="3583"/>
    <n v="193"/>
    <n v="401"/>
    <n v="26"/>
    <n v="477"/>
    <n v="31"/>
    <m/>
    <n v="40686"/>
    <n v="1446"/>
    <n v="28459"/>
    <n v="10781"/>
    <n v="3064"/>
    <n v="3898"/>
    <m/>
    <m/>
    <n v="1722"/>
    <n v="75"/>
    <n v="1"/>
    <m/>
    <m/>
    <m/>
    <m/>
    <m/>
    <n v="1623"/>
    <n v="3541"/>
    <m/>
    <n v="453"/>
    <n v="1528"/>
    <n v="2508"/>
    <n v="1204"/>
    <n v="38"/>
    <n v="1225"/>
    <n v="6"/>
    <n v="56"/>
    <n v="14"/>
    <n v="17"/>
    <n v="5"/>
    <n v="27"/>
    <n v="1"/>
    <n v="5"/>
    <n v="6827"/>
    <n v="10"/>
    <m/>
    <n v="0"/>
    <n v="0"/>
    <n v="0"/>
    <n v="0"/>
    <n v="0"/>
    <n v="3768"/>
    <n v="13"/>
    <n v="1397"/>
    <n v="1720"/>
    <n v="64"/>
    <n v="1"/>
    <n v="364"/>
    <n v="70"/>
    <n v="82"/>
    <n v="735"/>
    <n v="276"/>
    <n v="328"/>
    <n v="357"/>
    <n v="1095"/>
    <n v="123"/>
    <n v="76"/>
    <n v="266"/>
    <n v="31"/>
    <n v="16"/>
    <n v="2087"/>
    <n v="343"/>
    <n v="460"/>
    <n v="3"/>
    <n v="249"/>
    <m/>
    <n v="226"/>
    <n v="38"/>
    <n v="186"/>
    <n v="31"/>
    <n v="9"/>
    <n v="222"/>
    <n v="24"/>
    <n v="5892"/>
    <n v="84"/>
    <n v="31"/>
    <n v="106"/>
    <n v="10"/>
    <n v="90"/>
    <n v="13"/>
    <m/>
    <m/>
    <n v="6962"/>
    <n v="235"/>
    <n v="5059"/>
    <n v="1668"/>
    <n v="2011"/>
  </r>
  <r>
    <n v="106010805"/>
    <s v="010805"/>
    <x v="3"/>
    <s v="20103 LAKE CHABOT ROAD"/>
    <s v="CASTRO VALLEY"/>
    <n v="94546"/>
    <x v="2"/>
    <x v="0"/>
    <x v="2"/>
    <x v="1"/>
    <s v="2f"/>
    <m/>
    <s v="05 - East Bay"/>
    <x v="0"/>
    <s v="General Acute Care"/>
    <s v="Non-Profit Corporation (incl. Church-related)"/>
    <s v="General Medical / Surgical"/>
    <n v="155"/>
    <x v="0"/>
    <n v="16266"/>
    <n v="12278"/>
    <m/>
    <m/>
    <n v="2414"/>
    <n v="2633"/>
    <n v="5328"/>
    <n v="4304"/>
    <n v="4265"/>
    <n v="3891"/>
    <n v="2029"/>
    <n v="1249"/>
    <n v="1830"/>
    <n v="601"/>
    <m/>
    <n v="1923"/>
    <n v="5893"/>
    <n v="5942"/>
    <n v="90"/>
    <n v="564"/>
    <n v="10"/>
    <n v="14122"/>
    <n v="1009"/>
    <n v="322"/>
    <m/>
    <n v="86"/>
    <n v="1"/>
    <n v="7"/>
    <n v="1"/>
    <n v="88"/>
    <n v="201"/>
    <n v="651"/>
    <m/>
    <n v="26178"/>
    <m/>
    <m/>
    <m/>
    <n v="7938"/>
    <n v="5539"/>
    <n v="680"/>
    <n v="8474"/>
    <n v="5913"/>
    <n v="822"/>
    <n v="100"/>
    <n v="534"/>
    <m/>
    <n v="1316"/>
    <n v="335"/>
    <n v="1632"/>
    <n v="884"/>
    <n v="6961"/>
    <n v="1177"/>
    <n v="27"/>
    <n v="2501"/>
    <n v="676"/>
    <n v="27"/>
    <n v="1543"/>
    <n v="2900"/>
    <n v="1561"/>
    <n v="5548"/>
    <m/>
    <m/>
    <n v="2058"/>
    <n v="128"/>
    <n v="118"/>
    <n v="12"/>
    <n v="532"/>
    <n v="31"/>
    <n v="60"/>
    <n v="220"/>
    <n v="21349"/>
    <n v="2715"/>
    <n v="140"/>
    <n v="904"/>
    <n v="121"/>
    <n v="146"/>
    <n v="10"/>
    <m/>
    <n v="28544"/>
    <n v="594"/>
    <n v="26558"/>
    <n v="1392"/>
    <n v="3521"/>
    <n v="3211"/>
    <m/>
    <m/>
    <n v="143"/>
    <n v="499"/>
    <n v="504"/>
    <n v="730"/>
    <n v="1102"/>
    <n v="959"/>
    <n v="979"/>
    <n v="1811"/>
    <n v="5"/>
    <m/>
    <m/>
    <n v="707"/>
    <n v="920"/>
    <n v="963"/>
    <n v="85"/>
    <m/>
    <n v="4044"/>
    <n v="13"/>
    <n v="333"/>
    <n v="144"/>
    <n v="244"/>
    <n v="675"/>
    <n v="222"/>
    <n v="59"/>
    <n v="163"/>
    <n v="3618"/>
    <n v="1241"/>
    <n v="33"/>
    <n v="0"/>
    <n v="0"/>
    <n v="0"/>
    <n v="0"/>
    <n v="0"/>
    <n v="1134"/>
    <n v="3704"/>
    <n v="137"/>
    <n v="1094"/>
    <n v="663"/>
    <n v="95"/>
    <n v="83"/>
    <n v="1201"/>
    <n v="3"/>
    <n v="757"/>
    <n v="266"/>
    <n v="343"/>
    <n v="659"/>
    <n v="1315"/>
    <n v="119"/>
    <n v="126"/>
    <n v="199"/>
    <n v="19"/>
    <n v="388"/>
    <n v="708"/>
    <n v="118"/>
    <n v="328"/>
    <n v="1"/>
    <n v="4"/>
    <m/>
    <n v="705"/>
    <n v="72"/>
    <n v="492"/>
    <n v="156"/>
    <n v="26"/>
    <n v="136"/>
    <n v="16"/>
    <n v="4542"/>
    <n v="115"/>
    <n v="43"/>
    <n v="341"/>
    <n v="54"/>
    <n v="22"/>
    <n v="8"/>
    <n v="4"/>
    <m/>
    <n v="6732"/>
    <n v="312"/>
    <n v="6146"/>
    <n v="274"/>
    <n v="2011"/>
  </r>
  <r>
    <n v="106010844"/>
    <s v="010844"/>
    <x v="4"/>
    <s v="2001 DWIGHT WAY"/>
    <s v="BERKELEY"/>
    <n v="94704"/>
    <x v="0"/>
    <x v="0"/>
    <x v="1"/>
    <x v="0"/>
    <s v="2a"/>
    <m/>
    <s v="05 - East Bay"/>
    <x v="0"/>
    <s v="General Acute Care"/>
    <s v="Non-Profit Corporation (incl. Church-related)"/>
    <s v="Psychiatric"/>
    <n v="42"/>
    <x v="1"/>
    <m/>
    <m/>
    <m/>
    <m/>
    <m/>
    <m/>
    <m/>
    <m/>
    <m/>
    <m/>
    <m/>
    <m/>
    <m/>
    <m/>
    <m/>
    <m/>
    <m/>
    <m/>
    <m/>
    <m/>
    <m/>
    <m/>
    <m/>
    <m/>
    <m/>
    <m/>
    <m/>
    <m/>
    <m/>
    <m/>
    <m/>
    <m/>
    <m/>
    <m/>
    <m/>
    <m/>
    <m/>
    <m/>
    <m/>
    <m/>
    <m/>
    <m/>
    <m/>
    <m/>
    <m/>
    <m/>
    <m/>
    <m/>
    <m/>
    <m/>
    <m/>
    <m/>
    <m/>
    <m/>
    <m/>
    <m/>
    <m/>
    <m/>
    <m/>
    <m/>
    <m/>
    <m/>
    <m/>
    <m/>
    <m/>
    <m/>
    <m/>
    <m/>
    <m/>
    <m/>
    <m/>
    <m/>
    <m/>
    <m/>
    <m/>
    <m/>
    <m/>
    <m/>
    <m/>
    <m/>
    <m/>
    <m/>
    <n v="6"/>
    <n v="3"/>
    <m/>
    <m/>
    <m/>
    <n v="1"/>
    <m/>
    <n v="2"/>
    <m/>
    <n v="2"/>
    <n v="1"/>
    <n v="3"/>
    <m/>
    <m/>
    <m/>
    <n v="2"/>
    <n v="1"/>
    <n v="2"/>
    <m/>
    <n v="1"/>
    <n v="3"/>
    <m/>
    <m/>
    <m/>
    <m/>
    <n v="2"/>
    <n v="1"/>
    <m/>
    <n v="1"/>
    <n v="1"/>
    <n v="4"/>
    <m/>
    <n v="0"/>
    <n v="0"/>
    <n v="0"/>
    <n v="0"/>
    <n v="0"/>
    <m/>
    <n v="9"/>
    <m/>
    <m/>
    <m/>
    <m/>
    <m/>
    <m/>
    <m/>
    <m/>
    <m/>
    <m/>
    <m/>
    <m/>
    <m/>
    <m/>
    <m/>
    <n v="4"/>
    <n v="5"/>
    <m/>
    <m/>
    <m/>
    <m/>
    <m/>
    <m/>
    <m/>
    <m/>
    <m/>
    <m/>
    <n v="1"/>
    <m/>
    <m/>
    <n v="8"/>
    <m/>
    <m/>
    <m/>
    <m/>
    <m/>
    <m/>
    <m/>
    <m/>
    <n v="9"/>
    <n v="1"/>
    <n v="8"/>
    <m/>
    <n v="2011"/>
  </r>
  <r>
    <n v="106010846"/>
    <s v="010846"/>
    <x v="5"/>
    <s v="1411 EAST 31ST STREET"/>
    <s v="OAKLAND"/>
    <n v="94602"/>
    <x v="2"/>
    <x v="1"/>
    <x v="0"/>
    <x v="0"/>
    <s v="2c"/>
    <m/>
    <s v="05 - East Bay"/>
    <x v="0"/>
    <s v="General Acute Care"/>
    <s v="City and/or County"/>
    <s v="General Medical / Surgical"/>
    <n v="236"/>
    <x v="0"/>
    <n v="33672"/>
    <n v="38202"/>
    <m/>
    <m/>
    <n v="608"/>
    <n v="2947"/>
    <n v="16230"/>
    <n v="13630"/>
    <n v="15068"/>
    <n v="15544"/>
    <n v="6144"/>
    <n v="1109"/>
    <n v="470"/>
    <n v="124"/>
    <m/>
    <n v="5390"/>
    <n v="30993"/>
    <n v="18994"/>
    <n v="242"/>
    <n v="5649"/>
    <n v="158"/>
    <n v="10448"/>
    <n v="1806"/>
    <n v="298"/>
    <m/>
    <n v="140"/>
    <n v="1"/>
    <m/>
    <n v="14"/>
    <n v="100"/>
    <n v="1003"/>
    <m/>
    <m/>
    <n v="68379"/>
    <n v="133"/>
    <m/>
    <m/>
    <n v="17622"/>
    <n v="4082"/>
    <n v="34789"/>
    <n v="1836"/>
    <n v="13545"/>
    <n v="1342"/>
    <n v="165"/>
    <n v="1797"/>
    <n v="20"/>
    <n v="4022"/>
    <n v="1351"/>
    <n v="3886"/>
    <n v="1865"/>
    <n v="9445"/>
    <n v="7875"/>
    <n v="239"/>
    <n v="3859"/>
    <n v="10459"/>
    <n v="5"/>
    <n v="2367"/>
    <n v="4728"/>
    <n v="3882"/>
    <n v="14567"/>
    <m/>
    <m/>
    <n v="2725"/>
    <n v="153"/>
    <n v="256"/>
    <n v="31"/>
    <n v="2244"/>
    <n v="77"/>
    <n v="279"/>
    <n v="357"/>
    <n v="58688"/>
    <n v="4390"/>
    <n v="322"/>
    <n v="1756"/>
    <n v="172"/>
    <n v="218"/>
    <n v="206"/>
    <m/>
    <n v="71874"/>
    <n v="3495"/>
    <n v="56976"/>
    <n v="11403"/>
    <n v="3667"/>
    <n v="4880"/>
    <m/>
    <m/>
    <n v="199"/>
    <n v="1072"/>
    <n v="1147"/>
    <n v="1602"/>
    <n v="2221"/>
    <n v="1415"/>
    <n v="463"/>
    <n v="427"/>
    <n v="1"/>
    <m/>
    <m/>
    <n v="1014"/>
    <n v="3563"/>
    <n v="1862"/>
    <n v="609"/>
    <n v="16"/>
    <n v="1436"/>
    <n v="47"/>
    <n v="251"/>
    <n v="158"/>
    <n v="184"/>
    <n v="98"/>
    <n v="398"/>
    <m/>
    <n v="115"/>
    <n v="6694"/>
    <n v="546"/>
    <n v="103"/>
    <n v="0"/>
    <n v="0"/>
    <n v="0"/>
    <n v="0"/>
    <n v="0"/>
    <n v="3695"/>
    <n v="1497"/>
    <n v="94"/>
    <n v="381"/>
    <n v="2880"/>
    <n v="99"/>
    <n v="106"/>
    <n v="1144"/>
    <n v="9"/>
    <n v="1227"/>
    <n v="471"/>
    <n v="377"/>
    <n v="406"/>
    <n v="1281"/>
    <n v="201"/>
    <n v="291"/>
    <n v="213"/>
    <n v="161"/>
    <n v="627"/>
    <n v="804"/>
    <n v="435"/>
    <n v="694"/>
    <m/>
    <n v="1"/>
    <m/>
    <n v="352"/>
    <n v="76"/>
    <n v="408"/>
    <n v="434"/>
    <n v="61"/>
    <n v="331"/>
    <n v="34"/>
    <n v="6299"/>
    <n v="118"/>
    <n v="44"/>
    <n v="293"/>
    <n v="63"/>
    <n v="14"/>
    <n v="13"/>
    <n v="7"/>
    <m/>
    <n v="8547"/>
    <n v="593"/>
    <n v="6759"/>
    <n v="1195"/>
    <n v="2011"/>
  </r>
  <r>
    <n v="106010856"/>
    <s v="010856"/>
    <x v="6"/>
    <s v="280 W. MACARTHUR BOULEVARD"/>
    <s v="OAKLAND"/>
    <n v="94611"/>
    <x v="0"/>
    <x v="1"/>
    <x v="1"/>
    <x v="0"/>
    <s v="2b"/>
    <m/>
    <s v="05 - East Bay"/>
    <x v="0"/>
    <s v="General Acute Care"/>
    <s v="Non-Profit Corporation (incl. Church-related)"/>
    <s v="General Medical / Surgical"/>
    <n v="341"/>
    <x v="0"/>
    <n v="42699"/>
    <n v="32935"/>
    <n v="7"/>
    <m/>
    <n v="6981"/>
    <n v="6771"/>
    <n v="11741"/>
    <n v="10099"/>
    <n v="10326"/>
    <n v="10585"/>
    <n v="7609"/>
    <n v="4878"/>
    <n v="5429"/>
    <n v="1221"/>
    <n v="1"/>
    <n v="6880"/>
    <n v="32468"/>
    <n v="13380"/>
    <n v="234"/>
    <n v="1875"/>
    <n v="1332"/>
    <n v="19472"/>
    <n v="495"/>
    <n v="1008"/>
    <n v="2"/>
    <n v="69"/>
    <n v="52"/>
    <n v="37"/>
    <n v="55"/>
    <n v="42"/>
    <n v="14"/>
    <n v="690"/>
    <n v="9"/>
    <n v="72706"/>
    <n v="166"/>
    <n v="275"/>
    <n v="21"/>
    <n v="10450"/>
    <n v="13944"/>
    <n v="312"/>
    <n v="40670"/>
    <n v="10265"/>
    <n v="1098"/>
    <n v="526"/>
    <n v="2185"/>
    <n v="12"/>
    <n v="3334"/>
    <n v="1499"/>
    <n v="3228"/>
    <n v="1435"/>
    <n v="17638"/>
    <n v="5402"/>
    <n v="99"/>
    <n v="3825"/>
    <n v="3477"/>
    <n v="65"/>
    <n v="2663"/>
    <n v="5949"/>
    <n v="2860"/>
    <n v="20341"/>
    <n v="1"/>
    <n v="4"/>
    <n v="5595"/>
    <n v="284"/>
    <n v="642"/>
    <n v="32"/>
    <n v="963"/>
    <n v="233"/>
    <n v="331"/>
    <n v="729"/>
    <n v="55431"/>
    <n v="7829"/>
    <n v="471"/>
    <n v="2409"/>
    <n v="151"/>
    <n v="482"/>
    <n v="59"/>
    <m/>
    <n v="75641"/>
    <n v="1674"/>
    <n v="69282"/>
    <n v="4685"/>
    <n v="4916"/>
    <n v="4207"/>
    <n v="1"/>
    <m/>
    <n v="281"/>
    <n v="390"/>
    <n v="509"/>
    <n v="787"/>
    <n v="1203"/>
    <n v="1618"/>
    <n v="1626"/>
    <n v="2414"/>
    <n v="96"/>
    <n v="200"/>
    <m/>
    <n v="1079"/>
    <n v="3567"/>
    <n v="1064"/>
    <n v="116"/>
    <n v="27"/>
    <n v="3247"/>
    <n v="24"/>
    <n v="314"/>
    <n v="74"/>
    <n v="332"/>
    <n v="754"/>
    <n v="168"/>
    <n v="11"/>
    <n v="107"/>
    <n v="6203"/>
    <n v="1161"/>
    <m/>
    <n v="0"/>
    <n v="0"/>
    <n v="0"/>
    <n v="0"/>
    <n v="0"/>
    <n v="484"/>
    <n v="4955"/>
    <n v="25"/>
    <n v="3426"/>
    <n v="234"/>
    <n v="102"/>
    <n v="154"/>
    <n v="1995"/>
    <n v="11"/>
    <n v="1392"/>
    <n v="438"/>
    <n v="439"/>
    <n v="1229"/>
    <n v="890"/>
    <n v="180"/>
    <n v="219"/>
    <n v="267"/>
    <n v="14"/>
    <n v="154"/>
    <n v="841"/>
    <n v="270"/>
    <n v="503"/>
    <n v="6"/>
    <n v="20"/>
    <m/>
    <n v="500"/>
    <n v="58"/>
    <n v="706"/>
    <n v="22"/>
    <n v="42"/>
    <n v="445"/>
    <n v="57"/>
    <n v="7037"/>
    <n v="151"/>
    <n v="17"/>
    <n v="24"/>
    <n v="29"/>
    <n v="25"/>
    <n v="9"/>
    <n v="2"/>
    <m/>
    <n v="9124"/>
    <n v="325"/>
    <n v="8383"/>
    <n v="416"/>
    <n v="2011"/>
  </r>
  <r>
    <n v="106010858"/>
    <s v="010858"/>
    <x v="7"/>
    <s v="27400 HESPERIAN BOULEVARD"/>
    <s v="HAYWARD"/>
    <n v="94545"/>
    <x v="0"/>
    <x v="0"/>
    <x v="2"/>
    <x v="1"/>
    <s v="2g"/>
    <m/>
    <s v="05 - East Bay"/>
    <x v="0"/>
    <s v="General Acute Care"/>
    <s v="Non-Profit Corporation (incl. Church-related)"/>
    <s v="General Medical / Surgical"/>
    <n v="213"/>
    <x v="0"/>
    <n v="36781"/>
    <n v="30419"/>
    <m/>
    <m/>
    <n v="8167"/>
    <n v="7795"/>
    <n v="8734"/>
    <n v="8138"/>
    <n v="8531"/>
    <n v="8195"/>
    <n v="5957"/>
    <n v="4823"/>
    <n v="5558"/>
    <n v="1301"/>
    <n v="1"/>
    <n v="13194"/>
    <n v="9770"/>
    <n v="17393"/>
    <n v="229"/>
    <n v="1582"/>
    <n v="2493"/>
    <n v="22539"/>
    <n v="453"/>
    <n v="559"/>
    <n v="2"/>
    <n v="81"/>
    <n v="140"/>
    <n v="80"/>
    <n v="69"/>
    <n v="28"/>
    <n v="30"/>
    <n v="774"/>
    <n v="115"/>
    <n v="64154"/>
    <n v="511"/>
    <n v="181"/>
    <n v="23"/>
    <n v="6323"/>
    <n v="13551"/>
    <n v="582"/>
    <n v="41905"/>
    <n v="4839"/>
    <n v="1021"/>
    <n v="310"/>
    <n v="2075"/>
    <n v="14"/>
    <n v="3886"/>
    <n v="1374"/>
    <n v="3542"/>
    <n v="1249"/>
    <n v="16725"/>
    <n v="3681"/>
    <n v="151"/>
    <n v="4048"/>
    <n v="1758"/>
    <n v="60"/>
    <n v="2314"/>
    <n v="5950"/>
    <n v="2643"/>
    <n v="16398"/>
    <m/>
    <n v="1"/>
    <n v="5264"/>
    <n v="252"/>
    <n v="830"/>
    <n v="36"/>
    <n v="524"/>
    <n v="48"/>
    <n v="305"/>
    <n v="718"/>
    <n v="48238"/>
    <n v="8120"/>
    <n v="299"/>
    <n v="1776"/>
    <n v="214"/>
    <n v="529"/>
    <n v="47"/>
    <m/>
    <n v="67200"/>
    <n v="1915"/>
    <n v="60612"/>
    <n v="4673"/>
    <n v="4680"/>
    <n v="4280"/>
    <m/>
    <m/>
    <n v="206"/>
    <n v="408"/>
    <n v="459"/>
    <n v="776"/>
    <n v="1232"/>
    <n v="1537"/>
    <n v="1789"/>
    <n v="2340"/>
    <n v="68"/>
    <n v="145"/>
    <m/>
    <n v="1691"/>
    <n v="980"/>
    <n v="1560"/>
    <n v="71"/>
    <n v="19"/>
    <n v="4604"/>
    <n v="35"/>
    <n v="459"/>
    <n v="66"/>
    <n v="309"/>
    <n v="1314"/>
    <n v="82"/>
    <n v="2"/>
    <n v="135"/>
    <n v="5035"/>
    <n v="1558"/>
    <m/>
    <n v="0"/>
    <n v="0"/>
    <n v="0"/>
    <n v="0"/>
    <n v="0"/>
    <n v="328"/>
    <n v="5120"/>
    <n v="19"/>
    <n v="3343"/>
    <n v="150"/>
    <n v="115"/>
    <n v="126"/>
    <n v="1717"/>
    <n v="5"/>
    <n v="1564"/>
    <n v="420"/>
    <n v="512"/>
    <n v="1481"/>
    <n v="797"/>
    <n v="114"/>
    <n v="176"/>
    <n v="137"/>
    <n v="18"/>
    <n v="89"/>
    <n v="1065"/>
    <n v="181"/>
    <n v="423"/>
    <n v="2"/>
    <n v="18"/>
    <m/>
    <n v="455"/>
    <n v="62"/>
    <n v="803"/>
    <n v="10"/>
    <n v="35"/>
    <n v="540"/>
    <n v="26"/>
    <n v="6776"/>
    <n v="155"/>
    <n v="9"/>
    <n v="21"/>
    <n v="46"/>
    <n v="15"/>
    <n v="5"/>
    <n v="1"/>
    <n v="1"/>
    <n v="8960"/>
    <n v="348"/>
    <n v="8251"/>
    <n v="361"/>
    <n v="2011"/>
  </r>
  <r>
    <n v="106010937"/>
    <s v="010937"/>
    <x v="8"/>
    <s v="350 HAWTHORNE AVENUE"/>
    <s v="OAKLAND"/>
    <n v="94609"/>
    <x v="0"/>
    <x v="0"/>
    <x v="0"/>
    <x v="0"/>
    <s v="2m"/>
    <m/>
    <s v="05 - East Bay"/>
    <x v="0"/>
    <s v="General Acute Care"/>
    <s v="Non-Profit Corporation (incl. Church-related)"/>
    <s v="General Medical / Surgical"/>
    <n v="337"/>
    <x v="0"/>
    <n v="20339"/>
    <n v="13900"/>
    <m/>
    <m/>
    <n v="254"/>
    <n v="1390"/>
    <n v="6439"/>
    <n v="5492"/>
    <n v="5853"/>
    <n v="6356"/>
    <n v="3803"/>
    <n v="2197"/>
    <n v="2415"/>
    <n v="40"/>
    <m/>
    <n v="2884"/>
    <n v="20530"/>
    <n v="2341"/>
    <n v="38"/>
    <n v="1546"/>
    <n v="263"/>
    <n v="6637"/>
    <n v="280"/>
    <n v="314"/>
    <n v="3"/>
    <n v="69"/>
    <n v="5"/>
    <m/>
    <n v="23"/>
    <n v="1"/>
    <m/>
    <n v="753"/>
    <n v="29"/>
    <n v="32251"/>
    <n v="313"/>
    <n v="198"/>
    <m/>
    <n v="11653"/>
    <n v="7281"/>
    <n v="1164"/>
    <n v="7325"/>
    <n v="6816"/>
    <n v="866"/>
    <n v="271"/>
    <n v="979"/>
    <n v="1"/>
    <n v="1833"/>
    <n v="578"/>
    <n v="2019"/>
    <n v="793"/>
    <n v="6544"/>
    <n v="2220"/>
    <n v="43"/>
    <n v="2646"/>
    <n v="1262"/>
    <n v="1"/>
    <n v="1885"/>
    <n v="2967"/>
    <n v="1525"/>
    <n v="7803"/>
    <n v="1"/>
    <n v="2"/>
    <n v="1989"/>
    <n v="106"/>
    <n v="218"/>
    <n v="18"/>
    <n v="650"/>
    <n v="35"/>
    <n v="227"/>
    <n v="248"/>
    <n v="26720"/>
    <n v="2680"/>
    <n v="139"/>
    <n v="1001"/>
    <n v="80"/>
    <n v="120"/>
    <n v="8"/>
    <m/>
    <n v="34239"/>
    <n v="1529"/>
    <n v="31903"/>
    <n v="807"/>
    <n v="4666"/>
    <n v="3916"/>
    <m/>
    <m/>
    <n v="32"/>
    <n v="261"/>
    <n v="468"/>
    <n v="795"/>
    <n v="1438"/>
    <n v="1614"/>
    <n v="1571"/>
    <n v="2403"/>
    <m/>
    <m/>
    <m/>
    <n v="1562"/>
    <n v="4094"/>
    <n v="513"/>
    <n v="204"/>
    <n v="53"/>
    <n v="2141"/>
    <n v="15"/>
    <n v="64"/>
    <n v="154"/>
    <n v="276"/>
    <n v="1447"/>
    <n v="193"/>
    <n v="16"/>
    <n v="75"/>
    <n v="4408"/>
    <n v="1948"/>
    <n v="1"/>
    <n v="0"/>
    <n v="0"/>
    <n v="0"/>
    <n v="0"/>
    <n v="0"/>
    <n v="1330"/>
    <n v="4578"/>
    <n v="128"/>
    <n v="2040"/>
    <n v="506"/>
    <n v="19"/>
    <n v="237"/>
    <n v="1777"/>
    <n v="4"/>
    <n v="1113"/>
    <n v="500"/>
    <n v="479"/>
    <n v="902"/>
    <n v="700"/>
    <n v="181"/>
    <n v="224"/>
    <n v="264"/>
    <n v="13"/>
    <n v="118"/>
    <n v="1043"/>
    <n v="220"/>
    <n v="788"/>
    <m/>
    <m/>
    <m/>
    <n v="383"/>
    <n v="114"/>
    <n v="853"/>
    <n v="16"/>
    <n v="43"/>
    <n v="449"/>
    <n v="21"/>
    <n v="6511"/>
    <n v="120"/>
    <n v="7"/>
    <n v="22"/>
    <n v="17"/>
    <n v="17"/>
    <n v="6"/>
    <n v="3"/>
    <m/>
    <n v="8582"/>
    <n v="1105"/>
    <n v="7229"/>
    <n v="248"/>
    <n v="2011"/>
  </r>
  <r>
    <n v="106010967"/>
    <s v="010967"/>
    <x v="9"/>
    <s v="27200 CALAROGA AVENUE"/>
    <s v="HAYWARD"/>
    <n v="94545"/>
    <x v="0"/>
    <x v="0"/>
    <x v="2"/>
    <x v="1"/>
    <s v="2g"/>
    <m/>
    <s v="05 - East Bay"/>
    <x v="0"/>
    <s v="General Acute Care"/>
    <s v="Non-Profit Corporation (incl. Church-related)"/>
    <s v="General Medical / Surgical"/>
    <n v="195"/>
    <x v="0"/>
    <n v="17033"/>
    <n v="12687"/>
    <n v="4"/>
    <m/>
    <n v="4234"/>
    <n v="3239"/>
    <n v="6114"/>
    <n v="4672"/>
    <n v="3870"/>
    <n v="3206"/>
    <n v="1730"/>
    <n v="973"/>
    <n v="759"/>
    <n v="927"/>
    <m/>
    <n v="2498"/>
    <n v="6127"/>
    <n v="9032"/>
    <n v="43"/>
    <n v="5773"/>
    <n v="55"/>
    <n v="6196"/>
    <n v="265"/>
    <n v="1243"/>
    <n v="112"/>
    <n v="59"/>
    <n v="10"/>
    <n v="3"/>
    <n v="1"/>
    <n v="37"/>
    <n v="292"/>
    <n v="556"/>
    <n v="5"/>
    <n v="26943"/>
    <n v="198"/>
    <m/>
    <m/>
    <n v="14398"/>
    <n v="3757"/>
    <n v="1192"/>
    <n v="3292"/>
    <n v="7085"/>
    <n v="1071"/>
    <n v="55"/>
    <n v="452"/>
    <n v="5"/>
    <n v="1351"/>
    <n v="384"/>
    <n v="1706"/>
    <n v="1003"/>
    <n v="5260"/>
    <n v="2303"/>
    <n v="40"/>
    <n v="1790"/>
    <n v="1396"/>
    <n v="71"/>
    <n v="1102"/>
    <n v="4123"/>
    <n v="1446"/>
    <n v="6165"/>
    <n v="1"/>
    <m/>
    <n v="1706"/>
    <n v="108"/>
    <n v="175"/>
    <n v="9"/>
    <n v="428"/>
    <n v="8"/>
    <n v="75"/>
    <n v="255"/>
    <n v="23251"/>
    <n v="2691"/>
    <n v="103"/>
    <n v="662"/>
    <n v="101"/>
    <n v="130"/>
    <n v="22"/>
    <m/>
    <n v="29724"/>
    <n v="1169"/>
    <n v="24469"/>
    <n v="4086"/>
    <n v="3306"/>
    <n v="2556"/>
    <m/>
    <m/>
    <n v="53"/>
    <n v="270"/>
    <n v="411"/>
    <n v="743"/>
    <n v="1046"/>
    <n v="1130"/>
    <n v="1045"/>
    <n v="1162"/>
    <n v="2"/>
    <m/>
    <m/>
    <n v="1149"/>
    <n v="929"/>
    <n v="1258"/>
    <n v="351"/>
    <n v="21"/>
    <n v="2148"/>
    <n v="6"/>
    <n v="143"/>
    <n v="145"/>
    <n v="177"/>
    <n v="309"/>
    <n v="97"/>
    <n v="1"/>
    <n v="196"/>
    <n v="3672"/>
    <n v="1118"/>
    <n v="4"/>
    <n v="0"/>
    <n v="0"/>
    <n v="0"/>
    <n v="0"/>
    <n v="0"/>
    <n v="1897"/>
    <n v="2756"/>
    <n v="21"/>
    <n v="584"/>
    <n v="604"/>
    <n v="87"/>
    <n v="85"/>
    <n v="1242"/>
    <n v="1"/>
    <n v="909"/>
    <n v="356"/>
    <n v="349"/>
    <n v="467"/>
    <n v="367"/>
    <n v="111"/>
    <n v="125"/>
    <n v="122"/>
    <n v="14"/>
    <n v="109"/>
    <n v="808"/>
    <n v="129"/>
    <n v="579"/>
    <n v="1"/>
    <n v="1"/>
    <m/>
    <n v="162"/>
    <n v="45"/>
    <n v="361"/>
    <n v="9"/>
    <n v="28"/>
    <n v="117"/>
    <n v="11"/>
    <n v="4970"/>
    <n v="78"/>
    <n v="4"/>
    <n v="5"/>
    <n v="20"/>
    <n v="44"/>
    <n v="6"/>
    <n v="2"/>
    <m/>
    <n v="5862"/>
    <n v="737"/>
    <n v="4582"/>
    <n v="543"/>
    <n v="2011"/>
  </r>
  <r>
    <n v="106010987"/>
    <s v="010987"/>
    <x v="10"/>
    <s v="2000 MOWRY AVENUE"/>
    <s v="FREMONT"/>
    <n v="94538"/>
    <x v="0"/>
    <x v="0"/>
    <x v="3"/>
    <x v="1"/>
    <s v="2l"/>
    <m/>
    <s v="05 - East Bay"/>
    <x v="0"/>
    <s v="General Acute Care"/>
    <s v="District"/>
    <s v="General Medical / Surgical"/>
    <n v="359"/>
    <x v="0"/>
    <n v="23725"/>
    <n v="18966"/>
    <m/>
    <m/>
    <n v="6205"/>
    <n v="4341"/>
    <n v="6626"/>
    <n v="6142"/>
    <n v="5717"/>
    <n v="4864"/>
    <n v="2914"/>
    <n v="2155"/>
    <n v="2395"/>
    <n v="1330"/>
    <n v="2"/>
    <n v="4742"/>
    <n v="4923"/>
    <n v="8055"/>
    <n v="53"/>
    <n v="7900"/>
    <n v="88"/>
    <n v="16930"/>
    <n v="213"/>
    <n v="365"/>
    <m/>
    <n v="75"/>
    <n v="90"/>
    <m/>
    <n v="1"/>
    <m/>
    <n v="276"/>
    <n v="625"/>
    <m/>
    <n v="40524"/>
    <n v="522"/>
    <m/>
    <m/>
    <n v="16461"/>
    <n v="7315"/>
    <n v="2181"/>
    <n v="10332"/>
    <n v="6402"/>
    <n v="1115"/>
    <n v="141"/>
    <n v="1025"/>
    <n v="3"/>
    <n v="2156"/>
    <n v="683"/>
    <n v="2059"/>
    <n v="1029"/>
    <n v="8543"/>
    <n v="2335"/>
    <n v="43"/>
    <n v="3086"/>
    <n v="1740"/>
    <n v="70"/>
    <n v="2377"/>
    <n v="4655"/>
    <n v="1752"/>
    <n v="9879"/>
    <m/>
    <m/>
    <n v="2920"/>
    <n v="216"/>
    <n v="237"/>
    <n v="10"/>
    <n v="440"/>
    <n v="77"/>
    <n v="19"/>
    <n v="343"/>
    <n v="33060"/>
    <n v="3835"/>
    <n v="171"/>
    <n v="956"/>
    <n v="154"/>
    <n v="242"/>
    <n v="10"/>
    <n v="1"/>
    <n v="42691"/>
    <n v="1317"/>
    <n v="39788"/>
    <n v="1586"/>
    <n v="3992"/>
    <n v="3520"/>
    <m/>
    <m/>
    <n v="123"/>
    <n v="270"/>
    <n v="405"/>
    <n v="578"/>
    <n v="1048"/>
    <n v="1156"/>
    <n v="1395"/>
    <n v="2308"/>
    <n v="99"/>
    <n v="130"/>
    <m/>
    <n v="2266"/>
    <n v="482"/>
    <n v="964"/>
    <n v="377"/>
    <m/>
    <n v="3411"/>
    <n v="12"/>
    <n v="110"/>
    <n v="77"/>
    <n v="324"/>
    <n v="968"/>
    <n v="110"/>
    <n v="2"/>
    <n v="184"/>
    <n v="4311"/>
    <n v="1425"/>
    <n v="1"/>
    <n v="0"/>
    <n v="0"/>
    <n v="0"/>
    <n v="0"/>
    <n v="0"/>
    <n v="1141"/>
    <n v="4508"/>
    <n v="38"/>
    <n v="1392"/>
    <n v="433"/>
    <n v="48"/>
    <n v="106"/>
    <n v="1602"/>
    <n v="6"/>
    <n v="1251"/>
    <n v="336"/>
    <n v="552"/>
    <n v="567"/>
    <n v="660"/>
    <n v="148"/>
    <n v="174"/>
    <n v="169"/>
    <n v="13"/>
    <n v="57"/>
    <n v="1111"/>
    <n v="215"/>
    <n v="472"/>
    <n v="1"/>
    <n v="24"/>
    <m/>
    <n v="426"/>
    <n v="63"/>
    <n v="568"/>
    <n v="4"/>
    <n v="45"/>
    <n v="144"/>
    <n v="10"/>
    <n v="6069"/>
    <n v="96"/>
    <n v="9"/>
    <n v="20"/>
    <n v="30"/>
    <n v="26"/>
    <n v="2"/>
    <m/>
    <m/>
    <n v="7512"/>
    <n v="672"/>
    <n v="6634"/>
    <n v="206"/>
    <n v="2011"/>
  </r>
  <r>
    <n v="106013619"/>
    <s v="013619"/>
    <x v="11"/>
    <s v="13855 EAST 14TH STREET"/>
    <s v="SAN LEANDRO"/>
    <n v="94578"/>
    <x v="0"/>
    <x v="0"/>
    <x v="2"/>
    <x v="1"/>
    <s v="2h"/>
    <m/>
    <s v="05 - East Bay"/>
    <x v="0"/>
    <s v="General Acute Care"/>
    <s v="Non-Profit Corporation (incl. Church-related)"/>
    <s v="General Medical / Surgical"/>
    <n v="93"/>
    <x v="0"/>
    <n v="13532"/>
    <n v="9435"/>
    <m/>
    <m/>
    <n v="890"/>
    <n v="1713"/>
    <n v="4867"/>
    <n v="3688"/>
    <n v="3861"/>
    <n v="3827"/>
    <n v="1827"/>
    <n v="1002"/>
    <n v="1141"/>
    <n v="151"/>
    <m/>
    <n v="1430"/>
    <n v="12211"/>
    <n v="3610"/>
    <n v="176"/>
    <n v="762"/>
    <n v="208"/>
    <n v="4570"/>
    <n v="211"/>
    <n v="773"/>
    <n v="24"/>
    <n v="61"/>
    <n v="18"/>
    <n v="7"/>
    <m/>
    <m/>
    <n v="8"/>
    <n v="718"/>
    <m/>
    <n v="20889"/>
    <n v="199"/>
    <n v="59"/>
    <m/>
    <n v="3297"/>
    <n v="4840"/>
    <n v="8391"/>
    <n v="2492"/>
    <n v="3947"/>
    <n v="516"/>
    <n v="106"/>
    <n v="477"/>
    <n v="4"/>
    <n v="1310"/>
    <n v="466"/>
    <n v="1262"/>
    <n v="427"/>
    <n v="4592"/>
    <n v="2015"/>
    <n v="36"/>
    <n v="1267"/>
    <n v="1138"/>
    <n v="5"/>
    <n v="1547"/>
    <n v="2501"/>
    <n v="1134"/>
    <n v="4164"/>
    <m/>
    <m/>
    <n v="1390"/>
    <n v="127"/>
    <n v="237"/>
    <n v="18"/>
    <n v="548"/>
    <n v="52"/>
    <n v="101"/>
    <n v="174"/>
    <n v="17690"/>
    <n v="1697"/>
    <n v="49"/>
    <n v="642"/>
    <n v="137"/>
    <n v="98"/>
    <n v="7"/>
    <m/>
    <n v="22967"/>
    <n v="280"/>
    <n v="21977"/>
    <n v="710"/>
    <n v="1745"/>
    <n v="1456"/>
    <m/>
    <m/>
    <n v="19"/>
    <n v="126"/>
    <n v="203"/>
    <n v="321"/>
    <n v="543"/>
    <n v="531"/>
    <n v="524"/>
    <n v="934"/>
    <m/>
    <m/>
    <m/>
    <n v="364"/>
    <n v="1266"/>
    <n v="418"/>
    <n v="44"/>
    <n v="16"/>
    <n v="1084"/>
    <n v="9"/>
    <n v="130"/>
    <n v="76"/>
    <n v="99"/>
    <n v="353"/>
    <n v="80"/>
    <n v="2"/>
    <n v="53"/>
    <n v="1742"/>
    <n v="665"/>
    <n v="1"/>
    <n v="0"/>
    <n v="0"/>
    <n v="0"/>
    <n v="0"/>
    <n v="0"/>
    <n v="648"/>
    <n v="2086"/>
    <n v="25"/>
    <n v="212"/>
    <n v="230"/>
    <n v="3"/>
    <n v="108"/>
    <n v="658"/>
    <n v="1"/>
    <n v="466"/>
    <n v="261"/>
    <n v="206"/>
    <n v="283"/>
    <n v="278"/>
    <n v="45"/>
    <n v="55"/>
    <n v="74"/>
    <n v="3"/>
    <n v="49"/>
    <n v="458"/>
    <n v="75"/>
    <n v="178"/>
    <m/>
    <m/>
    <m/>
    <n v="130"/>
    <n v="54"/>
    <n v="485"/>
    <n v="6"/>
    <n v="7"/>
    <n v="263"/>
    <n v="4"/>
    <n v="2165"/>
    <n v="39"/>
    <n v="2"/>
    <n v="5"/>
    <n v="9"/>
    <n v="31"/>
    <m/>
    <n v="1"/>
    <m/>
    <n v="3201"/>
    <n v="172"/>
    <n v="2890"/>
    <n v="139"/>
    <n v="2011"/>
  </r>
  <r>
    <n v="106014050"/>
    <s v="014050"/>
    <x v="12"/>
    <s v="5555 WEST LAS POSITAS BLVD."/>
    <s v="PLEASANTON"/>
    <n v="94588"/>
    <x v="0"/>
    <x v="0"/>
    <x v="2"/>
    <x v="1"/>
    <s v="2k"/>
    <m/>
    <s v="05 - East Bay"/>
    <x v="0"/>
    <s v="General Acute Care"/>
    <s v="Non-Profit Corporation (incl. Church-related)"/>
    <s v="General Medical / Surgical"/>
    <n v="167"/>
    <x v="0"/>
    <n v="13010"/>
    <n v="11205"/>
    <m/>
    <m/>
    <n v="3198"/>
    <n v="2814"/>
    <n v="3938"/>
    <n v="3388"/>
    <n v="3586"/>
    <n v="2543"/>
    <n v="1807"/>
    <n v="1114"/>
    <n v="1246"/>
    <n v="581"/>
    <m/>
    <n v="2499"/>
    <n v="1674"/>
    <n v="3898"/>
    <n v="69"/>
    <n v="1014"/>
    <n v="65"/>
    <n v="14996"/>
    <n v="433"/>
    <n v="185"/>
    <m/>
    <n v="52"/>
    <n v="2"/>
    <m/>
    <m/>
    <m/>
    <m/>
    <n v="585"/>
    <n v="1"/>
    <n v="22949"/>
    <n v="8"/>
    <m/>
    <m/>
    <n v="4574"/>
    <n v="3558"/>
    <n v="1659"/>
    <n v="11092"/>
    <n v="3332"/>
    <n v="649"/>
    <n v="51"/>
    <n v="554"/>
    <n v="1"/>
    <n v="1198"/>
    <n v="266"/>
    <n v="1300"/>
    <n v="521"/>
    <n v="6952"/>
    <n v="964"/>
    <n v="20"/>
    <n v="1498"/>
    <n v="1081"/>
    <n v="34"/>
    <n v="1101"/>
    <n v="2116"/>
    <n v="800"/>
    <n v="5109"/>
    <m/>
    <m/>
    <n v="2149"/>
    <n v="172"/>
    <n v="224"/>
    <n v="10"/>
    <n v="304"/>
    <n v="14"/>
    <n v="144"/>
    <n v="274"/>
    <n v="16360"/>
    <n v="3250"/>
    <n v="224"/>
    <n v="769"/>
    <n v="129"/>
    <n v="164"/>
    <n v="28"/>
    <m/>
    <n v="24215"/>
    <n v="578"/>
    <n v="22286"/>
    <n v="1351"/>
    <n v="2045"/>
    <n v="1717"/>
    <m/>
    <m/>
    <n v="60"/>
    <n v="154"/>
    <n v="191"/>
    <n v="410"/>
    <n v="516"/>
    <n v="609"/>
    <n v="690"/>
    <n v="1029"/>
    <n v="38"/>
    <n v="65"/>
    <m/>
    <n v="351"/>
    <n v="170"/>
    <n v="305"/>
    <n v="103"/>
    <n v="10"/>
    <n v="2815"/>
    <n v="8"/>
    <n v="145"/>
    <n v="35"/>
    <n v="184"/>
    <n v="394"/>
    <n v="54"/>
    <n v="47"/>
    <n v="46"/>
    <n v="2198"/>
    <n v="627"/>
    <n v="32"/>
    <n v="0"/>
    <n v="0"/>
    <n v="0"/>
    <n v="0"/>
    <n v="0"/>
    <n v="401"/>
    <n v="2025"/>
    <n v="153"/>
    <n v="1024"/>
    <n v="159"/>
    <n v="38"/>
    <n v="55"/>
    <n v="772"/>
    <m/>
    <n v="667"/>
    <n v="122"/>
    <n v="177"/>
    <n v="329"/>
    <n v="320"/>
    <n v="78"/>
    <n v="83"/>
    <n v="120"/>
    <n v="1"/>
    <n v="47"/>
    <n v="630"/>
    <n v="117"/>
    <n v="194"/>
    <m/>
    <n v="12"/>
    <m/>
    <n v="179"/>
    <n v="36"/>
    <n v="410"/>
    <n v="1"/>
    <n v="10"/>
    <n v="239"/>
    <n v="12"/>
    <n v="2755"/>
    <n v="53"/>
    <n v="12"/>
    <n v="13"/>
    <n v="22"/>
    <n v="10"/>
    <n v="8"/>
    <n v="2"/>
    <m/>
    <n v="3762"/>
    <n v="163"/>
    <n v="3479"/>
    <n v="120"/>
    <n v="2011"/>
  </r>
  <r>
    <n v="106034002"/>
    <s v="034002"/>
    <x v="13"/>
    <s v="200 MISSION BLVD"/>
    <s v="JACKSON"/>
    <n v="95642"/>
    <x v="0"/>
    <x v="0"/>
    <x v="4"/>
    <x v="2"/>
    <s v="4"/>
    <m/>
    <s v="06 - North San Joaquin"/>
    <x v="1"/>
    <s v="General Acute Care"/>
    <s v="Non-Profit Corporation (incl. Church-related)"/>
    <s v="General Medical / Surgical"/>
    <n v="52"/>
    <x v="0"/>
    <n v="8728"/>
    <n v="7181"/>
    <m/>
    <m/>
    <n v="1599"/>
    <n v="1637"/>
    <n v="2322"/>
    <n v="1929"/>
    <n v="2041"/>
    <n v="2223"/>
    <n v="1533"/>
    <n v="1117"/>
    <n v="1225"/>
    <n v="283"/>
    <m/>
    <n v="81"/>
    <n v="92"/>
    <n v="585"/>
    <n v="91"/>
    <n v="23"/>
    <n v="4"/>
    <n v="15033"/>
    <n v="612"/>
    <n v="73"/>
    <m/>
    <n v="30"/>
    <m/>
    <m/>
    <m/>
    <n v="10"/>
    <n v="184"/>
    <n v="51"/>
    <m/>
    <n v="14949"/>
    <m/>
    <m/>
    <m/>
    <n v="5094"/>
    <n v="3518"/>
    <n v="724"/>
    <n v="4575"/>
    <n v="1998"/>
    <n v="221"/>
    <n v="30"/>
    <n v="522"/>
    <n v="3"/>
    <n v="1150"/>
    <n v="337"/>
    <n v="1004"/>
    <n v="289"/>
    <n v="4287"/>
    <n v="807"/>
    <n v="29"/>
    <n v="1114"/>
    <n v="563"/>
    <n v="9"/>
    <n v="425"/>
    <n v="1938"/>
    <n v="875"/>
    <n v="2306"/>
    <m/>
    <m/>
    <n v="1373"/>
    <n v="171"/>
    <n v="95"/>
    <n v="16"/>
    <n v="75"/>
    <n v="2"/>
    <n v="57"/>
    <n v="428"/>
    <n v="10958"/>
    <n v="2116"/>
    <n v="64"/>
    <n v="384"/>
    <n v="42"/>
    <n v="107"/>
    <n v="21"/>
    <m/>
    <n v="15909"/>
    <n v="61"/>
    <n v="15663"/>
    <n v="185"/>
    <n v="837"/>
    <n v="690"/>
    <m/>
    <m/>
    <n v="19"/>
    <n v="48"/>
    <n v="58"/>
    <n v="112"/>
    <n v="277"/>
    <n v="242"/>
    <n v="314"/>
    <n v="449"/>
    <n v="1"/>
    <n v="7"/>
    <m/>
    <n v="2"/>
    <n v="7"/>
    <n v="26"/>
    <n v="4"/>
    <m/>
    <n v="1478"/>
    <n v="10"/>
    <n v="147"/>
    <n v="20"/>
    <n v="53"/>
    <n v="169"/>
    <n v="6"/>
    <n v="9"/>
    <n v="34"/>
    <n v="871"/>
    <n v="196"/>
    <n v="22"/>
    <n v="0"/>
    <n v="0"/>
    <n v="0"/>
    <n v="0"/>
    <n v="0"/>
    <n v="172"/>
    <n v="997"/>
    <n v="45"/>
    <n v="184"/>
    <n v="129"/>
    <n v="9"/>
    <n v="14"/>
    <n v="305"/>
    <m/>
    <n v="279"/>
    <n v="29"/>
    <n v="107"/>
    <n v="208"/>
    <n v="179"/>
    <n v="16"/>
    <n v="16"/>
    <n v="47"/>
    <m/>
    <n v="18"/>
    <n v="207"/>
    <n v="42"/>
    <n v="50"/>
    <m/>
    <n v="1"/>
    <m/>
    <n v="169"/>
    <n v="33"/>
    <n v="31"/>
    <n v="2"/>
    <m/>
    <n v="28"/>
    <n v="6"/>
    <n v="1215"/>
    <n v="11"/>
    <m/>
    <n v="5"/>
    <n v="13"/>
    <n v="12"/>
    <m/>
    <n v="2"/>
    <m/>
    <n v="1527"/>
    <m/>
    <n v="1524"/>
    <n v="3"/>
    <n v="2011"/>
  </r>
  <r>
    <n v="106040802"/>
    <s v="040802"/>
    <x v="14"/>
    <s v="240 SPRUCE STREET"/>
    <s v="GRIDLEY"/>
    <n v="95948"/>
    <x v="3"/>
    <x v="0"/>
    <x v="5"/>
    <x v="3"/>
    <s v="9"/>
    <m/>
    <s v="01 - Northern California"/>
    <x v="2"/>
    <s v="General Acute Care"/>
    <s v="Non-Profit Corporation (incl. Church-related)"/>
    <s v="General Medical / Surgical"/>
    <n v="24"/>
    <x v="2"/>
    <n v="3641"/>
    <n v="3090"/>
    <m/>
    <m/>
    <n v="1012"/>
    <n v="797"/>
    <n v="933"/>
    <n v="801"/>
    <n v="811"/>
    <n v="706"/>
    <n v="517"/>
    <n v="494"/>
    <n v="515"/>
    <n v="145"/>
    <m/>
    <n v="30"/>
    <n v="50"/>
    <n v="1602"/>
    <n v="54"/>
    <n v="127"/>
    <n v="1"/>
    <n v="4867"/>
    <m/>
    <m/>
    <m/>
    <m/>
    <m/>
    <m/>
    <m/>
    <n v="3"/>
    <m/>
    <m/>
    <m/>
    <n v="6727"/>
    <m/>
    <n v="1"/>
    <m/>
    <n v="2942"/>
    <n v="1806"/>
    <n v="190"/>
    <n v="1081"/>
    <n v="712"/>
    <n v="30"/>
    <n v="12"/>
    <n v="174"/>
    <n v="2"/>
    <n v="458"/>
    <n v="97"/>
    <n v="435"/>
    <n v="191"/>
    <n v="1903"/>
    <n v="421"/>
    <n v="16"/>
    <n v="473"/>
    <n v="91"/>
    <n v="2"/>
    <n v="184"/>
    <n v="839"/>
    <n v="315"/>
    <n v="1088"/>
    <m/>
    <m/>
    <n v="511"/>
    <n v="13"/>
    <n v="22"/>
    <n v="7"/>
    <n v="36"/>
    <m/>
    <n v="26"/>
    <n v="115"/>
    <n v="4881"/>
    <n v="910"/>
    <n v="37"/>
    <n v="118"/>
    <n v="13"/>
    <n v="36"/>
    <n v="6"/>
    <m/>
    <n v="6731"/>
    <n v="71"/>
    <n v="5517"/>
    <n v="1143"/>
    <n v="348"/>
    <n v="307"/>
    <m/>
    <m/>
    <n v="11"/>
    <n v="37"/>
    <n v="36"/>
    <n v="74"/>
    <n v="105"/>
    <n v="91"/>
    <n v="134"/>
    <n v="165"/>
    <m/>
    <n v="2"/>
    <m/>
    <n v="14"/>
    <n v="1"/>
    <n v="94"/>
    <m/>
    <m/>
    <n v="546"/>
    <m/>
    <n v="38"/>
    <n v="8"/>
    <n v="7"/>
    <n v="7"/>
    <n v="7"/>
    <m/>
    <n v="1"/>
    <n v="512"/>
    <n v="75"/>
    <m/>
    <n v="0"/>
    <n v="0"/>
    <n v="0"/>
    <n v="0"/>
    <n v="0"/>
    <n v="95"/>
    <n v="384"/>
    <n v="5"/>
    <n v="67"/>
    <n v="104"/>
    <n v="1"/>
    <n v="10"/>
    <n v="86"/>
    <m/>
    <n v="146"/>
    <n v="37"/>
    <n v="51"/>
    <n v="20"/>
    <n v="57"/>
    <n v="8"/>
    <n v="12"/>
    <n v="15"/>
    <m/>
    <n v="18"/>
    <n v="91"/>
    <n v="27"/>
    <n v="76"/>
    <m/>
    <m/>
    <m/>
    <n v="34"/>
    <n v="5"/>
    <n v="5"/>
    <m/>
    <m/>
    <n v="1"/>
    <n v="3"/>
    <n v="594"/>
    <n v="6"/>
    <m/>
    <n v="2"/>
    <n v="4"/>
    <n v="1"/>
    <m/>
    <m/>
    <m/>
    <n v="655"/>
    <n v="10"/>
    <n v="578"/>
    <n v="67"/>
    <n v="2011"/>
  </r>
  <r>
    <n v="106040875"/>
    <s v="040875"/>
    <x v="15"/>
    <s v="5974 PENTZ ROAD"/>
    <s v="PARADISE"/>
    <n v="95969"/>
    <x v="0"/>
    <x v="0"/>
    <x v="5"/>
    <x v="3"/>
    <s v="8"/>
    <m/>
    <s v="01 - Northern California"/>
    <x v="2"/>
    <s v="General Acute Care"/>
    <s v="Non-Profit Corporation (incl. Church-related)"/>
    <s v="General Medical / Surgical"/>
    <n v="100"/>
    <x v="0"/>
    <n v="9590"/>
    <n v="7230"/>
    <n v="3"/>
    <m/>
    <n v="1727"/>
    <n v="1531"/>
    <n v="2537"/>
    <n v="1879"/>
    <n v="2117"/>
    <n v="2266"/>
    <n v="1570"/>
    <n v="1234"/>
    <n v="1525"/>
    <n v="437"/>
    <m/>
    <n v="71"/>
    <n v="102"/>
    <n v="438"/>
    <m/>
    <n v="10"/>
    <n v="139"/>
    <n v="16063"/>
    <n v="269"/>
    <n v="254"/>
    <n v="217"/>
    <n v="31"/>
    <n v="9"/>
    <n v="34"/>
    <m/>
    <n v="3"/>
    <n v="130"/>
    <m/>
    <n v="3"/>
    <n v="15817"/>
    <n v="56"/>
    <m/>
    <m/>
    <n v="6703"/>
    <n v="4817"/>
    <n v="385"/>
    <n v="3282"/>
    <n v="1636"/>
    <n v="268"/>
    <n v="29"/>
    <n v="549"/>
    <n v="2"/>
    <n v="1025"/>
    <n v="203"/>
    <n v="871"/>
    <n v="309"/>
    <n v="3900"/>
    <n v="1106"/>
    <n v="17"/>
    <n v="1049"/>
    <n v="627"/>
    <n v="18"/>
    <n v="486"/>
    <n v="1658"/>
    <n v="864"/>
    <n v="3842"/>
    <m/>
    <m/>
    <n v="1351"/>
    <n v="93"/>
    <n v="160"/>
    <n v="12"/>
    <n v="139"/>
    <n v="8"/>
    <n v="26"/>
    <n v="223"/>
    <n v="12648"/>
    <n v="1573"/>
    <n v="99"/>
    <n v="357"/>
    <n v="60"/>
    <n v="70"/>
    <n v="4"/>
    <m/>
    <n v="16823"/>
    <n v="4"/>
    <n v="16794"/>
    <n v="25"/>
    <n v="1865"/>
    <n v="1571"/>
    <m/>
    <m/>
    <n v="46"/>
    <n v="143"/>
    <n v="143"/>
    <n v="285"/>
    <n v="498"/>
    <n v="590"/>
    <n v="653"/>
    <n v="1028"/>
    <n v="20"/>
    <n v="30"/>
    <m/>
    <n v="10"/>
    <n v="15"/>
    <n v="56"/>
    <m/>
    <n v="24"/>
    <n v="3331"/>
    <m/>
    <n v="139"/>
    <n v="76"/>
    <n v="67"/>
    <n v="432"/>
    <n v="48"/>
    <n v="1"/>
    <n v="9"/>
    <n v="2135"/>
    <n v="528"/>
    <n v="1"/>
    <n v="0"/>
    <n v="0"/>
    <n v="0"/>
    <n v="0"/>
    <n v="0"/>
    <n v="477"/>
    <n v="2163"/>
    <n v="54"/>
    <n v="511"/>
    <n v="231"/>
    <n v="19"/>
    <n v="37"/>
    <n v="690"/>
    <m/>
    <n v="572"/>
    <n v="112"/>
    <n v="153"/>
    <n v="329"/>
    <n v="407"/>
    <n v="76"/>
    <n v="96"/>
    <n v="56"/>
    <n v="2"/>
    <n v="39"/>
    <n v="437"/>
    <n v="82"/>
    <n v="329"/>
    <m/>
    <m/>
    <m/>
    <n v="249"/>
    <n v="66"/>
    <n v="268"/>
    <n v="2"/>
    <n v="1"/>
    <n v="11"/>
    <n v="18"/>
    <n v="2720"/>
    <n v="38"/>
    <n v="5"/>
    <n v="11"/>
    <n v="28"/>
    <n v="9"/>
    <n v="7"/>
    <n v="3"/>
    <m/>
    <n v="3436"/>
    <n v="2"/>
    <n v="3431"/>
    <n v="3"/>
    <n v="2011"/>
  </r>
  <r>
    <n v="106040937"/>
    <s v="040937"/>
    <x v="16"/>
    <s v="2767 OLIVE HIGHWAY"/>
    <s v="OROVILLE"/>
    <n v="95966"/>
    <x v="4"/>
    <x v="0"/>
    <x v="5"/>
    <x v="3"/>
    <s v="10"/>
    <m/>
    <s v="01 - Northern California"/>
    <x v="2"/>
    <s v="General Acute Care"/>
    <s v="Non-Profit Corporation (incl. Church-related)"/>
    <s v="General Medical / Surgical"/>
    <n v="133"/>
    <x v="0"/>
    <n v="14340"/>
    <n v="11984"/>
    <m/>
    <m/>
    <n v="2784"/>
    <n v="2682"/>
    <n v="5083"/>
    <n v="3879"/>
    <n v="4123"/>
    <n v="3617"/>
    <n v="1733"/>
    <n v="942"/>
    <n v="855"/>
    <n v="626"/>
    <m/>
    <n v="662"/>
    <n v="970"/>
    <n v="1758"/>
    <n v="684"/>
    <n v="324"/>
    <n v="4"/>
    <n v="21922"/>
    <n v="236"/>
    <n v="711"/>
    <m/>
    <n v="43"/>
    <n v="4"/>
    <m/>
    <m/>
    <m/>
    <m/>
    <n v="316"/>
    <n v="14"/>
    <n v="24956"/>
    <n v="44"/>
    <m/>
    <m/>
    <n v="13901"/>
    <n v="4862"/>
    <n v="1042"/>
    <n v="3667"/>
    <n v="2852"/>
    <n v="529"/>
    <n v="41"/>
    <n v="462"/>
    <n v="7"/>
    <n v="1474"/>
    <n v="333"/>
    <n v="1355"/>
    <n v="461"/>
    <n v="6065"/>
    <n v="1772"/>
    <n v="25"/>
    <n v="3042"/>
    <n v="628"/>
    <n v="34"/>
    <n v="1134"/>
    <n v="2678"/>
    <n v="1603"/>
    <n v="4681"/>
    <m/>
    <m/>
    <n v="1961"/>
    <n v="124"/>
    <n v="208"/>
    <n v="55"/>
    <n v="362"/>
    <n v="19"/>
    <n v="318"/>
    <n v="430"/>
    <n v="18934"/>
    <n v="2815"/>
    <n v="200"/>
    <n v="577"/>
    <n v="117"/>
    <n v="158"/>
    <n v="46"/>
    <m/>
    <n v="26324"/>
    <n v="340"/>
    <n v="25553"/>
    <n v="431"/>
    <n v="4303"/>
    <n v="3506"/>
    <m/>
    <m/>
    <n v="186"/>
    <n v="557"/>
    <n v="563"/>
    <n v="1080"/>
    <n v="1520"/>
    <n v="1280"/>
    <n v="1149"/>
    <n v="1293"/>
    <n v="51"/>
    <n v="130"/>
    <m/>
    <n v="203"/>
    <n v="226"/>
    <n v="386"/>
    <n v="76"/>
    <n v="5"/>
    <n v="6739"/>
    <n v="174"/>
    <n v="199"/>
    <n v="250"/>
    <n v="99"/>
    <n v="228"/>
    <n v="65"/>
    <n v="1"/>
    <n v="18"/>
    <n v="5938"/>
    <n v="989"/>
    <n v="22"/>
    <n v="0"/>
    <n v="0"/>
    <n v="0"/>
    <n v="0"/>
    <n v="0"/>
    <n v="2060"/>
    <n v="3822"/>
    <n v="134"/>
    <n v="888"/>
    <n v="905"/>
    <n v="77"/>
    <n v="88"/>
    <n v="1103"/>
    <n v="3"/>
    <n v="1130"/>
    <n v="460"/>
    <n v="419"/>
    <n v="732"/>
    <n v="753"/>
    <n v="199"/>
    <n v="92"/>
    <n v="265"/>
    <n v="10"/>
    <n v="122"/>
    <n v="1174"/>
    <n v="366"/>
    <n v="812"/>
    <m/>
    <n v="4"/>
    <m/>
    <n v="314"/>
    <n v="156"/>
    <n v="506"/>
    <n v="19"/>
    <n v="65"/>
    <n v="264"/>
    <n v="27"/>
    <n v="6145"/>
    <n v="129"/>
    <n v="18"/>
    <n v="41"/>
    <n v="76"/>
    <n v="11"/>
    <n v="30"/>
    <n v="8"/>
    <m/>
    <n v="7809"/>
    <n v="151"/>
    <n v="7539"/>
    <n v="119"/>
    <n v="2011"/>
  </r>
  <r>
    <n v="106040962"/>
    <s v="040962"/>
    <x v="17"/>
    <s v="1531 ESPLANADE"/>
    <s v="CHICO"/>
    <n v="95926"/>
    <x v="2"/>
    <x v="0"/>
    <x v="5"/>
    <x v="3"/>
    <s v="7.1"/>
    <m/>
    <s v="01 - Northern California"/>
    <x v="2"/>
    <s v="General Acute Care"/>
    <s v="Non-Profit Corporation (incl. Church-related)"/>
    <s v="General Medical / Surgical"/>
    <n v="208"/>
    <x v="0"/>
    <n v="15771"/>
    <n v="13997"/>
    <n v="2"/>
    <m/>
    <n v="2845"/>
    <n v="3218"/>
    <n v="6498"/>
    <n v="3594"/>
    <n v="3719"/>
    <n v="3432"/>
    <n v="2259"/>
    <n v="1423"/>
    <n v="2034"/>
    <n v="748"/>
    <m/>
    <n v="427"/>
    <n v="1044"/>
    <n v="4088"/>
    <n v="339"/>
    <n v="1300"/>
    <n v="86"/>
    <n v="22486"/>
    <n v="148"/>
    <n v="428"/>
    <m/>
    <n v="76"/>
    <m/>
    <n v="1"/>
    <n v="2"/>
    <m/>
    <n v="683"/>
    <n v="410"/>
    <n v="1"/>
    <n v="27751"/>
    <n v="270"/>
    <m/>
    <m/>
    <n v="9100"/>
    <n v="6207"/>
    <n v="2763"/>
    <n v="8198"/>
    <n v="3502"/>
    <n v="483"/>
    <n v="72"/>
    <n v="844"/>
    <n v="17"/>
    <n v="1709"/>
    <n v="414"/>
    <n v="1475"/>
    <n v="490"/>
    <n v="7109"/>
    <n v="1516"/>
    <n v="43"/>
    <n v="1595"/>
    <n v="1073"/>
    <n v="43"/>
    <n v="1613"/>
    <n v="2528"/>
    <n v="999"/>
    <n v="7747"/>
    <m/>
    <m/>
    <n v="2133"/>
    <n v="189"/>
    <n v="284"/>
    <n v="22"/>
    <n v="572"/>
    <n v="51"/>
    <n v="24"/>
    <n v="274"/>
    <n v="22149"/>
    <n v="2644"/>
    <n v="316"/>
    <n v="846"/>
    <n v="111"/>
    <n v="133"/>
    <n v="22"/>
    <m/>
    <n v="29770"/>
    <n v="421"/>
    <n v="27862"/>
    <n v="1487"/>
    <n v="4624"/>
    <n v="4289"/>
    <m/>
    <m/>
    <n v="205"/>
    <n v="596"/>
    <n v="533"/>
    <n v="795"/>
    <n v="1402"/>
    <n v="1530"/>
    <n v="1388"/>
    <n v="2273"/>
    <n v="62"/>
    <n v="129"/>
    <m/>
    <n v="105"/>
    <n v="165"/>
    <n v="727"/>
    <n v="246"/>
    <n v="12"/>
    <n v="7576"/>
    <n v="82"/>
    <n v="119"/>
    <n v="132"/>
    <n v="319"/>
    <n v="1013"/>
    <n v="383"/>
    <n v="44"/>
    <n v="10"/>
    <n v="5480"/>
    <n v="1410"/>
    <n v="3"/>
    <n v="0"/>
    <n v="0"/>
    <n v="0"/>
    <n v="0"/>
    <n v="0"/>
    <n v="1400"/>
    <n v="4968"/>
    <n v="113"/>
    <n v="1694"/>
    <n v="738"/>
    <n v="71"/>
    <n v="106"/>
    <n v="1553"/>
    <n v="2"/>
    <n v="1276"/>
    <n v="354"/>
    <n v="556"/>
    <n v="695"/>
    <n v="1366"/>
    <n v="223"/>
    <n v="215"/>
    <n v="270"/>
    <n v="2"/>
    <n v="158"/>
    <n v="1306"/>
    <n v="307"/>
    <n v="443"/>
    <m/>
    <n v="10"/>
    <m/>
    <n v="606"/>
    <n v="116"/>
    <n v="677"/>
    <n v="91"/>
    <n v="31"/>
    <n v="30"/>
    <n v="32"/>
    <n v="6817"/>
    <n v="124"/>
    <n v="46"/>
    <n v="247"/>
    <n v="71"/>
    <n v="8"/>
    <n v="13"/>
    <n v="4"/>
    <m/>
    <n v="8913"/>
    <n v="89"/>
    <n v="8445"/>
    <n v="379"/>
    <n v="2011"/>
  </r>
  <r>
    <n v="106050932"/>
    <s v="050932"/>
    <x v="18"/>
    <s v="768 MOUNTAIN RANCH ROAD"/>
    <s v="SAN ANDREAS"/>
    <n v="95249"/>
    <x v="0"/>
    <x v="0"/>
    <x v="6"/>
    <x v="2"/>
    <s v="12"/>
    <m/>
    <s v="06 - North San Joaquin"/>
    <x v="3"/>
    <s v="General Acute Care"/>
    <s v="Non-Profit Corporation (incl. Church-related)"/>
    <s v="General Medical / Surgical"/>
    <n v="48"/>
    <x v="0"/>
    <n v="4297"/>
    <n v="3925"/>
    <m/>
    <m/>
    <n v="697"/>
    <n v="1118"/>
    <n v="1086"/>
    <n v="887"/>
    <n v="1034"/>
    <n v="1226"/>
    <n v="860"/>
    <n v="620"/>
    <n v="596"/>
    <n v="98"/>
    <m/>
    <n v="60"/>
    <n v="96"/>
    <n v="577"/>
    <n v="21"/>
    <n v="31"/>
    <n v="61"/>
    <n v="7376"/>
    <n v="339"/>
    <n v="270"/>
    <n v="14"/>
    <n v="21"/>
    <n v="7"/>
    <n v="1"/>
    <n v="2"/>
    <n v="2"/>
    <m/>
    <n v="38"/>
    <n v="2"/>
    <n v="7493"/>
    <n v="23"/>
    <m/>
    <n v="10"/>
    <n v="2137"/>
    <n v="2066"/>
    <n v="774"/>
    <n v="2159"/>
    <n v="1086"/>
    <n v="33"/>
    <n v="15"/>
    <n v="288"/>
    <n v="3"/>
    <n v="533"/>
    <n v="218"/>
    <n v="432"/>
    <n v="134"/>
    <n v="2503"/>
    <n v="437"/>
    <n v="29"/>
    <n v="541"/>
    <n v="327"/>
    <n v="10"/>
    <n v="439"/>
    <n v="792"/>
    <n v="397"/>
    <n v="1091"/>
    <m/>
    <m/>
    <n v="764"/>
    <n v="70"/>
    <n v="80"/>
    <n v="5"/>
    <n v="80"/>
    <n v="44"/>
    <n v="59"/>
    <n v="138"/>
    <n v="5478"/>
    <n v="1057"/>
    <n v="38"/>
    <n v="282"/>
    <n v="48"/>
    <n v="55"/>
    <n v="24"/>
    <m/>
    <n v="8222"/>
    <n v="6"/>
    <n v="8115"/>
    <n v="101"/>
    <n v="620"/>
    <n v="519"/>
    <m/>
    <m/>
    <n v="16"/>
    <n v="38"/>
    <n v="36"/>
    <n v="103"/>
    <n v="200"/>
    <n v="199"/>
    <n v="218"/>
    <n v="328"/>
    <m/>
    <n v="1"/>
    <m/>
    <n v="8"/>
    <n v="10"/>
    <n v="33"/>
    <n v="5"/>
    <n v="7"/>
    <n v="1072"/>
    <n v="4"/>
    <n v="66"/>
    <n v="15"/>
    <n v="39"/>
    <n v="133"/>
    <n v="20"/>
    <m/>
    <n v="1"/>
    <n v="665"/>
    <n v="198"/>
    <n v="2"/>
    <n v="0"/>
    <n v="0"/>
    <n v="0"/>
    <n v="0"/>
    <n v="0"/>
    <n v="141"/>
    <n v="722"/>
    <n v="18"/>
    <n v="150"/>
    <n v="108"/>
    <n v="1"/>
    <n v="20"/>
    <n v="221"/>
    <m/>
    <n v="159"/>
    <n v="62"/>
    <n v="56"/>
    <n v="95"/>
    <n v="173"/>
    <n v="12"/>
    <n v="27"/>
    <n v="23"/>
    <n v="1"/>
    <n v="9"/>
    <n v="177"/>
    <n v="38"/>
    <n v="65"/>
    <m/>
    <m/>
    <m/>
    <n v="107"/>
    <n v="33"/>
    <n v="98"/>
    <n v="4"/>
    <n v="5"/>
    <n v="43"/>
    <n v="13"/>
    <n v="758"/>
    <n v="24"/>
    <n v="2"/>
    <n v="9"/>
    <n v="28"/>
    <n v="8"/>
    <n v="7"/>
    <m/>
    <m/>
    <n v="1139"/>
    <m/>
    <n v="1130"/>
    <n v="9"/>
    <n v="2011"/>
  </r>
  <r>
    <n v="106060870"/>
    <s v="060870"/>
    <x v="19"/>
    <s v="199 EAST WEBSTER STREET"/>
    <s v="COLUSA"/>
    <n v="95932"/>
    <x v="3"/>
    <x v="0"/>
    <x v="7"/>
    <x v="3"/>
    <s v="15"/>
    <m/>
    <s v="01 - Northern California"/>
    <x v="4"/>
    <s v="General Acute Care"/>
    <s v="Non-Profit Corporation (incl. Church-related)"/>
    <s v="General Medical / Surgical"/>
    <n v="42"/>
    <x v="2"/>
    <n v="2609"/>
    <n v="2414"/>
    <m/>
    <m/>
    <n v="772"/>
    <n v="686"/>
    <n v="681"/>
    <n v="599"/>
    <n v="549"/>
    <n v="461"/>
    <n v="392"/>
    <n v="289"/>
    <n v="380"/>
    <n v="214"/>
    <m/>
    <n v="39"/>
    <n v="77"/>
    <n v="2068"/>
    <n v="91"/>
    <n v="51"/>
    <n v="9"/>
    <n v="2688"/>
    <n v="180"/>
    <n v="36"/>
    <m/>
    <n v="9"/>
    <n v="6"/>
    <m/>
    <m/>
    <m/>
    <n v="63"/>
    <n v="22"/>
    <m/>
    <n v="4668"/>
    <n v="39"/>
    <m/>
    <m/>
    <n v="1749"/>
    <n v="1037"/>
    <n v="332"/>
    <n v="1515"/>
    <n v="390"/>
    <n v="150"/>
    <n v="9"/>
    <n v="103"/>
    <m/>
    <n v="211"/>
    <n v="69"/>
    <n v="182"/>
    <n v="67"/>
    <n v="1168"/>
    <n v="509"/>
    <n v="10"/>
    <n v="332"/>
    <n v="123"/>
    <n v="3"/>
    <n v="111"/>
    <n v="405"/>
    <n v="168"/>
    <n v="1403"/>
    <m/>
    <m/>
    <n v="333"/>
    <n v="10"/>
    <n v="25"/>
    <n v="4"/>
    <n v="47"/>
    <n v="10"/>
    <n v="48"/>
    <n v="88"/>
    <n v="3577"/>
    <n v="661"/>
    <n v="28"/>
    <n v="140"/>
    <n v="11"/>
    <n v="37"/>
    <n v="4"/>
    <m/>
    <n v="5023"/>
    <n v="18"/>
    <n v="3731"/>
    <n v="1274"/>
    <n v="330"/>
    <n v="282"/>
    <m/>
    <m/>
    <n v="20"/>
    <n v="34"/>
    <n v="61"/>
    <n v="69"/>
    <n v="94"/>
    <n v="85"/>
    <n v="100"/>
    <n v="127"/>
    <n v="7"/>
    <n v="15"/>
    <m/>
    <n v="4"/>
    <n v="6"/>
    <n v="169"/>
    <n v="25"/>
    <m/>
    <n v="407"/>
    <n v="1"/>
    <n v="32"/>
    <n v="16"/>
    <n v="15"/>
    <n v="29"/>
    <m/>
    <n v="2"/>
    <m/>
    <n v="429"/>
    <n v="89"/>
    <m/>
    <n v="0"/>
    <n v="0"/>
    <n v="0"/>
    <n v="0"/>
    <n v="0"/>
    <n v="121"/>
    <n v="306"/>
    <n v="3"/>
    <n v="97"/>
    <n v="85"/>
    <n v="13"/>
    <n v="7"/>
    <n v="92"/>
    <m/>
    <n v="148"/>
    <n v="41"/>
    <n v="51"/>
    <n v="32"/>
    <n v="22"/>
    <n v="6"/>
    <n v="7"/>
    <n v="45"/>
    <m/>
    <n v="17"/>
    <n v="98"/>
    <n v="12"/>
    <n v="19"/>
    <m/>
    <n v="2"/>
    <m/>
    <n v="14"/>
    <n v="7"/>
    <n v="14"/>
    <n v="1"/>
    <m/>
    <n v="8"/>
    <n v="4"/>
    <n v="549"/>
    <n v="6"/>
    <m/>
    <n v="3"/>
    <n v="2"/>
    <m/>
    <n v="4"/>
    <m/>
    <m/>
    <n v="612"/>
    <n v="8"/>
    <n v="498"/>
    <n v="106"/>
    <n v="2011"/>
  </r>
  <r>
    <n v="106070904"/>
    <s v="070904"/>
    <x v="20"/>
    <s v="2000 VALE ROAD"/>
    <s v="SAN PABLO"/>
    <n v="94806"/>
    <x v="0"/>
    <x v="0"/>
    <x v="1"/>
    <x v="0"/>
    <s v="18f"/>
    <m/>
    <s v="05 - East Bay"/>
    <x v="5"/>
    <s v="General Acute Care"/>
    <s v="District"/>
    <s v="General Medical / Surgical"/>
    <n v="189"/>
    <x v="0"/>
    <n v="19799"/>
    <n v="14178"/>
    <m/>
    <m/>
    <n v="3925"/>
    <n v="3463"/>
    <n v="5981"/>
    <n v="5082"/>
    <n v="4839"/>
    <n v="4474"/>
    <n v="2613"/>
    <n v="1529"/>
    <n v="1401"/>
    <n v="670"/>
    <m/>
    <n v="2321"/>
    <n v="13002"/>
    <n v="9592"/>
    <n v="34"/>
    <n v="998"/>
    <n v="32"/>
    <n v="7998"/>
    <n v="531"/>
    <n v="687"/>
    <n v="93"/>
    <n v="76"/>
    <n v="1"/>
    <n v="16"/>
    <m/>
    <n v="6"/>
    <m/>
    <n v="126"/>
    <m/>
    <n v="32207"/>
    <n v="234"/>
    <m/>
    <m/>
    <n v="4856"/>
    <n v="5635"/>
    <n v="801"/>
    <n v="14247"/>
    <n v="8438"/>
    <n v="834"/>
    <n v="261"/>
    <n v="713"/>
    <n v="7"/>
    <n v="2251"/>
    <n v="846"/>
    <n v="2109"/>
    <n v="1059"/>
    <n v="6721"/>
    <n v="3002"/>
    <n v="56"/>
    <n v="2171"/>
    <n v="856"/>
    <n v="17"/>
    <n v="1365"/>
    <n v="3832"/>
    <n v="2002"/>
    <n v="5874"/>
    <m/>
    <n v="1"/>
    <n v="2200"/>
    <n v="140"/>
    <n v="305"/>
    <n v="20"/>
    <n v="611"/>
    <n v="60"/>
    <n v="122"/>
    <n v="307"/>
    <n v="26191"/>
    <n v="2745"/>
    <n v="123"/>
    <n v="893"/>
    <n v="95"/>
    <n v="139"/>
    <n v="26"/>
    <m/>
    <n v="33977"/>
    <n v="531"/>
    <n v="29448"/>
    <n v="3998"/>
    <n v="2791"/>
    <n v="2497"/>
    <m/>
    <m/>
    <n v="15"/>
    <n v="162"/>
    <n v="257"/>
    <n v="593"/>
    <n v="1084"/>
    <n v="971"/>
    <n v="899"/>
    <n v="1307"/>
    <m/>
    <m/>
    <m/>
    <n v="618"/>
    <n v="1941"/>
    <n v="736"/>
    <n v="121"/>
    <n v="10"/>
    <n v="1858"/>
    <n v="4"/>
    <n v="108"/>
    <n v="136"/>
    <n v="214"/>
    <n v="339"/>
    <n v="51"/>
    <m/>
    <n v="104"/>
    <n v="3338"/>
    <n v="923"/>
    <n v="75"/>
    <n v="0"/>
    <n v="0"/>
    <n v="0"/>
    <n v="0"/>
    <n v="0"/>
    <n v="1009"/>
    <n v="2970"/>
    <n v="116"/>
    <n v="491"/>
    <n v="702"/>
    <n v="4"/>
    <n v="76"/>
    <n v="1287"/>
    <m/>
    <n v="670"/>
    <n v="265"/>
    <n v="271"/>
    <n v="298"/>
    <n v="473"/>
    <n v="94"/>
    <n v="93"/>
    <n v="83"/>
    <n v="5"/>
    <n v="55"/>
    <n v="953"/>
    <n v="122"/>
    <n v="539"/>
    <m/>
    <m/>
    <m/>
    <n v="242"/>
    <n v="98"/>
    <n v="706"/>
    <n v="9"/>
    <n v="26"/>
    <n v="282"/>
    <n v="21"/>
    <n v="3751"/>
    <n v="58"/>
    <n v="4"/>
    <n v="12"/>
    <n v="39"/>
    <n v="36"/>
    <n v="2"/>
    <n v="2"/>
    <m/>
    <n v="5288"/>
    <n v="144"/>
    <n v="4748"/>
    <n v="396"/>
    <n v="2011"/>
  </r>
  <r>
    <n v="106070924"/>
    <s v="070924"/>
    <x v="21"/>
    <s v="2500 ALHAMBRA AVENUE"/>
    <s v="MARTINEZ"/>
    <n v="94553"/>
    <x v="0"/>
    <x v="0"/>
    <x v="8"/>
    <x v="4"/>
    <s v="18a"/>
    <m/>
    <s v="05 - East Bay"/>
    <x v="5"/>
    <s v="General Acute Care"/>
    <s v="City and/or County"/>
    <s v="General Medical / Surgical"/>
    <n v="123"/>
    <x v="0"/>
    <n v="27066"/>
    <n v="22941"/>
    <m/>
    <m/>
    <n v="3883"/>
    <n v="3721"/>
    <n v="10149"/>
    <n v="8353"/>
    <n v="8835"/>
    <n v="8325"/>
    <n v="3719"/>
    <n v="1264"/>
    <n v="566"/>
    <n v="1192"/>
    <m/>
    <n v="3299"/>
    <n v="6901"/>
    <n v="16405"/>
    <n v="148"/>
    <n v="2635"/>
    <n v="77"/>
    <n v="20542"/>
    <n v="503"/>
    <n v="283"/>
    <m/>
    <n v="13"/>
    <m/>
    <m/>
    <n v="2"/>
    <m/>
    <m/>
    <n v="1232"/>
    <m/>
    <n v="47827"/>
    <n v="143"/>
    <n v="4"/>
    <m/>
    <n v="19119"/>
    <n v="3779"/>
    <n v="13714"/>
    <n v="6125"/>
    <n v="7270"/>
    <n v="1537"/>
    <n v="122"/>
    <n v="973"/>
    <n v="13"/>
    <n v="3176"/>
    <n v="740"/>
    <n v="3125"/>
    <n v="1167"/>
    <n v="7775"/>
    <n v="4447"/>
    <n v="154"/>
    <n v="3398"/>
    <n v="2663"/>
    <n v="40"/>
    <n v="1374"/>
    <n v="5970"/>
    <n v="3190"/>
    <n v="10143"/>
    <m/>
    <m/>
    <n v="360"/>
    <n v="20"/>
    <n v="29"/>
    <n v="8"/>
    <n v="182"/>
    <n v="64"/>
    <n v="62"/>
    <n v="204"/>
    <n v="47993"/>
    <n v="539"/>
    <n v="29"/>
    <n v="343"/>
    <n v="25"/>
    <n v="34"/>
    <n v="115"/>
    <m/>
    <n v="50007"/>
    <n v="1514"/>
    <n v="39021"/>
    <n v="9472"/>
    <n v="2599"/>
    <n v="2558"/>
    <m/>
    <m/>
    <n v="101"/>
    <n v="660"/>
    <n v="701"/>
    <n v="974"/>
    <n v="1263"/>
    <n v="797"/>
    <n v="394"/>
    <n v="264"/>
    <n v="3"/>
    <m/>
    <m/>
    <n v="522"/>
    <n v="827"/>
    <n v="1279"/>
    <n v="93"/>
    <n v="10"/>
    <n v="2420"/>
    <n v="6"/>
    <n v="177"/>
    <n v="155"/>
    <n v="68"/>
    <n v="67"/>
    <n v="96"/>
    <n v="20"/>
    <n v="131"/>
    <n v="4209"/>
    <n v="222"/>
    <n v="12"/>
    <n v="0"/>
    <n v="0"/>
    <n v="0"/>
    <n v="0"/>
    <n v="0"/>
    <n v="1687"/>
    <n v="1143"/>
    <n v="151"/>
    <n v="487"/>
    <n v="1689"/>
    <n v="101"/>
    <n v="91"/>
    <n v="642"/>
    <n v="5"/>
    <n v="866"/>
    <n v="295"/>
    <n v="335"/>
    <n v="203"/>
    <n v="346"/>
    <n v="106"/>
    <n v="127"/>
    <n v="146"/>
    <n v="2"/>
    <n v="829"/>
    <n v="414"/>
    <n v="283"/>
    <n v="363"/>
    <n v="2"/>
    <n v="1"/>
    <m/>
    <n v="153"/>
    <n v="91"/>
    <n v="360"/>
    <n v="17"/>
    <n v="32"/>
    <n v="206"/>
    <n v="40"/>
    <n v="4089"/>
    <n v="67"/>
    <n v="5"/>
    <n v="11"/>
    <n v="69"/>
    <n v="5"/>
    <n v="11"/>
    <n v="1"/>
    <m/>
    <n v="5157"/>
    <n v="241"/>
    <n v="4203"/>
    <n v="713"/>
    <n v="2011"/>
  </r>
  <r>
    <n v="106070934"/>
    <s v="070934"/>
    <x v="22"/>
    <s v="3901 LONE TREE WAY"/>
    <s v="ANTIOCH"/>
    <n v="94509"/>
    <x v="0"/>
    <x v="0"/>
    <x v="8"/>
    <x v="4"/>
    <s v="18e"/>
    <m/>
    <s v="05 - East Bay"/>
    <x v="5"/>
    <s v="General Acute Care"/>
    <s v="Non-Profit Corporation (incl. Church-related)"/>
    <s v="General Medical / Surgical"/>
    <n v="145"/>
    <x v="0"/>
    <n v="27267"/>
    <n v="19448"/>
    <n v="1"/>
    <m/>
    <n v="7916"/>
    <n v="6324"/>
    <n v="8713"/>
    <n v="6276"/>
    <n v="6161"/>
    <n v="4605"/>
    <n v="2336"/>
    <n v="1358"/>
    <n v="1340"/>
    <n v="1687"/>
    <m/>
    <n v="1990"/>
    <n v="12611"/>
    <n v="13304"/>
    <n v="37"/>
    <n v="576"/>
    <n v="51"/>
    <n v="18147"/>
    <n v="573"/>
    <n v="1159"/>
    <m/>
    <n v="70"/>
    <m/>
    <m/>
    <m/>
    <n v="32"/>
    <n v="38"/>
    <n v="240"/>
    <m/>
    <n v="44604"/>
    <m/>
    <m/>
    <m/>
    <n v="22543"/>
    <n v="5976"/>
    <n v="1050"/>
    <n v="8820"/>
    <n v="8327"/>
    <n v="1807"/>
    <n v="123"/>
    <n v="647"/>
    <n v="8"/>
    <n v="1707"/>
    <n v="508"/>
    <n v="2538"/>
    <n v="855"/>
    <n v="9441"/>
    <n v="3087"/>
    <n v="24"/>
    <n v="2770"/>
    <n v="1244"/>
    <n v="59"/>
    <n v="1140"/>
    <n v="6451"/>
    <n v="2244"/>
    <n v="12063"/>
    <m/>
    <m/>
    <n v="2738"/>
    <n v="176"/>
    <n v="144"/>
    <n v="33"/>
    <n v="693"/>
    <n v="54"/>
    <n v="14"/>
    <n v="519"/>
    <n v="36161"/>
    <n v="4414"/>
    <n v="197"/>
    <n v="1094"/>
    <n v="120"/>
    <n v="295"/>
    <n v="63"/>
    <n v="1"/>
    <n v="46716"/>
    <n v="262"/>
    <n v="42535"/>
    <n v="3919"/>
    <n v="3504"/>
    <n v="2891"/>
    <m/>
    <m/>
    <n v="159"/>
    <n v="344"/>
    <n v="424"/>
    <n v="798"/>
    <n v="1105"/>
    <n v="978"/>
    <n v="999"/>
    <n v="1401"/>
    <n v="75"/>
    <n v="112"/>
    <m/>
    <n v="337"/>
    <n v="1191"/>
    <n v="1246"/>
    <n v="90"/>
    <n v="3"/>
    <n v="3522"/>
    <n v="6"/>
    <n v="232"/>
    <n v="152"/>
    <n v="190"/>
    <n v="876"/>
    <n v="24"/>
    <n v="25"/>
    <n v="49"/>
    <n v="4052"/>
    <n v="794"/>
    <n v="1"/>
    <n v="0"/>
    <n v="0"/>
    <n v="0"/>
    <n v="0"/>
    <n v="0"/>
    <n v="1406"/>
    <n v="3449"/>
    <n v="55"/>
    <n v="918"/>
    <n v="567"/>
    <n v="107"/>
    <n v="81"/>
    <n v="1338"/>
    <n v="4"/>
    <n v="1011"/>
    <n v="317"/>
    <n v="434"/>
    <n v="559"/>
    <n v="545"/>
    <n v="105"/>
    <n v="118"/>
    <n v="138"/>
    <m/>
    <n v="93"/>
    <n v="1060"/>
    <n v="143"/>
    <n v="330"/>
    <m/>
    <n v="12"/>
    <m/>
    <n v="287"/>
    <n v="92"/>
    <n v="732"/>
    <n v="14"/>
    <n v="8"/>
    <n v="27"/>
    <n v="17"/>
    <n v="5063"/>
    <n v="75"/>
    <n v="9"/>
    <n v="16"/>
    <n v="44"/>
    <n v="8"/>
    <n v="1"/>
    <n v="2"/>
    <m/>
    <n v="6395"/>
    <n v="108"/>
    <n v="5895"/>
    <n v="392"/>
    <n v="2011"/>
  </r>
  <r>
    <n v="106070988"/>
    <s v="070988"/>
    <x v="23"/>
    <s v="1601 YGNACIO VALLEY ROAD"/>
    <s v="WALNUT CREEK"/>
    <n v="94598"/>
    <x v="2"/>
    <x v="0"/>
    <x v="9"/>
    <x v="4"/>
    <s v="18j"/>
    <m/>
    <s v="05 - East Bay"/>
    <x v="5"/>
    <s v="General Acute Care"/>
    <s v="Non-Profit Corporation (incl. Church-related)"/>
    <s v="General Medical / Surgical"/>
    <n v="330"/>
    <x v="0"/>
    <n v="19558"/>
    <n v="15340"/>
    <m/>
    <m/>
    <n v="3564"/>
    <n v="3656"/>
    <n v="4185"/>
    <n v="3802"/>
    <n v="4648"/>
    <n v="4083"/>
    <n v="3249"/>
    <n v="2636"/>
    <n v="4401"/>
    <n v="674"/>
    <m/>
    <n v="2057"/>
    <n v="1612"/>
    <n v="2295"/>
    <n v="41"/>
    <n v="2947"/>
    <n v="337"/>
    <n v="25609"/>
    <n v="162"/>
    <n v="170"/>
    <n v="55"/>
    <n v="79"/>
    <n v="22"/>
    <n v="37"/>
    <n v="2"/>
    <n v="5"/>
    <m/>
    <n v="240"/>
    <m/>
    <n v="33778"/>
    <n v="319"/>
    <n v="29"/>
    <m/>
    <n v="836"/>
    <n v="8131"/>
    <n v="2652"/>
    <n v="20962"/>
    <n v="2317"/>
    <n v="529"/>
    <n v="108"/>
    <n v="1010"/>
    <n v="4"/>
    <n v="1315"/>
    <n v="372"/>
    <n v="1650"/>
    <n v="551"/>
    <n v="9937"/>
    <n v="2243"/>
    <n v="20"/>
    <n v="1622"/>
    <n v="578"/>
    <n v="27"/>
    <n v="1000"/>
    <n v="2424"/>
    <n v="1252"/>
    <n v="10256"/>
    <m/>
    <m/>
    <n v="3803"/>
    <n v="97"/>
    <n v="299"/>
    <n v="8"/>
    <n v="260"/>
    <n v="2"/>
    <n v="223"/>
    <n v="456"/>
    <n v="24142"/>
    <n v="4054"/>
    <n v="321"/>
    <n v="958"/>
    <n v="81"/>
    <n v="189"/>
    <n v="5"/>
    <m/>
    <n v="34898"/>
    <n v="591"/>
    <n v="33661"/>
    <n v="646"/>
    <n v="5330"/>
    <n v="4688"/>
    <m/>
    <m/>
    <n v="324"/>
    <n v="561"/>
    <n v="492"/>
    <n v="851"/>
    <n v="1130"/>
    <n v="1296"/>
    <n v="1648"/>
    <n v="3406"/>
    <n v="72"/>
    <n v="238"/>
    <m/>
    <n v="566"/>
    <n v="483"/>
    <n v="408"/>
    <n v="456"/>
    <n v="122"/>
    <n v="7979"/>
    <n v="4"/>
    <n v="329"/>
    <n v="76"/>
    <n v="394"/>
    <n v="1613"/>
    <n v="323"/>
    <n v="41"/>
    <n v="171"/>
    <n v="5325"/>
    <n v="1737"/>
    <n v="9"/>
    <n v="0"/>
    <n v="0"/>
    <n v="0"/>
    <n v="0"/>
    <n v="0"/>
    <n v="586"/>
    <n v="5875"/>
    <n v="190"/>
    <n v="2916"/>
    <n v="451"/>
    <n v="110"/>
    <n v="121"/>
    <n v="1564"/>
    <n v="12"/>
    <n v="1440"/>
    <n v="332"/>
    <n v="551"/>
    <n v="658"/>
    <n v="2312"/>
    <n v="277"/>
    <n v="300"/>
    <n v="280"/>
    <n v="14"/>
    <n v="114"/>
    <n v="1135"/>
    <n v="266"/>
    <n v="507"/>
    <m/>
    <n v="25"/>
    <m/>
    <n v="906"/>
    <n v="61"/>
    <n v="861"/>
    <n v="208"/>
    <n v="19"/>
    <n v="564"/>
    <n v="27"/>
    <n v="6595"/>
    <n v="191"/>
    <n v="81"/>
    <n v="402"/>
    <n v="60"/>
    <n v="40"/>
    <n v="2"/>
    <n v="1"/>
    <m/>
    <n v="10018"/>
    <n v="170"/>
    <n v="9708"/>
    <n v="140"/>
    <n v="2011"/>
  </r>
  <r>
    <n v="106070990"/>
    <s v="070990"/>
    <x v="24"/>
    <s v="1425 SOUTH MAIN STREET"/>
    <s v="WALNUT CREEK"/>
    <n v="94596"/>
    <x v="0"/>
    <x v="0"/>
    <x v="9"/>
    <x v="4"/>
    <s v="18j"/>
    <m/>
    <s v="05 - East Bay"/>
    <x v="5"/>
    <s v="General Acute Care"/>
    <s v="Non-Profit Corporation (incl. Church-related)"/>
    <s v="General Medical / Surgical"/>
    <n v="233"/>
    <x v="0"/>
    <n v="23356"/>
    <n v="19425"/>
    <n v="2"/>
    <m/>
    <n v="3868"/>
    <n v="4358"/>
    <n v="4631"/>
    <n v="4251"/>
    <n v="5047"/>
    <n v="5528"/>
    <n v="4765"/>
    <n v="4238"/>
    <n v="5429"/>
    <n v="668"/>
    <m/>
    <n v="4530"/>
    <n v="2158"/>
    <n v="4934"/>
    <n v="137"/>
    <n v="846"/>
    <n v="928"/>
    <n v="29250"/>
    <n v="314"/>
    <n v="430"/>
    <n v="4"/>
    <n v="78"/>
    <n v="73"/>
    <n v="77"/>
    <n v="19"/>
    <m/>
    <n v="8"/>
    <n v="298"/>
    <n v="11"/>
    <n v="41048"/>
    <n v="330"/>
    <n v="92"/>
    <n v="1"/>
    <n v="1393"/>
    <n v="11646"/>
    <n v="98"/>
    <n v="27672"/>
    <n v="1974"/>
    <n v="570"/>
    <n v="248"/>
    <n v="1741"/>
    <n v="16"/>
    <n v="2448"/>
    <n v="725"/>
    <n v="2250"/>
    <n v="648"/>
    <n v="10816"/>
    <n v="2436"/>
    <n v="91"/>
    <n v="2372"/>
    <n v="930"/>
    <n v="29"/>
    <n v="1507"/>
    <n v="3164"/>
    <n v="1240"/>
    <n v="11552"/>
    <m/>
    <m/>
    <n v="3946"/>
    <n v="178"/>
    <n v="607"/>
    <n v="27"/>
    <n v="196"/>
    <n v="26"/>
    <n v="162"/>
    <n v="441"/>
    <n v="30492"/>
    <n v="5027"/>
    <n v="288"/>
    <n v="1016"/>
    <n v="90"/>
    <n v="240"/>
    <n v="47"/>
    <m/>
    <n v="42783"/>
    <n v="566"/>
    <n v="41024"/>
    <n v="1193"/>
    <n v="4162"/>
    <n v="3557"/>
    <m/>
    <m/>
    <n v="137"/>
    <n v="211"/>
    <n v="257"/>
    <n v="522"/>
    <n v="885"/>
    <n v="1306"/>
    <n v="1642"/>
    <n v="2568"/>
    <n v="59"/>
    <n v="132"/>
    <m/>
    <n v="629"/>
    <n v="289"/>
    <n v="503"/>
    <n v="65"/>
    <n v="20"/>
    <n v="6191"/>
    <n v="22"/>
    <n v="152"/>
    <n v="74"/>
    <n v="315"/>
    <n v="921"/>
    <n v="76"/>
    <n v="24"/>
    <n v="168"/>
    <n v="4706"/>
    <n v="1283"/>
    <m/>
    <n v="0"/>
    <n v="0"/>
    <n v="0"/>
    <n v="0"/>
    <n v="0"/>
    <n v="89"/>
    <n v="4932"/>
    <n v="5"/>
    <n v="2602"/>
    <n v="91"/>
    <n v="37"/>
    <n v="105"/>
    <n v="1520"/>
    <n v="2"/>
    <n v="1231"/>
    <n v="272"/>
    <n v="416"/>
    <n v="1509"/>
    <n v="706"/>
    <n v="118"/>
    <n v="209"/>
    <n v="145"/>
    <n v="12"/>
    <n v="143"/>
    <n v="713"/>
    <n v="196"/>
    <n v="367"/>
    <m/>
    <n v="18"/>
    <m/>
    <n v="533"/>
    <n v="27"/>
    <n v="926"/>
    <n v="10"/>
    <n v="20"/>
    <n v="380"/>
    <n v="39"/>
    <n v="5588"/>
    <n v="102"/>
    <n v="11"/>
    <n v="18"/>
    <n v="26"/>
    <n v="18"/>
    <n v="19"/>
    <n v="2"/>
    <m/>
    <n v="7719"/>
    <n v="104"/>
    <n v="7522"/>
    <n v="93"/>
    <n v="2011"/>
  </r>
  <r>
    <n v="106071018"/>
    <s v="071018"/>
    <x v="25"/>
    <s v="2540 EAST STREET"/>
    <s v="CONCORD"/>
    <n v="94520"/>
    <x v="0"/>
    <x v="0"/>
    <x v="8"/>
    <x v="4"/>
    <s v="18c"/>
    <m/>
    <s v="05 - East Bay"/>
    <x v="5"/>
    <s v="General Acute Care"/>
    <s v="Non-Profit Corporation (incl. Church-related)"/>
    <s v="General Medical / Surgical"/>
    <n v="313"/>
    <x v="0"/>
    <n v="22959"/>
    <n v="17383"/>
    <n v="1"/>
    <m/>
    <n v="5093"/>
    <n v="4201"/>
    <n v="6342"/>
    <n v="5366"/>
    <n v="5756"/>
    <n v="5227"/>
    <n v="3099"/>
    <n v="2218"/>
    <n v="2063"/>
    <n v="978"/>
    <m/>
    <n v="1385"/>
    <n v="4868"/>
    <n v="9567"/>
    <n v="67"/>
    <n v="5784"/>
    <n v="393"/>
    <n v="18279"/>
    <n v="703"/>
    <n v="333"/>
    <m/>
    <n v="73"/>
    <n v="51"/>
    <n v="3"/>
    <n v="3"/>
    <n v="2"/>
    <n v="127"/>
    <n v="523"/>
    <m/>
    <n v="37961"/>
    <n v="403"/>
    <n v="161"/>
    <m/>
    <n v="13187"/>
    <n v="8209"/>
    <n v="1776"/>
    <n v="10631"/>
    <n v="6540"/>
    <n v="831"/>
    <n v="127"/>
    <n v="993"/>
    <n v="1"/>
    <n v="2014"/>
    <n v="529"/>
    <n v="2175"/>
    <n v="1020"/>
    <n v="8323"/>
    <n v="2625"/>
    <n v="65"/>
    <n v="2505"/>
    <n v="1035"/>
    <n v="22"/>
    <n v="1649"/>
    <n v="4478"/>
    <n v="1938"/>
    <n v="10013"/>
    <m/>
    <m/>
    <n v="2605"/>
    <n v="176"/>
    <n v="273"/>
    <n v="13"/>
    <n v="496"/>
    <n v="166"/>
    <n v="29"/>
    <n v="361"/>
    <n v="31370"/>
    <n v="3528"/>
    <n v="178"/>
    <n v="806"/>
    <n v="91"/>
    <n v="249"/>
    <n v="2"/>
    <m/>
    <n v="40343"/>
    <n v="526"/>
    <n v="35440"/>
    <n v="4377"/>
    <n v="3463"/>
    <n v="2995"/>
    <m/>
    <m/>
    <n v="50"/>
    <n v="220"/>
    <n v="335"/>
    <n v="684"/>
    <n v="1151"/>
    <n v="1214"/>
    <n v="1228"/>
    <n v="1572"/>
    <m/>
    <n v="4"/>
    <m/>
    <n v="382"/>
    <n v="647"/>
    <n v="723"/>
    <n v="575"/>
    <m/>
    <n v="4126"/>
    <n v="5"/>
    <n v="141"/>
    <n v="110"/>
    <n v="271"/>
    <n v="964"/>
    <n v="140"/>
    <n v="21"/>
    <n v="59"/>
    <n v="3714"/>
    <n v="1034"/>
    <n v="4"/>
    <n v="0"/>
    <n v="0"/>
    <n v="0"/>
    <n v="0"/>
    <n v="0"/>
    <n v="781"/>
    <n v="3921"/>
    <n v="24"/>
    <n v="1357"/>
    <n v="375"/>
    <n v="23"/>
    <n v="105"/>
    <n v="1380"/>
    <n v="2"/>
    <n v="1059"/>
    <n v="369"/>
    <n v="397"/>
    <n v="534"/>
    <n v="649"/>
    <n v="146"/>
    <n v="166"/>
    <n v="138"/>
    <n v="7"/>
    <n v="107"/>
    <n v="878"/>
    <n v="177"/>
    <n v="321"/>
    <m/>
    <m/>
    <m/>
    <n v="298"/>
    <n v="89"/>
    <n v="953"/>
    <n v="2"/>
    <n v="28"/>
    <n v="295"/>
    <n v="13"/>
    <n v="4614"/>
    <n v="89"/>
    <n v="5"/>
    <n v="9"/>
    <n v="44"/>
    <n v="16"/>
    <n v="2"/>
    <n v="1"/>
    <m/>
    <n v="6458"/>
    <n v="198"/>
    <n v="5914"/>
    <n v="346"/>
    <n v="2011"/>
  </r>
  <r>
    <n v="106074017"/>
    <s v="074017"/>
    <x v="26"/>
    <s v="6001 NORRIS CANYON ROAD"/>
    <s v="SAN RAMON"/>
    <n v="94583"/>
    <x v="0"/>
    <x v="0"/>
    <x v="9"/>
    <x v="4"/>
    <s v="18h"/>
    <m/>
    <s v="05 - East Bay"/>
    <x v="5"/>
    <s v="General Acute Care"/>
    <s v="Investor - Corporation"/>
    <s v="General Medical / Surgical"/>
    <n v="123"/>
    <x v="0"/>
    <n v="7419"/>
    <n v="6298"/>
    <m/>
    <m/>
    <n v="1586"/>
    <n v="1721"/>
    <n v="1419"/>
    <n v="1673"/>
    <n v="2087"/>
    <n v="1799"/>
    <n v="1321"/>
    <n v="859"/>
    <n v="1060"/>
    <n v="192"/>
    <m/>
    <n v="1187"/>
    <n v="552"/>
    <n v="605"/>
    <n v="8"/>
    <n v="1551"/>
    <n v="95"/>
    <n v="9719"/>
    <n v="128"/>
    <n v="194"/>
    <m/>
    <n v="27"/>
    <n v="49"/>
    <n v="3"/>
    <m/>
    <m/>
    <m/>
    <n v="67"/>
    <n v="1"/>
    <n v="13214"/>
    <n v="34"/>
    <m/>
    <m/>
    <n v="281"/>
    <n v="2544"/>
    <n v="507"/>
    <n v="9434"/>
    <n v="951"/>
    <n v="173"/>
    <n v="38"/>
    <n v="410"/>
    <n v="5"/>
    <n v="654"/>
    <n v="196"/>
    <n v="890"/>
    <n v="241"/>
    <n v="4595"/>
    <n v="641"/>
    <n v="15"/>
    <n v="875"/>
    <n v="204"/>
    <n v="15"/>
    <n v="356"/>
    <n v="983"/>
    <n v="485"/>
    <n v="2941"/>
    <m/>
    <m/>
    <n v="1514"/>
    <n v="72"/>
    <n v="133"/>
    <n v="6"/>
    <n v="66"/>
    <n v="9"/>
    <n v="111"/>
    <n v="188"/>
    <n v="8793"/>
    <n v="2296"/>
    <n v="130"/>
    <n v="271"/>
    <n v="32"/>
    <n v="91"/>
    <n v="5"/>
    <m/>
    <n v="13717"/>
    <n v="138"/>
    <n v="13498"/>
    <n v="81"/>
    <n v="1517"/>
    <n v="1333"/>
    <m/>
    <m/>
    <n v="60"/>
    <n v="121"/>
    <n v="161"/>
    <n v="314"/>
    <n v="395"/>
    <n v="394"/>
    <n v="459"/>
    <n v="895"/>
    <n v="15"/>
    <n v="36"/>
    <m/>
    <n v="200"/>
    <n v="90"/>
    <n v="102"/>
    <n v="196"/>
    <n v="7"/>
    <n v="2255"/>
    <m/>
    <n v="79"/>
    <n v="22"/>
    <n v="75"/>
    <n v="443"/>
    <n v="34"/>
    <n v="13"/>
    <n v="37"/>
    <n v="1768"/>
    <n v="379"/>
    <m/>
    <n v="0"/>
    <n v="0"/>
    <n v="0"/>
    <n v="0"/>
    <n v="0"/>
    <n v="137"/>
    <n v="1281"/>
    <n v="38"/>
    <n v="1375"/>
    <n v="19"/>
    <n v="11"/>
    <n v="40"/>
    <n v="483"/>
    <n v="1"/>
    <n v="529"/>
    <n v="93"/>
    <n v="202"/>
    <n v="173"/>
    <n v="276"/>
    <n v="79"/>
    <n v="65"/>
    <n v="58"/>
    <n v="1"/>
    <n v="53"/>
    <n v="438"/>
    <n v="93"/>
    <n v="254"/>
    <m/>
    <n v="1"/>
    <m/>
    <n v="166"/>
    <n v="17"/>
    <n v="355"/>
    <n v="1"/>
    <n v="4"/>
    <n v="185"/>
    <n v="8"/>
    <n v="2060"/>
    <n v="27"/>
    <n v="2"/>
    <n v="4"/>
    <n v="17"/>
    <n v="4"/>
    <m/>
    <m/>
    <m/>
    <n v="2850"/>
    <n v="47"/>
    <n v="2793"/>
    <n v="10"/>
    <n v="2011"/>
  </r>
  <r>
    <n v="106074097"/>
    <s v="074097"/>
    <x v="27"/>
    <s v="4501 SAND CREEK ROAD"/>
    <s v="ANTIOCH"/>
    <n v="94531"/>
    <x v="0"/>
    <x v="0"/>
    <x v="8"/>
    <x v="4"/>
    <s v="18e"/>
    <m/>
    <s v="05 - East Bay"/>
    <x v="5"/>
    <s v="General Acute Care"/>
    <s v="Non-Profit Corporation (incl. Church-related)"/>
    <s v="General Medical / Surgical"/>
    <n v="150"/>
    <x v="0"/>
    <n v="19316"/>
    <n v="14769"/>
    <m/>
    <m/>
    <n v="4399"/>
    <n v="4670"/>
    <n v="4459"/>
    <n v="3863"/>
    <n v="4760"/>
    <n v="4111"/>
    <n v="2795"/>
    <n v="2193"/>
    <n v="2079"/>
    <n v="756"/>
    <m/>
    <n v="2320"/>
    <n v="7136"/>
    <n v="7251"/>
    <n v="112"/>
    <n v="876"/>
    <n v="886"/>
    <n v="15504"/>
    <n v="222"/>
    <n v="430"/>
    <n v="12"/>
    <n v="34"/>
    <n v="74"/>
    <n v="24"/>
    <n v="12"/>
    <n v="1"/>
    <n v="6"/>
    <n v="155"/>
    <n v="1"/>
    <n v="32776"/>
    <n v="110"/>
    <n v="208"/>
    <n v="20"/>
    <n v="4184"/>
    <n v="6119"/>
    <n v="138"/>
    <n v="20723"/>
    <n v="2921"/>
    <n v="517"/>
    <n v="171"/>
    <n v="1058"/>
    <n v="13"/>
    <n v="1880"/>
    <n v="652"/>
    <n v="1641"/>
    <n v="613"/>
    <n v="7713"/>
    <n v="2145"/>
    <n v="49"/>
    <n v="2102"/>
    <n v="660"/>
    <n v="41"/>
    <n v="925"/>
    <n v="3753"/>
    <n v="1089"/>
    <n v="9062"/>
    <n v="1"/>
    <m/>
    <n v="2353"/>
    <n v="123"/>
    <n v="337"/>
    <n v="18"/>
    <n v="261"/>
    <n v="88"/>
    <n v="223"/>
    <n v="379"/>
    <n v="25346"/>
    <n v="3653"/>
    <n v="132"/>
    <n v="874"/>
    <n v="76"/>
    <n v="189"/>
    <n v="33"/>
    <m/>
    <n v="34085"/>
    <n v="282"/>
    <n v="32110"/>
    <n v="1693"/>
    <n v="2170"/>
    <n v="1720"/>
    <m/>
    <m/>
    <n v="51"/>
    <n v="153"/>
    <n v="219"/>
    <n v="419"/>
    <n v="590"/>
    <n v="813"/>
    <n v="818"/>
    <n v="821"/>
    <n v="6"/>
    <m/>
    <m/>
    <n v="256"/>
    <n v="582"/>
    <n v="521"/>
    <n v="57"/>
    <n v="12"/>
    <n v="2452"/>
    <n v="10"/>
    <n v="162"/>
    <n v="55"/>
    <n v="152"/>
    <n v="555"/>
    <n v="35"/>
    <n v="4"/>
    <n v="80"/>
    <n v="2296"/>
    <n v="551"/>
    <m/>
    <n v="0"/>
    <n v="0"/>
    <n v="0"/>
    <n v="0"/>
    <n v="0"/>
    <n v="151"/>
    <n v="2304"/>
    <n v="19"/>
    <n v="1328"/>
    <n v="88"/>
    <n v="23"/>
    <n v="42"/>
    <n v="725"/>
    <n v="2"/>
    <n v="624"/>
    <n v="162"/>
    <n v="181"/>
    <n v="845"/>
    <n v="369"/>
    <n v="69"/>
    <n v="104"/>
    <n v="75"/>
    <n v="2"/>
    <n v="57"/>
    <n v="392"/>
    <n v="92"/>
    <n v="120"/>
    <n v="1"/>
    <n v="5"/>
    <m/>
    <n v="195"/>
    <n v="30"/>
    <n v="538"/>
    <n v="6"/>
    <n v="29"/>
    <n v="331"/>
    <n v="15"/>
    <n v="2633"/>
    <n v="68"/>
    <n v="5"/>
    <n v="13"/>
    <n v="18"/>
    <n v="5"/>
    <n v="3"/>
    <n v="1"/>
    <m/>
    <n v="3890"/>
    <n v="42"/>
    <n v="3735"/>
    <n v="113"/>
    <n v="2011"/>
  </r>
  <r>
    <n v="106084001"/>
    <s v="084001"/>
    <x v="28"/>
    <s v="800 EAST WASHINGTON BOULEVARD"/>
    <s v="CRESCENT CITY"/>
    <n v="95531"/>
    <x v="3"/>
    <x v="0"/>
    <x v="10"/>
    <x v="3"/>
    <s v="19"/>
    <m/>
    <s v="01 - Northern California"/>
    <x v="6"/>
    <s v="General Acute Care"/>
    <s v="Non-Profit Corporation (incl. Church-related)"/>
    <s v="General Medical / Surgical"/>
    <n v="59"/>
    <x v="0"/>
    <n v="10749"/>
    <n v="9229"/>
    <m/>
    <m/>
    <n v="1838"/>
    <n v="1930"/>
    <n v="3383"/>
    <n v="2770"/>
    <n v="2722"/>
    <n v="2425"/>
    <n v="1833"/>
    <n v="1346"/>
    <n v="1222"/>
    <n v="509"/>
    <m/>
    <n v="270"/>
    <n v="159"/>
    <n v="1087"/>
    <n v="883"/>
    <n v="90"/>
    <n v="98"/>
    <n v="17391"/>
    <n v="527"/>
    <n v="138"/>
    <m/>
    <n v="56"/>
    <m/>
    <m/>
    <m/>
    <m/>
    <n v="255"/>
    <n v="28"/>
    <m/>
    <n v="18863"/>
    <n v="111"/>
    <m/>
    <m/>
    <n v="8795"/>
    <n v="4789"/>
    <n v="1167"/>
    <n v="3209"/>
    <n v="2018"/>
    <n v="179"/>
    <n v="47"/>
    <n v="588"/>
    <n v="1"/>
    <n v="1104"/>
    <n v="204"/>
    <n v="903"/>
    <n v="304"/>
    <n v="3914"/>
    <n v="1893"/>
    <n v="34"/>
    <n v="1134"/>
    <n v="1762"/>
    <n v="16"/>
    <n v="753"/>
    <n v="1764"/>
    <n v="810"/>
    <n v="4568"/>
    <m/>
    <m/>
    <n v="1102"/>
    <n v="71"/>
    <n v="94"/>
    <n v="30"/>
    <n v="276"/>
    <n v="2"/>
    <n v="70"/>
    <n v="185"/>
    <n v="15315"/>
    <n v="2198"/>
    <n v="103"/>
    <n v="362"/>
    <n v="71"/>
    <n v="87"/>
    <n v="12"/>
    <m/>
    <n v="19978"/>
    <n v="140"/>
    <n v="19543"/>
    <n v="295"/>
    <n v="986"/>
    <n v="816"/>
    <m/>
    <m/>
    <n v="37"/>
    <n v="171"/>
    <n v="101"/>
    <n v="158"/>
    <n v="216"/>
    <n v="297"/>
    <n v="331"/>
    <n v="417"/>
    <n v="33"/>
    <n v="41"/>
    <m/>
    <n v="57"/>
    <n v="10"/>
    <n v="26"/>
    <n v="3"/>
    <n v="8"/>
    <n v="1641"/>
    <n v="57"/>
    <n v="146"/>
    <n v="29"/>
    <n v="82"/>
    <n v="178"/>
    <n v="11"/>
    <m/>
    <n v="8"/>
    <n v="1116"/>
    <n v="213"/>
    <n v="19"/>
    <n v="0"/>
    <n v="0"/>
    <n v="0"/>
    <n v="0"/>
    <n v="0"/>
    <n v="313"/>
    <n v="1013"/>
    <n v="82"/>
    <n v="225"/>
    <n v="169"/>
    <n v="72"/>
    <n v="26"/>
    <n v="262"/>
    <n v="1"/>
    <n v="335"/>
    <n v="106"/>
    <n v="118"/>
    <n v="210"/>
    <n v="123"/>
    <n v="18"/>
    <n v="29"/>
    <n v="38"/>
    <m/>
    <n v="17"/>
    <n v="357"/>
    <n v="45"/>
    <n v="40"/>
    <m/>
    <n v="5"/>
    <m/>
    <n v="101"/>
    <n v="29"/>
    <n v="96"/>
    <n v="10"/>
    <m/>
    <n v="39"/>
    <n v="3"/>
    <n v="1464"/>
    <n v="7"/>
    <n v="3"/>
    <n v="21"/>
    <n v="22"/>
    <n v="3"/>
    <n v="1"/>
    <n v="3"/>
    <m/>
    <n v="1802"/>
    <n v="14"/>
    <n v="1768"/>
    <n v="20"/>
    <n v="2011"/>
  </r>
  <r>
    <n v="106090793"/>
    <s v="090793"/>
    <x v="29"/>
    <s v="2170 SOUTH AVENUE"/>
    <s v="SOUTH LAKE TAHOE"/>
    <n v="96150"/>
    <x v="0"/>
    <x v="0"/>
    <x v="11"/>
    <x v="2"/>
    <s v="24"/>
    <m/>
    <s v="02 - Golden Empire"/>
    <x v="7"/>
    <s v="General Acute Care"/>
    <s v="Non-Profit Corporation (incl. Church-related)"/>
    <s v="General Medical / Surgical"/>
    <n v="69"/>
    <x v="0"/>
    <n v="7855"/>
    <n v="8029"/>
    <m/>
    <m/>
    <n v="1680"/>
    <n v="1681"/>
    <n v="3425"/>
    <n v="2330"/>
    <n v="2105"/>
    <n v="2138"/>
    <n v="1198"/>
    <n v="588"/>
    <n v="405"/>
    <n v="334"/>
    <m/>
    <n v="331"/>
    <n v="257"/>
    <n v="1008"/>
    <n v="13"/>
    <n v="2089"/>
    <n v="41"/>
    <n v="12145"/>
    <n v="395"/>
    <n v="217"/>
    <n v="13"/>
    <n v="15"/>
    <n v="2"/>
    <m/>
    <m/>
    <n v="1"/>
    <n v="69"/>
    <n v="33"/>
    <n v="5"/>
    <n v="15127"/>
    <n v="7"/>
    <m/>
    <m/>
    <n v="5060"/>
    <n v="2010"/>
    <n v="729"/>
    <n v="5726"/>
    <n v="2359"/>
    <n v="325"/>
    <n v="34"/>
    <n v="407"/>
    <n v="2"/>
    <n v="913"/>
    <n v="285"/>
    <n v="777"/>
    <n v="366"/>
    <n v="5185"/>
    <n v="730"/>
    <n v="20"/>
    <n v="839"/>
    <n v="453"/>
    <n v="5"/>
    <n v="778"/>
    <n v="1399"/>
    <n v="534"/>
    <n v="2830"/>
    <n v="2"/>
    <m/>
    <n v="2278"/>
    <n v="75"/>
    <n v="48"/>
    <n v="11"/>
    <n v="182"/>
    <n v="3"/>
    <n v="62"/>
    <n v="206"/>
    <n v="10495"/>
    <n v="1845"/>
    <n v="225"/>
    <n v="296"/>
    <n v="40"/>
    <n v="108"/>
    <n v="10"/>
    <m/>
    <n v="15884"/>
    <n v="119"/>
    <n v="14745"/>
    <n v="1020"/>
    <n v="743"/>
    <n v="688"/>
    <m/>
    <m/>
    <n v="45"/>
    <n v="163"/>
    <n v="147"/>
    <n v="160"/>
    <n v="259"/>
    <n v="232"/>
    <n v="140"/>
    <n v="193"/>
    <n v="28"/>
    <n v="64"/>
    <m/>
    <n v="31"/>
    <n v="18"/>
    <n v="139"/>
    <n v="31"/>
    <n v="26"/>
    <n v="1185"/>
    <n v="1"/>
    <n v="62"/>
    <n v="21"/>
    <n v="30"/>
    <n v="142"/>
    <n v="14"/>
    <n v="2"/>
    <n v="4"/>
    <n v="1074"/>
    <n v="76"/>
    <n v="6"/>
    <n v="0"/>
    <n v="0"/>
    <n v="0"/>
    <n v="0"/>
    <n v="0"/>
    <n v="338"/>
    <n v="525"/>
    <n v="58"/>
    <n v="446"/>
    <n v="64"/>
    <n v="131"/>
    <n v="11"/>
    <n v="151"/>
    <n v="3"/>
    <n v="257"/>
    <n v="64"/>
    <n v="52"/>
    <n v="71"/>
    <n v="231"/>
    <n v="30"/>
    <n v="18"/>
    <n v="44"/>
    <m/>
    <n v="30"/>
    <n v="213"/>
    <n v="39"/>
    <n v="85"/>
    <m/>
    <n v="1"/>
    <m/>
    <n v="133"/>
    <n v="14"/>
    <n v="51"/>
    <n v="2"/>
    <n v="3"/>
    <n v="50"/>
    <n v="6"/>
    <n v="1067"/>
    <n v="53"/>
    <n v="10"/>
    <n v="17"/>
    <n v="14"/>
    <n v="6"/>
    <n v="5"/>
    <m/>
    <m/>
    <n v="1431"/>
    <n v="5"/>
    <n v="1364"/>
    <n v="62"/>
    <n v="2011"/>
  </r>
  <r>
    <n v="106090933"/>
    <s v="090933"/>
    <x v="30"/>
    <s v="1100 MARSHALL WAY"/>
    <s v="PLACERVILLE"/>
    <n v="95667"/>
    <x v="4"/>
    <x v="0"/>
    <x v="11"/>
    <x v="2"/>
    <s v="23.3"/>
    <m/>
    <s v="02 - Golden Empire"/>
    <x v="7"/>
    <s v="General Acute Care"/>
    <s v="Non-Profit Corporation (incl. Church-related)"/>
    <s v="General Medical / Surgical"/>
    <n v="91"/>
    <x v="0"/>
    <n v="11863"/>
    <n v="9855"/>
    <m/>
    <m/>
    <n v="2141"/>
    <n v="2324"/>
    <n v="3230"/>
    <n v="2598"/>
    <n v="2980"/>
    <n v="2829"/>
    <n v="1885"/>
    <n v="1416"/>
    <n v="1822"/>
    <n v="493"/>
    <m/>
    <n v="124"/>
    <n v="177"/>
    <n v="1691"/>
    <n v="97"/>
    <n v="125"/>
    <n v="13"/>
    <n v="19491"/>
    <n v="641"/>
    <n v="437"/>
    <m/>
    <n v="57"/>
    <n v="53"/>
    <n v="1"/>
    <n v="1"/>
    <m/>
    <m/>
    <n v="252"/>
    <m/>
    <n v="20057"/>
    <n v="88"/>
    <n v="113"/>
    <n v="18"/>
    <n v="8023"/>
    <n v="4568"/>
    <n v="789"/>
    <n v="6612"/>
    <n v="1726"/>
    <n v="430"/>
    <n v="76"/>
    <n v="758"/>
    <n v="12"/>
    <n v="1308"/>
    <n v="456"/>
    <n v="1233"/>
    <n v="381"/>
    <n v="5930"/>
    <n v="1258"/>
    <n v="49"/>
    <n v="1352"/>
    <n v="832"/>
    <n v="16"/>
    <n v="857"/>
    <n v="2018"/>
    <n v="925"/>
    <n v="3826"/>
    <n v="1"/>
    <m/>
    <n v="1938"/>
    <n v="74"/>
    <n v="208"/>
    <n v="30"/>
    <n v="198"/>
    <n v="70"/>
    <n v="215"/>
    <n v="350"/>
    <n v="14859"/>
    <n v="2643"/>
    <n v="141"/>
    <n v="727"/>
    <n v="105"/>
    <n v="151"/>
    <n v="9"/>
    <m/>
    <n v="21718"/>
    <n v="49"/>
    <n v="21063"/>
    <n v="606"/>
    <n v="2146"/>
    <n v="1768"/>
    <m/>
    <m/>
    <n v="37"/>
    <n v="131"/>
    <n v="189"/>
    <n v="320"/>
    <n v="617"/>
    <n v="725"/>
    <n v="697"/>
    <n v="1189"/>
    <n v="1"/>
    <n v="8"/>
    <m/>
    <n v="21"/>
    <n v="27"/>
    <n v="158"/>
    <n v="10"/>
    <m/>
    <n v="3685"/>
    <n v="13"/>
    <n v="180"/>
    <n v="34"/>
    <n v="146"/>
    <n v="327"/>
    <n v="17"/>
    <m/>
    <n v="35"/>
    <n v="2508"/>
    <n v="662"/>
    <n v="5"/>
    <n v="0"/>
    <n v="0"/>
    <n v="0"/>
    <n v="0"/>
    <n v="0"/>
    <n v="677"/>
    <n v="2426"/>
    <n v="23"/>
    <n v="673"/>
    <n v="115"/>
    <n v="27"/>
    <n v="46"/>
    <n v="722"/>
    <n v="7"/>
    <n v="651"/>
    <n v="93"/>
    <n v="163"/>
    <n v="530"/>
    <n v="363"/>
    <n v="119"/>
    <n v="86"/>
    <n v="109"/>
    <n v="2"/>
    <n v="65"/>
    <n v="583"/>
    <n v="99"/>
    <n v="248"/>
    <m/>
    <n v="1"/>
    <m/>
    <n v="285"/>
    <n v="45"/>
    <n v="439"/>
    <n v="3"/>
    <n v="28"/>
    <n v="125"/>
    <n v="16"/>
    <n v="2795"/>
    <n v="49"/>
    <n v="8"/>
    <n v="75"/>
    <n v="29"/>
    <n v="7"/>
    <n v="8"/>
    <n v="1"/>
    <n v="1"/>
    <n v="3914"/>
    <n v="16"/>
    <n v="3832"/>
    <n v="66"/>
    <n v="2011"/>
  </r>
  <r>
    <n v="106100005"/>
    <s v="100005"/>
    <x v="31"/>
    <s v="2755 HERNDON AVENUE"/>
    <s v="CLOVIS"/>
    <n v="93612"/>
    <x v="0"/>
    <x v="0"/>
    <x v="12"/>
    <x v="5"/>
    <s v="31"/>
    <m/>
    <s v="09 - Central"/>
    <x v="8"/>
    <s v="General Acute Care"/>
    <s v="Non-Profit Corporation (incl. Church-related)"/>
    <s v="General Medical / Surgical"/>
    <n v="109"/>
    <x v="0"/>
    <n v="17144"/>
    <n v="11105"/>
    <n v="1"/>
    <m/>
    <n v="1984"/>
    <n v="3190"/>
    <n v="5737"/>
    <n v="5047"/>
    <n v="3995"/>
    <n v="3261"/>
    <n v="2081"/>
    <n v="1289"/>
    <n v="1303"/>
    <n v="363"/>
    <m/>
    <n v="26"/>
    <n v="16"/>
    <n v="19045"/>
    <n v="108"/>
    <n v="831"/>
    <n v="10"/>
    <n v="8214"/>
    <n v="338"/>
    <n v="328"/>
    <n v="15"/>
    <n v="37"/>
    <n v="13"/>
    <n v="4"/>
    <n v="1"/>
    <n v="81"/>
    <n v="23"/>
    <n v="348"/>
    <m/>
    <n v="26971"/>
    <n v="91"/>
    <m/>
    <m/>
    <n v="9070"/>
    <n v="3122"/>
    <n v="2459"/>
    <n v="9466"/>
    <n v="4133"/>
    <n v="1222"/>
    <n v="118"/>
    <n v="490"/>
    <n v="7"/>
    <n v="1832"/>
    <n v="320"/>
    <n v="2019"/>
    <n v="632"/>
    <n v="6751"/>
    <n v="1597"/>
    <n v="72"/>
    <n v="1502"/>
    <n v="710"/>
    <n v="14"/>
    <n v="1177"/>
    <n v="2251"/>
    <n v="1282"/>
    <n v="6254"/>
    <m/>
    <m/>
    <n v="2283"/>
    <n v="123"/>
    <n v="240"/>
    <n v="25"/>
    <n v="277"/>
    <n v="62"/>
    <n v="60"/>
    <n v="279"/>
    <n v="20911"/>
    <n v="2547"/>
    <n v="162"/>
    <n v="949"/>
    <n v="160"/>
    <n v="138"/>
    <n v="34"/>
    <m/>
    <n v="28250"/>
    <n v="257"/>
    <n v="27229"/>
    <n v="764"/>
    <n v="2180"/>
    <n v="1584"/>
    <m/>
    <m/>
    <n v="45"/>
    <n v="226"/>
    <n v="328"/>
    <n v="405"/>
    <n v="650"/>
    <n v="668"/>
    <n v="579"/>
    <n v="863"/>
    <m/>
    <m/>
    <m/>
    <n v="157"/>
    <n v="97"/>
    <n v="854"/>
    <n v="78"/>
    <m/>
    <n v="2570"/>
    <n v="8"/>
    <n v="125"/>
    <n v="66"/>
    <n v="125"/>
    <n v="321"/>
    <n v="110"/>
    <n v="4"/>
    <n v="35"/>
    <n v="2502"/>
    <n v="475"/>
    <n v="1"/>
    <n v="0"/>
    <n v="0"/>
    <n v="0"/>
    <n v="0"/>
    <n v="0"/>
    <n v="517"/>
    <n v="1858"/>
    <n v="36"/>
    <n v="1087"/>
    <n v="266"/>
    <n v="56"/>
    <n v="55"/>
    <n v="700"/>
    <n v="1"/>
    <n v="906"/>
    <n v="160"/>
    <n v="233"/>
    <n v="262"/>
    <n v="325"/>
    <n v="43"/>
    <n v="87"/>
    <n v="47"/>
    <n v="1"/>
    <n v="22"/>
    <n v="510"/>
    <n v="136"/>
    <n v="220"/>
    <m/>
    <m/>
    <m/>
    <n v="197"/>
    <n v="22"/>
    <n v="241"/>
    <n v="2"/>
    <n v="7"/>
    <n v="28"/>
    <n v="12"/>
    <n v="3204"/>
    <n v="20"/>
    <n v="2"/>
    <n v="2"/>
    <n v="17"/>
    <n v="2"/>
    <n v="6"/>
    <n v="1"/>
    <n v="1"/>
    <n v="3764"/>
    <n v="92"/>
    <n v="3527"/>
    <n v="145"/>
    <n v="2011"/>
  </r>
  <r>
    <n v="106100697"/>
    <s v="100697"/>
    <x v="32"/>
    <s v="1191 PHELPS AVENUE"/>
    <s v="COALINGA"/>
    <n v="93210"/>
    <x v="0"/>
    <x v="0"/>
    <x v="13"/>
    <x v="6"/>
    <s v="27"/>
    <m/>
    <s v="09 - Central"/>
    <x v="8"/>
    <s v="General Acute Care"/>
    <s v="District"/>
    <s v="General Medical / Surgical"/>
    <n v="24"/>
    <x v="2"/>
    <n v="4224"/>
    <n v="4516"/>
    <m/>
    <m/>
    <n v="1599"/>
    <n v="1236"/>
    <n v="1514"/>
    <n v="1213"/>
    <n v="1070"/>
    <n v="896"/>
    <n v="457"/>
    <n v="262"/>
    <n v="168"/>
    <n v="325"/>
    <m/>
    <n v="79"/>
    <n v="344"/>
    <n v="5366"/>
    <n v="17"/>
    <n v="85"/>
    <m/>
    <n v="2849"/>
    <n v="736"/>
    <n v="216"/>
    <m/>
    <n v="15"/>
    <n v="1"/>
    <m/>
    <m/>
    <m/>
    <n v="16"/>
    <n v="10"/>
    <m/>
    <n v="7708"/>
    <n v="38"/>
    <m/>
    <m/>
    <n v="1040"/>
    <n v="694"/>
    <n v="1246"/>
    <n v="4440"/>
    <n v="1320"/>
    <n v="296"/>
    <n v="27"/>
    <n v="218"/>
    <n v="2"/>
    <n v="592"/>
    <n v="162"/>
    <n v="506"/>
    <n v="246"/>
    <n v="2501"/>
    <n v="309"/>
    <n v="10"/>
    <n v="675"/>
    <n v="179"/>
    <n v="8"/>
    <n v="284"/>
    <n v="1025"/>
    <n v="322"/>
    <n v="1374"/>
    <m/>
    <n v="4"/>
    <n v="692"/>
    <n v="50"/>
    <n v="60"/>
    <n v="8"/>
    <n v="298"/>
    <n v="21"/>
    <n v="45"/>
    <n v="142"/>
    <n v="6020"/>
    <n v="1038"/>
    <n v="37"/>
    <n v="211"/>
    <n v="38"/>
    <n v="66"/>
    <n v="13"/>
    <n v="1"/>
    <n v="8740"/>
    <n v="19"/>
    <n v="6784"/>
    <n v="1937"/>
    <n v="194"/>
    <n v="371"/>
    <m/>
    <m/>
    <n v="5"/>
    <n v="25"/>
    <n v="53"/>
    <n v="96"/>
    <n v="136"/>
    <n v="96"/>
    <n v="69"/>
    <n v="85"/>
    <m/>
    <m/>
    <m/>
    <n v="8"/>
    <n v="66"/>
    <n v="199"/>
    <n v="8"/>
    <n v="4"/>
    <n v="280"/>
    <m/>
    <n v="54"/>
    <n v="8"/>
    <n v="14"/>
    <n v="4"/>
    <n v="3"/>
    <n v="1"/>
    <n v="1"/>
    <n v="229"/>
    <n v="45"/>
    <n v="206"/>
    <n v="0"/>
    <n v="0"/>
    <n v="0"/>
    <n v="0"/>
    <n v="0"/>
    <n v="51"/>
    <n v="143"/>
    <n v="251"/>
    <n v="87"/>
    <n v="33"/>
    <n v="2"/>
    <n v="11"/>
    <n v="87"/>
    <m/>
    <n v="43"/>
    <n v="28"/>
    <n v="39"/>
    <n v="60"/>
    <n v="20"/>
    <n v="10"/>
    <n v="6"/>
    <n v="19"/>
    <n v="1"/>
    <n v="9"/>
    <n v="77"/>
    <n v="42"/>
    <n v="111"/>
    <m/>
    <m/>
    <m/>
    <n v="17"/>
    <n v="3"/>
    <n v="41"/>
    <n v="2"/>
    <n v="9"/>
    <n v="11"/>
    <n v="4"/>
    <n v="473"/>
    <n v="4"/>
    <m/>
    <m/>
    <m/>
    <m/>
    <n v="1"/>
    <m/>
    <m/>
    <n v="565"/>
    <m/>
    <n v="484"/>
    <n v="81"/>
    <n v="2011"/>
  </r>
  <r>
    <n v="106100717"/>
    <s v="100717"/>
    <x v="33"/>
    <s v="2823 FRESNO AND R STREETS"/>
    <s v="FRESNO"/>
    <n v="93721"/>
    <x v="5"/>
    <x v="1"/>
    <x v="14"/>
    <x v="6"/>
    <s v="35c"/>
    <m/>
    <s v="09 - Central"/>
    <x v="8"/>
    <s v="General Acute Care"/>
    <s v="Non-Profit Corporation (incl. Church-related)"/>
    <s v="General Medical / Surgical"/>
    <n v="626"/>
    <x v="3"/>
    <n v="39093"/>
    <n v="41050"/>
    <n v="3"/>
    <m/>
    <n v="5002"/>
    <n v="7432"/>
    <n v="17260"/>
    <n v="13543"/>
    <n v="14871"/>
    <n v="12334"/>
    <n v="4913"/>
    <n v="2061"/>
    <n v="1379"/>
    <n v="1346"/>
    <n v="5"/>
    <n v="75"/>
    <n v="135"/>
    <n v="37199"/>
    <n v="52"/>
    <n v="7392"/>
    <n v="22"/>
    <n v="35271"/>
    <n v="551"/>
    <n v="1817"/>
    <n v="88"/>
    <n v="258"/>
    <n v="228"/>
    <n v="94"/>
    <n v="46"/>
    <n v="102"/>
    <n v="1187"/>
    <n v="3758"/>
    <n v="18"/>
    <n v="71330"/>
    <n v="669"/>
    <m/>
    <m/>
    <n v="34407"/>
    <n v="7600"/>
    <n v="17126"/>
    <n v="5152"/>
    <n v="15861"/>
    <n v="2389"/>
    <n v="205"/>
    <n v="1209"/>
    <n v="21"/>
    <n v="4453"/>
    <n v="941"/>
    <n v="4139"/>
    <n v="1979"/>
    <n v="16052"/>
    <n v="6190"/>
    <n v="171"/>
    <n v="3848"/>
    <n v="4555"/>
    <n v="32"/>
    <n v="7963"/>
    <n v="5337"/>
    <n v="3354"/>
    <n v="17307"/>
    <m/>
    <n v="1"/>
    <n v="4407"/>
    <n v="418"/>
    <n v="359"/>
    <n v="81"/>
    <n v="2654"/>
    <n v="84"/>
    <n v="9"/>
    <n v="730"/>
    <n v="61418"/>
    <n v="5637"/>
    <n v="386"/>
    <n v="2790"/>
    <n v="773"/>
    <n v="342"/>
    <n v="57"/>
    <n v="1"/>
    <n v="80146"/>
    <n v="1208"/>
    <n v="67626"/>
    <n v="11312"/>
    <n v="10402"/>
    <n v="11879"/>
    <m/>
    <m/>
    <n v="675"/>
    <n v="2316"/>
    <n v="2324"/>
    <n v="3494"/>
    <n v="4820"/>
    <n v="3395"/>
    <n v="2350"/>
    <n v="2438"/>
    <n v="179"/>
    <n v="290"/>
    <m/>
    <n v="1305"/>
    <n v="2583"/>
    <n v="10186"/>
    <n v="595"/>
    <n v="9"/>
    <n v="7533"/>
    <n v="70"/>
    <n v="324"/>
    <n v="579"/>
    <n v="926"/>
    <n v="2133"/>
    <n v="718"/>
    <n v="15"/>
    <n v="239"/>
    <n v="14742"/>
    <n v="2379"/>
    <n v="226"/>
    <n v="0"/>
    <n v="0"/>
    <n v="0"/>
    <n v="0"/>
    <n v="0"/>
    <n v="7596"/>
    <n v="7088"/>
    <n v="897"/>
    <n v="2017"/>
    <n v="4683"/>
    <n v="329"/>
    <n v="245"/>
    <n v="3877"/>
    <n v="12"/>
    <n v="2577"/>
    <n v="959"/>
    <n v="1050"/>
    <n v="1874"/>
    <n v="3684"/>
    <n v="408"/>
    <n v="653"/>
    <n v="589"/>
    <n v="25"/>
    <n v="1794"/>
    <n v="1995"/>
    <n v="665"/>
    <n v="1512"/>
    <n v="4"/>
    <n v="29"/>
    <m/>
    <n v="1053"/>
    <n v="187"/>
    <n v="1140"/>
    <n v="413"/>
    <n v="193"/>
    <n v="124"/>
    <n v="91"/>
    <n v="17532"/>
    <n v="331"/>
    <n v="67"/>
    <n v="795"/>
    <n v="177"/>
    <n v="62"/>
    <n v="76"/>
    <n v="40"/>
    <m/>
    <n v="22281"/>
    <n v="994"/>
    <n v="17743"/>
    <n v="3544"/>
    <n v="2011"/>
  </r>
  <r>
    <n v="106100797"/>
    <s v="100797"/>
    <x v="34"/>
    <s v="372 WEST CYPRESS AVENUE"/>
    <s v="REEDLEY"/>
    <n v="93654"/>
    <x v="0"/>
    <x v="0"/>
    <x v="14"/>
    <x v="5"/>
    <s v="32"/>
    <m/>
    <s v="09 - Central"/>
    <x v="8"/>
    <s v="General Acute Care"/>
    <s v="District"/>
    <s v="General Medical / Surgical"/>
    <n v="49"/>
    <x v="2"/>
    <n v="8176"/>
    <n v="6783"/>
    <m/>
    <m/>
    <n v="3354"/>
    <n v="2300"/>
    <n v="2606"/>
    <n v="1813"/>
    <n v="1421"/>
    <n v="919"/>
    <n v="722"/>
    <n v="516"/>
    <n v="518"/>
    <n v="790"/>
    <m/>
    <n v="98"/>
    <n v="66"/>
    <n v="4399"/>
    <n v="3"/>
    <n v="408"/>
    <n v="193"/>
    <n v="9792"/>
    <n v="529"/>
    <n v="728"/>
    <m/>
    <n v="38"/>
    <n v="1"/>
    <m/>
    <m/>
    <n v="90"/>
    <m/>
    <m/>
    <m/>
    <n v="13567"/>
    <n v="6"/>
    <m/>
    <m/>
    <n v="8011"/>
    <n v="1656"/>
    <n v="230"/>
    <n v="2012"/>
    <n v="3050"/>
    <n v="719"/>
    <n v="28"/>
    <n v="222"/>
    <n v="4"/>
    <n v="931"/>
    <n v="126"/>
    <n v="735"/>
    <n v="341"/>
    <n v="3738"/>
    <n v="661"/>
    <n v="13"/>
    <n v="1092"/>
    <n v="632"/>
    <n v="37"/>
    <n v="361"/>
    <n v="1966"/>
    <n v="594"/>
    <n v="2759"/>
    <m/>
    <m/>
    <n v="1050"/>
    <n v="40"/>
    <n v="182"/>
    <n v="12"/>
    <n v="158"/>
    <n v="1"/>
    <n v="29"/>
    <n v="248"/>
    <n v="10916"/>
    <n v="1715"/>
    <n v="72"/>
    <n v="345"/>
    <n v="35"/>
    <n v="110"/>
    <n v="46"/>
    <m/>
    <n v="14959"/>
    <n v="146"/>
    <n v="10987"/>
    <n v="3826"/>
    <n v="333"/>
    <n v="219"/>
    <m/>
    <m/>
    <n v="16"/>
    <n v="49"/>
    <n v="42"/>
    <n v="65"/>
    <n v="69"/>
    <n v="72"/>
    <n v="77"/>
    <n v="143"/>
    <n v="5"/>
    <n v="14"/>
    <m/>
    <n v="15"/>
    <n v="1"/>
    <n v="331"/>
    <n v="3"/>
    <n v="1"/>
    <n v="200"/>
    <n v="1"/>
    <n v="32"/>
    <n v="17"/>
    <n v="7"/>
    <n v="21"/>
    <n v="7"/>
    <m/>
    <n v="4"/>
    <n v="404"/>
    <n v="60"/>
    <m/>
    <n v="0"/>
    <n v="0"/>
    <n v="0"/>
    <n v="0"/>
    <n v="0"/>
    <n v="141"/>
    <n v="282"/>
    <m/>
    <n v="65"/>
    <n v="64"/>
    <n v="23"/>
    <n v="11"/>
    <n v="94"/>
    <m/>
    <n v="83"/>
    <n v="45"/>
    <n v="47"/>
    <n v="12"/>
    <n v="18"/>
    <n v="1"/>
    <n v="4"/>
    <n v="7"/>
    <m/>
    <n v="2"/>
    <n v="120"/>
    <n v="14"/>
    <n v="69"/>
    <n v="1"/>
    <n v="1"/>
    <m/>
    <n v="24"/>
    <n v="5"/>
    <n v="18"/>
    <n v="1"/>
    <n v="2"/>
    <n v="5"/>
    <n v="2"/>
    <n v="487"/>
    <n v="3"/>
    <m/>
    <n v="2"/>
    <m/>
    <m/>
    <n v="2"/>
    <n v="1"/>
    <m/>
    <n v="552"/>
    <n v="2"/>
    <n v="433"/>
    <n v="117"/>
    <n v="2011"/>
  </r>
  <r>
    <n v="106100899"/>
    <s v="100899"/>
    <x v="35"/>
    <s v="1303 EAST HERNDON AVENUE"/>
    <s v="FRESNO"/>
    <n v="93720"/>
    <x v="0"/>
    <x v="0"/>
    <x v="12"/>
    <x v="5"/>
    <s v="35f"/>
    <m/>
    <s v="09 - Central"/>
    <x v="8"/>
    <s v="General Acute Care"/>
    <s v="Non-Profit Corporation (incl. Church-related)"/>
    <s v="General Medical / Surgical"/>
    <n v="436"/>
    <x v="0"/>
    <n v="34298"/>
    <n v="21947"/>
    <m/>
    <n v="1"/>
    <n v="3751"/>
    <n v="5565"/>
    <n v="11867"/>
    <n v="8563"/>
    <n v="7241"/>
    <n v="6459"/>
    <n v="4444"/>
    <n v="3454"/>
    <n v="4155"/>
    <n v="747"/>
    <m/>
    <n v="1801"/>
    <n v="6306"/>
    <n v="20282"/>
    <n v="181"/>
    <n v="1888"/>
    <n v="610"/>
    <n v="25178"/>
    <n v="371"/>
    <n v="580"/>
    <n v="104"/>
    <n v="117"/>
    <m/>
    <m/>
    <m/>
    <n v="46"/>
    <m/>
    <n v="868"/>
    <m/>
    <n v="54085"/>
    <n v="60"/>
    <n v="15"/>
    <m/>
    <n v="25149"/>
    <n v="11811"/>
    <n v="1214"/>
    <n v="12590"/>
    <n v="5482"/>
    <n v="1482"/>
    <n v="289"/>
    <n v="1637"/>
    <n v="12"/>
    <n v="3673"/>
    <n v="962"/>
    <n v="4278"/>
    <n v="1803"/>
    <n v="11752"/>
    <n v="3667"/>
    <n v="133"/>
    <n v="3104"/>
    <n v="1601"/>
    <n v="31"/>
    <n v="2806"/>
    <n v="4934"/>
    <n v="2447"/>
    <n v="11633"/>
    <n v="2"/>
    <m/>
    <n v="4310"/>
    <n v="188"/>
    <n v="712"/>
    <n v="21"/>
    <n v="725"/>
    <n v="13"/>
    <n v="523"/>
    <n v="509"/>
    <n v="42295"/>
    <n v="4529"/>
    <n v="226"/>
    <n v="1639"/>
    <n v="237"/>
    <n v="211"/>
    <n v="108"/>
    <m/>
    <n v="56246"/>
    <n v="892"/>
    <n v="53230"/>
    <n v="2124"/>
    <n v="9027"/>
    <n v="6813"/>
    <m/>
    <m/>
    <n v="173"/>
    <n v="815"/>
    <n v="895"/>
    <n v="1350"/>
    <n v="2278"/>
    <n v="2780"/>
    <n v="3016"/>
    <n v="4530"/>
    <n v="3"/>
    <m/>
    <m/>
    <n v="773"/>
    <n v="1094"/>
    <n v="3705"/>
    <n v="379"/>
    <n v="28"/>
    <n v="9803"/>
    <n v="58"/>
    <n v="103"/>
    <n v="203"/>
    <n v="689"/>
    <n v="2512"/>
    <n v="704"/>
    <m/>
    <m/>
    <n v="9664"/>
    <n v="1964"/>
    <n v="1"/>
    <n v="0"/>
    <n v="0"/>
    <n v="0"/>
    <n v="0"/>
    <n v="0"/>
    <n v="2787"/>
    <n v="9437"/>
    <n v="108"/>
    <n v="3123"/>
    <n v="385"/>
    <n v="176"/>
    <n v="204"/>
    <n v="3509"/>
    <n v="3"/>
    <n v="2531"/>
    <n v="826"/>
    <n v="1225"/>
    <n v="986"/>
    <n v="1397"/>
    <n v="240"/>
    <n v="348"/>
    <n v="292"/>
    <n v="15"/>
    <n v="111"/>
    <n v="2220"/>
    <n v="468"/>
    <n v="1286"/>
    <n v="3"/>
    <m/>
    <m/>
    <n v="869"/>
    <n v="121"/>
    <n v="1236"/>
    <n v="6"/>
    <n v="20"/>
    <n v="489"/>
    <n v="34"/>
    <n v="12784"/>
    <n v="152"/>
    <n v="10"/>
    <n v="32"/>
    <n v="63"/>
    <n v="19"/>
    <n v="4"/>
    <n v="1"/>
    <m/>
    <n v="15840"/>
    <n v="564"/>
    <n v="14425"/>
    <n v="851"/>
    <n v="2011"/>
  </r>
  <r>
    <n v="106104062"/>
    <s v="104062"/>
    <x v="36"/>
    <s v="7300 NORTH FRESNO STREET"/>
    <s v="FRESNO"/>
    <n v="93720"/>
    <x v="0"/>
    <x v="0"/>
    <x v="12"/>
    <x v="5"/>
    <s v="35f"/>
    <m/>
    <s v="09 - Central"/>
    <x v="8"/>
    <s v="General Acute Care"/>
    <s v="Non-Profit Corporation (incl. Church-related)"/>
    <s v="General Medical / Surgical"/>
    <n v="169"/>
    <x v="0"/>
    <n v="13332"/>
    <n v="10143"/>
    <n v="1"/>
    <m/>
    <n v="2072"/>
    <n v="2681"/>
    <n v="2698"/>
    <n v="2313"/>
    <n v="2693"/>
    <n v="2861"/>
    <n v="2491"/>
    <n v="2578"/>
    <n v="2815"/>
    <n v="274"/>
    <m/>
    <n v="1191"/>
    <n v="1874"/>
    <n v="8147"/>
    <n v="158"/>
    <n v="336"/>
    <n v="86"/>
    <n v="11684"/>
    <n v="53"/>
    <n v="143"/>
    <n v="98"/>
    <n v="23"/>
    <n v="5"/>
    <n v="20"/>
    <n v="15"/>
    <m/>
    <m/>
    <n v="230"/>
    <n v="7"/>
    <n v="22477"/>
    <n v="205"/>
    <n v="197"/>
    <n v="3"/>
    <n v="523"/>
    <n v="7109"/>
    <n v="98"/>
    <n v="14388"/>
    <n v="1358"/>
    <n v="416"/>
    <n v="121"/>
    <n v="881"/>
    <n v="5"/>
    <n v="1662"/>
    <n v="512"/>
    <n v="1239"/>
    <n v="330"/>
    <n v="5737"/>
    <n v="1512"/>
    <n v="39"/>
    <n v="1161"/>
    <n v="382"/>
    <n v="9"/>
    <n v="871"/>
    <n v="1872"/>
    <n v="631"/>
    <n v="6095"/>
    <n v="1"/>
    <m/>
    <n v="1962"/>
    <n v="80"/>
    <n v="432"/>
    <n v="12"/>
    <n v="112"/>
    <n v="42"/>
    <n v="196"/>
    <n v="307"/>
    <n v="17015"/>
    <n v="2450"/>
    <n v="118"/>
    <n v="546"/>
    <n v="72"/>
    <n v="119"/>
    <n v="13"/>
    <m/>
    <n v="23476"/>
    <n v="164"/>
    <n v="22230"/>
    <n v="1082"/>
    <n v="2412"/>
    <n v="2040"/>
    <m/>
    <m/>
    <n v="31"/>
    <n v="126"/>
    <n v="189"/>
    <n v="306"/>
    <n v="511"/>
    <n v="808"/>
    <n v="1164"/>
    <n v="1317"/>
    <m/>
    <m/>
    <m/>
    <n v="180"/>
    <n v="273"/>
    <n v="937"/>
    <n v="20"/>
    <n v="2"/>
    <n v="3009"/>
    <n v="31"/>
    <n v="194"/>
    <n v="18"/>
    <n v="167"/>
    <n v="834"/>
    <n v="45"/>
    <n v="7"/>
    <n v="63"/>
    <n v="2613"/>
    <n v="511"/>
    <m/>
    <n v="0"/>
    <n v="0"/>
    <n v="0"/>
    <n v="0"/>
    <n v="0"/>
    <n v="19"/>
    <n v="2999"/>
    <n v="8"/>
    <n v="1374"/>
    <n v="52"/>
    <n v="19"/>
    <n v="84"/>
    <n v="1022"/>
    <m/>
    <n v="724"/>
    <n v="236"/>
    <n v="217"/>
    <n v="647"/>
    <n v="392"/>
    <n v="82"/>
    <n v="100"/>
    <n v="74"/>
    <n v="1"/>
    <n v="40"/>
    <n v="546"/>
    <n v="75"/>
    <n v="193"/>
    <m/>
    <m/>
    <m/>
    <n v="223"/>
    <n v="21"/>
    <n v="415"/>
    <n v="1"/>
    <n v="10"/>
    <n v="187"/>
    <n v="4"/>
    <n v="3496"/>
    <n v="54"/>
    <n v="4"/>
    <n v="10"/>
    <n v="16"/>
    <n v="5"/>
    <n v="6"/>
    <m/>
    <m/>
    <n v="4452"/>
    <n v="47"/>
    <n v="4256"/>
    <n v="149"/>
    <n v="2011"/>
  </r>
  <r>
    <n v="106110889"/>
    <s v="110889"/>
    <x v="37"/>
    <s v="1133 WEST SYCAMORE STREET"/>
    <s v="WILLOWS"/>
    <n v="95988"/>
    <x v="3"/>
    <x v="0"/>
    <x v="7"/>
    <x v="3"/>
    <s v="37"/>
    <m/>
    <s v="01 - Northern California"/>
    <x v="9"/>
    <s v="General Acute Care"/>
    <s v="Non-Profit Corporation (incl. Church-related)"/>
    <s v="General Medical / Surgical"/>
    <n v="47"/>
    <x v="2"/>
    <n v="2513"/>
    <n v="2170"/>
    <m/>
    <m/>
    <n v="528"/>
    <n v="574"/>
    <n v="893"/>
    <n v="575"/>
    <n v="574"/>
    <n v="530"/>
    <n v="368"/>
    <n v="269"/>
    <n v="285"/>
    <n v="87"/>
    <m/>
    <n v="98"/>
    <n v="68"/>
    <n v="879"/>
    <n v="63"/>
    <n v="38"/>
    <m/>
    <n v="3537"/>
    <n v="223"/>
    <n v="27"/>
    <m/>
    <n v="5"/>
    <m/>
    <m/>
    <m/>
    <m/>
    <n v="9"/>
    <n v="50"/>
    <n v="4"/>
    <n v="4315"/>
    <n v="50"/>
    <m/>
    <m/>
    <n v="1703"/>
    <n v="984"/>
    <n v="154"/>
    <n v="1108"/>
    <n v="734"/>
    <n v="28"/>
    <n v="22"/>
    <n v="152"/>
    <n v="1"/>
    <n v="300"/>
    <n v="60"/>
    <n v="205"/>
    <n v="92"/>
    <n v="1425"/>
    <n v="314"/>
    <n v="13"/>
    <n v="299"/>
    <n v="25"/>
    <n v="1"/>
    <n v="216"/>
    <n v="535"/>
    <n v="192"/>
    <n v="802"/>
    <m/>
    <n v="1"/>
    <n v="292"/>
    <n v="14"/>
    <n v="4"/>
    <n v="8"/>
    <n v="56"/>
    <n v="3"/>
    <n v="11"/>
    <n v="100"/>
    <n v="3223"/>
    <n v="779"/>
    <n v="28"/>
    <n v="102"/>
    <n v="16"/>
    <n v="29"/>
    <n v="18"/>
    <m/>
    <n v="4683"/>
    <n v="23"/>
    <n v="4454"/>
    <n v="206"/>
    <n v="198"/>
    <n v="116"/>
    <m/>
    <m/>
    <n v="5"/>
    <n v="18"/>
    <n v="15"/>
    <n v="34"/>
    <n v="40"/>
    <n v="70"/>
    <n v="49"/>
    <n v="82"/>
    <m/>
    <n v="1"/>
    <m/>
    <n v="1"/>
    <m/>
    <n v="25"/>
    <m/>
    <m/>
    <n v="282"/>
    <n v="6"/>
    <n v="25"/>
    <n v="5"/>
    <n v="8"/>
    <m/>
    <n v="1"/>
    <m/>
    <m/>
    <n v="205"/>
    <n v="70"/>
    <m/>
    <n v="0"/>
    <n v="0"/>
    <n v="0"/>
    <n v="0"/>
    <n v="0"/>
    <n v="54"/>
    <n v="194"/>
    <n v="3"/>
    <n v="44"/>
    <n v="19"/>
    <m/>
    <n v="8"/>
    <n v="31"/>
    <m/>
    <n v="38"/>
    <n v="10"/>
    <n v="12"/>
    <n v="3"/>
    <n v="17"/>
    <n v="10"/>
    <n v="6"/>
    <n v="7"/>
    <m/>
    <n v="9"/>
    <n v="62"/>
    <n v="16"/>
    <n v="85"/>
    <m/>
    <m/>
    <m/>
    <n v="14"/>
    <m/>
    <m/>
    <n v="2"/>
    <m/>
    <m/>
    <n v="2"/>
    <n v="282"/>
    <n v="7"/>
    <m/>
    <n v="1"/>
    <n v="2"/>
    <m/>
    <n v="3"/>
    <n v="1"/>
    <m/>
    <n v="314"/>
    <n v="1"/>
    <n v="308"/>
    <n v="5"/>
    <n v="2011"/>
  </r>
  <r>
    <n v="106121002"/>
    <s v="121002"/>
    <x v="38"/>
    <s v="3800 JANES ROAD"/>
    <s v="ARCATA"/>
    <n v="95521"/>
    <x v="0"/>
    <x v="0"/>
    <x v="10"/>
    <x v="7"/>
    <s v="39"/>
    <m/>
    <s v="01 - Northern California"/>
    <x v="10"/>
    <s v="General Acute Care"/>
    <s v="Investor - Corporation"/>
    <s v="General Medical / Surgical"/>
    <n v="78"/>
    <x v="0"/>
    <n v="7139"/>
    <n v="6797"/>
    <n v="1"/>
    <m/>
    <n v="1222"/>
    <n v="1646"/>
    <n v="3290"/>
    <n v="2168"/>
    <n v="1475"/>
    <n v="1627"/>
    <n v="1023"/>
    <n v="638"/>
    <n v="637"/>
    <n v="211"/>
    <m/>
    <n v="80"/>
    <n v="319"/>
    <n v="507"/>
    <n v="1181"/>
    <n v="149"/>
    <m/>
    <n v="11701"/>
    <n v="330"/>
    <n v="142"/>
    <m/>
    <n v="25"/>
    <n v="8"/>
    <m/>
    <m/>
    <m/>
    <m/>
    <n v="95"/>
    <n v="2"/>
    <n v="13332"/>
    <n v="3"/>
    <m/>
    <m/>
    <n v="4189"/>
    <n v="2711"/>
    <n v="853"/>
    <n v="4375"/>
    <n v="1809"/>
    <n v="172"/>
    <n v="18"/>
    <n v="319"/>
    <n v="2"/>
    <n v="848"/>
    <n v="234"/>
    <n v="668"/>
    <n v="234"/>
    <n v="3756"/>
    <n v="891"/>
    <n v="8"/>
    <n v="839"/>
    <n v="446"/>
    <n v="3"/>
    <n v="578"/>
    <n v="1439"/>
    <n v="1013"/>
    <n v="2467"/>
    <n v="1"/>
    <n v="1"/>
    <n v="1107"/>
    <n v="44"/>
    <n v="121"/>
    <n v="16"/>
    <n v="222"/>
    <n v="2"/>
    <m/>
    <n v="210"/>
    <n v="9587"/>
    <n v="2078"/>
    <n v="138"/>
    <n v="318"/>
    <n v="65"/>
    <n v="25"/>
    <n v="4"/>
    <m/>
    <n v="13937"/>
    <n v="56"/>
    <n v="13768"/>
    <n v="113"/>
    <n v="566"/>
    <n v="497"/>
    <m/>
    <m/>
    <n v="27"/>
    <n v="69"/>
    <n v="73"/>
    <n v="83"/>
    <n v="195"/>
    <n v="207"/>
    <n v="180"/>
    <n v="200"/>
    <n v="6"/>
    <n v="23"/>
    <m/>
    <n v="4"/>
    <n v="16"/>
    <n v="15"/>
    <n v="7"/>
    <m/>
    <n v="918"/>
    <n v="103"/>
    <n v="42"/>
    <n v="25"/>
    <n v="35"/>
    <n v="142"/>
    <n v="14"/>
    <m/>
    <m/>
    <n v="714"/>
    <n v="91"/>
    <m/>
    <n v="0"/>
    <n v="0"/>
    <n v="0"/>
    <n v="0"/>
    <n v="0"/>
    <n v="210"/>
    <n v="552"/>
    <n v="30"/>
    <n v="164"/>
    <n v="107"/>
    <n v="7"/>
    <n v="8"/>
    <n v="148"/>
    <m/>
    <n v="208"/>
    <n v="51"/>
    <n v="46"/>
    <n v="56"/>
    <n v="84"/>
    <n v="17"/>
    <n v="12"/>
    <n v="22"/>
    <m/>
    <n v="10"/>
    <n v="257"/>
    <n v="73"/>
    <n v="60"/>
    <n v="3"/>
    <n v="1"/>
    <m/>
    <n v="32"/>
    <n v="18"/>
    <n v="33"/>
    <n v="5"/>
    <n v="2"/>
    <n v="21"/>
    <n v="2"/>
    <n v="909"/>
    <n v="6"/>
    <n v="1"/>
    <n v="13"/>
    <n v="8"/>
    <n v="8"/>
    <n v="5"/>
    <m/>
    <m/>
    <n v="1063"/>
    <n v="6"/>
    <n v="1055"/>
    <n v="2"/>
    <n v="2011"/>
  </r>
  <r>
    <n v="106121031"/>
    <s v="121031"/>
    <x v="39"/>
    <s v="733 CEDAR STREET"/>
    <s v="GARBERVILLE"/>
    <n v="95542"/>
    <x v="0"/>
    <x v="0"/>
    <x v="10"/>
    <x v="7"/>
    <s v="44"/>
    <m/>
    <s v="01 - Northern California"/>
    <x v="10"/>
    <s v="General Acute Care"/>
    <s v="District"/>
    <s v="Other"/>
    <n v="9"/>
    <x v="2"/>
    <n v="1068"/>
    <n v="1496"/>
    <m/>
    <m/>
    <n v="179"/>
    <n v="217"/>
    <n v="504"/>
    <n v="425"/>
    <n v="324"/>
    <n v="349"/>
    <n v="283"/>
    <n v="141"/>
    <n v="122"/>
    <n v="20"/>
    <m/>
    <n v="20"/>
    <n v="33"/>
    <n v="113"/>
    <n v="77"/>
    <n v="10"/>
    <n v="22"/>
    <n v="2289"/>
    <n v="8"/>
    <n v="82"/>
    <n v="215"/>
    <n v="1"/>
    <m/>
    <m/>
    <n v="1"/>
    <m/>
    <n v="16"/>
    <n v="8"/>
    <m/>
    <n v="2218"/>
    <m/>
    <m/>
    <n v="15"/>
    <n v="707"/>
    <n v="510"/>
    <n v="81"/>
    <n v="512"/>
    <n v="754"/>
    <n v="11"/>
    <n v="2"/>
    <n v="77"/>
    <n v="1"/>
    <n v="203"/>
    <n v="26"/>
    <n v="103"/>
    <n v="80"/>
    <n v="791"/>
    <n v="132"/>
    <n v="6"/>
    <n v="159"/>
    <n v="40"/>
    <m/>
    <n v="113"/>
    <n v="191"/>
    <n v="223"/>
    <n v="406"/>
    <m/>
    <m/>
    <n v="246"/>
    <n v="10"/>
    <n v="17"/>
    <n v="4"/>
    <n v="33"/>
    <n v="18"/>
    <n v="8"/>
    <n v="69"/>
    <n v="1705"/>
    <n v="285"/>
    <n v="15"/>
    <n v="113"/>
    <n v="3"/>
    <n v="20"/>
    <n v="18"/>
    <m/>
    <n v="2564"/>
    <n v="8"/>
    <n v="2525"/>
    <n v="31"/>
    <n v="8"/>
    <n v="28"/>
    <m/>
    <m/>
    <m/>
    <n v="3"/>
    <n v="3"/>
    <n v="5"/>
    <n v="7"/>
    <n v="10"/>
    <n v="2"/>
    <n v="6"/>
    <m/>
    <m/>
    <m/>
    <m/>
    <m/>
    <n v="2"/>
    <m/>
    <m/>
    <n v="34"/>
    <m/>
    <n v="7"/>
    <n v="1"/>
    <n v="1"/>
    <m/>
    <m/>
    <m/>
    <m/>
    <n v="20"/>
    <n v="7"/>
    <m/>
    <n v="0"/>
    <n v="0"/>
    <n v="0"/>
    <n v="0"/>
    <n v="0"/>
    <n v="7"/>
    <n v="18"/>
    <m/>
    <n v="2"/>
    <n v="9"/>
    <m/>
    <m/>
    <n v="2"/>
    <m/>
    <n v="3"/>
    <n v="4"/>
    <n v="1"/>
    <n v="3"/>
    <n v="2"/>
    <m/>
    <m/>
    <n v="3"/>
    <m/>
    <n v="3"/>
    <n v="9"/>
    <n v="3"/>
    <n v="3"/>
    <m/>
    <m/>
    <m/>
    <n v="4"/>
    <m/>
    <m/>
    <m/>
    <m/>
    <m/>
    <m/>
    <n v="30"/>
    <n v="1"/>
    <m/>
    <m/>
    <m/>
    <m/>
    <n v="1"/>
    <m/>
    <m/>
    <n v="36"/>
    <m/>
    <n v="34"/>
    <n v="2"/>
    <n v="2011"/>
  </r>
  <r>
    <n v="106121051"/>
    <s v="121051"/>
    <x v="40"/>
    <s v="3300 RENNER DRIVE"/>
    <s v="FORTUNA"/>
    <n v="95540"/>
    <x v="0"/>
    <x v="0"/>
    <x v="10"/>
    <x v="7"/>
    <s v="42"/>
    <m/>
    <s v="01 - Northern California"/>
    <x v="10"/>
    <s v="General Acute Care"/>
    <s v="Non-Profit Corporation (incl. Church-related)"/>
    <s v="General Medical / Surgical"/>
    <n v="35"/>
    <x v="0"/>
    <n v="5755"/>
    <n v="4954"/>
    <m/>
    <m/>
    <n v="1101"/>
    <n v="1215"/>
    <n v="1796"/>
    <n v="1443"/>
    <n v="1223"/>
    <n v="1450"/>
    <n v="882"/>
    <n v="611"/>
    <n v="738"/>
    <n v="250"/>
    <m/>
    <n v="57"/>
    <n v="79"/>
    <n v="720"/>
    <n v="233"/>
    <n v="205"/>
    <n v="71"/>
    <n v="9344"/>
    <n v="457"/>
    <n v="65"/>
    <m/>
    <n v="26"/>
    <m/>
    <n v="1"/>
    <n v="13"/>
    <m/>
    <n v="95"/>
    <n v="10"/>
    <m/>
    <n v="10033"/>
    <n v="9"/>
    <m/>
    <m/>
    <n v="3508"/>
    <n v="2602"/>
    <n v="839"/>
    <n v="2249"/>
    <n v="1511"/>
    <n v="237"/>
    <n v="29"/>
    <n v="316"/>
    <m/>
    <n v="579"/>
    <n v="121"/>
    <n v="521"/>
    <n v="158"/>
    <n v="2598"/>
    <n v="769"/>
    <n v="10"/>
    <n v="819"/>
    <n v="190"/>
    <n v="15"/>
    <n v="227"/>
    <n v="967"/>
    <n v="805"/>
    <n v="2348"/>
    <m/>
    <m/>
    <n v="813"/>
    <n v="59"/>
    <n v="83"/>
    <n v="15"/>
    <n v="135"/>
    <n v="16"/>
    <n v="64"/>
    <n v="208"/>
    <n v="7692"/>
    <n v="1153"/>
    <n v="78"/>
    <n v="275"/>
    <n v="26"/>
    <n v="66"/>
    <n v="26"/>
    <m/>
    <n v="10709"/>
    <n v="38"/>
    <n v="10312"/>
    <n v="359"/>
    <n v="411"/>
    <n v="326"/>
    <m/>
    <m/>
    <n v="19"/>
    <n v="32"/>
    <n v="47"/>
    <n v="71"/>
    <n v="107"/>
    <n v="127"/>
    <n v="128"/>
    <n v="183"/>
    <n v="5"/>
    <n v="18"/>
    <m/>
    <n v="6"/>
    <n v="1"/>
    <n v="27"/>
    <n v="16"/>
    <n v="2"/>
    <n v="662"/>
    <n v="23"/>
    <n v="34"/>
    <n v="4"/>
    <n v="26"/>
    <n v="90"/>
    <n v="17"/>
    <m/>
    <n v="7"/>
    <n v="436"/>
    <n v="123"/>
    <m/>
    <n v="0"/>
    <n v="0"/>
    <n v="0"/>
    <n v="0"/>
    <n v="0"/>
    <n v="120"/>
    <n v="432"/>
    <n v="15"/>
    <n v="94"/>
    <n v="76"/>
    <n v="6"/>
    <n v="6"/>
    <n v="88"/>
    <n v="1"/>
    <n v="148"/>
    <n v="33"/>
    <n v="46"/>
    <n v="42"/>
    <n v="93"/>
    <n v="14"/>
    <n v="17"/>
    <n v="10"/>
    <m/>
    <n v="12"/>
    <n v="155"/>
    <n v="38"/>
    <n v="27"/>
    <m/>
    <n v="1"/>
    <m/>
    <n v="59"/>
    <n v="8"/>
    <n v="68"/>
    <n v="3"/>
    <n v="5"/>
    <n v="9"/>
    <n v="2"/>
    <n v="543"/>
    <n v="13"/>
    <n v="2"/>
    <n v="11"/>
    <n v="9"/>
    <n v="3"/>
    <n v="2"/>
    <m/>
    <m/>
    <n v="737"/>
    <n v="4"/>
    <n v="714"/>
    <n v="19"/>
    <n v="2011"/>
  </r>
  <r>
    <n v="106121080"/>
    <s v="121080"/>
    <x v="41"/>
    <s v="2700 DOLBEER STREET"/>
    <s v="EUREKA"/>
    <n v="95501"/>
    <x v="0"/>
    <x v="0"/>
    <x v="10"/>
    <x v="7"/>
    <s v="39"/>
    <m/>
    <s v="01 - Northern California"/>
    <x v="10"/>
    <s v="General Acute Care"/>
    <s v="Non-Profit Corporation (incl. Church-related)"/>
    <s v="General Medical / Surgical"/>
    <n v="146"/>
    <x v="0"/>
    <n v="10040"/>
    <n v="9296"/>
    <m/>
    <m/>
    <n v="1451"/>
    <n v="1580"/>
    <n v="3753"/>
    <n v="2998"/>
    <n v="2786"/>
    <n v="2728"/>
    <n v="1681"/>
    <n v="996"/>
    <n v="1066"/>
    <n v="297"/>
    <m/>
    <n v="357"/>
    <n v="514"/>
    <n v="833"/>
    <n v="744"/>
    <n v="439"/>
    <n v="270"/>
    <n v="16179"/>
    <n v="138"/>
    <n v="89"/>
    <m/>
    <n v="68"/>
    <n v="3"/>
    <n v="2"/>
    <n v="2"/>
    <n v="4"/>
    <n v="525"/>
    <n v="178"/>
    <n v="1"/>
    <n v="18288"/>
    <n v="38"/>
    <m/>
    <m/>
    <n v="5874"/>
    <n v="4400"/>
    <n v="2183"/>
    <n v="4009"/>
    <n v="2870"/>
    <n v="408"/>
    <n v="32"/>
    <n v="534"/>
    <m/>
    <n v="915"/>
    <n v="323"/>
    <n v="847"/>
    <n v="307"/>
    <n v="4139"/>
    <n v="1145"/>
    <n v="20"/>
    <n v="1687"/>
    <n v="660"/>
    <n v="13"/>
    <n v="921"/>
    <n v="1529"/>
    <n v="960"/>
    <n v="4896"/>
    <m/>
    <m/>
    <n v="1444"/>
    <n v="105"/>
    <n v="167"/>
    <n v="18"/>
    <n v="369"/>
    <n v="51"/>
    <n v="173"/>
    <n v="180"/>
    <n v="14256"/>
    <n v="1677"/>
    <n v="125"/>
    <n v="486"/>
    <n v="104"/>
    <n v="103"/>
    <n v="78"/>
    <m/>
    <n v="19336"/>
    <n v="216"/>
    <n v="18785"/>
    <n v="335"/>
    <n v="1759"/>
    <n v="1814"/>
    <m/>
    <m/>
    <n v="83"/>
    <n v="194"/>
    <n v="276"/>
    <n v="356"/>
    <n v="631"/>
    <n v="667"/>
    <n v="568"/>
    <n v="717"/>
    <n v="33"/>
    <n v="48"/>
    <m/>
    <n v="43"/>
    <n v="44"/>
    <n v="82"/>
    <n v="47"/>
    <n v="31"/>
    <n v="3189"/>
    <n v="137"/>
    <n v="81"/>
    <n v="65"/>
    <n v="150"/>
    <n v="570"/>
    <n v="178"/>
    <n v="1"/>
    <n v="29"/>
    <n v="2054"/>
    <n v="431"/>
    <n v="14"/>
    <n v="0"/>
    <n v="0"/>
    <n v="0"/>
    <n v="0"/>
    <n v="0"/>
    <n v="668"/>
    <n v="1882"/>
    <n v="113"/>
    <n v="534"/>
    <n v="376"/>
    <n v="22"/>
    <n v="36"/>
    <n v="743"/>
    <n v="6"/>
    <n v="525"/>
    <n v="124"/>
    <n v="190"/>
    <n v="242"/>
    <n v="535"/>
    <n v="82"/>
    <n v="110"/>
    <n v="73"/>
    <n v="2"/>
    <n v="70"/>
    <n v="503"/>
    <n v="141"/>
    <n v="162"/>
    <n v="2"/>
    <n v="5"/>
    <m/>
    <n v="277"/>
    <n v="53"/>
    <n v="336"/>
    <n v="15"/>
    <n v="37"/>
    <n v="231"/>
    <n v="15"/>
    <n v="2388"/>
    <n v="69"/>
    <n v="13"/>
    <n v="55"/>
    <n v="61"/>
    <n v="8"/>
    <n v="13"/>
    <n v="2"/>
    <m/>
    <n v="3573"/>
    <n v="51"/>
    <n v="3469"/>
    <n v="53"/>
    <n v="2011"/>
  </r>
  <r>
    <n v="106130699"/>
    <s v="130699"/>
    <x v="42"/>
    <s v="1415 ROSS AVENUE"/>
    <s v="EL CENTRO"/>
    <n v="92243"/>
    <x v="3"/>
    <x v="0"/>
    <x v="15"/>
    <x v="8"/>
    <s v="48"/>
    <m/>
    <s v="14 - San Diego/Imperial"/>
    <x v="11"/>
    <s v="General Acute Care"/>
    <s v="City and/or County"/>
    <s v="General Medical / Surgical"/>
    <n v="165"/>
    <x v="0"/>
    <n v="21356"/>
    <n v="18729"/>
    <n v="6"/>
    <m/>
    <n v="6463"/>
    <n v="5241"/>
    <n v="6010"/>
    <n v="4555"/>
    <n v="4405"/>
    <n v="4082"/>
    <n v="2898"/>
    <n v="2626"/>
    <n v="2270"/>
    <n v="1541"/>
    <m/>
    <n v="127"/>
    <n v="834"/>
    <n v="32667"/>
    <n v="26"/>
    <n v="711"/>
    <n v="209"/>
    <n v="5517"/>
    <n v="475"/>
    <n v="479"/>
    <n v="136"/>
    <n v="68"/>
    <m/>
    <m/>
    <m/>
    <n v="77"/>
    <n v="249"/>
    <n v="12"/>
    <m/>
    <n v="38582"/>
    <n v="13"/>
    <m/>
    <m/>
    <n v="18879"/>
    <n v="7620"/>
    <n v="1567"/>
    <n v="8281"/>
    <n v="3744"/>
    <n v="1073"/>
    <n v="254"/>
    <n v="1183"/>
    <n v="11"/>
    <n v="2539"/>
    <n v="616"/>
    <n v="2503"/>
    <n v="825"/>
    <n v="8073"/>
    <n v="2201"/>
    <n v="55"/>
    <n v="2371"/>
    <n v="3002"/>
    <n v="105"/>
    <n v="965"/>
    <n v="5165"/>
    <n v="1587"/>
    <n v="7561"/>
    <n v="1"/>
    <n v="1"/>
    <n v="2483"/>
    <n v="181"/>
    <n v="272"/>
    <n v="28"/>
    <n v="387"/>
    <n v="16"/>
    <n v="224"/>
    <n v="488"/>
    <n v="30937"/>
    <n v="3738"/>
    <n v="133"/>
    <n v="873"/>
    <n v="66"/>
    <n v="215"/>
    <n v="50"/>
    <m/>
    <n v="40091"/>
    <n v="22"/>
    <n v="25671"/>
    <n v="14398"/>
    <n v="1989"/>
    <n v="2224"/>
    <m/>
    <m/>
    <n v="116"/>
    <n v="182"/>
    <n v="245"/>
    <n v="393"/>
    <n v="557"/>
    <n v="706"/>
    <n v="830"/>
    <n v="985"/>
    <n v="83"/>
    <n v="116"/>
    <m/>
    <n v="18"/>
    <n v="94"/>
    <n v="3286"/>
    <n v="66"/>
    <n v="18"/>
    <n v="730"/>
    <n v="1"/>
    <n v="207"/>
    <n v="94"/>
    <n v="159"/>
    <n v="452"/>
    <n v="39"/>
    <n v="12"/>
    <n v="1"/>
    <n v="2833"/>
    <n v="382"/>
    <n v="34"/>
    <n v="0"/>
    <n v="0"/>
    <n v="0"/>
    <n v="0"/>
    <n v="0"/>
    <n v="848"/>
    <n v="2382"/>
    <n v="39"/>
    <n v="554"/>
    <n v="390"/>
    <n v="74"/>
    <n v="70"/>
    <n v="833"/>
    <n v="1"/>
    <n v="821"/>
    <n v="263"/>
    <n v="272"/>
    <n v="268"/>
    <n v="327"/>
    <n v="65"/>
    <n v="109"/>
    <n v="76"/>
    <n v="11"/>
    <n v="26"/>
    <n v="634"/>
    <n v="95"/>
    <n v="251"/>
    <n v="3"/>
    <n v="14"/>
    <m/>
    <n v="211"/>
    <n v="25"/>
    <n v="115"/>
    <n v="15"/>
    <n v="2"/>
    <n v="119"/>
    <n v="20"/>
    <n v="3616"/>
    <n v="23"/>
    <n v="2"/>
    <n v="29"/>
    <n v="12"/>
    <n v="9"/>
    <n v="14"/>
    <n v="1"/>
    <m/>
    <n v="4213"/>
    <n v="2"/>
    <n v="1987"/>
    <n v="2224"/>
    <n v="2011"/>
  </r>
  <r>
    <n v="106130760"/>
    <s v="130760"/>
    <x v="43"/>
    <s v="207 WEST LEGION ROAD"/>
    <s v="BRAWLEY"/>
    <n v="92227"/>
    <x v="3"/>
    <x v="0"/>
    <x v="15"/>
    <x v="8"/>
    <s v="50"/>
    <m/>
    <s v="14 - San Diego/Imperial"/>
    <x v="11"/>
    <s v="General Acute Care"/>
    <s v="District"/>
    <s v="General Medical / Surgical"/>
    <n v="107"/>
    <x v="0"/>
    <n v="21605"/>
    <n v="17012"/>
    <n v="2"/>
    <m/>
    <n v="7035"/>
    <n v="5355"/>
    <n v="6512"/>
    <n v="5286"/>
    <n v="4616"/>
    <n v="3576"/>
    <n v="2027"/>
    <n v="1430"/>
    <n v="1093"/>
    <n v="1689"/>
    <m/>
    <n v="71"/>
    <n v="661"/>
    <n v="30032"/>
    <n v="14"/>
    <n v="610"/>
    <n v="427"/>
    <n v="6804"/>
    <n v="665"/>
    <n v="350"/>
    <n v="287"/>
    <n v="27"/>
    <n v="19"/>
    <n v="3"/>
    <n v="1"/>
    <n v="55"/>
    <m/>
    <m/>
    <m/>
    <n v="37197"/>
    <n v="15"/>
    <m/>
    <m/>
    <n v="18789"/>
    <n v="4460"/>
    <n v="1539"/>
    <n v="10722"/>
    <n v="3109"/>
    <n v="1156"/>
    <n v="125"/>
    <n v="495"/>
    <n v="4"/>
    <n v="1681"/>
    <n v="425"/>
    <n v="2186"/>
    <n v="638"/>
    <n v="7666"/>
    <n v="2831"/>
    <n v="41"/>
    <n v="2165"/>
    <n v="1209"/>
    <n v="45"/>
    <n v="921"/>
    <n v="5349"/>
    <n v="1834"/>
    <n v="9848"/>
    <m/>
    <m/>
    <n v="1952"/>
    <n v="91"/>
    <n v="390"/>
    <n v="29"/>
    <n v="215"/>
    <n v="18"/>
    <n v="139"/>
    <n v="376"/>
    <n v="30463"/>
    <n v="3637"/>
    <n v="111"/>
    <n v="981"/>
    <n v="40"/>
    <n v="151"/>
    <n v="26"/>
    <m/>
    <n v="38619"/>
    <n v="65"/>
    <n v="32258"/>
    <n v="6296"/>
    <n v="1555"/>
    <n v="1538"/>
    <m/>
    <m/>
    <n v="66"/>
    <n v="215"/>
    <n v="234"/>
    <n v="344"/>
    <n v="463"/>
    <n v="492"/>
    <n v="512"/>
    <n v="541"/>
    <n v="87"/>
    <n v="139"/>
    <m/>
    <n v="5"/>
    <n v="83"/>
    <n v="2156"/>
    <n v="44"/>
    <n v="102"/>
    <n v="699"/>
    <n v="4"/>
    <n v="127"/>
    <n v="78"/>
    <n v="67"/>
    <n v="158"/>
    <n v="73"/>
    <m/>
    <m/>
    <n v="2327"/>
    <n v="169"/>
    <n v="94"/>
    <n v="0"/>
    <n v="0"/>
    <n v="0"/>
    <n v="0"/>
    <n v="0"/>
    <n v="819"/>
    <n v="1408"/>
    <n v="117"/>
    <n v="499"/>
    <n v="250"/>
    <n v="49"/>
    <n v="54"/>
    <n v="496"/>
    <n v="1"/>
    <n v="566"/>
    <n v="158"/>
    <n v="208"/>
    <n v="291"/>
    <n v="148"/>
    <n v="55"/>
    <n v="45"/>
    <n v="71"/>
    <n v="1"/>
    <n v="14"/>
    <n v="627"/>
    <n v="127"/>
    <n v="175"/>
    <m/>
    <n v="7"/>
    <m/>
    <n v="103"/>
    <n v="14"/>
    <n v="88"/>
    <n v="5"/>
    <n v="2"/>
    <n v="49"/>
    <n v="16"/>
    <n v="2730"/>
    <n v="46"/>
    <n v="1"/>
    <n v="18"/>
    <n v="6"/>
    <n v="3"/>
    <n v="11"/>
    <n v="1"/>
    <m/>
    <n v="3093"/>
    <n v="12"/>
    <n v="2162"/>
    <n v="919"/>
    <n v="2011"/>
  </r>
  <r>
    <n v="106141273"/>
    <s v="141273"/>
    <x v="44"/>
    <s v="150 PIONEER LANE"/>
    <s v="BISHOP"/>
    <n v="93514"/>
    <x v="0"/>
    <x v="0"/>
    <x v="16"/>
    <x v="9"/>
    <s v="53"/>
    <m/>
    <s v="12 - Inland Counties"/>
    <x v="12"/>
    <s v="General Acute Care"/>
    <s v="District"/>
    <s v="General Medical / Surgical"/>
    <n v="25"/>
    <x v="0"/>
    <n v="3561"/>
    <n v="3510"/>
    <m/>
    <m/>
    <n v="740"/>
    <n v="853"/>
    <n v="906"/>
    <n v="771"/>
    <n v="837"/>
    <n v="899"/>
    <n v="713"/>
    <n v="552"/>
    <n v="675"/>
    <n v="125"/>
    <m/>
    <n v="38"/>
    <n v="30"/>
    <n v="988"/>
    <n v="680"/>
    <n v="11"/>
    <n v="55"/>
    <n v="5269"/>
    <n v="164"/>
    <n v="32"/>
    <n v="8"/>
    <n v="18"/>
    <n v="2"/>
    <n v="1"/>
    <m/>
    <n v="1"/>
    <n v="43"/>
    <n v="2"/>
    <m/>
    <n v="6778"/>
    <n v="12"/>
    <m/>
    <n v="10"/>
    <n v="1902"/>
    <n v="1815"/>
    <n v="351"/>
    <n v="2257"/>
    <n v="746"/>
    <n v="124"/>
    <n v="8"/>
    <n v="250"/>
    <n v="1"/>
    <n v="345"/>
    <n v="85"/>
    <n v="292"/>
    <n v="131"/>
    <n v="2019"/>
    <n v="433"/>
    <n v="10"/>
    <n v="450"/>
    <n v="472"/>
    <n v="1"/>
    <n v="153"/>
    <n v="575"/>
    <n v="251"/>
    <n v="1471"/>
    <m/>
    <m/>
    <n v="748"/>
    <n v="25"/>
    <n v="65"/>
    <n v="7"/>
    <n v="80"/>
    <n v="4"/>
    <n v="46"/>
    <n v="133"/>
    <n v="4635"/>
    <n v="1021"/>
    <n v="98"/>
    <n v="124"/>
    <n v="15"/>
    <n v="58"/>
    <n v="12"/>
    <m/>
    <n v="7071"/>
    <n v="53"/>
    <n v="6586"/>
    <n v="432"/>
    <n v="272"/>
    <n v="227"/>
    <m/>
    <m/>
    <n v="14"/>
    <n v="29"/>
    <n v="26"/>
    <n v="35"/>
    <n v="58"/>
    <n v="77"/>
    <n v="92"/>
    <n v="151"/>
    <n v="8"/>
    <n v="9"/>
    <m/>
    <m/>
    <m/>
    <n v="59"/>
    <n v="1"/>
    <n v="1"/>
    <n v="395"/>
    <n v="43"/>
    <n v="35"/>
    <n v="3"/>
    <n v="17"/>
    <n v="15"/>
    <n v="6"/>
    <n v="1"/>
    <n v="5"/>
    <n v="311"/>
    <n v="106"/>
    <m/>
    <n v="0"/>
    <n v="0"/>
    <n v="0"/>
    <n v="0"/>
    <n v="0"/>
    <n v="67"/>
    <n v="293"/>
    <n v="6"/>
    <n v="101"/>
    <n v="32"/>
    <n v="16"/>
    <n v="3"/>
    <n v="57"/>
    <m/>
    <n v="111"/>
    <n v="28"/>
    <n v="35"/>
    <n v="26"/>
    <n v="65"/>
    <n v="11"/>
    <n v="8"/>
    <n v="8"/>
    <m/>
    <n v="9"/>
    <n v="68"/>
    <n v="17"/>
    <n v="35"/>
    <m/>
    <n v="2"/>
    <m/>
    <n v="41"/>
    <n v="5"/>
    <n v="52"/>
    <n v="1"/>
    <n v="1"/>
    <n v="31"/>
    <n v="6"/>
    <n v="340"/>
    <n v="5"/>
    <n v="3"/>
    <n v="3"/>
    <n v="1"/>
    <n v="6"/>
    <n v="3"/>
    <n v="1"/>
    <m/>
    <n v="499"/>
    <n v="2"/>
    <n v="466"/>
    <n v="31"/>
    <n v="2011"/>
  </r>
  <r>
    <n v="106141338"/>
    <s v="141338"/>
    <x v="45"/>
    <s v="501 EAST LOCUST STREET"/>
    <s v="LONE PINE"/>
    <n v="93545"/>
    <x v="0"/>
    <x v="0"/>
    <x v="16"/>
    <x v="9"/>
    <s v="55"/>
    <m/>
    <s v="12 - Inland Counties"/>
    <x v="12"/>
    <s v="General Acute Care"/>
    <s v="District"/>
    <s v="Long-Term Care (SN/IC)"/>
    <n v="4"/>
    <x v="2"/>
    <n v="523"/>
    <n v="598"/>
    <m/>
    <m/>
    <n v="92"/>
    <n v="147"/>
    <n v="129"/>
    <n v="121"/>
    <n v="138"/>
    <n v="170"/>
    <n v="139"/>
    <n v="72"/>
    <n v="70"/>
    <n v="43"/>
    <m/>
    <n v="7"/>
    <n v="16"/>
    <n v="173"/>
    <n v="86"/>
    <n v="8"/>
    <m/>
    <n v="831"/>
    <n v="55"/>
    <n v="6"/>
    <m/>
    <n v="7"/>
    <n v="1"/>
    <m/>
    <m/>
    <m/>
    <n v="31"/>
    <n v="1"/>
    <m/>
    <n v="1019"/>
    <n v="1"/>
    <m/>
    <m/>
    <n v="255"/>
    <n v="211"/>
    <n v="91"/>
    <n v="388"/>
    <n v="176"/>
    <n v="23"/>
    <n v="3"/>
    <n v="42"/>
    <m/>
    <n v="50"/>
    <n v="30"/>
    <n v="28"/>
    <n v="31"/>
    <n v="368"/>
    <n v="73"/>
    <n v="3"/>
    <n v="57"/>
    <n v="7"/>
    <n v="1"/>
    <n v="31"/>
    <n v="66"/>
    <n v="45"/>
    <n v="263"/>
    <m/>
    <m/>
    <n v="139"/>
    <n v="6"/>
    <n v="4"/>
    <m/>
    <n v="12"/>
    <n v="1"/>
    <m/>
    <n v="14"/>
    <n v="709"/>
    <n v="183"/>
    <n v="8"/>
    <n v="33"/>
    <n v="3"/>
    <n v="8"/>
    <n v="1"/>
    <m/>
    <n v="1121"/>
    <n v="3"/>
    <n v="1098"/>
    <n v="20"/>
    <n v="40"/>
    <n v="34"/>
    <m/>
    <m/>
    <m/>
    <n v="7"/>
    <n v="1"/>
    <n v="12"/>
    <n v="10"/>
    <n v="14"/>
    <n v="15"/>
    <n v="14"/>
    <n v="1"/>
    <m/>
    <m/>
    <m/>
    <m/>
    <n v="22"/>
    <m/>
    <m/>
    <n v="51"/>
    <n v="1"/>
    <n v="1"/>
    <n v="3"/>
    <n v="3"/>
    <m/>
    <m/>
    <m/>
    <m/>
    <n v="58"/>
    <n v="9"/>
    <m/>
    <n v="0"/>
    <n v="0"/>
    <n v="0"/>
    <n v="0"/>
    <n v="0"/>
    <n v="12"/>
    <n v="31"/>
    <n v="2"/>
    <n v="22"/>
    <n v="7"/>
    <m/>
    <m/>
    <n v="3"/>
    <m/>
    <n v="5"/>
    <n v="4"/>
    <n v="4"/>
    <n v="1"/>
    <n v="17"/>
    <n v="4"/>
    <n v="1"/>
    <n v="2"/>
    <m/>
    <m/>
    <n v="19"/>
    <n v="2"/>
    <n v="12"/>
    <m/>
    <m/>
    <m/>
    <n v="3"/>
    <n v="1"/>
    <m/>
    <m/>
    <n v="2"/>
    <m/>
    <n v="12"/>
    <n v="55"/>
    <n v="1"/>
    <m/>
    <m/>
    <m/>
    <m/>
    <m/>
    <m/>
    <m/>
    <n v="74"/>
    <m/>
    <n v="70"/>
    <n v="4"/>
    <n v="2011"/>
  </r>
  <r>
    <n v="106150706"/>
    <s v="150706"/>
    <x v="46"/>
    <s v="1401 GARCES HIGHWAY"/>
    <s v="DELANO"/>
    <n v="93215"/>
    <x v="0"/>
    <x v="0"/>
    <x v="13"/>
    <x v="6"/>
    <s v="60"/>
    <m/>
    <s v="09 - Central"/>
    <x v="13"/>
    <s v="General Acute Care"/>
    <s v="Non-Profit Corporation (incl. Church-related)"/>
    <s v="General Medical / Surgical"/>
    <n v="111"/>
    <x v="0"/>
    <n v="10756"/>
    <n v="9798"/>
    <m/>
    <m/>
    <n v="4972"/>
    <n v="3001"/>
    <n v="3217"/>
    <n v="2446"/>
    <n v="1918"/>
    <n v="1469"/>
    <n v="908"/>
    <n v="692"/>
    <n v="505"/>
    <n v="1426"/>
    <m/>
    <n v="800"/>
    <n v="422"/>
    <n v="17168"/>
    <n v="7"/>
    <n v="502"/>
    <n v="26"/>
    <n v="1629"/>
    <n v="468"/>
    <m/>
    <m/>
    <n v="57"/>
    <m/>
    <m/>
    <m/>
    <m/>
    <m/>
    <n v="1"/>
    <n v="546"/>
    <n v="19404"/>
    <n v="78"/>
    <m/>
    <m/>
    <n v="10999"/>
    <n v="1810"/>
    <n v="1134"/>
    <n v="3473"/>
    <n v="3138"/>
    <n v="637"/>
    <n v="60"/>
    <n v="380"/>
    <n v="9"/>
    <n v="1322"/>
    <n v="323"/>
    <n v="1161"/>
    <n v="660"/>
    <n v="4663"/>
    <n v="627"/>
    <n v="11"/>
    <n v="1100"/>
    <n v="791"/>
    <n v="36"/>
    <n v="582"/>
    <n v="3005"/>
    <n v="906"/>
    <n v="4281"/>
    <m/>
    <m/>
    <n v="1487"/>
    <n v="61"/>
    <n v="131"/>
    <n v="15"/>
    <n v="339"/>
    <n v="10"/>
    <n v="29"/>
    <n v="320"/>
    <n v="15707"/>
    <n v="1642"/>
    <n v="76"/>
    <n v="501"/>
    <n v="65"/>
    <n v="155"/>
    <n v="16"/>
    <m/>
    <n v="20554"/>
    <n v="70"/>
    <n v="13847"/>
    <n v="6637"/>
    <n v="876"/>
    <n v="853"/>
    <m/>
    <m/>
    <n v="65"/>
    <n v="118"/>
    <n v="119"/>
    <n v="180"/>
    <n v="251"/>
    <n v="216"/>
    <n v="268"/>
    <n v="307"/>
    <n v="94"/>
    <n v="111"/>
    <m/>
    <n v="144"/>
    <n v="79"/>
    <n v="1248"/>
    <n v="29"/>
    <m/>
    <n v="229"/>
    <m/>
    <n v="59"/>
    <n v="9"/>
    <n v="67"/>
    <n v="13"/>
    <n v="15"/>
    <n v="4"/>
    <n v="1"/>
    <n v="1260"/>
    <n v="242"/>
    <n v="59"/>
    <n v="0"/>
    <n v="0"/>
    <n v="0"/>
    <n v="0"/>
    <n v="0"/>
    <n v="651"/>
    <n v="681"/>
    <n v="81"/>
    <n v="147"/>
    <n v="169"/>
    <n v="39"/>
    <n v="48"/>
    <n v="223"/>
    <n v="2"/>
    <n v="313"/>
    <n v="152"/>
    <n v="182"/>
    <n v="65"/>
    <n v="106"/>
    <n v="32"/>
    <n v="26"/>
    <n v="16"/>
    <n v="2"/>
    <n v="10"/>
    <n v="331"/>
    <n v="50"/>
    <n v="118"/>
    <m/>
    <n v="14"/>
    <m/>
    <n v="59"/>
    <n v="9"/>
    <n v="46"/>
    <n v="3"/>
    <n v="1"/>
    <n v="90"/>
    <n v="2"/>
    <n v="1476"/>
    <n v="19"/>
    <n v="1"/>
    <n v="11"/>
    <n v="8"/>
    <n v="2"/>
    <n v="2"/>
    <m/>
    <m/>
    <n v="1729"/>
    <n v="5"/>
    <n v="1106"/>
    <n v="618"/>
    <n v="2011"/>
  </r>
  <r>
    <n v="106150722"/>
    <s v="150722"/>
    <x v="47"/>
    <s v="420 - 34TH STREET"/>
    <s v="BAKERSFIELD"/>
    <n v="93301"/>
    <x v="0"/>
    <x v="0"/>
    <x v="17"/>
    <x v="9"/>
    <s v="66a"/>
    <m/>
    <s v="09 - Central"/>
    <x v="13"/>
    <s v="General Acute Care"/>
    <s v="Non-Profit Corporation (incl. Church-related)"/>
    <s v="General Medical / Surgical"/>
    <n v="418"/>
    <x v="0"/>
    <n v="29152"/>
    <n v="21492"/>
    <m/>
    <m/>
    <n v="12826"/>
    <n v="7052"/>
    <n v="8692"/>
    <n v="5466"/>
    <n v="4176"/>
    <n v="3576"/>
    <n v="1991"/>
    <n v="1209"/>
    <n v="1037"/>
    <n v="4619"/>
    <m/>
    <n v="450"/>
    <n v="5416"/>
    <n v="27970"/>
    <n v="72"/>
    <n v="1672"/>
    <n v="40"/>
    <n v="15024"/>
    <n v="262"/>
    <n v="270"/>
    <n v="128"/>
    <n v="55"/>
    <m/>
    <n v="3"/>
    <n v="14"/>
    <m/>
    <m/>
    <n v="36"/>
    <n v="5"/>
    <n v="49840"/>
    <n v="31"/>
    <m/>
    <m/>
    <n v="31638"/>
    <n v="5314"/>
    <n v="809"/>
    <n v="6274"/>
    <n v="6609"/>
    <n v="2468"/>
    <n v="164"/>
    <n v="639"/>
    <n v="17"/>
    <n v="2960"/>
    <n v="773"/>
    <n v="2734"/>
    <n v="1209"/>
    <n v="8252"/>
    <n v="2235"/>
    <n v="37"/>
    <n v="3405"/>
    <n v="1341"/>
    <n v="395"/>
    <n v="732"/>
    <n v="9683"/>
    <n v="2929"/>
    <n v="10671"/>
    <m/>
    <m/>
    <n v="2646"/>
    <n v="107"/>
    <n v="273"/>
    <n v="18"/>
    <n v="586"/>
    <n v="46"/>
    <n v="290"/>
    <n v="625"/>
    <n v="41235"/>
    <n v="3427"/>
    <n v="202"/>
    <n v="840"/>
    <n v="54"/>
    <n v="248"/>
    <n v="47"/>
    <m/>
    <n v="50644"/>
    <n v="57"/>
    <n v="44657"/>
    <n v="5930"/>
    <n v="4360"/>
    <n v="3798"/>
    <m/>
    <m/>
    <n v="304"/>
    <n v="576"/>
    <n v="583"/>
    <n v="905"/>
    <n v="1497"/>
    <n v="1298"/>
    <n v="1133"/>
    <n v="1104"/>
    <n v="339"/>
    <n v="419"/>
    <m/>
    <n v="130"/>
    <n v="695"/>
    <n v="2908"/>
    <n v="47"/>
    <m/>
    <n v="4361"/>
    <n v="17"/>
    <n v="126"/>
    <n v="151"/>
    <n v="263"/>
    <n v="531"/>
    <n v="363"/>
    <n v="106"/>
    <n v="38"/>
    <n v="5726"/>
    <n v="649"/>
    <n v="205"/>
    <n v="0"/>
    <n v="0"/>
    <n v="0"/>
    <n v="0"/>
    <n v="0"/>
    <n v="2479"/>
    <n v="3579"/>
    <n v="172"/>
    <n v="1527"/>
    <n v="401"/>
    <n v="182"/>
    <n v="86"/>
    <n v="1457"/>
    <n v="10"/>
    <n v="1369"/>
    <n v="568"/>
    <n v="522"/>
    <n v="665"/>
    <n v="645"/>
    <n v="123"/>
    <n v="132"/>
    <n v="188"/>
    <n v="12"/>
    <n v="51"/>
    <n v="1114"/>
    <n v="214"/>
    <n v="734"/>
    <n v="2"/>
    <n v="84"/>
    <m/>
    <n v="361"/>
    <n v="66"/>
    <n v="350"/>
    <n v="5"/>
    <n v="21"/>
    <n v="551"/>
    <n v="33"/>
    <n v="6544"/>
    <n v="103"/>
    <n v="1"/>
    <n v="17"/>
    <n v="28"/>
    <n v="45"/>
    <n v="32"/>
    <n v="1"/>
    <m/>
    <n v="8158"/>
    <n v="25"/>
    <n v="7296"/>
    <n v="837"/>
    <n v="2011"/>
  </r>
  <r>
    <n v="106150736"/>
    <s v="150736"/>
    <x v="48"/>
    <s v="1700 MOUNT VERNON AVENUE"/>
    <s v="BAKERSFIELD"/>
    <n v="93306"/>
    <x v="2"/>
    <x v="1"/>
    <x v="17"/>
    <x v="6"/>
    <s v="66a"/>
    <m/>
    <s v="09 - Central"/>
    <x v="13"/>
    <s v="General Acute Care"/>
    <s v="City and/or County"/>
    <s v="General Medical / Surgical"/>
    <n v="197"/>
    <x v="0"/>
    <n v="17001"/>
    <n v="19817"/>
    <m/>
    <m/>
    <n v="3582"/>
    <n v="3924"/>
    <n v="7875"/>
    <n v="5935"/>
    <n v="6373"/>
    <n v="5375"/>
    <n v="1818"/>
    <n v="401"/>
    <n v="170"/>
    <n v="1365"/>
    <m/>
    <n v="250"/>
    <n v="4214"/>
    <n v="5662"/>
    <n v="77"/>
    <n v="14321"/>
    <n v="272"/>
    <n v="12022"/>
    <n v="9"/>
    <n v="5888"/>
    <m/>
    <n v="117"/>
    <m/>
    <n v="11"/>
    <m/>
    <n v="1"/>
    <n v="1660"/>
    <m/>
    <m/>
    <n v="28869"/>
    <m/>
    <n v="263"/>
    <m/>
    <n v="16435"/>
    <n v="1520"/>
    <n v="4087"/>
    <n v="4363"/>
    <n v="10413"/>
    <n v="1413"/>
    <n v="108"/>
    <n v="655"/>
    <n v="23"/>
    <n v="2079"/>
    <n v="634"/>
    <n v="1715"/>
    <n v="869"/>
    <n v="7830"/>
    <n v="2496"/>
    <n v="62"/>
    <n v="2000"/>
    <n v="3119"/>
    <n v="158"/>
    <n v="1129"/>
    <n v="3195"/>
    <n v="2045"/>
    <n v="7286"/>
    <n v="2"/>
    <m/>
    <n v="1646"/>
    <n v="41"/>
    <n v="132"/>
    <n v="10"/>
    <n v="1300"/>
    <n v="117"/>
    <n v="260"/>
    <n v="351"/>
    <n v="27664"/>
    <n v="2591"/>
    <n v="178"/>
    <n v="1741"/>
    <n v="435"/>
    <n v="161"/>
    <n v="191"/>
    <m/>
    <n v="36818"/>
    <n v="150"/>
    <n v="29505"/>
    <n v="7163"/>
    <n v="2029"/>
    <n v="2890"/>
    <m/>
    <m/>
    <n v="291"/>
    <n v="718"/>
    <n v="663"/>
    <n v="910"/>
    <n v="1070"/>
    <n v="571"/>
    <n v="146"/>
    <n v="105"/>
    <n v="256"/>
    <n v="189"/>
    <m/>
    <n v="60"/>
    <n v="455"/>
    <n v="1304"/>
    <n v="107"/>
    <n v="12"/>
    <n v="2966"/>
    <n v="15"/>
    <n v="110"/>
    <n v="162"/>
    <n v="106"/>
    <n v="15"/>
    <n v="114"/>
    <n v="5"/>
    <m/>
    <n v="4156"/>
    <n v="91"/>
    <n v="160"/>
    <n v="0"/>
    <n v="0"/>
    <n v="0"/>
    <n v="0"/>
    <n v="0"/>
    <n v="2862"/>
    <n v="504"/>
    <n v="279"/>
    <n v="385"/>
    <n v="889"/>
    <n v="84"/>
    <n v="59"/>
    <n v="477"/>
    <n v="5"/>
    <n v="716"/>
    <n v="256"/>
    <n v="263"/>
    <n v="238"/>
    <n v="1242"/>
    <n v="87"/>
    <n v="134"/>
    <n v="115"/>
    <n v="10"/>
    <n v="186"/>
    <n v="453"/>
    <n v="204"/>
    <n v="317"/>
    <n v="2"/>
    <n v="71"/>
    <m/>
    <n v="199"/>
    <n v="20"/>
    <n v="142"/>
    <n v="214"/>
    <n v="17"/>
    <n v="272"/>
    <n v="30"/>
    <n v="3278"/>
    <n v="105"/>
    <n v="36"/>
    <n v="488"/>
    <n v="80"/>
    <n v="16"/>
    <n v="19"/>
    <n v="3"/>
    <m/>
    <n v="4919"/>
    <n v="20"/>
    <n v="3714"/>
    <n v="1185"/>
    <n v="2011"/>
  </r>
  <r>
    <n v="106150737"/>
    <s v="150737"/>
    <x v="49"/>
    <s v="6412 LAUREL AVENUE"/>
    <s v="LAKE ISABELLA"/>
    <n v="93240"/>
    <x v="0"/>
    <x v="0"/>
    <x v="17"/>
    <x v="9"/>
    <s v="63"/>
    <m/>
    <s v="09 - Central"/>
    <x v="13"/>
    <s v="General Acute Care"/>
    <s v="District"/>
    <s v="Long-Term Care (SN/IC)"/>
    <n v="27"/>
    <x v="2"/>
    <n v="2981"/>
    <n v="2730"/>
    <m/>
    <m/>
    <n v="441"/>
    <n v="696"/>
    <n v="725"/>
    <n v="620"/>
    <n v="662"/>
    <n v="908"/>
    <n v="591"/>
    <n v="520"/>
    <n v="477"/>
    <n v="71"/>
    <m/>
    <n v="11"/>
    <n v="40"/>
    <n v="325"/>
    <n v="38"/>
    <n v="115"/>
    <n v="195"/>
    <n v="4987"/>
    <m/>
    <m/>
    <n v="3"/>
    <m/>
    <n v="201"/>
    <m/>
    <m/>
    <n v="34"/>
    <m/>
    <m/>
    <m/>
    <n v="5466"/>
    <n v="7"/>
    <m/>
    <m/>
    <n v="1865"/>
    <n v="1751"/>
    <n v="200"/>
    <n v="1070"/>
    <n v="825"/>
    <n v="52"/>
    <n v="20"/>
    <n v="241"/>
    <n v="1"/>
    <n v="367"/>
    <n v="98"/>
    <n v="265"/>
    <n v="74"/>
    <n v="1736"/>
    <n v="283"/>
    <n v="11"/>
    <n v="309"/>
    <n v="111"/>
    <n v="3"/>
    <n v="126"/>
    <n v="593"/>
    <n v="261"/>
    <n v="1157"/>
    <m/>
    <n v="3"/>
    <n v="553"/>
    <n v="25"/>
    <n v="65"/>
    <n v="13"/>
    <n v="83"/>
    <n v="4"/>
    <n v="19"/>
    <n v="164"/>
    <n v="3665"/>
    <n v="817"/>
    <n v="57"/>
    <n v="143"/>
    <n v="41"/>
    <n v="49"/>
    <n v="13"/>
    <m/>
    <n v="5711"/>
    <n v="13"/>
    <n v="5689"/>
    <n v="9"/>
    <n v="390"/>
    <n v="250"/>
    <m/>
    <m/>
    <n v="4"/>
    <n v="17"/>
    <n v="19"/>
    <n v="49"/>
    <n v="100"/>
    <n v="136"/>
    <n v="124"/>
    <n v="191"/>
    <m/>
    <m/>
    <m/>
    <m/>
    <m/>
    <n v="16"/>
    <n v="5"/>
    <n v="21"/>
    <n v="596"/>
    <n v="2"/>
    <n v="49"/>
    <n v="37"/>
    <n v="9"/>
    <n v="5"/>
    <m/>
    <m/>
    <n v="7"/>
    <n v="422"/>
    <n v="111"/>
    <m/>
    <n v="0"/>
    <n v="0"/>
    <n v="0"/>
    <n v="0"/>
    <n v="0"/>
    <n v="109"/>
    <n v="421"/>
    <n v="39"/>
    <n v="13"/>
    <n v="58"/>
    <n v="3"/>
    <n v="12"/>
    <n v="107"/>
    <m/>
    <n v="84"/>
    <n v="39"/>
    <n v="33"/>
    <n v="91"/>
    <n v="18"/>
    <n v="20"/>
    <n v="3"/>
    <n v="10"/>
    <m/>
    <n v="1"/>
    <n v="149"/>
    <n v="31"/>
    <n v="39"/>
    <m/>
    <m/>
    <m/>
    <n v="26"/>
    <n v="10"/>
    <n v="64"/>
    <m/>
    <m/>
    <n v="3"/>
    <n v="3"/>
    <n v="522"/>
    <n v="7"/>
    <n v="1"/>
    <n v="1"/>
    <m/>
    <n v="3"/>
    <m/>
    <m/>
    <m/>
    <n v="640"/>
    <n v="3"/>
    <n v="637"/>
    <m/>
    <n v="2011"/>
  </r>
  <r>
    <n v="106150761"/>
    <s v="150761"/>
    <x v="50"/>
    <s v="2215 TRUXTUN AVENUE"/>
    <s v="BAKERSFIELD"/>
    <n v="93301"/>
    <x v="0"/>
    <x v="0"/>
    <x v="17"/>
    <x v="9"/>
    <s v="66d"/>
    <m/>
    <s v="09 - Central"/>
    <x v="13"/>
    <s v="General Acute Care"/>
    <s v="Non-Profit Corporation (incl. Church-related)"/>
    <s v="General Medical / Surgical"/>
    <n v="144"/>
    <x v="0"/>
    <n v="30729"/>
    <n v="24409"/>
    <m/>
    <m/>
    <n v="8997"/>
    <n v="7677"/>
    <n v="10673"/>
    <n v="7691"/>
    <n v="6183"/>
    <n v="5220"/>
    <n v="2997"/>
    <n v="1657"/>
    <n v="1655"/>
    <n v="2388"/>
    <m/>
    <n v="1082"/>
    <n v="6411"/>
    <n v="21576"/>
    <n v="92"/>
    <n v="905"/>
    <n v="155"/>
    <n v="24917"/>
    <n v="823"/>
    <n v="438"/>
    <n v="83"/>
    <n v="155"/>
    <n v="3"/>
    <n v="5"/>
    <n v="12"/>
    <m/>
    <m/>
    <n v="144"/>
    <n v="21"/>
    <n v="53424"/>
    <n v="30"/>
    <m/>
    <m/>
    <n v="20067"/>
    <n v="7821"/>
    <n v="1568"/>
    <n v="15975"/>
    <n v="9707"/>
    <n v="1935"/>
    <n v="224"/>
    <n v="773"/>
    <n v="21"/>
    <n v="3325"/>
    <n v="1143"/>
    <n v="3413"/>
    <n v="1689"/>
    <n v="13137"/>
    <n v="2618"/>
    <n v="48"/>
    <n v="4694"/>
    <n v="1420"/>
    <n v="180"/>
    <n v="1326"/>
    <n v="7482"/>
    <n v="2888"/>
    <n v="8819"/>
    <m/>
    <n v="3"/>
    <n v="3841"/>
    <n v="326"/>
    <n v="566"/>
    <n v="16"/>
    <n v="838"/>
    <n v="102"/>
    <n v="456"/>
    <n v="599"/>
    <n v="40545"/>
    <n v="5373"/>
    <n v="286"/>
    <n v="1536"/>
    <n v="285"/>
    <n v="323"/>
    <n v="46"/>
    <m/>
    <n v="55138"/>
    <n v="212"/>
    <n v="50578"/>
    <n v="4348"/>
    <n v="3830"/>
    <n v="4197"/>
    <m/>
    <m/>
    <n v="210"/>
    <n v="812"/>
    <n v="918"/>
    <n v="1226"/>
    <n v="1512"/>
    <n v="1307"/>
    <n v="898"/>
    <n v="1133"/>
    <n v="6"/>
    <n v="5"/>
    <m/>
    <n v="194"/>
    <n v="827"/>
    <n v="2315"/>
    <n v="88"/>
    <m/>
    <n v="4549"/>
    <n v="54"/>
    <n v="202"/>
    <n v="154"/>
    <n v="267"/>
    <n v="405"/>
    <n v="298"/>
    <n v="142"/>
    <n v="11"/>
    <n v="4551"/>
    <n v="864"/>
    <n v="1133"/>
    <n v="0"/>
    <n v="0"/>
    <n v="0"/>
    <n v="0"/>
    <n v="0"/>
    <n v="1295"/>
    <n v="3007"/>
    <n v="176"/>
    <n v="2944"/>
    <n v="605"/>
    <n v="120"/>
    <n v="137"/>
    <n v="877"/>
    <n v="9"/>
    <n v="1525"/>
    <n v="408"/>
    <n v="590"/>
    <n v="690"/>
    <n v="1123"/>
    <n v="173"/>
    <n v="162"/>
    <n v="348"/>
    <n v="12"/>
    <n v="123"/>
    <n v="959"/>
    <n v="293"/>
    <n v="475"/>
    <n v="3"/>
    <m/>
    <m/>
    <n v="473"/>
    <n v="101"/>
    <n v="471"/>
    <n v="104"/>
    <n v="49"/>
    <n v="614"/>
    <n v="29"/>
    <n v="5865"/>
    <n v="107"/>
    <n v="11"/>
    <n v="41"/>
    <n v="97"/>
    <n v="45"/>
    <n v="13"/>
    <n v="7"/>
    <m/>
    <n v="8027"/>
    <n v="80"/>
    <n v="7302"/>
    <n v="645"/>
    <n v="2011"/>
  </r>
  <r>
    <n v="106150782"/>
    <s v="150782"/>
    <x v="51"/>
    <s v="1081 NORTH CHINA LAKE BLVD."/>
    <s v="RIDGECREST"/>
    <n v="93555"/>
    <x v="0"/>
    <x v="0"/>
    <x v="17"/>
    <x v="9"/>
    <s v="64"/>
    <m/>
    <s v="09 - Central"/>
    <x v="13"/>
    <s v="General Acute Care"/>
    <s v="Non-Profit Corporation (incl. Church-related)"/>
    <s v="General Medical / Surgical"/>
    <n v="98"/>
    <x v="0"/>
    <n v="7969"/>
    <n v="6403"/>
    <m/>
    <m/>
    <n v="1640"/>
    <n v="1623"/>
    <n v="2423"/>
    <n v="1786"/>
    <n v="1882"/>
    <n v="1759"/>
    <n v="1128"/>
    <n v="891"/>
    <n v="831"/>
    <n v="409"/>
    <m/>
    <n v="219"/>
    <n v="925"/>
    <n v="1857"/>
    <n v="9"/>
    <n v="242"/>
    <n v="197"/>
    <n v="10923"/>
    <n v="456"/>
    <n v="157"/>
    <m/>
    <n v="36"/>
    <n v="3"/>
    <n v="3"/>
    <m/>
    <n v="1"/>
    <n v="74"/>
    <n v="16"/>
    <m/>
    <n v="13580"/>
    <n v="40"/>
    <n v="6"/>
    <m/>
    <n v="4186"/>
    <n v="2827"/>
    <n v="1716"/>
    <n v="3487"/>
    <n v="2156"/>
    <n v="270"/>
    <n v="60"/>
    <n v="612"/>
    <n v="6"/>
    <n v="894"/>
    <n v="220"/>
    <n v="872"/>
    <n v="254"/>
    <n v="3248"/>
    <n v="776"/>
    <n v="19"/>
    <n v="763"/>
    <n v="1701"/>
    <n v="15"/>
    <n v="341"/>
    <n v="1420"/>
    <n v="567"/>
    <n v="2333"/>
    <m/>
    <n v="1"/>
    <n v="1049"/>
    <n v="59"/>
    <n v="163"/>
    <n v="14"/>
    <n v="157"/>
    <n v="3"/>
    <n v="132"/>
    <n v="169"/>
    <n v="10573"/>
    <n v="1377"/>
    <n v="70"/>
    <n v="446"/>
    <n v="44"/>
    <n v="98"/>
    <n v="18"/>
    <m/>
    <n v="14372"/>
    <n v="42"/>
    <n v="13929"/>
    <n v="401"/>
    <n v="779"/>
    <n v="654"/>
    <m/>
    <m/>
    <n v="43"/>
    <n v="108"/>
    <n v="91"/>
    <n v="141"/>
    <n v="210"/>
    <n v="219"/>
    <n v="260"/>
    <n v="262"/>
    <n v="32"/>
    <n v="67"/>
    <m/>
    <n v="19"/>
    <n v="58"/>
    <n v="133"/>
    <n v="25"/>
    <n v="8"/>
    <n v="1180"/>
    <n v="10"/>
    <n v="116"/>
    <n v="16"/>
    <n v="57"/>
    <n v="107"/>
    <n v="7"/>
    <m/>
    <m/>
    <n v="1007"/>
    <n v="122"/>
    <n v="1"/>
    <n v="0"/>
    <n v="0"/>
    <n v="0"/>
    <n v="0"/>
    <n v="0"/>
    <n v="283"/>
    <n v="680"/>
    <n v="44"/>
    <n v="335"/>
    <n v="91"/>
    <n v="40"/>
    <n v="24"/>
    <n v="184"/>
    <n v="2"/>
    <n v="328"/>
    <n v="85"/>
    <n v="50"/>
    <n v="135"/>
    <n v="115"/>
    <n v="15"/>
    <n v="27"/>
    <n v="11"/>
    <n v="1"/>
    <n v="11"/>
    <n v="278"/>
    <n v="80"/>
    <n v="45"/>
    <n v="1"/>
    <n v="1"/>
    <m/>
    <n v="50"/>
    <n v="20"/>
    <n v="78"/>
    <m/>
    <m/>
    <n v="55"/>
    <n v="16"/>
    <n v="1145"/>
    <n v="14"/>
    <n v="2"/>
    <n v="32"/>
    <n v="13"/>
    <n v="4"/>
    <n v="3"/>
    <n v="1"/>
    <m/>
    <n v="1433"/>
    <n v="7"/>
    <n v="1381"/>
    <n v="45"/>
    <n v="2011"/>
  </r>
  <r>
    <n v="106150788"/>
    <s v="150788"/>
    <x v="52"/>
    <s v="2615 CHESTER AVENUE"/>
    <s v="BAKERSFIELD"/>
    <n v="93301"/>
    <x v="0"/>
    <x v="0"/>
    <x v="17"/>
    <x v="9"/>
    <s v="66a"/>
    <m/>
    <s v="09 - Central"/>
    <x v="13"/>
    <s v="General Acute Care"/>
    <s v="Non-Profit Corporation (incl. Church-related)"/>
    <s v="General Medical / Surgical"/>
    <n v="255"/>
    <x v="0"/>
    <n v="29045"/>
    <n v="21777"/>
    <m/>
    <m/>
    <n v="8839"/>
    <n v="6361"/>
    <n v="9231"/>
    <n v="6513"/>
    <n v="6052"/>
    <n v="4867"/>
    <n v="2929"/>
    <n v="1985"/>
    <n v="1377"/>
    <n v="2662"/>
    <n v="6"/>
    <n v="419"/>
    <n v="6154"/>
    <n v="23636"/>
    <n v="80"/>
    <n v="873"/>
    <n v="583"/>
    <n v="19077"/>
    <n v="629"/>
    <n v="1996"/>
    <n v="60"/>
    <n v="57"/>
    <n v="117"/>
    <n v="19"/>
    <n v="6"/>
    <n v="7"/>
    <n v="174"/>
    <n v="59"/>
    <n v="29"/>
    <n v="47306"/>
    <n v="233"/>
    <n v="128"/>
    <n v="2"/>
    <n v="20918"/>
    <n v="6601"/>
    <n v="1863"/>
    <n v="13331"/>
    <n v="8109"/>
    <n v="2107"/>
    <n v="249"/>
    <n v="932"/>
    <n v="18"/>
    <n v="2993"/>
    <n v="724"/>
    <n v="3330"/>
    <n v="1906"/>
    <n v="8829"/>
    <n v="2552"/>
    <n v="65"/>
    <n v="3535"/>
    <n v="1950"/>
    <n v="193"/>
    <n v="1148"/>
    <n v="6907"/>
    <n v="2734"/>
    <n v="10649"/>
    <n v="1"/>
    <m/>
    <n v="2633"/>
    <n v="148"/>
    <n v="516"/>
    <n v="81"/>
    <n v="597"/>
    <n v="113"/>
    <n v="408"/>
    <n v="569"/>
    <n v="40603"/>
    <n v="3690"/>
    <n v="183"/>
    <n v="897"/>
    <n v="90"/>
    <n v="225"/>
    <n v="69"/>
    <m/>
    <n v="50822"/>
    <n v="80"/>
    <n v="45278"/>
    <n v="5464"/>
    <n v="6006"/>
    <n v="6512"/>
    <m/>
    <m/>
    <n v="211"/>
    <n v="810"/>
    <n v="1088"/>
    <n v="1678"/>
    <n v="2423"/>
    <n v="2177"/>
    <n v="1988"/>
    <n v="1860"/>
    <n v="121"/>
    <n v="161"/>
    <n v="1"/>
    <n v="116"/>
    <n v="1335"/>
    <n v="3730"/>
    <n v="213"/>
    <n v="174"/>
    <n v="6915"/>
    <n v="35"/>
    <n v="231"/>
    <n v="325"/>
    <n v="344"/>
    <n v="1024"/>
    <n v="329"/>
    <n v="108"/>
    <n v="29"/>
    <n v="7542"/>
    <n v="1381"/>
    <n v="1205"/>
    <n v="0"/>
    <n v="0"/>
    <n v="0"/>
    <n v="0"/>
    <n v="0"/>
    <n v="2076"/>
    <n v="5979"/>
    <n v="1501"/>
    <n v="2208"/>
    <n v="754"/>
    <n v="106"/>
    <n v="188"/>
    <n v="2636"/>
    <n v="8"/>
    <n v="1838"/>
    <n v="612"/>
    <n v="570"/>
    <n v="1148"/>
    <n v="1294"/>
    <n v="300"/>
    <n v="222"/>
    <n v="455"/>
    <n v="11"/>
    <n v="113"/>
    <n v="1314"/>
    <n v="254"/>
    <n v="1410"/>
    <n v="1"/>
    <n v="38"/>
    <m/>
    <n v="711"/>
    <n v="60"/>
    <n v="730"/>
    <n v="148"/>
    <n v="57"/>
    <n v="708"/>
    <n v="16"/>
    <n v="9633"/>
    <n v="203"/>
    <n v="12"/>
    <n v="42"/>
    <n v="88"/>
    <n v="38"/>
    <n v="45"/>
    <n v="27"/>
    <m/>
    <n v="12518"/>
    <n v="42"/>
    <n v="11276"/>
    <n v="1200"/>
    <n v="2011"/>
  </r>
  <r>
    <n v="106150808"/>
    <s v="150808"/>
    <x v="53"/>
    <s v="115 WEST E STREET"/>
    <s v="TEHACHAPI"/>
    <n v="93561"/>
    <x v="0"/>
    <x v="0"/>
    <x v="17"/>
    <x v="9"/>
    <s v="62"/>
    <m/>
    <s v="09 - Central"/>
    <x v="13"/>
    <s v="General Acute Care"/>
    <s v="District"/>
    <s v="General Medical / Surgical"/>
    <n v="28"/>
    <x v="2"/>
    <n v="5835"/>
    <n v="4909"/>
    <m/>
    <m/>
    <n v="1738"/>
    <n v="1483"/>
    <n v="1578"/>
    <n v="1283"/>
    <n v="1237"/>
    <n v="1160"/>
    <n v="774"/>
    <n v="675"/>
    <n v="517"/>
    <n v="298"/>
    <n v="1"/>
    <n v="66"/>
    <n v="583"/>
    <n v="2033"/>
    <n v="22"/>
    <m/>
    <n v="62"/>
    <n v="7978"/>
    <n v="612"/>
    <n v="371"/>
    <n v="73"/>
    <n v="20"/>
    <m/>
    <m/>
    <m/>
    <n v="7"/>
    <m/>
    <m/>
    <n v="4"/>
    <n v="9657"/>
    <m/>
    <m/>
    <m/>
    <n v="3909"/>
    <n v="2618"/>
    <m/>
    <m/>
    <n v="4217"/>
    <n v="164"/>
    <n v="29"/>
    <n v="289"/>
    <n v="4"/>
    <n v="577"/>
    <n v="197"/>
    <n v="629"/>
    <n v="328"/>
    <n v="2800"/>
    <n v="520"/>
    <n v="12"/>
    <n v="747"/>
    <n v="609"/>
    <n v="14"/>
    <n v="242"/>
    <n v="1460"/>
    <n v="470"/>
    <n v="1650"/>
    <m/>
    <n v="3"/>
    <n v="827"/>
    <n v="38"/>
    <n v="42"/>
    <n v="8"/>
    <n v="116"/>
    <n v="17"/>
    <n v="9"/>
    <n v="154"/>
    <n v="7908"/>
    <n v="1117"/>
    <n v="125"/>
    <n v="253"/>
    <n v="53"/>
    <n v="55"/>
    <n v="22"/>
    <m/>
    <n v="10744"/>
    <n v="3"/>
    <n v="10374"/>
    <n v="367"/>
    <n v="83"/>
    <n v="51"/>
    <m/>
    <m/>
    <n v="6"/>
    <n v="8"/>
    <n v="5"/>
    <n v="14"/>
    <n v="28"/>
    <n v="20"/>
    <n v="15"/>
    <n v="25"/>
    <n v="4"/>
    <n v="9"/>
    <m/>
    <m/>
    <n v="4"/>
    <n v="11"/>
    <m/>
    <m/>
    <n v="119"/>
    <m/>
    <n v="10"/>
    <n v="4"/>
    <m/>
    <n v="2"/>
    <m/>
    <m/>
    <m/>
    <n v="114"/>
    <n v="4"/>
    <m/>
    <n v="0"/>
    <n v="0"/>
    <n v="0"/>
    <n v="0"/>
    <n v="0"/>
    <n v="33"/>
    <n v="58"/>
    <n v="1"/>
    <n v="34"/>
    <n v="8"/>
    <n v="1"/>
    <n v="1"/>
    <n v="7"/>
    <m/>
    <n v="12"/>
    <n v="11"/>
    <n v="10"/>
    <m/>
    <n v="8"/>
    <n v="2"/>
    <m/>
    <n v="2"/>
    <m/>
    <n v="3"/>
    <n v="55"/>
    <n v="11"/>
    <n v="11"/>
    <m/>
    <m/>
    <m/>
    <n v="6"/>
    <n v="1"/>
    <n v="2"/>
    <m/>
    <n v="2"/>
    <m/>
    <m/>
    <n v="119"/>
    <m/>
    <n v="2"/>
    <n v="2"/>
    <m/>
    <m/>
    <m/>
    <m/>
    <m/>
    <n v="134"/>
    <m/>
    <n v="132"/>
    <n v="2"/>
    <n v="2011"/>
  </r>
  <r>
    <n v="106154101"/>
    <s v="154101"/>
    <x v="54"/>
    <s v="3001 SILLECT AVENUE"/>
    <s v="BAKERSFIELD"/>
    <n v="93308"/>
    <x v="0"/>
    <x v="0"/>
    <x v="17"/>
    <x v="9"/>
    <s v="66d"/>
    <m/>
    <s v="09 - Central"/>
    <x v="13"/>
    <s v="General Acute Care"/>
    <s v="Investor - Corporation"/>
    <s v="General Medical / Surgical"/>
    <n v="47"/>
    <x v="0"/>
    <n v="4777"/>
    <n v="4039"/>
    <m/>
    <m/>
    <n v="571"/>
    <n v="630"/>
    <n v="1392"/>
    <n v="1272"/>
    <n v="1321"/>
    <n v="1193"/>
    <n v="894"/>
    <n v="766"/>
    <n v="681"/>
    <n v="96"/>
    <m/>
    <n v="49"/>
    <n v="391"/>
    <n v="1815"/>
    <n v="1"/>
    <n v="99"/>
    <n v="1"/>
    <n v="6460"/>
    <n v="185"/>
    <n v="556"/>
    <n v="1"/>
    <n v="24"/>
    <n v="10"/>
    <n v="3"/>
    <n v="8"/>
    <m/>
    <n v="14"/>
    <n v="7"/>
    <m/>
    <n v="7899"/>
    <n v="13"/>
    <n v="96"/>
    <m/>
    <n v="2496"/>
    <n v="2557"/>
    <n v="99"/>
    <n v="2078"/>
    <n v="1586"/>
    <n v="59"/>
    <n v="36"/>
    <n v="558"/>
    <n v="1"/>
    <n v="390"/>
    <n v="193"/>
    <n v="410"/>
    <n v="125"/>
    <n v="1138"/>
    <n v="654"/>
    <n v="3"/>
    <n v="384"/>
    <n v="161"/>
    <n v="6"/>
    <n v="152"/>
    <n v="695"/>
    <n v="469"/>
    <n v="3382"/>
    <m/>
    <m/>
    <n v="396"/>
    <n v="21"/>
    <n v="53"/>
    <n v="1"/>
    <n v="84"/>
    <n v="2"/>
    <n v="41"/>
    <n v="90"/>
    <n v="7385"/>
    <n v="526"/>
    <n v="24"/>
    <n v="148"/>
    <n v="5"/>
    <n v="30"/>
    <n v="10"/>
    <m/>
    <n v="8816"/>
    <n v="19"/>
    <n v="8621"/>
    <n v="176"/>
    <n v="1627"/>
    <n v="1752"/>
    <m/>
    <m/>
    <n v="13"/>
    <n v="94"/>
    <n v="137"/>
    <n v="302"/>
    <n v="542"/>
    <n v="730"/>
    <n v="782"/>
    <n v="779"/>
    <m/>
    <m/>
    <m/>
    <n v="18"/>
    <n v="191"/>
    <n v="628"/>
    <n v="91"/>
    <m/>
    <n v="2449"/>
    <n v="2"/>
    <n v="131"/>
    <n v="65"/>
    <n v="102"/>
    <n v="189"/>
    <n v="136"/>
    <n v="3"/>
    <n v="6"/>
    <n v="2563"/>
    <n v="184"/>
    <m/>
    <n v="0"/>
    <n v="0"/>
    <n v="0"/>
    <n v="0"/>
    <n v="0"/>
    <n v="331"/>
    <n v="2216"/>
    <n v="100"/>
    <n v="571"/>
    <n v="161"/>
    <n v="2"/>
    <n v="37"/>
    <n v="1322"/>
    <m/>
    <n v="361"/>
    <n v="86"/>
    <n v="192"/>
    <n v="216"/>
    <n v="98"/>
    <n v="35"/>
    <n v="42"/>
    <n v="51"/>
    <n v="1"/>
    <n v="23"/>
    <n v="515"/>
    <n v="74"/>
    <n v="324"/>
    <m/>
    <m/>
    <m/>
    <n v="62"/>
    <n v="6"/>
    <n v="132"/>
    <m/>
    <n v="3"/>
    <n v="95"/>
    <n v="4"/>
    <n v="3026"/>
    <n v="17"/>
    <n v="1"/>
    <n v="6"/>
    <n v="5"/>
    <n v="2"/>
    <n v="20"/>
    <m/>
    <m/>
    <n v="3379"/>
    <n v="10"/>
    <n v="3221"/>
    <n v="148"/>
    <n v="2011"/>
  </r>
  <r>
    <n v="106160702"/>
    <s v="160702"/>
    <x v="55"/>
    <s v="1310 HANNA AVENUE"/>
    <s v="CORCORAN"/>
    <n v="93212"/>
    <x v="0"/>
    <x v="0"/>
    <x v="13"/>
    <x v="6"/>
    <s v="68"/>
    <m/>
    <s v="09 - Central"/>
    <x v="14"/>
    <s v="General Acute Care"/>
    <s v="District"/>
    <s v="General Medical / Surgical"/>
    <n v="32"/>
    <x v="2"/>
    <n v="3397"/>
    <n v="2964"/>
    <n v="1"/>
    <m/>
    <n v="1304"/>
    <n v="823"/>
    <n v="1107"/>
    <n v="869"/>
    <n v="922"/>
    <n v="522"/>
    <n v="345"/>
    <n v="148"/>
    <n v="74"/>
    <n v="248"/>
    <m/>
    <n v="6"/>
    <n v="378"/>
    <n v="2913"/>
    <n v="17"/>
    <n v="31"/>
    <n v="245"/>
    <n v="2772"/>
    <n v="88"/>
    <n v="31"/>
    <m/>
    <n v="11"/>
    <m/>
    <m/>
    <m/>
    <n v="8"/>
    <n v="1"/>
    <m/>
    <m/>
    <n v="6223"/>
    <m/>
    <m/>
    <m/>
    <n v="3073"/>
    <n v="820"/>
    <n v="106"/>
    <n v="1240"/>
    <n v="1123"/>
    <n v="161"/>
    <n v="18"/>
    <n v="94"/>
    <m/>
    <n v="417"/>
    <n v="141"/>
    <n v="361"/>
    <n v="215"/>
    <n v="1207"/>
    <n v="399"/>
    <n v="7"/>
    <n v="788"/>
    <n v="165"/>
    <n v="3"/>
    <n v="215"/>
    <n v="900"/>
    <n v="257"/>
    <n v="1014"/>
    <m/>
    <m/>
    <n v="404"/>
    <n v="20"/>
    <n v="21"/>
    <n v="1"/>
    <n v="109"/>
    <n v="2"/>
    <n v="7"/>
    <n v="66"/>
    <n v="5101"/>
    <n v="497"/>
    <n v="29"/>
    <n v="53"/>
    <n v="18"/>
    <n v="25"/>
    <n v="9"/>
    <m/>
    <n v="6362"/>
    <n v="2"/>
    <n v="5594"/>
    <n v="766"/>
    <n v="209"/>
    <n v="261"/>
    <m/>
    <m/>
    <n v="15"/>
    <n v="58"/>
    <n v="59"/>
    <n v="104"/>
    <n v="68"/>
    <n v="58"/>
    <n v="51"/>
    <n v="53"/>
    <m/>
    <n v="4"/>
    <m/>
    <n v="1"/>
    <n v="19"/>
    <n v="275"/>
    <n v="6"/>
    <n v="52"/>
    <n v="117"/>
    <m/>
    <n v="12"/>
    <n v="5"/>
    <n v="4"/>
    <m/>
    <m/>
    <m/>
    <m/>
    <n v="310"/>
    <n v="4"/>
    <n v="135"/>
    <n v="0"/>
    <n v="0"/>
    <n v="0"/>
    <n v="0"/>
    <n v="0"/>
    <n v="112"/>
    <n v="107"/>
    <n v="154"/>
    <n v="39"/>
    <n v="58"/>
    <m/>
    <n v="7"/>
    <n v="12"/>
    <m/>
    <n v="57"/>
    <n v="42"/>
    <n v="66"/>
    <n v="4"/>
    <n v="24"/>
    <n v="7"/>
    <n v="6"/>
    <n v="10"/>
    <n v="60"/>
    <n v="11"/>
    <n v="66"/>
    <n v="53"/>
    <n v="45"/>
    <m/>
    <m/>
    <m/>
    <n v="10"/>
    <n v="1"/>
    <n v="1"/>
    <n v="3"/>
    <n v="3"/>
    <n v="13"/>
    <n v="2"/>
    <n v="427"/>
    <n v="4"/>
    <m/>
    <n v="1"/>
    <n v="3"/>
    <m/>
    <n v="2"/>
    <m/>
    <m/>
    <n v="470"/>
    <n v="1"/>
    <n v="421"/>
    <n v="48"/>
    <n v="2011"/>
  </r>
  <r>
    <n v="106164029"/>
    <s v="164029"/>
    <x v="56"/>
    <s v="115 MALL DRIVE"/>
    <s v="HANFORD"/>
    <n v="93230"/>
    <x v="0"/>
    <x v="0"/>
    <x v="13"/>
    <x v="6"/>
    <s v="69"/>
    <m/>
    <s v="09 - Central"/>
    <x v="14"/>
    <s v="General Acute Care"/>
    <s v="Non-Profit Corporation (incl. Church-related)"/>
    <s v="General Medical / Surgical"/>
    <n v="142"/>
    <x v="0"/>
    <n v="52157"/>
    <n v="38591"/>
    <m/>
    <m/>
    <n v="18659"/>
    <n v="12471"/>
    <n v="15506"/>
    <n v="12517"/>
    <n v="11156"/>
    <n v="7271"/>
    <n v="3965"/>
    <n v="2886"/>
    <n v="2237"/>
    <n v="4075"/>
    <n v="5"/>
    <n v="788"/>
    <n v="3919"/>
    <n v="57635"/>
    <n v="438"/>
    <n v="1032"/>
    <n v="128"/>
    <n v="26808"/>
    <n v="1072"/>
    <n v="841"/>
    <m/>
    <n v="87"/>
    <n v="152"/>
    <m/>
    <m/>
    <n v="9"/>
    <n v="120"/>
    <n v="271"/>
    <n v="289"/>
    <n v="87693"/>
    <n v="213"/>
    <n v="1"/>
    <m/>
    <n v="46206"/>
    <n v="8906"/>
    <n v="5660"/>
    <n v="18623"/>
    <n v="11353"/>
    <n v="2757"/>
    <n v="231"/>
    <n v="1419"/>
    <n v="32"/>
    <n v="7123"/>
    <n v="1081"/>
    <n v="6129"/>
    <n v="2573"/>
    <n v="18280"/>
    <n v="5503"/>
    <n v="136"/>
    <n v="7411"/>
    <n v="2047"/>
    <n v="106"/>
    <n v="2797"/>
    <n v="14488"/>
    <n v="4178"/>
    <n v="14453"/>
    <m/>
    <n v="4"/>
    <n v="5397"/>
    <n v="272"/>
    <n v="783"/>
    <n v="60"/>
    <n v="623"/>
    <n v="95"/>
    <n v="407"/>
    <n v="1242"/>
    <n v="70855"/>
    <n v="8275"/>
    <n v="277"/>
    <n v="1706"/>
    <n v="219"/>
    <n v="475"/>
    <n v="62"/>
    <m/>
    <n v="90748"/>
    <n v="167"/>
    <n v="74139"/>
    <n v="16442"/>
    <n v="4951"/>
    <n v="3894"/>
    <m/>
    <m/>
    <n v="242"/>
    <n v="666"/>
    <n v="729"/>
    <n v="1133"/>
    <n v="1400"/>
    <n v="1365"/>
    <n v="1414"/>
    <n v="1718"/>
    <n v="66"/>
    <n v="112"/>
    <m/>
    <n v="140"/>
    <n v="386"/>
    <n v="4217"/>
    <n v="65"/>
    <n v="13"/>
    <n v="3980"/>
    <n v="44"/>
    <n v="278"/>
    <n v="187"/>
    <n v="251"/>
    <n v="933"/>
    <n v="70"/>
    <m/>
    <n v="43"/>
    <n v="6192"/>
    <n v="879"/>
    <n v="12"/>
    <n v="0"/>
    <n v="0"/>
    <n v="0"/>
    <n v="0"/>
    <n v="0"/>
    <n v="2012"/>
    <n v="3908"/>
    <n v="227"/>
    <n v="1675"/>
    <n v="1023"/>
    <n v="159"/>
    <n v="212"/>
    <n v="1329"/>
    <n v="2"/>
    <n v="1626"/>
    <n v="605"/>
    <n v="678"/>
    <n v="609"/>
    <n v="554"/>
    <n v="138"/>
    <n v="148"/>
    <n v="182"/>
    <n v="1"/>
    <n v="68"/>
    <n v="1267"/>
    <n v="290"/>
    <n v="963"/>
    <n v="1"/>
    <n v="13"/>
    <m/>
    <n v="385"/>
    <n v="60"/>
    <n v="544"/>
    <n v="5"/>
    <n v="44"/>
    <n v="324"/>
    <n v="35"/>
    <n v="7239"/>
    <n v="121"/>
    <n v="8"/>
    <n v="22"/>
    <n v="38"/>
    <n v="9"/>
    <n v="11"/>
    <m/>
    <m/>
    <n v="8845"/>
    <n v="54"/>
    <n v="7233"/>
    <n v="1558"/>
    <n v="2011"/>
  </r>
  <r>
    <n v="106171049"/>
    <s v="171049"/>
    <x v="57"/>
    <s v="15630 18TH AVE - HWY 53"/>
    <s v="CLEARLAKE"/>
    <n v="95422"/>
    <x v="0"/>
    <x v="0"/>
    <x v="10"/>
    <x v="7"/>
    <s v="71.1"/>
    <m/>
    <s v="01 - Northern California"/>
    <x v="15"/>
    <s v="General Acute Care"/>
    <s v="Non-Profit Corporation (incl. Church-related)"/>
    <s v="General Medical / Surgical"/>
    <n v="32"/>
    <x v="2"/>
    <n v="8870"/>
    <n v="7382"/>
    <m/>
    <m/>
    <n v="1486"/>
    <n v="1528"/>
    <n v="2476"/>
    <n v="2009"/>
    <n v="2151"/>
    <n v="2459"/>
    <n v="1688"/>
    <n v="1087"/>
    <n v="1025"/>
    <n v="343"/>
    <m/>
    <n v="69"/>
    <n v="679"/>
    <n v="1344"/>
    <n v="114"/>
    <n v="36"/>
    <n v="176"/>
    <n v="13834"/>
    <n v="2329"/>
    <n v="338"/>
    <m/>
    <n v="36"/>
    <n v="2"/>
    <n v="1"/>
    <m/>
    <m/>
    <n v="96"/>
    <n v="126"/>
    <n v="2"/>
    <n v="13278"/>
    <n v="44"/>
    <m/>
    <m/>
    <n v="7566"/>
    <n v="4422"/>
    <n v="331"/>
    <n v="2431"/>
    <n v="1502"/>
    <n v="339"/>
    <n v="26"/>
    <n v="387"/>
    <n v="1"/>
    <n v="643"/>
    <n v="166"/>
    <n v="462"/>
    <n v="182"/>
    <n v="3414"/>
    <n v="1261"/>
    <n v="6"/>
    <n v="820"/>
    <n v="220"/>
    <n v="7"/>
    <n v="738"/>
    <n v="1160"/>
    <n v="955"/>
    <n v="5464"/>
    <m/>
    <n v="1"/>
    <n v="1129"/>
    <n v="94"/>
    <n v="116"/>
    <n v="13"/>
    <n v="203"/>
    <n v="8"/>
    <n v="148"/>
    <n v="239"/>
    <n v="12403"/>
    <n v="1326"/>
    <n v="78"/>
    <n v="313"/>
    <n v="84"/>
    <n v="80"/>
    <n v="18"/>
    <m/>
    <n v="16252"/>
    <n v="15"/>
    <n v="15832"/>
    <n v="405"/>
    <n v="810"/>
    <n v="573"/>
    <m/>
    <m/>
    <n v="27"/>
    <n v="81"/>
    <n v="107"/>
    <n v="191"/>
    <n v="274"/>
    <n v="253"/>
    <n v="176"/>
    <n v="243"/>
    <n v="8"/>
    <n v="23"/>
    <m/>
    <n v="2"/>
    <n v="58"/>
    <n v="71"/>
    <n v="3"/>
    <n v="12"/>
    <n v="1230"/>
    <n v="7"/>
    <n v="146"/>
    <n v="58"/>
    <n v="21"/>
    <n v="109"/>
    <n v="4"/>
    <n v="1"/>
    <m/>
    <n v="932"/>
    <n v="112"/>
    <m/>
    <n v="0"/>
    <n v="0"/>
    <n v="0"/>
    <n v="0"/>
    <n v="0"/>
    <n v="358"/>
    <n v="711"/>
    <n v="19"/>
    <n v="121"/>
    <n v="174"/>
    <n v="32"/>
    <n v="18"/>
    <n v="107"/>
    <m/>
    <n v="266"/>
    <n v="99"/>
    <n v="90"/>
    <n v="78"/>
    <n v="91"/>
    <n v="21"/>
    <n v="19"/>
    <n v="22"/>
    <n v="2"/>
    <n v="36"/>
    <n v="382"/>
    <n v="56"/>
    <n v="63"/>
    <n v="1"/>
    <m/>
    <m/>
    <n v="38"/>
    <n v="29"/>
    <n v="137"/>
    <n v="5"/>
    <n v="6"/>
    <n v="75"/>
    <n v="6"/>
    <n v="1064"/>
    <n v="9"/>
    <m/>
    <m/>
    <n v="6"/>
    <n v="5"/>
    <n v="1"/>
    <n v="2"/>
    <m/>
    <n v="1383"/>
    <n v="1"/>
    <n v="1370"/>
    <n v="12"/>
    <n v="2011"/>
  </r>
  <r>
    <n v="106171395"/>
    <s v="171395"/>
    <x v="58"/>
    <s v="5176 HILL ROAD EAST"/>
    <s v="LAKEPORT"/>
    <n v="95453"/>
    <x v="3"/>
    <x v="0"/>
    <x v="10"/>
    <x v="7"/>
    <s v="70.1"/>
    <m/>
    <s v="01 - Northern California"/>
    <x v="15"/>
    <s v="General Acute Care"/>
    <s v="Non-Profit Corporation (incl. Church-related)"/>
    <s v="General Medical / Surgical"/>
    <n v="49"/>
    <x v="0"/>
    <n v="9682"/>
    <n v="7715"/>
    <m/>
    <m/>
    <n v="1520"/>
    <n v="1746"/>
    <n v="2502"/>
    <n v="2310"/>
    <n v="2132"/>
    <n v="2388"/>
    <n v="1767"/>
    <n v="1444"/>
    <n v="1241"/>
    <n v="347"/>
    <m/>
    <n v="58"/>
    <n v="281"/>
    <n v="1983"/>
    <n v="694"/>
    <n v="121"/>
    <n v="27"/>
    <n v="14233"/>
    <n v="544"/>
    <n v="108"/>
    <m/>
    <n v="23"/>
    <m/>
    <m/>
    <m/>
    <n v="28"/>
    <n v="85"/>
    <n v="54"/>
    <m/>
    <n v="16551"/>
    <n v="3"/>
    <m/>
    <n v="1"/>
    <n v="6203"/>
    <n v="4792"/>
    <n v="731"/>
    <n v="3087"/>
    <n v="2584"/>
    <n v="287"/>
    <n v="72"/>
    <n v="663"/>
    <n v="7"/>
    <n v="1375"/>
    <n v="302"/>
    <n v="860"/>
    <n v="365"/>
    <n v="3844"/>
    <n v="1221"/>
    <n v="73"/>
    <n v="1134"/>
    <n v="717"/>
    <n v="12"/>
    <n v="422"/>
    <n v="1780"/>
    <n v="888"/>
    <n v="3375"/>
    <m/>
    <m/>
    <n v="1250"/>
    <n v="94"/>
    <n v="132"/>
    <n v="11"/>
    <n v="188"/>
    <n v="19"/>
    <n v="165"/>
    <n v="252"/>
    <n v="12870"/>
    <n v="1789"/>
    <n v="76"/>
    <n v="361"/>
    <n v="58"/>
    <n v="107"/>
    <n v="25"/>
    <m/>
    <n v="17397"/>
    <n v="35"/>
    <n v="16563"/>
    <n v="799"/>
    <n v="723"/>
    <n v="624"/>
    <m/>
    <m/>
    <n v="24"/>
    <n v="45"/>
    <n v="51"/>
    <n v="120"/>
    <n v="219"/>
    <n v="268"/>
    <n v="274"/>
    <n v="331"/>
    <n v="6"/>
    <n v="9"/>
    <m/>
    <n v="3"/>
    <n v="15"/>
    <n v="97"/>
    <n v="8"/>
    <n v="5"/>
    <n v="1185"/>
    <n v="34"/>
    <n v="108"/>
    <n v="14"/>
    <n v="30"/>
    <n v="301"/>
    <n v="14"/>
    <m/>
    <n v="2"/>
    <n v="652"/>
    <n v="224"/>
    <n v="2"/>
    <n v="0"/>
    <n v="0"/>
    <n v="0"/>
    <n v="0"/>
    <n v="0"/>
    <n v="177"/>
    <n v="844"/>
    <n v="14"/>
    <n v="165"/>
    <n v="147"/>
    <n v="6"/>
    <n v="25"/>
    <n v="238"/>
    <m/>
    <n v="270"/>
    <n v="53"/>
    <n v="76"/>
    <n v="117"/>
    <n v="146"/>
    <n v="17"/>
    <n v="30"/>
    <n v="49"/>
    <m/>
    <n v="14"/>
    <n v="227"/>
    <n v="46"/>
    <n v="29"/>
    <n v="1"/>
    <n v="3"/>
    <m/>
    <n v="85"/>
    <n v="42"/>
    <n v="145"/>
    <n v="1"/>
    <n v="22"/>
    <n v="59"/>
    <n v="4"/>
    <n v="935"/>
    <n v="25"/>
    <n v="1"/>
    <n v="13"/>
    <n v="9"/>
    <n v="5"/>
    <m/>
    <n v="1"/>
    <m/>
    <n v="1347"/>
    <m/>
    <n v="1316"/>
    <n v="31"/>
    <n v="2011"/>
  </r>
  <r>
    <n v="106184008"/>
    <s v="184008"/>
    <x v="59"/>
    <s v="1800 SPRING RIDGE DRIVE"/>
    <s v="SUSANVILLE"/>
    <n v="96130"/>
    <x v="0"/>
    <x v="0"/>
    <x v="5"/>
    <x v="2"/>
    <s v="72"/>
    <m/>
    <s v="01 - Northern California"/>
    <x v="16"/>
    <s v="General Acute Care"/>
    <s v="Non-Profit Corporation (incl. Church-related)"/>
    <s v="General Medical / Surgical"/>
    <n v="38"/>
    <x v="0"/>
    <n v="4708"/>
    <n v="4072"/>
    <m/>
    <m/>
    <n v="951"/>
    <n v="1106"/>
    <n v="1636"/>
    <n v="1081"/>
    <n v="1162"/>
    <n v="944"/>
    <n v="741"/>
    <n v="445"/>
    <n v="492"/>
    <n v="222"/>
    <m/>
    <n v="66"/>
    <n v="177"/>
    <n v="579"/>
    <n v="371"/>
    <n v="31"/>
    <n v="27"/>
    <n v="7529"/>
    <n v="520"/>
    <n v="6"/>
    <m/>
    <n v="10"/>
    <n v="3"/>
    <m/>
    <m/>
    <n v="2"/>
    <m/>
    <n v="48"/>
    <n v="28"/>
    <n v="8065"/>
    <n v="98"/>
    <m/>
    <m/>
    <n v="2529"/>
    <n v="1585"/>
    <n v="1203"/>
    <n v="2569"/>
    <n v="894"/>
    <n v="201"/>
    <n v="19"/>
    <n v="246"/>
    <n v="1"/>
    <n v="541"/>
    <n v="104"/>
    <n v="444"/>
    <n v="199"/>
    <n v="2354"/>
    <n v="575"/>
    <n v="8"/>
    <n v="703"/>
    <n v="190"/>
    <n v="5"/>
    <n v="278"/>
    <n v="919"/>
    <n v="272"/>
    <n v="1721"/>
    <m/>
    <m/>
    <n v="746"/>
    <n v="46"/>
    <n v="68"/>
    <n v="14"/>
    <n v="134"/>
    <n v="9"/>
    <n v="50"/>
    <n v="133"/>
    <n v="6033"/>
    <n v="1164"/>
    <n v="44"/>
    <n v="225"/>
    <n v="55"/>
    <n v="41"/>
    <n v="18"/>
    <m/>
    <n v="8780"/>
    <n v="4"/>
    <n v="8707"/>
    <n v="69"/>
    <n v="472"/>
    <n v="414"/>
    <m/>
    <m/>
    <n v="37"/>
    <n v="92"/>
    <n v="73"/>
    <n v="114"/>
    <n v="127"/>
    <n v="124"/>
    <n v="114"/>
    <n v="168"/>
    <n v="11"/>
    <n v="26"/>
    <m/>
    <n v="4"/>
    <n v="23"/>
    <n v="53"/>
    <n v="5"/>
    <n v="2"/>
    <n v="770"/>
    <n v="29"/>
    <n v="73"/>
    <n v="16"/>
    <n v="21"/>
    <n v="72"/>
    <n v="8"/>
    <m/>
    <m/>
    <n v="560"/>
    <n v="80"/>
    <n v="56"/>
    <n v="0"/>
    <n v="0"/>
    <n v="0"/>
    <n v="0"/>
    <n v="0"/>
    <n v="150"/>
    <n v="386"/>
    <n v="77"/>
    <n v="202"/>
    <n v="71"/>
    <n v="21"/>
    <n v="12"/>
    <n v="78"/>
    <m/>
    <n v="205"/>
    <n v="56"/>
    <n v="63"/>
    <n v="25"/>
    <n v="53"/>
    <n v="23"/>
    <n v="14"/>
    <n v="19"/>
    <n v="2"/>
    <n v="12"/>
    <n v="173"/>
    <n v="53"/>
    <n v="75"/>
    <m/>
    <n v="2"/>
    <m/>
    <n v="44"/>
    <n v="9"/>
    <n v="38"/>
    <n v="2"/>
    <n v="1"/>
    <n v="39"/>
    <n v="7"/>
    <n v="716"/>
    <n v="15"/>
    <m/>
    <n v="2"/>
    <n v="5"/>
    <n v="7"/>
    <n v="1"/>
    <m/>
    <m/>
    <n v="886"/>
    <m/>
    <n v="881"/>
    <n v="5"/>
    <n v="2011"/>
  </r>
  <r>
    <n v="106190017"/>
    <s v="190017"/>
    <x v="60"/>
    <s v="100 SOUTH RAYMOND AVENUE"/>
    <s v="ALHAMBRA"/>
    <n v="91801"/>
    <x v="0"/>
    <x v="0"/>
    <x v="18"/>
    <x v="10"/>
    <s v="78.2eeee"/>
    <s v="San Gabriel Valley"/>
    <s v="11 - Los Angeles"/>
    <x v="17"/>
    <s v="General Acute Care"/>
    <s v="Investor - Partnership"/>
    <s v="General Medical / Surgical"/>
    <n v="118"/>
    <x v="0"/>
    <n v="5449"/>
    <n v="4178"/>
    <m/>
    <m/>
    <n v="1037"/>
    <n v="1106"/>
    <n v="1465"/>
    <n v="1279"/>
    <n v="1364"/>
    <n v="1140"/>
    <n v="774"/>
    <n v="592"/>
    <n v="740"/>
    <n v="130"/>
    <m/>
    <n v="1673"/>
    <n v="466"/>
    <n v="6131"/>
    <n v="3"/>
    <n v="90"/>
    <n v="7"/>
    <n v="1257"/>
    <n v="183"/>
    <n v="244"/>
    <n v="27"/>
    <n v="10"/>
    <n v="42"/>
    <m/>
    <n v="1"/>
    <m/>
    <n v="1"/>
    <n v="63"/>
    <n v="9"/>
    <n v="8809"/>
    <n v="237"/>
    <n v="1"/>
    <m/>
    <n v="1175"/>
    <n v="2129"/>
    <n v="77"/>
    <n v="4804"/>
    <n v="1442"/>
    <n v="132"/>
    <n v="52"/>
    <n v="281"/>
    <n v="4"/>
    <n v="755"/>
    <n v="152"/>
    <n v="560"/>
    <n v="109"/>
    <n v="2295"/>
    <n v="641"/>
    <n v="14"/>
    <n v="724"/>
    <n v="183"/>
    <n v="2"/>
    <n v="485"/>
    <n v="973"/>
    <n v="375"/>
    <n v="1890"/>
    <m/>
    <m/>
    <n v="873"/>
    <n v="55"/>
    <n v="60"/>
    <n v="1"/>
    <n v="123"/>
    <n v="7"/>
    <n v="53"/>
    <n v="108"/>
    <n v="7135"/>
    <n v="819"/>
    <n v="46"/>
    <n v="252"/>
    <n v="23"/>
    <n v="55"/>
    <n v="17"/>
    <m/>
    <n v="9627"/>
    <n v="829"/>
    <n v="7825"/>
    <n v="973"/>
    <n v="1648"/>
    <n v="1332"/>
    <m/>
    <m/>
    <n v="20"/>
    <n v="65"/>
    <n v="93"/>
    <n v="209"/>
    <n v="307"/>
    <n v="433"/>
    <n v="610"/>
    <n v="1243"/>
    <m/>
    <m/>
    <m/>
    <n v="1460"/>
    <n v="77"/>
    <n v="1067"/>
    <n v="14"/>
    <m/>
    <n v="361"/>
    <n v="1"/>
    <n v="265"/>
    <n v="81"/>
    <n v="96"/>
    <n v="506"/>
    <n v="121"/>
    <n v="6"/>
    <n v="18"/>
    <n v="1023"/>
    <n v="861"/>
    <n v="3"/>
    <n v="0"/>
    <n v="0"/>
    <n v="0"/>
    <n v="0"/>
    <n v="0"/>
    <n v="642"/>
    <n v="1756"/>
    <n v="13"/>
    <n v="443"/>
    <n v="126"/>
    <m/>
    <n v="66"/>
    <n v="488"/>
    <n v="3"/>
    <n v="416"/>
    <n v="163"/>
    <n v="230"/>
    <n v="497"/>
    <n v="169"/>
    <n v="47"/>
    <n v="79"/>
    <n v="61"/>
    <n v="1"/>
    <n v="13"/>
    <n v="492"/>
    <n v="67"/>
    <n v="188"/>
    <m/>
    <m/>
    <m/>
    <n v="182"/>
    <n v="15"/>
    <n v="127"/>
    <n v="5"/>
    <n v="10"/>
    <n v="86"/>
    <n v="5"/>
    <n v="2493"/>
    <n v="30"/>
    <n v="2"/>
    <n v="9"/>
    <n v="4"/>
    <n v="11"/>
    <n v="1"/>
    <m/>
    <m/>
    <n v="2980"/>
    <n v="1135"/>
    <n v="1461"/>
    <n v="384"/>
    <n v="2011"/>
  </r>
  <r>
    <n v="106190034"/>
    <s v="190034"/>
    <x v="61"/>
    <s v="1600 WEST AVENUE J"/>
    <s v="LANCASTER"/>
    <n v="93534"/>
    <x v="2"/>
    <x v="0"/>
    <x v="19"/>
    <x v="11"/>
    <s v="77.1b"/>
    <s v="Antelope Valley"/>
    <s v="11 - Los Angeles"/>
    <x v="17"/>
    <s v="General Acute Care"/>
    <s v="District"/>
    <s v="General Medical / Surgical"/>
    <n v="390"/>
    <x v="0"/>
    <n v="53387"/>
    <n v="36961"/>
    <m/>
    <m/>
    <n v="14939"/>
    <n v="11903"/>
    <n v="17688"/>
    <n v="12484"/>
    <n v="10936"/>
    <n v="9746"/>
    <n v="4334"/>
    <n v="2364"/>
    <n v="1812"/>
    <n v="4142"/>
    <m/>
    <n v="956"/>
    <n v="25970"/>
    <n v="31181"/>
    <n v="113"/>
    <n v="668"/>
    <n v="265"/>
    <n v="31195"/>
    <n v="393"/>
    <n v="2869"/>
    <n v="61"/>
    <n v="139"/>
    <n v="10"/>
    <n v="8"/>
    <n v="1"/>
    <n v="5"/>
    <m/>
    <n v="60"/>
    <n v="16"/>
    <n v="86608"/>
    <n v="171"/>
    <n v="7"/>
    <m/>
    <n v="49699"/>
    <n v="9688"/>
    <n v="2996"/>
    <n v="11628"/>
    <n v="16337"/>
    <n v="4974"/>
    <n v="488"/>
    <n v="1409"/>
    <n v="30"/>
    <n v="4222"/>
    <n v="1142"/>
    <n v="5803"/>
    <n v="2432"/>
    <n v="16194"/>
    <n v="3949"/>
    <n v="245"/>
    <n v="7816"/>
    <n v="6003"/>
    <n v="241"/>
    <n v="3049"/>
    <n v="12893"/>
    <n v="3591"/>
    <n v="15866"/>
    <m/>
    <n v="1"/>
    <n v="4783"/>
    <n v="286"/>
    <n v="686"/>
    <n v="42"/>
    <n v="1079"/>
    <n v="97"/>
    <n v="590"/>
    <n v="719"/>
    <n v="71723"/>
    <n v="6823"/>
    <n v="336"/>
    <n v="2212"/>
    <n v="432"/>
    <n v="417"/>
    <n v="123"/>
    <m/>
    <n v="90348"/>
    <n v="194"/>
    <n v="83064"/>
    <n v="7090"/>
    <n v="7771"/>
    <n v="6913"/>
    <m/>
    <m/>
    <n v="591"/>
    <n v="1261"/>
    <n v="1224"/>
    <n v="1768"/>
    <n v="2681"/>
    <n v="2301"/>
    <n v="2100"/>
    <n v="1980"/>
    <n v="337"/>
    <n v="441"/>
    <m/>
    <n v="270"/>
    <n v="3194"/>
    <n v="3503"/>
    <n v="101"/>
    <n v="1"/>
    <n v="7596"/>
    <n v="19"/>
    <n v="190"/>
    <n v="312"/>
    <n v="428"/>
    <n v="1429"/>
    <n v="52"/>
    <n v="1"/>
    <n v="110"/>
    <n v="10859"/>
    <n v="1229"/>
    <n v="74"/>
    <n v="0"/>
    <n v="0"/>
    <n v="0"/>
    <n v="0"/>
    <n v="0"/>
    <n v="4240"/>
    <n v="6119"/>
    <n v="502"/>
    <n v="2778"/>
    <n v="1045"/>
    <n v="361"/>
    <n v="333"/>
    <n v="2358"/>
    <n v="14"/>
    <n v="2172"/>
    <n v="767"/>
    <n v="892"/>
    <n v="751"/>
    <n v="1778"/>
    <n v="261"/>
    <n v="257"/>
    <n v="301"/>
    <n v="17"/>
    <n v="594"/>
    <n v="2150"/>
    <n v="308"/>
    <n v="1269"/>
    <n v="16"/>
    <n v="85"/>
    <m/>
    <n v="656"/>
    <n v="95"/>
    <n v="611"/>
    <n v="112"/>
    <n v="55"/>
    <n v="866"/>
    <n v="38"/>
    <n v="11377"/>
    <n v="190"/>
    <n v="39"/>
    <n v="401"/>
    <n v="197"/>
    <n v="36"/>
    <n v="8"/>
    <n v="3"/>
    <m/>
    <n v="14684"/>
    <n v="57"/>
    <n v="13492"/>
    <n v="1135"/>
    <n v="2011"/>
  </r>
  <r>
    <n v="106190045"/>
    <s v="190045"/>
    <x v="62"/>
    <s v="100 FALLS CANYON ROAD"/>
    <s v="AVALON"/>
    <n v="90704"/>
    <x v="0"/>
    <x v="0"/>
    <x v="20"/>
    <x v="12"/>
    <s v="78.1"/>
    <s v="South Bay"/>
    <s v="11 - Los Angeles"/>
    <x v="17"/>
    <s v="General Acute Care"/>
    <s v="Non-Profit Corporation (incl. Church-related)"/>
    <s v="General Medical / Surgical"/>
    <n v="8"/>
    <x v="2"/>
    <n v="767"/>
    <n v="695"/>
    <m/>
    <m/>
    <n v="200"/>
    <n v="216"/>
    <n v="198"/>
    <n v="148"/>
    <n v="152"/>
    <n v="196"/>
    <n v="141"/>
    <n v="91"/>
    <n v="88"/>
    <n v="31"/>
    <n v="1"/>
    <n v="14"/>
    <n v="14"/>
    <n v="421"/>
    <n v="1"/>
    <n v="34"/>
    <n v="68"/>
    <n v="910"/>
    <n v="134"/>
    <n v="4"/>
    <m/>
    <n v="1"/>
    <m/>
    <m/>
    <m/>
    <m/>
    <m/>
    <n v="1"/>
    <m/>
    <n v="1320"/>
    <m/>
    <m/>
    <n v="2"/>
    <n v="291"/>
    <n v="220"/>
    <n v="34"/>
    <n v="654"/>
    <n v="263"/>
    <n v="11"/>
    <n v="4"/>
    <n v="54"/>
    <m/>
    <n v="93"/>
    <n v="31"/>
    <n v="52"/>
    <n v="29"/>
    <n v="566"/>
    <n v="44"/>
    <n v="1"/>
    <n v="79"/>
    <n v="3"/>
    <n v="1"/>
    <n v="59"/>
    <n v="161"/>
    <n v="57"/>
    <n v="217"/>
    <m/>
    <m/>
    <n v="196"/>
    <n v="9"/>
    <m/>
    <m/>
    <n v="21"/>
    <m/>
    <m/>
    <n v="18"/>
    <n v="901"/>
    <n v="244"/>
    <n v="35"/>
    <n v="15"/>
    <m/>
    <n v="22"/>
    <n v="1"/>
    <m/>
    <n v="1462"/>
    <n v="6"/>
    <n v="1154"/>
    <n v="302"/>
    <n v="12"/>
    <n v="4"/>
    <m/>
    <m/>
    <m/>
    <m/>
    <n v="1"/>
    <n v="1"/>
    <m/>
    <n v="3"/>
    <n v="3"/>
    <n v="8"/>
    <m/>
    <m/>
    <m/>
    <m/>
    <m/>
    <n v="5"/>
    <m/>
    <m/>
    <n v="11"/>
    <m/>
    <m/>
    <m/>
    <n v="2"/>
    <m/>
    <m/>
    <m/>
    <m/>
    <n v="14"/>
    <m/>
    <m/>
    <n v="0"/>
    <n v="0"/>
    <n v="0"/>
    <n v="0"/>
    <n v="0"/>
    <n v="1"/>
    <n v="12"/>
    <m/>
    <m/>
    <n v="3"/>
    <m/>
    <m/>
    <n v="2"/>
    <m/>
    <n v="1"/>
    <n v="1"/>
    <n v="2"/>
    <n v="1"/>
    <m/>
    <n v="2"/>
    <m/>
    <m/>
    <m/>
    <m/>
    <n v="5"/>
    <n v="2"/>
    <m/>
    <m/>
    <m/>
    <m/>
    <m/>
    <m/>
    <m/>
    <m/>
    <m/>
    <m/>
    <m/>
    <n v="16"/>
    <m/>
    <m/>
    <m/>
    <m/>
    <m/>
    <m/>
    <m/>
    <m/>
    <n v="16"/>
    <m/>
    <n v="13"/>
    <n v="3"/>
    <n v="2011"/>
  </r>
  <r>
    <n v="106190053"/>
    <s v="190053"/>
    <x v="63"/>
    <s v="1050 LINDEN AVENUE, BOX 887"/>
    <s v="LONG BEACH"/>
    <n v="90801"/>
    <x v="2"/>
    <x v="0"/>
    <x v="21"/>
    <x v="12"/>
    <s v="78.2kkk"/>
    <s v="South Bay"/>
    <s v="11 - Los Angeles"/>
    <x v="17"/>
    <s v="General Acute Care"/>
    <s v="Non-Profit Corporation (incl. Church-related)"/>
    <s v="General Medical / Surgical"/>
    <n v="389"/>
    <x v="0"/>
    <n v="23967"/>
    <n v="20385"/>
    <m/>
    <m/>
    <n v="6549"/>
    <n v="4349"/>
    <n v="8105"/>
    <n v="6509"/>
    <n v="6676"/>
    <n v="5396"/>
    <n v="2654"/>
    <n v="1188"/>
    <n v="980"/>
    <n v="1946"/>
    <m/>
    <n v="1354"/>
    <n v="11111"/>
    <n v="18811"/>
    <n v="281"/>
    <n v="597"/>
    <n v="538"/>
    <n v="11660"/>
    <n v="455"/>
    <n v="650"/>
    <m/>
    <n v="72"/>
    <n v="1"/>
    <n v="1"/>
    <m/>
    <n v="225"/>
    <m/>
    <m/>
    <n v="5"/>
    <n v="42898"/>
    <n v="45"/>
    <m/>
    <m/>
    <n v="22874"/>
    <n v="5884"/>
    <n v="1133"/>
    <n v="3822"/>
    <n v="10639"/>
    <n v="1915"/>
    <n v="157"/>
    <n v="618"/>
    <n v="3"/>
    <n v="2576"/>
    <n v="500"/>
    <n v="2195"/>
    <n v="768"/>
    <n v="8150"/>
    <n v="3301"/>
    <n v="39"/>
    <n v="2976"/>
    <n v="2089"/>
    <n v="81"/>
    <n v="1145"/>
    <n v="5202"/>
    <n v="2484"/>
    <n v="10153"/>
    <m/>
    <m/>
    <n v="2598"/>
    <n v="152"/>
    <n v="156"/>
    <n v="12"/>
    <n v="908"/>
    <n v="51"/>
    <n v="167"/>
    <n v="367"/>
    <n v="35032"/>
    <n v="3395"/>
    <n v="238"/>
    <n v="842"/>
    <n v="123"/>
    <n v="227"/>
    <n v="83"/>
    <n v="1"/>
    <n v="44352"/>
    <n v="91"/>
    <n v="37441"/>
    <n v="6820"/>
    <n v="3270"/>
    <n v="3134"/>
    <m/>
    <m/>
    <n v="161"/>
    <n v="532"/>
    <n v="548"/>
    <n v="884"/>
    <n v="1149"/>
    <n v="1045"/>
    <n v="807"/>
    <n v="954"/>
    <n v="201"/>
    <n v="123"/>
    <m/>
    <n v="458"/>
    <n v="1499"/>
    <n v="1864"/>
    <n v="68"/>
    <n v="47"/>
    <n v="2446"/>
    <n v="22"/>
    <n v="124"/>
    <n v="275"/>
    <n v="198"/>
    <n v="369"/>
    <n v="317"/>
    <n v="62"/>
    <n v="8"/>
    <n v="4286"/>
    <n v="740"/>
    <n v="25"/>
    <n v="0"/>
    <n v="0"/>
    <n v="0"/>
    <n v="0"/>
    <n v="0"/>
    <n v="2306"/>
    <n v="2563"/>
    <n v="141"/>
    <n v="687"/>
    <n v="707"/>
    <n v="247"/>
    <n v="144"/>
    <n v="1105"/>
    <n v="4"/>
    <n v="769"/>
    <n v="424"/>
    <n v="313"/>
    <n v="558"/>
    <n v="702"/>
    <n v="147"/>
    <n v="111"/>
    <n v="171"/>
    <n v="15"/>
    <n v="131"/>
    <n v="818"/>
    <n v="183"/>
    <n v="508"/>
    <n v="1"/>
    <n v="53"/>
    <m/>
    <n v="317"/>
    <n v="65"/>
    <n v="365"/>
    <n v="94"/>
    <n v="5"/>
    <n v="209"/>
    <n v="11"/>
    <n v="5025"/>
    <n v="93"/>
    <n v="10"/>
    <n v="99"/>
    <n v="59"/>
    <n v="14"/>
    <n v="35"/>
    <n v="3"/>
    <m/>
    <n v="6404"/>
    <n v="42"/>
    <n v="5608"/>
    <n v="754"/>
    <n v="2011"/>
  </r>
  <r>
    <n v="106190066"/>
    <s v="190066"/>
    <x v="64"/>
    <s v="9542 EAST ARTESIA BOULEVARD"/>
    <s v="BELLFLOWER"/>
    <n v="90706"/>
    <x v="0"/>
    <x v="0"/>
    <x v="22"/>
    <x v="12"/>
    <s v="78.2m"/>
    <s v="East"/>
    <s v="11 - Los Angeles"/>
    <x v="17"/>
    <s v="General Acute Care"/>
    <s v="Investor - Corporation"/>
    <s v="General Medical / Surgical"/>
    <n v="112"/>
    <x v="0"/>
    <n v="5146"/>
    <n v="3588"/>
    <m/>
    <m/>
    <n v="1782"/>
    <n v="1178"/>
    <n v="1692"/>
    <n v="1255"/>
    <n v="1016"/>
    <n v="692"/>
    <n v="327"/>
    <n v="165"/>
    <n v="101"/>
    <n v="526"/>
    <m/>
    <n v="510"/>
    <n v="1483"/>
    <n v="5343"/>
    <n v="56"/>
    <n v="45"/>
    <n v="36"/>
    <n v="1261"/>
    <n v="87"/>
    <n v="326"/>
    <n v="24"/>
    <n v="7"/>
    <n v="6"/>
    <n v="1"/>
    <n v="4"/>
    <n v="24"/>
    <m/>
    <m/>
    <m/>
    <n v="8223"/>
    <n v="32"/>
    <m/>
    <m/>
    <n v="4234"/>
    <n v="570"/>
    <m/>
    <n v="2275"/>
    <n v="1655"/>
    <n v="680"/>
    <n v="17"/>
    <n v="129"/>
    <n v="4"/>
    <n v="485"/>
    <n v="73"/>
    <n v="580"/>
    <n v="143"/>
    <n v="2063"/>
    <n v="432"/>
    <n v="10"/>
    <n v="631"/>
    <n v="158"/>
    <n v="53"/>
    <n v="215"/>
    <n v="1318"/>
    <n v="376"/>
    <n v="1367"/>
    <m/>
    <m/>
    <n v="628"/>
    <n v="77"/>
    <n v="64"/>
    <n v="3"/>
    <n v="89"/>
    <n v="11"/>
    <n v="43"/>
    <n v="160"/>
    <n v="6471"/>
    <n v="926"/>
    <n v="50"/>
    <n v="148"/>
    <n v="8"/>
    <n v="46"/>
    <n v="10"/>
    <m/>
    <n v="8734"/>
    <n v="32"/>
    <n v="7153"/>
    <n v="1549"/>
    <n v="925"/>
    <n v="968"/>
    <m/>
    <m/>
    <n v="47"/>
    <n v="283"/>
    <n v="289"/>
    <n v="324"/>
    <n v="381"/>
    <n v="226"/>
    <n v="144"/>
    <n v="198"/>
    <n v="1"/>
    <m/>
    <m/>
    <n v="177"/>
    <n v="440"/>
    <n v="667"/>
    <m/>
    <n v="75"/>
    <n v="522"/>
    <n v="12"/>
    <n v="34"/>
    <n v="25"/>
    <n v="17"/>
    <n v="7"/>
    <n v="181"/>
    <n v="2"/>
    <m/>
    <n v="1299"/>
    <n v="328"/>
    <m/>
    <n v="0"/>
    <n v="0"/>
    <n v="0"/>
    <n v="0"/>
    <n v="0"/>
    <n v="814"/>
    <n v="693"/>
    <n v="2"/>
    <n v="204"/>
    <n v="180"/>
    <n v="62"/>
    <n v="24"/>
    <n v="136"/>
    <m/>
    <n v="193"/>
    <n v="57"/>
    <n v="75"/>
    <n v="87"/>
    <n v="56"/>
    <n v="10"/>
    <n v="18"/>
    <n v="27"/>
    <n v="5"/>
    <n v="849"/>
    <n v="173"/>
    <n v="53"/>
    <n v="67"/>
    <m/>
    <n v="1"/>
    <m/>
    <n v="23"/>
    <n v="2"/>
    <n v="22"/>
    <n v="8"/>
    <n v="1"/>
    <n v="57"/>
    <m/>
    <n v="1718"/>
    <n v="30"/>
    <m/>
    <n v="2"/>
    <n v="17"/>
    <n v="5"/>
    <n v="7"/>
    <n v="1"/>
    <m/>
    <n v="1893"/>
    <n v="13"/>
    <n v="1649"/>
    <n v="231"/>
    <n v="2011"/>
  </r>
  <r>
    <n v="106190081"/>
    <s v="190081"/>
    <x v="65"/>
    <s v="309 WEST BEVERLY BOULEVARD"/>
    <s v="MONTEBELLO"/>
    <n v="90640"/>
    <x v="0"/>
    <x v="0"/>
    <x v="23"/>
    <x v="13"/>
    <s v="78.2ww"/>
    <s v="East"/>
    <s v="11 - Los Angeles"/>
    <x v="17"/>
    <s v="General Acute Care"/>
    <s v="Non-Profit Corporation (incl. Church-related)"/>
    <s v="General Medical / Surgical"/>
    <n v="224"/>
    <x v="0"/>
    <n v="13927"/>
    <n v="11586"/>
    <m/>
    <m/>
    <n v="4651"/>
    <n v="3318"/>
    <n v="4043"/>
    <n v="3298"/>
    <n v="2634"/>
    <n v="2239"/>
    <n v="1583"/>
    <n v="1371"/>
    <n v="1389"/>
    <n v="987"/>
    <m/>
    <n v="362"/>
    <n v="264"/>
    <n v="22749"/>
    <n v="3"/>
    <n v="212"/>
    <n v="82"/>
    <n v="1841"/>
    <n v="1"/>
    <n v="1571"/>
    <n v="368"/>
    <n v="62"/>
    <m/>
    <n v="7"/>
    <n v="11"/>
    <m/>
    <m/>
    <n v="151"/>
    <n v="8"/>
    <n v="23123"/>
    <n v="211"/>
    <m/>
    <m/>
    <n v="11443"/>
    <n v="6979"/>
    <n v="610"/>
    <n v="1675"/>
    <n v="4806"/>
    <n v="518"/>
    <n v="58"/>
    <n v="416"/>
    <n v="7"/>
    <n v="981"/>
    <n v="315"/>
    <n v="1202"/>
    <n v="339"/>
    <n v="5511"/>
    <n v="1470"/>
    <n v="25"/>
    <n v="1270"/>
    <n v="1889"/>
    <n v="20"/>
    <n v="867"/>
    <n v="2661"/>
    <n v="1122"/>
    <n v="6842"/>
    <m/>
    <m/>
    <n v="1967"/>
    <n v="47"/>
    <n v="197"/>
    <n v="17"/>
    <n v="325"/>
    <n v="32"/>
    <n v="81"/>
    <n v="317"/>
    <n v="19222"/>
    <n v="2204"/>
    <n v="132"/>
    <n v="703"/>
    <n v="70"/>
    <n v="128"/>
    <n v="71"/>
    <m/>
    <n v="25513"/>
    <n v="338"/>
    <n v="20653"/>
    <n v="4522"/>
    <n v="3315"/>
    <n v="2794"/>
    <m/>
    <m/>
    <n v="100"/>
    <n v="247"/>
    <n v="355"/>
    <n v="552"/>
    <n v="849"/>
    <n v="959"/>
    <n v="1243"/>
    <n v="1556"/>
    <n v="90"/>
    <n v="158"/>
    <m/>
    <n v="160"/>
    <n v="60"/>
    <n v="5146"/>
    <n v="70"/>
    <n v="10"/>
    <n v="663"/>
    <m/>
    <n v="375"/>
    <n v="213"/>
    <n v="199"/>
    <n v="541"/>
    <n v="2"/>
    <n v="17"/>
    <n v="9"/>
    <n v="3782"/>
    <n v="971"/>
    <m/>
    <n v="0"/>
    <n v="0"/>
    <n v="0"/>
    <n v="0"/>
    <n v="0"/>
    <n v="1752"/>
    <n v="3354"/>
    <n v="16"/>
    <n v="662"/>
    <n v="325"/>
    <n v="82"/>
    <n v="154"/>
    <n v="1179"/>
    <n v="4"/>
    <n v="926"/>
    <n v="365"/>
    <n v="350"/>
    <n v="629"/>
    <n v="423"/>
    <n v="75"/>
    <n v="156"/>
    <n v="134"/>
    <n v="9"/>
    <n v="67"/>
    <n v="752"/>
    <n v="160"/>
    <n v="637"/>
    <m/>
    <n v="7"/>
    <m/>
    <n v="289"/>
    <n v="23"/>
    <n v="395"/>
    <n v="5"/>
    <n v="7"/>
    <n v="195"/>
    <n v="15"/>
    <n v="5060"/>
    <n v="64"/>
    <n v="3"/>
    <n v="15"/>
    <n v="18"/>
    <n v="13"/>
    <n v="7"/>
    <m/>
    <m/>
    <n v="6109"/>
    <n v="304"/>
    <n v="3208"/>
    <n v="2597"/>
    <n v="2011"/>
  </r>
  <r>
    <n v="106190110"/>
    <s v="190110"/>
    <x v="66"/>
    <s v="3828 DELMAS TERRACE"/>
    <s v="CULVER CITY"/>
    <n v="90231"/>
    <x v="0"/>
    <x v="0"/>
    <x v="24"/>
    <x v="14"/>
    <s v="78.2y"/>
    <s v="West"/>
    <s v="11 - Los Angeles"/>
    <x v="17"/>
    <s v="General Acute Care"/>
    <s v="Investor - Corporation"/>
    <s v="General Medical / Surgical"/>
    <n v="329"/>
    <x v="0"/>
    <n v="8896"/>
    <n v="8196"/>
    <n v="2"/>
    <m/>
    <n v="1662"/>
    <n v="1757"/>
    <n v="2837"/>
    <n v="2536"/>
    <n v="2768"/>
    <n v="2704"/>
    <n v="1272"/>
    <n v="683"/>
    <n v="653"/>
    <n v="222"/>
    <m/>
    <n v="520"/>
    <n v="6750"/>
    <n v="4138"/>
    <n v="57"/>
    <n v="440"/>
    <n v="95"/>
    <n v="5094"/>
    <n v="264"/>
    <n v="730"/>
    <n v="331"/>
    <n v="30"/>
    <n v="2"/>
    <m/>
    <n v="69"/>
    <n v="49"/>
    <n v="8"/>
    <n v="120"/>
    <m/>
    <n v="15401"/>
    <n v="63"/>
    <n v="27"/>
    <m/>
    <n v="675"/>
    <n v="4217"/>
    <n v="467"/>
    <n v="6867"/>
    <n v="4868"/>
    <n v="240"/>
    <n v="123"/>
    <n v="328"/>
    <n v="1"/>
    <n v="662"/>
    <n v="165"/>
    <n v="597"/>
    <n v="274"/>
    <n v="3402"/>
    <n v="1694"/>
    <n v="14"/>
    <n v="987"/>
    <n v="1148"/>
    <n v="4"/>
    <n v="1309"/>
    <n v="1096"/>
    <n v="645"/>
    <n v="4405"/>
    <m/>
    <m/>
    <n v="1154"/>
    <n v="53"/>
    <n v="76"/>
    <n v="4"/>
    <n v="275"/>
    <n v="3"/>
    <n v="51"/>
    <n v="194"/>
    <n v="12683"/>
    <n v="1765"/>
    <n v="91"/>
    <n v="593"/>
    <n v="51"/>
    <n v="73"/>
    <n v="28"/>
    <m/>
    <n v="17094"/>
    <n v="200"/>
    <n v="16207"/>
    <n v="687"/>
    <n v="3035"/>
    <n v="2838"/>
    <m/>
    <m/>
    <n v="50"/>
    <n v="254"/>
    <n v="358"/>
    <n v="826"/>
    <n v="1284"/>
    <n v="1075"/>
    <n v="843"/>
    <n v="1183"/>
    <m/>
    <m/>
    <m/>
    <n v="79"/>
    <n v="2433"/>
    <n v="915"/>
    <n v="125"/>
    <n v="114"/>
    <n v="2188"/>
    <n v="19"/>
    <n v="170"/>
    <n v="304"/>
    <n v="114"/>
    <n v="376"/>
    <n v="315"/>
    <n v="11"/>
    <n v="342"/>
    <n v="2751"/>
    <n v="1487"/>
    <n v="3"/>
    <n v="0"/>
    <n v="0"/>
    <n v="0"/>
    <n v="0"/>
    <n v="0"/>
    <n v="1131"/>
    <n v="3243"/>
    <n v="36"/>
    <n v="1163"/>
    <n v="300"/>
    <n v="13"/>
    <n v="95"/>
    <n v="713"/>
    <n v="4"/>
    <n v="567"/>
    <n v="240"/>
    <n v="323"/>
    <n v="479"/>
    <n v="273"/>
    <n v="119"/>
    <n v="76"/>
    <n v="139"/>
    <n v="44"/>
    <n v="1469"/>
    <n v="636"/>
    <n v="123"/>
    <n v="560"/>
    <m/>
    <m/>
    <m/>
    <n v="159"/>
    <n v="17"/>
    <n v="204"/>
    <n v="15"/>
    <n v="8"/>
    <n v="164"/>
    <n v="6"/>
    <n v="5174"/>
    <n v="56"/>
    <n v="1"/>
    <n v="6"/>
    <n v="43"/>
    <n v="4"/>
    <n v="15"/>
    <n v="1"/>
    <m/>
    <n v="5873"/>
    <n v="98"/>
    <n v="5590"/>
    <n v="185"/>
    <n v="2011"/>
  </r>
  <r>
    <n v="106190125"/>
    <s v="190125"/>
    <x v="67"/>
    <s v="1401 SOUTH GRAND AVENUE"/>
    <s v="LOS ANGELES"/>
    <n v="90015"/>
    <x v="2"/>
    <x v="0"/>
    <x v="25"/>
    <x v="10"/>
    <s v="78.2ffff"/>
    <s v="Metro"/>
    <s v="11 - Los Angeles"/>
    <x v="17"/>
    <s v="General Acute Care"/>
    <s v="Non-Profit Corporation (incl. Church-related)"/>
    <s v="General Medical / Surgical"/>
    <n v="288"/>
    <x v="0"/>
    <n v="27126"/>
    <n v="22010"/>
    <n v="1"/>
    <m/>
    <n v="7157"/>
    <n v="6367"/>
    <n v="10261"/>
    <n v="7464"/>
    <n v="6486"/>
    <n v="5383"/>
    <n v="2292"/>
    <n v="932"/>
    <n v="582"/>
    <n v="2213"/>
    <m/>
    <n v="138"/>
    <n v="17688"/>
    <n v="27048"/>
    <n v="64"/>
    <n v="696"/>
    <n v="728"/>
    <n v="2775"/>
    <n v="434"/>
    <n v="1239"/>
    <n v="91"/>
    <n v="98"/>
    <n v="3"/>
    <m/>
    <m/>
    <n v="58"/>
    <m/>
    <n v="608"/>
    <n v="1"/>
    <n v="46585"/>
    <n v="10"/>
    <m/>
    <n v="10"/>
    <n v="26429"/>
    <n v="3872"/>
    <n v="2165"/>
    <n v="2750"/>
    <n v="13921"/>
    <n v="2722"/>
    <n v="181"/>
    <n v="769"/>
    <n v="13"/>
    <n v="2830"/>
    <n v="1041"/>
    <n v="3597"/>
    <n v="1116"/>
    <n v="10393"/>
    <n v="2643"/>
    <n v="121"/>
    <n v="2742"/>
    <n v="2496"/>
    <n v="122"/>
    <n v="2552"/>
    <n v="4689"/>
    <n v="2076"/>
    <n v="9031"/>
    <n v="1"/>
    <n v="2"/>
    <n v="2902"/>
    <n v="69"/>
    <n v="126"/>
    <n v="18"/>
    <n v="1446"/>
    <n v="86"/>
    <n v="110"/>
    <n v="522"/>
    <n v="37739"/>
    <n v="3805"/>
    <n v="269"/>
    <n v="1625"/>
    <n v="102"/>
    <n v="264"/>
    <n v="54"/>
    <m/>
    <n v="49137"/>
    <n v="33"/>
    <n v="35132"/>
    <n v="13972"/>
    <n v="4528"/>
    <n v="4734"/>
    <m/>
    <m/>
    <n v="533"/>
    <n v="1283"/>
    <n v="1137"/>
    <n v="1403"/>
    <n v="1694"/>
    <n v="1232"/>
    <n v="702"/>
    <n v="691"/>
    <n v="303"/>
    <n v="284"/>
    <m/>
    <n v="37"/>
    <n v="3827"/>
    <n v="4694"/>
    <n v="161"/>
    <n v="34"/>
    <n v="497"/>
    <n v="12"/>
    <n v="261"/>
    <n v="343"/>
    <n v="208"/>
    <n v="143"/>
    <n v="27"/>
    <n v="51"/>
    <n v="8"/>
    <n v="7611"/>
    <n v="601"/>
    <n v="9"/>
    <n v="0"/>
    <n v="0"/>
    <n v="0"/>
    <n v="0"/>
    <n v="0"/>
    <n v="4407"/>
    <n v="2056"/>
    <n v="239"/>
    <n v="526"/>
    <n v="2034"/>
    <n v="469"/>
    <n v="182"/>
    <n v="1234"/>
    <n v="8"/>
    <n v="1283"/>
    <n v="424"/>
    <n v="459"/>
    <n v="318"/>
    <n v="1920"/>
    <n v="165"/>
    <n v="216"/>
    <n v="191"/>
    <n v="26"/>
    <n v="144"/>
    <n v="1021"/>
    <n v="291"/>
    <n v="834"/>
    <n v="12"/>
    <n v="65"/>
    <m/>
    <n v="451"/>
    <n v="50"/>
    <n v="211"/>
    <n v="550"/>
    <n v="20"/>
    <n v="253"/>
    <n v="33"/>
    <n v="6843"/>
    <n v="251"/>
    <n v="32"/>
    <n v="464"/>
    <n v="41"/>
    <n v="18"/>
    <n v="43"/>
    <n v="2"/>
    <m/>
    <n v="9262"/>
    <n v="21"/>
    <n v="6281"/>
    <n v="2960"/>
    <n v="2011"/>
  </r>
  <r>
    <n v="106190148"/>
    <s v="190148"/>
    <x v="68"/>
    <s v="555 EAST HARDY STREET"/>
    <s v="INGLEWOOD"/>
    <n v="90301"/>
    <x v="0"/>
    <x v="0"/>
    <x v="26"/>
    <x v="15"/>
    <s v="78.2q"/>
    <s v="South Bay"/>
    <s v="11 - Los Angeles"/>
    <x v="17"/>
    <s v="General Acute Care"/>
    <s v="Investor - Limited Liability Company"/>
    <s v="General Medical / Surgical"/>
    <n v="345"/>
    <x v="0"/>
    <n v="23675"/>
    <n v="17499"/>
    <m/>
    <m/>
    <n v="5132"/>
    <n v="5096"/>
    <n v="9357"/>
    <n v="6360"/>
    <n v="5984"/>
    <n v="5136"/>
    <n v="2017"/>
    <n v="535"/>
    <n v="297"/>
    <n v="1260"/>
    <m/>
    <n v="164"/>
    <n v="25741"/>
    <n v="11646"/>
    <m/>
    <n v="427"/>
    <m/>
    <n v="3196"/>
    <n v="580"/>
    <n v="656"/>
    <m/>
    <m/>
    <m/>
    <n v="2"/>
    <m/>
    <n v="179"/>
    <m/>
    <n v="493"/>
    <n v="1"/>
    <n v="39171"/>
    <n v="92"/>
    <m/>
    <m/>
    <n v="21287"/>
    <n v="1638"/>
    <n v="225"/>
    <n v="4283"/>
    <n v="13741"/>
    <n v="2531"/>
    <n v="144"/>
    <n v="627"/>
    <n v="4"/>
    <n v="1740"/>
    <n v="629"/>
    <n v="2154"/>
    <n v="1009"/>
    <n v="8651"/>
    <n v="2352"/>
    <n v="142"/>
    <n v="2770"/>
    <n v="3186"/>
    <n v="103"/>
    <n v="2200"/>
    <n v="3994"/>
    <n v="1396"/>
    <n v="7541"/>
    <n v="1"/>
    <m/>
    <n v="2177"/>
    <n v="170"/>
    <n v="392"/>
    <n v="22"/>
    <n v="1382"/>
    <n v="25"/>
    <n v="156"/>
    <n v="354"/>
    <n v="31598"/>
    <n v="2866"/>
    <n v="154"/>
    <n v="1344"/>
    <n v="147"/>
    <n v="199"/>
    <n v="188"/>
    <m/>
    <n v="41174"/>
    <n v="385"/>
    <n v="37104"/>
    <n v="3685"/>
    <n v="8975"/>
    <n v="6765"/>
    <m/>
    <m/>
    <n v="188"/>
    <n v="823"/>
    <n v="1006"/>
    <n v="2051"/>
    <n v="3199"/>
    <n v="2931"/>
    <n v="2774"/>
    <n v="2763"/>
    <n v="5"/>
    <m/>
    <m/>
    <n v="154"/>
    <n v="11309"/>
    <n v="2888"/>
    <n v="220"/>
    <n v="1"/>
    <n v="1159"/>
    <n v="9"/>
    <n v="734"/>
    <n v="835"/>
    <n v="421"/>
    <n v="1243"/>
    <n v="243"/>
    <n v="32"/>
    <n v="316"/>
    <n v="10296"/>
    <n v="1620"/>
    <m/>
    <n v="0"/>
    <n v="0"/>
    <n v="0"/>
    <n v="0"/>
    <n v="0"/>
    <n v="5334"/>
    <n v="7724"/>
    <m/>
    <n v="1350"/>
    <n v="1332"/>
    <n v="319"/>
    <n v="285"/>
    <n v="3478"/>
    <n v="5"/>
    <n v="1795"/>
    <n v="808"/>
    <n v="744"/>
    <n v="1698"/>
    <n v="976"/>
    <n v="379"/>
    <n v="262"/>
    <n v="1124"/>
    <n v="25"/>
    <n v="214"/>
    <n v="1806"/>
    <n v="211"/>
    <n v="1606"/>
    <n v="5"/>
    <m/>
    <m/>
    <n v="543"/>
    <n v="100"/>
    <n v="644"/>
    <n v="81"/>
    <n v="49"/>
    <n v="563"/>
    <n v="36"/>
    <n v="13321"/>
    <n v="160"/>
    <n v="8"/>
    <n v="59"/>
    <n v="58"/>
    <n v="19"/>
    <n v="94"/>
    <n v="5"/>
    <m/>
    <n v="15740"/>
    <n v="96"/>
    <n v="13996"/>
    <n v="1648"/>
    <n v="2011"/>
  </r>
  <r>
    <n v="106190159"/>
    <s v="190159"/>
    <x v="69"/>
    <s v="21530 SOUTH PIONEER BOULEVARD"/>
    <s v="HAWAIIAN GARDENS"/>
    <n v="90716"/>
    <x v="0"/>
    <x v="0"/>
    <x v="27"/>
    <x v="12"/>
    <s v="78.2n"/>
    <s v="East"/>
    <s v="11 - Los Angeles"/>
    <x v="17"/>
    <s v="General Acute Care"/>
    <s v="Non-Profit Corporation (incl. Church-related)"/>
    <s v="General Medical / Surgical"/>
    <n v="107"/>
    <x v="0"/>
    <n v="3418"/>
    <n v="3054"/>
    <m/>
    <m/>
    <n v="691"/>
    <n v="782"/>
    <n v="1139"/>
    <n v="945"/>
    <n v="1026"/>
    <n v="859"/>
    <n v="462"/>
    <n v="252"/>
    <n v="242"/>
    <n v="74"/>
    <m/>
    <n v="649"/>
    <n v="984"/>
    <n v="3012"/>
    <m/>
    <n v="7"/>
    <n v="2"/>
    <n v="1818"/>
    <n v="138"/>
    <n v="100"/>
    <m/>
    <n v="22"/>
    <m/>
    <n v="2"/>
    <m/>
    <m/>
    <m/>
    <n v="36"/>
    <m/>
    <n v="5974"/>
    <n v="200"/>
    <m/>
    <m/>
    <n v="1949"/>
    <n v="962"/>
    <n v="324"/>
    <n v="1632"/>
    <n v="1605"/>
    <n v="88"/>
    <n v="30"/>
    <n v="236"/>
    <n v="3"/>
    <n v="506"/>
    <n v="150"/>
    <n v="381"/>
    <n v="83"/>
    <n v="1497"/>
    <n v="333"/>
    <n v="12"/>
    <n v="614"/>
    <n v="312"/>
    <m/>
    <n v="347"/>
    <n v="714"/>
    <n v="312"/>
    <n v="854"/>
    <m/>
    <m/>
    <n v="507"/>
    <n v="11"/>
    <n v="51"/>
    <n v="1"/>
    <n v="97"/>
    <n v="17"/>
    <m/>
    <n v="52"/>
    <n v="4855"/>
    <n v="636"/>
    <n v="48"/>
    <n v="142"/>
    <n v="34"/>
    <n v="17"/>
    <n v="4"/>
    <m/>
    <n v="6472"/>
    <n v="58"/>
    <n v="5794"/>
    <n v="620"/>
    <n v="1059"/>
    <n v="957"/>
    <m/>
    <m/>
    <n v="7"/>
    <n v="52"/>
    <n v="85"/>
    <n v="193"/>
    <n v="373"/>
    <n v="401"/>
    <n v="360"/>
    <n v="545"/>
    <m/>
    <m/>
    <m/>
    <n v="389"/>
    <n v="327"/>
    <n v="665"/>
    <n v="12"/>
    <m/>
    <n v="616"/>
    <n v="7"/>
    <n v="262"/>
    <n v="35"/>
    <n v="48"/>
    <n v="116"/>
    <n v="22"/>
    <n v="5"/>
    <n v="48"/>
    <n v="710"/>
    <n v="770"/>
    <m/>
    <n v="0"/>
    <n v="0"/>
    <n v="0"/>
    <n v="0"/>
    <n v="0"/>
    <n v="485"/>
    <n v="1252"/>
    <n v="14"/>
    <n v="156"/>
    <n v="109"/>
    <n v="4"/>
    <n v="39"/>
    <n v="298"/>
    <n v="1"/>
    <n v="308"/>
    <n v="142"/>
    <n v="197"/>
    <n v="269"/>
    <n v="126"/>
    <n v="29"/>
    <n v="34"/>
    <n v="29"/>
    <n v="3"/>
    <n v="9"/>
    <n v="289"/>
    <n v="97"/>
    <n v="142"/>
    <m/>
    <m/>
    <m/>
    <n v="72"/>
    <n v="8"/>
    <n v="93"/>
    <n v="2"/>
    <n v="20"/>
    <n v="162"/>
    <m/>
    <n v="1586"/>
    <n v="44"/>
    <m/>
    <n v="4"/>
    <n v="6"/>
    <n v="15"/>
    <n v="3"/>
    <n v="1"/>
    <m/>
    <n v="2016"/>
    <n v="84"/>
    <n v="1643"/>
    <n v="289"/>
    <n v="2011"/>
  </r>
  <r>
    <n v="106190170"/>
    <s v="190170"/>
    <x v="70"/>
    <s v="4650 SUNSET BOULEVARD"/>
    <s v="LOS ANGELES"/>
    <n v="90027"/>
    <x v="1"/>
    <x v="0"/>
    <x v="28"/>
    <x v="14"/>
    <s v="78.2g"/>
    <s v="Metro"/>
    <s v="11 - Los Angeles"/>
    <x v="17"/>
    <s v="General Acute Care"/>
    <s v="Non-Profit Corporation (incl. Church-related)"/>
    <s v="Pediatric"/>
    <n v="603"/>
    <x v="0"/>
    <n v="26603"/>
    <n v="30783"/>
    <m/>
    <m/>
    <n v="35416"/>
    <n v="11328"/>
    <n v="332"/>
    <n v="53"/>
    <n v="28"/>
    <n v="26"/>
    <n v="6"/>
    <n v="1"/>
    <n v="1"/>
    <n v="10195"/>
    <m/>
    <n v="1996"/>
    <n v="3627"/>
    <n v="45794"/>
    <n v="10"/>
    <n v="4517"/>
    <m/>
    <n v="1442"/>
    <n v="109"/>
    <n v="1352"/>
    <m/>
    <n v="5"/>
    <m/>
    <m/>
    <m/>
    <n v="47"/>
    <m/>
    <n v="159"/>
    <m/>
    <n v="55710"/>
    <n v="4"/>
    <m/>
    <m/>
    <n v="52717"/>
    <n v="25"/>
    <n v="209"/>
    <n v="4435"/>
    <m/>
    <n v="7"/>
    <n v="486"/>
    <n v="107"/>
    <n v="206"/>
    <n v="4402"/>
    <n v="434"/>
    <n v="2073"/>
    <n v="8890"/>
    <n v="8988"/>
    <n v="1375"/>
    <n v="111"/>
    <n v="6102"/>
    <n v="1189"/>
    <n v="555"/>
    <n v="301"/>
    <n v="11151"/>
    <n v="2361"/>
    <n v="8648"/>
    <m/>
    <m/>
    <n v="3889"/>
    <n v="95"/>
    <n v="327"/>
    <n v="8"/>
    <n v="132"/>
    <n v="1"/>
    <n v="387"/>
    <n v="563"/>
    <n v="47617"/>
    <n v="3318"/>
    <n v="165"/>
    <n v="227"/>
    <n v="18"/>
    <n v="586"/>
    <n v="53"/>
    <m/>
    <n v="57386"/>
    <n v="407"/>
    <n v="30558"/>
    <n v="26421"/>
    <n v="2374"/>
    <n v="2868"/>
    <m/>
    <m/>
    <n v="1665"/>
    <n v="117"/>
    <m/>
    <m/>
    <m/>
    <m/>
    <m/>
    <m/>
    <n v="1078"/>
    <n v="2382"/>
    <m/>
    <n v="314"/>
    <n v="406"/>
    <n v="3682"/>
    <n v="491"/>
    <m/>
    <n v="349"/>
    <m/>
    <n v="38"/>
    <n v="9"/>
    <n v="28"/>
    <n v="7"/>
    <n v="41"/>
    <m/>
    <n v="17"/>
    <n v="5072"/>
    <n v="30"/>
    <m/>
    <n v="0"/>
    <n v="0"/>
    <n v="0"/>
    <n v="0"/>
    <n v="0"/>
    <n v="4141"/>
    <n v="14"/>
    <n v="21"/>
    <n v="873"/>
    <n v="193"/>
    <m/>
    <n v="390"/>
    <n v="99"/>
    <n v="135"/>
    <n v="912"/>
    <n v="171"/>
    <n v="168"/>
    <n v="196"/>
    <n v="829"/>
    <n v="147"/>
    <n v="131"/>
    <n v="328"/>
    <n v="44"/>
    <n v="22"/>
    <n v="1093"/>
    <n v="181"/>
    <n v="254"/>
    <m/>
    <n v="142"/>
    <m/>
    <n v="274"/>
    <n v="22"/>
    <n v="179"/>
    <n v="22"/>
    <n v="12"/>
    <n v="521"/>
    <n v="25"/>
    <n v="3936"/>
    <n v="111"/>
    <n v="25"/>
    <n v="48"/>
    <n v="9"/>
    <n v="55"/>
    <n v="3"/>
    <m/>
    <m/>
    <n v="5242"/>
    <n v="88"/>
    <n v="3054"/>
    <n v="2100"/>
    <n v="2011"/>
  </r>
  <r>
    <n v="106190197"/>
    <s v="190197"/>
    <x v="71"/>
    <s v="2623 EAST SLAUSON AVENUE"/>
    <s v="HUNTINGTON PARK"/>
    <n v="90255"/>
    <x v="0"/>
    <x v="0"/>
    <x v="25"/>
    <x v="13"/>
    <s v="78.2ccc"/>
    <s v="East"/>
    <s v="11 - Los Angeles"/>
    <x v="17"/>
    <s v="General Acute Care"/>
    <s v="Investor - Corporation"/>
    <s v="General Medical / Surgical"/>
    <n v="81"/>
    <x v="2"/>
    <n v="14683"/>
    <n v="11333"/>
    <n v="3"/>
    <n v="1"/>
    <n v="8832"/>
    <n v="4568"/>
    <n v="3605"/>
    <n v="2970"/>
    <n v="2076"/>
    <n v="1144"/>
    <n v="657"/>
    <n v="366"/>
    <n v="195"/>
    <n v="1607"/>
    <m/>
    <n v="16"/>
    <n v="223"/>
    <n v="25680"/>
    <n v="2"/>
    <n v="59"/>
    <n v="5"/>
    <n v="35"/>
    <n v="337"/>
    <n v="361"/>
    <n v="3"/>
    <n v="3"/>
    <m/>
    <n v="8"/>
    <m/>
    <n v="1"/>
    <m/>
    <n v="14"/>
    <n v="3"/>
    <n v="25265"/>
    <n v="25"/>
    <m/>
    <m/>
    <n v="19269"/>
    <n v="870"/>
    <n v="55"/>
    <n v="1830"/>
    <n v="3996"/>
    <n v="940"/>
    <n v="47"/>
    <n v="195"/>
    <n v="7"/>
    <n v="2263"/>
    <n v="219"/>
    <n v="2693"/>
    <n v="472"/>
    <n v="5223"/>
    <n v="547"/>
    <n v="64"/>
    <n v="1880"/>
    <n v="465"/>
    <n v="19"/>
    <n v="373"/>
    <n v="6536"/>
    <n v="1416"/>
    <n v="2659"/>
    <m/>
    <n v="2"/>
    <n v="1708"/>
    <n v="55"/>
    <n v="158"/>
    <n v="3"/>
    <n v="234"/>
    <n v="13"/>
    <n v="36"/>
    <n v="297"/>
    <n v="20313"/>
    <n v="2623"/>
    <n v="141"/>
    <n v="240"/>
    <n v="16"/>
    <n v="174"/>
    <n v="9"/>
    <m/>
    <n v="26020"/>
    <n v="53"/>
    <n v="9047"/>
    <n v="16920"/>
    <n v="2154"/>
    <n v="1365"/>
    <m/>
    <m/>
    <n v="186"/>
    <n v="279"/>
    <n v="347"/>
    <n v="483"/>
    <n v="491"/>
    <n v="485"/>
    <n v="509"/>
    <n v="386"/>
    <n v="119"/>
    <n v="234"/>
    <m/>
    <n v="2"/>
    <n v="39"/>
    <n v="3469"/>
    <n v="4"/>
    <m/>
    <n v="5"/>
    <m/>
    <n v="102"/>
    <n v="132"/>
    <n v="18"/>
    <n v="26"/>
    <n v="2"/>
    <n v="20"/>
    <n v="1"/>
    <n v="3124"/>
    <n v="94"/>
    <m/>
    <n v="0"/>
    <n v="0"/>
    <n v="0"/>
    <n v="0"/>
    <n v="0"/>
    <n v="1846"/>
    <n v="972"/>
    <n v="4"/>
    <n v="298"/>
    <n v="399"/>
    <n v="62"/>
    <n v="65"/>
    <n v="586"/>
    <m/>
    <n v="816"/>
    <n v="256"/>
    <n v="256"/>
    <n v="208"/>
    <n v="85"/>
    <n v="42"/>
    <n v="39"/>
    <n v="62"/>
    <n v="7"/>
    <n v="26"/>
    <n v="596"/>
    <n v="101"/>
    <n v="303"/>
    <m/>
    <n v="9"/>
    <m/>
    <n v="57"/>
    <n v="4"/>
    <n v="90"/>
    <n v="4"/>
    <n v="3"/>
    <n v="6"/>
    <n v="3"/>
    <n v="3315"/>
    <n v="29"/>
    <m/>
    <n v="1"/>
    <n v="2"/>
    <n v="1"/>
    <n v="4"/>
    <m/>
    <m/>
    <n v="3519"/>
    <n v="2"/>
    <n v="744"/>
    <n v="2773"/>
    <n v="2011"/>
  </r>
  <r>
    <n v="106190198"/>
    <s v="190198"/>
    <x v="72"/>
    <s v="4081 EAST OLYMPIC BOULEVARD"/>
    <s v="LOS ANGELES"/>
    <n v="90023"/>
    <x v="0"/>
    <x v="0"/>
    <x v="23"/>
    <x v="13"/>
    <s v="78.2d"/>
    <s v="East"/>
    <s v="11 - Los Angeles"/>
    <x v="17"/>
    <s v="General Acute Care"/>
    <s v="Investor - Limited Liability Company"/>
    <s v="General Medical / Surgical"/>
    <n v="91"/>
    <x v="2"/>
    <n v="4466"/>
    <n v="4422"/>
    <n v="1"/>
    <m/>
    <n v="2067"/>
    <n v="823"/>
    <n v="818"/>
    <n v="842"/>
    <n v="945"/>
    <n v="1138"/>
    <n v="765"/>
    <n v="532"/>
    <n v="437"/>
    <n v="522"/>
    <m/>
    <n v="99"/>
    <n v="718"/>
    <n v="6914"/>
    <n v="7"/>
    <n v="53"/>
    <n v="28"/>
    <n v="1070"/>
    <n v="3874"/>
    <n v="315"/>
    <m/>
    <n v="5"/>
    <n v="5"/>
    <m/>
    <n v="1"/>
    <n v="1"/>
    <m/>
    <n v="3"/>
    <n v="58"/>
    <n v="4603"/>
    <n v="24"/>
    <m/>
    <m/>
    <n v="4342"/>
    <n v="2084"/>
    <n v="109"/>
    <n v="1364"/>
    <n v="990"/>
    <n v="223"/>
    <n v="7"/>
    <n v="50"/>
    <n v="4"/>
    <n v="603"/>
    <n v="54"/>
    <n v="252"/>
    <n v="101"/>
    <n v="907"/>
    <n v="161"/>
    <n v="4"/>
    <n v="257"/>
    <n v="3909"/>
    <n v="3"/>
    <n v="84"/>
    <n v="1284"/>
    <n v="284"/>
    <n v="702"/>
    <m/>
    <m/>
    <n v="345"/>
    <n v="9"/>
    <n v="11"/>
    <n v="4"/>
    <n v="46"/>
    <n v="4"/>
    <n v="3"/>
    <n v="61"/>
    <n v="7931"/>
    <n v="372"/>
    <n v="24"/>
    <n v="52"/>
    <n v="1"/>
    <n v="19"/>
    <n v="7"/>
    <m/>
    <n v="8889"/>
    <n v="33"/>
    <n v="4515"/>
    <n v="4341"/>
    <n v="1384"/>
    <n v="1567"/>
    <m/>
    <m/>
    <n v="60"/>
    <n v="113"/>
    <n v="151"/>
    <n v="369"/>
    <n v="648"/>
    <n v="482"/>
    <n v="312"/>
    <n v="288"/>
    <n v="209"/>
    <n v="319"/>
    <m/>
    <n v="62"/>
    <n v="469"/>
    <n v="1691"/>
    <n v="33"/>
    <n v="16"/>
    <n v="676"/>
    <n v="4"/>
    <n v="91"/>
    <n v="104"/>
    <n v="31"/>
    <n v="16"/>
    <n v="44"/>
    <n v="1"/>
    <n v="1"/>
    <n v="1713"/>
    <n v="950"/>
    <m/>
    <n v="0"/>
    <n v="0"/>
    <n v="0"/>
    <n v="0"/>
    <n v="0"/>
    <n v="1649"/>
    <n v="1200"/>
    <n v="20"/>
    <n v="33"/>
    <n v="49"/>
    <n v="29"/>
    <n v="40"/>
    <n v="247"/>
    <n v="1"/>
    <n v="345"/>
    <n v="133"/>
    <n v="312"/>
    <n v="133"/>
    <n v="161"/>
    <n v="111"/>
    <n v="21"/>
    <n v="112"/>
    <n v="15"/>
    <n v="80"/>
    <n v="703"/>
    <n v="162"/>
    <n v="342"/>
    <m/>
    <n v="4"/>
    <m/>
    <n v="107"/>
    <n v="2"/>
    <n v="59"/>
    <n v="16"/>
    <n v="9"/>
    <n v="55"/>
    <n v="3"/>
    <n v="2645"/>
    <n v="29"/>
    <n v="1"/>
    <n v="8"/>
    <n v="4"/>
    <n v="2"/>
    <n v="11"/>
    <m/>
    <m/>
    <n v="2951"/>
    <n v="16"/>
    <n v="1830"/>
    <n v="1105"/>
    <n v="2011"/>
  </r>
  <r>
    <n v="106190200"/>
    <s v="190200"/>
    <x v="73"/>
    <s v="438 W. LAS TUNAS DRIVE"/>
    <s v="SAN GABRIEL"/>
    <n v="91776"/>
    <x v="0"/>
    <x v="0"/>
    <x v="18"/>
    <x v="16"/>
    <s v="78.2eeee"/>
    <s v="San Gabriel Valley"/>
    <s v="11 - Los Angeles"/>
    <x v="17"/>
    <s v="General Acute Care"/>
    <s v="Investor - Limited Liability Company"/>
    <s v="General Medical / Surgical"/>
    <n v="190"/>
    <x v="0"/>
    <n v="10868"/>
    <n v="8145"/>
    <m/>
    <m/>
    <n v="3589"/>
    <n v="2510"/>
    <n v="2591"/>
    <n v="2325"/>
    <n v="2135"/>
    <n v="1731"/>
    <n v="1195"/>
    <n v="971"/>
    <n v="1275"/>
    <n v="691"/>
    <m/>
    <n v="4269"/>
    <n v="136"/>
    <n v="5514"/>
    <n v="5"/>
    <n v="360"/>
    <n v="9"/>
    <n v="8720"/>
    <n v="352"/>
    <n v="245"/>
    <n v="3"/>
    <n v="29"/>
    <n v="13"/>
    <m/>
    <m/>
    <m/>
    <n v="185"/>
    <n v="114"/>
    <n v="7"/>
    <n v="17937"/>
    <n v="128"/>
    <m/>
    <m/>
    <n v="1859"/>
    <n v="2939"/>
    <n v="499"/>
    <n v="11029"/>
    <n v="2687"/>
    <n v="499"/>
    <n v="72"/>
    <n v="302"/>
    <n v="5"/>
    <n v="964"/>
    <n v="340"/>
    <n v="929"/>
    <n v="394"/>
    <n v="4860"/>
    <n v="978"/>
    <n v="31"/>
    <n v="1129"/>
    <n v="676"/>
    <n v="47"/>
    <n v="499"/>
    <n v="2246"/>
    <n v="841"/>
    <n v="4201"/>
    <m/>
    <m/>
    <n v="1688"/>
    <n v="52"/>
    <n v="123"/>
    <n v="8"/>
    <n v="206"/>
    <n v="7"/>
    <n v="175"/>
    <n v="241"/>
    <n v="13648"/>
    <n v="2091"/>
    <n v="93"/>
    <n v="481"/>
    <n v="55"/>
    <n v="127"/>
    <n v="18"/>
    <m/>
    <n v="19013"/>
    <n v="1427"/>
    <n v="16330"/>
    <n v="1256"/>
    <n v="3017"/>
    <n v="2169"/>
    <m/>
    <m/>
    <n v="72"/>
    <n v="180"/>
    <n v="238"/>
    <n v="444"/>
    <n v="655"/>
    <n v="730"/>
    <n v="927"/>
    <n v="1925"/>
    <n v="11"/>
    <n v="4"/>
    <m/>
    <n v="2312"/>
    <n v="101"/>
    <n v="1574"/>
    <n v="164"/>
    <n v="2"/>
    <n v="1030"/>
    <n v="3"/>
    <n v="145"/>
    <n v="119"/>
    <n v="169"/>
    <n v="563"/>
    <n v="145"/>
    <n v="80"/>
    <n v="23"/>
    <n v="2652"/>
    <n v="1289"/>
    <n v="1"/>
    <n v="0"/>
    <n v="0"/>
    <n v="0"/>
    <n v="0"/>
    <n v="0"/>
    <n v="888"/>
    <n v="2948"/>
    <n v="23"/>
    <n v="1106"/>
    <n v="221"/>
    <n v="87"/>
    <n v="109"/>
    <n v="884"/>
    <n v="2"/>
    <n v="703"/>
    <n v="265"/>
    <n v="370"/>
    <n v="643"/>
    <n v="343"/>
    <n v="82"/>
    <n v="178"/>
    <n v="141"/>
    <n v="9"/>
    <n v="73"/>
    <n v="629"/>
    <n v="123"/>
    <n v="535"/>
    <m/>
    <n v="10"/>
    <m/>
    <n v="259"/>
    <n v="13"/>
    <n v="297"/>
    <n v="2"/>
    <n v="16"/>
    <n v="238"/>
    <n v="7"/>
    <n v="4261"/>
    <n v="53"/>
    <m/>
    <n v="3"/>
    <n v="16"/>
    <n v="17"/>
    <n v="4"/>
    <m/>
    <m/>
    <n v="5186"/>
    <n v="1377"/>
    <n v="3396"/>
    <n v="413"/>
    <n v="2011"/>
  </r>
  <r>
    <n v="106190240"/>
    <s v="190240"/>
    <x v="74"/>
    <s v="3700 EAST SOUTH STREET"/>
    <s v="LAKEWOOD"/>
    <n v="90712"/>
    <x v="0"/>
    <x v="0"/>
    <x v="21"/>
    <x v="12"/>
    <s v="78.2n"/>
    <s v="South Bay"/>
    <s v="11 - Los Angeles"/>
    <x v="17"/>
    <s v="General Acute Care"/>
    <s v="Investor - Corporation"/>
    <s v="General Medical / Surgical"/>
    <n v="172"/>
    <x v="0"/>
    <n v="21156"/>
    <n v="15280"/>
    <m/>
    <m/>
    <n v="4276"/>
    <n v="4191"/>
    <n v="6088"/>
    <n v="5044"/>
    <n v="5161"/>
    <n v="4312"/>
    <n v="2634"/>
    <n v="2053"/>
    <n v="1908"/>
    <n v="769"/>
    <m/>
    <n v="1957"/>
    <n v="11111"/>
    <n v="12052"/>
    <n v="30"/>
    <n v="1552"/>
    <n v="449"/>
    <n v="9285"/>
    <n v="517"/>
    <n v="1068"/>
    <n v="2"/>
    <n v="95"/>
    <n v="187"/>
    <n v="12"/>
    <n v="3"/>
    <m/>
    <m/>
    <n v="177"/>
    <m/>
    <n v="34090"/>
    <n v="282"/>
    <m/>
    <n v="3"/>
    <n v="3989"/>
    <n v="6814"/>
    <n v="771"/>
    <n v="17947"/>
    <n v="6915"/>
    <n v="863"/>
    <n v="165"/>
    <n v="998"/>
    <n v="6"/>
    <n v="2045"/>
    <n v="744"/>
    <n v="2378"/>
    <n v="1280"/>
    <n v="7762"/>
    <n v="3088"/>
    <n v="19"/>
    <n v="2334"/>
    <n v="1259"/>
    <n v="22"/>
    <n v="1061"/>
    <n v="3927"/>
    <n v="1477"/>
    <n v="7006"/>
    <m/>
    <n v="2"/>
    <n v="2482"/>
    <n v="137"/>
    <n v="490"/>
    <n v="19"/>
    <n v="514"/>
    <n v="12"/>
    <n v="244"/>
    <n v="359"/>
    <n v="27635"/>
    <n v="3102"/>
    <n v="155"/>
    <n v="1005"/>
    <n v="73"/>
    <n v="182"/>
    <n v="27"/>
    <m/>
    <n v="36436"/>
    <n v="193"/>
    <n v="34500"/>
    <n v="1743"/>
    <n v="3137"/>
    <n v="2730"/>
    <m/>
    <m/>
    <n v="37"/>
    <n v="272"/>
    <n v="365"/>
    <n v="673"/>
    <n v="1101"/>
    <n v="1120"/>
    <n v="1092"/>
    <n v="1207"/>
    <m/>
    <m/>
    <m/>
    <n v="502"/>
    <n v="1442"/>
    <n v="1641"/>
    <n v="240"/>
    <n v="78"/>
    <n v="1958"/>
    <n v="6"/>
    <n v="150"/>
    <n v="136"/>
    <n v="245"/>
    <n v="662"/>
    <n v="50"/>
    <n v="7"/>
    <n v="27"/>
    <n v="3532"/>
    <n v="1053"/>
    <n v="5"/>
    <n v="0"/>
    <n v="0"/>
    <n v="0"/>
    <n v="0"/>
    <n v="0"/>
    <n v="1200"/>
    <n v="3142"/>
    <n v="49"/>
    <n v="1023"/>
    <n v="453"/>
    <n v="23"/>
    <n v="138"/>
    <n v="1374"/>
    <n v="1"/>
    <n v="890"/>
    <n v="396"/>
    <n v="358"/>
    <n v="343"/>
    <n v="482"/>
    <n v="101"/>
    <n v="130"/>
    <n v="134"/>
    <n v="5"/>
    <n v="82"/>
    <n v="754"/>
    <n v="138"/>
    <n v="518"/>
    <m/>
    <m/>
    <m/>
    <n v="241"/>
    <n v="37"/>
    <n v="296"/>
    <n v="10"/>
    <n v="14"/>
    <n v="405"/>
    <n v="8"/>
    <n v="4738"/>
    <n v="44"/>
    <n v="2"/>
    <n v="17"/>
    <n v="22"/>
    <n v="21"/>
    <n v="12"/>
    <m/>
    <m/>
    <n v="5867"/>
    <n v="77"/>
    <n v="5323"/>
    <n v="467"/>
    <n v="2011"/>
  </r>
  <r>
    <n v="106190243"/>
    <s v="190243"/>
    <x v="75"/>
    <s v="11500 BROOKSHIRE AVENUE"/>
    <s v="DOWNEY"/>
    <n v="90241"/>
    <x v="0"/>
    <x v="0"/>
    <x v="23"/>
    <x v="12"/>
    <s v="78.2eee"/>
    <s v="East"/>
    <s v="11 - Los Angeles"/>
    <x v="17"/>
    <s v="General Acute Care"/>
    <s v="Non-Profit Corporation (incl. Church-related)"/>
    <s v="General Medical / Surgical"/>
    <n v="199"/>
    <x v="0"/>
    <n v="23579"/>
    <n v="17982"/>
    <m/>
    <m/>
    <n v="8491"/>
    <n v="6000"/>
    <n v="6290"/>
    <n v="5207"/>
    <n v="4139"/>
    <n v="3215"/>
    <n v="2391"/>
    <n v="2029"/>
    <n v="1939"/>
    <n v="1860"/>
    <m/>
    <n v="417"/>
    <n v="2102"/>
    <n v="33364"/>
    <n v="26"/>
    <n v="1503"/>
    <n v="19"/>
    <n v="4130"/>
    <n v="424"/>
    <n v="1418"/>
    <n v="348"/>
    <n v="32"/>
    <n v="2"/>
    <n v="8"/>
    <n v="6"/>
    <n v="21"/>
    <m/>
    <n v="95"/>
    <n v="1"/>
    <n v="39059"/>
    <n v="144"/>
    <n v="3"/>
    <m/>
    <n v="18949"/>
    <n v="5693"/>
    <n v="799"/>
    <n v="9984"/>
    <n v="6136"/>
    <n v="1492"/>
    <n v="110"/>
    <n v="717"/>
    <n v="3"/>
    <n v="2639"/>
    <n v="436"/>
    <n v="2136"/>
    <n v="654"/>
    <n v="8968"/>
    <n v="2123"/>
    <n v="41"/>
    <n v="2392"/>
    <n v="1421"/>
    <n v="80"/>
    <n v="1076"/>
    <n v="5357"/>
    <n v="1643"/>
    <n v="10273"/>
    <m/>
    <m/>
    <n v="3228"/>
    <n v="85"/>
    <n v="449"/>
    <n v="13"/>
    <n v="452"/>
    <n v="2"/>
    <n v="266"/>
    <n v="347"/>
    <n v="31902"/>
    <n v="3323"/>
    <n v="201"/>
    <n v="941"/>
    <n v="88"/>
    <n v="226"/>
    <n v="38"/>
    <m/>
    <n v="41561"/>
    <n v="121"/>
    <n v="33881"/>
    <n v="7559"/>
    <n v="4548"/>
    <n v="3530"/>
    <m/>
    <m/>
    <n v="53"/>
    <n v="303"/>
    <n v="474"/>
    <n v="748"/>
    <n v="1163"/>
    <n v="1491"/>
    <n v="1666"/>
    <n v="2163"/>
    <n v="17"/>
    <m/>
    <m/>
    <n v="211"/>
    <n v="437"/>
    <n v="5156"/>
    <n v="338"/>
    <n v="6"/>
    <n v="1921"/>
    <n v="9"/>
    <n v="327"/>
    <n v="166"/>
    <n v="216"/>
    <n v="779"/>
    <n v="28"/>
    <n v="55"/>
    <n v="74"/>
    <n v="5221"/>
    <n v="1208"/>
    <n v="4"/>
    <n v="0"/>
    <n v="0"/>
    <n v="0"/>
    <n v="0"/>
    <n v="0"/>
    <n v="1585"/>
    <n v="4052"/>
    <n v="35"/>
    <n v="1953"/>
    <n v="453"/>
    <n v="102"/>
    <n v="228"/>
    <n v="1566"/>
    <n v="1"/>
    <n v="1235"/>
    <n v="511"/>
    <n v="577"/>
    <n v="722"/>
    <n v="484"/>
    <n v="187"/>
    <n v="223"/>
    <n v="163"/>
    <n v="11"/>
    <n v="49"/>
    <n v="881"/>
    <n v="178"/>
    <n v="944"/>
    <n v="1"/>
    <n v="15"/>
    <m/>
    <n v="356"/>
    <n v="25"/>
    <n v="449"/>
    <n v="7"/>
    <n v="57"/>
    <n v="328"/>
    <n v="5"/>
    <n v="6710"/>
    <n v="87"/>
    <n v="2"/>
    <n v="15"/>
    <n v="17"/>
    <n v="14"/>
    <n v="6"/>
    <m/>
    <m/>
    <n v="8078"/>
    <n v="99"/>
    <n v="5303"/>
    <n v="2676"/>
    <n v="2011"/>
  </r>
  <r>
    <n v="106190256"/>
    <s v="190256"/>
    <x v="76"/>
    <s v="4060 WHITTIER BOULEVARD"/>
    <s v="LOS ANGELES"/>
    <n v="90023"/>
    <x v="0"/>
    <x v="0"/>
    <x v="23"/>
    <x v="13"/>
    <s v="78.2d"/>
    <s v="East"/>
    <s v="11 - Los Angeles"/>
    <x v="17"/>
    <s v="General Acute Care"/>
    <s v="Investor - Partnership"/>
    <s v="General Medical / Surgical"/>
    <n v="102"/>
    <x v="0"/>
    <n v="7867"/>
    <n v="6812"/>
    <m/>
    <m/>
    <n v="3100"/>
    <n v="2085"/>
    <n v="2470"/>
    <n v="2077"/>
    <n v="1693"/>
    <n v="1303"/>
    <n v="681"/>
    <n v="361"/>
    <n v="286"/>
    <n v="623"/>
    <m/>
    <n v="70"/>
    <n v="1230"/>
    <n v="12895"/>
    <n v="64"/>
    <n v="51"/>
    <n v="17"/>
    <n v="352"/>
    <n v="269"/>
    <n v="240"/>
    <n v="4"/>
    <n v="16"/>
    <n v="2"/>
    <m/>
    <m/>
    <n v="1"/>
    <m/>
    <n v="63"/>
    <m/>
    <n v="14052"/>
    <n v="32"/>
    <m/>
    <m/>
    <n v="6876"/>
    <n v="757"/>
    <n v="120"/>
    <n v="2690"/>
    <n v="4236"/>
    <n v="751"/>
    <n v="47"/>
    <n v="221"/>
    <n v="5"/>
    <n v="1325"/>
    <n v="220"/>
    <n v="785"/>
    <n v="350"/>
    <n v="2943"/>
    <n v="421"/>
    <n v="27"/>
    <n v="975"/>
    <n v="1610"/>
    <n v="44"/>
    <n v="962"/>
    <n v="2026"/>
    <n v="462"/>
    <n v="1505"/>
    <m/>
    <m/>
    <n v="826"/>
    <n v="44"/>
    <n v="153"/>
    <n v="3"/>
    <n v="186"/>
    <m/>
    <n v="33"/>
    <n v="173"/>
    <n v="11261"/>
    <n v="1344"/>
    <n v="65"/>
    <n v="459"/>
    <n v="37"/>
    <n v="87"/>
    <n v="8"/>
    <m/>
    <n v="14679"/>
    <n v="19"/>
    <n v="6451"/>
    <n v="8209"/>
    <n v="1470"/>
    <n v="1115"/>
    <m/>
    <m/>
    <n v="112"/>
    <n v="145"/>
    <n v="173"/>
    <n v="293"/>
    <n v="357"/>
    <n v="379"/>
    <n v="390"/>
    <n v="525"/>
    <n v="49"/>
    <n v="162"/>
    <m/>
    <n v="14"/>
    <n v="162"/>
    <n v="2283"/>
    <n v="14"/>
    <n v="3"/>
    <n v="98"/>
    <n v="11"/>
    <n v="163"/>
    <n v="188"/>
    <n v="79"/>
    <n v="141"/>
    <n v="9"/>
    <n v="5"/>
    <n v="1"/>
    <n v="1542"/>
    <n v="457"/>
    <m/>
    <n v="0"/>
    <n v="0"/>
    <n v="0"/>
    <n v="0"/>
    <n v="0"/>
    <n v="1065"/>
    <n v="1019"/>
    <n v="9"/>
    <n v="298"/>
    <n v="194"/>
    <n v="126"/>
    <n v="37"/>
    <n v="452"/>
    <n v="1"/>
    <n v="439"/>
    <n v="199"/>
    <n v="177"/>
    <n v="282"/>
    <n v="123"/>
    <n v="42"/>
    <n v="43"/>
    <n v="78"/>
    <n v="5"/>
    <n v="15"/>
    <n v="375"/>
    <n v="98"/>
    <n v="84"/>
    <m/>
    <n v="9"/>
    <m/>
    <n v="63"/>
    <n v="6"/>
    <n v="113"/>
    <n v="1"/>
    <n v="7"/>
    <n v="104"/>
    <n v="3"/>
    <n v="2171"/>
    <n v="98"/>
    <n v="1"/>
    <n v="3"/>
    <n v="4"/>
    <n v="5"/>
    <n v="6"/>
    <m/>
    <m/>
    <n v="2585"/>
    <n v="12"/>
    <n v="946"/>
    <n v="1627"/>
    <n v="2011"/>
  </r>
  <r>
    <n v="106190280"/>
    <s v="190280"/>
    <x v="77"/>
    <s v="16237 VENTURA BOULEVARD"/>
    <s v="ENCINO"/>
    <n v="91436"/>
    <x v="0"/>
    <x v="0"/>
    <x v="29"/>
    <x v="17"/>
    <s v="78.2yy"/>
    <s v="San Fernando Valley"/>
    <s v="11 - Los Angeles"/>
    <x v="17"/>
    <s v="General Acute Care"/>
    <s v="Non-Profit Corporation (incl. Church-related)"/>
    <s v="General Medical / Surgical"/>
    <n v="109"/>
    <x v="0"/>
    <n v="4150"/>
    <n v="3391"/>
    <n v="1"/>
    <m/>
    <n v="622"/>
    <n v="635"/>
    <n v="1329"/>
    <n v="1213"/>
    <n v="1353"/>
    <n v="1041"/>
    <n v="511"/>
    <n v="341"/>
    <n v="430"/>
    <n v="67"/>
    <m/>
    <n v="135"/>
    <n v="756"/>
    <n v="855"/>
    <m/>
    <n v="426"/>
    <n v="4"/>
    <n v="5366"/>
    <n v="166"/>
    <n v="240"/>
    <m/>
    <n v="8"/>
    <m/>
    <m/>
    <m/>
    <n v="26"/>
    <n v="16"/>
    <m/>
    <n v="2"/>
    <n v="7082"/>
    <n v="2"/>
    <m/>
    <m/>
    <n v="1662"/>
    <n v="1310"/>
    <n v="140"/>
    <n v="2387"/>
    <n v="2043"/>
    <n v="85"/>
    <n v="25"/>
    <n v="106"/>
    <n v="2"/>
    <n v="422"/>
    <n v="93"/>
    <n v="411"/>
    <n v="111"/>
    <n v="2073"/>
    <n v="634"/>
    <n v="9"/>
    <n v="563"/>
    <n v="487"/>
    <n v="1"/>
    <n v="310"/>
    <n v="715"/>
    <n v="323"/>
    <n v="1172"/>
    <m/>
    <m/>
    <n v="710"/>
    <n v="29"/>
    <n v="52"/>
    <n v="4"/>
    <n v="72"/>
    <n v="1"/>
    <n v="36"/>
    <n v="120"/>
    <n v="5239"/>
    <n v="840"/>
    <n v="15"/>
    <n v="375"/>
    <n v="10"/>
    <n v="31"/>
    <n v="8"/>
    <m/>
    <n v="7542"/>
    <n v="162"/>
    <n v="7241"/>
    <n v="139"/>
    <n v="1019"/>
    <n v="641"/>
    <m/>
    <m/>
    <n v="8"/>
    <n v="54"/>
    <n v="71"/>
    <n v="147"/>
    <n v="215"/>
    <n v="235"/>
    <n v="298"/>
    <n v="632"/>
    <m/>
    <m/>
    <m/>
    <n v="28"/>
    <n v="98"/>
    <n v="136"/>
    <n v="76"/>
    <n v="6"/>
    <n v="1316"/>
    <m/>
    <n v="75"/>
    <n v="40"/>
    <n v="32"/>
    <n v="238"/>
    <n v="34"/>
    <m/>
    <n v="101"/>
    <n v="762"/>
    <n v="378"/>
    <m/>
    <n v="0"/>
    <n v="0"/>
    <n v="0"/>
    <n v="0"/>
    <n v="0"/>
    <n v="151"/>
    <n v="1184"/>
    <n v="15"/>
    <n v="228"/>
    <n v="82"/>
    <n v="3"/>
    <n v="12"/>
    <n v="192"/>
    <m/>
    <n v="254"/>
    <n v="46"/>
    <n v="108"/>
    <n v="273"/>
    <n v="109"/>
    <n v="38"/>
    <n v="14"/>
    <n v="47"/>
    <m/>
    <n v="244"/>
    <n v="110"/>
    <n v="29"/>
    <n v="181"/>
    <m/>
    <m/>
    <m/>
    <n v="101"/>
    <n v="11"/>
    <n v="167"/>
    <n v="4"/>
    <n v="36"/>
    <n v="21"/>
    <n v="4"/>
    <n v="1264"/>
    <n v="30"/>
    <m/>
    <n v="9"/>
    <n v="8"/>
    <n v="1"/>
    <n v="4"/>
    <m/>
    <m/>
    <n v="1660"/>
    <n v="91"/>
    <n v="1534"/>
    <n v="35"/>
    <n v="2011"/>
  </r>
  <r>
    <n v="106190298"/>
    <s v="190298"/>
    <x v="78"/>
    <s v="250 SOUTH GRAND AVENUE"/>
    <s v="GLENDORA"/>
    <n v="91741"/>
    <x v="0"/>
    <x v="0"/>
    <x v="30"/>
    <x v="18"/>
    <s v="78.2qq"/>
    <s v="San Gabriel Valley"/>
    <s v="11 - Los Angeles"/>
    <x v="17"/>
    <s v="General Acute Care"/>
    <s v="Non-Profit Corporation (incl. Church-related)"/>
    <s v="General Medical / Surgical"/>
    <n v="105"/>
    <x v="0"/>
    <n v="11955"/>
    <n v="9322"/>
    <n v="4"/>
    <m/>
    <n v="3384"/>
    <n v="3243"/>
    <n v="3511"/>
    <n v="2603"/>
    <n v="2495"/>
    <n v="2272"/>
    <n v="1398"/>
    <n v="930"/>
    <n v="759"/>
    <n v="686"/>
    <m/>
    <n v="507"/>
    <n v="702"/>
    <n v="9968"/>
    <n v="41"/>
    <n v="346"/>
    <n v="32"/>
    <n v="9685"/>
    <n v="248"/>
    <n v="179"/>
    <n v="1"/>
    <n v="25"/>
    <n v="7"/>
    <n v="3"/>
    <n v="1"/>
    <n v="2"/>
    <m/>
    <n v="55"/>
    <n v="9"/>
    <n v="20705"/>
    <n v="46"/>
    <m/>
    <m/>
    <n v="2021"/>
    <n v="2673"/>
    <n v="88"/>
    <n v="12658"/>
    <n v="3841"/>
    <n v="468"/>
    <n v="90"/>
    <n v="323"/>
    <n v="8"/>
    <n v="943"/>
    <n v="268"/>
    <n v="995"/>
    <n v="370"/>
    <n v="5307"/>
    <n v="1186"/>
    <n v="90"/>
    <n v="1208"/>
    <n v="566"/>
    <n v="23"/>
    <n v="554"/>
    <n v="2390"/>
    <n v="886"/>
    <n v="5606"/>
    <m/>
    <m/>
    <n v="1619"/>
    <n v="48"/>
    <n v="146"/>
    <n v="8"/>
    <n v="207"/>
    <n v="2"/>
    <n v="80"/>
    <n v="267"/>
    <n v="15800"/>
    <n v="2135"/>
    <n v="157"/>
    <n v="651"/>
    <n v="44"/>
    <n v="95"/>
    <n v="22"/>
    <m/>
    <n v="21281"/>
    <n v="385"/>
    <n v="18927"/>
    <n v="1969"/>
    <n v="1995"/>
    <n v="1680"/>
    <m/>
    <m/>
    <n v="69"/>
    <n v="213"/>
    <n v="221"/>
    <n v="359"/>
    <n v="556"/>
    <n v="574"/>
    <n v="777"/>
    <n v="902"/>
    <n v="3"/>
    <n v="1"/>
    <m/>
    <n v="144"/>
    <n v="95"/>
    <n v="1096"/>
    <n v="32"/>
    <n v="3"/>
    <n v="2302"/>
    <n v="3"/>
    <n v="260"/>
    <n v="65"/>
    <n v="91"/>
    <n v="196"/>
    <n v="50"/>
    <n v="50"/>
    <n v="35"/>
    <n v="2257"/>
    <n v="671"/>
    <m/>
    <n v="0"/>
    <n v="0"/>
    <n v="0"/>
    <n v="0"/>
    <n v="0"/>
    <n v="499"/>
    <n v="2033"/>
    <n v="48"/>
    <n v="878"/>
    <n v="217"/>
    <n v="49"/>
    <n v="50"/>
    <n v="639"/>
    <n v="2"/>
    <n v="625"/>
    <n v="181"/>
    <n v="261"/>
    <n v="312"/>
    <n v="307"/>
    <n v="66"/>
    <n v="104"/>
    <n v="86"/>
    <n v="1"/>
    <n v="33"/>
    <n v="431"/>
    <n v="81"/>
    <n v="444"/>
    <n v="3"/>
    <m/>
    <m/>
    <n v="188"/>
    <n v="21"/>
    <n v="174"/>
    <n v="3"/>
    <n v="8"/>
    <n v="80"/>
    <n v="8"/>
    <n v="3126"/>
    <n v="22"/>
    <n v="4"/>
    <n v="16"/>
    <n v="11"/>
    <n v="8"/>
    <n v="4"/>
    <n v="2"/>
    <m/>
    <n v="3675"/>
    <n v="121"/>
    <n v="3231"/>
    <n v="323"/>
    <n v="2011"/>
  </r>
  <r>
    <n v="106190315"/>
    <s v="190315"/>
    <x v="79"/>
    <s v="525 NORTH GARFIELD AVENUE"/>
    <s v="MONTEREY PARK"/>
    <n v="91754"/>
    <x v="0"/>
    <x v="0"/>
    <x v="18"/>
    <x v="19"/>
    <s v="78.2qqq"/>
    <s v="San Gabriel Valley"/>
    <s v="11 - Los Angeles"/>
    <x v="17"/>
    <s v="General Acute Care"/>
    <s v="Investor - Partnership"/>
    <s v="General Medical / Surgical"/>
    <n v="210"/>
    <x v="0"/>
    <n v="8542"/>
    <n v="7181"/>
    <n v="1"/>
    <m/>
    <n v="2998"/>
    <n v="1752"/>
    <n v="2194"/>
    <n v="1730"/>
    <n v="1693"/>
    <n v="1427"/>
    <n v="1149"/>
    <n v="953"/>
    <n v="1090"/>
    <n v="738"/>
    <m/>
    <n v="5901"/>
    <n v="315"/>
    <n v="8353"/>
    <n v="3"/>
    <n v="56"/>
    <m/>
    <n v="1096"/>
    <n v="244"/>
    <n v="273"/>
    <n v="9"/>
    <n v="43"/>
    <n v="29"/>
    <n v="1"/>
    <n v="2"/>
    <n v="1"/>
    <m/>
    <n v="120"/>
    <m/>
    <n v="14943"/>
    <n v="59"/>
    <m/>
    <m/>
    <n v="1951"/>
    <n v="2742"/>
    <n v="502"/>
    <n v="8430"/>
    <n v="2099"/>
    <n v="643"/>
    <n v="57"/>
    <n v="404"/>
    <n v="2"/>
    <n v="762"/>
    <n v="218"/>
    <n v="882"/>
    <n v="169"/>
    <n v="3560"/>
    <n v="680"/>
    <n v="29"/>
    <n v="781"/>
    <n v="224"/>
    <n v="47"/>
    <n v="452"/>
    <n v="1741"/>
    <n v="633"/>
    <n v="4438"/>
    <m/>
    <n v="2"/>
    <n v="1402"/>
    <n v="38"/>
    <n v="140"/>
    <n v="9"/>
    <n v="147"/>
    <n v="18"/>
    <n v="88"/>
    <n v="203"/>
    <n v="11620"/>
    <n v="1444"/>
    <n v="84"/>
    <n v="398"/>
    <n v="30"/>
    <n v="84"/>
    <n v="19"/>
    <m/>
    <n v="15724"/>
    <n v="1519"/>
    <n v="12027"/>
    <n v="2178"/>
    <n v="3168"/>
    <n v="2754"/>
    <m/>
    <m/>
    <n v="86"/>
    <n v="176"/>
    <n v="245"/>
    <n v="495"/>
    <n v="711"/>
    <n v="916"/>
    <n v="1223"/>
    <n v="2006"/>
    <n v="13"/>
    <n v="51"/>
    <m/>
    <n v="3737"/>
    <n v="148"/>
    <n v="1514"/>
    <n v="4"/>
    <m/>
    <n v="519"/>
    <m/>
    <n v="118"/>
    <n v="155"/>
    <n v="245"/>
    <n v="1234"/>
    <n v="345"/>
    <n v="7"/>
    <m/>
    <n v="3068"/>
    <n v="749"/>
    <n v="1"/>
    <n v="0"/>
    <n v="0"/>
    <n v="0"/>
    <n v="0"/>
    <n v="0"/>
    <n v="1515"/>
    <n v="3045"/>
    <n v="66"/>
    <n v="982"/>
    <n v="314"/>
    <n v="118"/>
    <n v="139"/>
    <n v="1391"/>
    <n v="5"/>
    <n v="813"/>
    <n v="282"/>
    <n v="327"/>
    <n v="447"/>
    <n v="362"/>
    <n v="96"/>
    <n v="230"/>
    <n v="123"/>
    <n v="8"/>
    <n v="47"/>
    <n v="839"/>
    <n v="120"/>
    <n v="564"/>
    <m/>
    <n v="11"/>
    <m/>
    <n v="286"/>
    <n v="18"/>
    <n v="196"/>
    <n v="10"/>
    <n v="13"/>
    <n v="236"/>
    <n v="9"/>
    <n v="5051"/>
    <n v="55"/>
    <n v="2"/>
    <n v="11"/>
    <n v="13"/>
    <n v="19"/>
    <n v="2"/>
    <n v="1"/>
    <m/>
    <n v="5922"/>
    <n v="1425"/>
    <n v="4000"/>
    <n v="497"/>
    <n v="2011"/>
  </r>
  <r>
    <n v="106190323"/>
    <s v="190323"/>
    <x v="80"/>
    <s v="1509 EAST WILSON TERRACE"/>
    <s v="GLENDALE"/>
    <n v="91206"/>
    <x v="0"/>
    <x v="0"/>
    <x v="31"/>
    <x v="16"/>
    <s v="78.2ee"/>
    <s v="San Fernando Valley"/>
    <s v="11 - Los Angeles"/>
    <x v="17"/>
    <s v="General Acute Care"/>
    <s v="Non-Profit Corporation (incl. Church-related)"/>
    <s v="General Medical / Surgical"/>
    <n v="357"/>
    <x v="0"/>
    <n v="16386"/>
    <n v="12839"/>
    <n v="1"/>
    <m/>
    <n v="3724"/>
    <n v="3249"/>
    <n v="4680"/>
    <n v="4049"/>
    <n v="3745"/>
    <n v="3279"/>
    <n v="2218"/>
    <n v="1749"/>
    <n v="1714"/>
    <n v="816"/>
    <n v="3"/>
    <n v="1627"/>
    <n v="807"/>
    <n v="8797"/>
    <n v="14"/>
    <n v="1"/>
    <n v="37"/>
    <n v="17943"/>
    <n v="623"/>
    <n v="554"/>
    <n v="68"/>
    <n v="49"/>
    <n v="38"/>
    <m/>
    <n v="12"/>
    <n v="8"/>
    <n v="99"/>
    <m/>
    <n v="3"/>
    <n v="27195"/>
    <n v="263"/>
    <n v="314"/>
    <m/>
    <n v="10459"/>
    <n v="4879"/>
    <n v="565"/>
    <n v="9020"/>
    <n v="4303"/>
    <n v="1050"/>
    <n v="71"/>
    <n v="806"/>
    <n v="10"/>
    <n v="1751"/>
    <n v="366"/>
    <n v="1698"/>
    <n v="709"/>
    <n v="6873"/>
    <n v="1701"/>
    <n v="34"/>
    <n v="1289"/>
    <n v="649"/>
    <n v="46"/>
    <n v="1428"/>
    <n v="2893"/>
    <n v="1263"/>
    <n v="6589"/>
    <m/>
    <m/>
    <n v="2223"/>
    <n v="90"/>
    <n v="241"/>
    <n v="16"/>
    <n v="267"/>
    <n v="16"/>
    <n v="19"/>
    <n v="336"/>
    <n v="21992"/>
    <n v="2993"/>
    <n v="97"/>
    <n v="721"/>
    <n v="29"/>
    <n v="173"/>
    <n v="13"/>
    <m/>
    <n v="29226"/>
    <n v="2301"/>
    <n v="25574"/>
    <n v="1351"/>
    <n v="6494"/>
    <n v="6103"/>
    <m/>
    <m/>
    <n v="138"/>
    <n v="766"/>
    <n v="974"/>
    <n v="1339"/>
    <n v="2091"/>
    <n v="1917"/>
    <n v="2259"/>
    <n v="3107"/>
    <n v="4"/>
    <n v="1"/>
    <n v="1"/>
    <n v="867"/>
    <n v="374"/>
    <n v="2345"/>
    <n v="1"/>
    <n v="184"/>
    <n v="8824"/>
    <n v="2"/>
    <n v="207"/>
    <n v="463"/>
    <n v="382"/>
    <n v="1041"/>
    <n v="623"/>
    <m/>
    <n v="267"/>
    <n v="7984"/>
    <n v="1626"/>
    <n v="4"/>
    <n v="0"/>
    <n v="0"/>
    <n v="0"/>
    <n v="0"/>
    <n v="0"/>
    <n v="3639"/>
    <n v="5483"/>
    <n v="382"/>
    <n v="2380"/>
    <n v="713"/>
    <n v="156"/>
    <n v="147"/>
    <n v="2549"/>
    <n v="4"/>
    <n v="1353"/>
    <n v="512"/>
    <n v="591"/>
    <n v="856"/>
    <n v="854"/>
    <n v="325"/>
    <n v="272"/>
    <n v="405"/>
    <n v="17"/>
    <n v="1831"/>
    <n v="1150"/>
    <n v="225"/>
    <n v="1346"/>
    <m/>
    <n v="4"/>
    <m/>
    <n v="670"/>
    <n v="31"/>
    <n v="612"/>
    <n v="32"/>
    <n v="30"/>
    <n v="161"/>
    <n v="18"/>
    <n v="10674"/>
    <n v="149"/>
    <n v="12"/>
    <n v="35"/>
    <n v="92"/>
    <n v="17"/>
    <n v="61"/>
    <n v="3"/>
    <m/>
    <n v="12597"/>
    <n v="2514"/>
    <n v="9310"/>
    <n v="773"/>
    <n v="2011"/>
  </r>
  <r>
    <n v="106190328"/>
    <s v="190328"/>
    <x v="81"/>
    <s v="150 WEST ROUTE 66"/>
    <s v="GLENDORA"/>
    <n v="91740"/>
    <x v="0"/>
    <x v="0"/>
    <x v="30"/>
    <x v="18"/>
    <s v="78.2qq"/>
    <s v="San Gabriel Valley"/>
    <s v="11 - Los Angeles"/>
    <x v="17"/>
    <s v="General Acute Care"/>
    <s v="Investor - Partnership"/>
    <s v="General Medical / Surgical"/>
    <n v="107"/>
    <x v="0"/>
    <n v="1604"/>
    <n v="1330"/>
    <m/>
    <m/>
    <n v="470"/>
    <n v="395"/>
    <n v="519"/>
    <n v="468"/>
    <n v="378"/>
    <n v="323"/>
    <n v="159"/>
    <n v="83"/>
    <n v="58"/>
    <n v="81"/>
    <m/>
    <n v="224"/>
    <n v="2"/>
    <n v="1315"/>
    <n v="1036"/>
    <m/>
    <n v="8"/>
    <n v="349"/>
    <n v="64"/>
    <n v="138"/>
    <n v="10"/>
    <n v="3"/>
    <m/>
    <m/>
    <n v="3"/>
    <m/>
    <m/>
    <m/>
    <n v="54"/>
    <n v="2543"/>
    <n v="119"/>
    <m/>
    <m/>
    <n v="1454"/>
    <n v="590"/>
    <n v="24"/>
    <n v="199"/>
    <n v="667"/>
    <n v="115"/>
    <n v="7"/>
    <n v="44"/>
    <n v="1"/>
    <n v="211"/>
    <n v="45"/>
    <n v="157"/>
    <n v="46"/>
    <n v="709"/>
    <n v="192"/>
    <n v="3"/>
    <n v="205"/>
    <n v="96"/>
    <n v="3"/>
    <n v="161"/>
    <n v="397"/>
    <n v="149"/>
    <n v="392"/>
    <m/>
    <n v="1"/>
    <n v="224"/>
    <n v="6"/>
    <n v="19"/>
    <n v="2"/>
    <n v="46"/>
    <n v="7"/>
    <n v="19"/>
    <n v="55"/>
    <n v="2123"/>
    <n v="325"/>
    <n v="21"/>
    <n v="52"/>
    <n v="7"/>
    <n v="24"/>
    <n v="4"/>
    <m/>
    <n v="2934"/>
    <n v="23"/>
    <n v="2426"/>
    <n v="485"/>
    <n v="728"/>
    <n v="654"/>
    <m/>
    <m/>
    <n v="6"/>
    <n v="44"/>
    <n v="46"/>
    <n v="94"/>
    <n v="221"/>
    <n v="350"/>
    <n v="290"/>
    <n v="331"/>
    <m/>
    <m/>
    <m/>
    <n v="69"/>
    <n v="100"/>
    <n v="386"/>
    <n v="105"/>
    <n v="6"/>
    <n v="716"/>
    <m/>
    <n v="39"/>
    <n v="20"/>
    <n v="20"/>
    <n v="31"/>
    <n v="27"/>
    <n v="4"/>
    <n v="54"/>
    <n v="236"/>
    <n v="951"/>
    <m/>
    <n v="0"/>
    <n v="0"/>
    <n v="0"/>
    <n v="0"/>
    <n v="0"/>
    <n v="217"/>
    <n v="1116"/>
    <n v="1"/>
    <n v="29"/>
    <n v="19"/>
    <n v="41"/>
    <n v="25"/>
    <n v="107"/>
    <m/>
    <n v="134"/>
    <n v="79"/>
    <n v="103"/>
    <n v="85"/>
    <n v="38"/>
    <n v="37"/>
    <n v="19"/>
    <n v="46"/>
    <n v="5"/>
    <n v="351"/>
    <n v="208"/>
    <n v="47"/>
    <n v="57"/>
    <m/>
    <m/>
    <m/>
    <n v="46"/>
    <n v="1"/>
    <n v="45"/>
    <m/>
    <n v="10"/>
    <n v="63"/>
    <m/>
    <n v="1174"/>
    <n v="33"/>
    <m/>
    <n v="1"/>
    <n v="2"/>
    <n v="3"/>
    <n v="4"/>
    <m/>
    <m/>
    <n v="1382"/>
    <n v="30"/>
    <n v="1220"/>
    <n v="132"/>
    <n v="2011"/>
  </r>
  <r>
    <n v="106190352"/>
    <s v="190352"/>
    <x v="82"/>
    <s v="1701 SANTA ANITA AVENUE"/>
    <s v="SOUTH EL MONTE"/>
    <n v="91733"/>
    <x v="0"/>
    <x v="0"/>
    <x v="18"/>
    <x v="13"/>
    <s v="78.2yyy"/>
    <s v="San Gabriel Valley"/>
    <s v="11 - Los Angeles"/>
    <x v="17"/>
    <s v="General Acute Care"/>
    <s v="Investor - Limited Liability Company"/>
    <s v="General Medical / Surgical"/>
    <n v="104"/>
    <x v="0"/>
    <n v="7876"/>
    <n v="6981"/>
    <m/>
    <m/>
    <n v="3572"/>
    <n v="2449"/>
    <n v="2397"/>
    <n v="2007"/>
    <n v="1684"/>
    <n v="1023"/>
    <n v="487"/>
    <n v="263"/>
    <n v="195"/>
    <n v="780"/>
    <m/>
    <n v="643"/>
    <n v="182"/>
    <n v="13326"/>
    <m/>
    <n v="42"/>
    <n v="9"/>
    <n v="655"/>
    <n v="454"/>
    <n v="312"/>
    <n v="3"/>
    <n v="18"/>
    <m/>
    <m/>
    <m/>
    <m/>
    <m/>
    <n v="139"/>
    <m/>
    <n v="13920"/>
    <n v="11"/>
    <m/>
    <m/>
    <n v="2946"/>
    <n v="619"/>
    <n v="398"/>
    <n v="8205"/>
    <n v="2689"/>
    <n v="559"/>
    <n v="19"/>
    <n v="161"/>
    <n v="1"/>
    <n v="819"/>
    <n v="146"/>
    <n v="742"/>
    <n v="215"/>
    <n v="2729"/>
    <n v="1288"/>
    <n v="11"/>
    <n v="1169"/>
    <n v="465"/>
    <n v="18"/>
    <n v="738"/>
    <n v="2140"/>
    <n v="475"/>
    <n v="3162"/>
    <m/>
    <m/>
    <n v="1009"/>
    <n v="44"/>
    <n v="18"/>
    <n v="8"/>
    <n v="252"/>
    <n v="13"/>
    <n v="32"/>
    <n v="224"/>
    <n v="11320"/>
    <n v="1318"/>
    <n v="34"/>
    <n v="451"/>
    <n v="35"/>
    <n v="90"/>
    <n v="9"/>
    <m/>
    <n v="14857"/>
    <n v="89"/>
    <n v="9355"/>
    <n v="5413"/>
    <n v="1554"/>
    <n v="1235"/>
    <m/>
    <m/>
    <n v="132"/>
    <n v="196"/>
    <n v="262"/>
    <n v="361"/>
    <n v="439"/>
    <n v="397"/>
    <n v="309"/>
    <n v="359"/>
    <n v="96"/>
    <n v="238"/>
    <m/>
    <n v="362"/>
    <n v="36"/>
    <n v="2092"/>
    <n v="45"/>
    <m/>
    <n v="254"/>
    <m/>
    <n v="140"/>
    <n v="122"/>
    <n v="76"/>
    <n v="123"/>
    <m/>
    <n v="10"/>
    <n v="3"/>
    <n v="1942"/>
    <n v="373"/>
    <m/>
    <n v="0"/>
    <n v="0"/>
    <n v="0"/>
    <n v="0"/>
    <n v="0"/>
    <n v="1387"/>
    <n v="825"/>
    <n v="180"/>
    <n v="189"/>
    <n v="208"/>
    <n v="185"/>
    <n v="25"/>
    <n v="346"/>
    <m/>
    <n v="405"/>
    <n v="176"/>
    <n v="179"/>
    <n v="334"/>
    <n v="80"/>
    <n v="44"/>
    <n v="26"/>
    <n v="92"/>
    <n v="1"/>
    <n v="18"/>
    <n v="555"/>
    <n v="117"/>
    <n v="200"/>
    <n v="1"/>
    <n v="5"/>
    <m/>
    <n v="78"/>
    <n v="5"/>
    <n v="42"/>
    <n v="6"/>
    <m/>
    <n v="60"/>
    <n v="9"/>
    <n v="2526"/>
    <n v="22"/>
    <n v="1"/>
    <n v="7"/>
    <n v="12"/>
    <n v="2"/>
    <n v="19"/>
    <m/>
    <m/>
    <n v="2789"/>
    <n v="89"/>
    <n v="1667"/>
    <n v="1033"/>
    <n v="2011"/>
  </r>
  <r>
    <n v="106190382"/>
    <s v="190382"/>
    <x v="83"/>
    <s v="1300 NORTH VERMONT AVENUE"/>
    <s v="LOS ANGELES"/>
    <n v="90027"/>
    <x v="0"/>
    <x v="0"/>
    <x v="28"/>
    <x v="14"/>
    <s v="78.2g"/>
    <s v="Metro"/>
    <s v="11 - Los Angeles"/>
    <x v="17"/>
    <s v="General Acute Care"/>
    <s v="Investor - Corporation"/>
    <s v="General Medical / Surgical"/>
    <n v="345"/>
    <x v="0"/>
    <n v="13754"/>
    <n v="12540"/>
    <n v="1"/>
    <m/>
    <n v="535"/>
    <n v="2140"/>
    <n v="6241"/>
    <n v="5275"/>
    <n v="4472"/>
    <n v="3699"/>
    <n v="1974"/>
    <n v="1065"/>
    <n v="716"/>
    <n v="178"/>
    <m/>
    <n v="1643"/>
    <n v="3892"/>
    <n v="10833"/>
    <n v="8"/>
    <n v="4486"/>
    <n v="45"/>
    <n v="5388"/>
    <n v="325"/>
    <n v="2692"/>
    <n v="1"/>
    <n v="61"/>
    <n v="23"/>
    <n v="6"/>
    <n v="1"/>
    <n v="118"/>
    <m/>
    <n v="291"/>
    <n v="12"/>
    <n v="22602"/>
    <n v="163"/>
    <m/>
    <m/>
    <n v="5504"/>
    <n v="2827"/>
    <n v="890"/>
    <n v="9241"/>
    <n v="7833"/>
    <n v="1827"/>
    <n v="94"/>
    <n v="598"/>
    <n v="6"/>
    <n v="1359"/>
    <n v="324"/>
    <n v="1589"/>
    <n v="477"/>
    <n v="5033"/>
    <n v="1941"/>
    <n v="80"/>
    <n v="1345"/>
    <n v="2013"/>
    <n v="58"/>
    <n v="1888"/>
    <n v="1919"/>
    <n v="1114"/>
    <n v="4629"/>
    <n v="1"/>
    <m/>
    <n v="1373"/>
    <n v="49"/>
    <n v="215"/>
    <n v="16"/>
    <n v="567"/>
    <n v="21"/>
    <n v="130"/>
    <n v="211"/>
    <n v="20646"/>
    <n v="1897"/>
    <n v="103"/>
    <n v="743"/>
    <n v="104"/>
    <n v="88"/>
    <n v="132"/>
    <m/>
    <n v="26295"/>
    <n v="1559"/>
    <n v="18630"/>
    <n v="6106"/>
    <n v="3022"/>
    <n v="2792"/>
    <m/>
    <m/>
    <n v="76"/>
    <n v="326"/>
    <n v="448"/>
    <n v="687"/>
    <n v="957"/>
    <n v="961"/>
    <n v="986"/>
    <n v="1337"/>
    <n v="28"/>
    <n v="8"/>
    <m/>
    <n v="1130"/>
    <n v="657"/>
    <n v="1792"/>
    <n v="1112"/>
    <n v="4"/>
    <n v="1116"/>
    <n v="3"/>
    <n v="35"/>
    <n v="218"/>
    <n v="187"/>
    <n v="222"/>
    <n v="270"/>
    <n v="48"/>
    <m/>
    <n v="3904"/>
    <n v="927"/>
    <n v="3"/>
    <n v="0"/>
    <n v="0"/>
    <n v="0"/>
    <n v="0"/>
    <n v="0"/>
    <n v="1941"/>
    <n v="2319"/>
    <n v="889"/>
    <n v="109"/>
    <n v="556"/>
    <n v="105"/>
    <n v="104"/>
    <n v="1140"/>
    <n v="5"/>
    <n v="867"/>
    <n v="280"/>
    <n v="304"/>
    <n v="564"/>
    <n v="522"/>
    <n v="152"/>
    <n v="184"/>
    <n v="142"/>
    <n v="11"/>
    <n v="80"/>
    <n v="626"/>
    <n v="150"/>
    <n v="551"/>
    <m/>
    <n v="27"/>
    <m/>
    <n v="316"/>
    <n v="39"/>
    <n v="257"/>
    <n v="26"/>
    <n v="35"/>
    <n v="282"/>
    <n v="12"/>
    <n v="4679"/>
    <n v="66"/>
    <n v="2"/>
    <n v="21"/>
    <n v="40"/>
    <n v="18"/>
    <n v="19"/>
    <n v="2"/>
    <m/>
    <n v="5814"/>
    <n v="1232"/>
    <n v="3238"/>
    <n v="1344"/>
    <n v="2011"/>
  </r>
  <r>
    <n v="106190385"/>
    <s v="190385"/>
    <x v="84"/>
    <s v="15031 RINALDI STREET"/>
    <s v="MISSION HILLS"/>
    <n v="91345"/>
    <x v="2"/>
    <x v="0"/>
    <x v="32"/>
    <x v="20"/>
    <s v="78.2hh"/>
    <s v="San Fernando Valley"/>
    <s v="11 - Los Angeles"/>
    <x v="17"/>
    <s v="General Acute Care"/>
    <s v="Non-Profit Corporation (incl. Church-related)"/>
    <s v="General Medical / Surgical"/>
    <n v="329"/>
    <x v="0"/>
    <n v="31320"/>
    <n v="24541"/>
    <n v="7"/>
    <m/>
    <n v="13293"/>
    <n v="7488"/>
    <n v="8548"/>
    <n v="6377"/>
    <n v="5525"/>
    <n v="4305"/>
    <n v="3052"/>
    <n v="2422"/>
    <n v="2415"/>
    <n v="2443"/>
    <m/>
    <n v="1078"/>
    <n v="2197"/>
    <n v="40354"/>
    <n v="13"/>
    <n v="946"/>
    <n v="73"/>
    <n v="11207"/>
    <n v="638"/>
    <n v="232"/>
    <m/>
    <n v="74"/>
    <n v="3"/>
    <n v="4"/>
    <n v="5"/>
    <m/>
    <m/>
    <n v="132"/>
    <n v="3"/>
    <n v="54568"/>
    <n v="205"/>
    <n v="4"/>
    <m/>
    <n v="23563"/>
    <n v="7785"/>
    <n v="1312"/>
    <n v="14334"/>
    <n v="8874"/>
    <n v="1461"/>
    <n v="204"/>
    <n v="960"/>
    <n v="11"/>
    <n v="3352"/>
    <n v="510"/>
    <n v="3440"/>
    <n v="1701"/>
    <n v="12293"/>
    <n v="2704"/>
    <n v="63"/>
    <n v="3932"/>
    <n v="1448"/>
    <n v="56"/>
    <n v="1156"/>
    <n v="9169"/>
    <n v="2245"/>
    <n v="11163"/>
    <m/>
    <m/>
    <n v="3739"/>
    <n v="167"/>
    <n v="684"/>
    <n v="28"/>
    <n v="474"/>
    <n v="61"/>
    <n v="302"/>
    <n v="724"/>
    <n v="42515"/>
    <n v="5187"/>
    <n v="217"/>
    <n v="1357"/>
    <n v="56"/>
    <n v="321"/>
    <n v="36"/>
    <m/>
    <n v="55868"/>
    <n v="493"/>
    <n v="43755"/>
    <n v="11620"/>
    <n v="4989"/>
    <n v="4716"/>
    <m/>
    <m/>
    <n v="232"/>
    <n v="668"/>
    <n v="683"/>
    <n v="1019"/>
    <n v="1428"/>
    <n v="1618"/>
    <n v="1781"/>
    <n v="2254"/>
    <n v="21"/>
    <n v="1"/>
    <m/>
    <n v="472"/>
    <n v="415"/>
    <n v="4833"/>
    <n v="165"/>
    <n v="7"/>
    <n v="3811"/>
    <n v="2"/>
    <n v="231"/>
    <n v="146"/>
    <n v="338"/>
    <n v="1257"/>
    <n v="184"/>
    <n v="42"/>
    <n v="83"/>
    <n v="5949"/>
    <n v="1458"/>
    <n v="17"/>
    <n v="0"/>
    <n v="0"/>
    <n v="0"/>
    <n v="0"/>
    <n v="0"/>
    <n v="1871"/>
    <n v="4986"/>
    <n v="143"/>
    <n v="2005"/>
    <n v="700"/>
    <n v="126"/>
    <n v="176"/>
    <n v="1813"/>
    <n v="6"/>
    <n v="1623"/>
    <n v="357"/>
    <n v="645"/>
    <n v="680"/>
    <n v="1565"/>
    <n v="145"/>
    <n v="264"/>
    <n v="219"/>
    <n v="16"/>
    <n v="58"/>
    <n v="1060"/>
    <n v="241"/>
    <n v="696"/>
    <n v="1"/>
    <n v="14"/>
    <m/>
    <n v="582"/>
    <n v="34"/>
    <n v="832"/>
    <n v="141"/>
    <n v="55"/>
    <n v="412"/>
    <n v="26"/>
    <n v="7010"/>
    <n v="143"/>
    <n v="31"/>
    <n v="361"/>
    <n v="49"/>
    <n v="19"/>
    <n v="9"/>
    <n v="1"/>
    <m/>
    <n v="9705"/>
    <n v="334"/>
    <n v="6984"/>
    <n v="2387"/>
    <n v="2011"/>
  </r>
  <r>
    <n v="106190392"/>
    <s v="190392"/>
    <x v="85"/>
    <s v="1225 WILSHIRE BOULEVARD"/>
    <s v="LOS ANGELES"/>
    <n v="90017"/>
    <x v="0"/>
    <x v="0"/>
    <x v="25"/>
    <x v="10"/>
    <s v="78.2ffff"/>
    <s v="Metro"/>
    <s v="11 - Los Angeles"/>
    <x v="17"/>
    <s v="General Acute Care"/>
    <s v="Non-Profit Corporation (incl. Church-related)"/>
    <s v="General Medical / Surgical"/>
    <n v="380"/>
    <x v="0"/>
    <n v="12707"/>
    <n v="11338"/>
    <m/>
    <m/>
    <n v="1178"/>
    <n v="1891"/>
    <n v="5083"/>
    <n v="4074"/>
    <n v="3781"/>
    <n v="3329"/>
    <n v="2058"/>
    <n v="1219"/>
    <n v="983"/>
    <n v="449"/>
    <m/>
    <n v="2226"/>
    <n v="4591"/>
    <n v="11350"/>
    <n v="44"/>
    <n v="219"/>
    <n v="64"/>
    <n v="5551"/>
    <n v="745"/>
    <n v="1789"/>
    <m/>
    <n v="74"/>
    <n v="1"/>
    <m/>
    <m/>
    <m/>
    <m/>
    <n v="420"/>
    <m/>
    <n v="21007"/>
    <n v="9"/>
    <m/>
    <m/>
    <n v="4801"/>
    <n v="3385"/>
    <n v="495"/>
    <n v="6931"/>
    <n v="8433"/>
    <n v="1069"/>
    <n v="100"/>
    <n v="667"/>
    <n v="4"/>
    <n v="1603"/>
    <n v="321"/>
    <n v="1175"/>
    <n v="328"/>
    <n v="5457"/>
    <n v="1288"/>
    <n v="44"/>
    <n v="1408"/>
    <n v="698"/>
    <n v="44"/>
    <n v="1594"/>
    <n v="1870"/>
    <n v="865"/>
    <n v="5510"/>
    <m/>
    <m/>
    <n v="1544"/>
    <n v="43"/>
    <n v="94"/>
    <n v="10"/>
    <n v="633"/>
    <n v="12"/>
    <n v="33"/>
    <n v="167"/>
    <n v="18184"/>
    <n v="2259"/>
    <n v="83"/>
    <n v="717"/>
    <n v="91"/>
    <n v="77"/>
    <n v="98"/>
    <m/>
    <n v="24045"/>
    <n v="1186"/>
    <n v="15289"/>
    <n v="7570"/>
    <n v="2997"/>
    <n v="2931"/>
    <m/>
    <m/>
    <n v="69"/>
    <n v="325"/>
    <n v="337"/>
    <n v="571"/>
    <n v="754"/>
    <n v="989"/>
    <n v="1270"/>
    <n v="1610"/>
    <n v="3"/>
    <m/>
    <m/>
    <n v="1523"/>
    <n v="1025"/>
    <n v="2160"/>
    <n v="22"/>
    <n v="5"/>
    <n v="1185"/>
    <n v="8"/>
    <n v="143"/>
    <n v="127"/>
    <n v="304"/>
    <n v="484"/>
    <n v="157"/>
    <n v="8"/>
    <n v="26"/>
    <n v="3597"/>
    <n v="1082"/>
    <m/>
    <n v="0"/>
    <n v="0"/>
    <n v="0"/>
    <n v="0"/>
    <n v="0"/>
    <n v="886"/>
    <n v="3032"/>
    <n v="29"/>
    <n v="1316"/>
    <n v="665"/>
    <n v="92"/>
    <n v="102"/>
    <n v="1362"/>
    <n v="4"/>
    <n v="828"/>
    <n v="350"/>
    <n v="320"/>
    <n v="551"/>
    <n v="467"/>
    <n v="151"/>
    <n v="166"/>
    <n v="151"/>
    <n v="10"/>
    <n v="52"/>
    <n v="669"/>
    <n v="109"/>
    <n v="541"/>
    <n v="1"/>
    <n v="2"/>
    <m/>
    <n v="334"/>
    <n v="22"/>
    <n v="266"/>
    <n v="35"/>
    <n v="9"/>
    <n v="172"/>
    <n v="14"/>
    <n v="4950"/>
    <n v="63"/>
    <n v="4"/>
    <n v="15"/>
    <n v="16"/>
    <n v="9"/>
    <n v="19"/>
    <m/>
    <m/>
    <n v="5928"/>
    <n v="1183"/>
    <n v="3006"/>
    <n v="1739"/>
    <n v="2011"/>
  </r>
  <r>
    <n v="106190400"/>
    <s v="190400"/>
    <x v="86"/>
    <s v="100 W. CALIFORNIA BOULEVARD"/>
    <s v="PASADENA"/>
    <n v="91105"/>
    <x v="2"/>
    <x v="0"/>
    <x v="33"/>
    <x v="16"/>
    <s v="78.2mm"/>
    <s v="San Gabriel Valley"/>
    <s v="11 - Los Angeles"/>
    <x v="17"/>
    <s v="General Acute Care"/>
    <s v="Non-Profit Corporation (incl. Church-related)"/>
    <s v="General Medical / Surgical"/>
    <n v="585"/>
    <x v="0"/>
    <n v="22715"/>
    <n v="19235"/>
    <n v="2"/>
    <m/>
    <n v="5628"/>
    <n v="4582"/>
    <n v="6525"/>
    <n v="5613"/>
    <n v="5402"/>
    <n v="4749"/>
    <n v="3203"/>
    <n v="2278"/>
    <n v="2570"/>
    <n v="1402"/>
    <m/>
    <n v="2643"/>
    <n v="7152"/>
    <n v="14632"/>
    <n v="26"/>
    <n v="1347"/>
    <n v="42"/>
    <n v="16110"/>
    <n v="206"/>
    <n v="325"/>
    <n v="760"/>
    <n v="110"/>
    <n v="4"/>
    <m/>
    <n v="3"/>
    <n v="301"/>
    <m/>
    <n v="154"/>
    <n v="51"/>
    <n v="39882"/>
    <n v="156"/>
    <m/>
    <m/>
    <n v="11885"/>
    <n v="7575"/>
    <n v="969"/>
    <n v="14792"/>
    <n v="6731"/>
    <n v="1181"/>
    <n v="100"/>
    <n v="878"/>
    <n v="9"/>
    <n v="2245"/>
    <n v="573"/>
    <n v="2273"/>
    <n v="730"/>
    <n v="10604"/>
    <n v="2321"/>
    <n v="61"/>
    <n v="2382"/>
    <n v="1478"/>
    <n v="89"/>
    <n v="2092"/>
    <n v="3955"/>
    <n v="1408"/>
    <n v="9573"/>
    <m/>
    <m/>
    <n v="3784"/>
    <n v="86"/>
    <n v="216"/>
    <n v="22"/>
    <n v="507"/>
    <n v="8"/>
    <n v="308"/>
    <n v="411"/>
    <n v="30081"/>
    <n v="4378"/>
    <n v="245"/>
    <n v="1524"/>
    <n v="92"/>
    <n v="254"/>
    <n v="36"/>
    <m/>
    <n v="41952"/>
    <n v="926"/>
    <n v="36592"/>
    <n v="4434"/>
    <n v="8344"/>
    <n v="7380"/>
    <m/>
    <m/>
    <n v="410"/>
    <n v="1024"/>
    <n v="1158"/>
    <n v="1752"/>
    <n v="2261"/>
    <n v="2442"/>
    <n v="2370"/>
    <n v="3723"/>
    <n v="231"/>
    <n v="353"/>
    <m/>
    <n v="1202"/>
    <n v="2418"/>
    <n v="3806"/>
    <n v="406"/>
    <n v="28"/>
    <n v="7855"/>
    <n v="9"/>
    <n v="383"/>
    <n v="207"/>
    <n v="373"/>
    <n v="1814"/>
    <n v="367"/>
    <m/>
    <n v="462"/>
    <n v="9876"/>
    <n v="2225"/>
    <n v="17"/>
    <n v="0"/>
    <n v="0"/>
    <n v="0"/>
    <n v="0"/>
    <n v="0"/>
    <n v="2823"/>
    <n v="7737"/>
    <n v="105"/>
    <n v="3999"/>
    <n v="1060"/>
    <n v="175"/>
    <n v="301"/>
    <n v="2580"/>
    <n v="16"/>
    <n v="2271"/>
    <n v="705"/>
    <n v="768"/>
    <n v="1072"/>
    <n v="1976"/>
    <n v="460"/>
    <n v="411"/>
    <n v="549"/>
    <n v="12"/>
    <n v="1084"/>
    <n v="1445"/>
    <n v="385"/>
    <n v="1468"/>
    <n v="5"/>
    <n v="41"/>
    <m/>
    <n v="999"/>
    <n v="160"/>
    <n v="1600"/>
    <n v="112"/>
    <n v="138"/>
    <n v="754"/>
    <n v="54"/>
    <n v="11073"/>
    <n v="283"/>
    <n v="46"/>
    <n v="245"/>
    <n v="162"/>
    <n v="68"/>
    <n v="25"/>
    <n v="5"/>
    <m/>
    <n v="15724"/>
    <n v="796"/>
    <n v="13316"/>
    <n v="1612"/>
    <n v="2011"/>
  </r>
  <r>
    <n v="106190413"/>
    <s v="190413"/>
    <x v="87"/>
    <s v="210 W. SAN BERNARDINO ROAD"/>
    <s v="COVINA"/>
    <n v="91723"/>
    <x v="0"/>
    <x v="0"/>
    <x v="34"/>
    <x v="19"/>
    <s v="78.2qq"/>
    <s v="San Gabriel Valley"/>
    <s v="11 - Los Angeles"/>
    <x v="17"/>
    <s v="General Acute Care"/>
    <s v="Non-Profit Corporation (incl. Church-related)"/>
    <s v="General Medical / Surgical"/>
    <n v="138"/>
    <x v="0"/>
    <n v="6591"/>
    <n v="4920"/>
    <n v="1"/>
    <m/>
    <n v="1060"/>
    <n v="1326"/>
    <n v="1938"/>
    <n v="1541"/>
    <n v="1570"/>
    <n v="1558"/>
    <n v="943"/>
    <n v="743"/>
    <n v="628"/>
    <n v="205"/>
    <m/>
    <n v="621"/>
    <n v="660"/>
    <n v="6230"/>
    <n v="11"/>
    <n v="149"/>
    <n v="11"/>
    <n v="3830"/>
    <n v="249"/>
    <n v="278"/>
    <n v="1"/>
    <n v="35"/>
    <n v="1"/>
    <n v="2"/>
    <m/>
    <n v="29"/>
    <m/>
    <n v="226"/>
    <n v="5"/>
    <n v="10522"/>
    <n v="164"/>
    <m/>
    <m/>
    <n v="1182"/>
    <n v="2295"/>
    <n v="143"/>
    <n v="5631"/>
    <n v="2261"/>
    <n v="212"/>
    <n v="85"/>
    <n v="344"/>
    <n v="4"/>
    <n v="602"/>
    <n v="161"/>
    <n v="541"/>
    <n v="113"/>
    <n v="2042"/>
    <n v="954"/>
    <n v="60"/>
    <n v="527"/>
    <n v="564"/>
    <n v="7"/>
    <n v="471"/>
    <n v="1035"/>
    <n v="507"/>
    <n v="3282"/>
    <m/>
    <n v="1"/>
    <n v="716"/>
    <n v="50"/>
    <n v="103"/>
    <n v="6"/>
    <n v="112"/>
    <n v="1"/>
    <n v="113"/>
    <n v="96"/>
    <n v="9294"/>
    <n v="655"/>
    <n v="50"/>
    <n v="221"/>
    <n v="40"/>
    <n v="38"/>
    <n v="17"/>
    <m/>
    <n v="11512"/>
    <n v="352"/>
    <n v="9750"/>
    <n v="1410"/>
    <n v="3304"/>
    <n v="3120"/>
    <m/>
    <m/>
    <n v="104"/>
    <n v="531"/>
    <n v="514"/>
    <n v="760"/>
    <n v="1046"/>
    <n v="994"/>
    <n v="1093"/>
    <n v="1382"/>
    <m/>
    <m/>
    <m/>
    <n v="495"/>
    <n v="356"/>
    <n v="2626"/>
    <n v="72"/>
    <n v="6"/>
    <n v="2865"/>
    <n v="4"/>
    <n v="235"/>
    <n v="163"/>
    <n v="154"/>
    <n v="295"/>
    <n v="103"/>
    <n v="57"/>
    <n v="127"/>
    <n v="4080"/>
    <n v="1202"/>
    <n v="8"/>
    <n v="0"/>
    <n v="0"/>
    <n v="0"/>
    <n v="0"/>
    <n v="0"/>
    <n v="1801"/>
    <n v="3180"/>
    <n v="29"/>
    <n v="879"/>
    <n v="535"/>
    <n v="13"/>
    <n v="106"/>
    <n v="1144"/>
    <n v="3"/>
    <n v="767"/>
    <n v="244"/>
    <n v="251"/>
    <n v="389"/>
    <n v="415"/>
    <n v="94"/>
    <n v="150"/>
    <n v="136"/>
    <n v="12"/>
    <n v="1287"/>
    <n v="622"/>
    <n v="125"/>
    <n v="666"/>
    <m/>
    <m/>
    <m/>
    <n v="217"/>
    <n v="28"/>
    <n v="248"/>
    <n v="8"/>
    <n v="16"/>
    <n v="170"/>
    <n v="4"/>
    <n v="5568"/>
    <n v="62"/>
    <n v="3"/>
    <n v="11"/>
    <n v="74"/>
    <n v="11"/>
    <n v="3"/>
    <n v="1"/>
    <m/>
    <n v="6424"/>
    <n v="350"/>
    <n v="5134"/>
    <n v="940"/>
    <n v="2011"/>
  </r>
  <r>
    <n v="106190422"/>
    <s v="190422"/>
    <x v="88"/>
    <s v="3330 WEST LOMITA BOULEVARD"/>
    <s v="TORRANCE"/>
    <n v="90505"/>
    <x v="0"/>
    <x v="0"/>
    <x v="35"/>
    <x v="21"/>
    <s v="78.2aaaa"/>
    <s v="South Bay"/>
    <s v="11 - Los Angeles"/>
    <x v="17"/>
    <s v="General Acute Care"/>
    <s v="Non-Profit Corporation (incl. Church-related)"/>
    <s v="General Medical / Surgical"/>
    <n v="361"/>
    <x v="0"/>
    <n v="23478"/>
    <n v="17858"/>
    <n v="1"/>
    <m/>
    <n v="4674"/>
    <n v="4453"/>
    <n v="5076"/>
    <n v="5004"/>
    <n v="5286"/>
    <n v="4736"/>
    <n v="3651"/>
    <n v="3520"/>
    <n v="4013"/>
    <n v="924"/>
    <m/>
    <n v="4991"/>
    <n v="5089"/>
    <n v="10733"/>
    <n v="144"/>
    <n v="3066"/>
    <n v="48"/>
    <n v="17266"/>
    <n v="296"/>
    <n v="164"/>
    <m/>
    <n v="56"/>
    <n v="2"/>
    <n v="1"/>
    <m/>
    <n v="9"/>
    <m/>
    <m/>
    <n v="4"/>
    <n v="40053"/>
    <n v="752"/>
    <m/>
    <m/>
    <n v="6338"/>
    <n v="9083"/>
    <n v="765"/>
    <n v="20918"/>
    <n v="4233"/>
    <n v="419"/>
    <n v="113"/>
    <n v="1062"/>
    <n v="6"/>
    <n v="915"/>
    <n v="388"/>
    <n v="1789"/>
    <n v="154"/>
    <n v="9342"/>
    <n v="3727"/>
    <n v="58"/>
    <n v="1385"/>
    <n v="528"/>
    <n v="34"/>
    <n v="619"/>
    <n v="2116"/>
    <n v="1338"/>
    <n v="17344"/>
    <m/>
    <m/>
    <n v="3325"/>
    <n v="67"/>
    <n v="444"/>
    <n v="13"/>
    <n v="255"/>
    <n v="922"/>
    <n v="62"/>
    <n v="322"/>
    <n v="31596"/>
    <n v="3108"/>
    <n v="133"/>
    <n v="855"/>
    <n v="42"/>
    <n v="149"/>
    <n v="44"/>
    <m/>
    <n v="41337"/>
    <n v="958"/>
    <n v="37521"/>
    <n v="2858"/>
    <n v="7190"/>
    <n v="6030"/>
    <m/>
    <m/>
    <n v="243"/>
    <n v="493"/>
    <n v="699"/>
    <n v="1096"/>
    <n v="1690"/>
    <n v="2131"/>
    <n v="2592"/>
    <n v="3902"/>
    <n v="150"/>
    <n v="224"/>
    <m/>
    <n v="1860"/>
    <n v="1310"/>
    <n v="1979"/>
    <n v="899"/>
    <n v="88"/>
    <n v="7038"/>
    <n v="46"/>
    <n v="160"/>
    <n v="127"/>
    <n v="434"/>
    <n v="1150"/>
    <n v="163"/>
    <n v="34"/>
    <n v="162"/>
    <n v="8525"/>
    <n v="2462"/>
    <n v="3"/>
    <n v="0"/>
    <n v="0"/>
    <n v="0"/>
    <n v="0"/>
    <n v="0"/>
    <n v="853"/>
    <n v="6615"/>
    <n v="67"/>
    <n v="5185"/>
    <n v="500"/>
    <n v="108"/>
    <n v="244"/>
    <n v="2876"/>
    <n v="7"/>
    <n v="2280"/>
    <n v="662"/>
    <n v="667"/>
    <n v="931"/>
    <n v="1218"/>
    <n v="255"/>
    <n v="381"/>
    <n v="283"/>
    <n v="16"/>
    <n v="122"/>
    <n v="1549"/>
    <n v="292"/>
    <n v="1301"/>
    <n v="1"/>
    <n v="27"/>
    <m/>
    <n v="730"/>
    <n v="59"/>
    <n v="906"/>
    <n v="14"/>
    <n v="34"/>
    <n v="703"/>
    <n v="30"/>
    <n v="10376"/>
    <n v="209"/>
    <n v="13"/>
    <n v="22"/>
    <n v="52"/>
    <n v="46"/>
    <n v="17"/>
    <n v="9"/>
    <m/>
    <n v="13220"/>
    <n v="637"/>
    <n v="11662"/>
    <n v="921"/>
    <n v="2011"/>
  </r>
  <r>
    <n v="106190429"/>
    <s v="190429"/>
    <x v="89"/>
    <s v="4867 SUNSET BOULEVARD"/>
    <s v="LOS ANGELES"/>
    <n v="90027"/>
    <x v="0"/>
    <x v="1"/>
    <x v="28"/>
    <x v="14"/>
    <s v="78.2g"/>
    <s v="Metro"/>
    <s v="11 - Los Angeles"/>
    <x v="17"/>
    <s v="General Acute Care"/>
    <s v="Non-Profit Corporation (incl. Church-related)"/>
    <s v="General Medical / Surgical"/>
    <n v="396"/>
    <x v="0"/>
    <n v="31948"/>
    <n v="29548"/>
    <m/>
    <m/>
    <n v="4652"/>
    <n v="4943"/>
    <n v="10530"/>
    <n v="9215"/>
    <n v="8836"/>
    <n v="8446"/>
    <n v="6287"/>
    <n v="4390"/>
    <n v="3253"/>
    <n v="944"/>
    <m/>
    <n v="6760"/>
    <n v="8459"/>
    <n v="25681"/>
    <n v="139"/>
    <n v="4385"/>
    <n v="822"/>
    <n v="15250"/>
    <n v="370"/>
    <n v="961"/>
    <m/>
    <n v="20"/>
    <n v="97"/>
    <n v="23"/>
    <n v="2"/>
    <n v="2"/>
    <n v="30"/>
    <n v="635"/>
    <n v="2"/>
    <n v="59027"/>
    <n v="88"/>
    <n v="239"/>
    <m/>
    <n v="9974"/>
    <n v="11240"/>
    <n v="267"/>
    <n v="35643"/>
    <n v="4372"/>
    <n v="1147"/>
    <n v="308"/>
    <n v="1568"/>
    <n v="21"/>
    <n v="4084"/>
    <n v="1289"/>
    <n v="3849"/>
    <n v="1095"/>
    <n v="12641"/>
    <n v="4504"/>
    <n v="166"/>
    <n v="3628"/>
    <n v="1858"/>
    <n v="36"/>
    <n v="2007"/>
    <n v="6009"/>
    <n v="2655"/>
    <n v="14630"/>
    <n v="1"/>
    <m/>
    <n v="3973"/>
    <n v="77"/>
    <n v="648"/>
    <n v="16"/>
    <n v="667"/>
    <n v="26"/>
    <n v="340"/>
    <n v="538"/>
    <n v="47121"/>
    <n v="5942"/>
    <n v="250"/>
    <n v="1502"/>
    <n v="95"/>
    <n v="265"/>
    <n v="36"/>
    <m/>
    <n v="61496"/>
    <n v="1806"/>
    <n v="49262"/>
    <n v="10428"/>
    <n v="4878"/>
    <n v="5289"/>
    <m/>
    <m/>
    <n v="361"/>
    <n v="712"/>
    <n v="738"/>
    <n v="1141"/>
    <n v="1642"/>
    <n v="1871"/>
    <n v="1660"/>
    <n v="1585"/>
    <n v="129"/>
    <n v="328"/>
    <m/>
    <n v="1331"/>
    <n v="1460"/>
    <n v="3894"/>
    <n v="239"/>
    <n v="54"/>
    <n v="3161"/>
    <n v="28"/>
    <n v="214"/>
    <n v="185"/>
    <n v="259"/>
    <n v="1436"/>
    <n v="91"/>
    <n v="7"/>
    <n v="52"/>
    <n v="7218"/>
    <n v="705"/>
    <m/>
    <n v="0"/>
    <n v="0"/>
    <n v="0"/>
    <n v="0"/>
    <n v="0"/>
    <n v="481"/>
    <n v="4245"/>
    <n v="10"/>
    <n v="4881"/>
    <n v="550"/>
    <n v="128"/>
    <n v="213"/>
    <n v="1772"/>
    <n v="27"/>
    <n v="2024"/>
    <n v="536"/>
    <n v="608"/>
    <n v="850"/>
    <n v="839"/>
    <n v="342"/>
    <n v="393"/>
    <n v="292"/>
    <n v="42"/>
    <n v="466"/>
    <n v="749"/>
    <n v="216"/>
    <n v="657"/>
    <n v="2"/>
    <n v="10"/>
    <n v="1"/>
    <n v="360"/>
    <n v="25"/>
    <n v="621"/>
    <n v="27"/>
    <n v="31"/>
    <n v="403"/>
    <n v="12"/>
    <n v="8520"/>
    <n v="80"/>
    <n v="8"/>
    <n v="25"/>
    <n v="29"/>
    <n v="15"/>
    <n v="10"/>
    <n v="1"/>
    <m/>
    <n v="10167"/>
    <n v="381"/>
    <n v="8068"/>
    <n v="1718"/>
    <n v="2011"/>
  </r>
  <r>
    <n v="106190431"/>
    <s v="190431"/>
    <x v="90"/>
    <s v="25825 SOUTH VERMONT AVENUE"/>
    <s v="HARBOR CITY"/>
    <n v="90710"/>
    <x v="0"/>
    <x v="0"/>
    <x v="21"/>
    <x v="21"/>
    <s v="78.2aaaa"/>
    <s v="South Bay"/>
    <s v="11 - Los Angeles"/>
    <x v="17"/>
    <s v="General Acute Care"/>
    <s v="Non-Profit Corporation (incl. Church-related)"/>
    <s v="General Medical / Surgical"/>
    <n v="235"/>
    <x v="0"/>
    <n v="26237"/>
    <n v="20554"/>
    <n v="2"/>
    <m/>
    <n v="4631"/>
    <n v="4779"/>
    <n v="6366"/>
    <n v="5335"/>
    <n v="6104"/>
    <n v="5890"/>
    <n v="5109"/>
    <n v="4362"/>
    <n v="3395"/>
    <n v="822"/>
    <m/>
    <n v="3733"/>
    <n v="14567"/>
    <n v="13274"/>
    <n v="92"/>
    <n v="2485"/>
    <n v="3340"/>
    <n v="9302"/>
    <n v="531"/>
    <n v="516"/>
    <m/>
    <n v="22"/>
    <n v="156"/>
    <n v="16"/>
    <m/>
    <n v="5"/>
    <n v="12"/>
    <n v="403"/>
    <n v="1"/>
    <n v="44987"/>
    <n v="122"/>
    <n v="21"/>
    <n v="1"/>
    <n v="5337"/>
    <n v="10210"/>
    <n v="207"/>
    <n v="27731"/>
    <n v="3308"/>
    <n v="1275"/>
    <n v="242"/>
    <n v="1671"/>
    <n v="9"/>
    <n v="2207"/>
    <n v="1233"/>
    <n v="2761"/>
    <n v="866"/>
    <n v="11147"/>
    <n v="3228"/>
    <n v="84"/>
    <n v="2266"/>
    <n v="1437"/>
    <n v="70"/>
    <n v="1305"/>
    <n v="3697"/>
    <n v="1633"/>
    <n v="11661"/>
    <n v="1"/>
    <m/>
    <n v="3416"/>
    <n v="134"/>
    <n v="542"/>
    <n v="21"/>
    <n v="369"/>
    <n v="29"/>
    <n v="310"/>
    <n v="413"/>
    <n v="34116"/>
    <n v="5604"/>
    <n v="186"/>
    <n v="1256"/>
    <n v="136"/>
    <n v="245"/>
    <n v="16"/>
    <m/>
    <n v="46793"/>
    <n v="504"/>
    <n v="42017"/>
    <n v="4272"/>
    <n v="4291"/>
    <n v="3763"/>
    <m/>
    <m/>
    <n v="156"/>
    <n v="388"/>
    <n v="410"/>
    <n v="731"/>
    <n v="1170"/>
    <n v="1456"/>
    <n v="1746"/>
    <n v="1853"/>
    <n v="41"/>
    <n v="103"/>
    <m/>
    <n v="827"/>
    <n v="2743"/>
    <n v="1670"/>
    <n v="157"/>
    <n v="42"/>
    <n v="2594"/>
    <n v="21"/>
    <n v="283"/>
    <n v="73"/>
    <n v="255"/>
    <n v="1227"/>
    <n v="36"/>
    <n v="3"/>
    <n v="95"/>
    <n v="5520"/>
    <n v="561"/>
    <n v="1"/>
    <n v="0"/>
    <n v="0"/>
    <n v="0"/>
    <n v="0"/>
    <n v="0"/>
    <n v="257"/>
    <n v="4411"/>
    <n v="11"/>
    <n v="3083"/>
    <n v="292"/>
    <n v="66"/>
    <n v="215"/>
    <n v="1359"/>
    <n v="1"/>
    <n v="1442"/>
    <n v="524"/>
    <n v="555"/>
    <n v="935"/>
    <n v="622"/>
    <n v="217"/>
    <n v="247"/>
    <n v="163"/>
    <n v="12"/>
    <n v="104"/>
    <n v="837"/>
    <n v="237"/>
    <n v="509"/>
    <m/>
    <n v="9"/>
    <m/>
    <n v="346"/>
    <n v="29"/>
    <n v="664"/>
    <n v="13"/>
    <n v="14"/>
    <n v="382"/>
    <n v="13"/>
    <n v="6342"/>
    <n v="178"/>
    <n v="10"/>
    <n v="22"/>
    <n v="18"/>
    <n v="14"/>
    <n v="9"/>
    <m/>
    <m/>
    <n v="8054"/>
    <n v="145"/>
    <n v="7327"/>
    <n v="582"/>
    <n v="2011"/>
  </r>
  <r>
    <n v="106190432"/>
    <s v="190432"/>
    <x v="91"/>
    <s v="13652 CANTARA STREET"/>
    <s v="PANORAMA CITY"/>
    <n v="91402"/>
    <x v="0"/>
    <x v="0"/>
    <x v="32"/>
    <x v="20"/>
    <s v="78.2zz"/>
    <s v="San Fernando Valley"/>
    <s v="11 - Los Angeles"/>
    <x v="17"/>
    <s v="General Acute Care"/>
    <s v="Non-Profit Corporation (incl. Church-related)"/>
    <s v="General Medical / Surgical"/>
    <n v="218"/>
    <x v="0"/>
    <n v="24020"/>
    <n v="20212"/>
    <m/>
    <m/>
    <n v="4509"/>
    <n v="4660"/>
    <n v="6453"/>
    <n v="5249"/>
    <n v="5607"/>
    <n v="5674"/>
    <n v="4319"/>
    <n v="3486"/>
    <n v="3370"/>
    <n v="905"/>
    <m/>
    <n v="3669"/>
    <n v="2930"/>
    <n v="19038"/>
    <n v="133"/>
    <n v="691"/>
    <n v="3779"/>
    <n v="13992"/>
    <n v="158"/>
    <n v="361"/>
    <m/>
    <n v="28"/>
    <n v="30"/>
    <n v="24"/>
    <n v="13"/>
    <n v="19"/>
    <n v="17"/>
    <n v="372"/>
    <n v="8"/>
    <n v="42615"/>
    <n v="49"/>
    <n v="537"/>
    <n v="1"/>
    <n v="5318"/>
    <n v="9279"/>
    <n v="131"/>
    <n v="24483"/>
    <n v="5021"/>
    <n v="555"/>
    <n v="167"/>
    <n v="1356"/>
    <n v="17"/>
    <n v="2403"/>
    <n v="765"/>
    <n v="2604"/>
    <n v="970"/>
    <n v="8746"/>
    <n v="2721"/>
    <n v="118"/>
    <n v="2376"/>
    <n v="934"/>
    <n v="18"/>
    <n v="1735"/>
    <n v="3897"/>
    <n v="1409"/>
    <n v="13440"/>
    <n v="1"/>
    <m/>
    <n v="2922"/>
    <n v="97"/>
    <n v="369"/>
    <n v="19"/>
    <n v="349"/>
    <n v="229"/>
    <n v="195"/>
    <n v="468"/>
    <n v="34307"/>
    <n v="3676"/>
    <n v="188"/>
    <n v="1049"/>
    <n v="108"/>
    <n v="221"/>
    <n v="35"/>
    <m/>
    <n v="44232"/>
    <n v="1191"/>
    <n v="36418"/>
    <n v="6623"/>
    <n v="3791"/>
    <n v="3605"/>
    <m/>
    <m/>
    <n v="168"/>
    <n v="364"/>
    <n v="432"/>
    <n v="643"/>
    <n v="1032"/>
    <n v="1300"/>
    <n v="1374"/>
    <n v="1886"/>
    <n v="58"/>
    <n v="139"/>
    <m/>
    <n v="654"/>
    <n v="519"/>
    <n v="2272"/>
    <n v="59"/>
    <n v="77"/>
    <n v="3797"/>
    <n v="18"/>
    <n v="276"/>
    <n v="70"/>
    <n v="182"/>
    <n v="911"/>
    <n v="88"/>
    <n v="17"/>
    <n v="81"/>
    <n v="5037"/>
    <n v="734"/>
    <m/>
    <n v="0"/>
    <n v="0"/>
    <n v="0"/>
    <n v="0"/>
    <n v="0"/>
    <n v="261"/>
    <n v="3993"/>
    <n v="8"/>
    <n v="2850"/>
    <n v="284"/>
    <n v="52"/>
    <n v="144"/>
    <n v="1447"/>
    <n v="4"/>
    <n v="1567"/>
    <n v="415"/>
    <n v="547"/>
    <n v="584"/>
    <n v="623"/>
    <n v="115"/>
    <n v="178"/>
    <n v="153"/>
    <n v="5"/>
    <n v="109"/>
    <n v="947"/>
    <n v="138"/>
    <n v="364"/>
    <m/>
    <n v="4"/>
    <m/>
    <n v="440"/>
    <n v="30"/>
    <n v="485"/>
    <n v="12"/>
    <n v="49"/>
    <n v="391"/>
    <n v="19"/>
    <n v="5780"/>
    <n v="93"/>
    <n v="12"/>
    <n v="27"/>
    <n v="20"/>
    <n v="17"/>
    <n v="19"/>
    <n v="2"/>
    <m/>
    <n v="7396"/>
    <n v="290"/>
    <n v="6166"/>
    <n v="940"/>
    <n v="2011"/>
  </r>
  <r>
    <n v="106190434"/>
    <s v="190434"/>
    <x v="92"/>
    <s v="6041 CADILLAC AVENUE"/>
    <s v="LOS ANGELES"/>
    <n v="90034"/>
    <x v="0"/>
    <x v="0"/>
    <x v="24"/>
    <x v="14"/>
    <s v="78.2x"/>
    <s v="Metro"/>
    <s v="11 - Los Angeles"/>
    <x v="17"/>
    <s v="General Acute Care"/>
    <s v="Non-Profit Corporation (incl. Church-related)"/>
    <s v="General Medical / Surgical"/>
    <n v="305"/>
    <x v="0"/>
    <n v="32846"/>
    <n v="24762"/>
    <n v="2"/>
    <m/>
    <n v="4762"/>
    <n v="4893"/>
    <n v="9086"/>
    <n v="6949"/>
    <n v="7342"/>
    <n v="7601"/>
    <n v="6238"/>
    <n v="5028"/>
    <n v="4795"/>
    <n v="916"/>
    <m/>
    <n v="2024"/>
    <n v="27417"/>
    <n v="12419"/>
    <n v="228"/>
    <n v="2542"/>
    <n v="2652"/>
    <n v="10328"/>
    <n v="808"/>
    <n v="539"/>
    <n v="5"/>
    <n v="65"/>
    <n v="255"/>
    <n v="64"/>
    <n v="6"/>
    <n v="15"/>
    <n v="11"/>
    <n v="417"/>
    <n v="4"/>
    <n v="55076"/>
    <n v="76"/>
    <n v="254"/>
    <n v="15"/>
    <n v="8006"/>
    <n v="12804"/>
    <n v="216"/>
    <n v="30583"/>
    <n v="6001"/>
    <n v="1309"/>
    <n v="309"/>
    <n v="1851"/>
    <n v="10"/>
    <n v="2677"/>
    <n v="1193"/>
    <n v="2802"/>
    <n v="863"/>
    <n v="13447"/>
    <n v="4329"/>
    <n v="121"/>
    <n v="2748"/>
    <n v="1372"/>
    <n v="27"/>
    <n v="1794"/>
    <n v="4942"/>
    <n v="2948"/>
    <n v="14867"/>
    <n v="1"/>
    <m/>
    <n v="3949"/>
    <n v="102"/>
    <n v="541"/>
    <n v="20"/>
    <n v="560"/>
    <n v="48"/>
    <n v="432"/>
    <n v="528"/>
    <n v="42840"/>
    <n v="6112"/>
    <n v="230"/>
    <n v="1774"/>
    <n v="129"/>
    <n v="266"/>
    <n v="78"/>
    <n v="1"/>
    <n v="57610"/>
    <n v="586"/>
    <n v="52236"/>
    <n v="4788"/>
    <n v="3569"/>
    <n v="3004"/>
    <m/>
    <m/>
    <n v="101"/>
    <n v="371"/>
    <n v="383"/>
    <n v="557"/>
    <n v="861"/>
    <n v="1173"/>
    <n v="1388"/>
    <n v="1738"/>
    <n v="1"/>
    <m/>
    <m/>
    <n v="266"/>
    <n v="3573"/>
    <n v="950"/>
    <n v="115"/>
    <n v="36"/>
    <n v="1614"/>
    <n v="19"/>
    <n v="259"/>
    <n v="56"/>
    <n v="239"/>
    <n v="960"/>
    <n v="78"/>
    <n v="31"/>
    <n v="40"/>
    <n v="4292"/>
    <n v="617"/>
    <n v="1"/>
    <n v="0"/>
    <n v="0"/>
    <n v="0"/>
    <n v="0"/>
    <n v="0"/>
    <n v="264"/>
    <n v="3681"/>
    <n v="7"/>
    <n v="2367"/>
    <n v="254"/>
    <n v="125"/>
    <n v="205"/>
    <n v="1298"/>
    <n v="2"/>
    <n v="1185"/>
    <n v="364"/>
    <n v="358"/>
    <n v="963"/>
    <n v="349"/>
    <n v="207"/>
    <n v="187"/>
    <n v="115"/>
    <n v="12"/>
    <n v="72"/>
    <n v="649"/>
    <n v="128"/>
    <n v="354"/>
    <m/>
    <m/>
    <m/>
    <n v="186"/>
    <n v="31"/>
    <n v="433"/>
    <n v="9"/>
    <n v="13"/>
    <n v="400"/>
    <n v="19"/>
    <n v="5363"/>
    <n v="62"/>
    <n v="3"/>
    <n v="14"/>
    <n v="17"/>
    <n v="14"/>
    <n v="8"/>
    <n v="1"/>
    <m/>
    <n v="6573"/>
    <n v="79"/>
    <n v="6073"/>
    <n v="421"/>
    <n v="2011"/>
  </r>
  <r>
    <n v="106190470"/>
    <s v="190470"/>
    <x v="93"/>
    <s v="4101 TORRANCE BOULEVARD"/>
    <s v="TORRANCE"/>
    <n v="90503"/>
    <x v="0"/>
    <x v="0"/>
    <x v="35"/>
    <x v="21"/>
    <s v="78.2u"/>
    <s v="South Bay"/>
    <s v="11 - Los Angeles"/>
    <x v="17"/>
    <s v="General Acute Care"/>
    <s v="Non-Profit Corporation (incl. Church-related)"/>
    <s v="General Medical / Surgical"/>
    <n v="327"/>
    <x v="0"/>
    <n v="28416"/>
    <n v="21781"/>
    <n v="2"/>
    <m/>
    <n v="7901"/>
    <n v="5294"/>
    <n v="7845"/>
    <n v="6597"/>
    <n v="6029"/>
    <n v="5161"/>
    <n v="3353"/>
    <n v="2927"/>
    <n v="3113"/>
    <n v="1979"/>
    <m/>
    <n v="3859"/>
    <n v="8021"/>
    <n v="16219"/>
    <n v="24"/>
    <n v="2126"/>
    <n v="169"/>
    <n v="19781"/>
    <n v="916"/>
    <n v="482"/>
    <m/>
    <n v="81"/>
    <n v="31"/>
    <n v="6"/>
    <n v="3"/>
    <n v="60"/>
    <n v="74"/>
    <n v="214"/>
    <n v="1"/>
    <n v="47863"/>
    <n v="468"/>
    <m/>
    <m/>
    <n v="13927"/>
    <n v="8554"/>
    <n v="1869"/>
    <n v="18563"/>
    <n v="7286"/>
    <n v="1499"/>
    <n v="214"/>
    <n v="1184"/>
    <n v="16"/>
    <n v="2309"/>
    <n v="740"/>
    <n v="2625"/>
    <n v="1123"/>
    <n v="11257"/>
    <n v="2701"/>
    <n v="112"/>
    <n v="2988"/>
    <n v="2533"/>
    <n v="50"/>
    <n v="1443"/>
    <n v="5342"/>
    <n v="1864"/>
    <n v="12199"/>
    <m/>
    <m/>
    <n v="3886"/>
    <n v="178"/>
    <n v="380"/>
    <n v="24"/>
    <n v="435"/>
    <n v="24"/>
    <n v="108"/>
    <n v="421"/>
    <n v="38281"/>
    <n v="4595"/>
    <n v="259"/>
    <n v="1243"/>
    <n v="78"/>
    <n v="227"/>
    <n v="60"/>
    <m/>
    <n v="50199"/>
    <n v="1056"/>
    <n v="45795"/>
    <n v="3348"/>
    <n v="7249"/>
    <n v="5797"/>
    <m/>
    <m/>
    <n v="237"/>
    <n v="608"/>
    <n v="801"/>
    <n v="1390"/>
    <n v="1871"/>
    <n v="2065"/>
    <n v="2118"/>
    <n v="3505"/>
    <n v="179"/>
    <n v="272"/>
    <m/>
    <n v="1590"/>
    <n v="1998"/>
    <n v="2754"/>
    <n v="504"/>
    <n v="39"/>
    <n v="6150"/>
    <n v="11"/>
    <n v="240"/>
    <n v="195"/>
    <n v="363"/>
    <n v="966"/>
    <n v="234"/>
    <n v="23"/>
    <n v="69"/>
    <n v="8713"/>
    <n v="2242"/>
    <n v="1"/>
    <n v="0"/>
    <n v="0"/>
    <n v="0"/>
    <n v="0"/>
    <n v="0"/>
    <n v="2288"/>
    <n v="5412"/>
    <n v="315"/>
    <n v="4512"/>
    <n v="519"/>
    <n v="130"/>
    <n v="232"/>
    <n v="2609"/>
    <n v="12"/>
    <n v="2140"/>
    <n v="535"/>
    <n v="764"/>
    <n v="1212"/>
    <n v="1111"/>
    <n v="306"/>
    <n v="370"/>
    <n v="321"/>
    <n v="12"/>
    <n v="167"/>
    <n v="1444"/>
    <n v="325"/>
    <n v="1316"/>
    <n v="7"/>
    <n v="33"/>
    <m/>
    <n v="674"/>
    <n v="44"/>
    <n v="489"/>
    <n v="14"/>
    <n v="12"/>
    <n v="144"/>
    <n v="26"/>
    <n v="11364"/>
    <n v="132"/>
    <n v="27"/>
    <n v="34"/>
    <n v="38"/>
    <n v="17"/>
    <n v="31"/>
    <m/>
    <m/>
    <n v="13046"/>
    <n v="601"/>
    <n v="11505"/>
    <n v="940"/>
    <n v="2011"/>
  </r>
  <r>
    <n v="106190475"/>
    <s v="190475"/>
    <x v="94"/>
    <s v="1720 TERMINO AVENUE"/>
    <s v="LONG BEACH"/>
    <n v="90804"/>
    <x v="0"/>
    <x v="0"/>
    <x v="20"/>
    <x v="12"/>
    <s v="78.2lll"/>
    <s v="South Bay"/>
    <s v="11 - Los Angeles"/>
    <x v="17"/>
    <s v="General Acute Care"/>
    <s v="Non-Profit Corporation (incl. Church-related)"/>
    <s v="General Medical / Surgical"/>
    <n v="163"/>
    <x v="0"/>
    <n v="10324"/>
    <n v="8492"/>
    <m/>
    <m/>
    <n v="1752"/>
    <n v="2011"/>
    <n v="3897"/>
    <n v="2935"/>
    <n v="3118"/>
    <n v="2277"/>
    <n v="1116"/>
    <n v="610"/>
    <n v="867"/>
    <n v="233"/>
    <m/>
    <n v="699"/>
    <n v="4544"/>
    <n v="4085"/>
    <n v="9"/>
    <n v="270"/>
    <n v="5"/>
    <n v="9204"/>
    <n v="896"/>
    <n v="444"/>
    <n v="820"/>
    <n v="41"/>
    <n v="5"/>
    <n v="1"/>
    <m/>
    <n v="114"/>
    <m/>
    <n v="42"/>
    <m/>
    <n v="16325"/>
    <n v="128"/>
    <m/>
    <m/>
    <n v="5312"/>
    <n v="2912"/>
    <n v="756"/>
    <n v="5540"/>
    <n v="4296"/>
    <n v="428"/>
    <n v="99"/>
    <n v="489"/>
    <n v="4"/>
    <n v="1082"/>
    <n v="321"/>
    <n v="992"/>
    <n v="405"/>
    <n v="4657"/>
    <n v="1276"/>
    <n v="44"/>
    <n v="1229"/>
    <n v="433"/>
    <n v="3"/>
    <n v="843"/>
    <n v="2057"/>
    <n v="1043"/>
    <n v="3411"/>
    <m/>
    <m/>
    <n v="1549"/>
    <n v="45"/>
    <n v="171"/>
    <n v="12"/>
    <n v="451"/>
    <n v="22"/>
    <n v="46"/>
    <n v="255"/>
    <n v="13616"/>
    <n v="1789"/>
    <n v="111"/>
    <n v="566"/>
    <n v="33"/>
    <n v="86"/>
    <n v="64"/>
    <m/>
    <n v="18816"/>
    <n v="93"/>
    <n v="18174"/>
    <n v="549"/>
    <n v="1893"/>
    <n v="1843"/>
    <m/>
    <m/>
    <n v="62"/>
    <n v="361"/>
    <n v="329"/>
    <n v="615"/>
    <n v="695"/>
    <n v="501"/>
    <n v="412"/>
    <n v="761"/>
    <m/>
    <m/>
    <m/>
    <n v="170"/>
    <n v="636"/>
    <n v="492"/>
    <n v="28"/>
    <m/>
    <n v="2403"/>
    <n v="7"/>
    <n v="227"/>
    <n v="148"/>
    <n v="128"/>
    <n v="187"/>
    <n v="103"/>
    <n v="5"/>
    <n v="17"/>
    <n v="2333"/>
    <n v="582"/>
    <n v="6"/>
    <n v="0"/>
    <n v="0"/>
    <n v="0"/>
    <n v="0"/>
    <n v="0"/>
    <n v="697"/>
    <n v="1970"/>
    <n v="34"/>
    <n v="520"/>
    <n v="515"/>
    <n v="14"/>
    <n v="62"/>
    <n v="444"/>
    <n v="1"/>
    <n v="337"/>
    <n v="156"/>
    <n v="126"/>
    <n v="284"/>
    <n v="234"/>
    <n v="46"/>
    <n v="45"/>
    <n v="83"/>
    <n v="3"/>
    <n v="1150"/>
    <n v="418"/>
    <n v="38"/>
    <n v="295"/>
    <m/>
    <m/>
    <m/>
    <n v="206"/>
    <n v="8"/>
    <n v="127"/>
    <n v="15"/>
    <n v="3"/>
    <n v="68"/>
    <n v="6"/>
    <n v="3090"/>
    <n v="62"/>
    <n v="3"/>
    <n v="7"/>
    <n v="107"/>
    <n v="5"/>
    <n v="28"/>
    <n v="1"/>
    <m/>
    <n v="3736"/>
    <n v="36"/>
    <n v="3611"/>
    <n v="89"/>
    <n v="2011"/>
  </r>
  <r>
    <n v="106190500"/>
    <s v="190500"/>
    <x v="95"/>
    <s v="4650 LINCOLN BOULEVARD"/>
    <s v="MARINA DEL REY"/>
    <n v="90291"/>
    <x v="0"/>
    <x v="0"/>
    <x v="35"/>
    <x v="21"/>
    <s v="78.2j"/>
    <s v="West"/>
    <s v="11 - Los Angeles"/>
    <x v="17"/>
    <s v="General Acute Care"/>
    <s v="Investor - Corporation"/>
    <s v="General Medical / Surgical"/>
    <n v="105"/>
    <x v="0"/>
    <n v="9384"/>
    <n v="8690"/>
    <m/>
    <m/>
    <n v="937"/>
    <n v="1462"/>
    <n v="3641"/>
    <n v="3133"/>
    <n v="2882"/>
    <n v="2425"/>
    <n v="1451"/>
    <n v="964"/>
    <n v="1066"/>
    <n v="113"/>
    <m/>
    <n v="633"/>
    <n v="4189"/>
    <n v="2418"/>
    <n v="32"/>
    <n v="1417"/>
    <n v="501"/>
    <n v="8884"/>
    <n v="434"/>
    <n v="855"/>
    <m/>
    <n v="39"/>
    <n v="11"/>
    <n v="5"/>
    <n v="2"/>
    <m/>
    <m/>
    <n v="147"/>
    <m/>
    <n v="16546"/>
    <n v="35"/>
    <m/>
    <m/>
    <n v="931"/>
    <n v="2961"/>
    <n v="567"/>
    <n v="9457"/>
    <n v="4158"/>
    <n v="232"/>
    <n v="63"/>
    <n v="424"/>
    <n v="3"/>
    <n v="830"/>
    <n v="251"/>
    <n v="981"/>
    <n v="277"/>
    <n v="5685"/>
    <n v="808"/>
    <n v="15"/>
    <n v="1377"/>
    <n v="740"/>
    <n v="5"/>
    <n v="993"/>
    <n v="1515"/>
    <n v="781"/>
    <n v="3094"/>
    <m/>
    <m/>
    <n v="1682"/>
    <n v="78"/>
    <n v="240"/>
    <n v="9"/>
    <n v="268"/>
    <n v="11"/>
    <n v="57"/>
    <n v="247"/>
    <n v="11826"/>
    <n v="2445"/>
    <n v="187"/>
    <n v="802"/>
    <n v="82"/>
    <n v="80"/>
    <n v="60"/>
    <m/>
    <n v="18074"/>
    <n v="265"/>
    <n v="17185"/>
    <n v="624"/>
    <n v="1508"/>
    <n v="1389"/>
    <m/>
    <m/>
    <n v="30"/>
    <n v="117"/>
    <n v="153"/>
    <n v="272"/>
    <n v="390"/>
    <n v="504"/>
    <n v="526"/>
    <n v="905"/>
    <m/>
    <m/>
    <m/>
    <n v="135"/>
    <n v="631"/>
    <n v="197"/>
    <n v="168"/>
    <n v="61"/>
    <n v="1699"/>
    <n v="6"/>
    <n v="192"/>
    <n v="147"/>
    <n v="72"/>
    <n v="256"/>
    <n v="64"/>
    <n v="3"/>
    <n v="8"/>
    <n v="1642"/>
    <n v="508"/>
    <n v="5"/>
    <n v="0"/>
    <n v="0"/>
    <n v="0"/>
    <n v="0"/>
    <n v="0"/>
    <n v="177"/>
    <n v="1730"/>
    <n v="36"/>
    <n v="759"/>
    <n v="195"/>
    <n v="8"/>
    <n v="49"/>
    <n v="602"/>
    <m/>
    <n v="445"/>
    <n v="110"/>
    <n v="157"/>
    <n v="364"/>
    <n v="260"/>
    <n v="79"/>
    <n v="53"/>
    <n v="76"/>
    <n v="2"/>
    <n v="26"/>
    <n v="302"/>
    <n v="56"/>
    <n v="308"/>
    <m/>
    <m/>
    <m/>
    <n v="206"/>
    <n v="14"/>
    <n v="138"/>
    <n v="3"/>
    <n v="6"/>
    <n v="97"/>
    <n v="5"/>
    <n v="2322"/>
    <n v="55"/>
    <n v="7"/>
    <n v="5"/>
    <n v="14"/>
    <n v="6"/>
    <n v="19"/>
    <m/>
    <m/>
    <n v="2897"/>
    <n v="33"/>
    <n v="2777"/>
    <n v="87"/>
    <n v="2011"/>
  </r>
  <r>
    <n v="106190517"/>
    <s v="190517"/>
    <x v="96"/>
    <s v="18321 CLARK STREET"/>
    <s v="TARZANA"/>
    <n v="91356"/>
    <x v="0"/>
    <x v="0"/>
    <x v="29"/>
    <x v="17"/>
    <s v="78.2yy"/>
    <s v="San Fernando Valley"/>
    <s v="11 - Los Angeles"/>
    <x v="17"/>
    <s v="General Acute Care"/>
    <s v="Non-Profit Corporation (incl. Church-related)"/>
    <s v="General Medical / Surgical"/>
    <n v="249"/>
    <x v="0"/>
    <n v="13902"/>
    <n v="10555"/>
    <m/>
    <m/>
    <n v="3639"/>
    <n v="2656"/>
    <n v="3178"/>
    <n v="3150"/>
    <n v="2864"/>
    <n v="2699"/>
    <n v="1810"/>
    <n v="1532"/>
    <n v="2134"/>
    <n v="795"/>
    <m/>
    <n v="405"/>
    <n v="1420"/>
    <n v="4215"/>
    <n v="5"/>
    <n v="325"/>
    <n v="12"/>
    <n v="18075"/>
    <n v="309"/>
    <n v="217"/>
    <m/>
    <n v="34"/>
    <n v="21"/>
    <n v="13"/>
    <n v="3"/>
    <n v="25"/>
    <n v="4"/>
    <n v="97"/>
    <n v="23"/>
    <n v="23615"/>
    <n v="96"/>
    <m/>
    <m/>
    <n v="5871"/>
    <n v="4704"/>
    <n v="756"/>
    <n v="8267"/>
    <n v="4859"/>
    <n v="728"/>
    <n v="82"/>
    <n v="498"/>
    <m/>
    <n v="1043"/>
    <n v="220"/>
    <n v="1151"/>
    <n v="478"/>
    <n v="5771"/>
    <n v="1307"/>
    <n v="23"/>
    <n v="2156"/>
    <n v="1134"/>
    <n v="27"/>
    <n v="729"/>
    <n v="2546"/>
    <n v="891"/>
    <n v="5673"/>
    <m/>
    <m/>
    <n v="1990"/>
    <n v="103"/>
    <n v="274"/>
    <n v="16"/>
    <n v="171"/>
    <n v="16"/>
    <n v="230"/>
    <n v="306"/>
    <n v="17640"/>
    <n v="2677"/>
    <n v="115"/>
    <n v="734"/>
    <n v="47"/>
    <n v="108"/>
    <n v="30"/>
    <m/>
    <n v="24457"/>
    <n v="91"/>
    <n v="23689"/>
    <n v="677"/>
    <n v="4690"/>
    <n v="3498"/>
    <m/>
    <m/>
    <n v="199"/>
    <n v="219"/>
    <n v="361"/>
    <n v="541"/>
    <n v="798"/>
    <n v="1051"/>
    <n v="1492"/>
    <n v="3144"/>
    <n v="131"/>
    <n v="252"/>
    <m/>
    <n v="164"/>
    <n v="222"/>
    <n v="686"/>
    <n v="69"/>
    <n v="1"/>
    <n v="7046"/>
    <m/>
    <n v="104"/>
    <n v="129"/>
    <n v="281"/>
    <n v="1253"/>
    <n v="101"/>
    <n v="34"/>
    <n v="179"/>
    <n v="4625"/>
    <n v="1482"/>
    <m/>
    <n v="0"/>
    <n v="0"/>
    <n v="0"/>
    <n v="0"/>
    <n v="0"/>
    <n v="1022"/>
    <n v="4706"/>
    <n v="103"/>
    <n v="2177"/>
    <n v="180"/>
    <n v="111"/>
    <n v="139"/>
    <n v="1549"/>
    <n v="14"/>
    <n v="1172"/>
    <n v="363"/>
    <n v="507"/>
    <n v="858"/>
    <n v="772"/>
    <n v="193"/>
    <n v="210"/>
    <n v="209"/>
    <n v="16"/>
    <n v="74"/>
    <n v="995"/>
    <n v="245"/>
    <n v="748"/>
    <m/>
    <n v="13"/>
    <m/>
    <n v="543"/>
    <n v="49"/>
    <n v="682"/>
    <n v="6"/>
    <n v="16"/>
    <n v="521"/>
    <n v="22"/>
    <n v="6098"/>
    <n v="135"/>
    <n v="5"/>
    <n v="29"/>
    <n v="18"/>
    <n v="37"/>
    <n v="26"/>
    <n v="1"/>
    <m/>
    <n v="8188"/>
    <n v="166"/>
    <n v="7869"/>
    <n v="153"/>
    <n v="2011"/>
  </r>
  <r>
    <n v="106190521"/>
    <s v="190521"/>
    <x v="97"/>
    <s v="1145 W. REDONDO BEACH BLVD."/>
    <s v="GARDENA"/>
    <n v="90247"/>
    <x v="0"/>
    <x v="0"/>
    <x v="26"/>
    <x v="15"/>
    <s v="78.2iiii"/>
    <s v="South Bay"/>
    <s v="11 - Los Angeles"/>
    <x v="17"/>
    <s v="General Acute Care"/>
    <s v="Investor - Partnership"/>
    <s v="General Medical / Surgical"/>
    <n v="103"/>
    <x v="0"/>
    <n v="16185"/>
    <n v="11861"/>
    <m/>
    <m/>
    <n v="4112"/>
    <n v="3610"/>
    <n v="5794"/>
    <n v="4080"/>
    <n v="3590"/>
    <n v="3057"/>
    <n v="1519"/>
    <n v="767"/>
    <n v="561"/>
    <n v="956"/>
    <m/>
    <n v="734"/>
    <n v="15145"/>
    <n v="9955"/>
    <n v="55"/>
    <n v="354"/>
    <n v="38"/>
    <n v="1765"/>
    <n v="862"/>
    <n v="2461"/>
    <n v="11"/>
    <n v="88"/>
    <n v="4"/>
    <m/>
    <m/>
    <n v="1"/>
    <m/>
    <n v="77"/>
    <n v="40"/>
    <n v="24350"/>
    <n v="152"/>
    <m/>
    <m/>
    <n v="12127"/>
    <n v="2174"/>
    <n v="652"/>
    <n v="5323"/>
    <n v="7770"/>
    <n v="1453"/>
    <n v="78"/>
    <n v="613"/>
    <n v="14"/>
    <n v="1376"/>
    <n v="446"/>
    <n v="1591"/>
    <n v="464"/>
    <n v="5887"/>
    <n v="1500"/>
    <n v="86"/>
    <n v="1723"/>
    <n v="1296"/>
    <n v="23"/>
    <n v="1180"/>
    <n v="3372"/>
    <n v="1199"/>
    <n v="5745"/>
    <m/>
    <m/>
    <n v="1745"/>
    <n v="42"/>
    <n v="239"/>
    <n v="16"/>
    <n v="576"/>
    <n v="105"/>
    <n v="88"/>
    <n v="328"/>
    <n v="21209"/>
    <n v="2321"/>
    <n v="156"/>
    <n v="924"/>
    <n v="118"/>
    <n v="134"/>
    <n v="45"/>
    <m/>
    <n v="28046"/>
    <n v="127"/>
    <n v="23424"/>
    <n v="4495"/>
    <n v="3299"/>
    <n v="2115"/>
    <m/>
    <m/>
    <n v="137"/>
    <n v="576"/>
    <n v="523"/>
    <n v="657"/>
    <n v="1008"/>
    <n v="897"/>
    <n v="749"/>
    <n v="864"/>
    <n v="3"/>
    <m/>
    <m/>
    <n v="256"/>
    <n v="2899"/>
    <n v="1615"/>
    <n v="81"/>
    <n v="15"/>
    <n v="533"/>
    <n v="15"/>
    <n v="237"/>
    <n v="272"/>
    <n v="136"/>
    <n v="215"/>
    <n v="30"/>
    <n v="48"/>
    <n v="33"/>
    <n v="3384"/>
    <n v="1059"/>
    <m/>
    <n v="0"/>
    <n v="0"/>
    <n v="0"/>
    <n v="0"/>
    <n v="0"/>
    <n v="2169"/>
    <n v="2138"/>
    <n v="34"/>
    <n v="500"/>
    <n v="573"/>
    <n v="671"/>
    <n v="71"/>
    <n v="1026"/>
    <n v="2"/>
    <n v="672"/>
    <n v="293"/>
    <n v="291"/>
    <n v="615"/>
    <n v="282"/>
    <n v="75"/>
    <n v="87"/>
    <n v="195"/>
    <n v="8"/>
    <n v="53"/>
    <n v="656"/>
    <n v="126"/>
    <n v="288"/>
    <n v="3"/>
    <m/>
    <m/>
    <n v="214"/>
    <n v="14"/>
    <n v="171"/>
    <n v="13"/>
    <n v="45"/>
    <n v="262"/>
    <n v="8"/>
    <n v="4536"/>
    <n v="73"/>
    <n v="5"/>
    <n v="15"/>
    <n v="24"/>
    <n v="5"/>
    <n v="26"/>
    <n v="3"/>
    <m/>
    <n v="5414"/>
    <n v="39"/>
    <n v="4476"/>
    <n v="899"/>
    <n v="2011"/>
  </r>
  <r>
    <n v="106190522"/>
    <s v="190522"/>
    <x v="98"/>
    <s v="1420 SOUTH CENTRAL AVENUE"/>
    <s v="GLENDALE"/>
    <n v="91204"/>
    <x v="0"/>
    <x v="0"/>
    <x v="31"/>
    <x v="16"/>
    <s v="78.2ee"/>
    <s v="San Fernando Valley"/>
    <s v="11 - Los Angeles"/>
    <x v="17"/>
    <s v="General Acute Care"/>
    <s v="Non-Profit Corporation (incl. Church-related)"/>
    <s v="General Medical / Surgical"/>
    <n v="255"/>
    <x v="0"/>
    <n v="12440"/>
    <n v="10453"/>
    <m/>
    <m/>
    <n v="2617"/>
    <n v="2216"/>
    <n v="3482"/>
    <n v="3116"/>
    <n v="2936"/>
    <n v="2585"/>
    <n v="2082"/>
    <n v="1736"/>
    <n v="1519"/>
    <n v="604"/>
    <m/>
    <n v="1342"/>
    <n v="781"/>
    <n v="9166"/>
    <n v="3"/>
    <n v="2368"/>
    <n v="36"/>
    <n v="9197"/>
    <n v="86"/>
    <n v="556"/>
    <n v="407"/>
    <n v="35"/>
    <n v="10"/>
    <n v="2"/>
    <n v="2"/>
    <m/>
    <m/>
    <n v="42"/>
    <m/>
    <n v="21696"/>
    <n v="57"/>
    <m/>
    <m/>
    <n v="8774"/>
    <n v="4502"/>
    <n v="974"/>
    <n v="4850"/>
    <n v="3793"/>
    <n v="673"/>
    <n v="55"/>
    <n v="562"/>
    <m/>
    <n v="982"/>
    <n v="236"/>
    <n v="1305"/>
    <n v="448"/>
    <n v="5303"/>
    <n v="1219"/>
    <n v="18"/>
    <n v="1183"/>
    <n v="917"/>
    <n v="49"/>
    <n v="866"/>
    <n v="2045"/>
    <n v="983"/>
    <n v="6049"/>
    <m/>
    <m/>
    <n v="1737"/>
    <n v="51"/>
    <n v="199"/>
    <n v="7"/>
    <n v="211"/>
    <n v="13"/>
    <n v="20"/>
    <n v="227"/>
    <n v="17191"/>
    <n v="2343"/>
    <n v="87"/>
    <n v="609"/>
    <n v="30"/>
    <n v="159"/>
    <n v="9"/>
    <m/>
    <n v="22893"/>
    <n v="1787"/>
    <n v="18558"/>
    <n v="2548"/>
    <n v="3495"/>
    <n v="3182"/>
    <m/>
    <m/>
    <n v="52"/>
    <n v="257"/>
    <n v="344"/>
    <n v="509"/>
    <n v="892"/>
    <n v="1161"/>
    <n v="1443"/>
    <n v="1969"/>
    <n v="48"/>
    <n v="2"/>
    <m/>
    <n v="575"/>
    <n v="206"/>
    <n v="1681"/>
    <n v="612"/>
    <n v="20"/>
    <n v="3582"/>
    <n v="1"/>
    <n v="119"/>
    <n v="209"/>
    <n v="257"/>
    <n v="807"/>
    <n v="172"/>
    <n v="54"/>
    <n v="105"/>
    <n v="3908"/>
    <n v="1046"/>
    <m/>
    <n v="0"/>
    <n v="0"/>
    <n v="0"/>
    <n v="0"/>
    <n v="0"/>
    <n v="1929"/>
    <n v="3642"/>
    <n v="37"/>
    <n v="770"/>
    <n v="299"/>
    <n v="101"/>
    <n v="99"/>
    <n v="1623"/>
    <n v="3"/>
    <n v="992"/>
    <n v="273"/>
    <n v="400"/>
    <n v="671"/>
    <n v="457"/>
    <n v="157"/>
    <n v="199"/>
    <n v="168"/>
    <n v="21"/>
    <n v="71"/>
    <n v="806"/>
    <n v="149"/>
    <n v="450"/>
    <m/>
    <n v="37"/>
    <m/>
    <n v="340"/>
    <n v="24"/>
    <n v="346"/>
    <n v="5"/>
    <n v="23"/>
    <n v="170"/>
    <n v="15"/>
    <n v="5629"/>
    <n v="64"/>
    <n v="5"/>
    <n v="24"/>
    <n v="10"/>
    <n v="8"/>
    <n v="13"/>
    <n v="1"/>
    <m/>
    <n v="6677"/>
    <n v="1471"/>
    <n v="4395"/>
    <n v="811"/>
    <n v="2011"/>
  </r>
  <r>
    <n v="106190524"/>
    <s v="190524"/>
    <x v="99"/>
    <s v="14850 ROSCOE BOULEVARD"/>
    <s v="PANORAMA CITY"/>
    <n v="91402"/>
    <x v="0"/>
    <x v="0"/>
    <x v="32"/>
    <x v="20"/>
    <s v="78.2zz"/>
    <s v="San Fernando Valley"/>
    <s v="11 - Los Angeles"/>
    <x v="17"/>
    <s v="General Acute Care"/>
    <s v="Non-Profit Corporation (incl. Church-related)"/>
    <s v="General Medical / Surgical"/>
    <n v="85"/>
    <x v="0"/>
    <n v="7094"/>
    <n v="5864"/>
    <m/>
    <m/>
    <n v="1879"/>
    <n v="1949"/>
    <n v="2068"/>
    <n v="1931"/>
    <n v="1939"/>
    <n v="1407"/>
    <n v="785"/>
    <n v="389"/>
    <n v="340"/>
    <n v="271"/>
    <m/>
    <n v="717"/>
    <n v="1390"/>
    <n v="8160"/>
    <n v="9"/>
    <n v="35"/>
    <n v="1"/>
    <n v="2646"/>
    <n v="158"/>
    <n v="201"/>
    <n v="37"/>
    <n v="15"/>
    <n v="38"/>
    <n v="3"/>
    <m/>
    <n v="1"/>
    <n v="95"/>
    <n v="28"/>
    <n v="5"/>
    <n v="11859"/>
    <n v="201"/>
    <n v="314"/>
    <n v="3"/>
    <n v="7349"/>
    <n v="1675"/>
    <n v="263"/>
    <n v="883"/>
    <n v="2788"/>
    <n v="151"/>
    <n v="66"/>
    <n v="253"/>
    <n v="7"/>
    <n v="720"/>
    <n v="166"/>
    <n v="761"/>
    <n v="370"/>
    <n v="2620"/>
    <n v="820"/>
    <n v="20"/>
    <n v="1044"/>
    <n v="525"/>
    <n v="6"/>
    <n v="1021"/>
    <n v="1734"/>
    <n v="581"/>
    <n v="2093"/>
    <m/>
    <m/>
    <n v="832"/>
    <n v="35"/>
    <n v="80"/>
    <n v="2"/>
    <n v="260"/>
    <n v="17"/>
    <n v="17"/>
    <n v="163"/>
    <n v="10076"/>
    <n v="1010"/>
    <n v="32"/>
    <n v="317"/>
    <n v="32"/>
    <n v="41"/>
    <n v="44"/>
    <m/>
    <n v="12958"/>
    <n v="249"/>
    <n v="8320"/>
    <n v="4389"/>
    <n v="2237"/>
    <n v="2544"/>
    <m/>
    <m/>
    <n v="87"/>
    <n v="464"/>
    <n v="548"/>
    <n v="813"/>
    <n v="935"/>
    <n v="593"/>
    <n v="532"/>
    <n v="809"/>
    <m/>
    <m/>
    <m/>
    <n v="389"/>
    <n v="722"/>
    <n v="1540"/>
    <n v="15"/>
    <n v="3"/>
    <n v="2109"/>
    <n v="3"/>
    <n v="19"/>
    <n v="174"/>
    <n v="82"/>
    <n v="316"/>
    <n v="172"/>
    <n v="26"/>
    <m/>
    <n v="2983"/>
    <n v="1007"/>
    <n v="2"/>
    <n v="0"/>
    <n v="0"/>
    <n v="0"/>
    <n v="0"/>
    <n v="0"/>
    <n v="1603"/>
    <n v="2246"/>
    <n v="70"/>
    <n v="390"/>
    <n v="472"/>
    <n v="2"/>
    <n v="48"/>
    <n v="459"/>
    <n v="1"/>
    <n v="351"/>
    <n v="169"/>
    <n v="180"/>
    <n v="441"/>
    <n v="233"/>
    <n v="50"/>
    <n v="36"/>
    <n v="146"/>
    <n v="2"/>
    <n v="1974"/>
    <n v="371"/>
    <n v="112"/>
    <n v="206"/>
    <m/>
    <m/>
    <m/>
    <n v="143"/>
    <n v="11"/>
    <n v="109"/>
    <n v="17"/>
    <n v="41"/>
    <n v="138"/>
    <n v="6"/>
    <n v="4115"/>
    <n v="78"/>
    <n v="1"/>
    <n v="8"/>
    <n v="92"/>
    <n v="4"/>
    <n v="18"/>
    <m/>
    <m/>
    <n v="4781"/>
    <n v="317"/>
    <n v="3721"/>
    <n v="743"/>
    <n v="2011"/>
  </r>
  <r>
    <n v="106190525"/>
    <s v="190525"/>
    <x v="100"/>
    <s v="2801 ATLANTIC AVENUE"/>
    <s v="LONG BEACH"/>
    <n v="90806"/>
    <x v="6"/>
    <x v="1"/>
    <x v="20"/>
    <x v="12"/>
    <s v="78.2lll"/>
    <s v="South Bay"/>
    <s v="11 - Los Angeles"/>
    <x v="17"/>
    <s v="General Acute Care"/>
    <s v="Non-Profit Corporation (incl. Church-related)"/>
    <s v="General Medical / Surgical"/>
    <n v="420"/>
    <x v="0"/>
    <n v="36887"/>
    <n v="29358"/>
    <m/>
    <m/>
    <n v="16222"/>
    <n v="8788"/>
    <n v="10156"/>
    <n v="7246"/>
    <n v="6615"/>
    <n v="5171"/>
    <n v="3051"/>
    <n v="1911"/>
    <n v="1758"/>
    <n v="5327"/>
    <m/>
    <n v="5055"/>
    <n v="16398"/>
    <n v="31714"/>
    <n v="106"/>
    <n v="1376"/>
    <n v="35"/>
    <n v="11561"/>
    <n v="605"/>
    <n v="2957"/>
    <n v="130"/>
    <n v="81"/>
    <n v="15"/>
    <m/>
    <n v="16"/>
    <n v="3"/>
    <m/>
    <n v="300"/>
    <m/>
    <n v="61829"/>
    <n v="309"/>
    <m/>
    <m/>
    <n v="9954"/>
    <n v="5680"/>
    <n v="3832"/>
    <n v="36998"/>
    <n v="9781"/>
    <n v="2600"/>
    <n v="345"/>
    <n v="1054"/>
    <n v="19"/>
    <n v="3074"/>
    <n v="600"/>
    <n v="3766"/>
    <n v="1411"/>
    <n v="12022"/>
    <n v="3459"/>
    <n v="66"/>
    <n v="4083"/>
    <n v="2067"/>
    <n v="220"/>
    <n v="1216"/>
    <n v="8589"/>
    <n v="2523"/>
    <n v="19125"/>
    <n v="4"/>
    <n v="2"/>
    <n v="4197"/>
    <n v="124"/>
    <n v="201"/>
    <n v="22"/>
    <n v="666"/>
    <n v="3"/>
    <n v="7"/>
    <n v="463"/>
    <n v="53982"/>
    <n v="4299"/>
    <n v="305"/>
    <n v="1620"/>
    <n v="75"/>
    <n v="261"/>
    <n v="20"/>
    <m/>
    <n v="66245"/>
    <n v="806"/>
    <n v="55533"/>
    <n v="9906"/>
    <n v="8015"/>
    <n v="6698"/>
    <m/>
    <m/>
    <n v="220"/>
    <n v="1332"/>
    <n v="1204"/>
    <n v="1782"/>
    <n v="2590"/>
    <n v="2400"/>
    <n v="2330"/>
    <n v="2839"/>
    <n v="6"/>
    <n v="10"/>
    <m/>
    <n v="1866"/>
    <n v="3305"/>
    <n v="3839"/>
    <n v="133"/>
    <n v="27"/>
    <n v="5520"/>
    <n v="23"/>
    <n v="607"/>
    <n v="400"/>
    <n v="396"/>
    <n v="1271"/>
    <n v="250"/>
    <n v="7"/>
    <n v="57"/>
    <n v="9920"/>
    <n v="1797"/>
    <n v="8"/>
    <n v="0"/>
    <n v="0"/>
    <n v="0"/>
    <n v="0"/>
    <n v="0"/>
    <n v="3126"/>
    <n v="6604"/>
    <n v="182"/>
    <n v="2994"/>
    <n v="1807"/>
    <n v="164"/>
    <n v="441"/>
    <n v="2952"/>
    <n v="5"/>
    <n v="2143"/>
    <n v="808"/>
    <n v="862"/>
    <n v="692"/>
    <n v="1689"/>
    <n v="391"/>
    <n v="466"/>
    <n v="377"/>
    <n v="37"/>
    <n v="171"/>
    <n v="1370"/>
    <n v="366"/>
    <n v="1778"/>
    <m/>
    <n v="1"/>
    <m/>
    <n v="712"/>
    <n v="57"/>
    <n v="442"/>
    <n v="126"/>
    <n v="5"/>
    <n v="15"/>
    <n v="12"/>
    <n v="12796"/>
    <n v="107"/>
    <n v="41"/>
    <n v="326"/>
    <n v="41"/>
    <n v="15"/>
    <n v="16"/>
    <n v="1"/>
    <n v="1"/>
    <n v="14713"/>
    <n v="642"/>
    <n v="12454"/>
    <n v="1617"/>
    <n v="2011"/>
  </r>
  <r>
    <n v="106190529"/>
    <s v="190529"/>
    <x v="101"/>
    <s v="300 WEST HUNTINGTON DRIVE"/>
    <s v="ARCADIA"/>
    <n v="91007"/>
    <x v="0"/>
    <x v="0"/>
    <x v="33"/>
    <x v="18"/>
    <s v="78.2xxx"/>
    <s v="San Gabriel Valley"/>
    <s v="11 - Los Angeles"/>
    <x v="17"/>
    <s v="General Acute Care"/>
    <s v="Non-Profit Corporation (incl. Church-related)"/>
    <s v="General Medical / Surgical"/>
    <n v="574"/>
    <x v="0"/>
    <n v="15192"/>
    <n v="12285"/>
    <m/>
    <m/>
    <n v="4003"/>
    <n v="3045"/>
    <n v="3968"/>
    <n v="3167"/>
    <n v="3272"/>
    <n v="2832"/>
    <n v="2204"/>
    <n v="1819"/>
    <n v="2368"/>
    <n v="799"/>
    <m/>
    <n v="3232"/>
    <n v="2054"/>
    <n v="11722"/>
    <n v="15"/>
    <n v="1024"/>
    <m/>
    <n v="9430"/>
    <n v="722"/>
    <n v="582"/>
    <m/>
    <n v="88"/>
    <n v="5"/>
    <n v="5"/>
    <n v="9"/>
    <n v="3"/>
    <n v="397"/>
    <n v="59"/>
    <n v="3"/>
    <n v="25307"/>
    <n v="296"/>
    <n v="1"/>
    <m/>
    <n v="2205"/>
    <n v="5896"/>
    <n v="559"/>
    <n v="14150"/>
    <n v="4667"/>
    <n v="602"/>
    <n v="55"/>
    <n v="736"/>
    <n v="7"/>
    <n v="1101"/>
    <n v="362"/>
    <n v="1318"/>
    <n v="331"/>
    <n v="7074"/>
    <n v="1498"/>
    <n v="36"/>
    <n v="1416"/>
    <n v="1164"/>
    <n v="33"/>
    <n v="874"/>
    <n v="2467"/>
    <n v="963"/>
    <n v="7440"/>
    <m/>
    <m/>
    <n v="2549"/>
    <n v="91"/>
    <n v="219"/>
    <n v="20"/>
    <n v="324"/>
    <n v="215"/>
    <n v="169"/>
    <n v="335"/>
    <n v="19071"/>
    <n v="3128"/>
    <n v="140"/>
    <n v="895"/>
    <n v="105"/>
    <n v="186"/>
    <n v="29"/>
    <n v="1"/>
    <n v="27477"/>
    <n v="707"/>
    <n v="24809"/>
    <n v="1961"/>
    <n v="5635"/>
    <n v="4893"/>
    <m/>
    <m/>
    <n v="147"/>
    <n v="359"/>
    <n v="481"/>
    <n v="975"/>
    <n v="1337"/>
    <n v="1690"/>
    <n v="1902"/>
    <n v="3517"/>
    <n v="24"/>
    <n v="96"/>
    <m/>
    <n v="1669"/>
    <n v="527"/>
    <n v="2902"/>
    <n v="328"/>
    <n v="1"/>
    <n v="5096"/>
    <n v="5"/>
    <n v="224"/>
    <n v="139"/>
    <n v="385"/>
    <n v="727"/>
    <n v="501"/>
    <n v="80"/>
    <m/>
    <n v="6127"/>
    <n v="2344"/>
    <n v="1"/>
    <n v="0"/>
    <n v="0"/>
    <n v="0"/>
    <n v="0"/>
    <n v="0"/>
    <n v="820"/>
    <n v="6425"/>
    <n v="74"/>
    <n v="2631"/>
    <n v="578"/>
    <n v="97"/>
    <n v="146"/>
    <n v="2132"/>
    <n v="1"/>
    <n v="1408"/>
    <n v="463"/>
    <n v="596"/>
    <n v="973"/>
    <n v="1071"/>
    <n v="237"/>
    <n v="268"/>
    <n v="318"/>
    <n v="9"/>
    <n v="157"/>
    <n v="1337"/>
    <n v="256"/>
    <n v="1054"/>
    <m/>
    <n v="5"/>
    <m/>
    <n v="888"/>
    <n v="47"/>
    <n v="614"/>
    <n v="17"/>
    <n v="39"/>
    <n v="308"/>
    <n v="25"/>
    <n v="8257"/>
    <n v="167"/>
    <n v="18"/>
    <n v="45"/>
    <n v="32"/>
    <n v="53"/>
    <n v="15"/>
    <n v="3"/>
    <m/>
    <n v="10528"/>
    <n v="902"/>
    <n v="8753"/>
    <n v="873"/>
    <n v="2011"/>
  </r>
  <r>
    <n v="106190534"/>
    <s v="190534"/>
    <x v="102"/>
    <s v="5900 WEST OLYMPIA BLVD"/>
    <s v="LOS ANGELES"/>
    <n v="90036"/>
    <x v="0"/>
    <x v="0"/>
    <x v="24"/>
    <x v="14"/>
    <s v="78.2x"/>
    <s v="Metro"/>
    <s v="11 - Los Angeles"/>
    <x v="17"/>
    <s v="General Acute Care"/>
    <s v="Investor - Limited Liability Company"/>
    <s v="General Medical / Surgical"/>
    <n v="204"/>
    <x v="0"/>
    <n v="10411"/>
    <n v="8695"/>
    <m/>
    <m/>
    <n v="1002"/>
    <n v="1464"/>
    <n v="3404"/>
    <n v="3150"/>
    <n v="3194"/>
    <n v="2964"/>
    <n v="1637"/>
    <n v="943"/>
    <n v="1235"/>
    <n v="113"/>
    <m/>
    <n v="739"/>
    <n v="8546"/>
    <n v="3167"/>
    <m/>
    <n v="1591"/>
    <n v="37"/>
    <n v="5026"/>
    <n v="879"/>
    <n v="643"/>
    <n v="50"/>
    <n v="75"/>
    <n v="32"/>
    <n v="4"/>
    <n v="4"/>
    <m/>
    <m/>
    <n v="98"/>
    <m/>
    <n v="17253"/>
    <n v="68"/>
    <m/>
    <m/>
    <n v="5930"/>
    <n v="3613"/>
    <n v="1038"/>
    <n v="4072"/>
    <n v="4453"/>
    <n v="254"/>
    <n v="130"/>
    <n v="535"/>
    <n v="2"/>
    <n v="910"/>
    <n v="306"/>
    <n v="1099"/>
    <n v="429"/>
    <n v="4908"/>
    <n v="927"/>
    <n v="22"/>
    <n v="1737"/>
    <n v="970"/>
    <n v="2"/>
    <n v="1104"/>
    <n v="1580"/>
    <n v="898"/>
    <n v="3291"/>
    <n v="1"/>
    <n v="1"/>
    <n v="1334"/>
    <n v="72"/>
    <n v="179"/>
    <n v="8"/>
    <n v="419"/>
    <n v="13"/>
    <n v="166"/>
    <n v="218"/>
    <n v="13413"/>
    <n v="2228"/>
    <n v="87"/>
    <n v="783"/>
    <n v="77"/>
    <n v="79"/>
    <n v="30"/>
    <m/>
    <n v="19106"/>
    <n v="360"/>
    <n v="17528"/>
    <n v="1218"/>
    <n v="2707"/>
    <n v="1991"/>
    <m/>
    <m/>
    <n v="20"/>
    <n v="147"/>
    <n v="206"/>
    <n v="396"/>
    <n v="582"/>
    <n v="776"/>
    <n v="916"/>
    <n v="1655"/>
    <m/>
    <m/>
    <m/>
    <n v="268"/>
    <n v="1951"/>
    <n v="498"/>
    <n v="295"/>
    <n v="6"/>
    <n v="1675"/>
    <n v="5"/>
    <n v="189"/>
    <n v="151"/>
    <n v="235"/>
    <n v="543"/>
    <n v="62"/>
    <n v="28"/>
    <n v="114"/>
    <n v="1796"/>
    <n v="1579"/>
    <n v="1"/>
    <n v="0"/>
    <n v="0"/>
    <n v="0"/>
    <n v="0"/>
    <n v="0"/>
    <n v="481"/>
    <n v="3484"/>
    <n v="43"/>
    <n v="480"/>
    <n v="210"/>
    <n v="10"/>
    <n v="67"/>
    <n v="760"/>
    <m/>
    <n v="567"/>
    <n v="213"/>
    <n v="394"/>
    <n v="893"/>
    <n v="385"/>
    <n v="122"/>
    <n v="78"/>
    <n v="150"/>
    <n v="3"/>
    <n v="55"/>
    <n v="493"/>
    <n v="104"/>
    <n v="404"/>
    <m/>
    <m/>
    <m/>
    <n v="260"/>
    <n v="30"/>
    <n v="341"/>
    <n v="7"/>
    <n v="14"/>
    <n v="344"/>
    <n v="6"/>
    <n v="3597"/>
    <n v="54"/>
    <m/>
    <n v="13"/>
    <n v="20"/>
    <n v="7"/>
    <n v="5"/>
    <m/>
    <m/>
    <n v="4698"/>
    <n v="273"/>
    <n v="4161"/>
    <n v="264"/>
    <n v="2011"/>
  </r>
  <r>
    <n v="106190547"/>
    <s v="190547"/>
    <x v="103"/>
    <s v="900 SOUTH ATLANTIC BOULEVARD"/>
    <s v="MONTEREY PARK"/>
    <n v="91754"/>
    <x v="0"/>
    <x v="0"/>
    <x v="18"/>
    <x v="19"/>
    <s v="78.2nn"/>
    <s v="San Gabriel Valley"/>
    <s v="11 - Los Angeles"/>
    <x v="17"/>
    <s v="General Acute Care"/>
    <s v="Investor - Partnership"/>
    <s v="General Medical / Surgical"/>
    <n v="101"/>
    <x v="0"/>
    <n v="6358"/>
    <n v="4146"/>
    <m/>
    <m/>
    <n v="1647"/>
    <n v="1204"/>
    <n v="1659"/>
    <n v="1360"/>
    <n v="1119"/>
    <n v="965"/>
    <n v="795"/>
    <n v="641"/>
    <n v="684"/>
    <n v="430"/>
    <m/>
    <n v="467"/>
    <n v="141"/>
    <n v="9475"/>
    <n v="2"/>
    <n v="18"/>
    <m/>
    <n v="401"/>
    <n v="264"/>
    <n v="130"/>
    <n v="5"/>
    <n v="15"/>
    <n v="4"/>
    <n v="1"/>
    <m/>
    <m/>
    <m/>
    <n v="14"/>
    <m/>
    <n v="10064"/>
    <n v="7"/>
    <m/>
    <m/>
    <n v="1684"/>
    <n v="1652"/>
    <n v="164"/>
    <n v="5680"/>
    <n v="1324"/>
    <n v="653"/>
    <n v="42"/>
    <n v="263"/>
    <n v="3"/>
    <n v="1112"/>
    <n v="239"/>
    <n v="770"/>
    <n v="221"/>
    <n v="2238"/>
    <n v="439"/>
    <n v="21"/>
    <n v="764"/>
    <n v="145"/>
    <n v="40"/>
    <n v="495"/>
    <n v="1447"/>
    <n v="375"/>
    <n v="1237"/>
    <m/>
    <m/>
    <n v="770"/>
    <n v="27"/>
    <n v="166"/>
    <m/>
    <n v="74"/>
    <n v="6"/>
    <n v="72"/>
    <n v="110"/>
    <n v="7962"/>
    <n v="971"/>
    <n v="48"/>
    <n v="212"/>
    <n v="22"/>
    <n v="57"/>
    <n v="7"/>
    <m/>
    <n v="10504"/>
    <n v="28"/>
    <n v="6326"/>
    <n v="4150"/>
    <n v="1346"/>
    <n v="852"/>
    <m/>
    <m/>
    <n v="43"/>
    <n v="128"/>
    <n v="178"/>
    <n v="211"/>
    <n v="274"/>
    <n v="362"/>
    <n v="407"/>
    <n v="554"/>
    <n v="8"/>
    <n v="33"/>
    <m/>
    <n v="144"/>
    <n v="49"/>
    <n v="1919"/>
    <n v="13"/>
    <n v="3"/>
    <n v="70"/>
    <m/>
    <n v="74"/>
    <n v="49"/>
    <n v="53"/>
    <n v="335"/>
    <n v="17"/>
    <m/>
    <n v="1"/>
    <n v="1457"/>
    <n v="212"/>
    <m/>
    <n v="0"/>
    <n v="0"/>
    <n v="0"/>
    <n v="0"/>
    <n v="0"/>
    <n v="707"/>
    <n v="1032"/>
    <n v="40"/>
    <n v="337"/>
    <n v="82"/>
    <n v="94"/>
    <n v="53"/>
    <n v="381"/>
    <m/>
    <n v="398"/>
    <n v="124"/>
    <n v="174"/>
    <n v="148"/>
    <n v="130"/>
    <n v="25"/>
    <n v="41"/>
    <n v="48"/>
    <n v="3"/>
    <n v="14"/>
    <n v="306"/>
    <n v="85"/>
    <n v="169"/>
    <m/>
    <n v="5"/>
    <m/>
    <n v="82"/>
    <n v="8"/>
    <n v="115"/>
    <n v="2"/>
    <n v="12"/>
    <n v="99"/>
    <n v="1"/>
    <n v="1844"/>
    <n v="19"/>
    <m/>
    <n v="5"/>
    <n v="3"/>
    <n v="5"/>
    <n v="3"/>
    <m/>
    <m/>
    <n v="2198"/>
    <n v="11"/>
    <n v="891"/>
    <n v="1296"/>
    <n v="2011"/>
  </r>
  <r>
    <n v="106190555"/>
    <s v="190555"/>
    <x v="104"/>
    <s v="8700 BEVERLY BOULEVARD"/>
    <s v="LOS ANGELES"/>
    <n v="90048"/>
    <x v="7"/>
    <x v="1"/>
    <x v="36"/>
    <x v="17"/>
    <s v="78.2x"/>
    <s v="Metro"/>
    <s v="11 - Los Angeles"/>
    <x v="17"/>
    <s v="General Acute Care"/>
    <s v="Non-Profit Corporation (incl. Church-related)"/>
    <s v="General Medical / Surgical"/>
    <n v="896"/>
    <x v="0"/>
    <n v="29723"/>
    <n v="26249"/>
    <n v="8"/>
    <m/>
    <n v="4341"/>
    <n v="3315"/>
    <n v="10227"/>
    <n v="9643"/>
    <n v="8630"/>
    <n v="6875"/>
    <n v="4886"/>
    <n v="3067"/>
    <n v="3899"/>
    <n v="993"/>
    <n v="104"/>
    <n v="2684"/>
    <n v="12745"/>
    <n v="8873"/>
    <n v="56"/>
    <n v="1138"/>
    <n v="138"/>
    <n v="30346"/>
    <n v="107"/>
    <n v="797"/>
    <m/>
    <n v="123"/>
    <n v="109"/>
    <n v="13"/>
    <n v="12"/>
    <n v="357"/>
    <m/>
    <n v="665"/>
    <n v="5"/>
    <n v="53611"/>
    <n v="181"/>
    <m/>
    <m/>
    <n v="8749"/>
    <n v="10931"/>
    <n v="1892"/>
    <n v="24068"/>
    <n v="10340"/>
    <n v="932"/>
    <n v="342"/>
    <n v="1634"/>
    <n v="14"/>
    <n v="2313"/>
    <n v="642"/>
    <n v="2870"/>
    <n v="910"/>
    <n v="13079"/>
    <n v="4485"/>
    <n v="167"/>
    <n v="2345"/>
    <n v="2487"/>
    <n v="57"/>
    <n v="2724"/>
    <n v="3597"/>
    <n v="2032"/>
    <n v="15348"/>
    <m/>
    <n v="2"/>
    <n v="4515"/>
    <n v="148"/>
    <n v="423"/>
    <n v="42"/>
    <n v="687"/>
    <n v="229"/>
    <n v="385"/>
    <n v="481"/>
    <n v="40273"/>
    <n v="5883"/>
    <n v="230"/>
    <n v="2237"/>
    <n v="141"/>
    <n v="230"/>
    <n v="76"/>
    <m/>
    <n v="55980"/>
    <n v="2346"/>
    <n v="51683"/>
    <n v="1951"/>
    <n v="12528"/>
    <n v="11769"/>
    <n v="3"/>
    <m/>
    <n v="353"/>
    <n v="1475"/>
    <n v="1959"/>
    <n v="2820"/>
    <n v="3373"/>
    <n v="3858"/>
    <n v="3737"/>
    <n v="6205"/>
    <n v="193"/>
    <n v="326"/>
    <n v="1"/>
    <n v="1114"/>
    <n v="4749"/>
    <n v="3029"/>
    <n v="369"/>
    <n v="41"/>
    <n v="14963"/>
    <n v="35"/>
    <n v="218"/>
    <n v="393"/>
    <n v="756"/>
    <n v="3866"/>
    <n v="562"/>
    <n v="119"/>
    <n v="75"/>
    <n v="15469"/>
    <n v="2836"/>
    <n v="6"/>
    <n v="0"/>
    <n v="0"/>
    <n v="0"/>
    <n v="0"/>
    <n v="0"/>
    <n v="2780"/>
    <n v="13353"/>
    <n v="303"/>
    <n v="6321"/>
    <n v="1543"/>
    <n v="200"/>
    <n v="489"/>
    <n v="4713"/>
    <n v="44"/>
    <n v="3670"/>
    <n v="1082"/>
    <n v="1475"/>
    <n v="1814"/>
    <n v="3093"/>
    <n v="938"/>
    <n v="982"/>
    <n v="792"/>
    <n v="27"/>
    <n v="308"/>
    <n v="2092"/>
    <n v="846"/>
    <n v="1687"/>
    <n v="3"/>
    <n v="45"/>
    <m/>
    <n v="1519"/>
    <n v="96"/>
    <n v="1606"/>
    <n v="129"/>
    <n v="93"/>
    <n v="2278"/>
    <n v="45"/>
    <n v="17683"/>
    <n v="299"/>
    <n v="27"/>
    <n v="356"/>
    <n v="72"/>
    <n v="50"/>
    <n v="42"/>
    <n v="5"/>
    <m/>
    <n v="24300"/>
    <n v="2891"/>
    <n v="20187"/>
    <n v="1222"/>
    <n v="2011"/>
  </r>
  <r>
    <n v="106190568"/>
    <s v="190568"/>
    <x v="105"/>
    <s v="18300 ROSCOE BOULEVARD"/>
    <s v="NORTHRIDGE"/>
    <n v="91328"/>
    <x v="6"/>
    <x v="0"/>
    <x v="37"/>
    <x v="20"/>
    <s v="78.2zz"/>
    <s v="San Fernando Valley"/>
    <s v="11 - Los Angeles"/>
    <x v="17"/>
    <s v="General Acute Care"/>
    <s v="Non-Profit Corporation (incl. Church-related)"/>
    <s v="General Medical / Surgical"/>
    <n v="371"/>
    <x v="0"/>
    <n v="21636"/>
    <n v="17845"/>
    <n v="2"/>
    <m/>
    <n v="7033"/>
    <n v="5117"/>
    <n v="6783"/>
    <n v="5041"/>
    <n v="4746"/>
    <n v="3946"/>
    <n v="2121"/>
    <n v="1560"/>
    <n v="1660"/>
    <n v="1476"/>
    <m/>
    <n v="2013"/>
    <n v="3058"/>
    <n v="18415"/>
    <n v="94"/>
    <n v="1898"/>
    <n v="175"/>
    <n v="13830"/>
    <n v="548"/>
    <n v="344"/>
    <m/>
    <n v="59"/>
    <m/>
    <n v="34"/>
    <m/>
    <n v="83"/>
    <m/>
    <n v="35"/>
    <m/>
    <n v="38295"/>
    <n v="85"/>
    <m/>
    <m/>
    <n v="15652"/>
    <n v="5508"/>
    <n v="1853"/>
    <n v="10042"/>
    <n v="6428"/>
    <n v="1313"/>
    <n v="115"/>
    <n v="716"/>
    <n v="4"/>
    <n v="1962"/>
    <n v="293"/>
    <n v="2100"/>
    <n v="986"/>
    <n v="9646"/>
    <n v="1962"/>
    <n v="45"/>
    <n v="2286"/>
    <n v="1904"/>
    <n v="98"/>
    <n v="1797"/>
    <n v="5058"/>
    <n v="1419"/>
    <n v="7778"/>
    <n v="1"/>
    <m/>
    <n v="2975"/>
    <n v="141"/>
    <n v="297"/>
    <n v="17"/>
    <n v="354"/>
    <n v="14"/>
    <n v="27"/>
    <n v="475"/>
    <n v="29487"/>
    <n v="3734"/>
    <n v="221"/>
    <n v="1457"/>
    <n v="62"/>
    <n v="204"/>
    <n v="18"/>
    <m/>
    <n v="39483"/>
    <n v="600"/>
    <n v="32535"/>
    <n v="6348"/>
    <n v="5912"/>
    <n v="5461"/>
    <m/>
    <m/>
    <n v="607"/>
    <n v="822"/>
    <n v="816"/>
    <n v="1178"/>
    <n v="1517"/>
    <n v="1464"/>
    <n v="1587"/>
    <n v="2438"/>
    <n v="344"/>
    <n v="600"/>
    <m/>
    <n v="745"/>
    <n v="629"/>
    <n v="3219"/>
    <n v="771"/>
    <n v="73"/>
    <n v="5911"/>
    <n v="25"/>
    <n v="256"/>
    <n v="260"/>
    <n v="255"/>
    <n v="1359"/>
    <n v="186"/>
    <n v="21"/>
    <n v="254"/>
    <n v="7347"/>
    <n v="1428"/>
    <n v="7"/>
    <n v="0"/>
    <n v="0"/>
    <n v="0"/>
    <n v="0"/>
    <n v="0"/>
    <n v="2616"/>
    <n v="5062"/>
    <n v="223"/>
    <n v="2554"/>
    <n v="918"/>
    <n v="154"/>
    <n v="153"/>
    <n v="2019"/>
    <n v="23"/>
    <n v="1560"/>
    <n v="484"/>
    <n v="632"/>
    <n v="674"/>
    <n v="1522"/>
    <n v="198"/>
    <n v="232"/>
    <n v="345"/>
    <n v="13"/>
    <n v="948"/>
    <n v="1426"/>
    <n v="321"/>
    <n v="602"/>
    <n v="1"/>
    <n v="66"/>
    <m/>
    <n v="872"/>
    <n v="60"/>
    <n v="470"/>
    <n v="77"/>
    <n v="49"/>
    <n v="267"/>
    <n v="33"/>
    <n v="8380"/>
    <n v="575"/>
    <n v="42"/>
    <n v="359"/>
    <n v="122"/>
    <n v="42"/>
    <n v="19"/>
    <n v="6"/>
    <m/>
    <n v="11373"/>
    <n v="547"/>
    <n v="9468"/>
    <n v="1358"/>
    <n v="2011"/>
  </r>
  <r>
    <n v="106190570"/>
    <s v="190570"/>
    <x v="106"/>
    <s v="13222 BLOOMFIELD AVENUE"/>
    <s v="NORWALK"/>
    <n v="90650"/>
    <x v="0"/>
    <x v="0"/>
    <x v="27"/>
    <x v="13"/>
    <s v="78.2jjjj"/>
    <s v="East"/>
    <s v="11 - Los Angeles"/>
    <x v="17"/>
    <s v="General Acute Care"/>
    <s v="Investor - Limited Liability Company"/>
    <s v="General Medical / Surgical"/>
    <n v="50"/>
    <x v="0"/>
    <n v="3749"/>
    <n v="3628"/>
    <m/>
    <m/>
    <n v="687"/>
    <n v="672"/>
    <n v="932"/>
    <n v="916"/>
    <n v="1066"/>
    <n v="1150"/>
    <n v="780"/>
    <n v="528"/>
    <n v="527"/>
    <n v="119"/>
    <m/>
    <n v="275"/>
    <n v="854"/>
    <n v="4183"/>
    <n v="2"/>
    <n v="133"/>
    <n v="141"/>
    <n v="1789"/>
    <n v="2605"/>
    <n v="272"/>
    <m/>
    <n v="13"/>
    <n v="1"/>
    <n v="1"/>
    <n v="1"/>
    <n v="6"/>
    <n v="8"/>
    <n v="53"/>
    <n v="36"/>
    <n v="4296"/>
    <n v="85"/>
    <m/>
    <m/>
    <n v="2332"/>
    <n v="2020"/>
    <n v="183"/>
    <n v="1302"/>
    <n v="1540"/>
    <n v="89"/>
    <n v="18"/>
    <n v="132"/>
    <n v="2"/>
    <n v="340"/>
    <n v="134"/>
    <n v="266"/>
    <n v="96"/>
    <n v="1125"/>
    <n v="338"/>
    <n v="10"/>
    <n v="327"/>
    <n v="2518"/>
    <n v="2"/>
    <n v="362"/>
    <n v="591"/>
    <n v="239"/>
    <n v="788"/>
    <m/>
    <m/>
    <n v="298"/>
    <n v="11"/>
    <n v="38"/>
    <n v="5"/>
    <n v="52"/>
    <m/>
    <n v="20"/>
    <n v="54"/>
    <n v="6133"/>
    <n v="536"/>
    <n v="26"/>
    <n v="159"/>
    <n v="12"/>
    <n v="22"/>
    <n v="11"/>
    <m/>
    <n v="7377"/>
    <n v="84"/>
    <n v="6084"/>
    <n v="1209"/>
    <n v="1061"/>
    <n v="1173"/>
    <m/>
    <m/>
    <n v="23"/>
    <n v="82"/>
    <n v="137"/>
    <n v="343"/>
    <n v="484"/>
    <n v="441"/>
    <n v="346"/>
    <n v="378"/>
    <m/>
    <m/>
    <m/>
    <n v="128"/>
    <n v="358"/>
    <n v="939"/>
    <n v="33"/>
    <n v="57"/>
    <n v="718"/>
    <n v="1"/>
    <n v="128"/>
    <n v="125"/>
    <n v="57"/>
    <n v="2"/>
    <n v="206"/>
    <n v="5"/>
    <m/>
    <n v="805"/>
    <n v="902"/>
    <n v="4"/>
    <n v="0"/>
    <n v="0"/>
    <n v="0"/>
    <n v="0"/>
    <n v="0"/>
    <n v="691"/>
    <n v="1296"/>
    <n v="42"/>
    <n v="92"/>
    <n v="113"/>
    <n v="7"/>
    <n v="59"/>
    <n v="247"/>
    <n v="2"/>
    <n v="304"/>
    <n v="133"/>
    <n v="234"/>
    <n v="266"/>
    <n v="159"/>
    <n v="89"/>
    <n v="15"/>
    <n v="75"/>
    <n v="19"/>
    <n v="53"/>
    <n v="249"/>
    <n v="128"/>
    <n v="195"/>
    <m/>
    <m/>
    <m/>
    <n v="89"/>
    <n v="6"/>
    <n v="63"/>
    <n v="6"/>
    <m/>
    <n v="134"/>
    <n v="1"/>
    <n v="1833"/>
    <n v="59"/>
    <m/>
    <n v="4"/>
    <n v="11"/>
    <n v="10"/>
    <n v="17"/>
    <n v="1"/>
    <m/>
    <n v="2234"/>
    <n v="43"/>
    <n v="1811"/>
    <n v="380"/>
    <n v="2011"/>
  </r>
  <r>
    <n v="106190587"/>
    <s v="190587"/>
    <x v="107"/>
    <s v="2776 PACIFIC AVENUE"/>
    <s v="LONG BEACH"/>
    <n v="90806"/>
    <x v="0"/>
    <x v="0"/>
    <x v="20"/>
    <x v="12"/>
    <s v="78.2lll"/>
    <s v="South Bay"/>
    <s v="11 - Los Angeles"/>
    <x v="17"/>
    <s v="General Acute Care"/>
    <s v="Investor - Corporation"/>
    <s v="General Medical / Surgical"/>
    <n v="84"/>
    <x v="0"/>
    <n v="5058"/>
    <n v="4163"/>
    <n v="1"/>
    <m/>
    <n v="681"/>
    <n v="887"/>
    <n v="1580"/>
    <n v="1495"/>
    <n v="1621"/>
    <n v="1491"/>
    <n v="726"/>
    <n v="349"/>
    <n v="247"/>
    <n v="145"/>
    <m/>
    <n v="829"/>
    <n v="2972"/>
    <n v="2819"/>
    <n v="45"/>
    <n v="384"/>
    <n v="27"/>
    <n v="2146"/>
    <n v="158"/>
    <n v="738"/>
    <n v="14"/>
    <n v="10"/>
    <n v="11"/>
    <n v="1"/>
    <n v="5"/>
    <n v="29"/>
    <n v="31"/>
    <n v="61"/>
    <n v="27"/>
    <n v="8009"/>
    <n v="105"/>
    <m/>
    <n v="23"/>
    <n v="4460"/>
    <n v="1426"/>
    <n v="307"/>
    <n v="1092"/>
    <n v="1937"/>
    <n v="317"/>
    <n v="44"/>
    <n v="201"/>
    <n v="3"/>
    <n v="676"/>
    <n v="136"/>
    <n v="493"/>
    <n v="214"/>
    <n v="1768"/>
    <n v="864"/>
    <n v="30"/>
    <n v="533"/>
    <n v="486"/>
    <n v="4"/>
    <n v="723"/>
    <n v="891"/>
    <n v="432"/>
    <n v="1407"/>
    <m/>
    <m/>
    <n v="559"/>
    <n v="17"/>
    <n v="95"/>
    <n v="3"/>
    <n v="148"/>
    <n v="4"/>
    <n v="50"/>
    <n v="84"/>
    <n v="7100"/>
    <n v="886"/>
    <n v="37"/>
    <n v="155"/>
    <n v="21"/>
    <n v="48"/>
    <n v="15"/>
    <m/>
    <n v="9222"/>
    <n v="94"/>
    <n v="8456"/>
    <n v="672"/>
    <n v="2005"/>
    <n v="2356"/>
    <m/>
    <m/>
    <n v="67"/>
    <n v="474"/>
    <n v="594"/>
    <n v="849"/>
    <n v="1076"/>
    <n v="606"/>
    <n v="342"/>
    <n v="352"/>
    <n v="1"/>
    <m/>
    <m/>
    <n v="434"/>
    <n v="1342"/>
    <n v="855"/>
    <n v="45"/>
    <n v="4"/>
    <n v="1676"/>
    <n v="5"/>
    <n v="114"/>
    <n v="128"/>
    <n v="66"/>
    <n v="110"/>
    <n v="116"/>
    <n v="19"/>
    <n v="519"/>
    <n v="2465"/>
    <n v="821"/>
    <n v="3"/>
    <n v="0"/>
    <n v="0"/>
    <n v="0"/>
    <n v="0"/>
    <n v="0"/>
    <n v="2362"/>
    <n v="1726"/>
    <n v="79"/>
    <n v="182"/>
    <n v="12"/>
    <n v="34"/>
    <n v="65"/>
    <n v="281"/>
    <m/>
    <n v="228"/>
    <n v="140"/>
    <n v="139"/>
    <n v="252"/>
    <n v="165"/>
    <n v="43"/>
    <n v="22"/>
    <n v="60"/>
    <n v="8"/>
    <n v="2422"/>
    <n v="220"/>
    <n v="84"/>
    <n v="197"/>
    <n v="1"/>
    <m/>
    <m/>
    <n v="93"/>
    <n v="17"/>
    <n v="190"/>
    <n v="18"/>
    <n v="25"/>
    <n v="114"/>
    <n v="4"/>
    <n v="3722"/>
    <n v="63"/>
    <n v="3"/>
    <n v="5"/>
    <n v="82"/>
    <n v="11"/>
    <n v="14"/>
    <m/>
    <m/>
    <n v="4361"/>
    <n v="98"/>
    <n v="4063"/>
    <n v="200"/>
    <n v="2011"/>
  </r>
  <r>
    <n v="106190630"/>
    <s v="190630"/>
    <x v="108"/>
    <s v="1798 NORTH GAREY AVENUE"/>
    <s v="POMONA"/>
    <n v="91767"/>
    <x v="0"/>
    <x v="0"/>
    <x v="38"/>
    <x v="22"/>
    <s v="78.2tt"/>
    <s v="San Gabriel Valley"/>
    <s v="11 - Los Angeles"/>
    <x v="17"/>
    <s v="General Acute Care"/>
    <s v="Non-Profit Corporation (incl. Church-related)"/>
    <s v="General Medical / Surgical"/>
    <n v="415"/>
    <x v="0"/>
    <n v="39833"/>
    <n v="30576"/>
    <m/>
    <m/>
    <n v="13573"/>
    <n v="8812"/>
    <n v="10995"/>
    <n v="8342"/>
    <n v="7817"/>
    <n v="6279"/>
    <n v="4046"/>
    <n v="3081"/>
    <n v="3355"/>
    <n v="4109"/>
    <m/>
    <n v="2259"/>
    <n v="7135"/>
    <n v="37918"/>
    <n v="9"/>
    <n v="2937"/>
    <n v="197"/>
    <n v="19954"/>
    <n v="750"/>
    <n v="2432"/>
    <n v="342"/>
    <n v="94"/>
    <n v="32"/>
    <n v="25"/>
    <n v="17"/>
    <n v="87"/>
    <m/>
    <n v="280"/>
    <n v="15"/>
    <n v="65372"/>
    <n v="580"/>
    <n v="311"/>
    <n v="72"/>
    <n v="10591"/>
    <n v="9349"/>
    <n v="2962"/>
    <n v="34407"/>
    <n v="13100"/>
    <n v="2881"/>
    <n v="363"/>
    <n v="1629"/>
    <n v="20"/>
    <n v="3611"/>
    <n v="938"/>
    <n v="3841"/>
    <n v="1194"/>
    <n v="12909"/>
    <n v="4746"/>
    <n v="111"/>
    <n v="3945"/>
    <n v="2290"/>
    <n v="274"/>
    <n v="1747"/>
    <n v="8883"/>
    <n v="2703"/>
    <n v="18324"/>
    <m/>
    <m/>
    <n v="4979"/>
    <n v="203"/>
    <n v="519"/>
    <n v="38"/>
    <n v="601"/>
    <n v="451"/>
    <n v="317"/>
    <n v="654"/>
    <n v="55269"/>
    <n v="4911"/>
    <n v="295"/>
    <n v="1535"/>
    <n v="189"/>
    <n v="377"/>
    <n v="71"/>
    <m/>
    <n v="70409"/>
    <n v="632"/>
    <n v="58553"/>
    <n v="11224"/>
    <n v="6373"/>
    <n v="5207"/>
    <m/>
    <m/>
    <n v="446"/>
    <n v="1105"/>
    <n v="913"/>
    <n v="1256"/>
    <n v="1603"/>
    <n v="1560"/>
    <n v="1668"/>
    <n v="2196"/>
    <n v="383"/>
    <n v="450"/>
    <m/>
    <n v="648"/>
    <n v="984"/>
    <n v="5069"/>
    <n v="563"/>
    <n v="10"/>
    <n v="4303"/>
    <n v="3"/>
    <n v="246"/>
    <n v="201"/>
    <n v="369"/>
    <n v="993"/>
    <n v="522"/>
    <m/>
    <m/>
    <n v="7986"/>
    <n v="1262"/>
    <n v="1"/>
    <n v="0"/>
    <n v="0"/>
    <n v="0"/>
    <n v="0"/>
    <n v="0"/>
    <n v="4270"/>
    <n v="4016"/>
    <n v="52"/>
    <n v="2490"/>
    <n v="752"/>
    <n v="984"/>
    <n v="229"/>
    <n v="2144"/>
    <n v="13"/>
    <n v="1862"/>
    <n v="548"/>
    <n v="607"/>
    <n v="1101"/>
    <n v="859"/>
    <n v="260"/>
    <n v="320"/>
    <n v="275"/>
    <n v="13"/>
    <n v="101"/>
    <n v="1260"/>
    <n v="302"/>
    <n v="622"/>
    <m/>
    <n v="80"/>
    <m/>
    <n v="544"/>
    <n v="51"/>
    <n v="364"/>
    <n v="34"/>
    <n v="35"/>
    <n v="528"/>
    <n v="29"/>
    <n v="9748"/>
    <n v="97"/>
    <n v="13"/>
    <n v="32"/>
    <n v="43"/>
    <n v="27"/>
    <n v="35"/>
    <m/>
    <m/>
    <n v="11580"/>
    <n v="243"/>
    <n v="9331"/>
    <n v="2006"/>
    <n v="2011"/>
  </r>
  <r>
    <n v="106190631"/>
    <s v="190631"/>
    <x v="109"/>
    <s v="12401 EAST WASHINGTON BLVD."/>
    <s v="WHITTIER"/>
    <n v="90602"/>
    <x v="0"/>
    <x v="0"/>
    <x v="27"/>
    <x v="13"/>
    <s v="78.2uu"/>
    <s v="East"/>
    <s v="11 - Los Angeles"/>
    <x v="17"/>
    <s v="General Acute Care"/>
    <s v="Non-Profit Corporation (incl. Church-related)"/>
    <s v="General Medical / Surgical"/>
    <n v="409"/>
    <x v="0"/>
    <n v="30865"/>
    <n v="23892"/>
    <n v="1"/>
    <m/>
    <n v="9833"/>
    <n v="6908"/>
    <n v="8308"/>
    <n v="6510"/>
    <n v="5779"/>
    <n v="4726"/>
    <n v="3411"/>
    <n v="3028"/>
    <n v="3675"/>
    <n v="2576"/>
    <n v="4"/>
    <n v="981"/>
    <n v="748"/>
    <n v="42667"/>
    <n v="20"/>
    <n v="80"/>
    <n v="16"/>
    <n v="10246"/>
    <n v="1503"/>
    <n v="510"/>
    <n v="193"/>
    <n v="86"/>
    <n v="233"/>
    <n v="42"/>
    <n v="1"/>
    <n v="16"/>
    <m/>
    <n v="268"/>
    <n v="47"/>
    <n v="51565"/>
    <n v="294"/>
    <m/>
    <m/>
    <n v="18454"/>
    <n v="9543"/>
    <n v="2547"/>
    <n v="16466"/>
    <n v="7748"/>
    <n v="1813"/>
    <n v="138"/>
    <n v="1176"/>
    <n v="25"/>
    <n v="2277"/>
    <n v="700"/>
    <n v="3124"/>
    <n v="1127"/>
    <n v="12231"/>
    <n v="2887"/>
    <n v="71"/>
    <n v="3414"/>
    <n v="1227"/>
    <n v="139"/>
    <n v="1273"/>
    <n v="6450"/>
    <n v="2342"/>
    <n v="14344"/>
    <m/>
    <m/>
    <n v="4158"/>
    <n v="126"/>
    <n v="510"/>
    <n v="25"/>
    <n v="597"/>
    <n v="106"/>
    <n v="363"/>
    <n v="609"/>
    <n v="40767"/>
    <n v="5656"/>
    <n v="244"/>
    <n v="1202"/>
    <n v="98"/>
    <n v="264"/>
    <n v="33"/>
    <m/>
    <n v="54758"/>
    <n v="110"/>
    <n v="48092"/>
    <n v="6556"/>
    <n v="6074"/>
    <n v="4883"/>
    <m/>
    <m/>
    <n v="291"/>
    <n v="526"/>
    <n v="629"/>
    <n v="1029"/>
    <n v="1433"/>
    <n v="1712"/>
    <n v="1981"/>
    <n v="2995"/>
    <n v="170"/>
    <n v="191"/>
    <m/>
    <n v="344"/>
    <n v="124"/>
    <n v="6673"/>
    <n v="11"/>
    <m/>
    <n v="3804"/>
    <n v="1"/>
    <n v="279"/>
    <n v="96"/>
    <n v="278"/>
    <n v="1927"/>
    <n v="134"/>
    <n v="1"/>
    <n v="50"/>
    <n v="6193"/>
    <n v="1998"/>
    <n v="1"/>
    <n v="0"/>
    <n v="0"/>
    <n v="0"/>
    <n v="0"/>
    <n v="0"/>
    <n v="1400"/>
    <n v="6486"/>
    <n v="88"/>
    <n v="2216"/>
    <n v="767"/>
    <n v="153"/>
    <n v="125"/>
    <n v="2479"/>
    <n v="8"/>
    <n v="1888"/>
    <n v="420"/>
    <n v="602"/>
    <n v="1346"/>
    <n v="1039"/>
    <n v="182"/>
    <n v="343"/>
    <n v="225"/>
    <n v="10"/>
    <n v="65"/>
    <n v="1131"/>
    <n v="282"/>
    <n v="617"/>
    <n v="1"/>
    <n v="41"/>
    <m/>
    <n v="640"/>
    <n v="42"/>
    <n v="1030"/>
    <n v="24"/>
    <n v="67"/>
    <n v="600"/>
    <n v="25"/>
    <n v="8209"/>
    <n v="176"/>
    <n v="7"/>
    <n v="41"/>
    <n v="27"/>
    <n v="37"/>
    <n v="26"/>
    <n v="6"/>
    <m/>
    <n v="10957"/>
    <n v="88"/>
    <n v="9337"/>
    <n v="1532"/>
    <n v="2011"/>
  </r>
  <r>
    <n v="106190636"/>
    <s v="190636"/>
    <x v="110"/>
    <s v="1115 SOUTH SUNSET AVENUE"/>
    <s v="WEST COVINA"/>
    <n v="91790"/>
    <x v="0"/>
    <x v="0"/>
    <x v="34"/>
    <x v="19"/>
    <s v="78.2www"/>
    <s v="San Gabriel Valley"/>
    <s v="11 - Los Angeles"/>
    <x v="17"/>
    <s v="General Acute Care"/>
    <s v="Non-Profit Corporation (incl. Church-related)"/>
    <s v="General Medical / Surgical"/>
    <n v="325"/>
    <x v="0"/>
    <n v="22544"/>
    <n v="18503"/>
    <n v="1"/>
    <m/>
    <n v="8624"/>
    <n v="5912"/>
    <n v="6889"/>
    <n v="5137"/>
    <n v="4272"/>
    <n v="3487"/>
    <n v="1929"/>
    <n v="1285"/>
    <n v="1117"/>
    <n v="2396"/>
    <m/>
    <n v="2216"/>
    <n v="1348"/>
    <n v="31601"/>
    <n v="37"/>
    <n v="583"/>
    <n v="40"/>
    <n v="5223"/>
    <n v="800"/>
    <n v="295"/>
    <n v="64"/>
    <n v="38"/>
    <n v="2"/>
    <n v="1"/>
    <n v="1"/>
    <n v="43"/>
    <m/>
    <n v="146"/>
    <n v="3"/>
    <n v="39455"/>
    <n v="200"/>
    <m/>
    <m/>
    <n v="5633"/>
    <n v="3937"/>
    <n v="855"/>
    <n v="22087"/>
    <n v="8536"/>
    <n v="1688"/>
    <n v="133"/>
    <n v="586"/>
    <n v="16"/>
    <n v="1884"/>
    <n v="414"/>
    <n v="2193"/>
    <n v="881"/>
    <n v="8455"/>
    <n v="2427"/>
    <n v="90"/>
    <n v="2192"/>
    <n v="1888"/>
    <n v="178"/>
    <n v="853"/>
    <n v="4845"/>
    <n v="1809"/>
    <n v="10515"/>
    <m/>
    <n v="1"/>
    <n v="2796"/>
    <n v="77"/>
    <n v="369"/>
    <n v="20"/>
    <n v="483"/>
    <n v="8"/>
    <n v="135"/>
    <n v="483"/>
    <n v="31946"/>
    <n v="3088"/>
    <n v="189"/>
    <n v="1123"/>
    <n v="55"/>
    <n v="220"/>
    <n v="56"/>
    <m/>
    <n v="41048"/>
    <n v="891"/>
    <n v="30154"/>
    <n v="10003"/>
    <n v="4999"/>
    <n v="4169"/>
    <m/>
    <m/>
    <n v="342"/>
    <n v="587"/>
    <n v="769"/>
    <n v="1094"/>
    <n v="1337"/>
    <n v="1392"/>
    <n v="1275"/>
    <n v="1650"/>
    <n v="303"/>
    <n v="419"/>
    <m/>
    <n v="1088"/>
    <n v="322"/>
    <n v="5975"/>
    <n v="138"/>
    <n v="3"/>
    <n v="1637"/>
    <n v="5"/>
    <n v="560"/>
    <n v="176"/>
    <n v="217"/>
    <n v="503"/>
    <n v="209"/>
    <n v="77"/>
    <n v="54"/>
    <n v="6544"/>
    <n v="823"/>
    <n v="5"/>
    <n v="0"/>
    <n v="0"/>
    <n v="0"/>
    <n v="0"/>
    <n v="0"/>
    <n v="3411"/>
    <n v="3346"/>
    <n v="181"/>
    <n v="1444"/>
    <n v="786"/>
    <n v="214"/>
    <n v="177"/>
    <n v="1258"/>
    <n v="16"/>
    <n v="1758"/>
    <n v="449"/>
    <n v="515"/>
    <n v="795"/>
    <n v="622"/>
    <n v="157"/>
    <n v="214"/>
    <n v="196"/>
    <n v="40"/>
    <n v="72"/>
    <n v="1267"/>
    <n v="227"/>
    <n v="1151"/>
    <n v="15"/>
    <n v="25"/>
    <m/>
    <n v="346"/>
    <n v="43"/>
    <n v="344"/>
    <n v="21"/>
    <n v="7"/>
    <n v="210"/>
    <n v="24"/>
    <n v="8014"/>
    <n v="79"/>
    <n v="8"/>
    <n v="34"/>
    <n v="24"/>
    <n v="8"/>
    <n v="4"/>
    <n v="2"/>
    <m/>
    <n v="9168"/>
    <n v="659"/>
    <n v="5717"/>
    <n v="2792"/>
    <n v="2011"/>
  </r>
  <r>
    <n v="106190673"/>
    <s v="190673"/>
    <x v="111"/>
    <s v="1350 WEST COVINA BOULEVARD"/>
    <s v="SAN DIMAS"/>
    <n v="91773"/>
    <x v="0"/>
    <x v="0"/>
    <x v="30"/>
    <x v="18"/>
    <s v="78.2tt"/>
    <s v="San Gabriel Valley"/>
    <s v="11 - Los Angeles"/>
    <x v="17"/>
    <s v="General Acute Care"/>
    <s v="Investor - Limited Liability Company"/>
    <s v="General Medical / Surgical"/>
    <n v="64"/>
    <x v="0"/>
    <n v="6344"/>
    <n v="5363"/>
    <m/>
    <m/>
    <n v="1368"/>
    <n v="1743"/>
    <n v="2103"/>
    <n v="1609"/>
    <n v="1617"/>
    <n v="1279"/>
    <n v="734"/>
    <n v="533"/>
    <n v="505"/>
    <n v="216"/>
    <m/>
    <n v="794"/>
    <n v="768"/>
    <n v="4521"/>
    <n v="19"/>
    <n v="586"/>
    <n v="52"/>
    <n v="4967"/>
    <n v="417"/>
    <n v="473"/>
    <m/>
    <n v="25"/>
    <m/>
    <m/>
    <n v="1"/>
    <m/>
    <m/>
    <n v="94"/>
    <m/>
    <n v="10687"/>
    <n v="10"/>
    <m/>
    <m/>
    <n v="894"/>
    <n v="1692"/>
    <n v="614"/>
    <n v="6630"/>
    <n v="1877"/>
    <n v="168"/>
    <n v="11"/>
    <n v="226"/>
    <n v="3"/>
    <n v="471"/>
    <n v="120"/>
    <n v="518"/>
    <n v="162"/>
    <n v="3206"/>
    <n v="787"/>
    <n v="3"/>
    <n v="762"/>
    <n v="774"/>
    <n v="4"/>
    <n v="378"/>
    <n v="1031"/>
    <n v="465"/>
    <n v="2618"/>
    <m/>
    <m/>
    <n v="972"/>
    <n v="25"/>
    <n v="56"/>
    <n v="5"/>
    <n v="131"/>
    <n v="3"/>
    <n v="3"/>
    <n v="145"/>
    <n v="8352"/>
    <n v="1385"/>
    <n v="70"/>
    <n v="466"/>
    <n v="31"/>
    <n v="56"/>
    <n v="7"/>
    <m/>
    <n v="11707"/>
    <n v="11"/>
    <n v="11606"/>
    <n v="90"/>
    <n v="1912"/>
    <n v="1329"/>
    <m/>
    <m/>
    <n v="56"/>
    <n v="185"/>
    <n v="261"/>
    <n v="391"/>
    <n v="509"/>
    <n v="468"/>
    <n v="551"/>
    <n v="820"/>
    <m/>
    <m/>
    <m/>
    <n v="263"/>
    <n v="200"/>
    <n v="920"/>
    <n v="147"/>
    <n v="12"/>
    <n v="1697"/>
    <n v="2"/>
    <n v="323"/>
    <n v="89"/>
    <n v="85"/>
    <n v="152"/>
    <n v="80"/>
    <n v="25"/>
    <n v="64"/>
    <n v="1959"/>
    <n v="462"/>
    <n v="2"/>
    <n v="0"/>
    <n v="0"/>
    <n v="0"/>
    <n v="0"/>
    <n v="0"/>
    <n v="415"/>
    <n v="1740"/>
    <n v="37"/>
    <n v="872"/>
    <n v="177"/>
    <n v="59"/>
    <n v="42"/>
    <n v="488"/>
    <m/>
    <n v="553"/>
    <n v="159"/>
    <n v="207"/>
    <n v="351"/>
    <n v="247"/>
    <n v="71"/>
    <n v="29"/>
    <n v="115"/>
    <n v="3"/>
    <n v="52"/>
    <n v="314"/>
    <n v="79"/>
    <n v="472"/>
    <m/>
    <m/>
    <m/>
    <n v="164"/>
    <n v="17"/>
    <n v="236"/>
    <n v="1"/>
    <n v="6"/>
    <n v="32"/>
    <n v="14"/>
    <n v="2676"/>
    <n v="30"/>
    <n v="4"/>
    <n v="19"/>
    <n v="24"/>
    <n v="7"/>
    <n v="8"/>
    <n v="2"/>
    <n v="1"/>
    <n v="3241"/>
    <n v="2"/>
    <n v="3205"/>
    <n v="34"/>
    <n v="2011"/>
  </r>
  <r>
    <n v="106190680"/>
    <s v="190680"/>
    <x v="112"/>
    <s v="1300 WEST SEVENTH STREET"/>
    <s v="SAN PEDRO"/>
    <n v="90732"/>
    <x v="0"/>
    <x v="0"/>
    <x v="20"/>
    <x v="21"/>
    <s v="78.2o"/>
    <s v="South Bay"/>
    <s v="11 - Los Angeles"/>
    <x v="17"/>
    <s v="General Acute Care"/>
    <s v="Non-Profit Corporation (incl. Church-related)"/>
    <s v="General Medical / Surgical"/>
    <n v="158"/>
    <x v="0"/>
    <n v="17330"/>
    <n v="13915"/>
    <m/>
    <m/>
    <n v="4818"/>
    <n v="3957"/>
    <n v="4934"/>
    <n v="4088"/>
    <n v="4031"/>
    <n v="3407"/>
    <n v="1953"/>
    <n v="1375"/>
    <n v="1671"/>
    <n v="1011"/>
    <m/>
    <n v="334"/>
    <n v="2770"/>
    <n v="15939"/>
    <n v="16"/>
    <n v="2334"/>
    <n v="137"/>
    <n v="9715"/>
    <n v="373"/>
    <n v="137"/>
    <m/>
    <n v="36"/>
    <n v="11"/>
    <n v="2"/>
    <n v="5"/>
    <n v="34"/>
    <n v="18"/>
    <n v="124"/>
    <m/>
    <n v="30359"/>
    <n v="146"/>
    <m/>
    <m/>
    <n v="12257"/>
    <n v="4813"/>
    <n v="1660"/>
    <n v="7775"/>
    <n v="4740"/>
    <n v="824"/>
    <n v="69"/>
    <n v="527"/>
    <n v="1"/>
    <n v="1530"/>
    <n v="334"/>
    <n v="1536"/>
    <n v="443"/>
    <n v="7205"/>
    <n v="1761"/>
    <n v="29"/>
    <n v="1914"/>
    <n v="1661"/>
    <n v="36"/>
    <n v="900"/>
    <n v="3672"/>
    <n v="1759"/>
    <n v="7044"/>
    <m/>
    <m/>
    <n v="2293"/>
    <n v="136"/>
    <n v="174"/>
    <n v="12"/>
    <n v="478"/>
    <n v="21"/>
    <n v="108"/>
    <n v="334"/>
    <n v="23554"/>
    <n v="3145"/>
    <n v="134"/>
    <n v="570"/>
    <n v="74"/>
    <n v="165"/>
    <n v="47"/>
    <m/>
    <n v="31245"/>
    <n v="228"/>
    <n v="29018"/>
    <n v="1999"/>
    <n v="2010"/>
    <n v="1790"/>
    <m/>
    <m/>
    <n v="60"/>
    <n v="228"/>
    <n v="244"/>
    <n v="448"/>
    <n v="643"/>
    <n v="594"/>
    <n v="603"/>
    <n v="980"/>
    <m/>
    <m/>
    <m/>
    <n v="81"/>
    <n v="265"/>
    <n v="1157"/>
    <n v="295"/>
    <n v="18"/>
    <n v="1982"/>
    <n v="2"/>
    <n v="129"/>
    <n v="58"/>
    <n v="97"/>
    <n v="301"/>
    <n v="115"/>
    <n v="7"/>
    <n v="94"/>
    <n v="2203"/>
    <n v="764"/>
    <n v="32"/>
    <n v="0"/>
    <n v="0"/>
    <n v="0"/>
    <n v="0"/>
    <n v="0"/>
    <n v="718"/>
    <n v="1620"/>
    <n v="128"/>
    <n v="1157"/>
    <n v="177"/>
    <n v="45"/>
    <n v="52"/>
    <n v="557"/>
    <n v="2"/>
    <n v="588"/>
    <n v="173"/>
    <n v="192"/>
    <n v="439"/>
    <n v="301"/>
    <n v="70"/>
    <n v="65"/>
    <n v="120"/>
    <n v="3"/>
    <n v="387"/>
    <n v="431"/>
    <n v="122"/>
    <n v="253"/>
    <m/>
    <m/>
    <m/>
    <n v="191"/>
    <n v="19"/>
    <n v="159"/>
    <n v="14"/>
    <n v="21"/>
    <n v="85"/>
    <n v="8"/>
    <n v="3194"/>
    <n v="28"/>
    <n v="6"/>
    <n v="9"/>
    <n v="41"/>
    <n v="8"/>
    <n v="16"/>
    <n v="1"/>
    <m/>
    <n v="3800"/>
    <n v="48"/>
    <n v="3489"/>
    <n v="263"/>
    <n v="2011"/>
  </r>
  <r>
    <n v="106190687"/>
    <s v="190687"/>
    <x v="113"/>
    <s v="1250 16TH STREET"/>
    <s v="SANTA MONICA"/>
    <n v="90404"/>
    <x v="0"/>
    <x v="0"/>
    <x v="29"/>
    <x v="17"/>
    <s v="78.2kkkk"/>
    <s v="West"/>
    <s v="11 - Los Angeles"/>
    <x v="17"/>
    <s v="General Acute Care"/>
    <s v="University of California"/>
    <s v="General Medical / Surgical"/>
    <n v="316"/>
    <x v="0"/>
    <n v="15503"/>
    <n v="14677"/>
    <m/>
    <m/>
    <n v="3909"/>
    <n v="2884"/>
    <n v="4548"/>
    <n v="4258"/>
    <n v="4167"/>
    <n v="3767"/>
    <n v="2460"/>
    <n v="1518"/>
    <n v="1920"/>
    <n v="749"/>
    <m/>
    <n v="1407"/>
    <n v="3675"/>
    <n v="5783"/>
    <n v="184"/>
    <n v="1252"/>
    <n v="409"/>
    <n v="17470"/>
    <n v="320"/>
    <n v="329"/>
    <n v="41"/>
    <n v="48"/>
    <m/>
    <m/>
    <n v="67"/>
    <n v="126"/>
    <m/>
    <n v="6"/>
    <m/>
    <n v="29238"/>
    <n v="5"/>
    <m/>
    <m/>
    <n v="5590"/>
    <n v="5281"/>
    <n v="1261"/>
    <n v="12542"/>
    <n v="5506"/>
    <n v="404"/>
    <n v="146"/>
    <n v="570"/>
    <n v="5"/>
    <n v="1111"/>
    <n v="456"/>
    <n v="1609"/>
    <n v="515"/>
    <n v="8877"/>
    <n v="1891"/>
    <n v="46"/>
    <n v="1579"/>
    <n v="1930"/>
    <n v="40"/>
    <n v="1231"/>
    <n v="2638"/>
    <n v="1159"/>
    <n v="5973"/>
    <m/>
    <m/>
    <n v="2901"/>
    <n v="106"/>
    <n v="89"/>
    <n v="13"/>
    <n v="367"/>
    <n v="8"/>
    <n v="105"/>
    <n v="387"/>
    <n v="20855"/>
    <n v="3860"/>
    <n v="257"/>
    <n v="903"/>
    <n v="76"/>
    <n v="192"/>
    <n v="59"/>
    <n v="2"/>
    <n v="30180"/>
    <n v="529"/>
    <n v="28153"/>
    <n v="1498"/>
    <n v="4344"/>
    <n v="3797"/>
    <m/>
    <m/>
    <n v="181"/>
    <n v="349"/>
    <n v="469"/>
    <n v="754"/>
    <n v="1046"/>
    <n v="1179"/>
    <n v="1218"/>
    <n v="2465"/>
    <n v="175"/>
    <n v="305"/>
    <m/>
    <n v="541"/>
    <n v="1071"/>
    <n v="1261"/>
    <n v="271"/>
    <n v="6"/>
    <n v="4956"/>
    <n v="35"/>
    <n v="122"/>
    <n v="138"/>
    <n v="280"/>
    <n v="1279"/>
    <n v="132"/>
    <n v="12"/>
    <n v="98"/>
    <n v="4687"/>
    <n v="1391"/>
    <n v="2"/>
    <n v="0"/>
    <n v="0"/>
    <n v="0"/>
    <n v="0"/>
    <n v="0"/>
    <n v="1457"/>
    <n v="4349"/>
    <n v="52"/>
    <n v="2013"/>
    <n v="270"/>
    <n v="87"/>
    <n v="182"/>
    <n v="1196"/>
    <n v="22"/>
    <n v="1081"/>
    <n v="363"/>
    <n v="572"/>
    <n v="679"/>
    <n v="791"/>
    <n v="263"/>
    <n v="325"/>
    <n v="250"/>
    <n v="28"/>
    <n v="145"/>
    <n v="1042"/>
    <n v="303"/>
    <n v="770"/>
    <n v="4"/>
    <n v="38"/>
    <m/>
    <n v="415"/>
    <n v="48"/>
    <n v="571"/>
    <n v="10"/>
    <n v="24"/>
    <n v="436"/>
    <n v="25"/>
    <n v="6433"/>
    <n v="81"/>
    <n v="15"/>
    <n v="27"/>
    <n v="21"/>
    <n v="14"/>
    <n v="20"/>
    <n v="1"/>
    <m/>
    <n v="8141"/>
    <n v="360"/>
    <n v="7351"/>
    <n v="430"/>
    <n v="2011"/>
  </r>
  <r>
    <n v="106190696"/>
    <s v="190696"/>
    <x v="114"/>
    <s v="9449 SAN FERNANDO ROAD"/>
    <s v="SUN VALLEY"/>
    <n v="91352"/>
    <x v="0"/>
    <x v="0"/>
    <x v="32"/>
    <x v="20"/>
    <s v="78.2ppp"/>
    <s v="San Fernando Valley"/>
    <s v="11 - Los Angeles"/>
    <x v="17"/>
    <s v="General Acute Care"/>
    <s v="Investor - Corporation"/>
    <s v="General Medical / Surgical"/>
    <n v="95"/>
    <x v="0"/>
    <n v="6279"/>
    <n v="6014"/>
    <m/>
    <m/>
    <n v="2286"/>
    <n v="1894"/>
    <n v="2180"/>
    <n v="1791"/>
    <n v="1564"/>
    <n v="1076"/>
    <n v="507"/>
    <n v="234"/>
    <n v="181"/>
    <n v="580"/>
    <m/>
    <n v="154"/>
    <n v="543"/>
    <n v="9480"/>
    <n v="7"/>
    <n v="931"/>
    <n v="3"/>
    <n v="1175"/>
    <n v="138"/>
    <n v="185"/>
    <n v="79"/>
    <n v="25"/>
    <n v="1"/>
    <m/>
    <m/>
    <m/>
    <m/>
    <n v="7"/>
    <m/>
    <n v="11853"/>
    <n v="5"/>
    <m/>
    <m/>
    <n v="2838"/>
    <n v="619"/>
    <n v="359"/>
    <n v="5010"/>
    <n v="3467"/>
    <n v="389"/>
    <n v="25"/>
    <n v="172"/>
    <n v="28"/>
    <n v="963"/>
    <n v="97"/>
    <n v="573"/>
    <n v="652"/>
    <n v="3254"/>
    <n v="449"/>
    <n v="8"/>
    <n v="578"/>
    <n v="215"/>
    <n v="5"/>
    <n v="736"/>
    <n v="1432"/>
    <n v="465"/>
    <n v="2252"/>
    <m/>
    <m/>
    <n v="847"/>
    <n v="46"/>
    <n v="67"/>
    <n v="8"/>
    <n v="194"/>
    <n v="6"/>
    <n v="3"/>
    <n v="164"/>
    <n v="9009"/>
    <n v="1432"/>
    <n v="44"/>
    <n v="367"/>
    <n v="31"/>
    <n v="73"/>
    <n v="2"/>
    <m/>
    <n v="12293"/>
    <n v="74"/>
    <n v="7846"/>
    <n v="4373"/>
    <n v="1072"/>
    <n v="1083"/>
    <m/>
    <m/>
    <n v="79"/>
    <n v="163"/>
    <n v="223"/>
    <n v="318"/>
    <n v="391"/>
    <n v="324"/>
    <n v="259"/>
    <n v="313"/>
    <n v="22"/>
    <n v="63"/>
    <m/>
    <n v="67"/>
    <n v="229"/>
    <n v="1231"/>
    <n v="41"/>
    <m/>
    <n v="579"/>
    <n v="8"/>
    <n v="67"/>
    <n v="119"/>
    <n v="63"/>
    <n v="86"/>
    <n v="25"/>
    <n v="1"/>
    <n v="132"/>
    <n v="1356"/>
    <n v="305"/>
    <n v="1"/>
    <n v="0"/>
    <n v="0"/>
    <n v="0"/>
    <n v="0"/>
    <n v="0"/>
    <n v="758"/>
    <n v="712"/>
    <n v="4"/>
    <n v="422"/>
    <n v="259"/>
    <n v="33"/>
    <n v="18"/>
    <n v="258"/>
    <n v="1"/>
    <n v="279"/>
    <n v="131"/>
    <n v="116"/>
    <n v="105"/>
    <n v="122"/>
    <n v="41"/>
    <n v="24"/>
    <n v="30"/>
    <n v="1"/>
    <n v="420"/>
    <n v="288"/>
    <n v="46"/>
    <n v="239"/>
    <n v="1"/>
    <n v="2"/>
    <m/>
    <n v="62"/>
    <n v="12"/>
    <n v="67"/>
    <n v="8"/>
    <n v="6"/>
    <n v="1"/>
    <n v="4"/>
    <n v="1925"/>
    <n v="16"/>
    <n v="5"/>
    <n v="10"/>
    <n v="36"/>
    <n v="1"/>
    <n v="1"/>
    <n v="1"/>
    <m/>
    <n v="2155"/>
    <n v="10"/>
    <n v="1485"/>
    <n v="660"/>
    <n v="2011"/>
  </r>
  <r>
    <n v="106190708"/>
    <s v="190708"/>
    <x v="115"/>
    <s v="4929 VAN NUYS BOULEVARD"/>
    <s v="SHERMAN OAKS"/>
    <n v="91403"/>
    <x v="0"/>
    <x v="0"/>
    <x v="36"/>
    <x v="16"/>
    <s v="78.2jj"/>
    <s v="San Fernando Valley"/>
    <s v="11 - Los Angeles"/>
    <x v="17"/>
    <s v="General Acute Care"/>
    <s v="Investor - Corporation"/>
    <s v="General Medical / Surgical"/>
    <n v="112"/>
    <x v="0"/>
    <n v="7834"/>
    <n v="7702"/>
    <m/>
    <m/>
    <n v="1191"/>
    <n v="1336"/>
    <n v="2880"/>
    <n v="2702"/>
    <n v="2492"/>
    <n v="2292"/>
    <n v="1096"/>
    <n v="658"/>
    <n v="736"/>
    <n v="153"/>
    <m/>
    <n v="286"/>
    <n v="1726"/>
    <n v="2271"/>
    <n v="8"/>
    <n v="1732"/>
    <n v="109"/>
    <n v="9404"/>
    <n v="411"/>
    <n v="1109"/>
    <m/>
    <n v="25"/>
    <n v="1"/>
    <m/>
    <n v="2"/>
    <n v="68"/>
    <m/>
    <n v="495"/>
    <m/>
    <n v="13342"/>
    <n v="83"/>
    <m/>
    <m/>
    <n v="4134"/>
    <n v="2699"/>
    <n v="453"/>
    <n v="4295"/>
    <n v="3955"/>
    <n v="176"/>
    <n v="37"/>
    <n v="280"/>
    <n v="4"/>
    <n v="612"/>
    <n v="134"/>
    <n v="681"/>
    <n v="241"/>
    <n v="3754"/>
    <n v="877"/>
    <n v="17"/>
    <n v="982"/>
    <n v="1886"/>
    <n v="3"/>
    <n v="1026"/>
    <n v="1254"/>
    <n v="616"/>
    <n v="2955"/>
    <n v="1"/>
    <m/>
    <n v="1237"/>
    <n v="135"/>
    <n v="106"/>
    <n v="9"/>
    <n v="286"/>
    <n v="97"/>
    <n v="45"/>
    <n v="197"/>
    <n v="10873"/>
    <n v="1407"/>
    <n v="64"/>
    <n v="867"/>
    <n v="72"/>
    <n v="92"/>
    <n v="49"/>
    <m/>
    <n v="15536"/>
    <n v="240"/>
    <n v="14842"/>
    <n v="454"/>
    <n v="2126"/>
    <n v="1809"/>
    <m/>
    <m/>
    <n v="25"/>
    <n v="130"/>
    <n v="213"/>
    <n v="387"/>
    <n v="634"/>
    <n v="678"/>
    <n v="647"/>
    <n v="1221"/>
    <m/>
    <m/>
    <m/>
    <n v="84"/>
    <n v="314"/>
    <n v="437"/>
    <n v="381"/>
    <n v="38"/>
    <n v="2676"/>
    <n v="5"/>
    <n v="194"/>
    <n v="118"/>
    <n v="135"/>
    <n v="600"/>
    <n v="232"/>
    <n v="10"/>
    <n v="37"/>
    <n v="1664"/>
    <n v="940"/>
    <n v="5"/>
    <n v="0"/>
    <n v="0"/>
    <n v="0"/>
    <n v="0"/>
    <n v="0"/>
    <n v="778"/>
    <n v="2419"/>
    <n v="16"/>
    <n v="533"/>
    <n v="189"/>
    <n v="21"/>
    <n v="86"/>
    <n v="614"/>
    <m/>
    <n v="498"/>
    <n v="170"/>
    <n v="173"/>
    <n v="511"/>
    <n v="437"/>
    <n v="104"/>
    <n v="40"/>
    <n v="151"/>
    <n v="16"/>
    <n v="336"/>
    <n v="374"/>
    <n v="69"/>
    <n v="335"/>
    <m/>
    <m/>
    <m/>
    <n v="256"/>
    <n v="37"/>
    <n v="247"/>
    <n v="3"/>
    <n v="24"/>
    <n v="69"/>
    <n v="8"/>
    <n v="3165"/>
    <n v="54"/>
    <n v="1"/>
    <n v="15"/>
    <n v="35"/>
    <n v="12"/>
    <n v="9"/>
    <m/>
    <m/>
    <n v="3935"/>
    <n v="119"/>
    <n v="3680"/>
    <n v="136"/>
    <n v="2011"/>
  </r>
  <r>
    <n v="106190754"/>
    <s v="190754"/>
    <x v="116"/>
    <s v="3630 IMPERIAL HIGHWAY"/>
    <s v="LYNWOOD"/>
    <n v="90262"/>
    <x v="2"/>
    <x v="0"/>
    <x v="22"/>
    <x v="12"/>
    <s v="78.2sss"/>
    <s v="South"/>
    <s v="11 - Los Angeles"/>
    <x v="17"/>
    <s v="General Acute Care"/>
    <s v="Non-Profit Corporation (incl. Church-related)"/>
    <s v="General Medical / Surgical"/>
    <n v="314"/>
    <x v="0"/>
    <n v="32318"/>
    <n v="24974"/>
    <m/>
    <m/>
    <n v="11777"/>
    <n v="8078"/>
    <n v="11096"/>
    <n v="7323"/>
    <n v="5552"/>
    <n v="4838"/>
    <n v="2534"/>
    <n v="1404"/>
    <n v="988"/>
    <n v="3702"/>
    <m/>
    <n v="176"/>
    <n v="13489"/>
    <n v="40082"/>
    <n v="6"/>
    <n v="1900"/>
    <n v="21"/>
    <n v="1618"/>
    <n v="1015"/>
    <n v="7067"/>
    <m/>
    <n v="169"/>
    <n v="2"/>
    <n v="1"/>
    <m/>
    <n v="200"/>
    <m/>
    <n v="31"/>
    <n v="17"/>
    <n v="48517"/>
    <n v="273"/>
    <m/>
    <m/>
    <n v="30014"/>
    <n v="4370"/>
    <n v="281"/>
    <n v="4863"/>
    <n v="17764"/>
    <n v="3244"/>
    <n v="237"/>
    <n v="834"/>
    <n v="22"/>
    <n v="2572"/>
    <n v="705"/>
    <n v="2610"/>
    <n v="1614"/>
    <n v="10645"/>
    <n v="2775"/>
    <n v="115"/>
    <n v="2860"/>
    <n v="9309"/>
    <n v="204"/>
    <n v="1512"/>
    <n v="6167"/>
    <n v="2255"/>
    <n v="9610"/>
    <m/>
    <n v="2"/>
    <n v="3273"/>
    <n v="176"/>
    <n v="370"/>
    <n v="22"/>
    <n v="1258"/>
    <n v="31"/>
    <n v="230"/>
    <n v="532"/>
    <n v="45013"/>
    <n v="4188"/>
    <n v="236"/>
    <n v="1573"/>
    <n v="55"/>
    <n v="326"/>
    <n v="9"/>
    <m/>
    <n v="57292"/>
    <n v="304"/>
    <n v="40158"/>
    <n v="16830"/>
    <n v="5178"/>
    <n v="5088"/>
    <m/>
    <m/>
    <n v="468"/>
    <n v="1099"/>
    <n v="1078"/>
    <n v="1390"/>
    <n v="1873"/>
    <n v="1475"/>
    <n v="1182"/>
    <n v="1140"/>
    <n v="227"/>
    <n v="334"/>
    <m/>
    <n v="66"/>
    <n v="3002"/>
    <n v="6189"/>
    <n v="445"/>
    <n v="3"/>
    <n v="560"/>
    <n v="1"/>
    <n v="350"/>
    <n v="303"/>
    <n v="281"/>
    <n v="460"/>
    <n v="198"/>
    <n v="41"/>
    <n v="267"/>
    <n v="7375"/>
    <n v="953"/>
    <n v="38"/>
    <n v="0"/>
    <n v="0"/>
    <n v="0"/>
    <n v="0"/>
    <n v="0"/>
    <n v="3854"/>
    <n v="3648"/>
    <n v="33"/>
    <n v="705"/>
    <n v="2026"/>
    <n v="277"/>
    <n v="196"/>
    <n v="1569"/>
    <n v="5"/>
    <n v="1351"/>
    <n v="483"/>
    <n v="603"/>
    <n v="618"/>
    <n v="1406"/>
    <n v="150"/>
    <n v="205"/>
    <n v="166"/>
    <n v="9"/>
    <n v="1288"/>
    <n v="1027"/>
    <n v="237"/>
    <n v="635"/>
    <n v="7"/>
    <n v="34"/>
    <m/>
    <n v="397"/>
    <n v="43"/>
    <n v="596"/>
    <n v="343"/>
    <n v="26"/>
    <n v="72"/>
    <n v="21"/>
    <n v="8127"/>
    <n v="146"/>
    <n v="21"/>
    <n v="317"/>
    <n v="97"/>
    <n v="31"/>
    <n v="27"/>
    <n v="2"/>
    <m/>
    <n v="10266"/>
    <n v="49"/>
    <n v="6575"/>
    <n v="3642"/>
    <n v="2011"/>
  </r>
  <r>
    <n v="106190756"/>
    <s v="190756"/>
    <x v="117"/>
    <s v="2121 Santa Monica Blvd"/>
    <s v="SANTA MONICA"/>
    <n v="90404"/>
    <x v="0"/>
    <x v="0"/>
    <x v="29"/>
    <x v="17"/>
    <s v="78.2kkkk"/>
    <s v="West"/>
    <s v="11 - Los Angeles"/>
    <x v="17"/>
    <s v="General Acute Care"/>
    <s v="Non-Profit Corporation (incl. Church-related)"/>
    <s v="General Medical / Surgical"/>
    <n v="266"/>
    <x v="0"/>
    <n v="11096"/>
    <n v="10476"/>
    <n v="1"/>
    <m/>
    <n v="997"/>
    <n v="1294"/>
    <n v="3263"/>
    <n v="3217"/>
    <n v="2984"/>
    <n v="3226"/>
    <n v="2223"/>
    <n v="1745"/>
    <n v="2471"/>
    <n v="153"/>
    <m/>
    <n v="930"/>
    <n v="1704"/>
    <n v="2216"/>
    <n v="6"/>
    <n v="1417"/>
    <n v="109"/>
    <n v="15191"/>
    <n v="246"/>
    <n v="272"/>
    <m/>
    <n v="36"/>
    <m/>
    <m/>
    <m/>
    <n v="7"/>
    <m/>
    <n v="119"/>
    <m/>
    <n v="20875"/>
    <n v="18"/>
    <m/>
    <m/>
    <n v="1091"/>
    <n v="5561"/>
    <n v="601"/>
    <n v="10139"/>
    <n v="4181"/>
    <n v="265"/>
    <n v="152"/>
    <n v="525"/>
    <m/>
    <n v="970"/>
    <n v="250"/>
    <n v="1073"/>
    <n v="318"/>
    <n v="6606"/>
    <n v="1115"/>
    <n v="45"/>
    <n v="879"/>
    <n v="1139"/>
    <n v="8"/>
    <n v="1049"/>
    <n v="1215"/>
    <n v="911"/>
    <n v="5053"/>
    <m/>
    <m/>
    <n v="2225"/>
    <n v="80"/>
    <n v="293"/>
    <n v="11"/>
    <n v="169"/>
    <n v="46"/>
    <n v="233"/>
    <n v="276"/>
    <n v="14246"/>
    <n v="2831"/>
    <n v="226"/>
    <n v="744"/>
    <n v="43"/>
    <n v="115"/>
    <n v="35"/>
    <m/>
    <n v="21573"/>
    <n v="381"/>
    <n v="20474"/>
    <n v="718"/>
    <n v="3333"/>
    <n v="2810"/>
    <m/>
    <m/>
    <n v="49"/>
    <n v="185"/>
    <n v="280"/>
    <n v="430"/>
    <n v="695"/>
    <n v="896"/>
    <n v="1095"/>
    <n v="2512"/>
    <m/>
    <n v="1"/>
    <m/>
    <n v="308"/>
    <n v="348"/>
    <n v="528"/>
    <n v="233"/>
    <n v="16"/>
    <n v="4705"/>
    <n v="5"/>
    <n v="88"/>
    <n v="66"/>
    <n v="249"/>
    <n v="1167"/>
    <n v="105"/>
    <n v="111"/>
    <n v="36"/>
    <n v="3172"/>
    <n v="1148"/>
    <n v="1"/>
    <n v="0"/>
    <n v="0"/>
    <n v="0"/>
    <n v="0"/>
    <n v="0"/>
    <n v="157"/>
    <n v="4127"/>
    <n v="23"/>
    <n v="1679"/>
    <n v="157"/>
    <n v="28"/>
    <n v="81"/>
    <n v="1118"/>
    <n v="2"/>
    <n v="973"/>
    <n v="235"/>
    <n v="382"/>
    <n v="558"/>
    <n v="771"/>
    <n v="159"/>
    <n v="245"/>
    <n v="153"/>
    <n v="2"/>
    <n v="55"/>
    <n v="847"/>
    <n v="197"/>
    <n v="337"/>
    <m/>
    <m/>
    <m/>
    <n v="545"/>
    <n v="41"/>
    <n v="665"/>
    <n v="5"/>
    <n v="19"/>
    <n v="502"/>
    <n v="23"/>
    <n v="4133"/>
    <n v="117"/>
    <n v="12"/>
    <n v="28"/>
    <n v="24"/>
    <n v="20"/>
    <n v="5"/>
    <n v="4"/>
    <m/>
    <n v="6143"/>
    <n v="185"/>
    <n v="5683"/>
    <n v="275"/>
    <n v="2011"/>
  </r>
  <r>
    <n v="106190758"/>
    <s v="190758"/>
    <x v="118"/>
    <s v="501 SO. BUENA VISTA"/>
    <s v="BURBANK"/>
    <n v="91505"/>
    <x v="0"/>
    <x v="0"/>
    <x v="31"/>
    <x v="16"/>
    <s v="78.2ttt"/>
    <s v="San Fernando Valley"/>
    <s v="11 - Los Angeles"/>
    <x v="17"/>
    <s v="General Acute Care"/>
    <s v="Non-Profit Corporation (incl. Church-related)"/>
    <s v="General Medical / Surgical"/>
    <n v="360"/>
    <x v="0"/>
    <n v="26539"/>
    <n v="22053"/>
    <n v="9"/>
    <m/>
    <n v="5983"/>
    <n v="4581"/>
    <n v="8337"/>
    <n v="6973"/>
    <n v="6845"/>
    <n v="5326"/>
    <n v="3601"/>
    <n v="2622"/>
    <n v="2950"/>
    <n v="1383"/>
    <m/>
    <n v="1509"/>
    <n v="2879"/>
    <n v="15449"/>
    <n v="35"/>
    <n v="3985"/>
    <n v="19"/>
    <n v="24725"/>
    <n v="765"/>
    <n v="189"/>
    <m/>
    <n v="92"/>
    <n v="2"/>
    <n v="6"/>
    <n v="8"/>
    <m/>
    <m/>
    <n v="95"/>
    <n v="4"/>
    <n v="47182"/>
    <n v="242"/>
    <n v="16"/>
    <m/>
    <n v="13219"/>
    <n v="7769"/>
    <n v="2716"/>
    <n v="17365"/>
    <n v="7532"/>
    <n v="1274"/>
    <n v="121"/>
    <n v="1227"/>
    <n v="8"/>
    <n v="2658"/>
    <n v="563"/>
    <n v="3125"/>
    <n v="1064"/>
    <n v="11866"/>
    <n v="2856"/>
    <n v="92"/>
    <n v="3115"/>
    <n v="2079"/>
    <n v="93"/>
    <n v="2104"/>
    <n v="4334"/>
    <n v="1854"/>
    <n v="10168"/>
    <m/>
    <m/>
    <n v="3788"/>
    <n v="213"/>
    <n v="502"/>
    <n v="19"/>
    <n v="457"/>
    <n v="42"/>
    <n v="202"/>
    <n v="560"/>
    <n v="35605"/>
    <n v="4959"/>
    <n v="257"/>
    <n v="1586"/>
    <n v="135"/>
    <n v="213"/>
    <n v="63"/>
    <m/>
    <n v="48601"/>
    <n v="3395"/>
    <n v="39474"/>
    <n v="5732"/>
    <n v="5770"/>
    <n v="4597"/>
    <m/>
    <m/>
    <n v="129"/>
    <n v="657"/>
    <n v="859"/>
    <n v="976"/>
    <n v="1416"/>
    <n v="1592"/>
    <n v="1815"/>
    <n v="2875"/>
    <n v="47"/>
    <n v="1"/>
    <m/>
    <n v="408"/>
    <n v="434"/>
    <n v="2030"/>
    <n v="941"/>
    <n v="1"/>
    <n v="6542"/>
    <n v="11"/>
    <n v="159"/>
    <n v="151"/>
    <n v="372"/>
    <n v="1305"/>
    <n v="224"/>
    <n v="14"/>
    <n v="106"/>
    <n v="6360"/>
    <n v="1674"/>
    <n v="2"/>
    <n v="0"/>
    <n v="0"/>
    <n v="0"/>
    <n v="0"/>
    <n v="0"/>
    <n v="1935"/>
    <n v="5361"/>
    <n v="63"/>
    <n v="2596"/>
    <n v="412"/>
    <n v="556"/>
    <n v="174"/>
    <n v="2074"/>
    <n v="8"/>
    <n v="1642"/>
    <n v="307"/>
    <n v="705"/>
    <n v="906"/>
    <n v="855"/>
    <n v="251"/>
    <n v="342"/>
    <n v="335"/>
    <n v="8"/>
    <n v="72"/>
    <n v="1021"/>
    <n v="214"/>
    <n v="857"/>
    <n v="8"/>
    <n v="32"/>
    <m/>
    <n v="590"/>
    <n v="30"/>
    <n v="411"/>
    <n v="7"/>
    <n v="10"/>
    <n v="204"/>
    <n v="23"/>
    <n v="8807"/>
    <n v="118"/>
    <n v="19"/>
    <n v="52"/>
    <n v="40"/>
    <n v="30"/>
    <n v="26"/>
    <m/>
    <m/>
    <n v="10367"/>
    <n v="1312"/>
    <n v="7936"/>
    <n v="1119"/>
    <n v="2011"/>
  </r>
  <r>
    <n v="106190762"/>
    <s v="190762"/>
    <x v="119"/>
    <s v="2131 WEST 3RD STREET"/>
    <s v="LOS ANGELES"/>
    <n v="90057"/>
    <x v="0"/>
    <x v="0"/>
    <x v="25"/>
    <x v="10"/>
    <s v="78.2ffff"/>
    <s v="Metro"/>
    <s v="11 - Los Angeles"/>
    <x v="17"/>
    <s v="General Acute Care"/>
    <s v="Non-Profit Corporation (incl. Church-related)"/>
    <s v="General Medical / Surgical"/>
    <n v="339"/>
    <x v="2"/>
    <n v="4873"/>
    <n v="3660"/>
    <m/>
    <m/>
    <n v="222"/>
    <n v="381"/>
    <n v="1190"/>
    <n v="1080"/>
    <n v="1242"/>
    <n v="1236"/>
    <n v="1180"/>
    <n v="1069"/>
    <n v="897"/>
    <n v="36"/>
    <m/>
    <n v="1725"/>
    <n v="1416"/>
    <n v="3862"/>
    <n v="17"/>
    <n v="49"/>
    <n v="108"/>
    <n v="1356"/>
    <n v="60"/>
    <n v="199"/>
    <n v="61"/>
    <n v="6"/>
    <n v="1"/>
    <m/>
    <n v="2"/>
    <n v="1"/>
    <m/>
    <m/>
    <m/>
    <n v="8128"/>
    <n v="75"/>
    <m/>
    <m/>
    <n v="2183"/>
    <n v="3812"/>
    <n v="309"/>
    <n v="862"/>
    <n v="1367"/>
    <n v="53"/>
    <n v="44"/>
    <n v="252"/>
    <m/>
    <n v="555"/>
    <n v="190"/>
    <n v="665"/>
    <n v="195"/>
    <n v="1547"/>
    <n v="916"/>
    <n v="16"/>
    <n v="388"/>
    <n v="226"/>
    <n v="1"/>
    <n v="230"/>
    <n v="794"/>
    <n v="387"/>
    <n v="2074"/>
    <m/>
    <m/>
    <n v="675"/>
    <n v="17"/>
    <n v="96"/>
    <m/>
    <n v="69"/>
    <n v="2"/>
    <n v="11"/>
    <n v="83"/>
    <n v="6817"/>
    <n v="566"/>
    <n v="26"/>
    <n v="129"/>
    <n v="1"/>
    <n v="28"/>
    <n v="13"/>
    <m/>
    <n v="8533"/>
    <n v="808"/>
    <n v="5765"/>
    <n v="1960"/>
    <n v="2399"/>
    <n v="1914"/>
    <m/>
    <m/>
    <n v="9"/>
    <n v="118"/>
    <n v="165"/>
    <n v="389"/>
    <n v="581"/>
    <n v="724"/>
    <n v="971"/>
    <n v="1355"/>
    <m/>
    <n v="1"/>
    <m/>
    <n v="1597"/>
    <n v="509"/>
    <n v="1657"/>
    <n v="52"/>
    <n v="16"/>
    <n v="481"/>
    <n v="1"/>
    <n v="18"/>
    <n v="90"/>
    <n v="112"/>
    <n v="428"/>
    <n v="136"/>
    <n v="47"/>
    <n v="4"/>
    <n v="2648"/>
    <n v="830"/>
    <m/>
    <n v="0"/>
    <n v="0"/>
    <n v="0"/>
    <n v="0"/>
    <n v="0"/>
    <n v="824"/>
    <n v="2327"/>
    <n v="13"/>
    <n v="1026"/>
    <n v="123"/>
    <m/>
    <n v="103"/>
    <n v="823"/>
    <n v="2"/>
    <n v="618"/>
    <n v="205"/>
    <n v="303"/>
    <n v="492"/>
    <n v="497"/>
    <n v="93"/>
    <n v="153"/>
    <n v="74"/>
    <n v="3"/>
    <n v="27"/>
    <n v="541"/>
    <n v="96"/>
    <n v="283"/>
    <m/>
    <m/>
    <m/>
    <n v="138"/>
    <n v="8"/>
    <n v="274"/>
    <n v="1"/>
    <n v="11"/>
    <n v="41"/>
    <n v="2"/>
    <n v="3785"/>
    <n v="34"/>
    <m/>
    <n v="9"/>
    <n v="3"/>
    <n v="4"/>
    <n v="3"/>
    <m/>
    <m/>
    <n v="4313"/>
    <n v="1159"/>
    <n v="1981"/>
    <n v="1173"/>
    <n v="2011"/>
  </r>
  <r>
    <n v="106190766"/>
    <s v="190766"/>
    <x v="120"/>
    <s v="13100 SOUTH STUDEBAKER ROAD"/>
    <s v="NORWALK"/>
    <n v="90650"/>
    <x v="0"/>
    <x v="0"/>
    <x v="27"/>
    <x v="13"/>
    <s v="78.2jjjj"/>
    <s v="East"/>
    <s v="11 - Los Angeles"/>
    <x v="17"/>
    <s v="General Acute Care"/>
    <s v="Investor - Limited Liability Company"/>
    <s v="General Medical / Surgical"/>
    <n v="105"/>
    <x v="0"/>
    <n v="5069"/>
    <n v="4593"/>
    <m/>
    <m/>
    <n v="1549"/>
    <n v="1446"/>
    <n v="1845"/>
    <n v="1482"/>
    <n v="1270"/>
    <n v="932"/>
    <n v="463"/>
    <n v="223"/>
    <n v="192"/>
    <n v="260"/>
    <m/>
    <n v="214"/>
    <n v="788"/>
    <n v="6364"/>
    <n v="8"/>
    <n v="220"/>
    <n v="73"/>
    <n v="1995"/>
    <n v="132"/>
    <n v="515"/>
    <m/>
    <n v="28"/>
    <m/>
    <n v="3"/>
    <m/>
    <n v="12"/>
    <m/>
    <n v="270"/>
    <n v="29"/>
    <n v="8629"/>
    <n v="44"/>
    <m/>
    <m/>
    <n v="4641"/>
    <n v="699"/>
    <n v="149"/>
    <n v="1919"/>
    <n v="2254"/>
    <n v="175"/>
    <n v="34"/>
    <n v="214"/>
    <n v="2"/>
    <n v="622"/>
    <n v="162"/>
    <n v="476"/>
    <n v="156"/>
    <n v="2548"/>
    <n v="570"/>
    <n v="14"/>
    <n v="778"/>
    <n v="503"/>
    <n v="4"/>
    <n v="516"/>
    <n v="1373"/>
    <n v="388"/>
    <n v="1126"/>
    <m/>
    <n v="1"/>
    <n v="725"/>
    <n v="9"/>
    <n v="131"/>
    <n v="1"/>
    <n v="205"/>
    <n v="1"/>
    <n v="33"/>
    <n v="128"/>
    <n v="6905"/>
    <n v="1044"/>
    <n v="67"/>
    <n v="289"/>
    <n v="36"/>
    <n v="51"/>
    <n v="37"/>
    <m/>
    <n v="9662"/>
    <n v="32"/>
    <n v="8396"/>
    <n v="1234"/>
    <n v="1774"/>
    <n v="1563"/>
    <m/>
    <m/>
    <n v="167"/>
    <n v="228"/>
    <n v="278"/>
    <n v="353"/>
    <n v="527"/>
    <n v="495"/>
    <n v="427"/>
    <n v="572"/>
    <n v="47"/>
    <n v="243"/>
    <m/>
    <n v="172"/>
    <n v="280"/>
    <n v="1773"/>
    <n v="89"/>
    <n v="32"/>
    <n v="985"/>
    <n v="6"/>
    <n v="320"/>
    <n v="207"/>
    <n v="72"/>
    <n v="138"/>
    <n v="100"/>
    <n v="2"/>
    <n v="62"/>
    <n v="2011"/>
    <n v="424"/>
    <n v="1"/>
    <n v="0"/>
    <n v="0"/>
    <n v="0"/>
    <n v="0"/>
    <n v="0"/>
    <n v="1147"/>
    <n v="1481"/>
    <n v="215"/>
    <n v="358"/>
    <n v="136"/>
    <n v="23"/>
    <n v="42"/>
    <n v="436"/>
    <n v="3"/>
    <n v="409"/>
    <n v="270"/>
    <n v="214"/>
    <n v="234"/>
    <n v="189"/>
    <n v="107"/>
    <n v="34"/>
    <n v="159"/>
    <n v="2"/>
    <n v="62"/>
    <n v="556"/>
    <n v="164"/>
    <n v="433"/>
    <m/>
    <m/>
    <m/>
    <n v="131"/>
    <n v="16"/>
    <n v="109"/>
    <n v="14"/>
    <n v="11"/>
    <n v="82"/>
    <n v="4"/>
    <n v="2843"/>
    <n v="68"/>
    <n v="2"/>
    <n v="16"/>
    <n v="18"/>
    <n v="11"/>
    <n v="12"/>
    <m/>
    <m/>
    <n v="3337"/>
    <n v="55"/>
    <n v="2714"/>
    <n v="568"/>
    <n v="2011"/>
  </r>
  <r>
    <n v="106190796"/>
    <s v="190796"/>
    <x v="121"/>
    <s v="757 WESTWOOD PLAZA"/>
    <s v="LOS ANGELES"/>
    <n v="90095"/>
    <x v="8"/>
    <x v="1"/>
    <x v="24"/>
    <x v="17"/>
    <s v="78.2w"/>
    <s v="West"/>
    <s v="11 - Los Angeles"/>
    <x v="17"/>
    <s v="General Acute Care"/>
    <s v="University of California"/>
    <s v="General Medical / Surgical"/>
    <n v="466"/>
    <x v="3"/>
    <n v="17253"/>
    <n v="15804"/>
    <m/>
    <m/>
    <n v="2531"/>
    <n v="3463"/>
    <n v="7501"/>
    <n v="4685"/>
    <n v="4139"/>
    <n v="3820"/>
    <n v="2845"/>
    <n v="1650"/>
    <n v="1761"/>
    <n v="662"/>
    <m/>
    <n v="2774"/>
    <n v="4365"/>
    <n v="6196"/>
    <n v="148"/>
    <n v="1880"/>
    <n v="344"/>
    <n v="17350"/>
    <n v="1075"/>
    <n v="651"/>
    <m/>
    <n v="54"/>
    <n v="11"/>
    <m/>
    <n v="191"/>
    <n v="33"/>
    <m/>
    <n v="1188"/>
    <m/>
    <n v="29847"/>
    <n v="7"/>
    <m/>
    <m/>
    <n v="5196"/>
    <n v="5849"/>
    <n v="1301"/>
    <n v="15723"/>
    <n v="4988"/>
    <n v="575"/>
    <n v="351"/>
    <n v="638"/>
    <n v="21"/>
    <n v="1561"/>
    <n v="399"/>
    <n v="1984"/>
    <n v="641"/>
    <n v="6907"/>
    <n v="2514"/>
    <n v="84"/>
    <n v="2054"/>
    <n v="1305"/>
    <n v="34"/>
    <n v="2845"/>
    <n v="2187"/>
    <n v="1187"/>
    <n v="7769"/>
    <m/>
    <n v="1"/>
    <n v="2106"/>
    <n v="97"/>
    <n v="237"/>
    <n v="12"/>
    <n v="269"/>
    <n v="23"/>
    <n v="390"/>
    <n v="242"/>
    <n v="25211"/>
    <n v="3035"/>
    <n v="157"/>
    <n v="1014"/>
    <n v="90"/>
    <n v="144"/>
    <n v="30"/>
    <m/>
    <n v="33057"/>
    <n v="989"/>
    <n v="30265"/>
    <n v="1803"/>
    <n v="4750"/>
    <n v="5283"/>
    <m/>
    <m/>
    <n v="535"/>
    <n v="939"/>
    <n v="881"/>
    <n v="1146"/>
    <n v="1675"/>
    <n v="1604"/>
    <n v="1140"/>
    <n v="1411"/>
    <n v="160"/>
    <n v="542"/>
    <m/>
    <n v="714"/>
    <n v="1243"/>
    <n v="2428"/>
    <n v="281"/>
    <n v="26"/>
    <n v="5313"/>
    <n v="28"/>
    <n v="229"/>
    <n v="89"/>
    <n v="334"/>
    <n v="2046"/>
    <n v="344"/>
    <n v="10"/>
    <n v="28"/>
    <n v="6292"/>
    <n v="657"/>
    <n v="4"/>
    <n v="0"/>
    <n v="0"/>
    <n v="0"/>
    <n v="0"/>
    <n v="0"/>
    <n v="1724"/>
    <n v="3918"/>
    <n v="484"/>
    <n v="3343"/>
    <n v="564"/>
    <n v="88"/>
    <n v="274"/>
    <n v="1817"/>
    <n v="43"/>
    <n v="1202"/>
    <n v="389"/>
    <n v="529"/>
    <n v="685"/>
    <n v="2198"/>
    <n v="208"/>
    <n v="476"/>
    <n v="462"/>
    <n v="42"/>
    <n v="108"/>
    <n v="702"/>
    <n v="112"/>
    <n v="693"/>
    <n v="1"/>
    <n v="4"/>
    <m/>
    <n v="413"/>
    <n v="45"/>
    <n v="741"/>
    <n v="98"/>
    <n v="30"/>
    <n v="1783"/>
    <n v="14"/>
    <n v="6295"/>
    <n v="122"/>
    <n v="33"/>
    <n v="343"/>
    <n v="67"/>
    <n v="27"/>
    <n v="22"/>
    <m/>
    <m/>
    <n v="10033"/>
    <n v="416"/>
    <n v="8868"/>
    <n v="749"/>
    <n v="2011"/>
  </r>
  <r>
    <n v="106190812"/>
    <s v="190812"/>
    <x v="122"/>
    <s v="15107 VAN OWEN STREET"/>
    <s v="VAN NUYS"/>
    <n v="91405"/>
    <x v="0"/>
    <x v="0"/>
    <x v="37"/>
    <x v="20"/>
    <s v="78.2zz"/>
    <s v="San Fernando Valley"/>
    <s v="11 - Los Angeles"/>
    <x v="17"/>
    <s v="General Acute Care"/>
    <s v="Non-Profit Corporation (incl. Church-related)"/>
    <s v="General Medical / Surgical"/>
    <n v="350"/>
    <x v="0"/>
    <n v="27292"/>
    <n v="21948"/>
    <m/>
    <m/>
    <n v="13148"/>
    <n v="6726"/>
    <n v="7624"/>
    <n v="6052"/>
    <n v="4622"/>
    <n v="3293"/>
    <n v="1940"/>
    <n v="1152"/>
    <n v="1026"/>
    <n v="3657"/>
    <m/>
    <n v="767"/>
    <n v="2842"/>
    <n v="34608"/>
    <n v="6"/>
    <n v="863"/>
    <n v="25"/>
    <n v="10129"/>
    <n v="393"/>
    <n v="3452"/>
    <n v="2"/>
    <n v="64"/>
    <n v="3"/>
    <n v="1"/>
    <n v="1"/>
    <m/>
    <n v="134"/>
    <n v="154"/>
    <m/>
    <n v="44964"/>
    <n v="72"/>
    <m/>
    <m/>
    <n v="8878"/>
    <n v="3797"/>
    <n v="272"/>
    <n v="28038"/>
    <n v="8255"/>
    <n v="2474"/>
    <n v="221"/>
    <n v="707"/>
    <n v="13"/>
    <n v="2254"/>
    <n v="602"/>
    <n v="2794"/>
    <n v="1078"/>
    <n v="9251"/>
    <n v="1811"/>
    <n v="108"/>
    <n v="3820"/>
    <n v="4003"/>
    <n v="245"/>
    <n v="1216"/>
    <n v="8745"/>
    <n v="1912"/>
    <n v="7986"/>
    <m/>
    <m/>
    <n v="2954"/>
    <n v="129"/>
    <n v="326"/>
    <n v="21"/>
    <n v="500"/>
    <n v="8"/>
    <n v="193"/>
    <n v="551"/>
    <n v="38874"/>
    <n v="4071"/>
    <n v="102"/>
    <n v="1072"/>
    <n v="78"/>
    <n v="345"/>
    <n v="16"/>
    <m/>
    <n v="49240"/>
    <n v="1085"/>
    <n v="31419"/>
    <n v="16736"/>
    <n v="3581"/>
    <n v="2967"/>
    <m/>
    <m/>
    <n v="257"/>
    <n v="401"/>
    <n v="535"/>
    <n v="719"/>
    <n v="912"/>
    <n v="968"/>
    <n v="923"/>
    <n v="1240"/>
    <n v="256"/>
    <n v="337"/>
    <m/>
    <n v="273"/>
    <n v="423"/>
    <n v="3057"/>
    <n v="166"/>
    <n v="8"/>
    <n v="2620"/>
    <n v="1"/>
    <n v="88"/>
    <n v="164"/>
    <n v="259"/>
    <n v="481"/>
    <n v="140"/>
    <m/>
    <n v="16"/>
    <n v="4378"/>
    <n v="1015"/>
    <n v="7"/>
    <n v="0"/>
    <n v="0"/>
    <n v="0"/>
    <n v="0"/>
    <n v="0"/>
    <n v="1294"/>
    <n v="2359"/>
    <n v="66"/>
    <n v="2279"/>
    <n v="550"/>
    <n v="161"/>
    <n v="123"/>
    <n v="1094"/>
    <n v="25"/>
    <n v="1229"/>
    <n v="250"/>
    <n v="501"/>
    <n v="479"/>
    <n v="541"/>
    <n v="108"/>
    <n v="175"/>
    <n v="151"/>
    <n v="9"/>
    <n v="48"/>
    <n v="837"/>
    <n v="196"/>
    <n v="566"/>
    <n v="3"/>
    <n v="52"/>
    <m/>
    <n v="267"/>
    <n v="25"/>
    <n v="231"/>
    <n v="14"/>
    <n v="17"/>
    <n v="362"/>
    <n v="16"/>
    <n v="5441"/>
    <n v="89"/>
    <n v="9"/>
    <n v="26"/>
    <n v="34"/>
    <n v="9"/>
    <n v="8"/>
    <m/>
    <m/>
    <n v="6548"/>
    <n v="596"/>
    <n v="4185"/>
    <n v="1767"/>
    <n v="2011"/>
  </r>
  <r>
    <n v="106190818"/>
    <s v="190818"/>
    <x v="123"/>
    <s v="1812 VERDUGO BOULEVARD"/>
    <s v="GLENDALE"/>
    <n v="91208"/>
    <x v="0"/>
    <x v="0"/>
    <x v="31"/>
    <x v="16"/>
    <s v="78.2dd"/>
    <s v="San Fernando Valley"/>
    <s v="11 - Los Angeles"/>
    <x v="17"/>
    <s v="General Acute Care"/>
    <s v="Non-Profit Corporation (incl. Church-related)"/>
    <s v="General Medical / Surgical"/>
    <n v="116"/>
    <x v="0"/>
    <n v="8143"/>
    <n v="6744"/>
    <m/>
    <m/>
    <n v="1721"/>
    <n v="1833"/>
    <n v="1956"/>
    <n v="1856"/>
    <n v="1984"/>
    <n v="1844"/>
    <n v="1312"/>
    <n v="1021"/>
    <n v="1149"/>
    <n v="211"/>
    <m/>
    <n v="830"/>
    <n v="661"/>
    <n v="1704"/>
    <n v="5"/>
    <n v="1268"/>
    <n v="1286"/>
    <n v="9133"/>
    <n v="408"/>
    <n v="288"/>
    <m/>
    <n v="24"/>
    <m/>
    <n v="1"/>
    <n v="28"/>
    <n v="108"/>
    <m/>
    <m/>
    <n v="34"/>
    <n v="13882"/>
    <n v="114"/>
    <m/>
    <m/>
    <n v="3212"/>
    <n v="2794"/>
    <n v="414"/>
    <n v="6613"/>
    <n v="1854"/>
    <n v="234"/>
    <n v="21"/>
    <n v="383"/>
    <n v="2"/>
    <n v="819"/>
    <n v="184"/>
    <n v="821"/>
    <n v="403"/>
    <n v="4576"/>
    <n v="901"/>
    <n v="10"/>
    <n v="973"/>
    <n v="407"/>
    <n v="13"/>
    <n v="199"/>
    <n v="1420"/>
    <n v="674"/>
    <n v="2846"/>
    <m/>
    <n v="1"/>
    <n v="1582"/>
    <n v="49"/>
    <n v="189"/>
    <n v="7"/>
    <n v="123"/>
    <n v="4"/>
    <n v="3"/>
    <n v="276"/>
    <n v="10149"/>
    <n v="1868"/>
    <n v="107"/>
    <n v="416"/>
    <n v="47"/>
    <n v="53"/>
    <n v="14"/>
    <m/>
    <n v="14887"/>
    <n v="819"/>
    <n v="13659"/>
    <n v="409"/>
    <n v="1940"/>
    <n v="1509"/>
    <m/>
    <m/>
    <n v="35"/>
    <n v="94"/>
    <n v="125"/>
    <n v="218"/>
    <n v="431"/>
    <n v="578"/>
    <n v="741"/>
    <n v="1227"/>
    <m/>
    <m/>
    <m/>
    <n v="199"/>
    <n v="159"/>
    <n v="247"/>
    <n v="98"/>
    <n v="30"/>
    <n v="2716"/>
    <m/>
    <n v="145"/>
    <n v="49"/>
    <n v="78"/>
    <n v="394"/>
    <n v="96"/>
    <n v="11"/>
    <n v="83"/>
    <n v="1519"/>
    <n v="1074"/>
    <m/>
    <n v="0"/>
    <n v="0"/>
    <n v="0"/>
    <n v="0"/>
    <n v="0"/>
    <n v="150"/>
    <n v="2309"/>
    <n v="21"/>
    <n v="837"/>
    <n v="132"/>
    <n v="30"/>
    <n v="44"/>
    <n v="583"/>
    <m/>
    <n v="430"/>
    <n v="142"/>
    <n v="177"/>
    <n v="261"/>
    <n v="309"/>
    <n v="81"/>
    <n v="82"/>
    <n v="214"/>
    <n v="4"/>
    <n v="262"/>
    <n v="410"/>
    <n v="87"/>
    <n v="333"/>
    <m/>
    <m/>
    <m/>
    <n v="324"/>
    <n v="13"/>
    <n v="167"/>
    <n v="1"/>
    <n v="3"/>
    <n v="7"/>
    <n v="8"/>
    <n v="2836"/>
    <n v="55"/>
    <n v="6"/>
    <n v="10"/>
    <n v="11"/>
    <n v="5"/>
    <n v="3"/>
    <m/>
    <m/>
    <n v="3449"/>
    <n v="277"/>
    <n v="3068"/>
    <n v="104"/>
    <n v="2011"/>
  </r>
  <r>
    <n v="106190854"/>
    <s v="190854"/>
    <x v="124"/>
    <s v="2231 SOUTH WESTERN AVENUE"/>
    <s v="LOS ANGELES"/>
    <n v="90018"/>
    <x v="0"/>
    <x v="0"/>
    <x v="39"/>
    <x v="14"/>
    <s v="78.2nnn"/>
    <s v="South"/>
    <s v="11 - Los Angeles"/>
    <x v="17"/>
    <s v="General Acute Care"/>
    <s v="Investor - Corporation"/>
    <s v="General Medical / Surgical"/>
    <n v="115"/>
    <x v="0"/>
    <n v="3138"/>
    <n v="2514"/>
    <m/>
    <m/>
    <n v="677"/>
    <n v="620"/>
    <n v="1048"/>
    <n v="827"/>
    <n v="821"/>
    <n v="900"/>
    <n v="384"/>
    <n v="148"/>
    <n v="119"/>
    <n v="108"/>
    <m/>
    <n v="114"/>
    <n v="3402"/>
    <n v="1575"/>
    <n v="9"/>
    <n v="3"/>
    <n v="10"/>
    <n v="539"/>
    <n v="105"/>
    <n v="277"/>
    <n v="19"/>
    <n v="5"/>
    <n v="21"/>
    <m/>
    <m/>
    <n v="13"/>
    <n v="1"/>
    <n v="18"/>
    <n v="4"/>
    <n v="5040"/>
    <n v="149"/>
    <m/>
    <m/>
    <n v="3265"/>
    <n v="648"/>
    <m/>
    <n v="585"/>
    <n v="1154"/>
    <n v="174"/>
    <n v="27"/>
    <n v="122"/>
    <n v="1"/>
    <n v="321"/>
    <n v="106"/>
    <n v="442"/>
    <n v="153"/>
    <n v="1135"/>
    <n v="382"/>
    <n v="14"/>
    <n v="353"/>
    <n v="227"/>
    <n v="5"/>
    <n v="352"/>
    <n v="755"/>
    <n v="347"/>
    <n v="735"/>
    <n v="1"/>
    <m/>
    <n v="298"/>
    <n v="6"/>
    <n v="26"/>
    <n v="1"/>
    <n v="144"/>
    <n v="18"/>
    <n v="8"/>
    <n v="76"/>
    <n v="4432"/>
    <n v="495"/>
    <n v="17"/>
    <n v="106"/>
    <n v="9"/>
    <n v="9"/>
    <n v="7"/>
    <m/>
    <n v="5652"/>
    <n v="16"/>
    <n v="5019"/>
    <n v="617"/>
    <n v="1066"/>
    <n v="1391"/>
    <m/>
    <m/>
    <n v="34"/>
    <n v="242"/>
    <n v="309"/>
    <n v="508"/>
    <n v="672"/>
    <n v="352"/>
    <n v="188"/>
    <n v="152"/>
    <m/>
    <m/>
    <m/>
    <n v="84"/>
    <n v="1335"/>
    <n v="398"/>
    <m/>
    <n v="8"/>
    <n v="627"/>
    <n v="5"/>
    <n v="50"/>
    <n v="75"/>
    <n v="19"/>
    <n v="8"/>
    <n v="144"/>
    <n v="4"/>
    <n v="333"/>
    <n v="1163"/>
    <n v="659"/>
    <n v="2"/>
    <n v="0"/>
    <n v="0"/>
    <n v="0"/>
    <n v="0"/>
    <n v="0"/>
    <n v="1171"/>
    <n v="1039"/>
    <n v="1"/>
    <n v="65"/>
    <n v="181"/>
    <n v="10"/>
    <n v="68"/>
    <n v="197"/>
    <n v="1"/>
    <n v="133"/>
    <n v="111"/>
    <n v="148"/>
    <n v="51"/>
    <n v="36"/>
    <n v="25"/>
    <n v="11"/>
    <n v="31"/>
    <n v="1"/>
    <n v="1356"/>
    <n v="150"/>
    <n v="69"/>
    <n v="59"/>
    <m/>
    <m/>
    <m/>
    <n v="37"/>
    <n v="2"/>
    <n v="19"/>
    <n v="9"/>
    <n v="12"/>
    <n v="8"/>
    <n v="1"/>
    <n v="2333"/>
    <n v="15"/>
    <m/>
    <n v="2"/>
    <n v="13"/>
    <n v="1"/>
    <n v="5"/>
    <m/>
    <m/>
    <n v="2457"/>
    <n v="13"/>
    <n v="2305"/>
    <n v="139"/>
    <n v="2011"/>
  </r>
  <r>
    <n v="106190859"/>
    <s v="190859"/>
    <x v="125"/>
    <s v="7300 MEDICAL CENTER DRIVE"/>
    <s v="CANOGA PARK"/>
    <n v="91307"/>
    <x v="0"/>
    <x v="0"/>
    <x v="37"/>
    <x v="17"/>
    <s v="78.2xx"/>
    <s v="San Fernando Valley"/>
    <s v="11 - Los Angeles"/>
    <x v="17"/>
    <s v="General Acute Care"/>
    <s v="Investor - Corporation"/>
    <s v="General Medical / Surgical"/>
    <n v="225"/>
    <x v="0"/>
    <n v="17217"/>
    <n v="14069"/>
    <m/>
    <m/>
    <n v="3818"/>
    <n v="3720"/>
    <n v="4631"/>
    <n v="4174"/>
    <n v="4337"/>
    <n v="3808"/>
    <n v="2348"/>
    <n v="1766"/>
    <n v="2165"/>
    <n v="519"/>
    <m/>
    <n v="1458"/>
    <n v="2142"/>
    <n v="8101"/>
    <n v="55"/>
    <n v="587"/>
    <n v="262"/>
    <n v="18681"/>
    <n v="533"/>
    <n v="728"/>
    <m/>
    <n v="72"/>
    <n v="18"/>
    <n v="5"/>
    <n v="3"/>
    <n v="6"/>
    <n v="212"/>
    <n v="67"/>
    <n v="16"/>
    <n v="29468"/>
    <n v="30"/>
    <n v="128"/>
    <m/>
    <n v="2090"/>
    <n v="5783"/>
    <n v="6376"/>
    <n v="11712"/>
    <n v="5325"/>
    <n v="872"/>
    <n v="83"/>
    <n v="628"/>
    <n v="9"/>
    <n v="1422"/>
    <n v="311"/>
    <n v="1392"/>
    <n v="809"/>
    <n v="8731"/>
    <n v="1720"/>
    <n v="46"/>
    <n v="1869"/>
    <n v="1046"/>
    <n v="18"/>
    <n v="1201"/>
    <n v="2429"/>
    <n v="1211"/>
    <n v="7489"/>
    <m/>
    <m/>
    <n v="3000"/>
    <n v="174"/>
    <n v="357"/>
    <n v="58"/>
    <n v="301"/>
    <n v="57"/>
    <n v="180"/>
    <n v="476"/>
    <n v="21209"/>
    <n v="3689"/>
    <n v="176"/>
    <n v="1245"/>
    <n v="130"/>
    <n v="213"/>
    <n v="21"/>
    <m/>
    <n v="31286"/>
    <n v="140"/>
    <n v="30375"/>
    <n v="771"/>
    <n v="3018"/>
    <n v="2651"/>
    <m/>
    <m/>
    <n v="63"/>
    <n v="234"/>
    <n v="281"/>
    <n v="468"/>
    <n v="653"/>
    <n v="873"/>
    <n v="1060"/>
    <n v="1993"/>
    <n v="18"/>
    <n v="26"/>
    <m/>
    <n v="321"/>
    <n v="289"/>
    <n v="624"/>
    <n v="214"/>
    <n v="56"/>
    <n v="4157"/>
    <n v="8"/>
    <n v="69"/>
    <n v="123"/>
    <n v="347"/>
    <n v="527"/>
    <n v="69"/>
    <n v="34"/>
    <n v="63"/>
    <n v="3172"/>
    <n v="1262"/>
    <n v="3"/>
    <n v="0"/>
    <n v="0"/>
    <n v="0"/>
    <n v="0"/>
    <n v="0"/>
    <n v="402"/>
    <n v="3612"/>
    <n v="68"/>
    <n v="1227"/>
    <n v="360"/>
    <n v="80"/>
    <n v="103"/>
    <n v="1196"/>
    <n v="3"/>
    <n v="845"/>
    <n v="215"/>
    <n v="472"/>
    <n v="452"/>
    <n v="606"/>
    <n v="137"/>
    <n v="167"/>
    <n v="117"/>
    <n v="7"/>
    <n v="55"/>
    <n v="773"/>
    <n v="144"/>
    <n v="288"/>
    <n v="1"/>
    <n v="8"/>
    <m/>
    <n v="362"/>
    <n v="37"/>
    <n v="284"/>
    <n v="7"/>
    <n v="7"/>
    <n v="87"/>
    <n v="12"/>
    <n v="4654"/>
    <n v="102"/>
    <n v="4"/>
    <n v="17"/>
    <n v="35"/>
    <n v="12"/>
    <n v="8"/>
    <n v="41"/>
    <m/>
    <n v="5669"/>
    <n v="123"/>
    <n v="5437"/>
    <n v="109"/>
    <n v="2011"/>
  </r>
  <r>
    <n v="106190878"/>
    <s v="190878"/>
    <x v="126"/>
    <s v="1720 CESAR E. CHAVEZ AVENUE"/>
    <s v="LOS ANGELES"/>
    <n v="90033"/>
    <x v="0"/>
    <x v="1"/>
    <x v="25"/>
    <x v="10"/>
    <s v="78.2ffff"/>
    <s v="Metro"/>
    <s v="11 - Los Angeles"/>
    <x v="17"/>
    <s v="General Acute Care"/>
    <s v="Non-Profit Corporation (incl. Church-related)"/>
    <s v="General Medical / Surgical"/>
    <n v="293"/>
    <x v="0"/>
    <n v="19676"/>
    <n v="15384"/>
    <m/>
    <m/>
    <n v="7169"/>
    <n v="4427"/>
    <n v="5373"/>
    <n v="4205"/>
    <n v="3630"/>
    <n v="2801"/>
    <n v="2021"/>
    <n v="1655"/>
    <n v="1358"/>
    <n v="2408"/>
    <n v="13"/>
    <n v="326"/>
    <n v="1118"/>
    <n v="31702"/>
    <m/>
    <n v="1231"/>
    <n v="12"/>
    <n v="671"/>
    <n v="394"/>
    <n v="801"/>
    <n v="77"/>
    <n v="39"/>
    <n v="43"/>
    <m/>
    <m/>
    <n v="1"/>
    <n v="151"/>
    <m/>
    <n v="7"/>
    <n v="33301"/>
    <n v="246"/>
    <m/>
    <m/>
    <n v="20586"/>
    <n v="4321"/>
    <n v="3150"/>
    <n v="5675"/>
    <n v="1328"/>
    <n v="1470"/>
    <n v="86"/>
    <n v="641"/>
    <n v="10"/>
    <n v="2334"/>
    <n v="513"/>
    <n v="2146"/>
    <n v="950"/>
    <n v="6902"/>
    <n v="1468"/>
    <n v="50"/>
    <n v="2229"/>
    <n v="1204"/>
    <n v="143"/>
    <n v="1266"/>
    <n v="4765"/>
    <n v="1532"/>
    <n v="7351"/>
    <m/>
    <m/>
    <n v="2457"/>
    <n v="142"/>
    <n v="285"/>
    <n v="6"/>
    <n v="403"/>
    <n v="54"/>
    <n v="2"/>
    <n v="350"/>
    <n v="27540"/>
    <n v="2721"/>
    <n v="158"/>
    <n v="715"/>
    <n v="20"/>
    <n v="198"/>
    <n v="9"/>
    <m/>
    <n v="35060"/>
    <n v="18"/>
    <n v="19598"/>
    <n v="15444"/>
    <n v="4835"/>
    <n v="4783"/>
    <m/>
    <m/>
    <n v="247"/>
    <n v="631"/>
    <n v="752"/>
    <n v="1166"/>
    <n v="1423"/>
    <n v="1584"/>
    <n v="1398"/>
    <n v="1740"/>
    <n v="344"/>
    <n v="333"/>
    <m/>
    <n v="219"/>
    <n v="704"/>
    <n v="7847"/>
    <n v="512"/>
    <n v="10"/>
    <n v="326"/>
    <m/>
    <n v="274"/>
    <n v="211"/>
    <n v="281"/>
    <n v="945"/>
    <n v="259"/>
    <n v="3"/>
    <n v="74"/>
    <n v="6154"/>
    <n v="1354"/>
    <n v="63"/>
    <n v="0"/>
    <n v="0"/>
    <n v="0"/>
    <n v="0"/>
    <n v="0"/>
    <n v="3863"/>
    <n v="4043"/>
    <n v="338"/>
    <n v="766"/>
    <n v="608"/>
    <n v="147"/>
    <n v="184"/>
    <n v="1897"/>
    <n v="23"/>
    <n v="1256"/>
    <n v="645"/>
    <n v="536"/>
    <n v="778"/>
    <n v="684"/>
    <n v="174"/>
    <n v="159"/>
    <n v="260"/>
    <n v="20"/>
    <n v="798"/>
    <n v="911"/>
    <n v="235"/>
    <n v="842"/>
    <n v="2"/>
    <n v="67"/>
    <m/>
    <n v="367"/>
    <n v="59"/>
    <n v="463"/>
    <n v="25"/>
    <n v="16"/>
    <n v="11"/>
    <n v="10"/>
    <n v="8468"/>
    <n v="78"/>
    <n v="2"/>
    <n v="18"/>
    <n v="74"/>
    <n v="19"/>
    <n v="7"/>
    <n v="1"/>
    <m/>
    <n v="9618"/>
    <n v="34"/>
    <n v="4587"/>
    <n v="4997"/>
    <n v="2011"/>
  </r>
  <r>
    <n v="106190883"/>
    <s v="190883"/>
    <x v="127"/>
    <s v="9080 COLIMA ROAD"/>
    <s v="WHITTIER"/>
    <n v="90605"/>
    <x v="0"/>
    <x v="0"/>
    <x v="40"/>
    <x v="13"/>
    <s v="78.2uu"/>
    <s v="East"/>
    <s v="11 - Los Angeles"/>
    <x v="17"/>
    <s v="General Acute Care"/>
    <s v="Investor - Corporation"/>
    <s v="General Medical / Surgical"/>
    <n v="156"/>
    <x v="0"/>
    <n v="12019"/>
    <n v="9332"/>
    <m/>
    <m/>
    <n v="4463"/>
    <n v="2878"/>
    <n v="3558"/>
    <n v="2843"/>
    <n v="2231"/>
    <n v="1546"/>
    <n v="1022"/>
    <n v="858"/>
    <n v="971"/>
    <n v="981"/>
    <m/>
    <n v="1440"/>
    <n v="439"/>
    <n v="14793"/>
    <n v="1"/>
    <n v="171"/>
    <m/>
    <n v="4507"/>
    <n v="988"/>
    <n v="303"/>
    <n v="33"/>
    <n v="47"/>
    <n v="19"/>
    <n v="1"/>
    <m/>
    <n v="19"/>
    <m/>
    <n v="75"/>
    <m/>
    <n v="19780"/>
    <n v="86"/>
    <m/>
    <m/>
    <n v="2236"/>
    <n v="2516"/>
    <n v="404"/>
    <n v="13045"/>
    <n v="3150"/>
    <n v="863"/>
    <n v="63"/>
    <n v="380"/>
    <n v="6"/>
    <n v="1212"/>
    <n v="262"/>
    <n v="1391"/>
    <n v="588"/>
    <n v="4972"/>
    <n v="1028"/>
    <n v="36"/>
    <n v="1608"/>
    <n v="587"/>
    <n v="96"/>
    <n v="597"/>
    <n v="3180"/>
    <n v="952"/>
    <n v="3530"/>
    <m/>
    <m/>
    <n v="1645"/>
    <n v="47"/>
    <n v="247"/>
    <n v="10"/>
    <n v="162"/>
    <n v="3"/>
    <n v="123"/>
    <n v="293"/>
    <n v="15811"/>
    <n v="2303"/>
    <n v="110"/>
    <n v="441"/>
    <n v="36"/>
    <n v="93"/>
    <n v="27"/>
    <m/>
    <n v="21351"/>
    <n v="362"/>
    <n v="18267"/>
    <n v="2722"/>
    <n v="2507"/>
    <n v="2041"/>
    <m/>
    <m/>
    <n v="86"/>
    <n v="335"/>
    <n v="375"/>
    <n v="557"/>
    <n v="635"/>
    <n v="616"/>
    <n v="669"/>
    <n v="1275"/>
    <m/>
    <m/>
    <m/>
    <n v="744"/>
    <n v="82"/>
    <n v="2278"/>
    <n v="56"/>
    <m/>
    <n v="1382"/>
    <n v="6"/>
    <n v="271"/>
    <n v="134"/>
    <n v="160"/>
    <n v="415"/>
    <n v="31"/>
    <n v="62"/>
    <n v="6"/>
    <n v="2509"/>
    <n v="960"/>
    <m/>
    <n v="0"/>
    <n v="0"/>
    <n v="0"/>
    <n v="0"/>
    <n v="0"/>
    <n v="1041"/>
    <n v="1752"/>
    <n v="194"/>
    <n v="1276"/>
    <n v="285"/>
    <n v="129"/>
    <n v="75"/>
    <n v="653"/>
    <m/>
    <n v="829"/>
    <n v="211"/>
    <n v="460"/>
    <n v="549"/>
    <n v="346"/>
    <n v="63"/>
    <n v="111"/>
    <n v="99"/>
    <n v="7"/>
    <n v="32"/>
    <n v="444"/>
    <n v="140"/>
    <n v="400"/>
    <m/>
    <m/>
    <m/>
    <n v="213"/>
    <n v="20"/>
    <n v="170"/>
    <n v="6"/>
    <n v="6"/>
    <n v="230"/>
    <n v="1"/>
    <n v="3768"/>
    <n v="52"/>
    <n v="5"/>
    <n v="18"/>
    <n v="39"/>
    <n v="9"/>
    <n v="10"/>
    <n v="1"/>
    <m/>
    <n v="4548"/>
    <n v="289"/>
    <n v="3746"/>
    <n v="513"/>
    <n v="2011"/>
  </r>
  <r>
    <n v="106190949"/>
    <s v="190949"/>
    <x v="128"/>
    <s v="23845 WEST MCBEAN PARKWAY"/>
    <s v="VALENCIA"/>
    <n v="91355"/>
    <x v="2"/>
    <x v="0"/>
    <x v="41"/>
    <x v="23"/>
    <s v="76.1a"/>
    <s v="San Fernando Valley"/>
    <s v="11 - Los Angeles"/>
    <x v="17"/>
    <s v="General Acute Care"/>
    <s v="Non-Profit Corporation (incl. Church-related)"/>
    <s v="General Medical / Surgical"/>
    <n v="204"/>
    <x v="0"/>
    <n v="19404"/>
    <n v="16805"/>
    <m/>
    <m/>
    <n v="5538"/>
    <n v="5072"/>
    <n v="6149"/>
    <n v="4834"/>
    <n v="4840"/>
    <n v="3386"/>
    <n v="2183"/>
    <n v="1524"/>
    <n v="1718"/>
    <n v="965"/>
    <m/>
    <n v="1051"/>
    <n v="2090"/>
    <n v="5291"/>
    <n v="3"/>
    <n v="736"/>
    <n v="59"/>
    <n v="26979"/>
    <n v="1326"/>
    <n v="545"/>
    <n v="1253"/>
    <n v="52"/>
    <n v="77"/>
    <m/>
    <n v="1"/>
    <n v="14"/>
    <m/>
    <n v="41"/>
    <n v="13"/>
    <n v="32887"/>
    <m/>
    <m/>
    <m/>
    <n v="5055"/>
    <n v="4763"/>
    <n v="1958"/>
    <n v="18487"/>
    <n v="5946"/>
    <n v="810"/>
    <n v="130"/>
    <n v="738"/>
    <n v="2"/>
    <n v="1566"/>
    <n v="349"/>
    <n v="1746"/>
    <n v="598"/>
    <n v="9014"/>
    <n v="2058"/>
    <n v="28"/>
    <n v="1765"/>
    <n v="2166"/>
    <n v="31"/>
    <n v="1055"/>
    <n v="3603"/>
    <n v="1090"/>
    <n v="9460"/>
    <m/>
    <m/>
    <n v="2846"/>
    <n v="132"/>
    <n v="301"/>
    <n v="15"/>
    <n v="429"/>
    <n v="30"/>
    <n v="135"/>
    <n v="389"/>
    <n v="26241"/>
    <n v="3715"/>
    <n v="221"/>
    <n v="1436"/>
    <n v="68"/>
    <n v="184"/>
    <n v="67"/>
    <m/>
    <n v="36209"/>
    <n v="82"/>
    <n v="35616"/>
    <n v="511"/>
    <n v="4624"/>
    <n v="3873"/>
    <m/>
    <m/>
    <n v="268"/>
    <n v="771"/>
    <n v="691"/>
    <n v="1303"/>
    <n v="1324"/>
    <n v="1228"/>
    <n v="1212"/>
    <n v="1693"/>
    <m/>
    <n v="7"/>
    <m/>
    <n v="162"/>
    <n v="391"/>
    <n v="1103"/>
    <n v="236"/>
    <n v="2"/>
    <n v="6603"/>
    <m/>
    <n v="478"/>
    <n v="216"/>
    <n v="162"/>
    <n v="666"/>
    <n v="267"/>
    <m/>
    <n v="111"/>
    <n v="5822"/>
    <n v="686"/>
    <n v="89"/>
    <n v="0"/>
    <n v="0"/>
    <n v="0"/>
    <n v="0"/>
    <n v="0"/>
    <n v="1004"/>
    <n v="3750"/>
    <n v="159"/>
    <n v="2781"/>
    <n v="803"/>
    <n v="99"/>
    <n v="88"/>
    <n v="1424"/>
    <n v="4"/>
    <n v="1307"/>
    <n v="306"/>
    <n v="488"/>
    <n v="482"/>
    <n v="1258"/>
    <n v="231"/>
    <n v="192"/>
    <n v="220"/>
    <n v="7"/>
    <n v="844"/>
    <n v="879"/>
    <n v="183"/>
    <n v="485"/>
    <m/>
    <m/>
    <m/>
    <n v="594"/>
    <n v="60"/>
    <n v="532"/>
    <n v="66"/>
    <n v="42"/>
    <n v="459"/>
    <n v="31"/>
    <n v="5971"/>
    <n v="208"/>
    <n v="26"/>
    <n v="303"/>
    <n v="143"/>
    <n v="20"/>
    <n v="38"/>
    <n v="4"/>
    <m/>
    <n v="8497"/>
    <n v="104"/>
    <n v="7846"/>
    <n v="547"/>
    <n v="2011"/>
  </r>
  <r>
    <n v="106191227"/>
    <s v="191227"/>
    <x v="129"/>
    <s v="1000 WEST CARSON STREET"/>
    <s v="TORRANCE"/>
    <n v="90502"/>
    <x v="7"/>
    <x v="1"/>
    <x v="21"/>
    <x v="21"/>
    <s v="78.2aaaa"/>
    <s v="South Bay"/>
    <s v="11 - Los Angeles"/>
    <x v="17"/>
    <s v="General Acute Care"/>
    <s v="City and/or County"/>
    <s v="General Medical / Surgical"/>
    <n v="499"/>
    <x v="0"/>
    <n v="27450"/>
    <n v="27925"/>
    <n v="4"/>
    <m/>
    <n v="7882"/>
    <n v="7160"/>
    <n v="8401"/>
    <n v="6996"/>
    <n v="8385"/>
    <n v="9196"/>
    <n v="3993"/>
    <n v="868"/>
    <n v="427"/>
    <n v="2071"/>
    <m/>
    <n v="2824"/>
    <n v="13800"/>
    <n v="31992"/>
    <n v="72"/>
    <n v="725"/>
    <n v="40"/>
    <n v="5926"/>
    <n v="270"/>
    <n v="4895"/>
    <n v="2"/>
    <n v="65"/>
    <n v="13"/>
    <n v="23"/>
    <n v="1"/>
    <n v="13"/>
    <n v="181"/>
    <n v="2617"/>
    <n v="6"/>
    <n v="47261"/>
    <n v="12"/>
    <n v="20"/>
    <m/>
    <n v="20705"/>
    <n v="2120"/>
    <n v="9960"/>
    <n v="3054"/>
    <n v="19540"/>
    <n v="1592"/>
    <n v="363"/>
    <n v="1453"/>
    <n v="54"/>
    <n v="2479"/>
    <n v="1123"/>
    <n v="2863"/>
    <n v="1888"/>
    <n v="8101"/>
    <n v="2886"/>
    <n v="216"/>
    <n v="3049"/>
    <n v="2389"/>
    <n v="26"/>
    <n v="6613"/>
    <n v="4397"/>
    <n v="2060"/>
    <n v="13827"/>
    <m/>
    <m/>
    <n v="2423"/>
    <n v="108"/>
    <n v="69"/>
    <n v="12"/>
    <n v="864"/>
    <n v="7"/>
    <n v="109"/>
    <n v="269"/>
    <n v="47190"/>
    <n v="2671"/>
    <n v="246"/>
    <n v="990"/>
    <n v="77"/>
    <n v="245"/>
    <n v="99"/>
    <m/>
    <n v="55379"/>
    <n v="670"/>
    <n v="35744"/>
    <n v="18965"/>
    <n v="7582"/>
    <n v="8236"/>
    <m/>
    <m/>
    <n v="999"/>
    <n v="2164"/>
    <n v="2034"/>
    <n v="2671"/>
    <n v="3470"/>
    <n v="2079"/>
    <n v="717"/>
    <n v="503"/>
    <n v="431"/>
    <n v="750"/>
    <m/>
    <n v="1190"/>
    <n v="3888"/>
    <n v="8627"/>
    <n v="193"/>
    <n v="22"/>
    <n v="1881"/>
    <n v="17"/>
    <n v="314"/>
    <n v="284"/>
    <n v="327"/>
    <n v="131"/>
    <n v="119"/>
    <n v="110"/>
    <n v="128"/>
    <n v="14012"/>
    <n v="361"/>
    <n v="32"/>
    <n v="0"/>
    <n v="0"/>
    <n v="0"/>
    <n v="0"/>
    <n v="0"/>
    <n v="8052"/>
    <n v="1507"/>
    <n v="565"/>
    <n v="635"/>
    <n v="5059"/>
    <n v="1205"/>
    <n v="323"/>
    <n v="2268"/>
    <n v="40"/>
    <n v="2389"/>
    <n v="824"/>
    <n v="769"/>
    <n v="726"/>
    <n v="2175"/>
    <n v="300"/>
    <n v="649"/>
    <n v="458"/>
    <n v="205"/>
    <n v="989"/>
    <n v="1108"/>
    <n v="522"/>
    <n v="816"/>
    <m/>
    <n v="52"/>
    <m/>
    <n v="575"/>
    <n v="93"/>
    <n v="440"/>
    <n v="351"/>
    <n v="102"/>
    <n v="731"/>
    <n v="49"/>
    <n v="12412"/>
    <n v="273"/>
    <n v="58"/>
    <n v="558"/>
    <n v="76"/>
    <n v="44"/>
    <n v="50"/>
    <n v="6"/>
    <m/>
    <n v="15818"/>
    <n v="457"/>
    <n v="9723"/>
    <n v="5638"/>
    <n v="2011"/>
  </r>
  <r>
    <n v="106191228"/>
    <s v="191228"/>
    <x v="130"/>
    <s v="1200 NORTH STATE STREET"/>
    <s v="LOS ANGELES"/>
    <n v="90033"/>
    <x v="7"/>
    <x v="1"/>
    <x v="25"/>
    <x v="19"/>
    <s v="78.2ffff"/>
    <s v="Metro"/>
    <s v="11 - Los Angeles"/>
    <x v="17"/>
    <s v="General Acute Care"/>
    <s v="City and/or County"/>
    <s v="General Medical / Surgical"/>
    <n v="600"/>
    <x v="3"/>
    <n v="53415"/>
    <n v="65303"/>
    <m/>
    <m/>
    <n v="8676"/>
    <n v="10772"/>
    <n v="20511"/>
    <n v="19115"/>
    <n v="23063"/>
    <n v="22552"/>
    <n v="9361"/>
    <n v="1812"/>
    <n v="726"/>
    <n v="2130"/>
    <m/>
    <n v="5611"/>
    <n v="18161"/>
    <n v="76444"/>
    <n v="399"/>
    <n v="3768"/>
    <n v="955"/>
    <n v="13380"/>
    <n v="6347"/>
    <n v="9682"/>
    <m/>
    <n v="110"/>
    <n v="1"/>
    <m/>
    <n v="32"/>
    <m/>
    <m/>
    <n v="116"/>
    <m/>
    <n v="96874"/>
    <n v="38"/>
    <n v="5518"/>
    <m/>
    <n v="204"/>
    <n v="16"/>
    <n v="10529"/>
    <n v="180"/>
    <n v="107789"/>
    <n v="2028"/>
    <n v="571"/>
    <n v="2746"/>
    <n v="140"/>
    <n v="7450"/>
    <n v="2362"/>
    <n v="7637"/>
    <n v="2390"/>
    <n v="18299"/>
    <n v="9747"/>
    <n v="838"/>
    <n v="7632"/>
    <n v="9489"/>
    <n v="60"/>
    <n v="9918"/>
    <n v="7685"/>
    <n v="4840"/>
    <n v="24878"/>
    <n v="8"/>
    <m/>
    <n v="5490"/>
    <n v="177"/>
    <n v="249"/>
    <n v="59"/>
    <n v="3289"/>
    <n v="310"/>
    <n v="455"/>
    <n v="533"/>
    <n v="97767"/>
    <n v="6171"/>
    <n v="548"/>
    <n v="2509"/>
    <n v="335"/>
    <n v="543"/>
    <n v="281"/>
    <n v="2"/>
    <n v="118718"/>
    <n v="2825"/>
    <n v="66843"/>
    <n v="49050"/>
    <n v="10943"/>
    <n v="13807"/>
    <m/>
    <m/>
    <n v="1515"/>
    <n v="3194"/>
    <n v="3375"/>
    <n v="4618"/>
    <n v="5611"/>
    <n v="3382"/>
    <n v="1115"/>
    <n v="718"/>
    <n v="373"/>
    <n v="849"/>
    <m/>
    <n v="1813"/>
    <n v="2768"/>
    <n v="17520"/>
    <n v="294"/>
    <n v="81"/>
    <n v="2270"/>
    <n v="4"/>
    <n v="837"/>
    <n v="672"/>
    <n v="579"/>
    <n v="9"/>
    <n v="301"/>
    <m/>
    <n v="69"/>
    <n v="21628"/>
    <n v="495"/>
    <n v="160"/>
    <n v="0"/>
    <n v="0"/>
    <n v="0"/>
    <n v="0"/>
    <n v="0"/>
    <n v="14057"/>
    <n v="1840"/>
    <n v="962"/>
    <n v="729"/>
    <n v="7162"/>
    <n v="1347"/>
    <n v="498"/>
    <n v="3107"/>
    <n v="91"/>
    <n v="3820"/>
    <n v="978"/>
    <n v="1248"/>
    <n v="858"/>
    <n v="3589"/>
    <n v="810"/>
    <n v="1451"/>
    <n v="837"/>
    <n v="146"/>
    <n v="2182"/>
    <n v="1473"/>
    <n v="802"/>
    <n v="1432"/>
    <n v="8"/>
    <n v="73"/>
    <m/>
    <n v="1184"/>
    <n v="73"/>
    <n v="493"/>
    <n v="508"/>
    <n v="141"/>
    <n v="730"/>
    <n v="81"/>
    <n v="19727"/>
    <n v="593"/>
    <n v="107"/>
    <n v="758"/>
    <n v="211"/>
    <n v="61"/>
    <n v="65"/>
    <n v="18"/>
    <m/>
    <n v="24750"/>
    <n v="1371"/>
    <n v="12403"/>
    <n v="10976"/>
    <n v="2011"/>
  </r>
  <r>
    <n v="106191231"/>
    <s v="191231"/>
    <x v="131"/>
    <s v="14445 OLIVE VIEW DRIVE"/>
    <s v="SYLMAR"/>
    <n v="91342"/>
    <x v="0"/>
    <x v="1"/>
    <x v="41"/>
    <x v="20"/>
    <s v="78.2gg"/>
    <s v="San Fernando Valley"/>
    <s v="11 - Los Angeles"/>
    <x v="17"/>
    <s v="General Acute Care"/>
    <s v="City and/or County"/>
    <s v="General Medical / Surgical"/>
    <n v="327"/>
    <x v="0"/>
    <n v="24632"/>
    <n v="23385"/>
    <m/>
    <m/>
    <n v="1344"/>
    <n v="3355"/>
    <n v="8471"/>
    <n v="8404"/>
    <n v="10208"/>
    <n v="10113"/>
    <n v="4622"/>
    <n v="830"/>
    <n v="371"/>
    <n v="299"/>
    <m/>
    <n v="2302"/>
    <n v="3233"/>
    <n v="31109"/>
    <n v="131"/>
    <n v="855"/>
    <n v="46"/>
    <n v="10341"/>
    <n v="3300"/>
    <n v="111"/>
    <n v="243"/>
    <n v="19"/>
    <n v="398"/>
    <m/>
    <m/>
    <m/>
    <m/>
    <n v="69"/>
    <m/>
    <n v="43874"/>
    <n v="3"/>
    <m/>
    <m/>
    <n v="11671"/>
    <n v="1680"/>
    <n v="27"/>
    <n v="2743"/>
    <n v="31896"/>
    <n v="512"/>
    <n v="181"/>
    <n v="1387"/>
    <n v="49"/>
    <n v="3566"/>
    <n v="1582"/>
    <n v="4952"/>
    <n v="874"/>
    <n v="4369"/>
    <n v="3289"/>
    <n v="404"/>
    <n v="2197"/>
    <n v="1731"/>
    <n v="8"/>
    <n v="6832"/>
    <n v="2935"/>
    <n v="2062"/>
    <n v="11086"/>
    <n v="1"/>
    <m/>
    <n v="780"/>
    <n v="46"/>
    <n v="62"/>
    <n v="11"/>
    <n v="222"/>
    <n v="2"/>
    <n v="182"/>
    <n v="130"/>
    <n v="44985"/>
    <n v="1176"/>
    <n v="67"/>
    <n v="145"/>
    <n v="77"/>
    <n v="116"/>
    <n v="16"/>
    <m/>
    <n v="48017"/>
    <n v="1817"/>
    <n v="25331"/>
    <n v="20869"/>
    <n v="4378"/>
    <n v="5207"/>
    <m/>
    <m/>
    <n v="183"/>
    <n v="890"/>
    <n v="1162"/>
    <n v="1974"/>
    <n v="2607"/>
    <n v="1606"/>
    <n v="598"/>
    <n v="426"/>
    <n v="43"/>
    <n v="96"/>
    <m/>
    <n v="620"/>
    <n v="567"/>
    <n v="6018"/>
    <n v="146"/>
    <n v="4"/>
    <n v="2206"/>
    <n v="24"/>
    <n v="310"/>
    <n v="248"/>
    <n v="114"/>
    <n v="82"/>
    <n v="28"/>
    <n v="25"/>
    <n v="10"/>
    <n v="8398"/>
    <n v="358"/>
    <n v="12"/>
    <n v="0"/>
    <n v="0"/>
    <n v="0"/>
    <n v="0"/>
    <n v="0"/>
    <n v="4510"/>
    <n v="888"/>
    <n v="207"/>
    <n v="93"/>
    <n v="3887"/>
    <n v="155"/>
    <n v="216"/>
    <n v="1699"/>
    <n v="11"/>
    <n v="1675"/>
    <n v="628"/>
    <n v="641"/>
    <n v="545"/>
    <n v="460"/>
    <n v="156"/>
    <n v="376"/>
    <n v="314"/>
    <n v="21"/>
    <n v="339"/>
    <n v="769"/>
    <n v="498"/>
    <n v="1080"/>
    <m/>
    <n v="2"/>
    <m/>
    <n v="100"/>
    <n v="45"/>
    <n v="404"/>
    <n v="22"/>
    <n v="21"/>
    <n v="412"/>
    <n v="19"/>
    <n v="8391"/>
    <n v="89"/>
    <n v="3"/>
    <n v="17"/>
    <n v="26"/>
    <n v="17"/>
    <n v="19"/>
    <m/>
    <m/>
    <n v="9585"/>
    <n v="541"/>
    <n v="4609"/>
    <n v="4435"/>
    <n v="2011"/>
  </r>
  <r>
    <n v="106191450"/>
    <s v="191450"/>
    <x v="132"/>
    <s v="5601 DE SOTO AVENUE"/>
    <s v="WOODLAND HILLS"/>
    <n v="91367"/>
    <x v="0"/>
    <x v="0"/>
    <x v="29"/>
    <x v="17"/>
    <s v="78.2yy"/>
    <s v="San Fernando Valley"/>
    <s v="11 - Los Angeles"/>
    <x v="17"/>
    <s v="General Acute Care"/>
    <s v="Non-Profit Corporation (incl. Church-related)"/>
    <s v="General Medical / Surgical"/>
    <n v="262"/>
    <x v="0"/>
    <n v="18021"/>
    <n v="15380"/>
    <m/>
    <m/>
    <n v="2233"/>
    <n v="2744"/>
    <n v="4203"/>
    <n v="3478"/>
    <n v="4040"/>
    <n v="4377"/>
    <n v="4180"/>
    <n v="3683"/>
    <n v="4083"/>
    <n v="380"/>
    <m/>
    <n v="2580"/>
    <n v="2364"/>
    <n v="6230"/>
    <n v="68"/>
    <n v="894"/>
    <n v="603"/>
    <n v="20662"/>
    <n v="170"/>
    <n v="234"/>
    <m/>
    <n v="29"/>
    <n v="115"/>
    <n v="8"/>
    <n v="12"/>
    <m/>
    <n v="18"/>
    <n v="464"/>
    <n v="3"/>
    <n v="32112"/>
    <n v="132"/>
    <n v="104"/>
    <m/>
    <n v="1753"/>
    <n v="9849"/>
    <n v="78"/>
    <n v="18398"/>
    <n v="3323"/>
    <n v="424"/>
    <n v="167"/>
    <n v="1436"/>
    <n v="4"/>
    <n v="1745"/>
    <n v="685"/>
    <n v="1901"/>
    <n v="558"/>
    <n v="7946"/>
    <n v="2004"/>
    <n v="74"/>
    <n v="1883"/>
    <n v="697"/>
    <n v="27"/>
    <n v="1509"/>
    <n v="2647"/>
    <n v="1147"/>
    <n v="8547"/>
    <m/>
    <m/>
    <n v="2665"/>
    <n v="135"/>
    <n v="495"/>
    <n v="8"/>
    <n v="199"/>
    <n v="5"/>
    <n v="280"/>
    <n v="349"/>
    <n v="24593"/>
    <n v="3479"/>
    <n v="122"/>
    <n v="804"/>
    <n v="99"/>
    <n v="156"/>
    <n v="12"/>
    <m/>
    <n v="33401"/>
    <n v="765"/>
    <n v="30737"/>
    <n v="1899"/>
    <n v="2705"/>
    <n v="2481"/>
    <m/>
    <m/>
    <n v="92"/>
    <n v="179"/>
    <n v="223"/>
    <n v="302"/>
    <n v="542"/>
    <n v="898"/>
    <n v="1182"/>
    <n v="1737"/>
    <n v="2"/>
    <n v="29"/>
    <m/>
    <n v="336"/>
    <n v="181"/>
    <n v="587"/>
    <n v="29"/>
    <n v="6"/>
    <n v="4039"/>
    <n v="8"/>
    <n v="226"/>
    <n v="33"/>
    <n v="194"/>
    <n v="1093"/>
    <n v="51"/>
    <n v="1"/>
    <n v="150"/>
    <n v="2863"/>
    <n v="575"/>
    <m/>
    <n v="0"/>
    <n v="0"/>
    <n v="0"/>
    <n v="0"/>
    <n v="0"/>
    <n v="94"/>
    <n v="3370"/>
    <n v="5"/>
    <n v="1579"/>
    <n v="138"/>
    <n v="32"/>
    <n v="86"/>
    <n v="1001"/>
    <n v="3"/>
    <n v="1005"/>
    <n v="194"/>
    <n v="294"/>
    <n v="723"/>
    <n v="628"/>
    <n v="100"/>
    <n v="134"/>
    <n v="118"/>
    <n v="4"/>
    <n v="68"/>
    <n v="468"/>
    <n v="76"/>
    <n v="251"/>
    <m/>
    <n v="1"/>
    <m/>
    <n v="363"/>
    <n v="18"/>
    <n v="329"/>
    <n v="5"/>
    <n v="8"/>
    <n v="403"/>
    <n v="13"/>
    <n v="3911"/>
    <n v="59"/>
    <n v="7"/>
    <n v="21"/>
    <n v="32"/>
    <n v="13"/>
    <n v="3"/>
    <n v="1"/>
    <m/>
    <n v="5186"/>
    <n v="125"/>
    <n v="4872"/>
    <n v="189"/>
    <n v="2011"/>
  </r>
  <r>
    <n v="106196035"/>
    <s v="196035"/>
    <x v="133"/>
    <s v="1011 BALDWIN PARK BLVD."/>
    <s v="BALDWIN PARK"/>
    <n v="91706"/>
    <x v="0"/>
    <x v="0"/>
    <x v="34"/>
    <x v="19"/>
    <s v="78.2yyy"/>
    <s v="San Gabriel Valley"/>
    <s v="11 - Los Angeles"/>
    <x v="17"/>
    <s v="General Acute Care"/>
    <s v="Non-Profit Corporation (incl. Church-related)"/>
    <s v="General Medical / Surgical"/>
    <n v="269"/>
    <x v="0"/>
    <n v="35579"/>
    <n v="29090"/>
    <n v="1"/>
    <m/>
    <n v="8994"/>
    <n v="7538"/>
    <n v="8666"/>
    <n v="7806"/>
    <n v="7538"/>
    <n v="7477"/>
    <n v="6393"/>
    <n v="5064"/>
    <n v="3476"/>
    <n v="1718"/>
    <m/>
    <n v="5849"/>
    <n v="2412"/>
    <n v="38805"/>
    <n v="102"/>
    <n v="5083"/>
    <n v="2375"/>
    <n v="10044"/>
    <n v="656"/>
    <n v="319"/>
    <m/>
    <n v="22"/>
    <n v="311"/>
    <n v="46"/>
    <n v="15"/>
    <n v="10"/>
    <n v="95"/>
    <n v="506"/>
    <n v="68"/>
    <n v="62370"/>
    <n v="135"/>
    <n v="116"/>
    <n v="1"/>
    <n v="9509"/>
    <n v="11609"/>
    <n v="175"/>
    <n v="39295"/>
    <n v="4082"/>
    <n v="1479"/>
    <n v="318"/>
    <n v="1753"/>
    <n v="15"/>
    <n v="4486"/>
    <n v="1385"/>
    <n v="3711"/>
    <n v="1404"/>
    <n v="15014"/>
    <n v="3574"/>
    <n v="83"/>
    <n v="4521"/>
    <n v="1521"/>
    <n v="71"/>
    <n v="2020"/>
    <n v="6667"/>
    <n v="2642"/>
    <n v="14006"/>
    <m/>
    <m/>
    <n v="4853"/>
    <n v="175"/>
    <n v="803"/>
    <n v="16"/>
    <n v="378"/>
    <n v="20"/>
    <n v="543"/>
    <n v="675"/>
    <n v="47492"/>
    <n v="7392"/>
    <n v="267"/>
    <n v="1586"/>
    <n v="101"/>
    <n v="351"/>
    <n v="18"/>
    <m/>
    <n v="64670"/>
    <n v="1210"/>
    <n v="54385"/>
    <n v="9075"/>
    <n v="4236"/>
    <n v="4051"/>
    <m/>
    <m/>
    <n v="151"/>
    <n v="357"/>
    <n v="481"/>
    <n v="781"/>
    <n v="1326"/>
    <n v="1709"/>
    <n v="1815"/>
    <n v="1655"/>
    <n v="7"/>
    <n v="5"/>
    <m/>
    <n v="1118"/>
    <n v="465"/>
    <n v="3980"/>
    <n v="149"/>
    <n v="13"/>
    <n v="2549"/>
    <n v="13"/>
    <n v="426"/>
    <n v="53"/>
    <n v="159"/>
    <n v="1762"/>
    <n v="46"/>
    <n v="42"/>
    <n v="18"/>
    <n v="4946"/>
    <n v="834"/>
    <n v="1"/>
    <n v="0"/>
    <n v="0"/>
    <n v="0"/>
    <n v="0"/>
    <n v="0"/>
    <n v="253"/>
    <n v="4384"/>
    <n v="13"/>
    <n v="3432"/>
    <n v="205"/>
    <n v="90"/>
    <n v="250"/>
    <n v="1721"/>
    <n v="3"/>
    <n v="1715"/>
    <n v="568"/>
    <n v="510"/>
    <n v="551"/>
    <n v="583"/>
    <n v="150"/>
    <n v="205"/>
    <n v="157"/>
    <n v="11"/>
    <n v="79"/>
    <n v="889"/>
    <n v="227"/>
    <n v="571"/>
    <n v="1"/>
    <n v="6"/>
    <m/>
    <n v="366"/>
    <n v="31"/>
    <n v="676"/>
    <n v="8"/>
    <n v="22"/>
    <n v="354"/>
    <n v="16"/>
    <n v="6615"/>
    <n v="110"/>
    <n v="5"/>
    <n v="33"/>
    <n v="25"/>
    <n v="15"/>
    <n v="8"/>
    <n v="3"/>
    <m/>
    <n v="8287"/>
    <n v="266"/>
    <n v="6942"/>
    <n v="1079"/>
    <n v="2011"/>
  </r>
  <r>
    <n v="106196403"/>
    <s v="196403"/>
    <x v="134"/>
    <s v="9333 IMPERIAL HIGHWAY"/>
    <s v="DOWNEY"/>
    <n v="90242"/>
    <x v="0"/>
    <x v="0"/>
    <x v="22"/>
    <x v="12"/>
    <s v="78.2eee"/>
    <s v="East"/>
    <s v="11 - Los Angeles"/>
    <x v="17"/>
    <s v="General Acute Care"/>
    <s v="Non-Profit Corporation (incl. Church-related)"/>
    <s v="General Medical / Surgical"/>
    <n v="352"/>
    <x v="0"/>
    <n v="45919"/>
    <n v="34344"/>
    <n v="1"/>
    <m/>
    <n v="10770"/>
    <n v="9158"/>
    <n v="11708"/>
    <n v="10437"/>
    <n v="10296"/>
    <n v="9579"/>
    <n v="7420"/>
    <n v="4972"/>
    <n v="3727"/>
    <n v="2196"/>
    <n v="1"/>
    <n v="4469"/>
    <n v="15776"/>
    <n v="44795"/>
    <n v="156"/>
    <n v="2007"/>
    <n v="516"/>
    <n v="12545"/>
    <n v="1131"/>
    <n v="601"/>
    <n v="15"/>
    <n v="18"/>
    <n v="350"/>
    <n v="41"/>
    <n v="8"/>
    <n v="3"/>
    <n v="26"/>
    <n v="618"/>
    <n v="33"/>
    <n v="77200"/>
    <n v="115"/>
    <n v="82"/>
    <n v="23"/>
    <n v="10269"/>
    <n v="12767"/>
    <n v="183"/>
    <n v="50570"/>
    <n v="6475"/>
    <n v="2839"/>
    <n v="515"/>
    <n v="2001"/>
    <n v="21"/>
    <n v="4761"/>
    <n v="1474"/>
    <n v="5058"/>
    <n v="1378"/>
    <n v="16009"/>
    <n v="4825"/>
    <n v="145"/>
    <n v="5192"/>
    <n v="1453"/>
    <n v="145"/>
    <n v="2391"/>
    <n v="8240"/>
    <n v="2806"/>
    <n v="21011"/>
    <m/>
    <m/>
    <n v="5106"/>
    <n v="225"/>
    <n v="930"/>
    <n v="25"/>
    <n v="545"/>
    <n v="20"/>
    <n v="627"/>
    <n v="738"/>
    <n v="62158"/>
    <n v="7250"/>
    <n v="332"/>
    <n v="1631"/>
    <n v="179"/>
    <n v="414"/>
    <n v="84"/>
    <m/>
    <n v="80264"/>
    <n v="599"/>
    <n v="67084"/>
    <n v="12581"/>
    <n v="6260"/>
    <n v="5406"/>
    <m/>
    <m/>
    <n v="440"/>
    <n v="765"/>
    <n v="958"/>
    <n v="1263"/>
    <n v="1800"/>
    <n v="2075"/>
    <n v="2058"/>
    <n v="1886"/>
    <n v="119"/>
    <n v="302"/>
    <m/>
    <n v="806"/>
    <n v="2426"/>
    <n v="5207"/>
    <n v="107"/>
    <n v="7"/>
    <n v="3082"/>
    <n v="31"/>
    <n v="515"/>
    <n v="92"/>
    <n v="222"/>
    <n v="2292"/>
    <n v="52"/>
    <n v="6"/>
    <n v="87"/>
    <n v="7753"/>
    <n v="644"/>
    <n v="3"/>
    <n v="0"/>
    <n v="0"/>
    <n v="0"/>
    <n v="0"/>
    <n v="0"/>
    <n v="612"/>
    <n v="5215"/>
    <n v="20"/>
    <n v="5373"/>
    <n v="446"/>
    <n v="127"/>
    <n v="323"/>
    <n v="1785"/>
    <n v="11"/>
    <n v="2486"/>
    <n v="667"/>
    <n v="742"/>
    <n v="1362"/>
    <n v="883"/>
    <n v="241"/>
    <n v="262"/>
    <n v="328"/>
    <n v="15"/>
    <n v="164"/>
    <n v="1188"/>
    <n v="408"/>
    <n v="653"/>
    <m/>
    <n v="21"/>
    <m/>
    <n v="443"/>
    <n v="40"/>
    <n v="979"/>
    <n v="16"/>
    <n v="17"/>
    <n v="707"/>
    <n v="23"/>
    <n v="9159"/>
    <n v="185"/>
    <n v="8"/>
    <n v="29"/>
    <n v="19"/>
    <n v="32"/>
    <n v="9"/>
    <m/>
    <m/>
    <n v="11666"/>
    <n v="113"/>
    <n v="9734"/>
    <n v="1819"/>
    <n v="2011"/>
  </r>
  <r>
    <n v="106196405"/>
    <s v="196405"/>
    <x v="135"/>
    <s v="38600 MEDICAL CENTER DRIVE"/>
    <s v="PALMDALE"/>
    <n v="93551"/>
    <x v="0"/>
    <x v="0"/>
    <x v="19"/>
    <x v="11"/>
    <s v="77.1a"/>
    <s v="Antelope Valley"/>
    <s v="11 - Los Angeles"/>
    <x v="17"/>
    <s v="General Acute Care"/>
    <s v="Investor - Corporation"/>
    <s v="General Medical / Surgical"/>
    <n v="157"/>
    <x v="0"/>
    <n v="26892"/>
    <n v="19423"/>
    <m/>
    <m/>
    <n v="7024"/>
    <n v="6094"/>
    <n v="8090"/>
    <n v="6369"/>
    <n v="6232"/>
    <n v="5347"/>
    <n v="2808"/>
    <n v="1721"/>
    <n v="1288"/>
    <n v="1341"/>
    <n v="1"/>
    <n v="223"/>
    <n v="10696"/>
    <n v="15327"/>
    <n v="18"/>
    <n v="3942"/>
    <n v="225"/>
    <n v="15884"/>
    <n v="485"/>
    <n v="424"/>
    <n v="5"/>
    <n v="61"/>
    <n v="1"/>
    <n v="5"/>
    <n v="4"/>
    <m/>
    <n v="1328"/>
    <n v="143"/>
    <m/>
    <n v="43841"/>
    <n v="18"/>
    <m/>
    <m/>
    <n v="7479"/>
    <n v="4363"/>
    <n v="1317"/>
    <n v="25956"/>
    <n v="7200"/>
    <n v="1289"/>
    <n v="202"/>
    <n v="1000"/>
    <n v="7"/>
    <n v="2122"/>
    <n v="964"/>
    <n v="2793"/>
    <n v="864"/>
    <n v="9211"/>
    <n v="2253"/>
    <n v="52"/>
    <n v="3695"/>
    <n v="2491"/>
    <n v="33"/>
    <n v="1113"/>
    <n v="6309"/>
    <n v="1761"/>
    <n v="10152"/>
    <m/>
    <n v="4"/>
    <n v="2946"/>
    <n v="189"/>
    <n v="337"/>
    <n v="19"/>
    <n v="641"/>
    <n v="73"/>
    <n v="264"/>
    <n v="435"/>
    <n v="35970"/>
    <n v="3513"/>
    <n v="178"/>
    <n v="1222"/>
    <n v="251"/>
    <n v="178"/>
    <n v="99"/>
    <m/>
    <n v="46315"/>
    <n v="124"/>
    <n v="45190"/>
    <n v="1001"/>
    <n v="3340"/>
    <n v="2940"/>
    <n v="1"/>
    <m/>
    <n v="67"/>
    <n v="384"/>
    <n v="471"/>
    <n v="800"/>
    <n v="1287"/>
    <n v="1171"/>
    <n v="1083"/>
    <n v="1018"/>
    <m/>
    <m/>
    <m/>
    <n v="53"/>
    <n v="1250"/>
    <n v="1411"/>
    <n v="400"/>
    <n v="39"/>
    <n v="3124"/>
    <n v="4"/>
    <n v="101"/>
    <n v="127"/>
    <n v="188"/>
    <n v="739"/>
    <n v="80"/>
    <m/>
    <m/>
    <n v="4354"/>
    <n v="514"/>
    <n v="178"/>
    <n v="0"/>
    <n v="0"/>
    <n v="0"/>
    <n v="0"/>
    <n v="0"/>
    <n v="1221"/>
    <n v="3246"/>
    <n v="113"/>
    <n v="1257"/>
    <n v="444"/>
    <n v="14"/>
    <n v="99"/>
    <n v="1442"/>
    <n v="1"/>
    <n v="1088"/>
    <n v="358"/>
    <n v="351"/>
    <n v="288"/>
    <n v="617"/>
    <n v="134"/>
    <n v="145"/>
    <n v="169"/>
    <n v="6"/>
    <n v="76"/>
    <n v="871"/>
    <n v="143"/>
    <n v="479"/>
    <m/>
    <m/>
    <m/>
    <n v="313"/>
    <n v="52"/>
    <n v="368"/>
    <n v="13"/>
    <n v="28"/>
    <n v="301"/>
    <n v="16"/>
    <n v="4974"/>
    <n v="72"/>
    <n v="16"/>
    <n v="47"/>
    <n v="42"/>
    <n v="27"/>
    <n v="11"/>
    <n v="1"/>
    <m/>
    <n v="6281"/>
    <n v="40"/>
    <n v="5963"/>
    <n v="278"/>
    <n v="2011"/>
  </r>
  <r>
    <n v="106201281"/>
    <s v="201281"/>
    <x v="136"/>
    <s v="1250 EAST ALMOND AVENUE"/>
    <s v="MADERA"/>
    <n v="93637"/>
    <x v="0"/>
    <x v="0"/>
    <x v="12"/>
    <x v="24"/>
    <s v="80"/>
    <m/>
    <s v="09 - Central"/>
    <x v="18"/>
    <s v="General Acute Care"/>
    <s v="Non-Profit Corporation (incl. Church-related)"/>
    <s v="General Medical / Surgical"/>
    <n v="106"/>
    <x v="0"/>
    <n v="23825"/>
    <n v="17285"/>
    <n v="2"/>
    <m/>
    <n v="6879"/>
    <n v="5430"/>
    <n v="7932"/>
    <n v="6301"/>
    <n v="5005"/>
    <n v="3698"/>
    <n v="2097"/>
    <n v="1294"/>
    <n v="1059"/>
    <n v="1417"/>
    <m/>
    <n v="199"/>
    <n v="1840"/>
    <n v="27921"/>
    <n v="51"/>
    <n v="34"/>
    <n v="64"/>
    <n v="11003"/>
    <n v="607"/>
    <n v="1048"/>
    <m/>
    <n v="29"/>
    <n v="3"/>
    <n v="2"/>
    <n v="6"/>
    <n v="248"/>
    <n v="727"/>
    <n v="331"/>
    <n v="109"/>
    <n v="37944"/>
    <n v="58"/>
    <m/>
    <m/>
    <n v="20453"/>
    <n v="4259"/>
    <n v="3844"/>
    <n v="5341"/>
    <n v="7215"/>
    <n v="1477"/>
    <n v="142"/>
    <n v="820"/>
    <n v="15"/>
    <n v="2934"/>
    <n v="601"/>
    <n v="2489"/>
    <n v="984"/>
    <n v="7590"/>
    <n v="2227"/>
    <n v="73"/>
    <n v="2966"/>
    <n v="2355"/>
    <n v="37"/>
    <n v="1745"/>
    <n v="5955"/>
    <n v="1875"/>
    <n v="6825"/>
    <n v="1"/>
    <n v="1"/>
    <n v="2186"/>
    <n v="186"/>
    <n v="257"/>
    <n v="29"/>
    <n v="502"/>
    <n v="56"/>
    <n v="109"/>
    <n v="520"/>
    <n v="32757"/>
    <n v="3245"/>
    <n v="164"/>
    <n v="716"/>
    <n v="95"/>
    <n v="225"/>
    <n v="65"/>
    <m/>
    <n v="41112"/>
    <n v="147"/>
    <n v="29025"/>
    <n v="11940"/>
    <n v="1335"/>
    <n v="919"/>
    <m/>
    <m/>
    <n v="47"/>
    <n v="183"/>
    <n v="193"/>
    <n v="274"/>
    <n v="353"/>
    <n v="325"/>
    <n v="373"/>
    <n v="505"/>
    <n v="1"/>
    <m/>
    <m/>
    <n v="44"/>
    <n v="173"/>
    <n v="1019"/>
    <n v="3"/>
    <n v="1"/>
    <n v="1013"/>
    <n v="1"/>
    <n v="80"/>
    <n v="46"/>
    <n v="109"/>
    <n v="167"/>
    <n v="9"/>
    <n v="4"/>
    <n v="7"/>
    <n v="1331"/>
    <n v="349"/>
    <n v="152"/>
    <n v="0"/>
    <n v="0"/>
    <n v="0"/>
    <n v="0"/>
    <n v="0"/>
    <n v="571"/>
    <n v="1028"/>
    <n v="188"/>
    <n v="222"/>
    <n v="245"/>
    <n v="45"/>
    <n v="70"/>
    <n v="421"/>
    <n v="1"/>
    <n v="456"/>
    <n v="198"/>
    <n v="145"/>
    <n v="127"/>
    <n v="126"/>
    <n v="19"/>
    <n v="51"/>
    <n v="28"/>
    <n v="3"/>
    <n v="19"/>
    <n v="350"/>
    <n v="99"/>
    <n v="95"/>
    <n v="1"/>
    <m/>
    <m/>
    <n v="72"/>
    <n v="26"/>
    <n v="102"/>
    <n v="5"/>
    <n v="6"/>
    <n v="73"/>
    <n v="5"/>
    <n v="1906"/>
    <n v="20"/>
    <n v="4"/>
    <n v="3"/>
    <n v="23"/>
    <n v="2"/>
    <n v="6"/>
    <n v="1"/>
    <m/>
    <n v="2254"/>
    <n v="30"/>
    <n v="1785"/>
    <n v="439"/>
    <n v="2011"/>
  </r>
  <r>
    <n v="106204019"/>
    <s v="204019"/>
    <x v="137"/>
    <s v="9300 VALLEY CHILDRENS PLACE"/>
    <s v="MADERA"/>
    <n v="93638"/>
    <x v="0"/>
    <x v="0"/>
    <x v="12"/>
    <x v="5"/>
    <s v="80"/>
    <m/>
    <s v="09 - Central"/>
    <x v="18"/>
    <s v="General Acute Care"/>
    <s v="Non-Profit Corporation (incl. Church-related)"/>
    <s v="Pediatric"/>
    <n v="348"/>
    <x v="0"/>
    <n v="29156"/>
    <n v="33669"/>
    <m/>
    <m/>
    <n v="37804"/>
    <n v="10934"/>
    <n v="172"/>
    <n v="75"/>
    <n v="38"/>
    <n v="32"/>
    <n v="15"/>
    <n v="1"/>
    <n v="2"/>
    <n v="13752"/>
    <m/>
    <n v="1695"/>
    <n v="2501"/>
    <n v="44975"/>
    <n v="45"/>
    <n v="1509"/>
    <n v="69"/>
    <n v="12031"/>
    <n v="163"/>
    <n v="25"/>
    <m/>
    <n v="8"/>
    <m/>
    <m/>
    <m/>
    <n v="59"/>
    <m/>
    <m/>
    <m/>
    <n v="62570"/>
    <m/>
    <m/>
    <m/>
    <n v="47198"/>
    <n v="11"/>
    <n v="571"/>
    <n v="13083"/>
    <n v="1962"/>
    <n v="19"/>
    <n v="293"/>
    <n v="93"/>
    <n v="133"/>
    <n v="3882"/>
    <n v="614"/>
    <n v="1882"/>
    <n v="3914"/>
    <n v="10374"/>
    <n v="750"/>
    <n v="58"/>
    <n v="4645"/>
    <n v="1000"/>
    <n v="240"/>
    <n v="226"/>
    <n v="14500"/>
    <n v="2956"/>
    <n v="17245"/>
    <m/>
    <n v="1"/>
    <n v="4036"/>
    <n v="218"/>
    <n v="193"/>
    <n v="24"/>
    <n v="75"/>
    <n v="12"/>
    <n v="112"/>
    <n v="666"/>
    <n v="52305"/>
    <n v="4061"/>
    <n v="276"/>
    <n v="298"/>
    <n v="13"/>
    <n v="525"/>
    <n v="11"/>
    <m/>
    <n v="62825"/>
    <n v="204"/>
    <n v="48769"/>
    <n v="13852"/>
    <n v="3450"/>
    <n v="4471"/>
    <m/>
    <m/>
    <n v="1668"/>
    <n v="38"/>
    <m/>
    <m/>
    <m/>
    <m/>
    <m/>
    <m/>
    <n v="2484"/>
    <n v="3731"/>
    <m/>
    <n v="295"/>
    <n v="370"/>
    <n v="5211"/>
    <n v="139"/>
    <n v="1"/>
    <n v="1898"/>
    <n v="7"/>
    <n v="48"/>
    <n v="4"/>
    <n v="12"/>
    <n v="28"/>
    <n v="21"/>
    <m/>
    <m/>
    <n v="7808"/>
    <m/>
    <m/>
    <n v="0"/>
    <n v="0"/>
    <n v="0"/>
    <n v="0"/>
    <n v="0"/>
    <n v="5843"/>
    <n v="9"/>
    <n v="128"/>
    <n v="1921"/>
    <n v="20"/>
    <m/>
    <n v="147"/>
    <n v="66"/>
    <n v="189"/>
    <n v="1072"/>
    <n v="459"/>
    <n v="362"/>
    <n v="385"/>
    <n v="854"/>
    <n v="120"/>
    <n v="81"/>
    <n v="376"/>
    <n v="10"/>
    <n v="20"/>
    <n v="2512"/>
    <n v="406"/>
    <n v="506"/>
    <m/>
    <n v="356"/>
    <m/>
    <n v="325"/>
    <n v="57"/>
    <n v="225"/>
    <n v="32"/>
    <n v="28"/>
    <n v="6"/>
    <n v="63"/>
    <n v="6870"/>
    <n v="160"/>
    <n v="45"/>
    <n v="44"/>
    <n v="13"/>
    <n v="48"/>
    <n v="3"/>
    <n v="2"/>
    <m/>
    <n v="7921"/>
    <n v="75"/>
    <n v="6106"/>
    <n v="1740"/>
    <n v="2011"/>
  </r>
  <r>
    <n v="106210992"/>
    <s v="210992"/>
    <x v="138"/>
    <s v="99 MONTECILLO ROAD"/>
    <s v="SAN RAFAEL"/>
    <n v="94903"/>
    <x v="0"/>
    <x v="0"/>
    <x v="42"/>
    <x v="25"/>
    <s v="83a"/>
    <m/>
    <s v="04 - West Bay"/>
    <x v="19"/>
    <s v="General Acute Care"/>
    <s v="Non-Profit Corporation (incl. Church-related)"/>
    <s v="General Medical / Surgical"/>
    <n v="116"/>
    <x v="0"/>
    <n v="11349"/>
    <n v="10018"/>
    <m/>
    <m/>
    <n v="1514"/>
    <n v="1939"/>
    <n v="2024"/>
    <n v="1895"/>
    <n v="2754"/>
    <n v="3127"/>
    <n v="2989"/>
    <n v="2291"/>
    <n v="2671"/>
    <n v="163"/>
    <m/>
    <n v="999"/>
    <n v="1019"/>
    <n v="2525"/>
    <n v="68"/>
    <n v="458"/>
    <n v="223"/>
    <n v="16075"/>
    <n v="120"/>
    <n v="178"/>
    <n v="5"/>
    <n v="23"/>
    <n v="59"/>
    <n v="27"/>
    <n v="14"/>
    <m/>
    <n v="24"/>
    <n v="155"/>
    <n v="5"/>
    <n v="20543"/>
    <n v="90"/>
    <n v="115"/>
    <n v="9"/>
    <n v="1146"/>
    <n v="6218"/>
    <n v="112"/>
    <n v="12492"/>
    <n v="1399"/>
    <n v="167"/>
    <n v="48"/>
    <n v="802"/>
    <n v="10"/>
    <n v="983"/>
    <n v="311"/>
    <n v="818"/>
    <n v="275"/>
    <n v="6743"/>
    <n v="1274"/>
    <n v="45"/>
    <n v="1373"/>
    <n v="437"/>
    <n v="13"/>
    <n v="1026"/>
    <n v="1343"/>
    <n v="820"/>
    <n v="4879"/>
    <m/>
    <m/>
    <n v="2184"/>
    <n v="59"/>
    <n v="185"/>
    <n v="10"/>
    <n v="103"/>
    <n v="16"/>
    <n v="123"/>
    <n v="430"/>
    <n v="13765"/>
    <n v="3499"/>
    <n v="232"/>
    <n v="512"/>
    <n v="63"/>
    <n v="165"/>
    <n v="21"/>
    <m/>
    <n v="21367"/>
    <n v="249"/>
    <n v="20199"/>
    <n v="919"/>
    <n v="2022"/>
    <n v="1688"/>
    <m/>
    <m/>
    <n v="42"/>
    <n v="92"/>
    <n v="96"/>
    <n v="232"/>
    <n v="422"/>
    <n v="688"/>
    <n v="786"/>
    <n v="1352"/>
    <m/>
    <m/>
    <m/>
    <n v="146"/>
    <n v="125"/>
    <n v="215"/>
    <n v="45"/>
    <n v="11"/>
    <n v="3164"/>
    <n v="4"/>
    <n v="188"/>
    <n v="27"/>
    <n v="170"/>
    <n v="584"/>
    <n v="30"/>
    <m/>
    <n v="62"/>
    <n v="2133"/>
    <n v="516"/>
    <m/>
    <n v="0"/>
    <n v="0"/>
    <n v="0"/>
    <n v="0"/>
    <n v="0"/>
    <n v="25"/>
    <n v="2546"/>
    <n v="10"/>
    <n v="1084"/>
    <n v="45"/>
    <n v="4"/>
    <n v="73"/>
    <n v="809"/>
    <n v="3"/>
    <n v="608"/>
    <n v="122"/>
    <n v="179"/>
    <n v="698"/>
    <n v="444"/>
    <n v="85"/>
    <n v="96"/>
    <n v="92"/>
    <n v="9"/>
    <n v="43"/>
    <n v="240"/>
    <n v="62"/>
    <n v="143"/>
    <m/>
    <m/>
    <m/>
    <n v="313"/>
    <n v="22"/>
    <n v="490"/>
    <n v="5"/>
    <n v="34"/>
    <n v="29"/>
    <n v="8"/>
    <n v="2688"/>
    <n v="63"/>
    <n v="16"/>
    <n v="13"/>
    <n v="14"/>
    <n v="15"/>
    <m/>
    <m/>
    <m/>
    <n v="3710"/>
    <n v="51"/>
    <n v="3595"/>
    <n v="64"/>
    <n v="2011"/>
  </r>
  <r>
    <n v="106211006"/>
    <s v="211006"/>
    <x v="139"/>
    <s v="250 BON AIR ROAD"/>
    <s v="GREENBRAE"/>
    <n v="94904"/>
    <x v="4"/>
    <x v="0"/>
    <x v="42"/>
    <x v="25"/>
    <s v="83a"/>
    <m/>
    <s v="04 - West Bay"/>
    <x v="19"/>
    <s v="General Acute Care"/>
    <s v="Non-Profit Corporation (incl. Church-related)"/>
    <s v="General Medical / Surgical"/>
    <n v="218"/>
    <x v="0"/>
    <n v="14613"/>
    <n v="13449"/>
    <n v="2"/>
    <m/>
    <n v="3458"/>
    <n v="2432"/>
    <n v="3575"/>
    <n v="3612"/>
    <n v="3936"/>
    <n v="3722"/>
    <n v="2840"/>
    <n v="1590"/>
    <n v="2140"/>
    <n v="759"/>
    <m/>
    <n v="792"/>
    <n v="1862"/>
    <n v="5632"/>
    <n v="59"/>
    <n v="1335"/>
    <n v="65"/>
    <n v="18319"/>
    <n v="63"/>
    <n v="166"/>
    <n v="5"/>
    <n v="48"/>
    <n v="10"/>
    <n v="3"/>
    <n v="6"/>
    <n v="5"/>
    <n v="429"/>
    <n v="154"/>
    <n v="46"/>
    <n v="26916"/>
    <n v="116"/>
    <n v="16"/>
    <n v="81"/>
    <n v="5859"/>
    <n v="5606"/>
    <n v="1209"/>
    <n v="11321"/>
    <n v="4069"/>
    <n v="431"/>
    <n v="44"/>
    <n v="620"/>
    <n v="7"/>
    <n v="1049"/>
    <n v="232"/>
    <n v="1137"/>
    <n v="440"/>
    <n v="8553"/>
    <n v="1509"/>
    <n v="25"/>
    <n v="1675"/>
    <n v="1058"/>
    <n v="25"/>
    <n v="1077"/>
    <n v="2286"/>
    <n v="1337"/>
    <n v="6558"/>
    <m/>
    <n v="1"/>
    <n v="2957"/>
    <n v="163"/>
    <n v="171"/>
    <n v="20"/>
    <n v="305"/>
    <n v="3"/>
    <n v="120"/>
    <n v="389"/>
    <n v="19002"/>
    <n v="3460"/>
    <n v="477"/>
    <n v="647"/>
    <n v="110"/>
    <n v="221"/>
    <n v="19"/>
    <m/>
    <n v="28064"/>
    <n v="592"/>
    <n v="23048"/>
    <n v="4424"/>
    <n v="2954"/>
    <n v="2766"/>
    <m/>
    <m/>
    <n v="120"/>
    <n v="249"/>
    <n v="292"/>
    <n v="463"/>
    <n v="802"/>
    <n v="980"/>
    <n v="871"/>
    <n v="1842"/>
    <n v="27"/>
    <n v="74"/>
    <m/>
    <n v="163"/>
    <n v="280"/>
    <n v="484"/>
    <n v="144"/>
    <n v="13"/>
    <n v="4629"/>
    <n v="7"/>
    <n v="165"/>
    <n v="58"/>
    <n v="205"/>
    <n v="485"/>
    <n v="124"/>
    <n v="19"/>
    <n v="39"/>
    <n v="3239"/>
    <n v="1261"/>
    <n v="125"/>
    <n v="0"/>
    <n v="0"/>
    <n v="0"/>
    <n v="0"/>
    <n v="0"/>
    <n v="507"/>
    <n v="3308"/>
    <n v="245"/>
    <n v="1143"/>
    <n v="517"/>
    <n v="48"/>
    <n v="94"/>
    <n v="1034"/>
    <n v="3"/>
    <n v="802"/>
    <n v="177"/>
    <n v="317"/>
    <n v="500"/>
    <n v="954"/>
    <n v="132"/>
    <n v="145"/>
    <n v="187"/>
    <n v="6"/>
    <n v="190"/>
    <n v="612"/>
    <n v="199"/>
    <n v="314"/>
    <m/>
    <n v="6"/>
    <m/>
    <n v="541"/>
    <n v="57"/>
    <n v="289"/>
    <n v="29"/>
    <n v="44"/>
    <n v="239"/>
    <n v="21"/>
    <n v="4160"/>
    <n v="82"/>
    <n v="74"/>
    <n v="90"/>
    <n v="62"/>
    <n v="12"/>
    <n v="19"/>
    <n v="1"/>
    <m/>
    <n v="5720"/>
    <n v="105"/>
    <n v="5292"/>
    <n v="323"/>
    <n v="2011"/>
  </r>
  <r>
    <n v="106214034"/>
    <s v="214034"/>
    <x v="140"/>
    <s v="180 ROLAND WAY"/>
    <s v="NOVATO"/>
    <n v="94945"/>
    <x v="0"/>
    <x v="0"/>
    <x v="42"/>
    <x v="25"/>
    <s v="83b"/>
    <m/>
    <s v="04 - West Bay"/>
    <x v="19"/>
    <s v="General Acute Care"/>
    <s v="Non-Profit Corporation (incl. Church-related)"/>
    <s v="General Medical / Surgical"/>
    <n v="47"/>
    <x v="0"/>
    <n v="7456"/>
    <n v="6107"/>
    <n v="1"/>
    <m/>
    <n v="1527"/>
    <n v="1423"/>
    <n v="1855"/>
    <n v="1686"/>
    <n v="2017"/>
    <n v="1640"/>
    <n v="1244"/>
    <n v="798"/>
    <n v="1196"/>
    <n v="178"/>
    <m/>
    <n v="280"/>
    <n v="740"/>
    <n v="3556"/>
    <n v="42"/>
    <n v="132"/>
    <n v="80"/>
    <n v="8734"/>
    <n v="272"/>
    <n v="27"/>
    <m/>
    <n v="16"/>
    <n v="2"/>
    <n v="3"/>
    <n v="1"/>
    <n v="11"/>
    <n v="130"/>
    <n v="51"/>
    <m/>
    <n v="13051"/>
    <m/>
    <m/>
    <m/>
    <n v="3615"/>
    <n v="3036"/>
    <n v="749"/>
    <n v="4088"/>
    <n v="2076"/>
    <n v="181"/>
    <n v="29"/>
    <n v="333"/>
    <n v="1"/>
    <n v="667"/>
    <n v="169"/>
    <n v="709"/>
    <n v="394"/>
    <n v="3645"/>
    <n v="905"/>
    <n v="19"/>
    <n v="805"/>
    <n v="756"/>
    <n v="4"/>
    <n v="482"/>
    <n v="1176"/>
    <n v="648"/>
    <n v="2640"/>
    <m/>
    <n v="1"/>
    <n v="1171"/>
    <n v="74"/>
    <n v="129"/>
    <n v="2"/>
    <n v="136"/>
    <n v="6"/>
    <n v="66"/>
    <n v="179"/>
    <n v="9516"/>
    <n v="1778"/>
    <n v="115"/>
    <n v="248"/>
    <n v="31"/>
    <n v="108"/>
    <n v="5"/>
    <m/>
    <n v="13564"/>
    <n v="256"/>
    <n v="11575"/>
    <n v="1733"/>
    <n v="694"/>
    <n v="564"/>
    <m/>
    <m/>
    <n v="14"/>
    <n v="43"/>
    <n v="60"/>
    <n v="99"/>
    <n v="150"/>
    <n v="244"/>
    <n v="204"/>
    <n v="443"/>
    <m/>
    <n v="1"/>
    <m/>
    <n v="30"/>
    <n v="43"/>
    <n v="140"/>
    <n v="7"/>
    <n v="6"/>
    <n v="1029"/>
    <n v="3"/>
    <n v="55"/>
    <n v="4"/>
    <n v="40"/>
    <n v="233"/>
    <n v="30"/>
    <n v="2"/>
    <n v="33"/>
    <n v="568"/>
    <n v="290"/>
    <n v="3"/>
    <n v="0"/>
    <n v="0"/>
    <n v="0"/>
    <n v="0"/>
    <n v="0"/>
    <n v="97"/>
    <n v="827"/>
    <n v="16"/>
    <n v="231"/>
    <n v="87"/>
    <m/>
    <n v="24"/>
    <n v="194"/>
    <m/>
    <n v="225"/>
    <n v="49"/>
    <n v="53"/>
    <n v="250"/>
    <n v="149"/>
    <n v="20"/>
    <n v="18"/>
    <n v="27"/>
    <m/>
    <n v="17"/>
    <n v="139"/>
    <n v="55"/>
    <n v="38"/>
    <m/>
    <m/>
    <m/>
    <n v="107"/>
    <n v="19"/>
    <n v="136"/>
    <m/>
    <n v="2"/>
    <n v="55"/>
    <n v="4"/>
    <n v="894"/>
    <n v="27"/>
    <n v="5"/>
    <m/>
    <n v="8"/>
    <n v="1"/>
    <m/>
    <m/>
    <m/>
    <n v="1258"/>
    <n v="29"/>
    <n v="1163"/>
    <n v="66"/>
    <n v="2011"/>
  </r>
  <r>
    <n v="106220733"/>
    <s v="220733"/>
    <x v="141"/>
    <s v="5189 HOSPITAL RD., PO BOX 216"/>
    <s v="MARIPOSA"/>
    <n v="95338"/>
    <x v="0"/>
    <x v="0"/>
    <x v="6"/>
    <x v="5"/>
    <s v="85"/>
    <m/>
    <s v="09 - Central"/>
    <x v="20"/>
    <s v="General Acute Care"/>
    <s v="District"/>
    <s v="General Medical / Surgical"/>
    <n v="18"/>
    <x v="2"/>
    <n v="2442"/>
    <n v="2177"/>
    <m/>
    <m/>
    <n v="432"/>
    <n v="526"/>
    <n v="557"/>
    <n v="435"/>
    <n v="542"/>
    <n v="667"/>
    <n v="509"/>
    <n v="458"/>
    <n v="428"/>
    <n v="65"/>
    <m/>
    <n v="36"/>
    <n v="39"/>
    <n v="269"/>
    <n v="172"/>
    <n v="130"/>
    <n v="40"/>
    <n v="3933"/>
    <n v="433"/>
    <n v="70"/>
    <n v="1"/>
    <n v="2"/>
    <n v="3"/>
    <m/>
    <m/>
    <m/>
    <m/>
    <n v="1"/>
    <m/>
    <n v="4107"/>
    <n v="2"/>
    <m/>
    <m/>
    <n v="1504"/>
    <n v="1460"/>
    <n v="260"/>
    <n v="1386"/>
    <n v="9"/>
    <n v="62"/>
    <n v="10"/>
    <n v="241"/>
    <m/>
    <n v="307"/>
    <n v="93"/>
    <n v="213"/>
    <n v="127"/>
    <n v="1356"/>
    <n v="158"/>
    <n v="16"/>
    <n v="452"/>
    <n v="149"/>
    <n v="2"/>
    <n v="113"/>
    <n v="450"/>
    <n v="253"/>
    <n v="617"/>
    <m/>
    <m/>
    <n v="522"/>
    <n v="22"/>
    <n v="54"/>
    <n v="8"/>
    <n v="24"/>
    <m/>
    <n v="23"/>
    <n v="124"/>
    <n v="3257"/>
    <n v="469"/>
    <n v="14"/>
    <n v="62"/>
    <n v="18"/>
    <n v="20"/>
    <n v="2"/>
    <m/>
    <n v="4619"/>
    <n v="34"/>
    <n v="4539"/>
    <n v="46"/>
    <n v="98"/>
    <n v="101"/>
    <m/>
    <m/>
    <n v="1"/>
    <n v="2"/>
    <n v="5"/>
    <n v="19"/>
    <n v="28"/>
    <n v="20"/>
    <n v="47"/>
    <n v="77"/>
    <m/>
    <m/>
    <m/>
    <m/>
    <n v="1"/>
    <n v="2"/>
    <m/>
    <m/>
    <n v="191"/>
    <n v="5"/>
    <n v="13"/>
    <n v="2"/>
    <n v="8"/>
    <n v="17"/>
    <m/>
    <m/>
    <m/>
    <n v="125"/>
    <n v="34"/>
    <m/>
    <n v="0"/>
    <n v="0"/>
    <n v="0"/>
    <n v="0"/>
    <n v="0"/>
    <n v="32"/>
    <n v="134"/>
    <n v="7"/>
    <n v="16"/>
    <n v="10"/>
    <m/>
    <n v="1"/>
    <n v="31"/>
    <m/>
    <n v="27"/>
    <n v="16"/>
    <n v="8"/>
    <n v="17"/>
    <n v="14"/>
    <m/>
    <n v="2"/>
    <n v="12"/>
    <m/>
    <n v="4"/>
    <n v="45"/>
    <n v="10"/>
    <n v="12"/>
    <m/>
    <m/>
    <m/>
    <n v="9"/>
    <n v="4"/>
    <n v="18"/>
    <m/>
    <n v="1"/>
    <n v="3"/>
    <n v="1"/>
    <n v="160"/>
    <n v="3"/>
    <m/>
    <m/>
    <m/>
    <m/>
    <m/>
    <m/>
    <m/>
    <n v="199"/>
    <m/>
    <n v="199"/>
    <m/>
    <n v="2011"/>
  </r>
  <r>
    <n v="106230949"/>
    <s v="230949"/>
    <x v="142"/>
    <s v="1 MADRONE STREET"/>
    <s v="WILLITS"/>
    <n v="95490"/>
    <x v="0"/>
    <x v="0"/>
    <x v="10"/>
    <x v="7"/>
    <s v="91"/>
    <m/>
    <s v="01 - Northern California"/>
    <x v="21"/>
    <s v="General Acute Care"/>
    <s v="Non-Profit Corporation (incl. Church-related)"/>
    <s v="General Medical / Surgical"/>
    <n v="38"/>
    <x v="2"/>
    <n v="4797"/>
    <n v="4425"/>
    <m/>
    <m/>
    <n v="933"/>
    <n v="1062"/>
    <n v="1471"/>
    <n v="1275"/>
    <n v="1098"/>
    <n v="1221"/>
    <n v="928"/>
    <n v="585"/>
    <n v="498"/>
    <n v="151"/>
    <m/>
    <n v="28"/>
    <n v="88"/>
    <n v="685"/>
    <n v="627"/>
    <n v="73"/>
    <n v="55"/>
    <n v="7666"/>
    <n v="483"/>
    <n v="179"/>
    <n v="22"/>
    <n v="10"/>
    <n v="7"/>
    <n v="3"/>
    <m/>
    <m/>
    <n v="86"/>
    <m/>
    <m/>
    <n v="8405"/>
    <n v="27"/>
    <m/>
    <m/>
    <n v="3888"/>
    <n v="1956"/>
    <n v="349"/>
    <n v="1949"/>
    <n v="1080"/>
    <n v="124"/>
    <n v="23"/>
    <n v="242"/>
    <n v="2"/>
    <n v="636"/>
    <n v="141"/>
    <n v="375"/>
    <n v="253"/>
    <n v="2378"/>
    <n v="549"/>
    <n v="18"/>
    <n v="513"/>
    <n v="385"/>
    <n v="8"/>
    <n v="303"/>
    <n v="1064"/>
    <n v="680"/>
    <n v="1528"/>
    <m/>
    <m/>
    <n v="644"/>
    <n v="56"/>
    <n v="111"/>
    <n v="15"/>
    <n v="110"/>
    <n v="26"/>
    <n v="77"/>
    <n v="188"/>
    <n v="6519"/>
    <n v="1086"/>
    <n v="63"/>
    <n v="259"/>
    <n v="14"/>
    <n v="46"/>
    <n v="8"/>
    <m/>
    <n v="9222"/>
    <n v="21"/>
    <n v="8992"/>
    <n v="209"/>
    <n v="329"/>
    <n v="356"/>
    <m/>
    <m/>
    <n v="25"/>
    <n v="38"/>
    <n v="47"/>
    <n v="60"/>
    <n v="121"/>
    <n v="142"/>
    <n v="108"/>
    <n v="130"/>
    <n v="1"/>
    <n v="13"/>
    <m/>
    <n v="4"/>
    <n v="5"/>
    <n v="20"/>
    <n v="6"/>
    <n v="3"/>
    <n v="608"/>
    <n v="39"/>
    <n v="46"/>
    <n v="5"/>
    <n v="11"/>
    <n v="49"/>
    <n v="3"/>
    <m/>
    <m/>
    <n v="488"/>
    <n v="82"/>
    <n v="1"/>
    <n v="0"/>
    <n v="0"/>
    <n v="0"/>
    <n v="0"/>
    <n v="0"/>
    <n v="99"/>
    <n v="349"/>
    <n v="29"/>
    <n v="95"/>
    <n v="113"/>
    <n v="4"/>
    <n v="18"/>
    <n v="66"/>
    <n v="1"/>
    <n v="86"/>
    <n v="32"/>
    <n v="24"/>
    <n v="38"/>
    <n v="200"/>
    <n v="17"/>
    <n v="13"/>
    <n v="14"/>
    <m/>
    <n v="18"/>
    <n v="97"/>
    <n v="30"/>
    <n v="27"/>
    <m/>
    <m/>
    <m/>
    <n v="86"/>
    <n v="15"/>
    <n v="45"/>
    <n v="3"/>
    <n v="3"/>
    <n v="29"/>
    <n v="15"/>
    <n v="399"/>
    <n v="42"/>
    <n v="5"/>
    <n v="32"/>
    <n v="8"/>
    <n v="1"/>
    <n v="1"/>
    <n v="1"/>
    <m/>
    <n v="685"/>
    <n v="1"/>
    <n v="670"/>
    <n v="14"/>
    <n v="2011"/>
  </r>
  <r>
    <n v="106231013"/>
    <s v="231013"/>
    <x v="143"/>
    <s v="700 RIVER DRIVE"/>
    <s v="FORT BRAGG"/>
    <n v="95437"/>
    <x v="0"/>
    <x v="0"/>
    <x v="10"/>
    <x v="7"/>
    <s v="89"/>
    <m/>
    <s v="01 - Northern California"/>
    <x v="21"/>
    <s v="General Acute Care"/>
    <s v="District"/>
    <s v="General Medical / Surgical"/>
    <n v="49"/>
    <x v="2"/>
    <n v="4321"/>
    <n v="4073"/>
    <m/>
    <m/>
    <n v="659"/>
    <n v="661"/>
    <n v="1190"/>
    <n v="1045"/>
    <n v="1069"/>
    <n v="1290"/>
    <n v="1071"/>
    <n v="545"/>
    <n v="743"/>
    <n v="121"/>
    <m/>
    <n v="40"/>
    <n v="64"/>
    <n v="814"/>
    <n v="68"/>
    <n v="240"/>
    <n v="46"/>
    <n v="7122"/>
    <n v="195"/>
    <n v="94"/>
    <m/>
    <n v="4"/>
    <n v="5"/>
    <n v="2"/>
    <m/>
    <n v="14"/>
    <n v="75"/>
    <n v="14"/>
    <n v="7"/>
    <n v="7929"/>
    <n v="36"/>
    <m/>
    <n v="19"/>
    <n v="1991"/>
    <n v="2408"/>
    <n v="431"/>
    <n v="2884"/>
    <n v="680"/>
    <n v="201"/>
    <n v="22"/>
    <n v="219"/>
    <n v="1"/>
    <n v="447"/>
    <n v="96"/>
    <n v="360"/>
    <n v="184"/>
    <n v="2387"/>
    <n v="479"/>
    <n v="16"/>
    <n v="443"/>
    <n v="243"/>
    <n v="5"/>
    <n v="298"/>
    <n v="677"/>
    <n v="489"/>
    <n v="1827"/>
    <m/>
    <m/>
    <n v="773"/>
    <n v="96"/>
    <n v="67"/>
    <n v="4"/>
    <n v="111"/>
    <n v="8"/>
    <n v="73"/>
    <n v="194"/>
    <n v="5699"/>
    <n v="1036"/>
    <n v="72"/>
    <n v="162"/>
    <n v="25"/>
    <n v="65"/>
    <n v="9"/>
    <m/>
    <n v="8394"/>
    <n v="61"/>
    <n v="7833"/>
    <n v="500"/>
    <n v="437"/>
    <n v="345"/>
    <m/>
    <m/>
    <n v="20"/>
    <n v="21"/>
    <n v="39"/>
    <n v="44"/>
    <n v="118"/>
    <n v="172"/>
    <n v="111"/>
    <n v="241"/>
    <n v="4"/>
    <n v="12"/>
    <m/>
    <n v="2"/>
    <n v="1"/>
    <n v="27"/>
    <n v="18"/>
    <n v="1"/>
    <n v="731"/>
    <n v="2"/>
    <n v="64"/>
    <n v="11"/>
    <n v="28"/>
    <n v="62"/>
    <m/>
    <m/>
    <n v="2"/>
    <n v="420"/>
    <n v="194"/>
    <n v="1"/>
    <n v="0"/>
    <n v="0"/>
    <n v="0"/>
    <n v="0"/>
    <n v="0"/>
    <n v="119"/>
    <n v="494"/>
    <m/>
    <n v="114"/>
    <n v="55"/>
    <n v="6"/>
    <n v="4"/>
    <n v="129"/>
    <m/>
    <n v="156"/>
    <n v="25"/>
    <n v="33"/>
    <n v="78"/>
    <n v="79"/>
    <n v="17"/>
    <n v="21"/>
    <n v="15"/>
    <n v="2"/>
    <n v="13"/>
    <n v="134"/>
    <n v="28"/>
    <n v="41"/>
    <m/>
    <n v="1"/>
    <m/>
    <n v="56"/>
    <n v="10"/>
    <n v="42"/>
    <n v="2"/>
    <m/>
    <n v="30"/>
    <n v="1"/>
    <n v="625"/>
    <n v="6"/>
    <n v="1"/>
    <n v="3"/>
    <n v="4"/>
    <n v="2"/>
    <m/>
    <m/>
    <m/>
    <n v="782"/>
    <n v="8"/>
    <n v="757"/>
    <n v="17"/>
    <n v="2011"/>
  </r>
  <r>
    <n v="106231396"/>
    <s v="231396"/>
    <x v="144"/>
    <s v="275 HOSPITAL DRIVE"/>
    <s v="UKIAH"/>
    <n v="95482"/>
    <x v="0"/>
    <x v="0"/>
    <x v="10"/>
    <x v="7"/>
    <s v="93.1"/>
    <m/>
    <s v="01 - Northern California"/>
    <x v="21"/>
    <s v="General Acute Care"/>
    <s v="Non-Profit Corporation (incl. Church-related)"/>
    <s v="General Medical / Surgical"/>
    <n v="78"/>
    <x v="0"/>
    <n v="12056"/>
    <n v="10293"/>
    <m/>
    <m/>
    <n v="2537"/>
    <n v="2654"/>
    <n v="4018"/>
    <n v="3024"/>
    <n v="3133"/>
    <n v="2683"/>
    <n v="1647"/>
    <n v="1028"/>
    <n v="1095"/>
    <n v="530"/>
    <m/>
    <n v="113"/>
    <n v="352"/>
    <n v="4188"/>
    <n v="1373"/>
    <n v="261"/>
    <n v="428"/>
    <n v="15634"/>
    <n v="219"/>
    <n v="474"/>
    <n v="92"/>
    <n v="14"/>
    <n v="19"/>
    <m/>
    <m/>
    <m/>
    <n v="419"/>
    <n v="74"/>
    <m/>
    <n v="20942"/>
    <n v="96"/>
    <m/>
    <m/>
    <n v="6952"/>
    <n v="4055"/>
    <n v="914"/>
    <n v="7983"/>
    <n v="2445"/>
    <n v="462"/>
    <n v="42"/>
    <n v="463"/>
    <n v="1"/>
    <n v="1451"/>
    <n v="354"/>
    <n v="1069"/>
    <n v="692"/>
    <n v="5266"/>
    <n v="1550"/>
    <n v="30"/>
    <n v="1497"/>
    <n v="830"/>
    <n v="31"/>
    <n v="875"/>
    <n v="2573"/>
    <n v="1556"/>
    <n v="3607"/>
    <m/>
    <m/>
    <n v="1617"/>
    <n v="271"/>
    <n v="346"/>
    <n v="13"/>
    <n v="269"/>
    <n v="37"/>
    <n v="159"/>
    <n v="332"/>
    <n v="15969"/>
    <n v="2438"/>
    <n v="146"/>
    <n v="454"/>
    <n v="139"/>
    <n v="149"/>
    <n v="10"/>
    <m/>
    <n v="22349"/>
    <n v="10"/>
    <n v="19964"/>
    <n v="2375"/>
    <n v="1426"/>
    <n v="1187"/>
    <m/>
    <m/>
    <n v="85"/>
    <n v="209"/>
    <n v="176"/>
    <n v="230"/>
    <n v="419"/>
    <n v="454"/>
    <n v="385"/>
    <n v="583"/>
    <n v="27"/>
    <n v="45"/>
    <m/>
    <n v="12"/>
    <n v="17"/>
    <n v="279"/>
    <n v="15"/>
    <n v="118"/>
    <n v="2039"/>
    <n v="133"/>
    <n v="124"/>
    <n v="22"/>
    <n v="65"/>
    <n v="321"/>
    <n v="16"/>
    <m/>
    <n v="20"/>
    <n v="1775"/>
    <n v="260"/>
    <n v="10"/>
    <n v="0"/>
    <n v="0"/>
    <n v="0"/>
    <n v="0"/>
    <n v="0"/>
    <n v="517"/>
    <n v="1388"/>
    <n v="78"/>
    <n v="381"/>
    <n v="249"/>
    <n v="94"/>
    <n v="85"/>
    <n v="413"/>
    <n v="1"/>
    <n v="444"/>
    <n v="172"/>
    <n v="151"/>
    <n v="187"/>
    <n v="288"/>
    <n v="34"/>
    <n v="36"/>
    <n v="54"/>
    <n v="4"/>
    <n v="22"/>
    <n v="366"/>
    <n v="132"/>
    <n v="119"/>
    <n v="1"/>
    <n v="10"/>
    <m/>
    <n v="163"/>
    <n v="38"/>
    <n v="141"/>
    <n v="13"/>
    <n v="33"/>
    <n v="139"/>
    <n v="14"/>
    <n v="1943"/>
    <n v="63"/>
    <n v="5"/>
    <n v="12"/>
    <n v="25"/>
    <n v="10"/>
    <n v="11"/>
    <n v="3"/>
    <m/>
    <n v="2613"/>
    <n v="1"/>
    <n v="2439"/>
    <n v="173"/>
    <n v="2011"/>
  </r>
  <r>
    <n v="106240924"/>
    <s v="240924"/>
    <x v="145"/>
    <s v="520 WEST I STREET"/>
    <s v="LOS BANOS"/>
    <n v="93635"/>
    <x v="0"/>
    <x v="0"/>
    <x v="43"/>
    <x v="24"/>
    <s v="94"/>
    <m/>
    <s v="06 - North San Joaquin"/>
    <x v="22"/>
    <s v="General Acute Care"/>
    <s v="Non-Profit Corporation (incl. Church-related)"/>
    <s v="General Medical / Surgical"/>
    <n v="46"/>
    <x v="0"/>
    <n v="12963"/>
    <n v="9897"/>
    <m/>
    <m/>
    <n v="4339"/>
    <n v="3062"/>
    <n v="3908"/>
    <n v="2840"/>
    <n v="2604"/>
    <n v="1963"/>
    <n v="1324"/>
    <n v="958"/>
    <n v="881"/>
    <n v="981"/>
    <m/>
    <n v="233"/>
    <n v="1244"/>
    <n v="12883"/>
    <n v="20"/>
    <n v="255"/>
    <n v="120"/>
    <n v="8105"/>
    <n v="1016"/>
    <n v="195"/>
    <n v="25"/>
    <n v="31"/>
    <n v="12"/>
    <n v="9"/>
    <m/>
    <n v="11"/>
    <n v="15"/>
    <n v="30"/>
    <n v="8"/>
    <n v="21285"/>
    <n v="67"/>
    <n v="156"/>
    <m/>
    <n v="8876"/>
    <n v="3421"/>
    <n v="595"/>
    <n v="5880"/>
    <n v="4088"/>
    <n v="1120"/>
    <n v="71"/>
    <n v="598"/>
    <n v="7"/>
    <n v="1489"/>
    <n v="414"/>
    <n v="1166"/>
    <n v="498"/>
    <n v="4217"/>
    <n v="1660"/>
    <n v="36"/>
    <n v="1692"/>
    <n v="525"/>
    <n v="40"/>
    <n v="591"/>
    <n v="3131"/>
    <n v="923"/>
    <n v="4682"/>
    <m/>
    <m/>
    <n v="1359"/>
    <n v="72"/>
    <n v="116"/>
    <n v="17"/>
    <n v="211"/>
    <n v="27"/>
    <n v="116"/>
    <n v="307"/>
    <n v="18163"/>
    <n v="1801"/>
    <n v="98"/>
    <n v="373"/>
    <n v="51"/>
    <n v="133"/>
    <n v="16"/>
    <m/>
    <n v="22860"/>
    <n v="120"/>
    <n v="18026"/>
    <n v="4714"/>
    <n v="540"/>
    <n v="286"/>
    <m/>
    <m/>
    <n v="50"/>
    <n v="123"/>
    <n v="101"/>
    <n v="64"/>
    <n v="55"/>
    <n v="77"/>
    <n v="101"/>
    <n v="204"/>
    <n v="12"/>
    <n v="39"/>
    <m/>
    <n v="9"/>
    <n v="52"/>
    <n v="369"/>
    <n v="11"/>
    <n v="3"/>
    <n v="382"/>
    <m/>
    <n v="29"/>
    <n v="9"/>
    <n v="25"/>
    <n v="28"/>
    <n v="6"/>
    <n v="2"/>
    <n v="19"/>
    <n v="598"/>
    <n v="110"/>
    <m/>
    <n v="0"/>
    <n v="0"/>
    <n v="0"/>
    <n v="0"/>
    <n v="0"/>
    <n v="285"/>
    <n v="379"/>
    <n v="8"/>
    <n v="81"/>
    <n v="73"/>
    <n v="162"/>
    <n v="11"/>
    <n v="81"/>
    <m/>
    <n v="111"/>
    <n v="62"/>
    <n v="60"/>
    <n v="37"/>
    <n v="21"/>
    <n v="5"/>
    <n v="7"/>
    <n v="7"/>
    <m/>
    <n v="8"/>
    <n v="208"/>
    <n v="26"/>
    <n v="16"/>
    <m/>
    <n v="4"/>
    <m/>
    <n v="12"/>
    <n v="5"/>
    <n v="36"/>
    <m/>
    <n v="2"/>
    <n v="13"/>
    <n v="2"/>
    <n v="745"/>
    <n v="2"/>
    <m/>
    <m/>
    <n v="5"/>
    <n v="1"/>
    <n v="3"/>
    <m/>
    <m/>
    <n v="826"/>
    <n v="27"/>
    <n v="651"/>
    <n v="148"/>
    <n v="2011"/>
  </r>
  <r>
    <n v="106240942"/>
    <s v="240942"/>
    <x v="146"/>
    <s v="333  MERCY AVENUE"/>
    <s v="MERCED"/>
    <n v="95340"/>
    <x v="0"/>
    <x v="0"/>
    <x v="43"/>
    <x v="24"/>
    <s v="97.1"/>
    <m/>
    <s v="06 - North San Joaquin"/>
    <x v="22"/>
    <s v="General Acute Care"/>
    <s v="Non-Profit Corporation (incl. Church-related)"/>
    <s v="General Medical / Surgical"/>
    <n v="186"/>
    <x v="0"/>
    <n v="30364"/>
    <n v="23437"/>
    <m/>
    <m/>
    <n v="10381"/>
    <n v="6914"/>
    <n v="9926"/>
    <n v="7111"/>
    <n v="5878"/>
    <n v="4891"/>
    <n v="2703"/>
    <n v="1772"/>
    <n v="1603"/>
    <n v="2622"/>
    <m/>
    <n v="1687"/>
    <n v="4446"/>
    <n v="24387"/>
    <n v="22"/>
    <n v="374"/>
    <n v="183"/>
    <n v="22702"/>
    <n v="659"/>
    <n v="1988"/>
    <n v="6"/>
    <n v="112"/>
    <n v="1"/>
    <n v="2"/>
    <m/>
    <n v="1"/>
    <n v="225"/>
    <n v="318"/>
    <n v="2"/>
    <n v="50226"/>
    <n v="261"/>
    <m/>
    <m/>
    <n v="3098"/>
    <n v="32313"/>
    <n v="2885"/>
    <n v="7593"/>
    <n v="7912"/>
    <n v="1886"/>
    <n v="156"/>
    <n v="1148"/>
    <n v="19"/>
    <n v="2467"/>
    <n v="1102"/>
    <n v="3138"/>
    <n v="1458"/>
    <n v="10748"/>
    <n v="2437"/>
    <n v="70"/>
    <n v="4408"/>
    <n v="1335"/>
    <n v="182"/>
    <n v="1928"/>
    <n v="7814"/>
    <n v="2247"/>
    <n v="11258"/>
    <m/>
    <m/>
    <n v="3195"/>
    <n v="244"/>
    <n v="418"/>
    <n v="28"/>
    <n v="664"/>
    <n v="28"/>
    <n v="290"/>
    <n v="665"/>
    <n v="41486"/>
    <n v="4812"/>
    <n v="247"/>
    <n v="1162"/>
    <n v="267"/>
    <n v="269"/>
    <n v="26"/>
    <m/>
    <n v="53801"/>
    <n v="690"/>
    <n v="46557"/>
    <n v="6554"/>
    <n v="3871"/>
    <n v="3426"/>
    <m/>
    <m/>
    <n v="191"/>
    <n v="458"/>
    <n v="556"/>
    <n v="819"/>
    <n v="1273"/>
    <n v="1271"/>
    <n v="1124"/>
    <n v="1334"/>
    <n v="118"/>
    <n v="153"/>
    <m/>
    <n v="370"/>
    <n v="558"/>
    <n v="2368"/>
    <n v="28"/>
    <n v="12"/>
    <n v="3960"/>
    <n v="1"/>
    <n v="216"/>
    <n v="112"/>
    <n v="290"/>
    <n v="398"/>
    <n v="77"/>
    <m/>
    <n v="109"/>
    <n v="5016"/>
    <n v="1034"/>
    <n v="45"/>
    <n v="0"/>
    <n v="0"/>
    <n v="0"/>
    <n v="0"/>
    <n v="0"/>
    <n v="2179"/>
    <n v="3433"/>
    <n v="173"/>
    <n v="942"/>
    <n v="570"/>
    <n v="114"/>
    <n v="188"/>
    <n v="1296"/>
    <n v="3"/>
    <n v="1332"/>
    <n v="394"/>
    <n v="426"/>
    <n v="729"/>
    <n v="572"/>
    <n v="86"/>
    <n v="160"/>
    <n v="132"/>
    <n v="2"/>
    <n v="48"/>
    <n v="1124"/>
    <n v="206"/>
    <n v="448"/>
    <n v="2"/>
    <n v="35"/>
    <m/>
    <n v="366"/>
    <n v="102"/>
    <n v="494"/>
    <n v="13"/>
    <n v="20"/>
    <n v="394"/>
    <n v="17"/>
    <n v="5651"/>
    <n v="136"/>
    <n v="6"/>
    <n v="21"/>
    <n v="47"/>
    <n v="22"/>
    <n v="7"/>
    <n v="1"/>
    <m/>
    <n v="7297"/>
    <n v="252"/>
    <n v="6295"/>
    <n v="750"/>
    <n v="2011"/>
  </r>
  <r>
    <n v="106250955"/>
    <s v="250955"/>
    <x v="147"/>
    <s v="MAIN AND WASHINGTON STS, BOX 246"/>
    <s v="CEDARVILLE"/>
    <n v="96104"/>
    <x v="0"/>
    <x v="0"/>
    <x v="7"/>
    <x v="2"/>
    <s v="99"/>
    <m/>
    <s v="01 - Northern California"/>
    <x v="23"/>
    <s v="General Acute Care"/>
    <s v="District"/>
    <s v="General Medical / Surgical"/>
    <n v="4"/>
    <x v="2"/>
    <n v="208"/>
    <n v="218"/>
    <m/>
    <m/>
    <n v="38"/>
    <n v="32"/>
    <n v="46"/>
    <n v="35"/>
    <n v="45"/>
    <n v="65"/>
    <n v="49"/>
    <n v="45"/>
    <n v="69"/>
    <n v="2"/>
    <m/>
    <n v="1"/>
    <m/>
    <n v="13"/>
    <n v="45"/>
    <n v="4"/>
    <n v="43"/>
    <n v="320"/>
    <n v="50"/>
    <m/>
    <m/>
    <n v="2"/>
    <m/>
    <m/>
    <m/>
    <m/>
    <m/>
    <m/>
    <m/>
    <n v="371"/>
    <m/>
    <m/>
    <n v="3"/>
    <n v="71"/>
    <n v="156"/>
    <n v="27"/>
    <n v="117"/>
    <n v="55"/>
    <n v="1"/>
    <n v="1"/>
    <n v="33"/>
    <m/>
    <n v="29"/>
    <n v="10"/>
    <n v="26"/>
    <n v="6"/>
    <n v="121"/>
    <n v="22"/>
    <n v="1"/>
    <n v="28"/>
    <n v="3"/>
    <m/>
    <n v="13"/>
    <n v="33"/>
    <n v="6"/>
    <n v="93"/>
    <m/>
    <m/>
    <n v="40"/>
    <n v="2"/>
    <n v="2"/>
    <n v="1"/>
    <n v="6"/>
    <m/>
    <m/>
    <n v="15"/>
    <n v="292"/>
    <n v="44"/>
    <n v="4"/>
    <n v="17"/>
    <n v="1"/>
    <n v="2"/>
    <m/>
    <m/>
    <n v="426"/>
    <m/>
    <n v="414"/>
    <n v="12"/>
    <n v="4"/>
    <m/>
    <m/>
    <m/>
    <m/>
    <m/>
    <m/>
    <m/>
    <m/>
    <m/>
    <m/>
    <n v="4"/>
    <m/>
    <m/>
    <m/>
    <m/>
    <m/>
    <m/>
    <m/>
    <m/>
    <n v="4"/>
    <m/>
    <m/>
    <m/>
    <m/>
    <m/>
    <m/>
    <m/>
    <m/>
    <n v="3"/>
    <n v="1"/>
    <m/>
    <n v="0"/>
    <n v="0"/>
    <n v="0"/>
    <n v="0"/>
    <n v="0"/>
    <m/>
    <n v="4"/>
    <m/>
    <m/>
    <m/>
    <m/>
    <m/>
    <m/>
    <m/>
    <m/>
    <m/>
    <n v="1"/>
    <m/>
    <m/>
    <m/>
    <m/>
    <m/>
    <m/>
    <n v="1"/>
    <n v="1"/>
    <m/>
    <n v="1"/>
    <m/>
    <m/>
    <m/>
    <m/>
    <m/>
    <m/>
    <m/>
    <m/>
    <m/>
    <m/>
    <n v="4"/>
    <m/>
    <m/>
    <m/>
    <m/>
    <m/>
    <m/>
    <m/>
    <m/>
    <n v="4"/>
    <m/>
    <n v="4"/>
    <m/>
    <n v="2011"/>
  </r>
  <r>
    <n v="106250956"/>
    <s v="250956"/>
    <x v="148"/>
    <s v="228 MC DOWELL STREET"/>
    <s v="ALTURAS"/>
    <n v="96101"/>
    <x v="0"/>
    <x v="0"/>
    <x v="7"/>
    <x v="2"/>
    <s v="98"/>
    <m/>
    <s v="01 - Northern California"/>
    <x v="23"/>
    <s v="General Acute Care"/>
    <s v="District"/>
    <s v="General Medical / Surgical"/>
    <n v="16"/>
    <x v="2"/>
    <n v="2234"/>
    <n v="1747"/>
    <m/>
    <m/>
    <n v="395"/>
    <n v="440"/>
    <n v="624"/>
    <n v="505"/>
    <n v="527"/>
    <n v="532"/>
    <n v="379"/>
    <n v="234"/>
    <n v="227"/>
    <n v="118"/>
    <m/>
    <n v="21"/>
    <n v="19"/>
    <n v="230"/>
    <n v="103"/>
    <n v="13"/>
    <n v="37"/>
    <n v="3558"/>
    <n v="223"/>
    <n v="29"/>
    <n v="1"/>
    <n v="9"/>
    <m/>
    <m/>
    <m/>
    <m/>
    <n v="19"/>
    <n v="1"/>
    <m/>
    <n v="3678"/>
    <n v="20"/>
    <n v="1"/>
    <m/>
    <n v="1596"/>
    <n v="1013"/>
    <n v="350"/>
    <n v="587"/>
    <n v="435"/>
    <n v="93"/>
    <n v="6"/>
    <n v="118"/>
    <n v="2"/>
    <n v="335"/>
    <n v="38"/>
    <n v="138"/>
    <n v="94"/>
    <n v="979"/>
    <n v="209"/>
    <n v="7"/>
    <n v="557"/>
    <n v="114"/>
    <n v="2"/>
    <n v="99"/>
    <n v="388"/>
    <n v="166"/>
    <n v="635"/>
    <m/>
    <n v="1"/>
    <n v="256"/>
    <n v="21"/>
    <n v="76"/>
    <n v="5"/>
    <n v="50"/>
    <n v="110"/>
    <n v="23"/>
    <n v="72"/>
    <n v="2706"/>
    <n v="496"/>
    <n v="29"/>
    <n v="86"/>
    <n v="27"/>
    <n v="22"/>
    <n v="2"/>
    <m/>
    <n v="3981"/>
    <n v="10"/>
    <n v="3910"/>
    <n v="61"/>
    <n v="99"/>
    <n v="93"/>
    <m/>
    <m/>
    <n v="3"/>
    <n v="4"/>
    <n v="11"/>
    <n v="9"/>
    <n v="19"/>
    <n v="35"/>
    <n v="49"/>
    <n v="57"/>
    <n v="1"/>
    <n v="4"/>
    <m/>
    <m/>
    <n v="1"/>
    <n v="11"/>
    <m/>
    <n v="1"/>
    <n v="173"/>
    <n v="6"/>
    <n v="18"/>
    <n v="5"/>
    <n v="13"/>
    <m/>
    <m/>
    <m/>
    <m/>
    <n v="110"/>
    <n v="46"/>
    <m/>
    <n v="0"/>
    <n v="0"/>
    <n v="0"/>
    <n v="0"/>
    <n v="0"/>
    <n v="33"/>
    <n v="134"/>
    <m/>
    <n v="13"/>
    <n v="12"/>
    <n v="1"/>
    <n v="1"/>
    <n v="21"/>
    <m/>
    <n v="15"/>
    <n v="13"/>
    <n v="11"/>
    <n v="7"/>
    <n v="20"/>
    <n v="1"/>
    <n v="6"/>
    <n v="6"/>
    <n v="1"/>
    <n v="6"/>
    <n v="48"/>
    <n v="10"/>
    <n v="25"/>
    <m/>
    <m/>
    <m/>
    <n v="12"/>
    <n v="1"/>
    <n v="18"/>
    <n v="1"/>
    <n v="5"/>
    <n v="2"/>
    <n v="1"/>
    <n v="144"/>
    <n v="4"/>
    <m/>
    <n v="3"/>
    <n v="1"/>
    <m/>
    <m/>
    <m/>
    <m/>
    <n v="192"/>
    <m/>
    <n v="190"/>
    <n v="2"/>
    <n v="2011"/>
  </r>
  <r>
    <n v="106260011"/>
    <s v="260011"/>
    <x v="149"/>
    <s v="85 SIERRA PARK ROAD"/>
    <s v="MAMMOTH LAKES"/>
    <n v="93546"/>
    <x v="0"/>
    <x v="0"/>
    <x v="6"/>
    <x v="2"/>
    <s v="103"/>
    <m/>
    <s v="12 - Inland Counties"/>
    <x v="24"/>
    <s v="General Acute Care"/>
    <s v="District"/>
    <s v="General Medical / Surgical"/>
    <n v="17"/>
    <x v="2"/>
    <n v="3339"/>
    <n v="4735"/>
    <m/>
    <m/>
    <n v="707"/>
    <n v="1363"/>
    <n v="1751"/>
    <n v="1028"/>
    <n v="1068"/>
    <n v="971"/>
    <n v="677"/>
    <n v="318"/>
    <n v="100"/>
    <n v="91"/>
    <m/>
    <n v="277"/>
    <n v="47"/>
    <n v="794"/>
    <n v="76"/>
    <n v="458"/>
    <n v="109"/>
    <n v="6313"/>
    <n v="106"/>
    <n v="13"/>
    <m/>
    <m/>
    <m/>
    <m/>
    <m/>
    <n v="3"/>
    <m/>
    <n v="4"/>
    <m/>
    <n v="7948"/>
    <m/>
    <m/>
    <m/>
    <n v="638"/>
    <n v="658"/>
    <n v="684"/>
    <n v="5167"/>
    <n v="927"/>
    <n v="57"/>
    <n v="7"/>
    <n v="119"/>
    <n v="1"/>
    <n v="126"/>
    <n v="52"/>
    <n v="202"/>
    <n v="126"/>
    <n v="4395"/>
    <n v="295"/>
    <n v="4"/>
    <n v="314"/>
    <n v="331"/>
    <n v="4"/>
    <n v="148"/>
    <n v="581"/>
    <n v="173"/>
    <n v="1139"/>
    <m/>
    <m/>
    <n v="2871"/>
    <n v="21"/>
    <n v="32"/>
    <n v="2"/>
    <n v="46"/>
    <n v="16"/>
    <n v="13"/>
    <n v="195"/>
    <n v="3514"/>
    <n v="926"/>
    <n v="229"/>
    <n v="153"/>
    <n v="6"/>
    <n v="45"/>
    <n v="5"/>
    <m/>
    <n v="8074"/>
    <n v="12"/>
    <n v="7788"/>
    <n v="274"/>
    <n v="143"/>
    <n v="204"/>
    <m/>
    <m/>
    <n v="37"/>
    <n v="43"/>
    <n v="48"/>
    <n v="54"/>
    <n v="55"/>
    <n v="41"/>
    <n v="23"/>
    <n v="22"/>
    <n v="9"/>
    <n v="15"/>
    <m/>
    <n v="13"/>
    <m/>
    <n v="36"/>
    <n v="18"/>
    <n v="10"/>
    <n v="267"/>
    <n v="3"/>
    <n v="15"/>
    <m/>
    <n v="1"/>
    <m/>
    <n v="1"/>
    <m/>
    <m/>
    <n v="322"/>
    <n v="8"/>
    <m/>
    <n v="0"/>
    <n v="0"/>
    <n v="0"/>
    <n v="0"/>
    <n v="0"/>
    <n v="37"/>
    <n v="60"/>
    <n v="22"/>
    <n v="193"/>
    <n v="35"/>
    <n v="5"/>
    <n v="1"/>
    <n v="9"/>
    <m/>
    <n v="41"/>
    <n v="10"/>
    <n v="18"/>
    <n v="6"/>
    <n v="188"/>
    <n v="8"/>
    <n v="1"/>
    <n v="2"/>
    <m/>
    <n v="7"/>
    <n v="30"/>
    <n v="11"/>
    <n v="8"/>
    <m/>
    <n v="2"/>
    <m/>
    <n v="134"/>
    <n v="1"/>
    <n v="6"/>
    <m/>
    <n v="2"/>
    <n v="13"/>
    <n v="1"/>
    <n v="132"/>
    <n v="32"/>
    <n v="8"/>
    <n v="15"/>
    <n v="1"/>
    <n v="1"/>
    <n v="1"/>
    <m/>
    <m/>
    <n v="347"/>
    <m/>
    <n v="333"/>
    <n v="14"/>
    <n v="2011"/>
  </r>
  <r>
    <n v="106270744"/>
    <s v="270744"/>
    <x v="150"/>
    <s v="23625 W. R. HOLMAN HIGHWAY"/>
    <s v="MONTEREY"/>
    <n v="93940"/>
    <x v="0"/>
    <x v="0"/>
    <x v="44"/>
    <x v="26"/>
    <s v="110"/>
    <m/>
    <s v="08 - Mid-Coast"/>
    <x v="25"/>
    <s v="General Acute Care"/>
    <s v="Non-Profit Corporation (incl. Church-related)"/>
    <s v="General Medical / Surgical"/>
    <n v="241"/>
    <x v="0"/>
    <n v="21849"/>
    <n v="17587"/>
    <n v="1"/>
    <m/>
    <n v="5796"/>
    <n v="4219"/>
    <n v="6378"/>
    <n v="4507"/>
    <n v="4432"/>
    <n v="4335"/>
    <n v="3164"/>
    <n v="2371"/>
    <n v="2951"/>
    <n v="1284"/>
    <m/>
    <n v="2093"/>
    <n v="3050"/>
    <n v="8580"/>
    <n v="42"/>
    <n v="2892"/>
    <n v="89"/>
    <n v="22691"/>
    <n v="142"/>
    <n v="711"/>
    <m/>
    <n v="59"/>
    <n v="22"/>
    <n v="3"/>
    <m/>
    <n v="29"/>
    <n v="27"/>
    <n v="116"/>
    <n v="7"/>
    <n v="38297"/>
    <n v="22"/>
    <m/>
    <n v="2"/>
    <n v="10601"/>
    <n v="7590"/>
    <n v="5081"/>
    <n v="9803"/>
    <n v="6362"/>
    <n v="918"/>
    <n v="90"/>
    <n v="749"/>
    <n v="6"/>
    <n v="1914"/>
    <n v="424"/>
    <n v="1949"/>
    <n v="634"/>
    <n v="8633"/>
    <n v="2510"/>
    <n v="34"/>
    <n v="2229"/>
    <n v="3062"/>
    <n v="74"/>
    <n v="1562"/>
    <n v="4533"/>
    <n v="1584"/>
    <n v="8532"/>
    <m/>
    <m/>
    <n v="3233"/>
    <n v="187"/>
    <n v="290"/>
    <n v="27"/>
    <n v="285"/>
    <n v="79"/>
    <n v="166"/>
    <n v="376"/>
    <n v="29955"/>
    <n v="3535"/>
    <n v="248"/>
    <n v="771"/>
    <n v="68"/>
    <n v="182"/>
    <n v="35"/>
    <m/>
    <n v="39437"/>
    <n v="439"/>
    <n v="35934"/>
    <n v="3064"/>
    <n v="3912"/>
    <n v="3504"/>
    <m/>
    <m/>
    <n v="166"/>
    <n v="528"/>
    <n v="473"/>
    <n v="676"/>
    <n v="1031"/>
    <n v="1018"/>
    <n v="1151"/>
    <n v="2127"/>
    <n v="89"/>
    <n v="157"/>
    <m/>
    <n v="471"/>
    <n v="512"/>
    <n v="725"/>
    <n v="393"/>
    <n v="6"/>
    <n v="5305"/>
    <n v="4"/>
    <n v="69"/>
    <n v="68"/>
    <n v="259"/>
    <n v="881"/>
    <n v="160"/>
    <n v="5"/>
    <m/>
    <n v="4931"/>
    <n v="1043"/>
    <m/>
    <n v="0"/>
    <n v="0"/>
    <n v="0"/>
    <n v="0"/>
    <n v="0"/>
    <n v="685"/>
    <n v="4018"/>
    <n v="527"/>
    <n v="1460"/>
    <n v="726"/>
    <n v="57"/>
    <n v="49"/>
    <n v="1322"/>
    <n v="9"/>
    <n v="1200"/>
    <n v="264"/>
    <n v="327"/>
    <n v="455"/>
    <n v="818"/>
    <n v="162"/>
    <n v="200"/>
    <n v="131"/>
    <m/>
    <n v="825"/>
    <n v="895"/>
    <n v="249"/>
    <n v="425"/>
    <n v="1"/>
    <n v="27"/>
    <m/>
    <n v="619"/>
    <n v="55"/>
    <n v="343"/>
    <n v="9"/>
    <n v="26"/>
    <n v="303"/>
    <n v="31"/>
    <n v="5716"/>
    <n v="90"/>
    <n v="19"/>
    <n v="42"/>
    <n v="125"/>
    <n v="27"/>
    <n v="9"/>
    <n v="2"/>
    <m/>
    <n v="7416"/>
    <n v="103"/>
    <n v="7053"/>
    <n v="260"/>
    <n v="2011"/>
  </r>
  <r>
    <n v="106270777"/>
    <s v="270777"/>
    <x v="151"/>
    <s v="300 CANAL STREET"/>
    <s v="KING CITY"/>
    <n v="93930"/>
    <x v="0"/>
    <x v="0"/>
    <x v="45"/>
    <x v="24"/>
    <s v="105"/>
    <m/>
    <s v="08 - Mid-Coast"/>
    <x v="25"/>
    <s v="General Acute Care"/>
    <s v="Non-Profit Corporation (incl. Church-related)"/>
    <s v="General Medical / Surgical"/>
    <n v="100"/>
    <x v="0"/>
    <n v="4929"/>
    <n v="4481"/>
    <m/>
    <m/>
    <n v="2274"/>
    <n v="1223"/>
    <n v="1772"/>
    <n v="1251"/>
    <n v="847"/>
    <n v="539"/>
    <n v="338"/>
    <n v="237"/>
    <n v="255"/>
    <n v="674"/>
    <m/>
    <n v="69"/>
    <n v="204"/>
    <n v="7286"/>
    <n v="4"/>
    <n v="430"/>
    <n v="10"/>
    <n v="1407"/>
    <n v="195"/>
    <n v="26"/>
    <m/>
    <n v="10"/>
    <n v="1"/>
    <m/>
    <m/>
    <n v="9"/>
    <m/>
    <m/>
    <m/>
    <n v="9162"/>
    <n v="7"/>
    <m/>
    <m/>
    <n v="1008"/>
    <n v="759"/>
    <n v="830"/>
    <n v="5182"/>
    <n v="1631"/>
    <n v="406"/>
    <n v="34"/>
    <n v="114"/>
    <n v="9"/>
    <n v="490"/>
    <n v="151"/>
    <n v="537"/>
    <n v="210"/>
    <n v="2054"/>
    <n v="530"/>
    <n v="8"/>
    <n v="592"/>
    <n v="244"/>
    <n v="38"/>
    <n v="269"/>
    <n v="1279"/>
    <n v="351"/>
    <n v="2094"/>
    <m/>
    <m/>
    <n v="663"/>
    <n v="38"/>
    <n v="71"/>
    <n v="7"/>
    <n v="67"/>
    <n v="2"/>
    <n v="28"/>
    <n v="82"/>
    <n v="7154"/>
    <n v="965"/>
    <n v="56"/>
    <n v="206"/>
    <n v="17"/>
    <n v="51"/>
    <n v="3"/>
    <m/>
    <n v="9410"/>
    <n v="19"/>
    <n v="4696"/>
    <n v="4695"/>
    <n v="369"/>
    <n v="297"/>
    <m/>
    <m/>
    <n v="36"/>
    <n v="101"/>
    <n v="75"/>
    <n v="71"/>
    <n v="81"/>
    <n v="77"/>
    <n v="74"/>
    <n v="84"/>
    <n v="18"/>
    <n v="49"/>
    <m/>
    <n v="4"/>
    <n v="9"/>
    <n v="421"/>
    <n v="31"/>
    <n v="1"/>
    <n v="197"/>
    <n v="3"/>
    <n v="39"/>
    <n v="3"/>
    <n v="9"/>
    <n v="33"/>
    <n v="1"/>
    <m/>
    <n v="3"/>
    <n v="489"/>
    <n v="89"/>
    <m/>
    <n v="0"/>
    <n v="0"/>
    <n v="0"/>
    <n v="0"/>
    <n v="0"/>
    <n v="58"/>
    <n v="204"/>
    <n v="33"/>
    <n v="290"/>
    <n v="81"/>
    <n v="21"/>
    <n v="8"/>
    <n v="78"/>
    <m/>
    <n v="180"/>
    <n v="64"/>
    <n v="58"/>
    <n v="21"/>
    <n v="55"/>
    <n v="11"/>
    <n v="6"/>
    <n v="9"/>
    <n v="4"/>
    <n v="8"/>
    <n v="90"/>
    <n v="33"/>
    <n v="18"/>
    <m/>
    <n v="2"/>
    <m/>
    <n v="35"/>
    <n v="7"/>
    <n v="27"/>
    <n v="3"/>
    <m/>
    <n v="6"/>
    <n v="2"/>
    <n v="571"/>
    <n v="6"/>
    <n v="1"/>
    <n v="5"/>
    <n v="3"/>
    <m/>
    <m/>
    <m/>
    <m/>
    <n v="666"/>
    <n v="2"/>
    <n v="380"/>
    <n v="284"/>
    <n v="2011"/>
  </r>
  <r>
    <n v="106270875"/>
    <s v="270875"/>
    <x v="152"/>
    <s v="450 EAST ROMIE LANE"/>
    <s v="SALINAS"/>
    <n v="93901"/>
    <x v="0"/>
    <x v="0"/>
    <x v="45"/>
    <x v="24"/>
    <s v="109.2"/>
    <m/>
    <s v="08 - Mid-Coast"/>
    <x v="25"/>
    <s v="General Acute Care"/>
    <s v="District"/>
    <s v="General Medical / Surgical"/>
    <n v="269"/>
    <x v="0"/>
    <n v="20243"/>
    <n v="14929"/>
    <m/>
    <m/>
    <n v="7692"/>
    <n v="4431"/>
    <n v="5465"/>
    <n v="4191"/>
    <n v="3473"/>
    <n v="2898"/>
    <n v="1899"/>
    <n v="1543"/>
    <n v="1796"/>
    <n v="1784"/>
    <m/>
    <n v="937"/>
    <n v="815"/>
    <n v="24448"/>
    <n v="19"/>
    <n v="1579"/>
    <m/>
    <n v="7374"/>
    <n v="119"/>
    <n v="120"/>
    <n v="92"/>
    <n v="51"/>
    <n v="14"/>
    <n v="16"/>
    <n v="2"/>
    <n v="29"/>
    <n v="4"/>
    <n v="50"/>
    <m/>
    <n v="34562"/>
    <n v="113"/>
    <m/>
    <m/>
    <n v="16262"/>
    <n v="5422"/>
    <n v="1079"/>
    <n v="9031"/>
    <n v="3378"/>
    <n v="1257"/>
    <n v="120"/>
    <n v="583"/>
    <n v="11"/>
    <n v="1758"/>
    <n v="404"/>
    <n v="1777"/>
    <n v="756"/>
    <n v="5679"/>
    <n v="2118"/>
    <n v="48"/>
    <n v="2798"/>
    <n v="1525"/>
    <n v="80"/>
    <n v="622"/>
    <n v="4857"/>
    <n v="1277"/>
    <n v="9502"/>
    <m/>
    <m/>
    <n v="2439"/>
    <n v="106"/>
    <n v="227"/>
    <n v="18"/>
    <n v="230"/>
    <n v="22"/>
    <n v="294"/>
    <n v="196"/>
    <n v="27860"/>
    <n v="2594"/>
    <n v="189"/>
    <n v="823"/>
    <n v="19"/>
    <n v="150"/>
    <n v="5"/>
    <m/>
    <n v="35172"/>
    <n v="86"/>
    <n v="25998"/>
    <n v="9088"/>
    <n v="3060"/>
    <n v="2716"/>
    <m/>
    <m/>
    <n v="172"/>
    <n v="331"/>
    <n v="370"/>
    <n v="528"/>
    <n v="755"/>
    <n v="868"/>
    <n v="995"/>
    <n v="1507"/>
    <n v="64"/>
    <n v="186"/>
    <m/>
    <n v="319"/>
    <n v="153"/>
    <n v="2775"/>
    <n v="264"/>
    <n v="3"/>
    <n v="2259"/>
    <n v="3"/>
    <n v="35"/>
    <n v="41"/>
    <n v="218"/>
    <n v="1171"/>
    <n v="193"/>
    <n v="7"/>
    <n v="16"/>
    <n v="3239"/>
    <n v="795"/>
    <n v="61"/>
    <n v="0"/>
    <n v="0"/>
    <n v="0"/>
    <n v="0"/>
    <n v="0"/>
    <n v="861"/>
    <n v="3264"/>
    <n v="81"/>
    <n v="1261"/>
    <n v="309"/>
    <n v="57"/>
    <n v="49"/>
    <n v="1170"/>
    <n v="2"/>
    <n v="1112"/>
    <n v="294"/>
    <n v="358"/>
    <n v="398"/>
    <n v="540"/>
    <n v="98"/>
    <n v="184"/>
    <n v="162"/>
    <n v="4"/>
    <n v="62"/>
    <n v="751"/>
    <n v="197"/>
    <n v="333"/>
    <m/>
    <n v="5"/>
    <m/>
    <n v="381"/>
    <n v="29"/>
    <n v="563"/>
    <n v="16"/>
    <n v="5"/>
    <n v="14"/>
    <n v="6"/>
    <n v="4624"/>
    <n v="65"/>
    <n v="10"/>
    <n v="42"/>
    <n v="9"/>
    <n v="9"/>
    <n v="3"/>
    <m/>
    <m/>
    <n v="5776"/>
    <n v="83"/>
    <n v="4474"/>
    <n v="1219"/>
    <n v="2011"/>
  </r>
  <r>
    <n v="106274043"/>
    <s v="274043"/>
    <x v="153"/>
    <s v="1441 CONSTITUTION BOULEVARD"/>
    <s v="SALINAS"/>
    <n v="93906"/>
    <x v="0"/>
    <x v="0"/>
    <x v="45"/>
    <x v="24"/>
    <s v="109.2"/>
    <m/>
    <s v="08 - Mid-Coast"/>
    <x v="25"/>
    <s v="General Acute Care"/>
    <s v="City and/or County"/>
    <s v="General Medical / Surgical"/>
    <n v="150"/>
    <x v="0"/>
    <n v="22532"/>
    <n v="19321"/>
    <m/>
    <m/>
    <n v="9186"/>
    <n v="5060"/>
    <n v="7882"/>
    <n v="5725"/>
    <n v="4560"/>
    <n v="3897"/>
    <n v="1581"/>
    <n v="665"/>
    <n v="396"/>
    <n v="2901"/>
    <m/>
    <n v="536"/>
    <n v="1344"/>
    <n v="32204"/>
    <n v="16"/>
    <n v="2343"/>
    <n v="22"/>
    <n v="5388"/>
    <n v="204"/>
    <n v="873"/>
    <m/>
    <n v="38"/>
    <n v="3"/>
    <n v="3"/>
    <n v="18"/>
    <n v="183"/>
    <m/>
    <n v="49"/>
    <m/>
    <n v="40466"/>
    <n v="16"/>
    <m/>
    <m/>
    <n v="23744"/>
    <n v="2685"/>
    <n v="2536"/>
    <n v="4708"/>
    <n v="8180"/>
    <n v="1691"/>
    <n v="127"/>
    <n v="496"/>
    <n v="25"/>
    <n v="2849"/>
    <n v="543"/>
    <n v="2430"/>
    <n v="1552"/>
    <n v="6416"/>
    <n v="2050"/>
    <n v="61"/>
    <n v="4645"/>
    <n v="1576"/>
    <n v="46"/>
    <n v="2590"/>
    <n v="6406"/>
    <n v="2058"/>
    <n v="6292"/>
    <m/>
    <m/>
    <n v="1977"/>
    <n v="157"/>
    <n v="316"/>
    <n v="21"/>
    <n v="606"/>
    <n v="36"/>
    <n v="140"/>
    <n v="258"/>
    <n v="34291"/>
    <n v="2554"/>
    <n v="150"/>
    <n v="794"/>
    <n v="164"/>
    <n v="214"/>
    <n v="175"/>
    <m/>
    <n v="41853"/>
    <n v="142"/>
    <n v="24841"/>
    <n v="16870"/>
    <n v="1664"/>
    <n v="2075"/>
    <m/>
    <m/>
    <n v="159"/>
    <n v="457"/>
    <n v="418"/>
    <n v="605"/>
    <n v="712"/>
    <n v="492"/>
    <n v="300"/>
    <n v="198"/>
    <n v="189"/>
    <n v="209"/>
    <m/>
    <n v="111"/>
    <n v="186"/>
    <n v="2343"/>
    <n v="276"/>
    <n v="2"/>
    <n v="820"/>
    <n v="1"/>
    <n v="76"/>
    <n v="69"/>
    <n v="49"/>
    <n v="67"/>
    <n v="163"/>
    <n v="80"/>
    <m/>
    <n v="2707"/>
    <n v="136"/>
    <n v="392"/>
    <n v="0"/>
    <n v="0"/>
    <n v="0"/>
    <n v="0"/>
    <n v="0"/>
    <n v="1372"/>
    <n v="798"/>
    <n v="557"/>
    <n v="391"/>
    <n v="621"/>
    <n v="91"/>
    <n v="45"/>
    <n v="417"/>
    <n v="4"/>
    <n v="665"/>
    <n v="203"/>
    <n v="207"/>
    <n v="128"/>
    <n v="220"/>
    <n v="37"/>
    <n v="46"/>
    <n v="72"/>
    <n v="8"/>
    <n v="551"/>
    <n v="486"/>
    <n v="168"/>
    <n v="354"/>
    <m/>
    <n v="37"/>
    <m/>
    <n v="112"/>
    <n v="28"/>
    <n v="95"/>
    <n v="30"/>
    <n v="11"/>
    <n v="44"/>
    <n v="6"/>
    <n v="3256"/>
    <n v="44"/>
    <n v="1"/>
    <n v="12"/>
    <n v="73"/>
    <n v="11"/>
    <n v="16"/>
    <m/>
    <m/>
    <n v="3739"/>
    <n v="64"/>
    <n v="2311"/>
    <n v="1364"/>
    <n v="2011"/>
  </r>
  <r>
    <n v="106281047"/>
    <s v="281047"/>
    <x v="154"/>
    <s v="1000 TRANCAS STREET"/>
    <s v="NAPA"/>
    <n v="94558"/>
    <x v="4"/>
    <x v="0"/>
    <x v="46"/>
    <x v="7"/>
    <s v="112.1"/>
    <m/>
    <s v="03 - North Bay"/>
    <x v="26"/>
    <s v="General Acute Care"/>
    <s v="Non-Profit Corporation (incl. Church-related)"/>
    <s v="General Medical / Surgical"/>
    <n v="191"/>
    <x v="0"/>
    <n v="13087"/>
    <n v="11349"/>
    <m/>
    <m/>
    <n v="2871"/>
    <n v="2407"/>
    <n v="4014"/>
    <n v="2993"/>
    <n v="3269"/>
    <n v="2867"/>
    <n v="1932"/>
    <n v="1445"/>
    <n v="2035"/>
    <n v="603"/>
    <m/>
    <n v="348"/>
    <n v="339"/>
    <n v="6487"/>
    <n v="7"/>
    <n v="48"/>
    <n v="42"/>
    <n v="17165"/>
    <n v="641"/>
    <n v="142"/>
    <m/>
    <n v="50"/>
    <n v="9"/>
    <m/>
    <m/>
    <m/>
    <n v="165"/>
    <n v="75"/>
    <m/>
    <n v="23218"/>
    <n v="136"/>
    <m/>
    <m/>
    <n v="6710"/>
    <n v="5261"/>
    <n v="3318"/>
    <n v="6362"/>
    <n v="2785"/>
    <n v="647"/>
    <n v="24"/>
    <n v="470"/>
    <n v="2"/>
    <n v="818"/>
    <n v="228"/>
    <n v="962"/>
    <n v="277"/>
    <n v="6127"/>
    <n v="1249"/>
    <n v="7"/>
    <n v="1904"/>
    <n v="1055"/>
    <n v="12"/>
    <n v="651"/>
    <n v="2072"/>
    <n v="950"/>
    <n v="6981"/>
    <m/>
    <m/>
    <n v="2122"/>
    <n v="100"/>
    <n v="130"/>
    <n v="15"/>
    <n v="239"/>
    <n v="11"/>
    <n v="129"/>
    <n v="348"/>
    <n v="17379"/>
    <n v="2799"/>
    <n v="189"/>
    <n v="734"/>
    <n v="70"/>
    <n v="150"/>
    <n v="21"/>
    <m/>
    <n v="24436"/>
    <n v="105"/>
    <n v="21058"/>
    <n v="3273"/>
    <n v="2134"/>
    <n v="2332"/>
    <m/>
    <m/>
    <n v="67"/>
    <n v="220"/>
    <n v="220"/>
    <n v="357"/>
    <n v="632"/>
    <n v="670"/>
    <n v="783"/>
    <n v="1459"/>
    <n v="12"/>
    <n v="46"/>
    <m/>
    <n v="86"/>
    <n v="108"/>
    <n v="614"/>
    <n v="5"/>
    <n v="5"/>
    <n v="3647"/>
    <n v="1"/>
    <n v="240"/>
    <n v="48"/>
    <n v="167"/>
    <n v="312"/>
    <n v="123"/>
    <n v="45"/>
    <n v="31"/>
    <n v="2597"/>
    <n v="866"/>
    <n v="37"/>
    <n v="0"/>
    <n v="0"/>
    <n v="0"/>
    <n v="0"/>
    <n v="0"/>
    <n v="472"/>
    <n v="2837"/>
    <n v="188"/>
    <n v="607"/>
    <n v="362"/>
    <n v="76"/>
    <n v="64"/>
    <n v="1001"/>
    <n v="5"/>
    <n v="719"/>
    <n v="171"/>
    <n v="209"/>
    <n v="352"/>
    <n v="604"/>
    <n v="90"/>
    <n v="101"/>
    <n v="83"/>
    <n v="11"/>
    <n v="36"/>
    <n v="600"/>
    <n v="102"/>
    <n v="242"/>
    <m/>
    <m/>
    <m/>
    <n v="323"/>
    <n v="36"/>
    <n v="339"/>
    <n v="15"/>
    <n v="9"/>
    <n v="292"/>
    <n v="17"/>
    <n v="3237"/>
    <n v="34"/>
    <n v="15"/>
    <n v="83"/>
    <n v="26"/>
    <n v="30"/>
    <n v="10"/>
    <m/>
    <m/>
    <n v="4466"/>
    <n v="31"/>
    <n v="4023"/>
    <n v="412"/>
    <n v="2011"/>
  </r>
  <r>
    <n v="106281078"/>
    <s v="281078"/>
    <x v="155"/>
    <s v="10 WOODLAND RD."/>
    <s v="ST. HELENA"/>
    <n v="94574"/>
    <x v="0"/>
    <x v="0"/>
    <x v="46"/>
    <x v="7"/>
    <s v="111.1"/>
    <m/>
    <s v="03 - North Bay"/>
    <x v="26"/>
    <s v="General Acute Care"/>
    <s v="Non-Profit Corporation (incl. Church-related)"/>
    <s v="General Medical / Surgical"/>
    <n v="114"/>
    <x v="2"/>
    <n v="3187"/>
    <n v="2819"/>
    <m/>
    <m/>
    <n v="594"/>
    <n v="609"/>
    <n v="989"/>
    <n v="710"/>
    <n v="737"/>
    <n v="728"/>
    <n v="575"/>
    <n v="434"/>
    <n v="509"/>
    <n v="121"/>
    <m/>
    <n v="104"/>
    <n v="66"/>
    <n v="1383"/>
    <n v="15"/>
    <n v="50"/>
    <n v="49"/>
    <n v="4339"/>
    <n v="116"/>
    <n v="34"/>
    <n v="7"/>
    <n v="8"/>
    <n v="20"/>
    <n v="2"/>
    <n v="1"/>
    <n v="1"/>
    <n v="8"/>
    <n v="17"/>
    <m/>
    <n v="5775"/>
    <n v="7"/>
    <m/>
    <n v="10"/>
    <n v="471"/>
    <n v="1077"/>
    <n v="449"/>
    <n v="3400"/>
    <n v="609"/>
    <n v="75"/>
    <n v="4"/>
    <n v="127"/>
    <n v="2"/>
    <n v="267"/>
    <n v="87"/>
    <n v="294"/>
    <n v="128"/>
    <n v="1893"/>
    <n v="381"/>
    <n v="6"/>
    <n v="336"/>
    <n v="247"/>
    <n v="3"/>
    <n v="181"/>
    <n v="527"/>
    <n v="249"/>
    <n v="1199"/>
    <m/>
    <m/>
    <n v="541"/>
    <n v="55"/>
    <n v="54"/>
    <n v="4"/>
    <n v="15"/>
    <n v="36"/>
    <n v="37"/>
    <n v="175"/>
    <n v="3850"/>
    <n v="978"/>
    <n v="69"/>
    <n v="137"/>
    <n v="8"/>
    <n v="45"/>
    <n v="2"/>
    <m/>
    <n v="6006"/>
    <n v="28"/>
    <n v="5241"/>
    <n v="737"/>
    <n v="709"/>
    <n v="686"/>
    <m/>
    <m/>
    <n v="18"/>
    <n v="92"/>
    <n v="105"/>
    <n v="177"/>
    <n v="176"/>
    <n v="228"/>
    <n v="222"/>
    <n v="377"/>
    <m/>
    <m/>
    <m/>
    <n v="28"/>
    <n v="20"/>
    <n v="171"/>
    <n v="8"/>
    <n v="3"/>
    <n v="1158"/>
    <n v="7"/>
    <n v="36"/>
    <n v="41"/>
    <n v="28"/>
    <n v="117"/>
    <n v="27"/>
    <m/>
    <n v="74"/>
    <n v="936"/>
    <n v="136"/>
    <m/>
    <n v="0"/>
    <n v="0"/>
    <n v="0"/>
    <n v="0"/>
    <n v="0"/>
    <n v="144"/>
    <n v="738"/>
    <n v="21"/>
    <n v="357"/>
    <n v="135"/>
    <n v="7"/>
    <n v="9"/>
    <n v="237"/>
    <n v="1"/>
    <n v="177"/>
    <n v="48"/>
    <n v="99"/>
    <n v="84"/>
    <n v="130"/>
    <n v="25"/>
    <n v="32"/>
    <n v="32"/>
    <n v="2"/>
    <n v="241"/>
    <n v="140"/>
    <n v="30"/>
    <n v="101"/>
    <m/>
    <m/>
    <m/>
    <n v="57"/>
    <n v="7"/>
    <n v="104"/>
    <n v="2"/>
    <n v="4"/>
    <n v="84"/>
    <n v="8"/>
    <n v="1083"/>
    <n v="18"/>
    <n v="3"/>
    <n v="7"/>
    <n v="12"/>
    <n v="5"/>
    <n v="1"/>
    <m/>
    <m/>
    <n v="1395"/>
    <n v="10"/>
    <n v="1279"/>
    <n v="106"/>
    <n v="2011"/>
  </r>
  <r>
    <n v="106291023"/>
    <s v="291023"/>
    <x v="156"/>
    <s v="155 GLASSON WAY"/>
    <s v="GRASS VALLEY"/>
    <n v="95945"/>
    <x v="0"/>
    <x v="0"/>
    <x v="5"/>
    <x v="3"/>
    <s v="113"/>
    <m/>
    <s v="02 - Golden Empire"/>
    <x v="27"/>
    <s v="General Acute Care"/>
    <s v="Non-Profit Corporation (incl. Church-related)"/>
    <s v="General Medical / Surgical"/>
    <n v="104"/>
    <x v="0"/>
    <n v="13639"/>
    <n v="12053"/>
    <m/>
    <m/>
    <n v="2169"/>
    <n v="3059"/>
    <n v="3904"/>
    <n v="2944"/>
    <n v="3140"/>
    <n v="3249"/>
    <n v="2519"/>
    <n v="1846"/>
    <n v="2433"/>
    <n v="429"/>
    <m/>
    <n v="94"/>
    <n v="229"/>
    <n v="740"/>
    <n v="66"/>
    <n v="417"/>
    <n v="336"/>
    <n v="23810"/>
    <n v="494"/>
    <n v="205"/>
    <m/>
    <n v="32"/>
    <n v="5"/>
    <n v="7"/>
    <n v="123"/>
    <n v="86"/>
    <n v="81"/>
    <n v="128"/>
    <n v="4"/>
    <n v="24372"/>
    <n v="155"/>
    <m/>
    <m/>
    <n v="8649"/>
    <n v="6850"/>
    <n v="2805"/>
    <n v="4311"/>
    <n v="3077"/>
    <n v="416"/>
    <n v="50"/>
    <n v="884"/>
    <n v="3"/>
    <n v="1289"/>
    <n v="404"/>
    <n v="1293"/>
    <n v="455"/>
    <n v="6628"/>
    <n v="1591"/>
    <n v="19"/>
    <n v="1774"/>
    <n v="776"/>
    <n v="21"/>
    <n v="1018"/>
    <n v="2421"/>
    <n v="1511"/>
    <n v="5139"/>
    <m/>
    <m/>
    <n v="2376"/>
    <n v="141"/>
    <n v="232"/>
    <n v="28"/>
    <n v="212"/>
    <n v="17"/>
    <n v="122"/>
    <n v="420"/>
    <n v="17901"/>
    <n v="3155"/>
    <n v="151"/>
    <n v="635"/>
    <n v="77"/>
    <n v="164"/>
    <n v="61"/>
    <m/>
    <n v="25692"/>
    <n v="47"/>
    <n v="25526"/>
    <n v="119"/>
    <n v="2109"/>
    <n v="1874"/>
    <m/>
    <m/>
    <n v="68"/>
    <n v="153"/>
    <n v="159"/>
    <n v="287"/>
    <n v="521"/>
    <n v="671"/>
    <n v="710"/>
    <n v="1352"/>
    <n v="26"/>
    <n v="36"/>
    <m/>
    <n v="13"/>
    <n v="15"/>
    <n v="69"/>
    <n v="5"/>
    <n v="22"/>
    <n v="3848"/>
    <n v="11"/>
    <n v="199"/>
    <n v="27"/>
    <n v="123"/>
    <n v="302"/>
    <n v="11"/>
    <n v="31"/>
    <n v="62"/>
    <n v="2380"/>
    <n v="844"/>
    <n v="4"/>
    <n v="0"/>
    <n v="0"/>
    <n v="0"/>
    <n v="0"/>
    <n v="0"/>
    <n v="427"/>
    <n v="2552"/>
    <n v="72"/>
    <n v="653"/>
    <n v="279"/>
    <n v="40"/>
    <n v="89"/>
    <n v="827"/>
    <n v="1"/>
    <n v="633"/>
    <n v="146"/>
    <n v="173"/>
    <n v="409"/>
    <n v="527"/>
    <n v="51"/>
    <n v="62"/>
    <n v="91"/>
    <n v="5"/>
    <n v="37"/>
    <n v="577"/>
    <n v="80"/>
    <n v="232"/>
    <m/>
    <n v="3"/>
    <m/>
    <n v="337"/>
    <n v="83"/>
    <n v="498"/>
    <n v="2"/>
    <n v="54"/>
    <n v="151"/>
    <n v="27"/>
    <n v="2665"/>
    <n v="69"/>
    <n v="4"/>
    <n v="25"/>
    <n v="46"/>
    <n v="10"/>
    <n v="11"/>
    <n v="1"/>
    <m/>
    <n v="3983"/>
    <n v="7"/>
    <n v="3968"/>
    <n v="8"/>
    <n v="2011"/>
  </r>
  <r>
    <n v="106291053"/>
    <s v="291053"/>
    <x v="157"/>
    <s v="10121 PINE STREET POB 759"/>
    <s v="TRUCKEE"/>
    <n v="96160"/>
    <x v="0"/>
    <x v="0"/>
    <x v="5"/>
    <x v="2"/>
    <s v="114"/>
    <m/>
    <s v="02 - Golden Empire"/>
    <x v="27"/>
    <s v="General Acute Care"/>
    <s v="District"/>
    <s v="General Medical / Surgical"/>
    <n v="35"/>
    <x v="0"/>
    <n v="4488"/>
    <n v="5397"/>
    <m/>
    <m/>
    <n v="1282"/>
    <n v="1355"/>
    <n v="1682"/>
    <n v="1126"/>
    <n v="1158"/>
    <n v="1204"/>
    <n v="963"/>
    <n v="605"/>
    <n v="321"/>
    <n v="189"/>
    <m/>
    <n v="166"/>
    <n v="67"/>
    <n v="1178"/>
    <n v="4"/>
    <n v="256"/>
    <n v="8"/>
    <n v="8206"/>
    <n v="289"/>
    <m/>
    <n v="1"/>
    <n v="6"/>
    <n v="4"/>
    <m/>
    <m/>
    <n v="1"/>
    <m/>
    <n v="15"/>
    <m/>
    <n v="9550"/>
    <n v="8"/>
    <n v="11"/>
    <m/>
    <n v="1495"/>
    <n v="1464"/>
    <n v="745"/>
    <n v="6174"/>
    <n v="7"/>
    <n v="122"/>
    <n v="23"/>
    <n v="238"/>
    <n v="2"/>
    <n v="361"/>
    <n v="82"/>
    <n v="390"/>
    <n v="188"/>
    <n v="4200"/>
    <n v="409"/>
    <n v="17"/>
    <n v="462"/>
    <n v="608"/>
    <n v="4"/>
    <n v="183"/>
    <n v="720"/>
    <n v="300"/>
    <n v="1576"/>
    <m/>
    <m/>
    <n v="2242"/>
    <n v="29"/>
    <n v="63"/>
    <n v="8"/>
    <n v="42"/>
    <n v="11"/>
    <n v="42"/>
    <n v="120"/>
    <n v="5440"/>
    <n v="1334"/>
    <n v="208"/>
    <n v="266"/>
    <n v="8"/>
    <n v="66"/>
    <n v="6"/>
    <m/>
    <n v="9885"/>
    <n v="22"/>
    <n v="9151"/>
    <n v="712"/>
    <n v="491"/>
    <n v="482"/>
    <m/>
    <m/>
    <n v="45"/>
    <n v="121"/>
    <n v="96"/>
    <n v="128"/>
    <n v="179"/>
    <n v="150"/>
    <n v="121"/>
    <n v="106"/>
    <n v="11"/>
    <n v="16"/>
    <m/>
    <n v="13"/>
    <n v="7"/>
    <n v="109"/>
    <n v="17"/>
    <m/>
    <n v="827"/>
    <m/>
    <n v="42"/>
    <n v="6"/>
    <n v="9"/>
    <n v="48"/>
    <n v="6"/>
    <n v="5"/>
    <n v="10"/>
    <n v="797"/>
    <n v="50"/>
    <m/>
    <n v="0"/>
    <n v="0"/>
    <n v="0"/>
    <n v="0"/>
    <n v="0"/>
    <n v="138"/>
    <n v="331"/>
    <n v="5"/>
    <n v="410"/>
    <n v="89"/>
    <n v="28"/>
    <n v="5"/>
    <n v="104"/>
    <n v="2"/>
    <n v="226"/>
    <n v="28"/>
    <n v="30"/>
    <n v="29"/>
    <n v="302"/>
    <n v="23"/>
    <n v="17"/>
    <n v="29"/>
    <n v="1"/>
    <n v="14"/>
    <n v="95"/>
    <n v="9"/>
    <n v="31"/>
    <m/>
    <m/>
    <m/>
    <n v="211"/>
    <n v="4"/>
    <n v="62"/>
    <n v="4"/>
    <n v="6"/>
    <n v="50"/>
    <n v="3"/>
    <n v="552"/>
    <n v="40"/>
    <n v="8"/>
    <n v="18"/>
    <n v="9"/>
    <n v="4"/>
    <n v="2"/>
    <m/>
    <m/>
    <n v="973"/>
    <m/>
    <n v="896"/>
    <n v="77"/>
    <n v="2011"/>
  </r>
  <r>
    <n v="106300032"/>
    <s v="300032"/>
    <x v="158"/>
    <s v="455 SO. MAIN STREET"/>
    <s v="ORANGE"/>
    <n v="92668"/>
    <x v="0"/>
    <x v="0"/>
    <x v="47"/>
    <x v="27"/>
    <s v="116h"/>
    <m/>
    <s v="13 - Orange"/>
    <x v="28"/>
    <s v="General Acute Care"/>
    <s v="Non-Profit Corporation (incl. Church-related)"/>
    <s v="General Medical / Surgical"/>
    <n v="238"/>
    <x v="0"/>
    <n v="20836"/>
    <n v="25181"/>
    <n v="4"/>
    <m/>
    <n v="28646"/>
    <n v="9299"/>
    <n v="29"/>
    <m/>
    <m/>
    <m/>
    <m/>
    <m/>
    <m/>
    <n v="8047"/>
    <m/>
    <n v="1856"/>
    <n v="649"/>
    <n v="31858"/>
    <n v="45"/>
    <n v="1805"/>
    <n v="271"/>
    <n v="9537"/>
    <n v="125"/>
    <n v="14"/>
    <m/>
    <n v="2"/>
    <m/>
    <m/>
    <m/>
    <n v="11"/>
    <m/>
    <m/>
    <m/>
    <n v="45869"/>
    <m/>
    <m/>
    <m/>
    <n v="28117"/>
    <n v="4"/>
    <n v="4982"/>
    <n v="10228"/>
    <n v="2690"/>
    <n v="7"/>
    <n v="236"/>
    <n v="48"/>
    <n v="51"/>
    <n v="2435"/>
    <n v="340"/>
    <n v="1554"/>
    <n v="2266"/>
    <n v="9994"/>
    <n v="652"/>
    <n v="35"/>
    <n v="3377"/>
    <n v="829"/>
    <n v="460"/>
    <n v="355"/>
    <n v="9805"/>
    <n v="1876"/>
    <n v="11700"/>
    <m/>
    <n v="1"/>
    <n v="4448"/>
    <n v="121"/>
    <n v="179"/>
    <n v="6"/>
    <n v="94"/>
    <n v="19"/>
    <n v="97"/>
    <n v="329"/>
    <n v="36351"/>
    <n v="3533"/>
    <n v="232"/>
    <n v="204"/>
    <n v="48"/>
    <n v="347"/>
    <n v="13"/>
    <m/>
    <n v="46021"/>
    <n v="285"/>
    <n v="30139"/>
    <n v="15597"/>
    <n v="2453"/>
    <n v="2930"/>
    <m/>
    <m/>
    <n v="1310"/>
    <n v="26"/>
    <m/>
    <m/>
    <m/>
    <m/>
    <m/>
    <m/>
    <n v="1587"/>
    <n v="2460"/>
    <m/>
    <n v="396"/>
    <n v="114"/>
    <n v="3156"/>
    <n v="268"/>
    <n v="13"/>
    <n v="1433"/>
    <n v="3"/>
    <n v="34"/>
    <n v="4"/>
    <n v="19"/>
    <m/>
    <m/>
    <m/>
    <n v="2"/>
    <n v="5309"/>
    <n v="15"/>
    <m/>
    <n v="0"/>
    <n v="0"/>
    <n v="0"/>
    <n v="0"/>
    <n v="0"/>
    <n v="3371"/>
    <n v="4"/>
    <n v="71"/>
    <n v="1896"/>
    <n v="41"/>
    <m/>
    <n v="180"/>
    <n v="78"/>
    <n v="71"/>
    <n v="876"/>
    <n v="258"/>
    <n v="258"/>
    <n v="268"/>
    <n v="291"/>
    <n v="69"/>
    <n v="145"/>
    <n v="303"/>
    <n v="12"/>
    <n v="22"/>
    <n v="1396"/>
    <n v="186"/>
    <n v="658"/>
    <m/>
    <n v="312"/>
    <m/>
    <n v="64"/>
    <n v="22"/>
    <n v="89"/>
    <n v="3"/>
    <n v="10"/>
    <n v="249"/>
    <n v="12"/>
    <n v="4841"/>
    <n v="42"/>
    <n v="4"/>
    <n v="4"/>
    <n v="12"/>
    <n v="19"/>
    <n v="11"/>
    <n v="1"/>
    <m/>
    <n v="5383"/>
    <n v="75"/>
    <n v="3764"/>
    <n v="1544"/>
    <n v="2011"/>
  </r>
  <r>
    <n v="106300225"/>
    <s v="300225"/>
    <x v="159"/>
    <s v="9920 TALBERT AVENUE"/>
    <s v="FOUNTAIN VALLEY"/>
    <n v="92708"/>
    <x v="0"/>
    <x v="0"/>
    <x v="48"/>
    <x v="28"/>
    <s v="116j"/>
    <m/>
    <s v="13 - Orange"/>
    <x v="28"/>
    <s v="General Acute Care"/>
    <s v="Non-Profit Corporation (incl. Church-related)"/>
    <s v="General Medical / Surgical"/>
    <n v="218"/>
    <x v="0"/>
    <n v="11564"/>
    <n v="8115"/>
    <m/>
    <m/>
    <n v="1727"/>
    <n v="1835"/>
    <n v="2739"/>
    <n v="2531"/>
    <n v="2662"/>
    <n v="2256"/>
    <n v="1639"/>
    <n v="1807"/>
    <n v="2146"/>
    <n v="337"/>
    <m/>
    <n v="2192"/>
    <n v="399"/>
    <n v="4151"/>
    <n v="2"/>
    <n v="567"/>
    <n v="294"/>
    <n v="12074"/>
    <n v="450"/>
    <m/>
    <n v="13"/>
    <n v="30"/>
    <n v="58"/>
    <n v="3"/>
    <n v="4"/>
    <m/>
    <m/>
    <n v="87"/>
    <m/>
    <n v="18795"/>
    <n v="238"/>
    <m/>
    <n v="1"/>
    <n v="3464"/>
    <n v="5157"/>
    <n v="998"/>
    <n v="8131"/>
    <n v="1929"/>
    <n v="601"/>
    <n v="90"/>
    <n v="631"/>
    <n v="1"/>
    <n v="1137"/>
    <n v="305"/>
    <n v="1376"/>
    <n v="313"/>
    <n v="4600"/>
    <n v="1239"/>
    <n v="42"/>
    <n v="1361"/>
    <n v="459"/>
    <n v="25"/>
    <n v="717"/>
    <n v="1548"/>
    <n v="661"/>
    <n v="4573"/>
    <m/>
    <m/>
    <n v="1701"/>
    <n v="81"/>
    <n v="244"/>
    <n v="2"/>
    <n v="90"/>
    <n v="15"/>
    <n v="214"/>
    <n v="159"/>
    <n v="14417"/>
    <n v="2069"/>
    <n v="96"/>
    <n v="428"/>
    <n v="41"/>
    <n v="110"/>
    <n v="12"/>
    <m/>
    <n v="19679"/>
    <n v="465"/>
    <n v="18641"/>
    <n v="573"/>
    <n v="3974"/>
    <n v="3135"/>
    <m/>
    <m/>
    <n v="46"/>
    <n v="292"/>
    <n v="436"/>
    <n v="860"/>
    <n v="1071"/>
    <n v="1132"/>
    <n v="1351"/>
    <n v="1917"/>
    <n v="4"/>
    <m/>
    <m/>
    <n v="1143"/>
    <n v="119"/>
    <n v="1227"/>
    <n v="124"/>
    <n v="16"/>
    <n v="4477"/>
    <n v="3"/>
    <n v="113"/>
    <m/>
    <n v="171"/>
    <n v="834"/>
    <n v="81"/>
    <n v="1"/>
    <n v="56"/>
    <n v="4763"/>
    <n v="1090"/>
    <m/>
    <n v="0"/>
    <n v="0"/>
    <n v="0"/>
    <n v="0"/>
    <n v="0"/>
    <n v="582"/>
    <n v="4074"/>
    <n v="48"/>
    <n v="1944"/>
    <n v="461"/>
    <n v="54"/>
    <n v="142"/>
    <n v="1293"/>
    <n v="3"/>
    <n v="1387"/>
    <n v="267"/>
    <n v="555"/>
    <n v="388"/>
    <n v="675"/>
    <n v="146"/>
    <n v="290"/>
    <n v="152"/>
    <n v="5"/>
    <n v="87"/>
    <n v="672"/>
    <n v="143"/>
    <n v="848"/>
    <m/>
    <n v="2"/>
    <m/>
    <n v="426"/>
    <n v="37"/>
    <n v="482"/>
    <n v="4"/>
    <n v="17"/>
    <n v="323"/>
    <n v="5"/>
    <n v="5643"/>
    <n v="98"/>
    <n v="12"/>
    <n v="12"/>
    <n v="26"/>
    <n v="13"/>
    <n v="10"/>
    <n v="1"/>
    <m/>
    <n v="7109"/>
    <n v="578"/>
    <n v="6171"/>
    <n v="360"/>
    <n v="2011"/>
  </r>
  <r>
    <n v="106301097"/>
    <s v="301097"/>
    <x v="160"/>
    <s v="3350 WEST BALL ROAD"/>
    <s v="ANAHEIM"/>
    <n v="92804"/>
    <x v="0"/>
    <x v="0"/>
    <x v="49"/>
    <x v="29"/>
    <s v="116c"/>
    <m/>
    <s v="13 - Orange"/>
    <x v="28"/>
    <s v="General Acute Care"/>
    <s v="Investor - Partnership"/>
    <s v="General Medical / Surgical"/>
    <n v="101"/>
    <x v="0"/>
    <n v="3557"/>
    <n v="2748"/>
    <m/>
    <m/>
    <n v="1225"/>
    <n v="932"/>
    <n v="1003"/>
    <n v="939"/>
    <n v="937"/>
    <n v="646"/>
    <n v="239"/>
    <n v="116"/>
    <n v="89"/>
    <n v="179"/>
    <m/>
    <n v="518"/>
    <n v="384"/>
    <n v="3028"/>
    <n v="37"/>
    <n v="26"/>
    <n v="2"/>
    <n v="2310"/>
    <n v="84"/>
    <n v="176"/>
    <m/>
    <n v="1"/>
    <n v="62"/>
    <n v="4"/>
    <m/>
    <n v="7"/>
    <m/>
    <m/>
    <m/>
    <n v="5971"/>
    <m/>
    <m/>
    <m/>
    <n v="656"/>
    <n v="1620"/>
    <m/>
    <m/>
    <n v="4029"/>
    <n v="140"/>
    <n v="10"/>
    <n v="58"/>
    <m/>
    <n v="433"/>
    <n v="92"/>
    <n v="519"/>
    <n v="443"/>
    <n v="1284"/>
    <n v="357"/>
    <n v="9"/>
    <n v="502"/>
    <n v="116"/>
    <m/>
    <n v="160"/>
    <n v="1090"/>
    <n v="398"/>
    <n v="694"/>
    <m/>
    <m/>
    <n v="393"/>
    <n v="2"/>
    <n v="9"/>
    <n v="2"/>
    <n v="64"/>
    <m/>
    <m/>
    <n v="53"/>
    <n v="5022"/>
    <n v="657"/>
    <n v="5"/>
    <n v="57"/>
    <n v="7"/>
    <n v="34"/>
    <m/>
    <m/>
    <n v="6305"/>
    <n v="4"/>
    <n v="5155"/>
    <n v="1146"/>
    <n v="413"/>
    <n v="384"/>
    <m/>
    <m/>
    <n v="10"/>
    <n v="56"/>
    <n v="77"/>
    <n v="114"/>
    <n v="173"/>
    <n v="144"/>
    <n v="105"/>
    <n v="118"/>
    <m/>
    <m/>
    <m/>
    <n v="143"/>
    <n v="45"/>
    <n v="224"/>
    <m/>
    <m/>
    <n v="379"/>
    <n v="6"/>
    <n v="33"/>
    <n v="29"/>
    <n v="15"/>
    <n v="16"/>
    <n v="70"/>
    <m/>
    <n v="1"/>
    <n v="455"/>
    <n v="178"/>
    <m/>
    <n v="0"/>
    <n v="0"/>
    <n v="0"/>
    <n v="0"/>
    <n v="0"/>
    <n v="269"/>
    <n v="371"/>
    <n v="10"/>
    <n v="69"/>
    <n v="78"/>
    <n v="4"/>
    <n v="17"/>
    <n v="67"/>
    <m/>
    <n v="115"/>
    <n v="51"/>
    <n v="57"/>
    <n v="74"/>
    <n v="19"/>
    <n v="17"/>
    <n v="16"/>
    <n v="9"/>
    <n v="2"/>
    <n v="96"/>
    <n v="154"/>
    <n v="44"/>
    <n v="55"/>
    <m/>
    <m/>
    <m/>
    <n v="8"/>
    <n v="1"/>
    <n v="10"/>
    <m/>
    <n v="1"/>
    <n v="1"/>
    <n v="1"/>
    <n v="762"/>
    <n v="8"/>
    <n v="1"/>
    <m/>
    <n v="3"/>
    <m/>
    <n v="1"/>
    <m/>
    <m/>
    <n v="797"/>
    <m/>
    <n v="694"/>
    <n v="103"/>
    <n v="2011"/>
  </r>
  <r>
    <n v="106301098"/>
    <s v="301098"/>
    <x v="161"/>
    <s v="1111 WEST LA PALMA AVENUE"/>
    <s v="ANAHEIM"/>
    <n v="92801"/>
    <x v="0"/>
    <x v="0"/>
    <x v="47"/>
    <x v="29"/>
    <s v="116l"/>
    <m/>
    <s v="13 - Orange"/>
    <x v="28"/>
    <s v="General Acute Care"/>
    <s v="Investor - Partnership"/>
    <s v="General Medical / Surgical"/>
    <n v="223"/>
    <x v="0"/>
    <n v="18229"/>
    <n v="14128"/>
    <m/>
    <m/>
    <n v="4960"/>
    <n v="3682"/>
    <n v="5075"/>
    <n v="4100"/>
    <n v="3877"/>
    <n v="3406"/>
    <n v="2251"/>
    <n v="1769"/>
    <n v="1978"/>
    <n v="1258"/>
    <n v="1"/>
    <n v="1633"/>
    <n v="1513"/>
    <n v="14882"/>
    <n v="50"/>
    <n v="4206"/>
    <n v="4"/>
    <n v="10069"/>
    <n v="792"/>
    <n v="426"/>
    <n v="41"/>
    <n v="72"/>
    <n v="16"/>
    <n v="12"/>
    <m/>
    <n v="13"/>
    <m/>
    <n v="94"/>
    <m/>
    <n v="30744"/>
    <n v="147"/>
    <m/>
    <m/>
    <n v="1782"/>
    <n v="4029"/>
    <n v="2283"/>
    <n v="19398"/>
    <n v="4865"/>
    <n v="1210"/>
    <n v="107"/>
    <n v="684"/>
    <n v="11"/>
    <n v="1814"/>
    <n v="447"/>
    <n v="1789"/>
    <n v="430"/>
    <n v="6874"/>
    <n v="2235"/>
    <n v="35"/>
    <n v="1723"/>
    <n v="643"/>
    <n v="53"/>
    <n v="776"/>
    <n v="3823"/>
    <n v="1140"/>
    <n v="8563"/>
    <m/>
    <m/>
    <n v="2444"/>
    <n v="70"/>
    <n v="409"/>
    <n v="7"/>
    <n v="333"/>
    <n v="47"/>
    <n v="275"/>
    <n v="240"/>
    <n v="24562"/>
    <n v="2837"/>
    <n v="143"/>
    <n v="680"/>
    <n v="58"/>
    <n v="187"/>
    <n v="65"/>
    <m/>
    <n v="32357"/>
    <n v="240"/>
    <n v="26642"/>
    <n v="5475"/>
    <n v="4608"/>
    <n v="4032"/>
    <m/>
    <m/>
    <n v="104"/>
    <n v="412"/>
    <n v="535"/>
    <n v="998"/>
    <n v="1422"/>
    <n v="1443"/>
    <n v="1637"/>
    <n v="2075"/>
    <n v="14"/>
    <m/>
    <m/>
    <n v="780"/>
    <n v="360"/>
    <n v="2917"/>
    <n v="370"/>
    <m/>
    <n v="4207"/>
    <n v="6"/>
    <n v="266"/>
    <n v="190"/>
    <n v="201"/>
    <n v="796"/>
    <n v="63"/>
    <n v="95"/>
    <n v="71"/>
    <n v="5550"/>
    <n v="1407"/>
    <n v="1"/>
    <n v="0"/>
    <n v="0"/>
    <n v="0"/>
    <n v="0"/>
    <n v="0"/>
    <n v="1505"/>
    <n v="4070"/>
    <n v="134"/>
    <n v="1985"/>
    <n v="946"/>
    <n v="102"/>
    <n v="205"/>
    <n v="1844"/>
    <n v="8"/>
    <n v="1560"/>
    <n v="480"/>
    <n v="590"/>
    <n v="518"/>
    <n v="634"/>
    <n v="126"/>
    <n v="222"/>
    <n v="189"/>
    <n v="7"/>
    <n v="121"/>
    <n v="1058"/>
    <n v="272"/>
    <n v="690"/>
    <n v="2"/>
    <n v="12"/>
    <m/>
    <n v="407"/>
    <n v="41"/>
    <n v="650"/>
    <n v="17"/>
    <n v="29"/>
    <n v="464"/>
    <n v="13"/>
    <n v="6811"/>
    <n v="132"/>
    <n v="3"/>
    <n v="8"/>
    <n v="39"/>
    <n v="14"/>
    <n v="12"/>
    <m/>
    <m/>
    <n v="8640"/>
    <n v="232"/>
    <n v="7073"/>
    <n v="1335"/>
    <n v="2011"/>
  </r>
  <r>
    <n v="106301132"/>
    <s v="301132"/>
    <x v="162"/>
    <s v="441 LAKEVIEW AVENUE"/>
    <s v="ANAHEIM"/>
    <n v="92807"/>
    <x v="0"/>
    <x v="0"/>
    <x v="40"/>
    <x v="18"/>
    <s v="116n"/>
    <m/>
    <s v="13 - Orange"/>
    <x v="28"/>
    <s v="General Acute Care"/>
    <s v="Non-Profit Corporation (incl. Church-related)"/>
    <s v="General Medical / Surgical"/>
    <n v="200"/>
    <x v="0"/>
    <n v="36631"/>
    <n v="29632"/>
    <n v="2"/>
    <m/>
    <n v="6876"/>
    <n v="7054"/>
    <n v="9384"/>
    <n v="8134"/>
    <n v="8359"/>
    <n v="8569"/>
    <n v="6813"/>
    <n v="5085"/>
    <n v="4497"/>
    <n v="1494"/>
    <m/>
    <n v="6939"/>
    <n v="2404"/>
    <n v="15110"/>
    <n v="136"/>
    <n v="4640"/>
    <n v="590"/>
    <n v="36446"/>
    <n v="493"/>
    <n v="336"/>
    <m/>
    <n v="52"/>
    <n v="477"/>
    <n v="69"/>
    <n v="14"/>
    <n v="2"/>
    <n v="8"/>
    <n v="426"/>
    <m/>
    <n v="64103"/>
    <n v="259"/>
    <n v="26"/>
    <m/>
    <n v="4159"/>
    <n v="12794"/>
    <n v="148"/>
    <n v="46055"/>
    <n v="3109"/>
    <n v="1620"/>
    <n v="285"/>
    <n v="2131"/>
    <n v="13"/>
    <n v="3628"/>
    <n v="1032"/>
    <n v="4326"/>
    <n v="1158"/>
    <n v="14762"/>
    <n v="4155"/>
    <n v="148"/>
    <n v="3506"/>
    <n v="1410"/>
    <n v="120"/>
    <n v="2334"/>
    <n v="4579"/>
    <n v="1966"/>
    <n v="19092"/>
    <m/>
    <m/>
    <n v="4931"/>
    <n v="185"/>
    <n v="693"/>
    <n v="17"/>
    <n v="251"/>
    <n v="16"/>
    <n v="756"/>
    <n v="503"/>
    <n v="49759"/>
    <n v="7038"/>
    <n v="333"/>
    <n v="1212"/>
    <n v="164"/>
    <n v="341"/>
    <n v="66"/>
    <m/>
    <n v="66265"/>
    <n v="1515"/>
    <n v="59044"/>
    <n v="5706"/>
    <n v="5161"/>
    <n v="4729"/>
    <m/>
    <m/>
    <n v="328"/>
    <n v="525"/>
    <n v="581"/>
    <n v="912"/>
    <n v="1427"/>
    <n v="1767"/>
    <n v="1819"/>
    <n v="2135"/>
    <n v="110"/>
    <n v="286"/>
    <m/>
    <n v="1001"/>
    <n v="325"/>
    <n v="1654"/>
    <n v="189"/>
    <n v="12"/>
    <n v="6695"/>
    <n v="14"/>
    <n v="371"/>
    <n v="72"/>
    <n v="226"/>
    <n v="2281"/>
    <n v="59"/>
    <m/>
    <n v="131"/>
    <n v="5785"/>
    <n v="965"/>
    <m/>
    <n v="0"/>
    <n v="0"/>
    <n v="0"/>
    <n v="0"/>
    <n v="0"/>
    <n v="405"/>
    <n v="4988"/>
    <n v="19"/>
    <n v="4339"/>
    <n v="139"/>
    <n v="101"/>
    <n v="206"/>
    <n v="1509"/>
    <n v="22"/>
    <n v="1916"/>
    <n v="428"/>
    <n v="671"/>
    <n v="900"/>
    <n v="998"/>
    <n v="191"/>
    <n v="370"/>
    <n v="230"/>
    <n v="14"/>
    <n v="131"/>
    <n v="1133"/>
    <n v="330"/>
    <n v="716"/>
    <m/>
    <n v="24"/>
    <m/>
    <n v="529"/>
    <n v="41"/>
    <n v="1046"/>
    <n v="4"/>
    <n v="15"/>
    <n v="683"/>
    <n v="20"/>
    <n v="7059"/>
    <n v="375"/>
    <n v="11"/>
    <n v="25"/>
    <n v="36"/>
    <n v="33"/>
    <n v="10"/>
    <n v="2"/>
    <n v="1"/>
    <n v="9890"/>
    <n v="267"/>
    <n v="8930"/>
    <n v="693"/>
    <n v="2011"/>
  </r>
  <r>
    <n v="106301140"/>
    <s v="301140"/>
    <x v="163"/>
    <s v="2601 EAST CHAPMAN AVENUE"/>
    <s v="ORANGE"/>
    <n v="92669"/>
    <x v="0"/>
    <x v="0"/>
    <x v="50"/>
    <x v="27"/>
    <s v="116h"/>
    <m/>
    <s v="13 - Orange"/>
    <x v="28"/>
    <s v="General Acute Care"/>
    <s v="Investor - Corporation"/>
    <s v="General Medical / Surgical"/>
    <n v="47"/>
    <x v="0"/>
    <n v="4312"/>
    <n v="3654"/>
    <m/>
    <m/>
    <n v="768"/>
    <n v="1066"/>
    <n v="1476"/>
    <n v="1138"/>
    <n v="1259"/>
    <n v="981"/>
    <n v="540"/>
    <n v="301"/>
    <n v="352"/>
    <n v="85"/>
    <m/>
    <n v="321"/>
    <n v="296"/>
    <n v="2335"/>
    <n v="26"/>
    <n v="171"/>
    <n v="42"/>
    <n v="4775"/>
    <n v="263"/>
    <n v="141"/>
    <n v="5"/>
    <n v="19"/>
    <n v="7"/>
    <n v="1"/>
    <m/>
    <n v="1"/>
    <m/>
    <n v="11"/>
    <n v="1"/>
    <n v="7499"/>
    <n v="18"/>
    <m/>
    <m/>
    <n v="17"/>
    <n v="1402"/>
    <n v="810"/>
    <n v="4497"/>
    <n v="1240"/>
    <n v="148"/>
    <n v="27"/>
    <n v="175"/>
    <n v="3"/>
    <n v="376"/>
    <n v="115"/>
    <n v="430"/>
    <n v="104"/>
    <n v="2375"/>
    <n v="393"/>
    <n v="9"/>
    <n v="578"/>
    <n v="188"/>
    <n v="4"/>
    <n v="317"/>
    <n v="861"/>
    <n v="390"/>
    <n v="1473"/>
    <m/>
    <m/>
    <n v="689"/>
    <n v="28"/>
    <n v="57"/>
    <n v="4"/>
    <n v="64"/>
    <n v="12"/>
    <n v="63"/>
    <n v="110"/>
    <n v="5378"/>
    <n v="1205"/>
    <n v="62"/>
    <n v="211"/>
    <n v="27"/>
    <n v="45"/>
    <n v="11"/>
    <m/>
    <n v="7966"/>
    <n v="43"/>
    <n v="7388"/>
    <n v="535"/>
    <n v="594"/>
    <n v="538"/>
    <m/>
    <m/>
    <n v="35"/>
    <n v="115"/>
    <n v="102"/>
    <n v="132"/>
    <n v="209"/>
    <n v="160"/>
    <n v="158"/>
    <n v="221"/>
    <m/>
    <m/>
    <m/>
    <n v="12"/>
    <n v="29"/>
    <n v="256"/>
    <n v="18"/>
    <n v="39"/>
    <n v="777"/>
    <n v="1"/>
    <n v="61"/>
    <n v="34"/>
    <n v="28"/>
    <n v="111"/>
    <n v="41"/>
    <n v="3"/>
    <n v="10"/>
    <n v="667"/>
    <n v="177"/>
    <m/>
    <n v="0"/>
    <n v="0"/>
    <n v="0"/>
    <n v="0"/>
    <n v="0"/>
    <n v="72"/>
    <n v="495"/>
    <n v="174"/>
    <n v="285"/>
    <n v="106"/>
    <n v="7"/>
    <n v="16"/>
    <n v="127"/>
    <m/>
    <n v="223"/>
    <n v="50"/>
    <n v="59"/>
    <n v="85"/>
    <n v="74"/>
    <n v="12"/>
    <n v="16"/>
    <n v="46"/>
    <m/>
    <n v="221"/>
    <n v="119"/>
    <n v="36"/>
    <n v="41"/>
    <m/>
    <m/>
    <m/>
    <n v="54"/>
    <n v="8"/>
    <n v="42"/>
    <n v="1"/>
    <n v="6"/>
    <n v="39"/>
    <n v="2"/>
    <n v="938"/>
    <n v="19"/>
    <n v="1"/>
    <n v="1"/>
    <n v="12"/>
    <n v="3"/>
    <n v="6"/>
    <m/>
    <m/>
    <n v="1132"/>
    <n v="9"/>
    <n v="1064"/>
    <n v="59"/>
    <n v="2011"/>
  </r>
  <r>
    <n v="106301175"/>
    <s v="301175"/>
    <x v="164"/>
    <s v="17100 EUCLID STREET"/>
    <s v="FOUNTAIN VALLEY"/>
    <n v="92708"/>
    <x v="0"/>
    <x v="0"/>
    <x v="48"/>
    <x v="28"/>
    <s v="116j"/>
    <m/>
    <s v="13 - Orange"/>
    <x v="28"/>
    <s v="General Acute Care"/>
    <s v="Investor - Corporation"/>
    <s v="General Medical / Surgical"/>
    <n v="293"/>
    <x v="0"/>
    <n v="16589"/>
    <n v="13451"/>
    <m/>
    <m/>
    <n v="4472"/>
    <n v="3035"/>
    <n v="4076"/>
    <n v="3572"/>
    <n v="4144"/>
    <n v="3682"/>
    <n v="2449"/>
    <n v="1845"/>
    <n v="1621"/>
    <n v="1144"/>
    <m/>
    <n v="8924"/>
    <n v="609"/>
    <n v="10095"/>
    <n v="14"/>
    <n v="1233"/>
    <n v="161"/>
    <n v="9004"/>
    <n v="357"/>
    <n v="779"/>
    <n v="78"/>
    <n v="53"/>
    <n v="8"/>
    <n v="1"/>
    <n v="1"/>
    <n v="8"/>
    <m/>
    <n v="212"/>
    <m/>
    <n v="28426"/>
    <n v="117"/>
    <m/>
    <m/>
    <n v="1153"/>
    <n v="5276"/>
    <n v="2357"/>
    <n v="17252"/>
    <n v="4002"/>
    <n v="1081"/>
    <n v="150"/>
    <n v="910"/>
    <n v="13"/>
    <n v="1566"/>
    <n v="377"/>
    <n v="1854"/>
    <n v="541"/>
    <n v="6488"/>
    <n v="1693"/>
    <n v="59"/>
    <n v="1526"/>
    <n v="953"/>
    <n v="88"/>
    <n v="924"/>
    <n v="2983"/>
    <n v="1041"/>
    <n v="7793"/>
    <m/>
    <m/>
    <n v="2423"/>
    <n v="97"/>
    <n v="169"/>
    <n v="14"/>
    <n v="220"/>
    <n v="25"/>
    <n v="252"/>
    <n v="213"/>
    <n v="23107"/>
    <n v="2327"/>
    <n v="131"/>
    <n v="787"/>
    <n v="86"/>
    <n v="157"/>
    <n v="32"/>
    <m/>
    <n v="30040"/>
    <n v="3676"/>
    <n v="23124"/>
    <n v="3240"/>
    <n v="5146"/>
    <n v="4814"/>
    <m/>
    <m/>
    <n v="257"/>
    <n v="462"/>
    <n v="599"/>
    <n v="1039"/>
    <n v="1539"/>
    <n v="1580"/>
    <n v="1732"/>
    <n v="2149"/>
    <n v="238"/>
    <n v="365"/>
    <m/>
    <n v="3926"/>
    <n v="195"/>
    <n v="2306"/>
    <n v="331"/>
    <n v="45"/>
    <n v="3155"/>
    <n v="2"/>
    <n v="146"/>
    <n v="206"/>
    <n v="318"/>
    <n v="1318"/>
    <n v="178"/>
    <n v="7"/>
    <n v="3"/>
    <n v="6033"/>
    <n v="1750"/>
    <n v="1"/>
    <n v="0"/>
    <n v="0"/>
    <n v="0"/>
    <n v="0"/>
    <n v="0"/>
    <n v="2392"/>
    <n v="4759"/>
    <n v="153"/>
    <n v="1419"/>
    <n v="1237"/>
    <n v="110"/>
    <n v="255"/>
    <n v="1845"/>
    <n v="12"/>
    <n v="1616"/>
    <n v="504"/>
    <n v="701"/>
    <n v="720"/>
    <n v="870"/>
    <n v="220"/>
    <n v="380"/>
    <n v="257"/>
    <n v="12"/>
    <n v="113"/>
    <n v="1329"/>
    <n v="320"/>
    <n v="639"/>
    <n v="5"/>
    <n v="52"/>
    <m/>
    <n v="463"/>
    <n v="54"/>
    <n v="633"/>
    <n v="17"/>
    <n v="31"/>
    <n v="693"/>
    <n v="14"/>
    <n v="7822"/>
    <n v="116"/>
    <n v="14"/>
    <n v="22"/>
    <n v="27"/>
    <n v="40"/>
    <n v="12"/>
    <n v="2"/>
    <m/>
    <n v="9960"/>
    <n v="2234"/>
    <n v="6764"/>
    <n v="962"/>
    <n v="2011"/>
  </r>
  <r>
    <n v="106301188"/>
    <s v="301188"/>
    <x v="165"/>
    <s v="1025 SOUTH ANAHEIM BLVD."/>
    <s v="ANAHEIM"/>
    <n v="92805"/>
    <x v="0"/>
    <x v="0"/>
    <x v="51"/>
    <x v="29"/>
    <s v="116l"/>
    <m/>
    <s v="13 - Orange"/>
    <x v="28"/>
    <s v="General Acute Care"/>
    <s v="Investor - Corporation"/>
    <s v="General Medical / Surgical"/>
    <n v="99"/>
    <x v="0"/>
    <n v="7506"/>
    <n v="6813"/>
    <m/>
    <m/>
    <n v="2114"/>
    <n v="1912"/>
    <n v="3043"/>
    <n v="2413"/>
    <n v="1939"/>
    <n v="1293"/>
    <n v="603"/>
    <n v="271"/>
    <n v="146"/>
    <n v="585"/>
    <m/>
    <n v="407"/>
    <n v="319"/>
    <n v="7904"/>
    <n v="4"/>
    <n v="813"/>
    <n v="85"/>
    <n v="4787"/>
    <n v="179"/>
    <n v="1255"/>
    <n v="399"/>
    <n v="32"/>
    <n v="1"/>
    <n v="1"/>
    <m/>
    <m/>
    <m/>
    <n v="27"/>
    <m/>
    <n v="12411"/>
    <n v="14"/>
    <m/>
    <m/>
    <n v="21"/>
    <n v="2961"/>
    <n v="1586"/>
    <n v="6207"/>
    <n v="3544"/>
    <n v="1588"/>
    <n v="41"/>
    <n v="441"/>
    <n v="8"/>
    <n v="777"/>
    <n v="360"/>
    <n v="716"/>
    <n v="339"/>
    <n v="2995"/>
    <n v="532"/>
    <n v="12"/>
    <n v="850"/>
    <n v="438"/>
    <n v="68"/>
    <n v="1549"/>
    <n v="1172"/>
    <n v="457"/>
    <n v="1975"/>
    <m/>
    <n v="1"/>
    <n v="848"/>
    <n v="32"/>
    <n v="157"/>
    <n v="5"/>
    <n v="338"/>
    <n v="17"/>
    <n v="38"/>
    <n v="104"/>
    <n v="11030"/>
    <n v="1332"/>
    <n v="66"/>
    <n v="220"/>
    <n v="37"/>
    <n v="66"/>
    <n v="28"/>
    <n v="1"/>
    <n v="14319"/>
    <n v="72"/>
    <n v="10853"/>
    <n v="3394"/>
    <n v="1510"/>
    <n v="1408"/>
    <m/>
    <m/>
    <n v="146"/>
    <n v="628"/>
    <n v="542"/>
    <n v="550"/>
    <n v="446"/>
    <n v="263"/>
    <n v="169"/>
    <n v="152"/>
    <n v="22"/>
    <m/>
    <m/>
    <n v="57"/>
    <n v="65"/>
    <n v="1272"/>
    <n v="128"/>
    <n v="146"/>
    <n v="1249"/>
    <n v="1"/>
    <n v="55"/>
    <n v="118"/>
    <n v="33"/>
    <n v="35"/>
    <n v="37"/>
    <m/>
    <n v="80"/>
    <n v="2068"/>
    <n v="230"/>
    <n v="262"/>
    <n v="0"/>
    <n v="0"/>
    <n v="0"/>
    <n v="0"/>
    <n v="0"/>
    <n v="955"/>
    <n v="675"/>
    <n v="925"/>
    <n v="286"/>
    <n v="77"/>
    <n v="561"/>
    <n v="32"/>
    <n v="192"/>
    <m/>
    <n v="274"/>
    <n v="79"/>
    <n v="64"/>
    <n v="88"/>
    <n v="101"/>
    <n v="19"/>
    <n v="20"/>
    <n v="38"/>
    <n v="9"/>
    <n v="1154"/>
    <n v="147"/>
    <n v="50"/>
    <n v="68"/>
    <m/>
    <n v="22"/>
    <m/>
    <n v="55"/>
    <n v="15"/>
    <n v="59"/>
    <n v="15"/>
    <n v="6"/>
    <n v="50"/>
    <n v="3"/>
    <n v="2607"/>
    <n v="51"/>
    <n v="3"/>
    <n v="4"/>
    <n v="32"/>
    <n v="11"/>
    <n v="7"/>
    <m/>
    <m/>
    <n v="2918"/>
    <n v="15"/>
    <n v="2330"/>
    <n v="573"/>
    <n v="2011"/>
  </r>
  <r>
    <n v="106301205"/>
    <s v="301205"/>
    <x v="166"/>
    <s v="ONE HOAG DRIVE"/>
    <s v="NEWPORT BEACH"/>
    <n v="92663"/>
    <x v="0"/>
    <x v="0"/>
    <x v="48"/>
    <x v="28"/>
    <s v="116p"/>
    <m/>
    <s v="13 - Orange"/>
    <x v="28"/>
    <s v="General Acute Care"/>
    <s v="Non-Profit Corporation (incl. Church-related)"/>
    <s v="General Medical / Surgical"/>
    <n v="484"/>
    <x v="0"/>
    <n v="40688"/>
    <n v="34494"/>
    <n v="1"/>
    <m/>
    <n v="6410"/>
    <n v="6818"/>
    <n v="11216"/>
    <n v="9686"/>
    <n v="10454"/>
    <n v="9236"/>
    <n v="7010"/>
    <n v="5769"/>
    <n v="7436"/>
    <n v="1148"/>
    <m/>
    <n v="5082"/>
    <n v="1709"/>
    <n v="9567"/>
    <n v="24"/>
    <n v="5076"/>
    <n v="373"/>
    <n v="53352"/>
    <n v="225"/>
    <n v="404"/>
    <n v="230"/>
    <n v="157"/>
    <n v="385"/>
    <n v="60"/>
    <n v="37"/>
    <n v="32"/>
    <n v="129"/>
    <n v="617"/>
    <n v="90"/>
    <n v="71370"/>
    <n v="325"/>
    <n v="1120"/>
    <n v="2"/>
    <n v="11523"/>
    <n v="12918"/>
    <n v="2056"/>
    <n v="39136"/>
    <n v="9550"/>
    <n v="1349"/>
    <n v="242"/>
    <n v="2453"/>
    <n v="22"/>
    <n v="2952"/>
    <n v="1497"/>
    <n v="4121"/>
    <n v="1150"/>
    <n v="20426"/>
    <n v="3922"/>
    <n v="179"/>
    <n v="3506"/>
    <n v="2197"/>
    <n v="162"/>
    <n v="3857"/>
    <n v="5215"/>
    <n v="2683"/>
    <n v="19250"/>
    <m/>
    <m/>
    <n v="7490"/>
    <n v="301"/>
    <n v="750"/>
    <n v="34"/>
    <n v="487"/>
    <n v="66"/>
    <n v="541"/>
    <n v="632"/>
    <n v="52789"/>
    <n v="8632"/>
    <n v="622"/>
    <n v="2032"/>
    <n v="296"/>
    <n v="359"/>
    <n v="152"/>
    <m/>
    <n v="75183"/>
    <n v="1927"/>
    <n v="69779"/>
    <n v="3477"/>
    <n v="7044"/>
    <n v="6451"/>
    <m/>
    <m/>
    <n v="147"/>
    <n v="731"/>
    <n v="893"/>
    <n v="1396"/>
    <n v="1961"/>
    <n v="2155"/>
    <n v="2412"/>
    <n v="3796"/>
    <n v="4"/>
    <m/>
    <m/>
    <n v="859"/>
    <n v="187"/>
    <n v="1070"/>
    <n v="585"/>
    <n v="13"/>
    <n v="10775"/>
    <n v="6"/>
    <n v="224"/>
    <n v="131"/>
    <n v="499"/>
    <n v="411"/>
    <n v="230"/>
    <n v="24"/>
    <n v="354"/>
    <n v="9785"/>
    <n v="1837"/>
    <m/>
    <n v="0"/>
    <n v="0"/>
    <n v="0"/>
    <n v="0"/>
    <n v="0"/>
    <n v="753"/>
    <n v="7305"/>
    <n v="97"/>
    <n v="4187"/>
    <n v="1153"/>
    <n v="195"/>
    <n v="204"/>
    <n v="2485"/>
    <n v="12"/>
    <n v="2745"/>
    <n v="458"/>
    <n v="844"/>
    <n v="1395"/>
    <n v="1372"/>
    <n v="237"/>
    <n v="568"/>
    <n v="252"/>
    <n v="10"/>
    <n v="213"/>
    <n v="1651"/>
    <n v="385"/>
    <n v="465"/>
    <n v="2"/>
    <n v="2"/>
    <m/>
    <n v="718"/>
    <n v="61"/>
    <n v="1516"/>
    <n v="27"/>
    <n v="53"/>
    <n v="1103"/>
    <n v="39"/>
    <n v="9498"/>
    <n v="185"/>
    <n v="43"/>
    <n v="36"/>
    <n v="84"/>
    <n v="116"/>
    <n v="15"/>
    <n v="1"/>
    <m/>
    <n v="13495"/>
    <n v="499"/>
    <n v="12504"/>
    <n v="492"/>
    <n v="2011"/>
  </r>
  <r>
    <n v="106301209"/>
    <s v="301209"/>
    <x v="167"/>
    <s v="17772 BEACH BOULEVARD"/>
    <s v="HUNTINGTON BEACH"/>
    <n v="92647"/>
    <x v="0"/>
    <x v="0"/>
    <x v="49"/>
    <x v="28"/>
    <s v="116s"/>
    <m/>
    <s v="13 - Orange"/>
    <x v="28"/>
    <s v="General Acute Care"/>
    <s v="Investor - Limited Liability Company"/>
    <s v="General Medical / Surgical"/>
    <n v="106"/>
    <x v="0"/>
    <n v="7287"/>
    <n v="7390"/>
    <m/>
    <m/>
    <n v="1421"/>
    <n v="1768"/>
    <n v="2834"/>
    <n v="2428"/>
    <n v="2470"/>
    <n v="1785"/>
    <n v="829"/>
    <n v="527"/>
    <n v="443"/>
    <n v="172"/>
    <m/>
    <n v="796"/>
    <n v="348"/>
    <n v="2814"/>
    <n v="7"/>
    <n v="1096"/>
    <n v="4"/>
    <n v="9612"/>
    <n v="481"/>
    <n v="1015"/>
    <n v="7"/>
    <n v="65"/>
    <m/>
    <m/>
    <m/>
    <m/>
    <m/>
    <n v="302"/>
    <m/>
    <n v="12795"/>
    <n v="12"/>
    <m/>
    <m/>
    <n v="3986"/>
    <n v="2061"/>
    <n v="1453"/>
    <n v="3592"/>
    <n v="3585"/>
    <n v="138"/>
    <n v="15"/>
    <n v="249"/>
    <n v="2"/>
    <n v="682"/>
    <n v="105"/>
    <n v="626"/>
    <n v="178"/>
    <n v="3815"/>
    <n v="677"/>
    <n v="8"/>
    <n v="1233"/>
    <n v="1565"/>
    <n v="1"/>
    <n v="872"/>
    <n v="1165"/>
    <n v="624"/>
    <n v="2722"/>
    <m/>
    <m/>
    <n v="1085"/>
    <n v="127"/>
    <n v="217"/>
    <n v="9"/>
    <n v="150"/>
    <n v="229"/>
    <n v="7"/>
    <n v="212"/>
    <n v="10619"/>
    <n v="1207"/>
    <n v="123"/>
    <n v="510"/>
    <n v="79"/>
    <n v="91"/>
    <n v="12"/>
    <m/>
    <n v="14677"/>
    <n v="273"/>
    <n v="13462"/>
    <n v="942"/>
    <n v="1548"/>
    <n v="1581"/>
    <m/>
    <m/>
    <n v="43"/>
    <n v="150"/>
    <n v="227"/>
    <n v="439"/>
    <n v="515"/>
    <n v="505"/>
    <n v="515"/>
    <n v="735"/>
    <m/>
    <m/>
    <m/>
    <n v="310"/>
    <n v="51"/>
    <n v="377"/>
    <n v="179"/>
    <m/>
    <n v="2210"/>
    <n v="2"/>
    <n v="370"/>
    <n v="163"/>
    <n v="91"/>
    <n v="224"/>
    <n v="63"/>
    <m/>
    <n v="132"/>
    <n v="1554"/>
    <n v="528"/>
    <n v="4"/>
    <n v="0"/>
    <n v="0"/>
    <n v="0"/>
    <n v="0"/>
    <n v="0"/>
    <n v="443"/>
    <n v="1807"/>
    <n v="10"/>
    <n v="431"/>
    <n v="438"/>
    <n v="12"/>
    <n v="29"/>
    <n v="466"/>
    <n v="2"/>
    <n v="471"/>
    <n v="162"/>
    <n v="248"/>
    <n v="411"/>
    <n v="253"/>
    <n v="63"/>
    <n v="31"/>
    <n v="168"/>
    <n v="2"/>
    <n v="205"/>
    <n v="336"/>
    <n v="70"/>
    <n v="200"/>
    <m/>
    <m/>
    <m/>
    <n v="217"/>
    <n v="26"/>
    <n v="268"/>
    <n v="8"/>
    <n v="4"/>
    <n v="2"/>
    <n v="3"/>
    <n v="2268"/>
    <n v="215"/>
    <n v="5"/>
    <n v="13"/>
    <n v="41"/>
    <n v="15"/>
    <n v="44"/>
    <m/>
    <m/>
    <n v="3129"/>
    <n v="178"/>
    <n v="2761"/>
    <n v="190"/>
    <n v="2011"/>
  </r>
  <r>
    <n v="106301234"/>
    <s v="301234"/>
    <x v="168"/>
    <s v="7901 WALKER STREET"/>
    <s v="LA PALMA"/>
    <n v="90623"/>
    <x v="0"/>
    <x v="0"/>
    <x v="49"/>
    <x v="28"/>
    <s v="116a"/>
    <m/>
    <s v="13 - Orange"/>
    <x v="28"/>
    <s v="General Acute Care"/>
    <s v="Investor - Limited Liability Company"/>
    <s v="General Medical / Surgical"/>
    <n v="124"/>
    <x v="0"/>
    <n v="6152"/>
    <n v="5202"/>
    <m/>
    <m/>
    <n v="1746"/>
    <n v="1521"/>
    <n v="1856"/>
    <n v="1609"/>
    <n v="1531"/>
    <n v="1185"/>
    <n v="670"/>
    <n v="511"/>
    <n v="447"/>
    <n v="278"/>
    <m/>
    <n v="1818"/>
    <n v="1229"/>
    <n v="2945"/>
    <n v="8"/>
    <n v="787"/>
    <n v="63"/>
    <n v="4504"/>
    <n v="390"/>
    <n v="661"/>
    <n v="40"/>
    <n v="35"/>
    <n v="2"/>
    <n v="2"/>
    <m/>
    <m/>
    <m/>
    <n v="97"/>
    <m/>
    <n v="10073"/>
    <n v="54"/>
    <m/>
    <m/>
    <n v="3634"/>
    <n v="1609"/>
    <n v="549"/>
    <n v="3424"/>
    <n v="2138"/>
    <n v="340"/>
    <n v="22"/>
    <n v="271"/>
    <m/>
    <n v="494"/>
    <n v="154"/>
    <n v="542"/>
    <n v="179"/>
    <n v="2785"/>
    <n v="792"/>
    <n v="7"/>
    <n v="661"/>
    <n v="711"/>
    <n v="7"/>
    <n v="447"/>
    <n v="1117"/>
    <n v="430"/>
    <n v="2395"/>
    <m/>
    <m/>
    <n v="925"/>
    <n v="36"/>
    <n v="111"/>
    <n v="13"/>
    <n v="84"/>
    <n v="33"/>
    <n v="29"/>
    <n v="121"/>
    <n v="8155"/>
    <n v="1164"/>
    <n v="65"/>
    <n v="506"/>
    <n v="32"/>
    <n v="58"/>
    <n v="22"/>
    <m/>
    <n v="11354"/>
    <n v="264"/>
    <n v="10573"/>
    <n v="517"/>
    <n v="1912"/>
    <n v="1381"/>
    <m/>
    <m/>
    <n v="54"/>
    <n v="172"/>
    <n v="222"/>
    <n v="350"/>
    <n v="477"/>
    <n v="498"/>
    <n v="650"/>
    <n v="869"/>
    <n v="1"/>
    <m/>
    <m/>
    <n v="818"/>
    <n v="296"/>
    <n v="635"/>
    <n v="209"/>
    <n v="10"/>
    <n v="1325"/>
    <m/>
    <n v="303"/>
    <n v="100"/>
    <n v="69"/>
    <n v="155"/>
    <n v="34"/>
    <m/>
    <n v="101"/>
    <n v="1676"/>
    <n v="855"/>
    <m/>
    <n v="0"/>
    <n v="0"/>
    <n v="0"/>
    <n v="0"/>
    <n v="0"/>
    <n v="682"/>
    <n v="2008"/>
    <n v="22"/>
    <n v="442"/>
    <n v="139"/>
    <n v="191"/>
    <n v="57"/>
    <n v="474"/>
    <m/>
    <n v="484"/>
    <n v="179"/>
    <n v="255"/>
    <n v="292"/>
    <n v="219"/>
    <n v="62"/>
    <n v="38"/>
    <n v="79"/>
    <n v="12"/>
    <n v="260"/>
    <n v="333"/>
    <n v="70"/>
    <n v="287"/>
    <m/>
    <n v="1"/>
    <m/>
    <n v="133"/>
    <n v="12"/>
    <n v="100"/>
    <n v="3"/>
    <n v="12"/>
    <n v="142"/>
    <m/>
    <n v="2824"/>
    <n v="30"/>
    <n v="2"/>
    <n v="11"/>
    <n v="12"/>
    <n v="6"/>
    <n v="6"/>
    <m/>
    <m/>
    <n v="3293"/>
    <n v="296"/>
    <n v="2774"/>
    <n v="223"/>
    <n v="2011"/>
  </r>
  <r>
    <n v="106301248"/>
    <s v="301248"/>
    <x v="169"/>
    <s v="3751 KATELLA AVENUE"/>
    <s v="LOS ALAMITOS"/>
    <n v="90720"/>
    <x v="0"/>
    <x v="0"/>
    <x v="49"/>
    <x v="28"/>
    <s v="116e"/>
    <m/>
    <s v="13 - Orange"/>
    <x v="28"/>
    <s v="General Acute Care"/>
    <s v="Investor - Corporation"/>
    <s v="General Medical / Surgical"/>
    <n v="142"/>
    <x v="0"/>
    <n v="13869"/>
    <n v="10030"/>
    <m/>
    <m/>
    <n v="2349"/>
    <n v="2354"/>
    <n v="2996"/>
    <n v="2612"/>
    <n v="2948"/>
    <n v="2586"/>
    <n v="2055"/>
    <n v="2189"/>
    <n v="3318"/>
    <n v="492"/>
    <m/>
    <n v="1799"/>
    <n v="1104"/>
    <n v="4387"/>
    <n v="8"/>
    <n v="246"/>
    <n v="99"/>
    <n v="16256"/>
    <n v="432"/>
    <n v="826"/>
    <n v="85"/>
    <n v="50"/>
    <n v="89"/>
    <n v="9"/>
    <m/>
    <n v="58"/>
    <m/>
    <n v="22"/>
    <n v="1"/>
    <n v="21979"/>
    <n v="348"/>
    <m/>
    <m/>
    <n v="738"/>
    <n v="6735"/>
    <n v="1483"/>
    <n v="12517"/>
    <n v="2426"/>
    <n v="643"/>
    <n v="80"/>
    <n v="817"/>
    <n v="4"/>
    <n v="914"/>
    <n v="280"/>
    <n v="1607"/>
    <n v="379"/>
    <n v="6440"/>
    <n v="1210"/>
    <n v="21"/>
    <n v="1603"/>
    <n v="253"/>
    <n v="26"/>
    <n v="584"/>
    <n v="1870"/>
    <n v="814"/>
    <n v="6354"/>
    <m/>
    <m/>
    <n v="2574"/>
    <n v="102"/>
    <n v="149"/>
    <n v="7"/>
    <n v="129"/>
    <n v="1"/>
    <n v="164"/>
    <n v="289"/>
    <n v="16936"/>
    <n v="2624"/>
    <n v="167"/>
    <n v="567"/>
    <n v="31"/>
    <n v="150"/>
    <n v="9"/>
    <m/>
    <n v="23899"/>
    <n v="133"/>
    <n v="23223"/>
    <n v="543"/>
    <n v="3466"/>
    <n v="2719"/>
    <m/>
    <m/>
    <n v="55"/>
    <n v="203"/>
    <n v="240"/>
    <n v="507"/>
    <n v="692"/>
    <n v="915"/>
    <n v="1261"/>
    <n v="2310"/>
    <n v="2"/>
    <m/>
    <m/>
    <n v="505"/>
    <n v="184"/>
    <n v="663"/>
    <n v="41"/>
    <n v="24"/>
    <n v="4766"/>
    <n v="2"/>
    <n v="164"/>
    <n v="57"/>
    <n v="212"/>
    <n v="896"/>
    <n v="123"/>
    <n v="13"/>
    <n v="59"/>
    <n v="3292"/>
    <n v="1368"/>
    <n v="1"/>
    <n v="0"/>
    <n v="0"/>
    <n v="0"/>
    <n v="0"/>
    <n v="0"/>
    <n v="211"/>
    <n v="3873"/>
    <n v="453"/>
    <n v="1445"/>
    <n v="203"/>
    <n v="60"/>
    <n v="67"/>
    <n v="1506"/>
    <m/>
    <n v="1041"/>
    <n v="218"/>
    <n v="376"/>
    <n v="448"/>
    <n v="671"/>
    <n v="121"/>
    <n v="173"/>
    <n v="138"/>
    <n v="5"/>
    <n v="139"/>
    <n v="692"/>
    <n v="146"/>
    <n v="382"/>
    <n v="1"/>
    <n v="1"/>
    <m/>
    <n v="448"/>
    <n v="52"/>
    <n v="587"/>
    <n v="3"/>
    <n v="16"/>
    <n v="353"/>
    <n v="7"/>
    <n v="4565"/>
    <n v="64"/>
    <n v="12"/>
    <n v="22"/>
    <n v="30"/>
    <n v="25"/>
    <m/>
    <n v="1"/>
    <m/>
    <n v="6185"/>
    <n v="41"/>
    <n v="6033"/>
    <n v="111"/>
    <n v="2011"/>
  </r>
  <r>
    <n v="106301258"/>
    <s v="301258"/>
    <x v="170"/>
    <s v="2701 BRISTOL STREET"/>
    <s v="SANTA ANA"/>
    <n v="92704"/>
    <x v="0"/>
    <x v="0"/>
    <x v="51"/>
    <x v="29"/>
    <s v="116g"/>
    <m/>
    <s v="13 - Orange"/>
    <x v="28"/>
    <s v="General Acute Care"/>
    <s v="Investor - Corporation"/>
    <s v="General Medical / Surgical"/>
    <n v="109"/>
    <x v="0"/>
    <n v="10670"/>
    <n v="8520"/>
    <m/>
    <m/>
    <n v="4307"/>
    <n v="2583"/>
    <n v="3535"/>
    <n v="2764"/>
    <n v="2092"/>
    <n v="1475"/>
    <n v="691"/>
    <n v="411"/>
    <n v="250"/>
    <n v="1082"/>
    <m/>
    <n v="240"/>
    <n v="254"/>
    <n v="16902"/>
    <m/>
    <n v="205"/>
    <n v="29"/>
    <n v="1560"/>
    <n v="250"/>
    <n v="483"/>
    <n v="107"/>
    <n v="28"/>
    <n v="1"/>
    <n v="3"/>
    <n v="1"/>
    <m/>
    <m/>
    <n v="236"/>
    <m/>
    <n v="18016"/>
    <n v="65"/>
    <m/>
    <m/>
    <n v="88"/>
    <n v="4132"/>
    <n v="1330"/>
    <n v="10028"/>
    <n v="3612"/>
    <n v="1631"/>
    <n v="66"/>
    <n v="338"/>
    <n v="1"/>
    <n v="1182"/>
    <n v="282"/>
    <n v="1283"/>
    <n v="360"/>
    <n v="3873"/>
    <n v="630"/>
    <n v="33"/>
    <n v="1137"/>
    <n v="413"/>
    <n v="56"/>
    <n v="830"/>
    <n v="2992"/>
    <n v="738"/>
    <n v="3345"/>
    <m/>
    <m/>
    <n v="1243"/>
    <n v="41"/>
    <n v="245"/>
    <n v="9"/>
    <n v="172"/>
    <n v="5"/>
    <n v="82"/>
    <n v="169"/>
    <n v="14830"/>
    <n v="1844"/>
    <n v="66"/>
    <n v="280"/>
    <n v="41"/>
    <n v="128"/>
    <n v="35"/>
    <m/>
    <n v="19190"/>
    <n v="84"/>
    <n v="7559"/>
    <n v="11547"/>
    <n v="1666"/>
    <n v="933"/>
    <m/>
    <m/>
    <n v="116"/>
    <n v="439"/>
    <n v="342"/>
    <n v="295"/>
    <n v="337"/>
    <n v="310"/>
    <n v="330"/>
    <n v="423"/>
    <n v="1"/>
    <n v="6"/>
    <m/>
    <n v="2"/>
    <n v="39"/>
    <n v="2006"/>
    <n v="27"/>
    <n v="137"/>
    <n v="387"/>
    <n v="1"/>
    <n v="70"/>
    <n v="61"/>
    <n v="56"/>
    <n v="114"/>
    <n v="32"/>
    <n v="6"/>
    <n v="37"/>
    <n v="1748"/>
    <n v="475"/>
    <m/>
    <n v="0"/>
    <n v="0"/>
    <n v="0"/>
    <n v="0"/>
    <n v="0"/>
    <n v="1089"/>
    <n v="842"/>
    <n v="352"/>
    <n v="189"/>
    <n v="127"/>
    <n v="510"/>
    <n v="57"/>
    <n v="321"/>
    <m/>
    <n v="449"/>
    <n v="104"/>
    <n v="143"/>
    <n v="108"/>
    <n v="107"/>
    <n v="17"/>
    <n v="35"/>
    <n v="133"/>
    <m/>
    <n v="208"/>
    <n v="225"/>
    <n v="81"/>
    <n v="100"/>
    <n v="1"/>
    <m/>
    <m/>
    <n v="87"/>
    <n v="10"/>
    <n v="116"/>
    <n v="5"/>
    <n v="5"/>
    <n v="74"/>
    <n v="3"/>
    <n v="2192"/>
    <n v="75"/>
    <n v="4"/>
    <n v="2"/>
    <n v="11"/>
    <n v="9"/>
    <n v="6"/>
    <m/>
    <m/>
    <n v="2599"/>
    <n v="35"/>
    <n v="1159"/>
    <n v="1405"/>
    <n v="2011"/>
  </r>
  <r>
    <n v="106301262"/>
    <s v="301262"/>
    <x v="171"/>
    <s v="27700 MEDICAL CENTER ROAD"/>
    <s v="MISSION VIEJO"/>
    <n v="92691"/>
    <x v="2"/>
    <x v="0"/>
    <x v="50"/>
    <x v="27"/>
    <s v="115.2a"/>
    <m/>
    <s v="13 - Orange"/>
    <x v="28"/>
    <s v="General Acute Care"/>
    <s v="Non-Profit Corporation (incl. Church-related)"/>
    <s v="General Medical / Surgical"/>
    <n v="345"/>
    <x v="0"/>
    <n v="16827"/>
    <n v="12227"/>
    <n v="1"/>
    <m/>
    <n v="1"/>
    <n v="1500"/>
    <n v="5946"/>
    <n v="4705"/>
    <n v="5289"/>
    <n v="4504"/>
    <n v="2900"/>
    <n v="2006"/>
    <n v="2204"/>
    <m/>
    <m/>
    <n v="1095"/>
    <n v="614"/>
    <n v="4493"/>
    <n v="15"/>
    <n v="362"/>
    <n v="224"/>
    <n v="22252"/>
    <n v="281"/>
    <n v="231"/>
    <n v="30"/>
    <n v="76"/>
    <n v="45"/>
    <n v="9"/>
    <n v="2"/>
    <m/>
    <n v="33"/>
    <n v="168"/>
    <n v="41"/>
    <n v="28098"/>
    <n v="41"/>
    <m/>
    <m/>
    <n v="3456"/>
    <n v="5750"/>
    <n v="3090"/>
    <n v="13043"/>
    <n v="3716"/>
    <n v="1112"/>
    <n v="91"/>
    <n v="1013"/>
    <n v="8"/>
    <n v="1302"/>
    <n v="407"/>
    <n v="1699"/>
    <n v="304"/>
    <n v="6751"/>
    <n v="2413"/>
    <n v="75"/>
    <n v="1463"/>
    <n v="795"/>
    <m/>
    <n v="1040"/>
    <n v="1355"/>
    <n v="999"/>
    <n v="8228"/>
    <m/>
    <m/>
    <n v="2266"/>
    <n v="143"/>
    <n v="327"/>
    <n v="11"/>
    <n v="268"/>
    <n v="55"/>
    <n v="110"/>
    <n v="263"/>
    <n v="21369"/>
    <n v="2797"/>
    <n v="256"/>
    <n v="979"/>
    <n v="59"/>
    <n v="124"/>
    <n v="27"/>
    <n v="1"/>
    <n v="29055"/>
    <n v="707"/>
    <n v="25965"/>
    <n v="2383"/>
    <n v="5535"/>
    <n v="5241"/>
    <m/>
    <m/>
    <n v="155"/>
    <n v="716"/>
    <n v="675"/>
    <n v="1246"/>
    <n v="1614"/>
    <n v="1757"/>
    <n v="1728"/>
    <n v="2885"/>
    <m/>
    <m/>
    <m/>
    <n v="408"/>
    <n v="162"/>
    <n v="1088"/>
    <n v="108"/>
    <n v="37"/>
    <n v="8970"/>
    <n v="3"/>
    <n v="255"/>
    <n v="83"/>
    <n v="350"/>
    <n v="1913"/>
    <n v="376"/>
    <m/>
    <n v="156"/>
    <n v="6420"/>
    <n v="1217"/>
    <n v="6"/>
    <n v="0"/>
    <n v="0"/>
    <n v="0"/>
    <n v="0"/>
    <n v="0"/>
    <n v="893"/>
    <n v="5537"/>
    <n v="202"/>
    <n v="3286"/>
    <n v="858"/>
    <n v="90"/>
    <n v="153"/>
    <n v="2254"/>
    <n v="6"/>
    <n v="1626"/>
    <n v="390"/>
    <n v="514"/>
    <n v="810"/>
    <n v="1798"/>
    <n v="275"/>
    <n v="333"/>
    <n v="339"/>
    <n v="11"/>
    <n v="246"/>
    <n v="1000"/>
    <n v="257"/>
    <n v="674"/>
    <m/>
    <m/>
    <m/>
    <n v="944"/>
    <n v="79"/>
    <n v="1150"/>
    <n v="33"/>
    <n v="46"/>
    <n v="615"/>
    <n v="34"/>
    <n v="7111"/>
    <n v="173"/>
    <n v="80"/>
    <n v="356"/>
    <n v="97"/>
    <n v="35"/>
    <n v="22"/>
    <n v="1"/>
    <m/>
    <n v="10776"/>
    <n v="422"/>
    <n v="9751"/>
    <n v="603"/>
    <n v="2011"/>
  </r>
  <r>
    <n v="106301279"/>
    <s v="301279"/>
    <x v="172"/>
    <s v="101 CITY DRIVE SOUTH"/>
    <s v="ORANGE"/>
    <n v="92668"/>
    <x v="5"/>
    <x v="1"/>
    <x v="47"/>
    <x v="27"/>
    <s v="116r"/>
    <m/>
    <s v="13 - Orange"/>
    <x v="28"/>
    <s v="General Acute Care"/>
    <s v="University of California"/>
    <s v="General Medical / Surgical"/>
    <n v="367"/>
    <x v="3"/>
    <n v="16594"/>
    <n v="13359"/>
    <m/>
    <m/>
    <n v="1777"/>
    <n v="2732"/>
    <n v="6827"/>
    <n v="5175"/>
    <n v="4918"/>
    <n v="4040"/>
    <n v="2020"/>
    <n v="1200"/>
    <n v="815"/>
    <n v="449"/>
    <m/>
    <n v="2440"/>
    <n v="1407"/>
    <n v="12890"/>
    <n v="48"/>
    <n v="306"/>
    <n v="32"/>
    <n v="12830"/>
    <n v="154"/>
    <n v="428"/>
    <n v="581"/>
    <n v="65"/>
    <n v="1"/>
    <n v="1"/>
    <n v="3"/>
    <n v="53"/>
    <m/>
    <n v="390"/>
    <n v="11"/>
    <n v="27854"/>
    <n v="48"/>
    <m/>
    <n v="364"/>
    <n v="8582"/>
    <n v="3487"/>
    <n v="4309"/>
    <n v="7245"/>
    <n v="6330"/>
    <n v="2878"/>
    <n v="141"/>
    <n v="577"/>
    <n v="8"/>
    <n v="1304"/>
    <n v="524"/>
    <n v="1543"/>
    <n v="302"/>
    <n v="5446"/>
    <n v="2671"/>
    <n v="187"/>
    <n v="1676"/>
    <n v="795"/>
    <n v="20"/>
    <n v="1268"/>
    <n v="1517"/>
    <n v="1125"/>
    <n v="7970"/>
    <n v="1"/>
    <m/>
    <n v="1455"/>
    <n v="39"/>
    <n v="169"/>
    <n v="28"/>
    <n v="392"/>
    <n v="28"/>
    <n v="277"/>
    <n v="141"/>
    <n v="24233"/>
    <n v="1560"/>
    <n v="114"/>
    <n v="1276"/>
    <n v="116"/>
    <n v="89"/>
    <n v="36"/>
    <m/>
    <n v="29953"/>
    <n v="492"/>
    <n v="25129"/>
    <n v="4332"/>
    <n v="4800"/>
    <n v="5067"/>
    <m/>
    <m/>
    <n v="794"/>
    <n v="1457"/>
    <n v="1353"/>
    <n v="1501"/>
    <n v="1661"/>
    <n v="1232"/>
    <n v="886"/>
    <n v="815"/>
    <n v="33"/>
    <n v="135"/>
    <m/>
    <n v="1234"/>
    <n v="339"/>
    <n v="3684"/>
    <n v="337"/>
    <n v="25"/>
    <n v="4230"/>
    <n v="18"/>
    <n v="311"/>
    <n v="181"/>
    <n v="275"/>
    <n v="361"/>
    <n v="306"/>
    <n v="71"/>
    <n v="105"/>
    <n v="7601"/>
    <n v="626"/>
    <n v="30"/>
    <n v="0"/>
    <n v="0"/>
    <n v="0"/>
    <n v="0"/>
    <n v="0"/>
    <n v="2813"/>
    <n v="2570"/>
    <n v="321"/>
    <n v="2140"/>
    <n v="2023"/>
    <n v="794"/>
    <n v="153"/>
    <n v="1301"/>
    <n v="9"/>
    <n v="974"/>
    <n v="359"/>
    <n v="434"/>
    <n v="478"/>
    <n v="2305"/>
    <n v="145"/>
    <n v="426"/>
    <n v="294"/>
    <n v="30"/>
    <n v="1030"/>
    <n v="431"/>
    <n v="181"/>
    <n v="513"/>
    <n v="1"/>
    <n v="9"/>
    <m/>
    <n v="593"/>
    <n v="41"/>
    <n v="494"/>
    <n v="257"/>
    <n v="66"/>
    <n v="625"/>
    <n v="15"/>
    <n v="6472"/>
    <n v="236"/>
    <n v="77"/>
    <n v="814"/>
    <n v="112"/>
    <n v="14"/>
    <n v="14"/>
    <n v="36"/>
    <n v="1"/>
    <n v="9867"/>
    <n v="353"/>
    <n v="7923"/>
    <n v="1591"/>
    <n v="2011"/>
  </r>
  <r>
    <n v="106301283"/>
    <s v="301283"/>
    <x v="173"/>
    <s v="12601 GARDEN GROVE BLVD."/>
    <s v="GARDEN GROVE"/>
    <n v="92643"/>
    <x v="0"/>
    <x v="0"/>
    <x v="51"/>
    <x v="29"/>
    <s v="116r"/>
    <m/>
    <s v="13 - Orange"/>
    <x v="28"/>
    <s v="General Acute Care"/>
    <s v="Investor - Limited Liability Company"/>
    <s v="General Medical / Surgical"/>
    <n v="167"/>
    <x v="0"/>
    <n v="12186"/>
    <n v="9870"/>
    <m/>
    <m/>
    <n v="3603"/>
    <n v="2713"/>
    <n v="4014"/>
    <n v="3094"/>
    <n v="3103"/>
    <n v="2152"/>
    <n v="1111"/>
    <n v="677"/>
    <n v="738"/>
    <n v="851"/>
    <m/>
    <n v="2759"/>
    <n v="547"/>
    <n v="11509"/>
    <n v="4"/>
    <n v="538"/>
    <n v="11"/>
    <n v="6688"/>
    <n v="454"/>
    <n v="955"/>
    <n v="164"/>
    <n v="57"/>
    <n v="1"/>
    <m/>
    <n v="7"/>
    <m/>
    <m/>
    <n v="106"/>
    <m/>
    <n v="20264"/>
    <n v="48"/>
    <m/>
    <m/>
    <n v="10222"/>
    <n v="2107"/>
    <n v="1575"/>
    <n v="3569"/>
    <n v="4583"/>
    <n v="1146"/>
    <n v="53"/>
    <n v="376"/>
    <n v="2"/>
    <n v="1099"/>
    <n v="287"/>
    <n v="1154"/>
    <n v="246"/>
    <n v="4771"/>
    <n v="1105"/>
    <n v="34"/>
    <n v="1366"/>
    <n v="854"/>
    <n v="69"/>
    <n v="985"/>
    <n v="2428"/>
    <n v="952"/>
    <n v="5128"/>
    <n v="1"/>
    <m/>
    <n v="1504"/>
    <n v="78"/>
    <n v="155"/>
    <n v="8"/>
    <n v="237"/>
    <n v="12"/>
    <n v="104"/>
    <n v="162"/>
    <n v="16888"/>
    <n v="2029"/>
    <n v="114"/>
    <n v="577"/>
    <n v="43"/>
    <n v="108"/>
    <n v="37"/>
    <m/>
    <n v="22056"/>
    <n v="668"/>
    <n v="16245"/>
    <n v="5143"/>
    <n v="2058"/>
    <n v="1787"/>
    <m/>
    <m/>
    <n v="73"/>
    <n v="237"/>
    <n v="269"/>
    <n v="377"/>
    <n v="576"/>
    <n v="523"/>
    <n v="664"/>
    <n v="1113"/>
    <n v="11"/>
    <n v="2"/>
    <m/>
    <n v="1467"/>
    <n v="89"/>
    <n v="1137"/>
    <n v="48"/>
    <m/>
    <n v="1103"/>
    <n v="1"/>
    <n v="411"/>
    <n v="98"/>
    <n v="152"/>
    <n v="284"/>
    <n v="28"/>
    <m/>
    <n v="69"/>
    <n v="1906"/>
    <n v="896"/>
    <n v="1"/>
    <n v="0"/>
    <n v="0"/>
    <n v="0"/>
    <n v="0"/>
    <n v="0"/>
    <n v="1009"/>
    <n v="1954"/>
    <n v="12"/>
    <n v="468"/>
    <n v="402"/>
    <n v="143"/>
    <n v="81"/>
    <n v="559"/>
    <m/>
    <n v="667"/>
    <n v="236"/>
    <n v="352"/>
    <n v="397"/>
    <n v="262"/>
    <n v="53"/>
    <n v="77"/>
    <n v="107"/>
    <n v="2"/>
    <n v="38"/>
    <n v="505"/>
    <n v="83"/>
    <n v="272"/>
    <n v="1"/>
    <n v="10"/>
    <m/>
    <n v="226"/>
    <n v="16"/>
    <n v="199"/>
    <n v="2"/>
    <n v="13"/>
    <n v="21"/>
    <n v="4"/>
    <n v="3281"/>
    <n v="36"/>
    <n v="1"/>
    <n v="19"/>
    <n v="8"/>
    <n v="14"/>
    <n v="5"/>
    <m/>
    <m/>
    <n v="3845"/>
    <n v="927"/>
    <n v="2258"/>
    <n v="660"/>
    <n v="2011"/>
  </r>
  <r>
    <n v="106301297"/>
    <s v="301297"/>
    <x v="174"/>
    <s v="1301 NORTH ROSE DRIVE"/>
    <s v="PLACENTIA"/>
    <n v="92670"/>
    <x v="0"/>
    <x v="0"/>
    <x v="47"/>
    <x v="18"/>
    <s v="116m"/>
    <m/>
    <s v="13 - Orange"/>
    <x v="28"/>
    <s v="General Acute Care"/>
    <s v="Investor - Corporation"/>
    <s v="General Medical / Surgical"/>
    <n v="114"/>
    <x v="0"/>
    <n v="11812"/>
    <n v="9075"/>
    <m/>
    <m/>
    <n v="2261"/>
    <n v="2647"/>
    <n v="3305"/>
    <n v="2573"/>
    <n v="2897"/>
    <n v="2531"/>
    <n v="1585"/>
    <n v="1241"/>
    <n v="1566"/>
    <n v="281"/>
    <m/>
    <n v="841"/>
    <n v="644"/>
    <n v="4841"/>
    <n v="8"/>
    <n v="1386"/>
    <n v="181"/>
    <n v="12986"/>
    <n v="377"/>
    <n v="138"/>
    <n v="4"/>
    <n v="22"/>
    <n v="27"/>
    <n v="12"/>
    <m/>
    <n v="32"/>
    <m/>
    <n v="76"/>
    <m/>
    <n v="20091"/>
    <n v="108"/>
    <m/>
    <m/>
    <n v="540"/>
    <n v="3933"/>
    <n v="1363"/>
    <n v="12592"/>
    <n v="2459"/>
    <n v="260"/>
    <n v="86"/>
    <n v="608"/>
    <n v="4"/>
    <n v="1119"/>
    <n v="322"/>
    <n v="1296"/>
    <n v="373"/>
    <n v="5596"/>
    <n v="1413"/>
    <n v="8"/>
    <n v="1484"/>
    <n v="663"/>
    <n v="3"/>
    <n v="639"/>
    <n v="2071"/>
    <n v="789"/>
    <n v="4151"/>
    <n v="1"/>
    <n v="1"/>
    <n v="1991"/>
    <n v="75"/>
    <n v="206"/>
    <n v="3"/>
    <n v="138"/>
    <n v="62"/>
    <n v="123"/>
    <n v="228"/>
    <n v="14621"/>
    <n v="2654"/>
    <n v="142"/>
    <n v="482"/>
    <n v="49"/>
    <n v="107"/>
    <n v="6"/>
    <m/>
    <n v="20887"/>
    <n v="175"/>
    <n v="19869"/>
    <n v="843"/>
    <n v="1582"/>
    <n v="1223"/>
    <m/>
    <m/>
    <n v="54"/>
    <n v="123"/>
    <n v="207"/>
    <n v="293"/>
    <n v="379"/>
    <n v="418"/>
    <n v="525"/>
    <n v="805"/>
    <m/>
    <n v="1"/>
    <m/>
    <n v="136"/>
    <n v="65"/>
    <n v="440"/>
    <n v="171"/>
    <n v="9"/>
    <n v="1982"/>
    <n v="2"/>
    <n v="152"/>
    <n v="56"/>
    <n v="71"/>
    <n v="272"/>
    <n v="22"/>
    <n v="5"/>
    <n v="8"/>
    <n v="1787"/>
    <n v="430"/>
    <n v="2"/>
    <n v="0"/>
    <n v="0"/>
    <n v="0"/>
    <n v="0"/>
    <n v="0"/>
    <n v="242"/>
    <n v="1566"/>
    <n v="72"/>
    <n v="727"/>
    <n v="198"/>
    <n v="12"/>
    <n v="31"/>
    <n v="450"/>
    <m/>
    <n v="658"/>
    <n v="184"/>
    <n v="213"/>
    <n v="177"/>
    <n v="246"/>
    <n v="53"/>
    <n v="57"/>
    <n v="43"/>
    <n v="1"/>
    <n v="34"/>
    <n v="382"/>
    <n v="83"/>
    <n v="181"/>
    <m/>
    <m/>
    <m/>
    <n v="183"/>
    <n v="19"/>
    <n v="175"/>
    <n v="3"/>
    <n v="10"/>
    <n v="116"/>
    <n v="6"/>
    <n v="2227"/>
    <n v="33"/>
    <n v="3"/>
    <n v="9"/>
    <n v="13"/>
    <n v="3"/>
    <n v="4"/>
    <n v="1"/>
    <m/>
    <n v="2805"/>
    <n v="44"/>
    <n v="2672"/>
    <n v="89"/>
    <n v="2011"/>
  </r>
  <r>
    <n v="106301317"/>
    <s v="301317"/>
    <x v="175"/>
    <s v="24451 HEALTH CENTER DRIVE"/>
    <s v="LAGUNA HILLS"/>
    <n v="92653"/>
    <x v="0"/>
    <x v="0"/>
    <x v="52"/>
    <x v="27"/>
    <s v="115.2d"/>
    <m/>
    <s v="13 - Orange"/>
    <x v="28"/>
    <s v="General Acute Care"/>
    <s v="Non-Profit Corporation (incl. Church-related)"/>
    <s v="General Medical / Surgical"/>
    <n v="252"/>
    <x v="0"/>
    <n v="21187"/>
    <n v="16676"/>
    <n v="2"/>
    <m/>
    <n v="3195"/>
    <n v="3383"/>
    <n v="4922"/>
    <n v="4260"/>
    <n v="4504"/>
    <n v="3931"/>
    <n v="3273"/>
    <n v="3315"/>
    <n v="6578"/>
    <n v="504"/>
    <m/>
    <n v="1328"/>
    <n v="676"/>
    <n v="5425"/>
    <n v="23"/>
    <n v="1306"/>
    <n v="341"/>
    <n v="28766"/>
    <n v="594"/>
    <n v="584"/>
    <n v="36"/>
    <n v="127"/>
    <n v="579"/>
    <n v="61"/>
    <n v="19"/>
    <n v="3"/>
    <m/>
    <n v="409"/>
    <m/>
    <n v="34956"/>
    <n v="495"/>
    <m/>
    <n v="2"/>
    <n v="4162"/>
    <n v="11734"/>
    <n v="3319"/>
    <n v="13763"/>
    <n v="4887"/>
    <n v="703"/>
    <n v="141"/>
    <n v="1503"/>
    <n v="7"/>
    <n v="1777"/>
    <n v="457"/>
    <n v="1967"/>
    <n v="570"/>
    <n v="10993"/>
    <n v="2185"/>
    <n v="71"/>
    <n v="1862"/>
    <n v="830"/>
    <n v="29"/>
    <n v="1693"/>
    <n v="2586"/>
    <n v="1417"/>
    <n v="9074"/>
    <m/>
    <m/>
    <n v="4364"/>
    <n v="200"/>
    <n v="444"/>
    <n v="15"/>
    <n v="251"/>
    <n v="20"/>
    <n v="278"/>
    <n v="427"/>
    <n v="26100"/>
    <n v="4224"/>
    <n v="264"/>
    <n v="875"/>
    <n v="118"/>
    <n v="254"/>
    <n v="31"/>
    <m/>
    <n v="37865"/>
    <n v="665"/>
    <n v="35814"/>
    <n v="1386"/>
    <n v="5958"/>
    <n v="4585"/>
    <m/>
    <m/>
    <n v="73"/>
    <n v="294"/>
    <n v="377"/>
    <n v="733"/>
    <n v="1058"/>
    <n v="1414"/>
    <n v="1892"/>
    <n v="4698"/>
    <n v="2"/>
    <n v="2"/>
    <m/>
    <n v="460"/>
    <n v="107"/>
    <n v="776"/>
    <n v="283"/>
    <n v="13"/>
    <n v="8892"/>
    <n v="12"/>
    <n v="221"/>
    <n v="32"/>
    <n v="330"/>
    <n v="2510"/>
    <n v="144"/>
    <n v="1"/>
    <n v="58"/>
    <n v="5319"/>
    <n v="1927"/>
    <n v="1"/>
    <n v="0"/>
    <n v="0"/>
    <n v="0"/>
    <n v="0"/>
    <n v="0"/>
    <n v="276"/>
    <n v="7100"/>
    <n v="138"/>
    <n v="2132"/>
    <n v="897"/>
    <n v="61"/>
    <n v="166"/>
    <n v="2388"/>
    <n v="3"/>
    <n v="1653"/>
    <n v="386"/>
    <n v="612"/>
    <n v="1125"/>
    <n v="1011"/>
    <n v="174"/>
    <n v="230"/>
    <n v="257"/>
    <n v="7"/>
    <n v="102"/>
    <n v="1161"/>
    <n v="238"/>
    <n v="968"/>
    <m/>
    <n v="1"/>
    <m/>
    <n v="833"/>
    <n v="59"/>
    <n v="870"/>
    <n v="6"/>
    <n v="9"/>
    <n v="620"/>
    <n v="25"/>
    <n v="7833"/>
    <n v="138"/>
    <n v="14"/>
    <n v="39"/>
    <n v="57"/>
    <n v="27"/>
    <n v="11"/>
    <n v="2"/>
    <m/>
    <n v="10543"/>
    <n v="309"/>
    <n v="10009"/>
    <n v="225"/>
    <n v="2011"/>
  </r>
  <r>
    <n v="106301337"/>
    <s v="301337"/>
    <x v="176"/>
    <s v="31872 COAST HIGHWAY"/>
    <s v="LAGUNA BEACH"/>
    <n v="92677"/>
    <x v="0"/>
    <x v="0"/>
    <x v="53"/>
    <x v="28"/>
    <s v="115.2c"/>
    <m/>
    <s v="13 - Orange"/>
    <x v="28"/>
    <s v="General Acute Care"/>
    <s v="Non-Profit Corporation (incl. Church-related)"/>
    <s v="General Medical / Surgical"/>
    <n v="142"/>
    <x v="0"/>
    <n v="4388"/>
    <n v="4222"/>
    <m/>
    <m/>
    <n v="514"/>
    <n v="884"/>
    <n v="1234"/>
    <n v="1025"/>
    <n v="1314"/>
    <n v="1321"/>
    <n v="837"/>
    <n v="608"/>
    <n v="838"/>
    <n v="35"/>
    <m/>
    <n v="158"/>
    <n v="129"/>
    <n v="549"/>
    <n v="7"/>
    <n v="152"/>
    <n v="37"/>
    <n v="7578"/>
    <n v="65"/>
    <n v="167"/>
    <n v="2"/>
    <n v="12"/>
    <n v="7"/>
    <n v="3"/>
    <n v="1"/>
    <m/>
    <n v="61"/>
    <n v="220"/>
    <n v="7"/>
    <n v="8053"/>
    <n v="12"/>
    <m/>
    <m/>
    <n v="676"/>
    <n v="1983"/>
    <n v="734"/>
    <n v="3956"/>
    <n v="1261"/>
    <n v="86"/>
    <n v="19"/>
    <n v="184"/>
    <n v="3"/>
    <n v="325"/>
    <n v="105"/>
    <n v="372"/>
    <n v="84"/>
    <n v="2703"/>
    <n v="624"/>
    <n v="5"/>
    <n v="424"/>
    <n v="350"/>
    <n v="2"/>
    <n v="689"/>
    <n v="554"/>
    <n v="518"/>
    <n v="1563"/>
    <m/>
    <m/>
    <n v="924"/>
    <n v="32"/>
    <n v="104"/>
    <n v="2"/>
    <n v="102"/>
    <n v="10"/>
    <n v="56"/>
    <n v="123"/>
    <n v="5623"/>
    <n v="1293"/>
    <n v="64"/>
    <n v="181"/>
    <n v="29"/>
    <n v="45"/>
    <n v="22"/>
    <m/>
    <n v="8610"/>
    <n v="68"/>
    <n v="8352"/>
    <n v="190"/>
    <n v="1620"/>
    <n v="1371"/>
    <m/>
    <m/>
    <n v="101"/>
    <n v="435"/>
    <n v="319"/>
    <n v="527"/>
    <n v="475"/>
    <n v="354"/>
    <n v="270"/>
    <n v="510"/>
    <m/>
    <m/>
    <m/>
    <n v="61"/>
    <n v="51"/>
    <n v="117"/>
    <n v="42"/>
    <n v="16"/>
    <n v="2698"/>
    <n v="6"/>
    <n v="64"/>
    <n v="179"/>
    <n v="14"/>
    <n v="207"/>
    <n v="188"/>
    <m/>
    <n v="11"/>
    <n v="2124"/>
    <n v="202"/>
    <n v="2"/>
    <n v="0"/>
    <n v="0"/>
    <n v="0"/>
    <n v="0"/>
    <n v="0"/>
    <n v="132"/>
    <n v="1112"/>
    <n v="41"/>
    <n v="1418"/>
    <n v="288"/>
    <n v="9"/>
    <n v="26"/>
    <n v="169"/>
    <n v="1"/>
    <n v="338"/>
    <n v="90"/>
    <n v="86"/>
    <n v="115"/>
    <n v="277"/>
    <n v="48"/>
    <n v="33"/>
    <n v="43"/>
    <m/>
    <n v="1384"/>
    <n v="142"/>
    <n v="51"/>
    <n v="179"/>
    <m/>
    <m/>
    <m/>
    <n v="209"/>
    <n v="8"/>
    <n v="243"/>
    <n v="6"/>
    <n v="4"/>
    <n v="64"/>
    <n v="6"/>
    <n v="2214"/>
    <n v="59"/>
    <n v="1"/>
    <n v="8"/>
    <n v="123"/>
    <n v="7"/>
    <n v="39"/>
    <m/>
    <m/>
    <n v="2991"/>
    <n v="26"/>
    <n v="2934"/>
    <n v="31"/>
    <n v="2011"/>
  </r>
  <r>
    <n v="106301340"/>
    <s v="301340"/>
    <x v="177"/>
    <s v="1100 WEST STEWART DRIVE"/>
    <s v="ORANGE"/>
    <n v="92868"/>
    <x v="0"/>
    <x v="0"/>
    <x v="47"/>
    <x v="27"/>
    <s v="116h"/>
    <m/>
    <s v="13 - Orange"/>
    <x v="28"/>
    <s v="General Acute Care"/>
    <s v="Non-Profit Corporation (incl. Church-related)"/>
    <s v="General Medical / Surgical"/>
    <n v="488"/>
    <x v="0"/>
    <n v="27357"/>
    <n v="17160"/>
    <m/>
    <m/>
    <m/>
    <n v="3590"/>
    <n v="8917"/>
    <n v="7364"/>
    <n v="6692"/>
    <n v="5906"/>
    <n v="4179"/>
    <n v="3707"/>
    <n v="4162"/>
    <m/>
    <m/>
    <n v="1540"/>
    <n v="1103"/>
    <n v="19100"/>
    <n v="7"/>
    <n v="944"/>
    <n v="87"/>
    <n v="21736"/>
    <n v="525"/>
    <n v="266"/>
    <m/>
    <n v="55"/>
    <n v="32"/>
    <n v="11"/>
    <n v="19"/>
    <m/>
    <n v="82"/>
    <n v="561"/>
    <n v="162"/>
    <n v="42378"/>
    <n v="426"/>
    <m/>
    <m/>
    <n v="9248"/>
    <n v="10133"/>
    <n v="8884"/>
    <n v="14271"/>
    <n v="1981"/>
    <n v="2347"/>
    <n v="250"/>
    <n v="1474"/>
    <n v="5"/>
    <n v="1606"/>
    <n v="546"/>
    <n v="2651"/>
    <n v="560"/>
    <n v="8191"/>
    <n v="2738"/>
    <n v="66"/>
    <n v="2280"/>
    <n v="982"/>
    <m/>
    <n v="2040"/>
    <n v="2652"/>
    <n v="1672"/>
    <n v="14456"/>
    <n v="1"/>
    <m/>
    <n v="2959"/>
    <n v="81"/>
    <n v="396"/>
    <n v="10"/>
    <n v="205"/>
    <n v="66"/>
    <n v="8"/>
    <n v="258"/>
    <n v="36157"/>
    <n v="3263"/>
    <n v="161"/>
    <n v="728"/>
    <n v="99"/>
    <n v="81"/>
    <n v="45"/>
    <m/>
    <n v="44517"/>
    <n v="583"/>
    <n v="36276"/>
    <n v="7658"/>
    <n v="4940"/>
    <n v="4362"/>
    <m/>
    <m/>
    <n v="175"/>
    <n v="699"/>
    <n v="707"/>
    <n v="1017"/>
    <n v="1468"/>
    <n v="1362"/>
    <n v="1614"/>
    <n v="2260"/>
    <m/>
    <m/>
    <m/>
    <n v="495"/>
    <n v="213"/>
    <n v="2354"/>
    <n v="150"/>
    <m/>
    <n v="6089"/>
    <n v="1"/>
    <n v="127"/>
    <n v="122"/>
    <n v="285"/>
    <n v="1214"/>
    <n v="340"/>
    <n v="1"/>
    <n v="89"/>
    <n v="5894"/>
    <n v="1228"/>
    <n v="2"/>
    <n v="0"/>
    <n v="0"/>
    <n v="0"/>
    <n v="0"/>
    <n v="0"/>
    <n v="976"/>
    <n v="3423"/>
    <n v="80"/>
    <n v="4147"/>
    <n v="676"/>
    <n v="125"/>
    <n v="167"/>
    <n v="1718"/>
    <n v="11"/>
    <n v="1364"/>
    <n v="415"/>
    <n v="503"/>
    <n v="726"/>
    <n v="802"/>
    <n v="187"/>
    <n v="361"/>
    <n v="217"/>
    <n v="5"/>
    <n v="1315"/>
    <n v="874"/>
    <n v="212"/>
    <n v="300"/>
    <m/>
    <m/>
    <m/>
    <n v="440"/>
    <n v="31"/>
    <n v="1030"/>
    <n v="14"/>
    <n v="20"/>
    <n v="165"/>
    <n v="19"/>
    <n v="7284"/>
    <n v="150"/>
    <n v="6"/>
    <n v="21"/>
    <n v="92"/>
    <n v="8"/>
    <n v="21"/>
    <n v="1"/>
    <m/>
    <n v="9302"/>
    <n v="212"/>
    <n v="7911"/>
    <n v="1179"/>
    <n v="2011"/>
  </r>
  <r>
    <n v="106301342"/>
    <s v="301342"/>
    <x v="178"/>
    <s v="101 EAST VALENCIA MESA DRIVE"/>
    <s v="FULLERTON"/>
    <n v="92835"/>
    <x v="0"/>
    <x v="0"/>
    <x v="47"/>
    <x v="27"/>
    <s v="116f"/>
    <m/>
    <s v="13 - Orange"/>
    <x v="28"/>
    <s v="General Acute Care"/>
    <s v="Non-Profit Corporation (incl. Church-related)"/>
    <s v="General Medical / Surgical"/>
    <n v="347"/>
    <x v="0"/>
    <n v="27921"/>
    <n v="21376"/>
    <m/>
    <m/>
    <n v="5550"/>
    <n v="5082"/>
    <n v="7265"/>
    <n v="6030"/>
    <n v="6188"/>
    <n v="5893"/>
    <n v="4065"/>
    <n v="3442"/>
    <n v="4521"/>
    <n v="1261"/>
    <m/>
    <n v="3698"/>
    <n v="1388"/>
    <n v="14311"/>
    <n v="10"/>
    <n v="960"/>
    <n v="167"/>
    <n v="28763"/>
    <n v="1231"/>
    <n v="322"/>
    <m/>
    <n v="102"/>
    <n v="4"/>
    <n v="11"/>
    <n v="10"/>
    <n v="11"/>
    <n v="160"/>
    <n v="344"/>
    <n v="268"/>
    <n v="46342"/>
    <n v="492"/>
    <m/>
    <m/>
    <n v="9593"/>
    <n v="9106"/>
    <n v="3247"/>
    <n v="20552"/>
    <n v="6799"/>
    <n v="1149"/>
    <n v="126"/>
    <n v="1575"/>
    <n v="8"/>
    <n v="2407"/>
    <n v="656"/>
    <n v="2934"/>
    <n v="945"/>
    <n v="10463"/>
    <n v="3355"/>
    <n v="60"/>
    <n v="3498"/>
    <n v="899"/>
    <n v="47"/>
    <n v="1551"/>
    <n v="4431"/>
    <n v="1814"/>
    <n v="13379"/>
    <m/>
    <m/>
    <n v="4368"/>
    <n v="164"/>
    <n v="357"/>
    <n v="18"/>
    <n v="451"/>
    <n v="48"/>
    <n v="7"/>
    <n v="473"/>
    <n v="36803"/>
    <n v="4697"/>
    <n v="273"/>
    <n v="1228"/>
    <n v="156"/>
    <n v="239"/>
    <n v="15"/>
    <m/>
    <n v="49297"/>
    <n v="1374"/>
    <n v="43285"/>
    <n v="4638"/>
    <n v="4363"/>
    <n v="3694"/>
    <m/>
    <m/>
    <n v="75"/>
    <n v="301"/>
    <n v="365"/>
    <n v="670"/>
    <n v="1062"/>
    <n v="1308"/>
    <n v="1517"/>
    <n v="2717"/>
    <n v="26"/>
    <n v="16"/>
    <m/>
    <n v="851"/>
    <n v="155"/>
    <n v="1404"/>
    <n v="77"/>
    <n v="21"/>
    <n v="5548"/>
    <n v="1"/>
    <n v="382"/>
    <n v="61"/>
    <n v="375"/>
    <n v="1171"/>
    <n v="206"/>
    <n v="14"/>
    <n v="80"/>
    <n v="4161"/>
    <n v="1606"/>
    <n v="1"/>
    <n v="0"/>
    <n v="0"/>
    <n v="0"/>
    <n v="0"/>
    <n v="0"/>
    <n v="597"/>
    <n v="5071"/>
    <n v="102"/>
    <n v="1711"/>
    <n v="576"/>
    <n v="48"/>
    <n v="98"/>
    <n v="2054"/>
    <n v="1"/>
    <n v="1273"/>
    <n v="323"/>
    <n v="492"/>
    <n v="833"/>
    <n v="780"/>
    <n v="145"/>
    <n v="256"/>
    <n v="169"/>
    <n v="14"/>
    <n v="58"/>
    <n v="926"/>
    <n v="191"/>
    <n v="384"/>
    <n v="2"/>
    <n v="10"/>
    <m/>
    <n v="568"/>
    <n v="46"/>
    <n v="839"/>
    <n v="8"/>
    <n v="41"/>
    <n v="454"/>
    <n v="15"/>
    <n v="5903"/>
    <n v="85"/>
    <n v="7"/>
    <n v="15"/>
    <n v="34"/>
    <n v="25"/>
    <n v="16"/>
    <n v="1"/>
    <m/>
    <n v="8057"/>
    <n v="535"/>
    <n v="6920"/>
    <n v="602"/>
    <n v="2011"/>
  </r>
  <r>
    <n v="106301379"/>
    <s v="301379"/>
    <x v="179"/>
    <s v="3033 WEST ORANGE AVENUE"/>
    <s v="ANAHEIM"/>
    <n v="92804"/>
    <x v="0"/>
    <x v="0"/>
    <x v="49"/>
    <x v="29"/>
    <s v="116c"/>
    <m/>
    <s v="13 - Orange"/>
    <x v="28"/>
    <s v="General Acute Care"/>
    <s v="Investor - Limited Liability Company"/>
    <s v="General Medical / Surgical"/>
    <n v="167"/>
    <x v="0"/>
    <n v="12591"/>
    <n v="11483"/>
    <m/>
    <m/>
    <n v="3357"/>
    <n v="2774"/>
    <n v="4272"/>
    <n v="3293"/>
    <n v="3432"/>
    <n v="2928"/>
    <n v="1432"/>
    <n v="952"/>
    <n v="1042"/>
    <n v="592"/>
    <m/>
    <n v="1866"/>
    <n v="1568"/>
    <n v="8621"/>
    <n v="31"/>
    <n v="1256"/>
    <n v="41"/>
    <n v="10691"/>
    <n v="950"/>
    <n v="1348"/>
    <m/>
    <n v="110"/>
    <m/>
    <m/>
    <m/>
    <m/>
    <m/>
    <n v="435"/>
    <m/>
    <n v="21112"/>
    <n v="119"/>
    <m/>
    <m/>
    <n v="9568"/>
    <n v="3622"/>
    <n v="1874"/>
    <n v="3860"/>
    <n v="5150"/>
    <n v="523"/>
    <n v="62"/>
    <n v="480"/>
    <n v="7"/>
    <n v="999"/>
    <n v="413"/>
    <n v="1333"/>
    <n v="465"/>
    <n v="5259"/>
    <n v="1324"/>
    <n v="22"/>
    <n v="1347"/>
    <n v="1907"/>
    <n v="16"/>
    <n v="1641"/>
    <n v="2523"/>
    <n v="1050"/>
    <n v="4698"/>
    <m/>
    <n v="5"/>
    <n v="1614"/>
    <n v="57"/>
    <n v="198"/>
    <n v="15"/>
    <n v="326"/>
    <n v="7"/>
    <n v="75"/>
    <n v="202"/>
    <n v="18016"/>
    <n v="2448"/>
    <n v="133"/>
    <n v="693"/>
    <n v="94"/>
    <n v="124"/>
    <n v="72"/>
    <m/>
    <n v="24074"/>
    <n v="964"/>
    <n v="20141"/>
    <n v="2969"/>
    <n v="3034"/>
    <n v="2668"/>
    <m/>
    <m/>
    <n v="60"/>
    <n v="222"/>
    <n v="294"/>
    <n v="631"/>
    <n v="941"/>
    <n v="920"/>
    <n v="1119"/>
    <n v="1515"/>
    <m/>
    <m/>
    <m/>
    <n v="811"/>
    <n v="243"/>
    <n v="1181"/>
    <n v="240"/>
    <n v="15"/>
    <n v="3207"/>
    <n v="5"/>
    <n v="474"/>
    <n v="173"/>
    <n v="224"/>
    <n v="81"/>
    <n v="52"/>
    <m/>
    <n v="255"/>
    <n v="2845"/>
    <n v="1597"/>
    <n v="1"/>
    <n v="0"/>
    <n v="0"/>
    <n v="0"/>
    <n v="0"/>
    <n v="0"/>
    <n v="952"/>
    <n v="3503"/>
    <n v="44"/>
    <n v="538"/>
    <n v="665"/>
    <n v="20"/>
    <n v="110"/>
    <n v="1059"/>
    <n v="1"/>
    <n v="810"/>
    <n v="268"/>
    <n v="345"/>
    <n v="687"/>
    <n v="341"/>
    <n v="72"/>
    <n v="60"/>
    <n v="138"/>
    <n v="13"/>
    <n v="441"/>
    <n v="721"/>
    <n v="103"/>
    <n v="513"/>
    <m/>
    <m/>
    <m/>
    <n v="264"/>
    <n v="41"/>
    <n v="300"/>
    <n v="6"/>
    <n v="13"/>
    <n v="66"/>
    <n v="4"/>
    <n v="4721"/>
    <n v="177"/>
    <n v="5"/>
    <n v="13"/>
    <n v="45"/>
    <n v="25"/>
    <n v="21"/>
    <n v="1"/>
    <m/>
    <n v="5702"/>
    <n v="567"/>
    <n v="4586"/>
    <n v="549"/>
    <n v="2011"/>
  </r>
  <r>
    <n v="106301566"/>
    <s v="301566"/>
    <x v="180"/>
    <s v="1001 NORTH TUSTIN AVENUE"/>
    <s v="SANTA ANA"/>
    <n v="92705"/>
    <x v="2"/>
    <x v="0"/>
    <x v="51"/>
    <x v="27"/>
    <s v="116h"/>
    <m/>
    <s v="13 - Orange"/>
    <x v="28"/>
    <s v="General Acute Care"/>
    <s v="Investor - Corporation"/>
    <s v="General Medical / Surgical"/>
    <n v="282"/>
    <x v="0"/>
    <n v="9892"/>
    <n v="8559"/>
    <m/>
    <m/>
    <n v="1863"/>
    <n v="1971"/>
    <n v="3637"/>
    <n v="2832"/>
    <n v="2780"/>
    <n v="2152"/>
    <n v="1222"/>
    <n v="725"/>
    <n v="676"/>
    <n v="593"/>
    <m/>
    <n v="650"/>
    <n v="534"/>
    <n v="10280"/>
    <n v="5"/>
    <n v="662"/>
    <n v="90"/>
    <n v="6230"/>
    <n v="398"/>
    <n v="304"/>
    <n v="196"/>
    <n v="68"/>
    <n v="69"/>
    <n v="12"/>
    <n v="31"/>
    <m/>
    <m/>
    <n v="37"/>
    <n v="12"/>
    <n v="17185"/>
    <n v="139"/>
    <m/>
    <m/>
    <n v="118"/>
    <n v="4056"/>
    <n v="2243"/>
    <n v="8807"/>
    <n v="3227"/>
    <n v="1155"/>
    <n v="66"/>
    <n v="567"/>
    <n v="1"/>
    <n v="964"/>
    <n v="289"/>
    <n v="1116"/>
    <n v="235"/>
    <n v="4612"/>
    <n v="909"/>
    <n v="31"/>
    <n v="939"/>
    <n v="796"/>
    <n v="49"/>
    <n v="722"/>
    <n v="1513"/>
    <n v="671"/>
    <n v="3816"/>
    <m/>
    <m/>
    <n v="1217"/>
    <n v="87"/>
    <n v="141"/>
    <n v="23"/>
    <n v="347"/>
    <n v="5"/>
    <n v="41"/>
    <n v="134"/>
    <n v="13438"/>
    <n v="1673"/>
    <n v="107"/>
    <n v="1040"/>
    <n v="77"/>
    <n v="97"/>
    <n v="24"/>
    <m/>
    <n v="18451"/>
    <n v="179"/>
    <n v="13267"/>
    <n v="5005"/>
    <n v="1965"/>
    <n v="2393"/>
    <m/>
    <m/>
    <n v="204"/>
    <n v="429"/>
    <n v="398"/>
    <n v="553"/>
    <n v="758"/>
    <n v="642"/>
    <n v="530"/>
    <n v="744"/>
    <n v="22"/>
    <n v="78"/>
    <m/>
    <n v="56"/>
    <n v="97"/>
    <n v="1877"/>
    <n v="151"/>
    <n v="249"/>
    <n v="1926"/>
    <n v="2"/>
    <n v="170"/>
    <n v="128"/>
    <n v="193"/>
    <n v="347"/>
    <n v="194"/>
    <n v="39"/>
    <n v="25"/>
    <n v="2562"/>
    <n v="659"/>
    <n v="41"/>
    <n v="0"/>
    <n v="0"/>
    <n v="0"/>
    <n v="0"/>
    <n v="0"/>
    <n v="608"/>
    <n v="1433"/>
    <n v="1347"/>
    <n v="796"/>
    <n v="174"/>
    <n v="76"/>
    <n v="38"/>
    <n v="731"/>
    <n v="5"/>
    <n v="527"/>
    <n v="162"/>
    <n v="183"/>
    <n v="345"/>
    <n v="1397"/>
    <n v="48"/>
    <n v="84"/>
    <n v="99"/>
    <n v="14"/>
    <n v="54"/>
    <n v="369"/>
    <n v="85"/>
    <n v="124"/>
    <n v="6"/>
    <n v="11"/>
    <m/>
    <n v="435"/>
    <n v="44"/>
    <n v="302"/>
    <n v="97"/>
    <n v="1"/>
    <n v="31"/>
    <n v="6"/>
    <n v="2709"/>
    <n v="116"/>
    <n v="40"/>
    <n v="490"/>
    <n v="55"/>
    <n v="10"/>
    <n v="12"/>
    <n v="10"/>
    <m/>
    <n v="4358"/>
    <n v="135"/>
    <n v="3137"/>
    <n v="1086"/>
    <n v="2011"/>
  </r>
  <r>
    <n v="106304113"/>
    <s v="304113"/>
    <x v="181"/>
    <s v="27700 MEDICAL CTR. RD., 5TH FL"/>
    <s v="MISSION VIEJO"/>
    <n v="92691"/>
    <x v="0"/>
    <x v="0"/>
    <x v="50"/>
    <x v="27"/>
    <s v="115.2a"/>
    <m/>
    <s v="13 - Orange"/>
    <x v="28"/>
    <s v="General Acute Care"/>
    <s v="Non-Profit Corporation (incl. Church-related)"/>
    <s v="General Medical / Surgical"/>
    <n v="48"/>
    <x v="0"/>
    <n v="6553"/>
    <n v="8157"/>
    <m/>
    <m/>
    <n v="8100"/>
    <n v="5064"/>
    <m/>
    <m/>
    <m/>
    <m/>
    <m/>
    <m/>
    <m/>
    <n v="1546"/>
    <m/>
    <n v="641"/>
    <n v="280"/>
    <n v="4350"/>
    <n v="11"/>
    <n v="244"/>
    <n v="135"/>
    <n v="9049"/>
    <n v="61"/>
    <n v="14"/>
    <n v="5"/>
    <n v="1"/>
    <m/>
    <m/>
    <m/>
    <m/>
    <n v="1"/>
    <n v="91"/>
    <m/>
    <n v="14535"/>
    <n v="2"/>
    <m/>
    <m/>
    <n v="4666"/>
    <m/>
    <n v="506"/>
    <n v="8485"/>
    <n v="1053"/>
    <n v="16"/>
    <n v="32"/>
    <n v="24"/>
    <n v="4"/>
    <n v="237"/>
    <n v="108"/>
    <n v="383"/>
    <n v="341"/>
    <n v="5068"/>
    <n v="307"/>
    <n v="5"/>
    <n v="947"/>
    <n v="447"/>
    <n v="111"/>
    <n v="222"/>
    <n v="2283"/>
    <n v="525"/>
    <n v="3650"/>
    <m/>
    <m/>
    <n v="1978"/>
    <n v="75"/>
    <n v="82"/>
    <n v="5"/>
    <n v="38"/>
    <n v="8"/>
    <n v="19"/>
    <n v="185"/>
    <n v="9367"/>
    <n v="2380"/>
    <n v="188"/>
    <n v="190"/>
    <n v="42"/>
    <n v="143"/>
    <n v="10"/>
    <m/>
    <n v="14710"/>
    <n v="163"/>
    <n v="11969"/>
    <n v="2578"/>
    <n v="534"/>
    <n v="670"/>
    <m/>
    <m/>
    <n v="434"/>
    <m/>
    <m/>
    <m/>
    <m/>
    <m/>
    <m/>
    <m/>
    <n v="257"/>
    <n v="513"/>
    <m/>
    <n v="68"/>
    <n v="14"/>
    <n v="272"/>
    <n v="19"/>
    <n v="3"/>
    <n v="828"/>
    <m/>
    <n v="39"/>
    <m/>
    <n v="4"/>
    <n v="13"/>
    <n v="16"/>
    <m/>
    <n v="4"/>
    <n v="1128"/>
    <m/>
    <m/>
    <n v="0"/>
    <n v="0"/>
    <n v="0"/>
    <n v="0"/>
    <n v="0"/>
    <n v="344"/>
    <m/>
    <n v="45"/>
    <n v="787"/>
    <n v="28"/>
    <m/>
    <n v="19"/>
    <n v="9"/>
    <n v="10"/>
    <n v="179"/>
    <n v="45"/>
    <n v="44"/>
    <n v="55"/>
    <n v="279"/>
    <n v="15"/>
    <n v="5"/>
    <n v="55"/>
    <n v="3"/>
    <n v="23"/>
    <n v="303"/>
    <n v="35"/>
    <n v="78"/>
    <m/>
    <n v="47"/>
    <m/>
    <n v="114"/>
    <n v="13"/>
    <n v="16"/>
    <n v="3"/>
    <m/>
    <n v="25"/>
    <n v="9"/>
    <n v="891"/>
    <n v="41"/>
    <n v="19"/>
    <n v="38"/>
    <n v="18"/>
    <n v="13"/>
    <n v="4"/>
    <m/>
    <m/>
    <n v="1204"/>
    <n v="9"/>
    <n v="1031"/>
    <n v="164"/>
    <n v="2011"/>
  </r>
  <r>
    <n v="106304460"/>
    <s v="304460"/>
    <x v="182"/>
    <s v="16250 SAND CANYON AVENUE"/>
    <s v="IRVINE"/>
    <n v="92618"/>
    <x v="0"/>
    <x v="0"/>
    <x v="53"/>
    <x v="28"/>
    <s v="116o"/>
    <m/>
    <s v="13 - Orange"/>
    <x v="28"/>
    <s v="General Acute Care"/>
    <s v="Investor - Limited Liability Company"/>
    <s v="General Medical / Surgical"/>
    <n v="70"/>
    <x v="1"/>
    <m/>
    <m/>
    <m/>
    <m/>
    <m/>
    <m/>
    <m/>
    <m/>
    <m/>
    <m/>
    <m/>
    <m/>
    <m/>
    <m/>
    <m/>
    <m/>
    <m/>
    <m/>
    <m/>
    <m/>
    <m/>
    <m/>
    <m/>
    <m/>
    <m/>
    <m/>
    <m/>
    <m/>
    <m/>
    <m/>
    <m/>
    <m/>
    <m/>
    <m/>
    <m/>
    <m/>
    <m/>
    <m/>
    <m/>
    <m/>
    <m/>
    <m/>
    <m/>
    <m/>
    <m/>
    <m/>
    <m/>
    <m/>
    <m/>
    <m/>
    <m/>
    <m/>
    <m/>
    <m/>
    <m/>
    <m/>
    <m/>
    <m/>
    <m/>
    <m/>
    <m/>
    <m/>
    <m/>
    <m/>
    <m/>
    <m/>
    <m/>
    <m/>
    <m/>
    <m/>
    <m/>
    <m/>
    <m/>
    <m/>
    <m/>
    <m/>
    <m/>
    <m/>
    <m/>
    <m/>
    <m/>
    <m/>
    <n v="5"/>
    <n v="4"/>
    <m/>
    <m/>
    <m/>
    <m/>
    <m/>
    <m/>
    <n v="1"/>
    <n v="3"/>
    <n v="1"/>
    <n v="4"/>
    <m/>
    <m/>
    <m/>
    <m/>
    <m/>
    <m/>
    <m/>
    <m/>
    <n v="9"/>
    <m/>
    <n v="1"/>
    <m/>
    <m/>
    <m/>
    <m/>
    <m/>
    <n v="1"/>
    <n v="3"/>
    <n v="4"/>
    <m/>
    <n v="0"/>
    <n v="0"/>
    <n v="0"/>
    <n v="0"/>
    <n v="0"/>
    <m/>
    <n v="6"/>
    <m/>
    <n v="3"/>
    <m/>
    <m/>
    <m/>
    <m/>
    <m/>
    <m/>
    <m/>
    <m/>
    <m/>
    <n v="8"/>
    <n v="1"/>
    <m/>
    <m/>
    <m/>
    <m/>
    <m/>
    <m/>
    <m/>
    <m/>
    <m/>
    <m/>
    <n v="1"/>
    <m/>
    <m/>
    <m/>
    <m/>
    <m/>
    <m/>
    <n v="7"/>
    <n v="1"/>
    <m/>
    <m/>
    <m/>
    <m/>
    <m/>
    <m/>
    <m/>
    <n v="9"/>
    <m/>
    <n v="9"/>
    <m/>
    <n v="2011"/>
  </r>
  <r>
    <n v="106310791"/>
    <s v="310791"/>
    <x v="183"/>
    <s v="11815 EDUCATION STREET"/>
    <s v="AUBURN"/>
    <n v="95602"/>
    <x v="0"/>
    <x v="0"/>
    <x v="11"/>
    <x v="2"/>
    <s v="119"/>
    <m/>
    <s v="02 - Golden Empire"/>
    <x v="29"/>
    <s v="General Acute Care"/>
    <s v="Non-Profit Corporation (incl. Church-related)"/>
    <s v="General Medical / Surgical"/>
    <n v="78"/>
    <x v="0"/>
    <n v="10542"/>
    <n v="9206"/>
    <m/>
    <m/>
    <n v="1779"/>
    <n v="2107"/>
    <n v="2982"/>
    <n v="2388"/>
    <n v="2524"/>
    <n v="2603"/>
    <n v="1777"/>
    <n v="1479"/>
    <n v="1766"/>
    <n v="343"/>
    <m/>
    <n v="90"/>
    <n v="247"/>
    <n v="1223"/>
    <n v="112"/>
    <n v="28"/>
    <n v="20"/>
    <n v="18028"/>
    <n v="775"/>
    <n v="79"/>
    <m/>
    <n v="39"/>
    <n v="2"/>
    <m/>
    <m/>
    <n v="53"/>
    <n v="301"/>
    <n v="216"/>
    <n v="3"/>
    <n v="18280"/>
    <m/>
    <m/>
    <m/>
    <n v="5457"/>
    <n v="5086"/>
    <n v="935"/>
    <n v="5119"/>
    <n v="3151"/>
    <n v="290"/>
    <n v="47"/>
    <n v="597"/>
    <n v="3"/>
    <n v="1102"/>
    <n v="215"/>
    <n v="930"/>
    <n v="164"/>
    <n v="5353"/>
    <n v="1106"/>
    <n v="95"/>
    <n v="1229"/>
    <n v="516"/>
    <n v="7"/>
    <n v="984"/>
    <n v="1802"/>
    <n v="792"/>
    <n v="4515"/>
    <m/>
    <n v="1"/>
    <n v="1930"/>
    <n v="90"/>
    <n v="77"/>
    <n v="24"/>
    <n v="191"/>
    <n v="4"/>
    <n v="92"/>
    <n v="299"/>
    <n v="14018"/>
    <n v="2041"/>
    <n v="137"/>
    <n v="575"/>
    <n v="96"/>
    <n v="153"/>
    <n v="21"/>
    <m/>
    <n v="19748"/>
    <n v="105"/>
    <n v="19199"/>
    <n v="444"/>
    <n v="1664"/>
    <n v="1465"/>
    <m/>
    <m/>
    <n v="44"/>
    <n v="126"/>
    <n v="124"/>
    <n v="258"/>
    <n v="473"/>
    <n v="585"/>
    <n v="596"/>
    <n v="912"/>
    <n v="2"/>
    <n v="9"/>
    <m/>
    <n v="22"/>
    <n v="27"/>
    <n v="98"/>
    <n v="6"/>
    <n v="2"/>
    <n v="2963"/>
    <n v="11"/>
    <n v="113"/>
    <n v="15"/>
    <n v="106"/>
    <n v="415"/>
    <n v="40"/>
    <n v="25"/>
    <n v="4"/>
    <n v="1731"/>
    <n v="668"/>
    <n v="12"/>
    <n v="0"/>
    <n v="0"/>
    <n v="0"/>
    <n v="0"/>
    <n v="0"/>
    <n v="345"/>
    <n v="2011"/>
    <n v="56"/>
    <n v="494"/>
    <n v="223"/>
    <n v="18"/>
    <n v="62"/>
    <n v="502"/>
    <m/>
    <n v="626"/>
    <n v="90"/>
    <n v="165"/>
    <n v="452"/>
    <n v="393"/>
    <n v="42"/>
    <n v="52"/>
    <n v="46"/>
    <n v="1"/>
    <n v="30"/>
    <n v="449"/>
    <n v="78"/>
    <n v="122"/>
    <m/>
    <n v="1"/>
    <m/>
    <n v="230"/>
    <n v="67"/>
    <n v="287"/>
    <n v="1"/>
    <n v="24"/>
    <n v="158"/>
    <n v="10"/>
    <n v="2240"/>
    <n v="45"/>
    <n v="7"/>
    <n v="13"/>
    <n v="17"/>
    <n v="3"/>
    <n v="27"/>
    <m/>
    <m/>
    <n v="3129"/>
    <n v="11"/>
    <n v="3095"/>
    <n v="23"/>
    <n v="2011"/>
  </r>
  <r>
    <n v="106311000"/>
    <s v="311000"/>
    <x v="184"/>
    <s v="ONE MEDICAL PLAZA"/>
    <s v="ROSEVILLE"/>
    <n v="95661"/>
    <x v="2"/>
    <x v="0"/>
    <x v="11"/>
    <x v="2"/>
    <s v="121.1"/>
    <m/>
    <s v="02 - Golden Empire"/>
    <x v="29"/>
    <s v="General Acute Care"/>
    <s v="Non-Profit Corporation (incl. Church-related)"/>
    <s v="General Medical / Surgical"/>
    <n v="298"/>
    <x v="0"/>
    <n v="32280"/>
    <n v="24339"/>
    <n v="12"/>
    <m/>
    <n v="7106"/>
    <n v="6426"/>
    <n v="9758"/>
    <n v="8084"/>
    <n v="7002"/>
    <n v="5562"/>
    <n v="4080"/>
    <n v="3233"/>
    <n v="3960"/>
    <n v="1420"/>
    <m/>
    <n v="1230"/>
    <n v="2005"/>
    <n v="6082"/>
    <n v="28"/>
    <n v="928"/>
    <n v="145"/>
    <n v="46213"/>
    <n v="632"/>
    <n v="89"/>
    <n v="96"/>
    <n v="106"/>
    <m/>
    <m/>
    <m/>
    <n v="62"/>
    <n v="227"/>
    <n v="683"/>
    <m/>
    <n v="54736"/>
    <m/>
    <m/>
    <m/>
    <n v="12682"/>
    <n v="11130"/>
    <n v="2566"/>
    <n v="20676"/>
    <n v="9577"/>
    <n v="1387"/>
    <n v="187"/>
    <n v="1562"/>
    <n v="19"/>
    <n v="3533"/>
    <n v="690"/>
    <n v="3983"/>
    <n v="897"/>
    <n v="14479"/>
    <n v="2400"/>
    <n v="66"/>
    <n v="3986"/>
    <n v="1123"/>
    <n v="29"/>
    <n v="2626"/>
    <n v="5877"/>
    <n v="2335"/>
    <n v="11451"/>
    <n v="1"/>
    <m/>
    <n v="4766"/>
    <n v="399"/>
    <n v="359"/>
    <n v="34"/>
    <n v="481"/>
    <n v="26"/>
    <n v="226"/>
    <n v="560"/>
    <n v="41240"/>
    <n v="5741"/>
    <n v="365"/>
    <n v="1793"/>
    <n v="188"/>
    <n v="428"/>
    <n v="25"/>
    <m/>
    <n v="56631"/>
    <n v="936"/>
    <n v="53844"/>
    <n v="1851"/>
    <n v="5812"/>
    <n v="5338"/>
    <n v="5"/>
    <m/>
    <n v="347"/>
    <n v="713"/>
    <n v="745"/>
    <n v="1142"/>
    <n v="1575"/>
    <n v="1662"/>
    <n v="1951"/>
    <n v="2725"/>
    <n v="93"/>
    <n v="202"/>
    <m/>
    <n v="277"/>
    <n v="287"/>
    <n v="719"/>
    <n v="149"/>
    <n v="27"/>
    <n v="9690"/>
    <n v="6"/>
    <n v="346"/>
    <n v="107"/>
    <n v="422"/>
    <n v="1626"/>
    <n v="384"/>
    <n v="31"/>
    <n v="132"/>
    <n v="6760"/>
    <n v="1344"/>
    <n v="3"/>
    <n v="0"/>
    <n v="0"/>
    <n v="0"/>
    <n v="0"/>
    <n v="0"/>
    <n v="1510"/>
    <n v="5926"/>
    <n v="306"/>
    <n v="2429"/>
    <n v="984"/>
    <n v="124"/>
    <n v="138"/>
    <n v="1860"/>
    <n v="9"/>
    <n v="1877"/>
    <n v="373"/>
    <n v="572"/>
    <n v="1315"/>
    <n v="1998"/>
    <n v="203"/>
    <n v="284"/>
    <n v="275"/>
    <n v="5"/>
    <n v="112"/>
    <n v="1134"/>
    <n v="319"/>
    <n v="538"/>
    <m/>
    <n v="19"/>
    <m/>
    <n v="871"/>
    <n v="116"/>
    <n v="1221"/>
    <n v="59"/>
    <n v="46"/>
    <n v="592"/>
    <n v="37"/>
    <n v="7395"/>
    <n v="219"/>
    <n v="65"/>
    <n v="390"/>
    <n v="111"/>
    <n v="23"/>
    <n v="7"/>
    <n v="3"/>
    <m/>
    <n v="11155"/>
    <n v="278"/>
    <n v="10654"/>
    <n v="223"/>
    <n v="2011"/>
  </r>
  <r>
    <n v="106314024"/>
    <s v="314024"/>
    <x v="185"/>
    <s v="1600 EUREKA ROAD"/>
    <s v="ROSEVILLE"/>
    <n v="95661"/>
    <x v="0"/>
    <x v="0"/>
    <x v="11"/>
    <x v="2"/>
    <s v="121.1"/>
    <m/>
    <s v="02 - Golden Empire"/>
    <x v="29"/>
    <s v="General Acute Care"/>
    <s v="Non-Profit Corporation (incl. Church-related)"/>
    <s v="General Medical / Surgical"/>
    <n v="340"/>
    <x v="0"/>
    <n v="28563"/>
    <n v="22341"/>
    <n v="1"/>
    <m/>
    <n v="5098"/>
    <n v="5847"/>
    <n v="6472"/>
    <n v="5394"/>
    <n v="6110"/>
    <n v="5892"/>
    <n v="5395"/>
    <n v="4835"/>
    <n v="5041"/>
    <n v="821"/>
    <m/>
    <n v="2218"/>
    <n v="2128"/>
    <n v="4824"/>
    <n v="229"/>
    <n v="548"/>
    <n v="809"/>
    <n v="40149"/>
    <n v="85"/>
    <n v="268"/>
    <n v="2"/>
    <n v="73"/>
    <n v="181"/>
    <n v="33"/>
    <n v="44"/>
    <n v="3"/>
    <n v="6"/>
    <n v="480"/>
    <n v="17"/>
    <n v="49216"/>
    <n v="392"/>
    <n v="100"/>
    <n v="5"/>
    <n v="3931"/>
    <n v="12690"/>
    <n v="189"/>
    <n v="29905"/>
    <n v="4190"/>
    <n v="800"/>
    <n v="251"/>
    <n v="1986"/>
    <n v="12"/>
    <n v="2572"/>
    <n v="743"/>
    <n v="2603"/>
    <n v="774"/>
    <n v="13078"/>
    <n v="3446"/>
    <n v="99"/>
    <n v="2840"/>
    <n v="986"/>
    <n v="66"/>
    <n v="1683"/>
    <n v="3720"/>
    <n v="1968"/>
    <n v="13278"/>
    <m/>
    <m/>
    <n v="4384"/>
    <n v="201"/>
    <n v="547"/>
    <n v="26"/>
    <n v="251"/>
    <n v="65"/>
    <n v="347"/>
    <n v="563"/>
    <n v="36492"/>
    <n v="6239"/>
    <n v="344"/>
    <n v="948"/>
    <n v="136"/>
    <n v="327"/>
    <n v="35"/>
    <m/>
    <n v="50905"/>
    <n v="534"/>
    <n v="49539"/>
    <n v="832"/>
    <n v="4857"/>
    <n v="4304"/>
    <m/>
    <m/>
    <n v="294"/>
    <n v="280"/>
    <n v="380"/>
    <n v="610"/>
    <n v="1079"/>
    <n v="1668"/>
    <n v="1997"/>
    <n v="2492"/>
    <n v="123"/>
    <n v="238"/>
    <m/>
    <n v="384"/>
    <n v="293"/>
    <n v="645"/>
    <n v="66"/>
    <n v="22"/>
    <n v="7701"/>
    <n v="50"/>
    <n v="219"/>
    <n v="41"/>
    <n v="444"/>
    <n v="1337"/>
    <n v="71"/>
    <n v="2"/>
    <n v="180"/>
    <n v="5461"/>
    <n v="1405"/>
    <n v="1"/>
    <n v="0"/>
    <n v="0"/>
    <n v="0"/>
    <n v="0"/>
    <n v="0"/>
    <n v="268"/>
    <n v="5451"/>
    <n v="41"/>
    <n v="3212"/>
    <n v="189"/>
    <n v="101"/>
    <n v="131"/>
    <n v="1864"/>
    <n v="11"/>
    <n v="1598"/>
    <n v="329"/>
    <n v="377"/>
    <n v="1691"/>
    <n v="966"/>
    <n v="140"/>
    <n v="273"/>
    <n v="167"/>
    <n v="11"/>
    <n v="91"/>
    <n v="884"/>
    <n v="152"/>
    <n v="356"/>
    <m/>
    <n v="19"/>
    <m/>
    <n v="562"/>
    <n v="55"/>
    <n v="977"/>
    <n v="5"/>
    <n v="20"/>
    <n v="709"/>
    <n v="26"/>
    <n v="6599"/>
    <n v="110"/>
    <n v="9"/>
    <n v="26"/>
    <n v="45"/>
    <n v="11"/>
    <n v="5"/>
    <n v="2"/>
    <m/>
    <n v="9161"/>
    <n v="101"/>
    <n v="8986"/>
    <n v="74"/>
    <n v="2011"/>
  </r>
  <r>
    <n v="106320859"/>
    <s v="320859"/>
    <x v="186"/>
    <s v="500 1ST STREET"/>
    <s v="PORTOLA"/>
    <n v="96122"/>
    <x v="0"/>
    <x v="0"/>
    <x v="5"/>
    <x v="2"/>
    <s v="124"/>
    <m/>
    <s v="01 - Northern California"/>
    <x v="30"/>
    <s v="General Acute Care"/>
    <s v="District"/>
    <s v="General Medical / Surgical"/>
    <n v="9"/>
    <x v="0"/>
    <n v="1593"/>
    <n v="1208"/>
    <m/>
    <m/>
    <n v="239"/>
    <n v="242"/>
    <n v="280"/>
    <n v="273"/>
    <n v="280"/>
    <n v="470"/>
    <n v="324"/>
    <n v="348"/>
    <n v="302"/>
    <n v="43"/>
    <m/>
    <n v="8"/>
    <n v="13"/>
    <n v="158"/>
    <n v="17"/>
    <n v="29"/>
    <n v="4"/>
    <n v="2572"/>
    <n v="258"/>
    <n v="31"/>
    <m/>
    <n v="3"/>
    <m/>
    <m/>
    <m/>
    <m/>
    <m/>
    <m/>
    <n v="2"/>
    <n v="2308"/>
    <n v="9"/>
    <m/>
    <n v="190"/>
    <n v="794"/>
    <n v="1069"/>
    <n v="74"/>
    <n v="787"/>
    <n v="77"/>
    <n v="39"/>
    <n v="7"/>
    <n v="118"/>
    <m/>
    <n v="219"/>
    <n v="69"/>
    <n v="121"/>
    <n v="62"/>
    <n v="742"/>
    <n v="152"/>
    <n v="3"/>
    <n v="214"/>
    <n v="41"/>
    <m/>
    <n v="78"/>
    <n v="294"/>
    <n v="75"/>
    <n v="567"/>
    <m/>
    <m/>
    <n v="281"/>
    <n v="16"/>
    <n v="57"/>
    <n v="7"/>
    <n v="18"/>
    <n v="8"/>
    <n v="53"/>
    <n v="61"/>
    <n v="1901"/>
    <n v="293"/>
    <n v="21"/>
    <n v="32"/>
    <n v="16"/>
    <n v="29"/>
    <n v="8"/>
    <m/>
    <n v="2801"/>
    <n v="5"/>
    <n v="2757"/>
    <n v="39"/>
    <n v="206"/>
    <n v="171"/>
    <m/>
    <m/>
    <n v="6"/>
    <n v="7"/>
    <n v="20"/>
    <n v="34"/>
    <n v="97"/>
    <n v="48"/>
    <n v="74"/>
    <n v="87"/>
    <n v="1"/>
    <n v="3"/>
    <m/>
    <m/>
    <n v="1"/>
    <n v="14"/>
    <m/>
    <m/>
    <n v="360"/>
    <n v="2"/>
    <n v="14"/>
    <n v="2"/>
    <n v="2"/>
    <n v="10"/>
    <n v="2"/>
    <m/>
    <m/>
    <n v="291"/>
    <n v="56"/>
    <m/>
    <n v="0"/>
    <n v="0"/>
    <n v="0"/>
    <n v="0"/>
    <n v="0"/>
    <n v="64"/>
    <n v="239"/>
    <n v="2"/>
    <n v="33"/>
    <n v="39"/>
    <n v="1"/>
    <n v="2"/>
    <n v="46"/>
    <m/>
    <n v="46"/>
    <n v="29"/>
    <n v="18"/>
    <n v="10"/>
    <n v="29"/>
    <n v="7"/>
    <n v="2"/>
    <n v="19"/>
    <m/>
    <n v="18"/>
    <n v="82"/>
    <n v="17"/>
    <n v="51"/>
    <m/>
    <m/>
    <m/>
    <n v="6"/>
    <n v="5"/>
    <n v="31"/>
    <n v="1"/>
    <n v="3"/>
    <n v="9"/>
    <n v="1"/>
    <n v="314"/>
    <n v="2"/>
    <m/>
    <m/>
    <n v="5"/>
    <m/>
    <m/>
    <m/>
    <m/>
    <n v="377"/>
    <m/>
    <n v="374"/>
    <n v="3"/>
    <n v="2011"/>
  </r>
  <r>
    <n v="106320986"/>
    <s v="320986"/>
    <x v="187"/>
    <s v="1065 BUCKS LAKE ROAD"/>
    <s v="QUINCY"/>
    <n v="95971"/>
    <x v="0"/>
    <x v="0"/>
    <x v="5"/>
    <x v="2"/>
    <s v="123.1"/>
    <m/>
    <s v="01 - Northern California"/>
    <x v="30"/>
    <s v="General Acute Care"/>
    <s v="District"/>
    <s v="General Medical / Surgical"/>
    <n v="25"/>
    <x v="2"/>
    <n v="2138"/>
    <n v="1803"/>
    <m/>
    <m/>
    <n v="307"/>
    <n v="427"/>
    <n v="558"/>
    <n v="447"/>
    <n v="479"/>
    <n v="555"/>
    <n v="454"/>
    <n v="336"/>
    <n v="304"/>
    <n v="74"/>
    <m/>
    <n v="21"/>
    <n v="92"/>
    <n v="113"/>
    <n v="88"/>
    <n v="113"/>
    <m/>
    <n v="3514"/>
    <n v="188"/>
    <n v="20"/>
    <n v="71"/>
    <n v="16"/>
    <n v="13"/>
    <m/>
    <m/>
    <m/>
    <m/>
    <m/>
    <m/>
    <n v="3554"/>
    <n v="79"/>
    <m/>
    <m/>
    <n v="824"/>
    <n v="1144"/>
    <n v="178"/>
    <n v="1383"/>
    <n v="412"/>
    <n v="73"/>
    <n v="12"/>
    <n v="218"/>
    <n v="4"/>
    <n v="277"/>
    <n v="77"/>
    <n v="199"/>
    <n v="86"/>
    <n v="1192"/>
    <n v="242"/>
    <n v="18"/>
    <n v="167"/>
    <n v="103"/>
    <n v="9"/>
    <n v="149"/>
    <n v="374"/>
    <n v="146"/>
    <n v="595"/>
    <m/>
    <m/>
    <n v="314"/>
    <n v="16"/>
    <n v="48"/>
    <n v="3"/>
    <n v="44"/>
    <n v="15"/>
    <n v="38"/>
    <n v="103"/>
    <n v="2630"/>
    <n v="538"/>
    <n v="51"/>
    <n v="90"/>
    <n v="10"/>
    <n v="31"/>
    <n v="10"/>
    <m/>
    <n v="3941"/>
    <n v="4"/>
    <n v="3917"/>
    <n v="20"/>
    <n v="153"/>
    <n v="103"/>
    <m/>
    <m/>
    <n v="4"/>
    <n v="9"/>
    <n v="22"/>
    <n v="21"/>
    <n v="42"/>
    <n v="42"/>
    <n v="39"/>
    <n v="73"/>
    <n v="2"/>
    <n v="2"/>
    <m/>
    <n v="2"/>
    <n v="12"/>
    <n v="4"/>
    <n v="3"/>
    <m/>
    <n v="228"/>
    <n v="7"/>
    <m/>
    <n v="2"/>
    <n v="8"/>
    <n v="1"/>
    <n v="14"/>
    <m/>
    <m/>
    <n v="178"/>
    <n v="53"/>
    <m/>
    <n v="0"/>
    <n v="0"/>
    <n v="0"/>
    <n v="0"/>
    <n v="0"/>
    <n v="40"/>
    <n v="156"/>
    <n v="2"/>
    <n v="45"/>
    <n v="13"/>
    <n v="3"/>
    <n v="3"/>
    <n v="31"/>
    <n v="1"/>
    <n v="60"/>
    <n v="9"/>
    <n v="16"/>
    <n v="6"/>
    <n v="26"/>
    <n v="6"/>
    <n v="9"/>
    <n v="3"/>
    <m/>
    <n v="6"/>
    <n v="62"/>
    <n v="12"/>
    <n v="3"/>
    <m/>
    <m/>
    <m/>
    <n v="20"/>
    <n v="2"/>
    <n v="3"/>
    <m/>
    <m/>
    <n v="8"/>
    <n v="1"/>
    <n v="212"/>
    <n v="5"/>
    <n v="1"/>
    <n v="3"/>
    <m/>
    <m/>
    <n v="1"/>
    <m/>
    <m/>
    <n v="256"/>
    <m/>
    <n v="255"/>
    <n v="1"/>
    <n v="2011"/>
  </r>
  <r>
    <n v="106321016"/>
    <s v="321016"/>
    <x v="188"/>
    <s v="130 BRENTWOOD DRIVE"/>
    <s v="CHESTER"/>
    <n v="96020"/>
    <x v="3"/>
    <x v="0"/>
    <x v="5"/>
    <x v="2"/>
    <s v="125"/>
    <m/>
    <s v="01 - Northern California"/>
    <x v="30"/>
    <s v="General Acute Care"/>
    <s v="District"/>
    <s v="General Medical / Surgical"/>
    <n v="10"/>
    <x v="2"/>
    <n v="1619"/>
    <n v="1299"/>
    <m/>
    <m/>
    <n v="323"/>
    <n v="309"/>
    <n v="367"/>
    <n v="295"/>
    <n v="361"/>
    <n v="326"/>
    <n v="339"/>
    <n v="268"/>
    <n v="287"/>
    <n v="43"/>
    <m/>
    <n v="21"/>
    <n v="12"/>
    <n v="50"/>
    <n v="33"/>
    <m/>
    <n v="45"/>
    <n v="2757"/>
    <n v="134"/>
    <n v="5"/>
    <n v="8"/>
    <n v="4"/>
    <m/>
    <m/>
    <m/>
    <n v="15"/>
    <m/>
    <m/>
    <n v="17"/>
    <n v="2596"/>
    <m/>
    <m/>
    <n v="139"/>
    <n v="720"/>
    <n v="728"/>
    <n v="108"/>
    <n v="921"/>
    <n v="441"/>
    <n v="15"/>
    <n v="2"/>
    <n v="120"/>
    <n v="1"/>
    <n v="228"/>
    <n v="60"/>
    <n v="135"/>
    <n v="73"/>
    <n v="875"/>
    <n v="136"/>
    <n v="3"/>
    <n v="237"/>
    <n v="67"/>
    <n v="4"/>
    <n v="91"/>
    <n v="331"/>
    <n v="111"/>
    <n v="429"/>
    <m/>
    <m/>
    <n v="306"/>
    <n v="13"/>
    <n v="56"/>
    <n v="5"/>
    <n v="19"/>
    <n v="3"/>
    <m/>
    <n v="78"/>
    <n v="1862"/>
    <n v="445"/>
    <n v="43"/>
    <n v="54"/>
    <n v="4"/>
    <n v="25"/>
    <n v="5"/>
    <m/>
    <n v="2918"/>
    <n v="10"/>
    <n v="2899"/>
    <n v="9"/>
    <n v="93"/>
    <n v="80"/>
    <m/>
    <m/>
    <n v="2"/>
    <n v="5"/>
    <n v="16"/>
    <n v="14"/>
    <n v="19"/>
    <n v="21"/>
    <n v="29"/>
    <n v="67"/>
    <m/>
    <m/>
    <m/>
    <n v="1"/>
    <m/>
    <n v="172"/>
    <m/>
    <m/>
    <m/>
    <m/>
    <n v="11"/>
    <n v="1"/>
    <n v="2"/>
    <n v="3"/>
    <n v="5"/>
    <m/>
    <m/>
    <n v="139"/>
    <n v="12"/>
    <m/>
    <n v="0"/>
    <n v="0"/>
    <n v="0"/>
    <n v="0"/>
    <n v="0"/>
    <n v="25"/>
    <n v="124"/>
    <m/>
    <n v="20"/>
    <n v="4"/>
    <m/>
    <n v="3"/>
    <n v="21"/>
    <m/>
    <n v="25"/>
    <n v="8"/>
    <n v="27"/>
    <n v="11"/>
    <n v="8"/>
    <n v="1"/>
    <n v="1"/>
    <n v="3"/>
    <n v="2"/>
    <n v="2"/>
    <n v="44"/>
    <n v="6"/>
    <n v="11"/>
    <m/>
    <m/>
    <m/>
    <n v="10"/>
    <n v="2"/>
    <n v="19"/>
    <m/>
    <n v="2"/>
    <m/>
    <n v="2"/>
    <n v="133"/>
    <n v="4"/>
    <m/>
    <n v="1"/>
    <m/>
    <m/>
    <m/>
    <m/>
    <m/>
    <n v="173"/>
    <n v="5"/>
    <n v="168"/>
    <m/>
    <n v="2011"/>
  </r>
  <r>
    <n v="106331152"/>
    <s v="331152"/>
    <x v="189"/>
    <s v="800 SOUTH MAIN STREET"/>
    <s v="CORONA"/>
    <n v="92882"/>
    <x v="0"/>
    <x v="0"/>
    <x v="50"/>
    <x v="30"/>
    <s v="135d"/>
    <m/>
    <s v="12 - Inland Counties"/>
    <x v="31"/>
    <s v="General Acute Care"/>
    <s v="Investor - Corporation"/>
    <s v="General Medical / Surgical"/>
    <n v="160"/>
    <x v="0"/>
    <n v="20152"/>
    <n v="15906"/>
    <m/>
    <m/>
    <n v="6604"/>
    <n v="4826"/>
    <n v="6043"/>
    <n v="4741"/>
    <n v="4488"/>
    <n v="3008"/>
    <n v="2048"/>
    <n v="1559"/>
    <n v="1428"/>
    <n v="1312"/>
    <n v="1"/>
    <n v="1031"/>
    <n v="2525"/>
    <n v="14824"/>
    <n v="51"/>
    <n v="3085"/>
    <n v="277"/>
    <n v="14265"/>
    <n v="441"/>
    <n v="517"/>
    <n v="33"/>
    <n v="88"/>
    <m/>
    <n v="4"/>
    <n v="4"/>
    <n v="1"/>
    <n v="111"/>
    <n v="213"/>
    <m/>
    <n v="34336"/>
    <n v="189"/>
    <n v="121"/>
    <m/>
    <n v="12784"/>
    <n v="3407"/>
    <n v="925"/>
    <n v="11356"/>
    <n v="7586"/>
    <n v="1324"/>
    <n v="141"/>
    <n v="843"/>
    <n v="11"/>
    <n v="2280"/>
    <n v="397"/>
    <n v="2339"/>
    <n v="706"/>
    <n v="8589"/>
    <n v="1907"/>
    <n v="68"/>
    <n v="2333"/>
    <n v="1183"/>
    <n v="56"/>
    <n v="1112"/>
    <n v="4534"/>
    <n v="1494"/>
    <n v="6739"/>
    <n v="2"/>
    <m/>
    <n v="2853"/>
    <n v="114"/>
    <n v="316"/>
    <n v="22"/>
    <n v="373"/>
    <n v="18"/>
    <n v="144"/>
    <n v="440"/>
    <n v="26767"/>
    <n v="3351"/>
    <n v="203"/>
    <n v="981"/>
    <n v="161"/>
    <n v="268"/>
    <n v="47"/>
    <m/>
    <n v="36058"/>
    <n v="546"/>
    <n v="31116"/>
    <n v="4396"/>
    <n v="3330"/>
    <n v="2503"/>
    <m/>
    <m/>
    <n v="158"/>
    <n v="314"/>
    <n v="440"/>
    <n v="683"/>
    <n v="797"/>
    <n v="1016"/>
    <n v="964"/>
    <n v="1253"/>
    <n v="75"/>
    <n v="133"/>
    <m/>
    <n v="234"/>
    <n v="415"/>
    <n v="1791"/>
    <n v="357"/>
    <n v="52"/>
    <n v="2967"/>
    <n v="17"/>
    <n v="272"/>
    <n v="127"/>
    <n v="157"/>
    <n v="345"/>
    <n v="172"/>
    <n v="3"/>
    <n v="3"/>
    <n v="3945"/>
    <n v="760"/>
    <n v="49"/>
    <n v="0"/>
    <n v="0"/>
    <n v="0"/>
    <n v="0"/>
    <n v="0"/>
    <n v="1094"/>
    <n v="3056"/>
    <n v="132"/>
    <n v="1163"/>
    <n v="388"/>
    <n v="105"/>
    <n v="129"/>
    <n v="1076"/>
    <n v="4"/>
    <n v="1062"/>
    <n v="277"/>
    <n v="307"/>
    <n v="429"/>
    <n v="395"/>
    <n v="80"/>
    <n v="108"/>
    <n v="142"/>
    <n v="7"/>
    <n v="80"/>
    <n v="748"/>
    <n v="138"/>
    <n v="728"/>
    <n v="1"/>
    <n v="17"/>
    <m/>
    <n v="261"/>
    <n v="18"/>
    <n v="236"/>
    <n v="3"/>
    <n v="18"/>
    <n v="165"/>
    <n v="14"/>
    <n v="5011"/>
    <n v="43"/>
    <n v="3"/>
    <n v="15"/>
    <n v="36"/>
    <n v="6"/>
    <n v="3"/>
    <n v="1"/>
    <m/>
    <n v="5833"/>
    <n v="261"/>
    <n v="4825"/>
    <n v="747"/>
    <n v="2011"/>
  </r>
  <r>
    <n v="106331164"/>
    <s v="331164"/>
    <x v="190"/>
    <s v="1150 NORTH INDIAN CANYON DRIVE"/>
    <s v="PALM SPRINGS"/>
    <n v="92262"/>
    <x v="2"/>
    <x v="0"/>
    <x v="15"/>
    <x v="30"/>
    <s v="129.4"/>
    <m/>
    <s v="12 - Inland Counties"/>
    <x v="31"/>
    <s v="General Acute Care"/>
    <s v="Investor - Corporation"/>
    <s v="General Medical / Surgical"/>
    <n v="353"/>
    <x v="3"/>
    <n v="26289"/>
    <n v="24595"/>
    <n v="7"/>
    <m/>
    <n v="7709"/>
    <n v="5143"/>
    <n v="7774"/>
    <n v="6151"/>
    <n v="6504"/>
    <n v="6167"/>
    <n v="3985"/>
    <n v="2961"/>
    <n v="2420"/>
    <n v="2077"/>
    <m/>
    <n v="660"/>
    <n v="3971"/>
    <n v="20054"/>
    <n v="119"/>
    <n v="1029"/>
    <n v="490"/>
    <n v="24568"/>
    <n v="343"/>
    <n v="680"/>
    <n v="4"/>
    <n v="106"/>
    <m/>
    <n v="24"/>
    <n v="2"/>
    <n v="19"/>
    <m/>
    <n v="954"/>
    <m/>
    <n v="48390"/>
    <n v="368"/>
    <m/>
    <n v="1"/>
    <n v="7386"/>
    <n v="8955"/>
    <n v="5009"/>
    <n v="23873"/>
    <n v="5668"/>
    <n v="1700"/>
    <n v="194"/>
    <n v="1135"/>
    <n v="22"/>
    <n v="2960"/>
    <n v="651"/>
    <n v="3120"/>
    <n v="1133"/>
    <n v="10406"/>
    <n v="2538"/>
    <n v="79"/>
    <n v="2471"/>
    <n v="4170"/>
    <n v="207"/>
    <n v="1547"/>
    <n v="6280"/>
    <n v="1937"/>
    <n v="10337"/>
    <n v="3"/>
    <n v="1"/>
    <n v="3444"/>
    <n v="140"/>
    <n v="555"/>
    <n v="31"/>
    <n v="594"/>
    <n v="15"/>
    <n v="343"/>
    <n v="529"/>
    <n v="38970"/>
    <n v="4010"/>
    <n v="219"/>
    <n v="1572"/>
    <n v="150"/>
    <n v="241"/>
    <n v="77"/>
    <n v="1"/>
    <n v="50891"/>
    <n v="203"/>
    <n v="46429"/>
    <n v="4259"/>
    <n v="4048"/>
    <n v="4964"/>
    <m/>
    <m/>
    <n v="214"/>
    <n v="484"/>
    <n v="524"/>
    <n v="948"/>
    <n v="1508"/>
    <n v="1642"/>
    <n v="1611"/>
    <n v="1762"/>
    <n v="146"/>
    <n v="173"/>
    <m/>
    <n v="184"/>
    <n v="478"/>
    <n v="2065"/>
    <n v="151"/>
    <n v="39"/>
    <n v="6063"/>
    <n v="32"/>
    <n v="102"/>
    <n v="180"/>
    <n v="336"/>
    <n v="412"/>
    <n v="172"/>
    <n v="142"/>
    <n v="42"/>
    <n v="5814"/>
    <n v="1805"/>
    <n v="7"/>
    <n v="0"/>
    <n v="0"/>
    <n v="0"/>
    <n v="0"/>
    <n v="0"/>
    <n v="1615"/>
    <n v="4603"/>
    <n v="284"/>
    <n v="1756"/>
    <n v="754"/>
    <n v="65"/>
    <n v="166"/>
    <n v="1886"/>
    <n v="4"/>
    <n v="1352"/>
    <n v="334"/>
    <n v="446"/>
    <n v="428"/>
    <n v="1473"/>
    <n v="133"/>
    <n v="215"/>
    <n v="199"/>
    <n v="16"/>
    <n v="87"/>
    <n v="1009"/>
    <n v="201"/>
    <n v="955"/>
    <m/>
    <n v="43"/>
    <m/>
    <n v="577"/>
    <n v="80"/>
    <n v="594"/>
    <n v="79"/>
    <n v="35"/>
    <n v="457"/>
    <n v="29"/>
    <n v="6501"/>
    <n v="119"/>
    <n v="30"/>
    <n v="404"/>
    <n v="63"/>
    <n v="24"/>
    <n v="19"/>
    <n v="1"/>
    <m/>
    <n v="9012"/>
    <n v="49"/>
    <n v="8395"/>
    <n v="568"/>
    <n v="2011"/>
  </r>
  <r>
    <n v="106331168"/>
    <s v="331168"/>
    <x v="191"/>
    <s v="39-000 BOB HOPE DRIVE"/>
    <s v="RANCHO MIRAGE"/>
    <n v="92270"/>
    <x v="0"/>
    <x v="0"/>
    <x v="54"/>
    <x v="30"/>
    <s v="129.1"/>
    <m/>
    <s v="12 - Inland Counties"/>
    <x v="31"/>
    <s v="General Acute Care"/>
    <s v="Non-Profit Corporation (incl. Church-related)"/>
    <s v="General Medical / Surgical"/>
    <n v="542"/>
    <x v="0"/>
    <n v="27445"/>
    <n v="22180"/>
    <m/>
    <m/>
    <n v="6228"/>
    <n v="4156"/>
    <n v="5622"/>
    <n v="4750"/>
    <n v="4804"/>
    <n v="5031"/>
    <n v="5297"/>
    <n v="5817"/>
    <n v="6499"/>
    <n v="1421"/>
    <m/>
    <n v="413"/>
    <n v="1215"/>
    <n v="15956"/>
    <n v="124"/>
    <n v="1236"/>
    <n v="254"/>
    <n v="30427"/>
    <n v="248"/>
    <n v="287"/>
    <n v="56"/>
    <n v="88"/>
    <n v="10"/>
    <n v="15"/>
    <m/>
    <m/>
    <m/>
    <n v="191"/>
    <n v="84"/>
    <n v="48459"/>
    <n v="187"/>
    <m/>
    <m/>
    <n v="12423"/>
    <n v="15187"/>
    <n v="1649"/>
    <n v="13699"/>
    <n v="6667"/>
    <n v="707"/>
    <n v="170"/>
    <n v="1780"/>
    <n v="5"/>
    <n v="2569"/>
    <n v="551"/>
    <n v="2846"/>
    <n v="688"/>
    <n v="10572"/>
    <n v="3077"/>
    <n v="89"/>
    <n v="2989"/>
    <n v="1005"/>
    <n v="25"/>
    <n v="1139"/>
    <n v="5301"/>
    <n v="1661"/>
    <n v="14451"/>
    <m/>
    <m/>
    <n v="4277"/>
    <n v="98"/>
    <n v="519"/>
    <n v="19"/>
    <n v="269"/>
    <n v="3"/>
    <n v="158"/>
    <n v="663"/>
    <n v="37959"/>
    <n v="4202"/>
    <n v="190"/>
    <n v="894"/>
    <n v="58"/>
    <n v="290"/>
    <n v="26"/>
    <m/>
    <n v="49625"/>
    <n v="63"/>
    <n v="45065"/>
    <n v="4497"/>
    <n v="6249"/>
    <n v="6591"/>
    <m/>
    <m/>
    <n v="148"/>
    <n v="390"/>
    <n v="477"/>
    <n v="800"/>
    <n v="1365"/>
    <n v="2119"/>
    <n v="3082"/>
    <n v="4312"/>
    <n v="30"/>
    <n v="117"/>
    <m/>
    <n v="117"/>
    <n v="201"/>
    <n v="1994"/>
    <n v="177"/>
    <n v="21"/>
    <n v="10307"/>
    <n v="23"/>
    <n v="190"/>
    <n v="110"/>
    <n v="358"/>
    <n v="1001"/>
    <n v="227"/>
    <m/>
    <n v="77"/>
    <n v="8485"/>
    <n v="2388"/>
    <n v="4"/>
    <n v="0"/>
    <n v="0"/>
    <n v="0"/>
    <n v="0"/>
    <n v="0"/>
    <n v="1144"/>
    <n v="8311"/>
    <n v="129"/>
    <n v="2684"/>
    <n v="572"/>
    <n v="35"/>
    <n v="160"/>
    <n v="3043"/>
    <n v="6"/>
    <n v="2217"/>
    <n v="540"/>
    <n v="692"/>
    <n v="827"/>
    <n v="1280"/>
    <n v="298"/>
    <n v="430"/>
    <n v="361"/>
    <n v="6"/>
    <n v="177"/>
    <n v="1297"/>
    <n v="301"/>
    <n v="1168"/>
    <m/>
    <n v="2"/>
    <m/>
    <n v="844"/>
    <n v="57"/>
    <n v="1216"/>
    <n v="7"/>
    <n v="27"/>
    <n v="364"/>
    <n v="27"/>
    <n v="10043"/>
    <n v="119"/>
    <n v="9"/>
    <n v="26"/>
    <n v="44"/>
    <n v="33"/>
    <n v="24"/>
    <m/>
    <m/>
    <n v="12840"/>
    <n v="41"/>
    <n v="11933"/>
    <n v="866"/>
    <n v="2011"/>
  </r>
  <r>
    <n v="106331194"/>
    <s v="331194"/>
    <x v="192"/>
    <s v="1117 EAST DEVONSHIRE"/>
    <s v="HEMET"/>
    <n v="92543"/>
    <x v="0"/>
    <x v="0"/>
    <x v="55"/>
    <x v="30"/>
    <s v="132"/>
    <m/>
    <s v="12 - Inland Counties"/>
    <x v="31"/>
    <s v="General Acute Care"/>
    <s v="Investor - Limited Liability Company"/>
    <s v="General Medical / Surgical"/>
    <n v="304"/>
    <x v="0"/>
    <n v="21831"/>
    <n v="16393"/>
    <m/>
    <m/>
    <n v="5229"/>
    <n v="4366"/>
    <n v="5843"/>
    <n v="4481"/>
    <n v="4546"/>
    <n v="3948"/>
    <n v="2843"/>
    <n v="2478"/>
    <n v="3240"/>
    <n v="1250"/>
    <m/>
    <n v="272"/>
    <n v="4017"/>
    <n v="10482"/>
    <n v="129"/>
    <n v="213"/>
    <n v="62"/>
    <n v="23049"/>
    <n v="729"/>
    <n v="455"/>
    <n v="15"/>
    <n v="141"/>
    <n v="44"/>
    <n v="33"/>
    <m/>
    <n v="146"/>
    <m/>
    <n v="497"/>
    <m/>
    <n v="35853"/>
    <n v="311"/>
    <m/>
    <m/>
    <n v="15624"/>
    <n v="9208"/>
    <n v="1303"/>
    <n v="5111"/>
    <n v="6978"/>
    <n v="1028"/>
    <n v="113"/>
    <n v="1469"/>
    <n v="5"/>
    <n v="2666"/>
    <n v="767"/>
    <n v="2227"/>
    <n v="849"/>
    <n v="9216"/>
    <n v="1737"/>
    <n v="68"/>
    <n v="3184"/>
    <n v="1162"/>
    <n v="70"/>
    <n v="1541"/>
    <n v="4714"/>
    <n v="1661"/>
    <n v="5746"/>
    <n v="1"/>
    <m/>
    <n v="2847"/>
    <n v="250"/>
    <n v="449"/>
    <n v="22"/>
    <n v="520"/>
    <n v="13"/>
    <n v="216"/>
    <n v="507"/>
    <n v="28021"/>
    <n v="4033"/>
    <n v="226"/>
    <n v="750"/>
    <n v="149"/>
    <n v="190"/>
    <n v="31"/>
    <m/>
    <n v="38224"/>
    <n v="15"/>
    <n v="36749"/>
    <n v="1460"/>
    <n v="4372"/>
    <n v="3420"/>
    <m/>
    <m/>
    <n v="102"/>
    <n v="236"/>
    <n v="325"/>
    <n v="664"/>
    <n v="1052"/>
    <n v="1318"/>
    <n v="1596"/>
    <n v="2421"/>
    <n v="35"/>
    <n v="43"/>
    <m/>
    <n v="81"/>
    <n v="436"/>
    <n v="1303"/>
    <n v="27"/>
    <n v="11"/>
    <n v="5911"/>
    <n v="23"/>
    <n v="465"/>
    <n v="242"/>
    <n v="323"/>
    <n v="960"/>
    <n v="50"/>
    <n v="4"/>
    <n v="75"/>
    <n v="4022"/>
    <n v="1651"/>
    <m/>
    <n v="0"/>
    <n v="0"/>
    <n v="0"/>
    <n v="0"/>
    <n v="0"/>
    <n v="1089"/>
    <n v="5556"/>
    <n v="101"/>
    <n v="570"/>
    <n v="476"/>
    <n v="95"/>
    <n v="143"/>
    <n v="1871"/>
    <m/>
    <n v="1127"/>
    <n v="369"/>
    <n v="438"/>
    <n v="640"/>
    <n v="793"/>
    <n v="99"/>
    <n v="181"/>
    <n v="157"/>
    <n v="7"/>
    <n v="95"/>
    <n v="1163"/>
    <n v="161"/>
    <n v="445"/>
    <n v="2"/>
    <n v="6"/>
    <m/>
    <n v="556"/>
    <n v="75"/>
    <n v="430"/>
    <n v="14"/>
    <n v="17"/>
    <n v="240"/>
    <n v="21"/>
    <n v="6186"/>
    <n v="132"/>
    <n v="8"/>
    <n v="24"/>
    <n v="53"/>
    <n v="15"/>
    <n v="18"/>
    <n v="3"/>
    <m/>
    <n v="7792"/>
    <n v="17"/>
    <n v="7410"/>
    <n v="365"/>
    <n v="2011"/>
  </r>
  <r>
    <n v="106331216"/>
    <s v="331216"/>
    <x v="193"/>
    <s v="47-111 MONROE STREET"/>
    <s v="INDIO"/>
    <n v="92201"/>
    <x v="0"/>
    <x v="0"/>
    <x v="15"/>
    <x v="8"/>
    <s v="128"/>
    <m/>
    <s v="12 - Inland Counties"/>
    <x v="31"/>
    <s v="General Acute Care"/>
    <s v="Investor - Corporation"/>
    <s v="General Medical / Surgical"/>
    <n v="156"/>
    <x v="0"/>
    <n v="16721"/>
    <n v="15792"/>
    <m/>
    <m/>
    <n v="6882"/>
    <n v="4155"/>
    <n v="5095"/>
    <n v="3902"/>
    <n v="3490"/>
    <n v="2940"/>
    <n v="1986"/>
    <n v="1299"/>
    <n v="960"/>
    <n v="1804"/>
    <m/>
    <n v="176"/>
    <n v="929"/>
    <n v="22936"/>
    <n v="34"/>
    <n v="44"/>
    <n v="150"/>
    <n v="8244"/>
    <n v="405"/>
    <n v="3377"/>
    <n v="3"/>
    <n v="71"/>
    <m/>
    <n v="6"/>
    <m/>
    <n v="3"/>
    <m/>
    <n v="598"/>
    <m/>
    <n v="27862"/>
    <n v="187"/>
    <m/>
    <n v="1"/>
    <n v="3771"/>
    <n v="3971"/>
    <n v="1018"/>
    <n v="15952"/>
    <n v="7801"/>
    <n v="1099"/>
    <n v="53"/>
    <n v="780"/>
    <n v="3"/>
    <n v="1787"/>
    <n v="510"/>
    <n v="1511"/>
    <n v="841"/>
    <n v="7321"/>
    <n v="1331"/>
    <n v="32"/>
    <n v="2127"/>
    <n v="1461"/>
    <n v="123"/>
    <n v="1498"/>
    <n v="4210"/>
    <n v="1165"/>
    <n v="6661"/>
    <m/>
    <m/>
    <n v="2164"/>
    <n v="102"/>
    <n v="196"/>
    <n v="12"/>
    <n v="693"/>
    <n v="22"/>
    <n v="154"/>
    <n v="656"/>
    <n v="24079"/>
    <n v="3007"/>
    <n v="149"/>
    <n v="721"/>
    <n v="185"/>
    <n v="252"/>
    <n v="121"/>
    <m/>
    <n v="32513"/>
    <n v="51"/>
    <n v="25283"/>
    <n v="7179"/>
    <n v="2106"/>
    <n v="2097"/>
    <m/>
    <m/>
    <n v="168"/>
    <n v="236"/>
    <n v="247"/>
    <n v="378"/>
    <n v="522"/>
    <n v="616"/>
    <n v="659"/>
    <n v="700"/>
    <n v="331"/>
    <n v="346"/>
    <m/>
    <n v="20"/>
    <n v="106"/>
    <n v="2596"/>
    <n v="5"/>
    <n v="11"/>
    <n v="1456"/>
    <n v="9"/>
    <n v="118"/>
    <n v="99"/>
    <n v="96"/>
    <n v="193"/>
    <n v="52"/>
    <n v="46"/>
    <n v="2"/>
    <n v="2988"/>
    <n v="608"/>
    <n v="1"/>
    <n v="0"/>
    <n v="0"/>
    <n v="0"/>
    <n v="0"/>
    <n v="0"/>
    <n v="1310"/>
    <n v="1555"/>
    <n v="38"/>
    <n v="976"/>
    <n v="324"/>
    <n v="127"/>
    <n v="73"/>
    <n v="622"/>
    <n v="3"/>
    <n v="710"/>
    <n v="267"/>
    <n v="198"/>
    <n v="269"/>
    <n v="387"/>
    <n v="32"/>
    <n v="42"/>
    <n v="100"/>
    <n v="3"/>
    <n v="37"/>
    <n v="859"/>
    <n v="133"/>
    <n v="293"/>
    <n v="3"/>
    <n v="45"/>
    <m/>
    <n v="218"/>
    <n v="35"/>
    <n v="280"/>
    <n v="9"/>
    <n v="42"/>
    <n v="246"/>
    <n v="30"/>
    <n v="3213"/>
    <n v="57"/>
    <n v="5"/>
    <n v="14"/>
    <n v="36"/>
    <n v="12"/>
    <n v="5"/>
    <m/>
    <n v="1"/>
    <n v="4203"/>
    <n v="7"/>
    <n v="3034"/>
    <n v="1162"/>
    <n v="2011"/>
  </r>
  <r>
    <n v="106331288"/>
    <s v="331288"/>
    <x v="194"/>
    <s v="250 NORTH FIRST STREET"/>
    <s v="BLYTHE"/>
    <n v="92225"/>
    <x v="0"/>
    <x v="0"/>
    <x v="15"/>
    <x v="8"/>
    <s v="126"/>
    <m/>
    <s v="12 - Inland Counties"/>
    <x v="31"/>
    <s v="General Acute Care"/>
    <m/>
    <m/>
    <n v="51"/>
    <x v="2"/>
    <n v="4930"/>
    <n v="4920"/>
    <n v="1"/>
    <m/>
    <n v="1151"/>
    <n v="1041"/>
    <n v="1543"/>
    <n v="1308"/>
    <n v="1431"/>
    <n v="1313"/>
    <n v="885"/>
    <n v="597"/>
    <n v="302"/>
    <n v="280"/>
    <m/>
    <n v="33"/>
    <n v="1143"/>
    <n v="3668"/>
    <n v="13"/>
    <n v="162"/>
    <n v="11"/>
    <n v="4821"/>
    <n v="421"/>
    <n v="288"/>
    <n v="4"/>
    <n v="24"/>
    <m/>
    <m/>
    <m/>
    <n v="2"/>
    <n v="358"/>
    <n v="42"/>
    <m/>
    <n v="8701"/>
    <n v="11"/>
    <m/>
    <m/>
    <n v="3076"/>
    <n v="1895"/>
    <n v="1148"/>
    <n v="2357"/>
    <n v="1375"/>
    <n v="127"/>
    <n v="52"/>
    <n v="337"/>
    <n v="5"/>
    <n v="606"/>
    <n v="228"/>
    <n v="514"/>
    <n v="173"/>
    <n v="2318"/>
    <n v="520"/>
    <n v="19"/>
    <n v="802"/>
    <n v="596"/>
    <n v="7"/>
    <n v="348"/>
    <n v="1014"/>
    <n v="431"/>
    <n v="1754"/>
    <m/>
    <m/>
    <n v="657"/>
    <n v="56"/>
    <n v="109"/>
    <n v="11"/>
    <n v="163"/>
    <n v="60"/>
    <n v="17"/>
    <n v="227"/>
    <n v="7167"/>
    <n v="995"/>
    <n v="71"/>
    <n v="218"/>
    <n v="40"/>
    <n v="56"/>
    <n v="4"/>
    <m/>
    <n v="9851"/>
    <n v="9"/>
    <n v="9301"/>
    <n v="541"/>
    <n v="387"/>
    <n v="526"/>
    <m/>
    <m/>
    <n v="16"/>
    <n v="66"/>
    <n v="84"/>
    <n v="108"/>
    <n v="174"/>
    <n v="161"/>
    <n v="160"/>
    <n v="122"/>
    <n v="7"/>
    <n v="15"/>
    <m/>
    <n v="6"/>
    <n v="107"/>
    <n v="303"/>
    <n v="14"/>
    <m/>
    <n v="481"/>
    <n v="2"/>
    <n v="78"/>
    <n v="32"/>
    <n v="22"/>
    <n v="5"/>
    <n v="5"/>
    <n v="2"/>
    <m/>
    <n v="547"/>
    <n v="58"/>
    <n v="164"/>
    <n v="0"/>
    <n v="0"/>
    <n v="0"/>
    <n v="0"/>
    <n v="0"/>
    <n v="142"/>
    <n v="362"/>
    <n v="47"/>
    <n v="308"/>
    <n v="54"/>
    <n v="14"/>
    <n v="14"/>
    <n v="131"/>
    <n v="2"/>
    <n v="178"/>
    <n v="61"/>
    <n v="56"/>
    <n v="56"/>
    <n v="45"/>
    <n v="8"/>
    <n v="8"/>
    <n v="16"/>
    <m/>
    <n v="9"/>
    <n v="180"/>
    <n v="54"/>
    <n v="81"/>
    <m/>
    <m/>
    <m/>
    <n v="16"/>
    <n v="7"/>
    <n v="28"/>
    <n v="8"/>
    <m/>
    <n v="18"/>
    <n v="6"/>
    <n v="802"/>
    <n v="13"/>
    <n v="1"/>
    <n v="3"/>
    <n v="5"/>
    <n v="2"/>
    <n v="4"/>
    <m/>
    <m/>
    <n v="913"/>
    <m/>
    <n v="848"/>
    <n v="65"/>
    <n v="2011"/>
  </r>
  <r>
    <n v="106331293"/>
    <s v="331293"/>
    <x v="195"/>
    <s v="3865 JACKSON STREET"/>
    <s v="RIVERSIDE"/>
    <n v="92503"/>
    <x v="0"/>
    <x v="0"/>
    <x v="54"/>
    <x v="31"/>
    <s v="135c"/>
    <m/>
    <s v="12 - Inland Counties"/>
    <x v="31"/>
    <s v="General Acute Care"/>
    <s v="Non-Profit Corporation (incl. Church-related)"/>
    <s v="General Medical / Surgical"/>
    <n v="193"/>
    <x v="0"/>
    <n v="21371"/>
    <n v="16412"/>
    <m/>
    <n v="2"/>
    <n v="7924"/>
    <n v="5270"/>
    <n v="6554"/>
    <n v="5060"/>
    <n v="4198"/>
    <n v="3198"/>
    <n v="1652"/>
    <n v="1079"/>
    <n v="999"/>
    <n v="1851"/>
    <m/>
    <n v="611"/>
    <n v="2941"/>
    <n v="20902"/>
    <n v="86"/>
    <n v="586"/>
    <n v="1"/>
    <n v="12658"/>
    <n v="582"/>
    <n v="1201"/>
    <n v="18"/>
    <n v="64"/>
    <n v="41"/>
    <n v="2"/>
    <n v="2"/>
    <n v="4"/>
    <n v="2"/>
    <n v="52"/>
    <n v="13"/>
    <n v="35672"/>
    <n v="122"/>
    <n v="10"/>
    <m/>
    <n v="19989"/>
    <n v="4517"/>
    <n v="796"/>
    <n v="3974"/>
    <n v="8509"/>
    <n v="1395"/>
    <n v="147"/>
    <n v="692"/>
    <n v="14"/>
    <n v="2949"/>
    <n v="495"/>
    <n v="2319"/>
    <n v="770"/>
    <n v="7976"/>
    <n v="1973"/>
    <n v="47"/>
    <n v="2565"/>
    <n v="1896"/>
    <n v="115"/>
    <n v="1403"/>
    <n v="6057"/>
    <n v="1666"/>
    <n v="5306"/>
    <m/>
    <m/>
    <n v="2153"/>
    <n v="117"/>
    <n v="132"/>
    <n v="13"/>
    <n v="336"/>
    <n v="11"/>
    <n v="176"/>
    <n v="506"/>
    <n v="29201"/>
    <n v="4122"/>
    <n v="137"/>
    <n v="563"/>
    <n v="106"/>
    <n v="190"/>
    <n v="22"/>
    <m/>
    <n v="37785"/>
    <n v="72"/>
    <n v="30930"/>
    <n v="6783"/>
    <n v="2640"/>
    <n v="1937"/>
    <m/>
    <m/>
    <n v="131"/>
    <n v="284"/>
    <n v="330"/>
    <n v="524"/>
    <n v="749"/>
    <n v="773"/>
    <n v="740"/>
    <n v="823"/>
    <n v="108"/>
    <n v="115"/>
    <m/>
    <n v="145"/>
    <n v="393"/>
    <n v="1722"/>
    <n v="60"/>
    <m/>
    <n v="2248"/>
    <n v="9"/>
    <n v="284"/>
    <n v="185"/>
    <n v="152"/>
    <n v="416"/>
    <n v="26"/>
    <n v="52"/>
    <m/>
    <n v="2565"/>
    <n v="897"/>
    <m/>
    <n v="0"/>
    <n v="0"/>
    <n v="0"/>
    <n v="0"/>
    <n v="0"/>
    <n v="1635"/>
    <n v="2049"/>
    <n v="32"/>
    <n v="538"/>
    <n v="323"/>
    <n v="113"/>
    <n v="84"/>
    <n v="761"/>
    <n v="1"/>
    <n v="771"/>
    <n v="246"/>
    <n v="310"/>
    <n v="399"/>
    <n v="314"/>
    <n v="54"/>
    <n v="59"/>
    <n v="87"/>
    <n v="4"/>
    <n v="50"/>
    <n v="793"/>
    <n v="104"/>
    <n v="390"/>
    <m/>
    <n v="37"/>
    <m/>
    <n v="194"/>
    <n v="47"/>
    <n v="215"/>
    <n v="3"/>
    <n v="17"/>
    <n v="114"/>
    <n v="6"/>
    <n v="3867"/>
    <n v="60"/>
    <m/>
    <n v="6"/>
    <n v="27"/>
    <n v="13"/>
    <n v="7"/>
    <n v="1"/>
    <m/>
    <n v="4577"/>
    <n v="21"/>
    <n v="3825"/>
    <n v="731"/>
    <n v="2011"/>
  </r>
  <r>
    <n v="106331312"/>
    <s v="331312"/>
    <x v="196"/>
    <s v="4445 MAGNOLIA AVENUE"/>
    <s v="RIVERSIDE"/>
    <n v="92501"/>
    <x v="2"/>
    <x v="0"/>
    <x v="54"/>
    <x v="31"/>
    <s v="135a"/>
    <m/>
    <s v="12 - Inland Counties"/>
    <x v="31"/>
    <s v="General Acute Care"/>
    <s v="Investor - Partnership"/>
    <s v="General Medical / Surgical"/>
    <n v="373"/>
    <x v="0"/>
    <n v="38836"/>
    <n v="27816"/>
    <n v="1"/>
    <m/>
    <n v="9415"/>
    <n v="8056"/>
    <n v="13996"/>
    <n v="9175"/>
    <n v="8155"/>
    <n v="6483"/>
    <n v="3774"/>
    <n v="2436"/>
    <n v="2669"/>
    <n v="2494"/>
    <m/>
    <n v="1450"/>
    <n v="8319"/>
    <n v="32301"/>
    <n v="109"/>
    <n v="1390"/>
    <n v="332"/>
    <n v="22752"/>
    <n v="248"/>
    <n v="823"/>
    <n v="15"/>
    <n v="126"/>
    <n v="55"/>
    <n v="45"/>
    <n v="8"/>
    <n v="82"/>
    <n v="852"/>
    <n v="348"/>
    <n v="22"/>
    <n v="63570"/>
    <n v="339"/>
    <n v="120"/>
    <m/>
    <n v="8058"/>
    <n v="9217"/>
    <n v="21803"/>
    <n v="13334"/>
    <n v="14241"/>
    <n v="3167"/>
    <n v="179"/>
    <n v="1324"/>
    <n v="13"/>
    <n v="2469"/>
    <n v="717"/>
    <n v="3103"/>
    <n v="1842"/>
    <n v="14051"/>
    <n v="2452"/>
    <n v="82"/>
    <n v="5119"/>
    <n v="4587"/>
    <n v="196"/>
    <n v="1906"/>
    <n v="7306"/>
    <n v="2631"/>
    <n v="15509"/>
    <m/>
    <m/>
    <n v="4193"/>
    <n v="216"/>
    <n v="658"/>
    <n v="18"/>
    <n v="1008"/>
    <n v="75"/>
    <n v="100"/>
    <n v="721"/>
    <n v="50589"/>
    <n v="6026"/>
    <n v="280"/>
    <n v="2103"/>
    <n v="146"/>
    <n v="319"/>
    <n v="201"/>
    <m/>
    <n v="66653"/>
    <n v="204"/>
    <n v="61942"/>
    <n v="4507"/>
    <n v="6687"/>
    <n v="5982"/>
    <m/>
    <m/>
    <n v="346"/>
    <n v="819"/>
    <n v="825"/>
    <n v="1447"/>
    <n v="2232"/>
    <n v="2258"/>
    <n v="2062"/>
    <n v="2445"/>
    <n v="113"/>
    <n v="122"/>
    <m/>
    <n v="352"/>
    <n v="1500"/>
    <n v="3783"/>
    <n v="776"/>
    <n v="51"/>
    <n v="6198"/>
    <n v="9"/>
    <n v="200"/>
    <n v="280"/>
    <n v="497"/>
    <n v="923"/>
    <n v="256"/>
    <n v="47"/>
    <n v="36"/>
    <n v="8214"/>
    <n v="2202"/>
    <n v="14"/>
    <n v="0"/>
    <n v="0"/>
    <n v="0"/>
    <n v="0"/>
    <n v="0"/>
    <n v="2318"/>
    <n v="6333"/>
    <n v="289"/>
    <n v="2553"/>
    <n v="1176"/>
    <n v="216"/>
    <n v="227"/>
    <n v="2837"/>
    <n v="13"/>
    <n v="1956"/>
    <n v="525"/>
    <n v="695"/>
    <n v="1051"/>
    <n v="1634"/>
    <n v="236"/>
    <n v="302"/>
    <n v="237"/>
    <n v="10"/>
    <n v="98"/>
    <n v="1214"/>
    <n v="241"/>
    <n v="1130"/>
    <m/>
    <n v="47"/>
    <m/>
    <n v="724"/>
    <n v="52"/>
    <n v="1159"/>
    <n v="137"/>
    <n v="51"/>
    <n v="91"/>
    <n v="22"/>
    <n v="9670"/>
    <n v="211"/>
    <n v="47"/>
    <n v="367"/>
    <n v="67"/>
    <n v="44"/>
    <n v="23"/>
    <n v="4"/>
    <m/>
    <n v="12669"/>
    <n v="80"/>
    <n v="11592"/>
    <n v="997"/>
    <n v="2011"/>
  </r>
  <r>
    <n v="106331326"/>
    <s v="331326"/>
    <x v="197"/>
    <s v="600 HIGHLAND SPRINGS AVENUE"/>
    <s v="BANNING"/>
    <n v="92220"/>
    <x v="0"/>
    <x v="0"/>
    <x v="55"/>
    <x v="30"/>
    <s v="134"/>
    <m/>
    <s v="12 - Inland Counties"/>
    <x v="31"/>
    <s v="General Acute Care"/>
    <s v="District"/>
    <s v="General Medical / Surgical"/>
    <n v="61"/>
    <x v="0"/>
    <n v="16307"/>
    <n v="12551"/>
    <m/>
    <m/>
    <n v="4621"/>
    <n v="3930"/>
    <n v="4703"/>
    <n v="3723"/>
    <n v="3015"/>
    <n v="2602"/>
    <n v="1671"/>
    <n v="1546"/>
    <n v="1955"/>
    <n v="1092"/>
    <m/>
    <n v="641"/>
    <n v="2695"/>
    <n v="10080"/>
    <n v="347"/>
    <n v="597"/>
    <m/>
    <n v="14498"/>
    <n v="625"/>
    <n v="412"/>
    <n v="357"/>
    <n v="59"/>
    <n v="2"/>
    <n v="12"/>
    <m/>
    <m/>
    <m/>
    <m/>
    <n v="5"/>
    <n v="27197"/>
    <n v="189"/>
    <m/>
    <m/>
    <n v="11868"/>
    <n v="8506"/>
    <n v="405"/>
    <n v="2591"/>
    <n v="5488"/>
    <n v="708"/>
    <n v="110"/>
    <n v="853"/>
    <n v="7"/>
    <n v="2166"/>
    <n v="409"/>
    <n v="1731"/>
    <n v="932"/>
    <n v="5770"/>
    <n v="1852"/>
    <n v="41"/>
    <n v="1730"/>
    <n v="1522"/>
    <n v="78"/>
    <n v="941"/>
    <n v="4067"/>
    <n v="1255"/>
    <n v="4686"/>
    <m/>
    <m/>
    <n v="1935"/>
    <n v="139"/>
    <n v="287"/>
    <n v="16"/>
    <n v="378"/>
    <n v="26"/>
    <n v="113"/>
    <n v="350"/>
    <n v="22348"/>
    <n v="2551"/>
    <n v="102"/>
    <n v="460"/>
    <n v="55"/>
    <n v="78"/>
    <n v="20"/>
    <m/>
    <n v="28858"/>
    <n v="109"/>
    <n v="27691"/>
    <n v="1058"/>
    <n v="1598"/>
    <n v="1223"/>
    <m/>
    <m/>
    <n v="43"/>
    <n v="90"/>
    <n v="151"/>
    <n v="227"/>
    <n v="389"/>
    <n v="452"/>
    <n v="602"/>
    <n v="858"/>
    <n v="6"/>
    <n v="3"/>
    <m/>
    <n v="95"/>
    <n v="174"/>
    <n v="553"/>
    <n v="2"/>
    <m/>
    <n v="1971"/>
    <n v="26"/>
    <n v="162"/>
    <n v="91"/>
    <n v="90"/>
    <n v="250"/>
    <n v="4"/>
    <n v="18"/>
    <n v="6"/>
    <n v="1635"/>
    <n v="559"/>
    <n v="6"/>
    <n v="0"/>
    <n v="0"/>
    <n v="0"/>
    <n v="0"/>
    <n v="0"/>
    <n v="416"/>
    <n v="1702"/>
    <n v="39"/>
    <n v="460"/>
    <n v="204"/>
    <n v="29"/>
    <n v="69"/>
    <n v="696"/>
    <m/>
    <n v="408"/>
    <n v="122"/>
    <n v="122"/>
    <n v="131"/>
    <n v="133"/>
    <n v="54"/>
    <n v="24"/>
    <n v="56"/>
    <n v="9"/>
    <n v="21"/>
    <n v="493"/>
    <n v="24"/>
    <n v="424"/>
    <m/>
    <n v="6"/>
    <m/>
    <n v="151"/>
    <n v="10"/>
    <n v="65"/>
    <n v="2"/>
    <n v="1"/>
    <n v="63"/>
    <n v="9"/>
    <n v="2474"/>
    <n v="17"/>
    <m/>
    <m/>
    <n v="10"/>
    <n v="4"/>
    <n v="14"/>
    <n v="1"/>
    <m/>
    <n v="2821"/>
    <n v="23"/>
    <n v="2684"/>
    <n v="114"/>
    <n v="2011"/>
  </r>
  <r>
    <n v="106334018"/>
    <s v="334018"/>
    <x v="198"/>
    <s v="28400 MCCALL BOULEVARD"/>
    <s v="SUN CITY"/>
    <n v="92585"/>
    <x v="0"/>
    <x v="0"/>
    <x v="55"/>
    <x v="30"/>
    <s v="133.1"/>
    <m/>
    <s v="12 - Inland Counties"/>
    <x v="31"/>
    <s v="General Acute Care"/>
    <s v="Investor - Limited Liability Company"/>
    <s v="General Medical / Surgical"/>
    <n v="84"/>
    <x v="0"/>
    <n v="8387"/>
    <n v="6531"/>
    <m/>
    <m/>
    <n v="1620"/>
    <n v="1626"/>
    <n v="2068"/>
    <n v="1726"/>
    <n v="1676"/>
    <n v="1528"/>
    <n v="1201"/>
    <n v="1324"/>
    <n v="1849"/>
    <n v="300"/>
    <m/>
    <n v="146"/>
    <n v="1331"/>
    <n v="4224"/>
    <n v="35"/>
    <n v="171"/>
    <n v="31"/>
    <n v="8980"/>
    <n v="423"/>
    <n v="165"/>
    <n v="141"/>
    <n v="90"/>
    <n v="21"/>
    <n v="26"/>
    <m/>
    <n v="61"/>
    <m/>
    <m/>
    <m/>
    <n v="13892"/>
    <n v="99"/>
    <m/>
    <m/>
    <n v="4515"/>
    <n v="4333"/>
    <n v="457"/>
    <n v="2766"/>
    <n v="2847"/>
    <n v="286"/>
    <n v="76"/>
    <n v="665"/>
    <n v="3"/>
    <n v="1077"/>
    <n v="372"/>
    <n v="932"/>
    <n v="291"/>
    <n v="3939"/>
    <n v="703"/>
    <n v="24"/>
    <n v="908"/>
    <n v="330"/>
    <n v="4"/>
    <n v="592"/>
    <n v="1700"/>
    <n v="592"/>
    <n v="2422"/>
    <m/>
    <n v="2"/>
    <n v="1276"/>
    <n v="98"/>
    <n v="187"/>
    <n v="3"/>
    <n v="168"/>
    <n v="6"/>
    <n v="56"/>
    <n v="235"/>
    <n v="10692"/>
    <n v="1551"/>
    <n v="98"/>
    <n v="415"/>
    <n v="66"/>
    <n v="59"/>
    <n v="8"/>
    <m/>
    <n v="14918"/>
    <n v="33"/>
    <n v="14136"/>
    <n v="749"/>
    <n v="1793"/>
    <n v="1385"/>
    <n v="1"/>
    <m/>
    <n v="22"/>
    <n v="99"/>
    <n v="121"/>
    <n v="234"/>
    <n v="365"/>
    <n v="498"/>
    <n v="764"/>
    <n v="1075"/>
    <m/>
    <n v="1"/>
    <m/>
    <n v="45"/>
    <n v="213"/>
    <n v="518"/>
    <n v="24"/>
    <n v="4"/>
    <n v="2374"/>
    <n v="1"/>
    <n v="228"/>
    <n v="125"/>
    <n v="109"/>
    <n v="351"/>
    <n v="19"/>
    <n v="2"/>
    <n v="56"/>
    <n v="1758"/>
    <n v="531"/>
    <m/>
    <n v="0"/>
    <n v="0"/>
    <n v="0"/>
    <n v="0"/>
    <n v="0"/>
    <n v="275"/>
    <n v="2347"/>
    <n v="62"/>
    <n v="307"/>
    <n v="188"/>
    <n v="5"/>
    <n v="48"/>
    <n v="883"/>
    <m/>
    <n v="441"/>
    <n v="150"/>
    <n v="238"/>
    <n v="190"/>
    <n v="306"/>
    <n v="67"/>
    <n v="87"/>
    <n v="42"/>
    <n v="3"/>
    <n v="36"/>
    <n v="468"/>
    <n v="59"/>
    <n v="156"/>
    <m/>
    <m/>
    <m/>
    <n v="234"/>
    <n v="45"/>
    <n v="127"/>
    <n v="3"/>
    <n v="5"/>
    <n v="43"/>
    <n v="5"/>
    <n v="2602"/>
    <n v="65"/>
    <n v="2"/>
    <n v="15"/>
    <n v="24"/>
    <n v="6"/>
    <n v="3"/>
    <m/>
    <m/>
    <n v="3179"/>
    <n v="11"/>
    <n v="3006"/>
    <n v="162"/>
    <n v="2011"/>
  </r>
  <r>
    <n v="106334025"/>
    <s v="334025"/>
    <x v="199"/>
    <s v="10800 MAGNOLIA AVENUE"/>
    <s v="RIVERSIDE"/>
    <n v="92505"/>
    <x v="0"/>
    <x v="0"/>
    <x v="56"/>
    <x v="31"/>
    <s v="135d"/>
    <m/>
    <s v="12 - Inland Counties"/>
    <x v="31"/>
    <s v="General Acute Care"/>
    <s v="Non-Profit Corporation (incl. Church-related)"/>
    <s v="General Medical / Surgical"/>
    <n v="222"/>
    <x v="0"/>
    <n v="18538"/>
    <n v="14749"/>
    <m/>
    <m/>
    <n v="3728"/>
    <n v="3796"/>
    <n v="4775"/>
    <n v="4122"/>
    <n v="4316"/>
    <n v="4042"/>
    <n v="3331"/>
    <n v="2405"/>
    <n v="1932"/>
    <n v="840"/>
    <m/>
    <n v="1278"/>
    <n v="4445"/>
    <n v="11088"/>
    <n v="77"/>
    <n v="1144"/>
    <n v="1238"/>
    <n v="14017"/>
    <n v="145"/>
    <n v="178"/>
    <n v="1"/>
    <n v="42"/>
    <n v="98"/>
    <n v="39"/>
    <n v="99"/>
    <n v="8"/>
    <n v="4"/>
    <n v="509"/>
    <n v="2"/>
    <n v="31940"/>
    <n v="81"/>
    <n v="137"/>
    <n v="4"/>
    <n v="3229"/>
    <n v="6534"/>
    <n v="218"/>
    <n v="20804"/>
    <n v="2502"/>
    <n v="698"/>
    <n v="176"/>
    <n v="1287"/>
    <n v="9"/>
    <n v="2162"/>
    <n v="643"/>
    <n v="2127"/>
    <n v="793"/>
    <n v="6436"/>
    <n v="2143"/>
    <n v="99"/>
    <n v="2135"/>
    <n v="952"/>
    <n v="97"/>
    <n v="1833"/>
    <n v="2752"/>
    <n v="949"/>
    <n v="7994"/>
    <n v="1"/>
    <n v="1"/>
    <n v="1857"/>
    <n v="129"/>
    <n v="469"/>
    <n v="24"/>
    <n v="202"/>
    <n v="8"/>
    <n v="216"/>
    <n v="308"/>
    <n v="26591"/>
    <n v="2272"/>
    <n v="141"/>
    <n v="745"/>
    <n v="118"/>
    <n v="174"/>
    <n v="33"/>
    <m/>
    <n v="33287"/>
    <n v="294"/>
    <n v="30273"/>
    <n v="2720"/>
    <n v="2780"/>
    <n v="2639"/>
    <m/>
    <m/>
    <n v="141"/>
    <n v="248"/>
    <n v="303"/>
    <n v="545"/>
    <n v="812"/>
    <n v="1156"/>
    <n v="1109"/>
    <n v="1002"/>
    <n v="31"/>
    <n v="72"/>
    <m/>
    <n v="225"/>
    <n v="709"/>
    <n v="1248"/>
    <n v="48"/>
    <n v="25"/>
    <n v="3150"/>
    <n v="14"/>
    <n v="227"/>
    <n v="44"/>
    <n v="199"/>
    <n v="940"/>
    <n v="47"/>
    <n v="4"/>
    <n v="29"/>
    <n v="3354"/>
    <n v="573"/>
    <n v="2"/>
    <n v="0"/>
    <n v="0"/>
    <n v="0"/>
    <n v="0"/>
    <n v="0"/>
    <n v="132"/>
    <n v="2893"/>
    <n v="2"/>
    <n v="2260"/>
    <n v="132"/>
    <n v="46"/>
    <n v="141"/>
    <n v="1039"/>
    <n v="3"/>
    <n v="953"/>
    <n v="290"/>
    <n v="412"/>
    <n v="679"/>
    <n v="426"/>
    <n v="107"/>
    <n v="146"/>
    <n v="153"/>
    <n v="5"/>
    <n v="82"/>
    <n v="573"/>
    <n v="73"/>
    <n v="281"/>
    <n v="1"/>
    <n v="9"/>
    <m/>
    <n v="215"/>
    <n v="24"/>
    <n v="445"/>
    <n v="2"/>
    <n v="8"/>
    <n v="286"/>
    <n v="4"/>
    <n v="4304"/>
    <n v="71"/>
    <n v="6"/>
    <n v="19"/>
    <n v="19"/>
    <n v="9"/>
    <n v="6"/>
    <n v="1"/>
    <m/>
    <n v="5419"/>
    <n v="46"/>
    <n v="5017"/>
    <n v="356"/>
    <n v="2011"/>
  </r>
  <r>
    <n v="106334048"/>
    <s v="334048"/>
    <x v="200"/>
    <s v="27300 IRIS AVENUE"/>
    <s v="MORENO VALLEY"/>
    <n v="92555"/>
    <x v="0"/>
    <x v="0"/>
    <x v="55"/>
    <x v="30"/>
    <s v="134"/>
    <m/>
    <s v="12 - Inland Counties"/>
    <x v="31"/>
    <s v="General Acute Care"/>
    <s v="Non-Profit Corporation (incl. Church-related)"/>
    <s v="General Medical / Surgical"/>
    <n v="71"/>
    <x v="0"/>
    <n v="15671"/>
    <n v="10774"/>
    <n v="2"/>
    <m/>
    <n v="5459"/>
    <n v="4100"/>
    <n v="4480"/>
    <n v="3391"/>
    <n v="2667"/>
    <n v="2201"/>
    <n v="1355"/>
    <n v="968"/>
    <n v="589"/>
    <n v="1237"/>
    <m/>
    <n v="660"/>
    <n v="7313"/>
    <n v="11597"/>
    <n v="29"/>
    <n v="1178"/>
    <n v="46"/>
    <n v="5624"/>
    <n v="267"/>
    <n v="162"/>
    <n v="1"/>
    <n v="27"/>
    <n v="30"/>
    <n v="3"/>
    <n v="1"/>
    <n v="20"/>
    <n v="2"/>
    <n v="88"/>
    <m/>
    <n v="25688"/>
    <n v="28"/>
    <n v="69"/>
    <n v="61"/>
    <n v="10961"/>
    <n v="2850"/>
    <n v="376"/>
    <n v="8879"/>
    <n v="3381"/>
    <n v="828"/>
    <n v="82"/>
    <n v="500"/>
    <n v="5"/>
    <n v="1395"/>
    <n v="358"/>
    <n v="1746"/>
    <n v="394"/>
    <n v="5602"/>
    <n v="1561"/>
    <n v="36"/>
    <n v="1743"/>
    <n v="598"/>
    <n v="78"/>
    <n v="476"/>
    <n v="3990"/>
    <n v="996"/>
    <n v="6059"/>
    <m/>
    <m/>
    <n v="1762"/>
    <n v="73"/>
    <n v="404"/>
    <n v="6"/>
    <n v="202"/>
    <n v="5"/>
    <n v="136"/>
    <n v="330"/>
    <n v="20268"/>
    <n v="2445"/>
    <n v="134"/>
    <n v="500"/>
    <n v="27"/>
    <n v="153"/>
    <n v="2"/>
    <m/>
    <n v="26447"/>
    <n v="105"/>
    <n v="23969"/>
    <n v="2373"/>
    <n v="1496"/>
    <n v="1015"/>
    <m/>
    <m/>
    <n v="66"/>
    <n v="186"/>
    <n v="229"/>
    <n v="290"/>
    <n v="401"/>
    <n v="408"/>
    <n v="450"/>
    <n v="419"/>
    <n v="23"/>
    <n v="39"/>
    <m/>
    <n v="113"/>
    <n v="701"/>
    <n v="846"/>
    <n v="34"/>
    <n v="1"/>
    <n v="814"/>
    <n v="2"/>
    <n v="210"/>
    <n v="54"/>
    <n v="59"/>
    <n v="263"/>
    <n v="18"/>
    <n v="4"/>
    <n v="16"/>
    <n v="1662"/>
    <n v="225"/>
    <m/>
    <n v="0"/>
    <n v="0"/>
    <n v="0"/>
    <n v="0"/>
    <n v="0"/>
    <n v="497"/>
    <n v="1200"/>
    <n v="17"/>
    <n v="652"/>
    <n v="145"/>
    <n v="72"/>
    <n v="65"/>
    <n v="563"/>
    <n v="2"/>
    <n v="460"/>
    <n v="130"/>
    <n v="178"/>
    <n v="199"/>
    <n v="123"/>
    <n v="30"/>
    <n v="31"/>
    <n v="53"/>
    <n v="1"/>
    <n v="37"/>
    <n v="323"/>
    <n v="44"/>
    <n v="189"/>
    <m/>
    <n v="11"/>
    <m/>
    <n v="73"/>
    <n v="22"/>
    <n v="165"/>
    <n v="1"/>
    <n v="6"/>
    <n v="89"/>
    <n v="6"/>
    <n v="2115"/>
    <n v="20"/>
    <m/>
    <n v="3"/>
    <n v="7"/>
    <n v="3"/>
    <n v="1"/>
    <m/>
    <m/>
    <n v="2511"/>
    <n v="30"/>
    <n v="2189"/>
    <n v="292"/>
    <n v="2011"/>
  </r>
  <r>
    <n v="106334068"/>
    <s v="334068"/>
    <x v="201"/>
    <s v="25500 MEDICAL CENTER DRIVE"/>
    <s v="MURRIETA"/>
    <n v="92562"/>
    <x v="0"/>
    <x v="0"/>
    <x v="56"/>
    <x v="32"/>
    <s v="131a"/>
    <m/>
    <s v="12 - Inland Counties"/>
    <x v="31"/>
    <s v="General Acute Care"/>
    <s v="Investor - Corporation"/>
    <s v="General Medical / Surgical"/>
    <n v="120"/>
    <x v="0"/>
    <n v="36853"/>
    <n v="27921"/>
    <m/>
    <m/>
    <n v="9042"/>
    <n v="8341"/>
    <n v="11080"/>
    <n v="8775"/>
    <n v="8343"/>
    <n v="6192"/>
    <n v="4073"/>
    <n v="3431"/>
    <n v="3418"/>
    <n v="2079"/>
    <m/>
    <n v="2024"/>
    <n v="4367"/>
    <n v="14949"/>
    <n v="188"/>
    <n v="3832"/>
    <n v="446"/>
    <n v="38968"/>
    <n v="1161"/>
    <n v="1273"/>
    <n v="268"/>
    <n v="135"/>
    <n v="59"/>
    <n v="103"/>
    <n v="4"/>
    <m/>
    <n v="492"/>
    <n v="538"/>
    <n v="4"/>
    <n v="60435"/>
    <n v="160"/>
    <n v="142"/>
    <m/>
    <n v="15403"/>
    <n v="8075"/>
    <n v="6257"/>
    <n v="24067"/>
    <n v="10972"/>
    <n v="2665"/>
    <n v="318"/>
    <n v="1775"/>
    <n v="13"/>
    <n v="3376"/>
    <n v="1007"/>
    <n v="4049"/>
    <n v="868"/>
    <n v="15821"/>
    <n v="3834"/>
    <n v="82"/>
    <n v="3790"/>
    <n v="1698"/>
    <n v="183"/>
    <n v="1854"/>
    <n v="6477"/>
    <n v="2190"/>
    <n v="14774"/>
    <m/>
    <m/>
    <n v="5243"/>
    <n v="352"/>
    <n v="714"/>
    <n v="38"/>
    <n v="712"/>
    <n v="49"/>
    <n v="491"/>
    <n v="851"/>
    <n v="46720"/>
    <n v="5876"/>
    <n v="474"/>
    <n v="2535"/>
    <n v="288"/>
    <n v="374"/>
    <n v="57"/>
    <m/>
    <n v="64774"/>
    <n v="697"/>
    <n v="61831"/>
    <n v="2246"/>
    <n v="5818"/>
    <n v="4910"/>
    <m/>
    <m/>
    <n v="223"/>
    <n v="611"/>
    <n v="704"/>
    <n v="1269"/>
    <n v="1675"/>
    <n v="1809"/>
    <n v="2016"/>
    <n v="2406"/>
    <n v="7"/>
    <n v="8"/>
    <m/>
    <n v="416"/>
    <n v="627"/>
    <n v="1611"/>
    <n v="472"/>
    <n v="59"/>
    <n v="7516"/>
    <n v="27"/>
    <n v="664"/>
    <n v="192"/>
    <n v="303"/>
    <n v="1087"/>
    <n v="158"/>
    <m/>
    <n v="86"/>
    <n v="7188"/>
    <n v="1039"/>
    <n v="11"/>
    <n v="0"/>
    <n v="0"/>
    <n v="0"/>
    <n v="0"/>
    <n v="0"/>
    <n v="1226"/>
    <n v="5886"/>
    <n v="365"/>
    <n v="2489"/>
    <n v="762"/>
    <n v="97"/>
    <n v="233"/>
    <n v="2149"/>
    <n v="3"/>
    <n v="1803"/>
    <n v="475"/>
    <n v="519"/>
    <n v="531"/>
    <n v="1363"/>
    <n v="270"/>
    <n v="234"/>
    <n v="262"/>
    <n v="5"/>
    <n v="128"/>
    <n v="1132"/>
    <n v="203"/>
    <n v="1314"/>
    <m/>
    <n v="7"/>
    <m/>
    <n v="703"/>
    <n v="87"/>
    <n v="636"/>
    <n v="53"/>
    <n v="35"/>
    <n v="512"/>
    <n v="30"/>
    <n v="8059"/>
    <n v="132"/>
    <n v="45"/>
    <n v="300"/>
    <n v="79"/>
    <n v="39"/>
    <n v="15"/>
    <n v="3"/>
    <m/>
    <n v="10728"/>
    <n v="246"/>
    <n v="10026"/>
    <n v="456"/>
    <n v="2011"/>
  </r>
  <r>
    <n v="106334487"/>
    <s v="334487"/>
    <x v="202"/>
    <s v="26520 CACTUS AVENUE"/>
    <s v="MORENO VALLEY"/>
    <n v="92555"/>
    <x v="6"/>
    <x v="1"/>
    <x v="55"/>
    <x v="30"/>
    <s v="134"/>
    <m/>
    <s v="12 - Inland Counties"/>
    <x v="31"/>
    <s v="General Acute Care"/>
    <s v="City and/or County"/>
    <s v="General Medical / Surgical"/>
    <n v="362"/>
    <x v="0"/>
    <n v="45421"/>
    <n v="40953"/>
    <m/>
    <m/>
    <n v="8550"/>
    <n v="8270"/>
    <n v="17452"/>
    <n v="13265"/>
    <n v="14830"/>
    <n v="14085"/>
    <n v="5810"/>
    <n v="1371"/>
    <n v="697"/>
    <n v="2044"/>
    <m/>
    <n v="1277"/>
    <n v="15268"/>
    <n v="44922"/>
    <n v="89"/>
    <n v="993"/>
    <n v="737"/>
    <n v="23088"/>
    <n v="117"/>
    <n v="687"/>
    <m/>
    <n v="94"/>
    <m/>
    <n v="2"/>
    <m/>
    <m/>
    <m/>
    <n v="825"/>
    <m/>
    <n v="84589"/>
    <n v="24"/>
    <n v="36"/>
    <m/>
    <n v="25555"/>
    <n v="3886"/>
    <n v="16938"/>
    <n v="4916"/>
    <n v="35079"/>
    <n v="2043"/>
    <n v="196"/>
    <n v="1718"/>
    <n v="38"/>
    <n v="6057"/>
    <n v="1440"/>
    <n v="5815"/>
    <n v="1815"/>
    <n v="15083"/>
    <n v="6640"/>
    <n v="271"/>
    <n v="5568"/>
    <n v="9321"/>
    <n v="69"/>
    <n v="2112"/>
    <n v="9014"/>
    <n v="4347"/>
    <n v="14821"/>
    <n v="6"/>
    <m/>
    <n v="4046"/>
    <n v="153"/>
    <n v="309"/>
    <n v="12"/>
    <n v="1262"/>
    <n v="58"/>
    <n v="118"/>
    <n v="523"/>
    <n v="71659"/>
    <n v="5272"/>
    <n v="290"/>
    <n v="1978"/>
    <n v="245"/>
    <n v="412"/>
    <n v="37"/>
    <m/>
    <n v="86374"/>
    <n v="572"/>
    <n v="71498"/>
    <n v="14304"/>
    <n v="5489"/>
    <n v="6095"/>
    <m/>
    <m/>
    <n v="494"/>
    <n v="1253"/>
    <n v="1205"/>
    <n v="2072"/>
    <n v="2803"/>
    <n v="1588"/>
    <n v="812"/>
    <n v="628"/>
    <n v="235"/>
    <n v="494"/>
    <m/>
    <n v="256"/>
    <n v="1975"/>
    <n v="5735"/>
    <n v="135"/>
    <n v="21"/>
    <n v="3443"/>
    <n v="19"/>
    <n v="304"/>
    <n v="280"/>
    <n v="204"/>
    <n v="585"/>
    <n v="196"/>
    <n v="11"/>
    <n v="93"/>
    <n v="8865"/>
    <n v="348"/>
    <n v="698"/>
    <n v="0"/>
    <n v="0"/>
    <n v="0"/>
    <n v="0"/>
    <n v="0"/>
    <n v="2214"/>
    <n v="1464"/>
    <n v="989"/>
    <n v="2732"/>
    <n v="4185"/>
    <n v="154"/>
    <n v="303"/>
    <n v="1801"/>
    <n v="10"/>
    <n v="1750"/>
    <n v="859"/>
    <n v="666"/>
    <n v="651"/>
    <n v="1246"/>
    <n v="260"/>
    <n v="306"/>
    <n v="418"/>
    <n v="28"/>
    <n v="261"/>
    <n v="1033"/>
    <n v="426"/>
    <n v="1372"/>
    <n v="1"/>
    <n v="39"/>
    <m/>
    <n v="326"/>
    <n v="50"/>
    <n v="395"/>
    <n v="118"/>
    <n v="35"/>
    <n v="225"/>
    <n v="28"/>
    <n v="9794"/>
    <n v="84"/>
    <n v="38"/>
    <n v="334"/>
    <n v="92"/>
    <n v="48"/>
    <n v="16"/>
    <n v="1"/>
    <m/>
    <n v="11584"/>
    <n v="138"/>
    <n v="8993"/>
    <n v="2453"/>
    <n v="2011"/>
  </r>
  <r>
    <n v="106334589"/>
    <s v="334589"/>
    <x v="203"/>
    <s v="28062 BAXTER ROAD"/>
    <s v="MURRIETA"/>
    <n v="92563"/>
    <x v="0"/>
    <x v="0"/>
    <x v="54"/>
    <x v="32"/>
    <s v="131b"/>
    <m/>
    <s v="12 - Inland Counties"/>
    <x v="31"/>
    <s v="General Acute Care"/>
    <s v="Investor - Limited Liability Company"/>
    <s v="General Medical / Surgical"/>
    <n v="106"/>
    <x v="0"/>
    <n v="6828"/>
    <n v="4917"/>
    <m/>
    <n v="2"/>
    <n v="1483"/>
    <n v="1382"/>
    <n v="1783"/>
    <n v="1659"/>
    <n v="1585"/>
    <n v="1218"/>
    <n v="968"/>
    <n v="741"/>
    <n v="622"/>
    <n v="304"/>
    <n v="2"/>
    <n v="275"/>
    <n v="857"/>
    <n v="2126"/>
    <n v="17"/>
    <n v="1155"/>
    <n v="1"/>
    <n v="7316"/>
    <n v="453"/>
    <n v="325"/>
    <n v="39"/>
    <n v="7"/>
    <n v="28"/>
    <n v="3"/>
    <n v="12"/>
    <n v="8"/>
    <m/>
    <n v="33"/>
    <n v="42"/>
    <n v="10634"/>
    <n v="32"/>
    <n v="131"/>
    <m/>
    <n v="797"/>
    <n v="1930"/>
    <n v="532"/>
    <n v="6433"/>
    <n v="2055"/>
    <n v="360"/>
    <n v="38"/>
    <n v="328"/>
    <n v="3"/>
    <n v="684"/>
    <n v="129"/>
    <n v="857"/>
    <n v="166"/>
    <n v="2671"/>
    <n v="792"/>
    <n v="27"/>
    <n v="524"/>
    <n v="428"/>
    <n v="22"/>
    <n v="245"/>
    <n v="921"/>
    <n v="430"/>
    <n v="3122"/>
    <m/>
    <m/>
    <n v="917"/>
    <n v="43"/>
    <n v="90"/>
    <n v="3"/>
    <n v="83"/>
    <n v="57"/>
    <n v="101"/>
    <n v="148"/>
    <n v="8681"/>
    <n v="1087"/>
    <n v="77"/>
    <n v="359"/>
    <n v="18"/>
    <n v="78"/>
    <n v="5"/>
    <m/>
    <n v="11747"/>
    <n v="17"/>
    <n v="11691"/>
    <n v="39"/>
    <n v="426"/>
    <n v="293"/>
    <m/>
    <m/>
    <n v="12"/>
    <n v="60"/>
    <n v="59"/>
    <n v="92"/>
    <n v="115"/>
    <n v="114"/>
    <n v="132"/>
    <n v="135"/>
    <m/>
    <m/>
    <m/>
    <n v="22"/>
    <n v="50"/>
    <n v="87"/>
    <n v="54"/>
    <m/>
    <n v="506"/>
    <m/>
    <n v="55"/>
    <n v="1"/>
    <n v="24"/>
    <m/>
    <n v="11"/>
    <n v="540"/>
    <n v="35"/>
    <n v="1"/>
    <n v="11"/>
    <n v="41"/>
    <n v="0"/>
    <n v="0"/>
    <n v="0"/>
    <n v="0"/>
    <n v="0"/>
    <n v="73"/>
    <n v="342"/>
    <n v="3"/>
    <n v="249"/>
    <n v="52"/>
    <n v="44"/>
    <n v="23"/>
    <n v="157"/>
    <m/>
    <n v="113"/>
    <n v="21"/>
    <n v="32"/>
    <n v="30"/>
    <n v="40"/>
    <n v="11"/>
    <n v="13"/>
    <n v="12"/>
    <m/>
    <n v="3"/>
    <n v="61"/>
    <n v="20"/>
    <n v="139"/>
    <m/>
    <m/>
    <m/>
    <n v="20"/>
    <n v="3"/>
    <n v="38"/>
    <n v="1"/>
    <n v="1"/>
    <n v="31"/>
    <n v="3"/>
    <n v="613"/>
    <n v="5"/>
    <m/>
    <n v="1"/>
    <n v="2"/>
    <m/>
    <n v="1"/>
    <m/>
    <m/>
    <n v="719"/>
    <n v="1"/>
    <n v="716"/>
    <n v="2"/>
    <n v="2011"/>
  </r>
  <r>
    <n v="106340913"/>
    <s v="340913"/>
    <x v="204"/>
    <s v="2025 MORSE AVENUE"/>
    <s v="SACRAMENTO"/>
    <n v="95825"/>
    <x v="0"/>
    <x v="0"/>
    <x v="57"/>
    <x v="33"/>
    <s v="139d"/>
    <m/>
    <s v="02 - Golden Empire"/>
    <x v="32"/>
    <s v="General Acute Care"/>
    <s v="Non-Profit Corporation (incl. Church-related)"/>
    <s v="General Medical / Surgical"/>
    <n v="288"/>
    <x v="0"/>
    <n v="48251"/>
    <n v="36446"/>
    <n v="3"/>
    <m/>
    <n v="8991"/>
    <n v="8977"/>
    <n v="14655"/>
    <n v="10854"/>
    <n v="10526"/>
    <n v="9800"/>
    <n v="7192"/>
    <n v="5599"/>
    <n v="6376"/>
    <n v="1729"/>
    <n v="1"/>
    <n v="4269"/>
    <n v="15584"/>
    <n v="12458"/>
    <n v="329"/>
    <n v="1360"/>
    <n v="1012"/>
    <n v="49688"/>
    <n v="164"/>
    <n v="722"/>
    <n v="3"/>
    <n v="147"/>
    <n v="197"/>
    <n v="33"/>
    <n v="63"/>
    <n v="77"/>
    <n v="33"/>
    <n v="1421"/>
    <n v="24"/>
    <n v="80884"/>
    <n v="620"/>
    <n v="297"/>
    <n v="15"/>
    <n v="16390"/>
    <n v="16282"/>
    <n v="340"/>
    <n v="36812"/>
    <n v="14876"/>
    <n v="1716"/>
    <n v="317"/>
    <n v="2445"/>
    <n v="16"/>
    <n v="4297"/>
    <n v="1252"/>
    <n v="4233"/>
    <n v="1512"/>
    <n v="18292"/>
    <n v="6147"/>
    <n v="118"/>
    <n v="4651"/>
    <n v="2188"/>
    <n v="60"/>
    <n v="3789"/>
    <n v="8370"/>
    <n v="3364"/>
    <n v="21930"/>
    <n v="1"/>
    <n v="2"/>
    <n v="5770"/>
    <n v="238"/>
    <n v="651"/>
    <n v="19"/>
    <n v="800"/>
    <n v="62"/>
    <n v="217"/>
    <n v="801"/>
    <n v="64791"/>
    <n v="8486"/>
    <n v="428"/>
    <n v="1795"/>
    <n v="179"/>
    <n v="397"/>
    <n v="66"/>
    <m/>
    <n v="84700"/>
    <n v="1289"/>
    <n v="80912"/>
    <n v="2499"/>
    <n v="3485"/>
    <n v="2936"/>
    <n v="1"/>
    <m/>
    <n v="66"/>
    <n v="287"/>
    <n v="337"/>
    <n v="620"/>
    <n v="1032"/>
    <n v="1242"/>
    <n v="1257"/>
    <n v="1580"/>
    <m/>
    <n v="1"/>
    <m/>
    <n v="361"/>
    <n v="818"/>
    <n v="559"/>
    <n v="73"/>
    <n v="22"/>
    <n v="4557"/>
    <n v="32"/>
    <n v="208"/>
    <n v="64"/>
    <n v="380"/>
    <n v="640"/>
    <n v="75"/>
    <m/>
    <n v="182"/>
    <n v="3734"/>
    <n v="1139"/>
    <m/>
    <n v="0"/>
    <n v="0"/>
    <n v="0"/>
    <n v="0"/>
    <n v="0"/>
    <n v="468"/>
    <n v="3637"/>
    <n v="17"/>
    <n v="2012"/>
    <n v="288"/>
    <n v="31"/>
    <n v="82"/>
    <n v="1255"/>
    <n v="3"/>
    <n v="1041"/>
    <n v="281"/>
    <n v="269"/>
    <n v="1270"/>
    <n v="705"/>
    <n v="131"/>
    <n v="203"/>
    <n v="131"/>
    <n v="11"/>
    <n v="107"/>
    <n v="511"/>
    <n v="137"/>
    <n v="254"/>
    <m/>
    <m/>
    <m/>
    <n v="402"/>
    <n v="45"/>
    <n v="503"/>
    <n v="12"/>
    <n v="20"/>
    <n v="363"/>
    <n v="19"/>
    <n v="4850"/>
    <n v="111"/>
    <n v="12"/>
    <n v="13"/>
    <n v="49"/>
    <n v="12"/>
    <n v="11"/>
    <m/>
    <m/>
    <n v="6422"/>
    <n v="125"/>
    <n v="6197"/>
    <n v="100"/>
    <n v="2011"/>
  </r>
  <r>
    <n v="106340947"/>
    <s v="340947"/>
    <x v="205"/>
    <s v="4001 J STREET"/>
    <s v="SACRAMENTO"/>
    <n v="95819"/>
    <x v="0"/>
    <x v="0"/>
    <x v="58"/>
    <x v="33"/>
    <s v="139i"/>
    <m/>
    <s v="02 - Golden Empire"/>
    <x v="32"/>
    <s v="General Acute Care"/>
    <s v="Non-Profit Corporation (incl. Church-related)"/>
    <s v="General Medical / Surgical"/>
    <n v="304"/>
    <x v="0"/>
    <n v="18108"/>
    <n v="12548"/>
    <m/>
    <m/>
    <n v="2469"/>
    <n v="2145"/>
    <n v="5400"/>
    <n v="4160"/>
    <n v="4590"/>
    <n v="4706"/>
    <n v="2677"/>
    <n v="1676"/>
    <n v="1953"/>
    <n v="878"/>
    <n v="2"/>
    <n v="2436"/>
    <n v="6458"/>
    <n v="6371"/>
    <n v="67"/>
    <n v="434"/>
    <n v="321"/>
    <n v="14569"/>
    <n v="118"/>
    <m/>
    <n v="100"/>
    <n v="22"/>
    <n v="32"/>
    <n v="1"/>
    <n v="2"/>
    <n v="31"/>
    <n v="25"/>
    <n v="121"/>
    <n v="5"/>
    <n v="30119"/>
    <n v="78"/>
    <n v="1"/>
    <n v="1"/>
    <n v="10885"/>
    <n v="6308"/>
    <n v="608"/>
    <n v="6331"/>
    <n v="6524"/>
    <n v="961"/>
    <n v="101"/>
    <n v="763"/>
    <n v="10"/>
    <n v="1625"/>
    <n v="501"/>
    <n v="1971"/>
    <n v="413"/>
    <n v="5207"/>
    <n v="2685"/>
    <n v="38"/>
    <n v="1499"/>
    <n v="1165"/>
    <n v="57"/>
    <n v="1116"/>
    <n v="2796"/>
    <n v="1240"/>
    <n v="8508"/>
    <m/>
    <m/>
    <n v="1740"/>
    <n v="76"/>
    <n v="232"/>
    <n v="11"/>
    <n v="321"/>
    <n v="17"/>
    <n v="203"/>
    <n v="227"/>
    <n v="24921"/>
    <n v="2068"/>
    <n v="128"/>
    <n v="490"/>
    <n v="80"/>
    <n v="105"/>
    <n v="37"/>
    <m/>
    <n v="30656"/>
    <n v="1336"/>
    <n v="27935"/>
    <n v="1385"/>
    <n v="4015"/>
    <n v="3010"/>
    <m/>
    <m/>
    <n v="104"/>
    <n v="474"/>
    <n v="436"/>
    <n v="811"/>
    <n v="1314"/>
    <n v="1268"/>
    <n v="1044"/>
    <n v="1567"/>
    <n v="6"/>
    <n v="1"/>
    <m/>
    <n v="836"/>
    <n v="1097"/>
    <n v="963"/>
    <n v="76"/>
    <n v="53"/>
    <n v="3974"/>
    <n v="26"/>
    <n v="80"/>
    <n v="87"/>
    <n v="268"/>
    <n v="766"/>
    <n v="213"/>
    <n v="8"/>
    <n v="4"/>
    <n v="4523"/>
    <n v="1071"/>
    <n v="5"/>
    <n v="0"/>
    <n v="0"/>
    <n v="0"/>
    <n v="0"/>
    <n v="0"/>
    <n v="1537"/>
    <n v="3620"/>
    <n v="62"/>
    <n v="1066"/>
    <n v="740"/>
    <n v="423"/>
    <n v="121"/>
    <n v="1594"/>
    <n v="5"/>
    <n v="817"/>
    <n v="281"/>
    <n v="322"/>
    <n v="874"/>
    <n v="569"/>
    <n v="122"/>
    <n v="140"/>
    <n v="144"/>
    <n v="15"/>
    <n v="112"/>
    <n v="808"/>
    <n v="178"/>
    <n v="494"/>
    <n v="2"/>
    <n v="4"/>
    <m/>
    <n v="303"/>
    <n v="67"/>
    <n v="427"/>
    <n v="6"/>
    <n v="16"/>
    <n v="386"/>
    <n v="13"/>
    <n v="5665"/>
    <n v="63"/>
    <n v="3"/>
    <n v="9"/>
    <n v="46"/>
    <n v="8"/>
    <n v="12"/>
    <n v="1"/>
    <m/>
    <n v="7025"/>
    <n v="657"/>
    <n v="6078"/>
    <n v="290"/>
    <n v="2011"/>
  </r>
  <r>
    <n v="106340950"/>
    <s v="340950"/>
    <x v="206"/>
    <s v="6501 COYLE AVENUE"/>
    <s v="CARMICHAEL"/>
    <n v="95608"/>
    <x v="2"/>
    <x v="0"/>
    <x v="57"/>
    <x v="33"/>
    <s v="139b"/>
    <m/>
    <s v="02 - Golden Empire"/>
    <x v="32"/>
    <s v="General Acute Care"/>
    <s v="Non-Profit Corporation (incl. Church-related)"/>
    <s v="General Medical / Surgical"/>
    <n v="370"/>
    <x v="0"/>
    <n v="28146"/>
    <n v="22160"/>
    <n v="3"/>
    <n v="1"/>
    <n v="5464"/>
    <n v="5305"/>
    <n v="9487"/>
    <n v="7146"/>
    <n v="6908"/>
    <n v="5980"/>
    <n v="3260"/>
    <n v="2318"/>
    <n v="3048"/>
    <n v="1391"/>
    <n v="3"/>
    <n v="1711"/>
    <n v="6711"/>
    <n v="5851"/>
    <n v="99"/>
    <n v="722"/>
    <n v="557"/>
    <n v="34659"/>
    <n v="256"/>
    <m/>
    <n v="230"/>
    <n v="234"/>
    <n v="148"/>
    <n v="9"/>
    <n v="7"/>
    <n v="56"/>
    <n v="204"/>
    <n v="1300"/>
    <n v="6"/>
    <n v="47270"/>
    <n v="590"/>
    <m/>
    <m/>
    <n v="19952"/>
    <n v="8977"/>
    <n v="1363"/>
    <n v="8172"/>
    <n v="11846"/>
    <n v="1463"/>
    <n v="200"/>
    <n v="1163"/>
    <n v="10"/>
    <n v="2761"/>
    <n v="652"/>
    <n v="3157"/>
    <n v="947"/>
    <n v="11137"/>
    <n v="3287"/>
    <n v="63"/>
    <n v="2609"/>
    <n v="1842"/>
    <n v="61"/>
    <n v="2209"/>
    <n v="5129"/>
    <n v="2309"/>
    <n v="11311"/>
    <m/>
    <m/>
    <n v="3448"/>
    <n v="311"/>
    <n v="445"/>
    <n v="31"/>
    <n v="805"/>
    <n v="45"/>
    <n v="287"/>
    <n v="464"/>
    <n v="38030"/>
    <n v="3986"/>
    <n v="293"/>
    <n v="1476"/>
    <n v="332"/>
    <n v="274"/>
    <n v="83"/>
    <m/>
    <n v="50310"/>
    <n v="1789"/>
    <n v="47330"/>
    <n v="1191"/>
    <n v="7532"/>
    <n v="6693"/>
    <n v="1"/>
    <m/>
    <n v="308"/>
    <n v="961"/>
    <n v="987"/>
    <n v="1553"/>
    <n v="2430"/>
    <n v="2108"/>
    <n v="2179"/>
    <n v="3299"/>
    <n v="180"/>
    <n v="221"/>
    <m/>
    <n v="670"/>
    <n v="1244"/>
    <n v="1054"/>
    <n v="138"/>
    <n v="99"/>
    <n v="10988"/>
    <n v="33"/>
    <n v="272"/>
    <n v="207"/>
    <n v="672"/>
    <n v="1899"/>
    <n v="526"/>
    <n v="20"/>
    <n v="218"/>
    <n v="8377"/>
    <n v="2009"/>
    <n v="26"/>
    <n v="0"/>
    <n v="0"/>
    <n v="0"/>
    <n v="0"/>
    <n v="0"/>
    <n v="2927"/>
    <n v="7324"/>
    <n v="268"/>
    <n v="1814"/>
    <n v="1893"/>
    <n v="344"/>
    <n v="176"/>
    <n v="2490"/>
    <n v="10"/>
    <n v="1543"/>
    <n v="554"/>
    <n v="688"/>
    <n v="2010"/>
    <n v="2082"/>
    <n v="267"/>
    <n v="368"/>
    <n v="427"/>
    <n v="35"/>
    <n v="436"/>
    <n v="1665"/>
    <n v="292"/>
    <n v="811"/>
    <n v="4"/>
    <n v="24"/>
    <m/>
    <n v="862"/>
    <n v="214"/>
    <n v="1196"/>
    <n v="176"/>
    <n v="94"/>
    <n v="642"/>
    <n v="31"/>
    <n v="10131"/>
    <n v="190"/>
    <n v="67"/>
    <n v="381"/>
    <n v="183"/>
    <n v="34"/>
    <n v="25"/>
    <m/>
    <m/>
    <n v="14226"/>
    <n v="885"/>
    <n v="13097"/>
    <n v="244"/>
    <n v="2011"/>
  </r>
  <r>
    <n v="106340951"/>
    <s v="340951"/>
    <x v="207"/>
    <s v="7500 HOSPITAL DRIVE"/>
    <s v="SACRAMENTO"/>
    <n v="95823"/>
    <x v="0"/>
    <x v="0"/>
    <x v="58"/>
    <x v="33"/>
    <s v="139h"/>
    <m/>
    <s v="02 - Golden Empire"/>
    <x v="32"/>
    <s v="General Acute Care"/>
    <s v="Non-Profit Corporation (incl. Church-related)"/>
    <s v="General Medical / Surgical"/>
    <n v="162"/>
    <x v="0"/>
    <n v="27242"/>
    <n v="19318"/>
    <m/>
    <n v="3"/>
    <n v="6661"/>
    <n v="5537"/>
    <n v="8267"/>
    <n v="6742"/>
    <n v="6145"/>
    <n v="5263"/>
    <n v="2743"/>
    <n v="1816"/>
    <n v="1668"/>
    <n v="1718"/>
    <n v="3"/>
    <n v="6188"/>
    <n v="14848"/>
    <n v="11632"/>
    <n v="79"/>
    <n v="1257"/>
    <n v="345"/>
    <n v="12214"/>
    <n v="367"/>
    <m/>
    <n v="318"/>
    <n v="85"/>
    <n v="88"/>
    <n v="1"/>
    <n v="1"/>
    <n v="25"/>
    <n v="76"/>
    <n v="834"/>
    <n v="44"/>
    <n v="44510"/>
    <n v="207"/>
    <m/>
    <n v="7"/>
    <n v="22634"/>
    <n v="6830"/>
    <n v="946"/>
    <n v="6244"/>
    <n v="9909"/>
    <n v="1564"/>
    <n v="146"/>
    <n v="895"/>
    <n v="7"/>
    <n v="2680"/>
    <n v="701"/>
    <n v="2871"/>
    <n v="1184"/>
    <n v="8124"/>
    <n v="3617"/>
    <n v="57"/>
    <n v="3113"/>
    <n v="1680"/>
    <n v="53"/>
    <n v="1528"/>
    <n v="5581"/>
    <n v="2263"/>
    <n v="10498"/>
    <n v="1"/>
    <m/>
    <n v="2350"/>
    <n v="181"/>
    <n v="259"/>
    <n v="6"/>
    <n v="506"/>
    <n v="57"/>
    <n v="162"/>
    <n v="403"/>
    <n v="38040"/>
    <n v="3316"/>
    <n v="131"/>
    <n v="665"/>
    <n v="182"/>
    <n v="259"/>
    <n v="46"/>
    <m/>
    <n v="46563"/>
    <n v="4039"/>
    <n v="37413"/>
    <n v="5111"/>
    <n v="3371"/>
    <n v="2449"/>
    <m/>
    <m/>
    <n v="97"/>
    <n v="396"/>
    <n v="437"/>
    <n v="689"/>
    <n v="1099"/>
    <n v="1031"/>
    <n v="955"/>
    <n v="1110"/>
    <n v="6"/>
    <m/>
    <m/>
    <n v="1294"/>
    <n v="1209"/>
    <n v="947"/>
    <n v="172"/>
    <n v="25"/>
    <n v="2162"/>
    <n v="11"/>
    <n v="256"/>
    <n v="81"/>
    <n v="291"/>
    <n v="658"/>
    <n v="100"/>
    <m/>
    <n v="148"/>
    <n v="3490"/>
    <n v="783"/>
    <n v="13"/>
    <n v="0"/>
    <n v="0"/>
    <n v="0"/>
    <n v="0"/>
    <n v="0"/>
    <n v="1464"/>
    <n v="2933"/>
    <n v="96"/>
    <n v="572"/>
    <n v="755"/>
    <n v="245"/>
    <n v="83"/>
    <n v="974"/>
    <n v="2"/>
    <n v="919"/>
    <n v="352"/>
    <n v="231"/>
    <n v="914"/>
    <n v="427"/>
    <n v="81"/>
    <n v="102"/>
    <n v="137"/>
    <n v="5"/>
    <n v="78"/>
    <n v="806"/>
    <n v="110"/>
    <n v="348"/>
    <n v="2"/>
    <n v="4"/>
    <m/>
    <n v="254"/>
    <n v="77"/>
    <n v="425"/>
    <n v="11"/>
    <n v="21"/>
    <n v="187"/>
    <n v="6"/>
    <n v="4713"/>
    <n v="55"/>
    <n v="6"/>
    <n v="6"/>
    <n v="46"/>
    <n v="12"/>
    <n v="1"/>
    <m/>
    <m/>
    <n v="5820"/>
    <n v="1192"/>
    <n v="4122"/>
    <n v="506"/>
    <n v="2011"/>
  </r>
  <r>
    <n v="106341006"/>
    <s v="341006"/>
    <x v="208"/>
    <s v="2315 STOCKTON BOULEVARD"/>
    <s v="SACRAMENTO"/>
    <n v="95817"/>
    <x v="8"/>
    <x v="1"/>
    <x v="58"/>
    <x v="33"/>
    <s v="139f"/>
    <m/>
    <s v="02 - Golden Empire"/>
    <x v="32"/>
    <s v="General Acute Care"/>
    <s v="University of California"/>
    <s v="General Medical / Surgical"/>
    <n v="607"/>
    <x v="3"/>
    <n v="23103"/>
    <n v="22385"/>
    <m/>
    <m/>
    <n v="5379"/>
    <n v="4838"/>
    <n v="8219"/>
    <n v="6541"/>
    <n v="6726"/>
    <n v="6435"/>
    <n v="3231"/>
    <n v="1609"/>
    <n v="1142"/>
    <n v="1361"/>
    <n v="7"/>
    <n v="943"/>
    <n v="5615"/>
    <n v="3456"/>
    <n v="46"/>
    <n v="5917"/>
    <n v="21275"/>
    <n v="8236"/>
    <n v="152"/>
    <n v="1494"/>
    <n v="4"/>
    <n v="130"/>
    <n v="18"/>
    <n v="4"/>
    <n v="1"/>
    <m/>
    <n v="157"/>
    <n v="1121"/>
    <n v="105"/>
    <n v="42065"/>
    <n v="235"/>
    <n v="2"/>
    <m/>
    <n v="19127"/>
    <n v="7105"/>
    <n v="8698"/>
    <n v="9348"/>
    <n v="1210"/>
    <n v="652"/>
    <n v="233"/>
    <n v="936"/>
    <n v="22"/>
    <n v="2580"/>
    <n v="690"/>
    <n v="2758"/>
    <n v="1008"/>
    <n v="9719"/>
    <n v="3797"/>
    <n v="136"/>
    <n v="2374"/>
    <n v="1545"/>
    <n v="36"/>
    <n v="2256"/>
    <n v="3705"/>
    <n v="2008"/>
    <n v="11032"/>
    <n v="1"/>
    <m/>
    <n v="2324"/>
    <n v="142"/>
    <n v="154"/>
    <n v="75"/>
    <n v="904"/>
    <n v="16"/>
    <n v="313"/>
    <n v="365"/>
    <n v="35115"/>
    <n v="2985"/>
    <n v="335"/>
    <n v="2049"/>
    <n v="198"/>
    <n v="199"/>
    <n v="314"/>
    <m/>
    <n v="45488"/>
    <n v="132"/>
    <n v="45259"/>
    <n v="97"/>
    <n v="7102"/>
    <n v="8427"/>
    <m/>
    <m/>
    <n v="924"/>
    <n v="1461"/>
    <n v="1419"/>
    <n v="2069"/>
    <n v="3085"/>
    <n v="2159"/>
    <n v="1509"/>
    <n v="1531"/>
    <n v="361"/>
    <n v="1011"/>
    <m/>
    <n v="1089"/>
    <n v="2562"/>
    <n v="1992"/>
    <n v="3441"/>
    <n v="762"/>
    <n v="5644"/>
    <n v="39"/>
    <n v="293"/>
    <n v="222"/>
    <n v="423"/>
    <n v="1305"/>
    <n v="262"/>
    <m/>
    <n v="216"/>
    <n v="11545"/>
    <n v="1131"/>
    <n v="132"/>
    <n v="0"/>
    <n v="0"/>
    <n v="0"/>
    <n v="0"/>
    <n v="0"/>
    <n v="4627"/>
    <n v="5211"/>
    <n v="580"/>
    <n v="3257"/>
    <n v="1854"/>
    <n v="129"/>
    <n v="345"/>
    <n v="2314"/>
    <n v="29"/>
    <n v="1751"/>
    <n v="624"/>
    <n v="548"/>
    <n v="1483"/>
    <n v="4130"/>
    <n v="328"/>
    <n v="398"/>
    <n v="365"/>
    <n v="27"/>
    <n v="252"/>
    <n v="1442"/>
    <n v="444"/>
    <n v="880"/>
    <n v="12"/>
    <n v="28"/>
    <m/>
    <n v="1121"/>
    <n v="162"/>
    <n v="675"/>
    <n v="472"/>
    <n v="97"/>
    <n v="517"/>
    <n v="72"/>
    <n v="10713"/>
    <n v="344"/>
    <n v="188"/>
    <n v="923"/>
    <n v="126"/>
    <n v="53"/>
    <n v="13"/>
    <n v="53"/>
    <m/>
    <n v="15529"/>
    <n v="94"/>
    <n v="15376"/>
    <n v="59"/>
    <n v="2011"/>
  </r>
  <r>
    <n v="106341051"/>
    <s v="341051"/>
    <x v="209"/>
    <s v="2801 L STREET"/>
    <s v="SACRAMENTO"/>
    <n v="95816"/>
    <x v="0"/>
    <x v="0"/>
    <x v="58"/>
    <x v="33"/>
    <s v="139i"/>
    <m/>
    <s v="02 - Golden Empire"/>
    <x v="32"/>
    <s v="General Acute Care"/>
    <s v="Non-Profit Corporation (incl. Church-related)"/>
    <s v="General Medical / Surgical"/>
    <n v="306"/>
    <x v="0"/>
    <n v="21264"/>
    <n v="18632"/>
    <m/>
    <m/>
    <n v="2329"/>
    <n v="2952"/>
    <n v="7721"/>
    <n v="6540"/>
    <n v="7170"/>
    <n v="6156"/>
    <n v="2894"/>
    <n v="1668"/>
    <n v="2106"/>
    <n v="360"/>
    <m/>
    <n v="2223"/>
    <n v="8795"/>
    <n v="7300"/>
    <n v="81"/>
    <n v="259"/>
    <n v="84"/>
    <n v="21154"/>
    <n v="976"/>
    <n v="875"/>
    <m/>
    <n v="119"/>
    <n v="1"/>
    <n v="2"/>
    <m/>
    <n v="25"/>
    <n v="340"/>
    <n v="870"/>
    <m/>
    <n v="36646"/>
    <n v="42"/>
    <m/>
    <m/>
    <n v="8754"/>
    <n v="7764"/>
    <n v="1594"/>
    <n v="10579"/>
    <n v="11205"/>
    <n v="788"/>
    <n v="150"/>
    <n v="1016"/>
    <n v="12"/>
    <n v="2652"/>
    <n v="860"/>
    <n v="2451"/>
    <n v="621"/>
    <n v="8836"/>
    <n v="1987"/>
    <n v="71"/>
    <n v="3096"/>
    <n v="1228"/>
    <n v="3"/>
    <n v="3049"/>
    <n v="3631"/>
    <n v="2000"/>
    <n v="7443"/>
    <m/>
    <n v="2"/>
    <n v="2638"/>
    <n v="173"/>
    <n v="154"/>
    <n v="10"/>
    <n v="656"/>
    <n v="7"/>
    <n v="101"/>
    <n v="395"/>
    <n v="30451"/>
    <n v="3810"/>
    <n v="253"/>
    <n v="902"/>
    <n v="149"/>
    <n v="159"/>
    <n v="38"/>
    <m/>
    <n v="39896"/>
    <n v="856"/>
    <n v="37755"/>
    <n v="1285"/>
    <n v="3611"/>
    <n v="3304"/>
    <m/>
    <m/>
    <n v="63"/>
    <n v="369"/>
    <n v="571"/>
    <n v="970"/>
    <n v="1367"/>
    <n v="1139"/>
    <n v="934"/>
    <n v="1502"/>
    <m/>
    <m/>
    <m/>
    <n v="601"/>
    <n v="1122"/>
    <n v="880"/>
    <n v="51"/>
    <n v="14"/>
    <n v="4237"/>
    <n v="10"/>
    <n v="58"/>
    <n v="127"/>
    <n v="310"/>
    <n v="796"/>
    <n v="168"/>
    <n v="18"/>
    <n v="15"/>
    <n v="4224"/>
    <n v="1169"/>
    <n v="30"/>
    <n v="0"/>
    <n v="0"/>
    <n v="0"/>
    <n v="0"/>
    <n v="0"/>
    <n v="1577"/>
    <n v="3410"/>
    <n v="83"/>
    <n v="845"/>
    <n v="1000"/>
    <n v="21"/>
    <n v="85"/>
    <n v="940"/>
    <n v="3"/>
    <n v="1127"/>
    <n v="341"/>
    <n v="399"/>
    <n v="1094"/>
    <n v="846"/>
    <n v="140"/>
    <n v="208"/>
    <n v="196"/>
    <n v="5"/>
    <n v="182"/>
    <n v="708"/>
    <n v="248"/>
    <n v="372"/>
    <m/>
    <m/>
    <m/>
    <n v="375"/>
    <n v="124"/>
    <n v="626"/>
    <n v="31"/>
    <n v="34"/>
    <n v="382"/>
    <n v="11"/>
    <n v="5083"/>
    <n v="134"/>
    <n v="19"/>
    <n v="13"/>
    <n v="58"/>
    <n v="15"/>
    <n v="10"/>
    <m/>
    <m/>
    <n v="6915"/>
    <n v="351"/>
    <n v="6345"/>
    <n v="219"/>
    <n v="2011"/>
  </r>
  <r>
    <n v="106341052"/>
    <s v="341052"/>
    <x v="210"/>
    <s v="5151 F STREET"/>
    <s v="SACRAMENTO"/>
    <n v="95819"/>
    <x v="0"/>
    <x v="0"/>
    <x v="58"/>
    <x v="33"/>
    <s v="139g"/>
    <m/>
    <s v="02 - Golden Empire"/>
    <x v="32"/>
    <s v="General Acute Care"/>
    <s v="Non-Profit Corporation (incl. Church-related)"/>
    <s v="General Medical / Surgical"/>
    <n v="348"/>
    <x v="0"/>
    <n v="15549"/>
    <n v="10422"/>
    <n v="1"/>
    <m/>
    <n v="5563"/>
    <n v="3075"/>
    <n v="5228"/>
    <n v="3518"/>
    <n v="2493"/>
    <n v="1854"/>
    <n v="942"/>
    <n v="630"/>
    <n v="808"/>
    <n v="1861"/>
    <m/>
    <n v="2062"/>
    <n v="4323"/>
    <n v="7640"/>
    <n v="108"/>
    <n v="210"/>
    <n v="50"/>
    <n v="11579"/>
    <n v="163"/>
    <n v="215"/>
    <m/>
    <n v="23"/>
    <m/>
    <m/>
    <n v="1"/>
    <n v="4"/>
    <n v="8"/>
    <n v="197"/>
    <m/>
    <n v="25348"/>
    <n v="13"/>
    <m/>
    <m/>
    <n v="7119"/>
    <n v="2639"/>
    <n v="538"/>
    <n v="10914"/>
    <n v="4762"/>
    <n v="1426"/>
    <n v="118"/>
    <n v="506"/>
    <n v="9"/>
    <n v="1612"/>
    <n v="300"/>
    <n v="1752"/>
    <n v="653"/>
    <n v="5189"/>
    <n v="890"/>
    <n v="36"/>
    <n v="2140"/>
    <n v="609"/>
    <n v="96"/>
    <n v="573"/>
    <n v="3497"/>
    <n v="1131"/>
    <n v="5435"/>
    <m/>
    <m/>
    <n v="1592"/>
    <n v="138"/>
    <n v="170"/>
    <n v="9"/>
    <n v="226"/>
    <n v="7"/>
    <n v="47"/>
    <n v="292"/>
    <n v="20489"/>
    <n v="2214"/>
    <n v="121"/>
    <n v="456"/>
    <n v="59"/>
    <n v="136"/>
    <n v="15"/>
    <n v="1"/>
    <n v="25972"/>
    <n v="944"/>
    <n v="22744"/>
    <n v="2284"/>
    <n v="2348"/>
    <n v="1825"/>
    <m/>
    <m/>
    <n v="256"/>
    <n v="304"/>
    <n v="274"/>
    <n v="420"/>
    <n v="539"/>
    <n v="508"/>
    <n v="474"/>
    <n v="705"/>
    <n v="272"/>
    <n v="421"/>
    <m/>
    <n v="462"/>
    <n v="540"/>
    <n v="745"/>
    <n v="15"/>
    <n v="11"/>
    <n v="2369"/>
    <n v="31"/>
    <n v="27"/>
    <n v="36"/>
    <n v="98"/>
    <n v="325"/>
    <n v="57"/>
    <n v="10"/>
    <n v="7"/>
    <n v="3279"/>
    <n v="328"/>
    <n v="6"/>
    <n v="0"/>
    <n v="0"/>
    <n v="0"/>
    <n v="0"/>
    <n v="0"/>
    <n v="1491"/>
    <n v="1543"/>
    <n v="56"/>
    <n v="710"/>
    <n v="373"/>
    <n v="146"/>
    <n v="73"/>
    <n v="914"/>
    <n v="35"/>
    <n v="534"/>
    <n v="182"/>
    <n v="242"/>
    <n v="490"/>
    <n v="293"/>
    <n v="46"/>
    <n v="38"/>
    <n v="97"/>
    <n v="3"/>
    <n v="52"/>
    <n v="540"/>
    <n v="129"/>
    <n v="304"/>
    <n v="2"/>
    <n v="53"/>
    <m/>
    <n v="82"/>
    <n v="44"/>
    <n v="298"/>
    <n v="4"/>
    <n v="12"/>
    <n v="267"/>
    <n v="6"/>
    <n v="3364"/>
    <n v="43"/>
    <n v="4"/>
    <n v="2"/>
    <n v="27"/>
    <n v="17"/>
    <n v="1"/>
    <n v="2"/>
    <m/>
    <n v="4173"/>
    <n v="294"/>
    <n v="3602"/>
    <n v="277"/>
    <n v="2011"/>
  </r>
  <r>
    <n v="106342344"/>
    <s v="342344"/>
    <x v="211"/>
    <s v="6600 BRUCEVILLE ROAD"/>
    <s v="SACRAMENTO"/>
    <n v="95823"/>
    <x v="2"/>
    <x v="0"/>
    <x v="58"/>
    <x v="33"/>
    <s v="139h"/>
    <m/>
    <s v="02 - Golden Empire"/>
    <x v="32"/>
    <s v="General Acute Care"/>
    <s v="Non-Profit Corporation (incl. Church-related)"/>
    <s v="General Medical / Surgical"/>
    <n v="217"/>
    <x v="0"/>
    <n v="39615"/>
    <n v="30721"/>
    <n v="1"/>
    <m/>
    <n v="9718"/>
    <n v="9428"/>
    <n v="12172"/>
    <n v="8801"/>
    <n v="8297"/>
    <n v="7729"/>
    <n v="5215"/>
    <n v="3722"/>
    <n v="3335"/>
    <n v="1920"/>
    <m/>
    <n v="8565"/>
    <n v="21173"/>
    <n v="15364"/>
    <n v="341"/>
    <n v="1642"/>
    <n v="569"/>
    <n v="22683"/>
    <n v="382"/>
    <n v="387"/>
    <n v="1"/>
    <n v="151"/>
    <n v="210"/>
    <n v="60"/>
    <n v="4"/>
    <n v="1"/>
    <n v="123"/>
    <n v="1316"/>
    <n v="4"/>
    <n v="67214"/>
    <n v="425"/>
    <n v="54"/>
    <n v="5"/>
    <n v="19386"/>
    <n v="11856"/>
    <n v="1094"/>
    <n v="29839"/>
    <n v="8162"/>
    <n v="1725"/>
    <n v="230"/>
    <n v="1703"/>
    <n v="17"/>
    <n v="3317"/>
    <n v="1184"/>
    <n v="3535"/>
    <n v="1772"/>
    <n v="16154"/>
    <n v="4606"/>
    <n v="103"/>
    <n v="3933"/>
    <n v="1995"/>
    <n v="103"/>
    <n v="3005"/>
    <n v="7026"/>
    <n v="2711"/>
    <n v="17218"/>
    <m/>
    <m/>
    <n v="4592"/>
    <n v="262"/>
    <n v="594"/>
    <n v="37"/>
    <n v="943"/>
    <n v="55"/>
    <n v="458"/>
    <n v="767"/>
    <n v="50730"/>
    <n v="8177"/>
    <n v="276"/>
    <n v="2459"/>
    <n v="389"/>
    <n v="512"/>
    <n v="86"/>
    <m/>
    <n v="70337"/>
    <n v="1783"/>
    <n v="64968"/>
    <n v="3586"/>
    <n v="3811"/>
    <n v="3584"/>
    <m/>
    <m/>
    <n v="209"/>
    <n v="446"/>
    <n v="450"/>
    <n v="724"/>
    <n v="1153"/>
    <n v="1331"/>
    <n v="1371"/>
    <n v="1493"/>
    <n v="90"/>
    <n v="128"/>
    <m/>
    <n v="998"/>
    <n v="1425"/>
    <n v="1135"/>
    <n v="98"/>
    <n v="31"/>
    <n v="3659"/>
    <n v="49"/>
    <n v="269"/>
    <n v="52"/>
    <n v="289"/>
    <n v="1060"/>
    <n v="77"/>
    <n v="4"/>
    <n v="125"/>
    <n v="4588"/>
    <n v="920"/>
    <n v="11"/>
    <n v="0"/>
    <n v="0"/>
    <n v="0"/>
    <n v="0"/>
    <n v="0"/>
    <n v="784"/>
    <n v="3906"/>
    <n v="43"/>
    <n v="2272"/>
    <n v="390"/>
    <n v="87"/>
    <n v="78"/>
    <n v="1344"/>
    <n v="2"/>
    <n v="1174"/>
    <n v="338"/>
    <n v="350"/>
    <n v="1035"/>
    <n v="1298"/>
    <n v="100"/>
    <n v="126"/>
    <n v="118"/>
    <n v="8"/>
    <n v="60"/>
    <n v="870"/>
    <n v="203"/>
    <n v="190"/>
    <n v="3"/>
    <n v="11"/>
    <m/>
    <n v="495"/>
    <n v="79"/>
    <n v="590"/>
    <n v="102"/>
    <n v="36"/>
    <n v="525"/>
    <n v="33"/>
    <n v="4946"/>
    <n v="180"/>
    <n v="30"/>
    <n v="265"/>
    <n v="50"/>
    <n v="48"/>
    <n v="13"/>
    <n v="3"/>
    <m/>
    <n v="7395"/>
    <n v="324"/>
    <n v="6789"/>
    <n v="282"/>
    <n v="2011"/>
  </r>
  <r>
    <n v="106344029"/>
    <s v="344029"/>
    <x v="212"/>
    <s v="1650 CREEKSIDE DRIVE"/>
    <s v="FOLSOM"/>
    <n v="95630"/>
    <x v="0"/>
    <x v="0"/>
    <x v="57"/>
    <x v="2"/>
    <s v="139e"/>
    <m/>
    <s v="02 - Golden Empire"/>
    <x v="32"/>
    <s v="General Acute Care"/>
    <s v="Non-Profit Corporation (incl. Church-related)"/>
    <s v="General Medical / Surgical"/>
    <n v="106"/>
    <x v="0"/>
    <n v="14822"/>
    <n v="11464"/>
    <m/>
    <m/>
    <n v="3383"/>
    <n v="3163"/>
    <n v="4498"/>
    <n v="3697"/>
    <n v="3663"/>
    <n v="2828"/>
    <n v="1708"/>
    <n v="1307"/>
    <n v="1456"/>
    <n v="583"/>
    <m/>
    <n v="1255"/>
    <n v="874"/>
    <n v="2472"/>
    <n v="71"/>
    <n v="183"/>
    <n v="132"/>
    <n v="21299"/>
    <n v="150"/>
    <m/>
    <n v="254"/>
    <n v="43"/>
    <n v="67"/>
    <n v="2"/>
    <m/>
    <n v="71"/>
    <n v="34"/>
    <n v="242"/>
    <n v="1"/>
    <n v="25413"/>
    <n v="9"/>
    <m/>
    <m/>
    <n v="6817"/>
    <n v="3928"/>
    <n v="1136"/>
    <n v="10359"/>
    <n v="4046"/>
    <n v="614"/>
    <n v="38"/>
    <n v="650"/>
    <n v="2"/>
    <n v="1791"/>
    <n v="249"/>
    <n v="1751"/>
    <n v="511"/>
    <n v="6654"/>
    <n v="1341"/>
    <n v="19"/>
    <n v="1295"/>
    <n v="605"/>
    <n v="27"/>
    <n v="901"/>
    <n v="2885"/>
    <n v="966"/>
    <n v="5987"/>
    <m/>
    <m/>
    <n v="2231"/>
    <n v="111"/>
    <n v="144"/>
    <n v="4"/>
    <n v="187"/>
    <n v="12"/>
    <n v="58"/>
    <n v="257"/>
    <n v="19425"/>
    <n v="2782"/>
    <n v="219"/>
    <n v="546"/>
    <n v="99"/>
    <n v="199"/>
    <n v="11"/>
    <n v="1"/>
    <n v="26286"/>
    <n v="666"/>
    <n v="24936"/>
    <n v="684"/>
    <n v="2152"/>
    <n v="1662"/>
    <m/>
    <m/>
    <n v="104"/>
    <n v="241"/>
    <n v="262"/>
    <n v="433"/>
    <n v="564"/>
    <n v="563"/>
    <n v="661"/>
    <n v="981"/>
    <m/>
    <n v="5"/>
    <m/>
    <n v="173"/>
    <n v="59"/>
    <n v="189"/>
    <n v="29"/>
    <n v="20"/>
    <n v="3333"/>
    <n v="11"/>
    <n v="262"/>
    <n v="50"/>
    <n v="134"/>
    <n v="394"/>
    <n v="105"/>
    <n v="1"/>
    <n v="26"/>
    <n v="2440"/>
    <n v="396"/>
    <n v="6"/>
    <n v="0"/>
    <n v="0"/>
    <n v="0"/>
    <n v="0"/>
    <n v="0"/>
    <n v="317"/>
    <n v="2081"/>
    <n v="69"/>
    <n v="961"/>
    <n v="386"/>
    <n v="45"/>
    <n v="53"/>
    <n v="517"/>
    <n v="4"/>
    <n v="717"/>
    <n v="163"/>
    <n v="223"/>
    <n v="726"/>
    <n v="352"/>
    <n v="55"/>
    <n v="73"/>
    <n v="91"/>
    <m/>
    <n v="93"/>
    <n v="372"/>
    <n v="118"/>
    <n v="212"/>
    <m/>
    <m/>
    <m/>
    <n v="249"/>
    <n v="37"/>
    <n v="221"/>
    <n v="5"/>
    <n v="10"/>
    <n v="53"/>
    <n v="24"/>
    <n v="3097"/>
    <n v="54"/>
    <n v="10"/>
    <n v="8"/>
    <n v="37"/>
    <n v="7"/>
    <n v="2"/>
    <m/>
    <m/>
    <n v="3814"/>
    <n v="133"/>
    <n v="3611"/>
    <n v="70"/>
    <n v="2011"/>
  </r>
  <r>
    <n v="106350784"/>
    <s v="350784"/>
    <x v="213"/>
    <s v="911 SUNSET DRIVE"/>
    <s v="HOLLISTER"/>
    <n v="95023"/>
    <x v="0"/>
    <x v="0"/>
    <x v="45"/>
    <x v="24"/>
    <s v="140"/>
    <m/>
    <s v="08 - Mid-Coast"/>
    <x v="33"/>
    <s v="General Acute Care"/>
    <s v="District"/>
    <s v="General Medical / Surgical"/>
    <n v="49"/>
    <x v="0"/>
    <n v="7838"/>
    <n v="6520"/>
    <m/>
    <m/>
    <n v="2805"/>
    <n v="1985"/>
    <n v="2258"/>
    <n v="1744"/>
    <n v="1755"/>
    <n v="1249"/>
    <n v="782"/>
    <n v="529"/>
    <n v="558"/>
    <n v="693"/>
    <m/>
    <n v="115"/>
    <n v="85"/>
    <n v="7712"/>
    <n v="2"/>
    <n v="41"/>
    <n v="348"/>
    <n v="6055"/>
    <n v="325"/>
    <n v="372"/>
    <m/>
    <n v="13"/>
    <n v="1"/>
    <n v="1"/>
    <m/>
    <m/>
    <n v="93"/>
    <n v="33"/>
    <n v="36"/>
    <n v="13440"/>
    <n v="44"/>
    <m/>
    <m/>
    <n v="6342"/>
    <n v="1752"/>
    <n v="419"/>
    <n v="4163"/>
    <n v="1682"/>
    <n v="329"/>
    <n v="46"/>
    <n v="285"/>
    <n v="4"/>
    <n v="738"/>
    <n v="240"/>
    <n v="693"/>
    <n v="435"/>
    <n v="3612"/>
    <n v="637"/>
    <n v="12"/>
    <n v="1187"/>
    <n v="379"/>
    <n v="42"/>
    <n v="375"/>
    <n v="1720"/>
    <n v="585"/>
    <n v="3039"/>
    <m/>
    <m/>
    <n v="963"/>
    <n v="51"/>
    <n v="118"/>
    <n v="11"/>
    <n v="122"/>
    <n v="4"/>
    <n v="61"/>
    <n v="152"/>
    <n v="10538"/>
    <n v="1592"/>
    <n v="108"/>
    <n v="441"/>
    <n v="39"/>
    <n v="100"/>
    <n v="58"/>
    <m/>
    <n v="14358"/>
    <n v="24"/>
    <n v="12250"/>
    <n v="2084"/>
    <n v="864"/>
    <n v="827"/>
    <m/>
    <m/>
    <n v="72"/>
    <n v="126"/>
    <n v="153"/>
    <n v="175"/>
    <n v="230"/>
    <n v="211"/>
    <n v="200"/>
    <n v="452"/>
    <n v="24"/>
    <n v="48"/>
    <m/>
    <n v="19"/>
    <n v="12"/>
    <n v="783"/>
    <n v="12"/>
    <n v="17"/>
    <n v="847"/>
    <n v="1"/>
    <n v="72"/>
    <n v="27"/>
    <n v="43"/>
    <n v="73"/>
    <m/>
    <n v="11"/>
    <n v="8"/>
    <n v="1254"/>
    <n v="203"/>
    <m/>
    <n v="0"/>
    <n v="0"/>
    <n v="0"/>
    <n v="0"/>
    <n v="0"/>
    <n v="339"/>
    <n v="801"/>
    <n v="6"/>
    <n v="349"/>
    <n v="196"/>
    <n v="34"/>
    <n v="26"/>
    <n v="265"/>
    <m/>
    <n v="364"/>
    <n v="106"/>
    <n v="93"/>
    <n v="106"/>
    <n v="148"/>
    <n v="21"/>
    <n v="17"/>
    <n v="22"/>
    <m/>
    <n v="23"/>
    <n v="246"/>
    <n v="69"/>
    <n v="148"/>
    <m/>
    <n v="3"/>
    <m/>
    <n v="87"/>
    <n v="6"/>
    <n v="92"/>
    <n v="4"/>
    <n v="2"/>
    <n v="57"/>
    <n v="7"/>
    <n v="1372"/>
    <n v="27"/>
    <n v="3"/>
    <n v="19"/>
    <n v="8"/>
    <n v="5"/>
    <n v="2"/>
    <m/>
    <m/>
    <n v="1691"/>
    <n v="2"/>
    <n v="1393"/>
    <n v="296"/>
    <n v="2011"/>
  </r>
  <r>
    <n v="106361105"/>
    <s v="361105"/>
    <x v="214"/>
    <s v="555 SOUTH 7TH AVENUE"/>
    <s v="BARSTOW"/>
    <n v="92311"/>
    <x v="0"/>
    <x v="0"/>
    <x v="16"/>
    <x v="9"/>
    <s v="149"/>
    <m/>
    <s v="12 - Inland Counties"/>
    <x v="34"/>
    <s v="General Acute Care"/>
    <s v="Investor - Corporation"/>
    <s v="General Medical / Surgical"/>
    <n v="56"/>
    <x v="0"/>
    <n v="11689"/>
    <n v="9611"/>
    <n v="2"/>
    <m/>
    <n v="3095"/>
    <n v="2619"/>
    <n v="3739"/>
    <n v="3058"/>
    <n v="2861"/>
    <n v="2577"/>
    <n v="1303"/>
    <n v="742"/>
    <n v="528"/>
    <n v="780"/>
    <m/>
    <n v="252"/>
    <n v="3530"/>
    <n v="6179"/>
    <n v="197"/>
    <n v="991"/>
    <n v="112"/>
    <n v="10041"/>
    <n v="514"/>
    <n v="1476"/>
    <n v="5"/>
    <n v="53"/>
    <n v="7"/>
    <n v="3"/>
    <n v="2"/>
    <m/>
    <n v="66"/>
    <n v="22"/>
    <n v="8"/>
    <n v="19099"/>
    <n v="47"/>
    <m/>
    <m/>
    <n v="6761"/>
    <n v="2749"/>
    <n v="2366"/>
    <n v="6474"/>
    <n v="2952"/>
    <n v="712"/>
    <n v="56"/>
    <n v="509"/>
    <n v="7"/>
    <n v="1306"/>
    <n v="345"/>
    <n v="1149"/>
    <n v="414"/>
    <n v="4814"/>
    <n v="866"/>
    <n v="29"/>
    <n v="2116"/>
    <n v="898"/>
    <n v="41"/>
    <n v="632"/>
    <n v="3295"/>
    <n v="1006"/>
    <n v="3107"/>
    <m/>
    <m/>
    <n v="1240"/>
    <n v="72"/>
    <n v="187"/>
    <n v="14"/>
    <n v="246"/>
    <n v="20"/>
    <n v="73"/>
    <n v="291"/>
    <n v="15944"/>
    <n v="2207"/>
    <n v="79"/>
    <n v="698"/>
    <n v="57"/>
    <n v="121"/>
    <n v="53"/>
    <m/>
    <n v="21302"/>
    <n v="38"/>
    <n v="20531"/>
    <n v="733"/>
    <n v="940"/>
    <n v="848"/>
    <m/>
    <n v="1"/>
    <n v="32"/>
    <n v="119"/>
    <n v="141"/>
    <n v="196"/>
    <n v="335"/>
    <n v="300"/>
    <n v="331"/>
    <n v="335"/>
    <m/>
    <m/>
    <m/>
    <n v="22"/>
    <n v="202"/>
    <n v="340"/>
    <n v="226"/>
    <m/>
    <n v="992"/>
    <n v="7"/>
    <n v="110"/>
    <n v="77"/>
    <n v="2"/>
    <n v="133"/>
    <n v="5"/>
    <n v="15"/>
    <m/>
    <n v="1218"/>
    <n v="228"/>
    <n v="1"/>
    <n v="0"/>
    <n v="0"/>
    <n v="0"/>
    <n v="0"/>
    <n v="0"/>
    <n v="347"/>
    <n v="956"/>
    <n v="80"/>
    <n v="239"/>
    <n v="167"/>
    <n v="50"/>
    <n v="40"/>
    <n v="473"/>
    <m/>
    <n v="269"/>
    <n v="117"/>
    <n v="84"/>
    <n v="149"/>
    <n v="69"/>
    <n v="20"/>
    <n v="26"/>
    <n v="47"/>
    <n v="1"/>
    <n v="13"/>
    <n v="274"/>
    <n v="41"/>
    <n v="116"/>
    <m/>
    <m/>
    <m/>
    <n v="52"/>
    <n v="15"/>
    <n v="145"/>
    <n v="3"/>
    <n v="5"/>
    <n v="57"/>
    <n v="11"/>
    <n v="1467"/>
    <n v="19"/>
    <m/>
    <n v="3"/>
    <n v="6"/>
    <n v="2"/>
    <n v="4"/>
    <m/>
    <m/>
    <n v="1789"/>
    <n v="5"/>
    <n v="1740"/>
    <n v="44"/>
    <n v="2011"/>
  </r>
  <r>
    <n v="106361110"/>
    <s v="361110"/>
    <x v="215"/>
    <s v="41870 GARSTIN DRIVE"/>
    <s v="BIG BEAR LAKE"/>
    <n v="92315"/>
    <x v="0"/>
    <x v="0"/>
    <x v="55"/>
    <x v="31"/>
    <s v="146"/>
    <m/>
    <s v="12 - Inland Counties"/>
    <x v="34"/>
    <s v="General Acute Care"/>
    <s v="District"/>
    <s v="General Medical / Surgical"/>
    <n v="9"/>
    <x v="2"/>
    <n v="4903"/>
    <n v="4744"/>
    <m/>
    <m/>
    <n v="969"/>
    <n v="1377"/>
    <n v="1804"/>
    <n v="1148"/>
    <n v="1251"/>
    <n v="1094"/>
    <n v="833"/>
    <n v="609"/>
    <n v="394"/>
    <n v="168"/>
    <m/>
    <n v="144"/>
    <n v="105"/>
    <n v="948"/>
    <n v="12"/>
    <n v="97"/>
    <n v="293"/>
    <n v="8048"/>
    <m/>
    <n v="147"/>
    <n v="821"/>
    <n v="23"/>
    <n v="3"/>
    <n v="1"/>
    <m/>
    <n v="22"/>
    <m/>
    <n v="27"/>
    <m/>
    <n v="8601"/>
    <n v="2"/>
    <m/>
    <m/>
    <n v="2312"/>
    <n v="1766"/>
    <n v="183"/>
    <n v="3530"/>
    <n v="1856"/>
    <n v="256"/>
    <n v="26"/>
    <n v="348"/>
    <n v="2"/>
    <n v="582"/>
    <n v="137"/>
    <n v="458"/>
    <n v="158"/>
    <n v="3758"/>
    <n v="430"/>
    <n v="16"/>
    <n v="562"/>
    <n v="240"/>
    <n v="7"/>
    <n v="213"/>
    <n v="849"/>
    <n v="291"/>
    <n v="1310"/>
    <m/>
    <n v="4"/>
    <n v="1943"/>
    <n v="44"/>
    <n v="94"/>
    <n v="10"/>
    <n v="88"/>
    <n v="7"/>
    <n v="63"/>
    <n v="148"/>
    <n v="5582"/>
    <n v="1218"/>
    <n v="114"/>
    <n v="225"/>
    <n v="35"/>
    <n v="65"/>
    <n v="11"/>
    <m/>
    <n v="9647"/>
    <n v="39"/>
    <n v="9420"/>
    <n v="188"/>
    <n v="154"/>
    <n v="116"/>
    <m/>
    <m/>
    <n v="5"/>
    <n v="14"/>
    <n v="14"/>
    <n v="30"/>
    <n v="48"/>
    <n v="49"/>
    <n v="59"/>
    <n v="51"/>
    <m/>
    <m/>
    <m/>
    <n v="1"/>
    <n v="2"/>
    <n v="13"/>
    <n v="3"/>
    <n v="4"/>
    <n v="247"/>
    <m/>
    <n v="18"/>
    <n v="1"/>
    <n v="1"/>
    <n v="21"/>
    <n v="8"/>
    <m/>
    <n v="2"/>
    <n v="208"/>
    <n v="11"/>
    <m/>
    <n v="0"/>
    <n v="0"/>
    <n v="0"/>
    <n v="0"/>
    <n v="0"/>
    <n v="31"/>
    <n v="123"/>
    <n v="1"/>
    <n v="82"/>
    <n v="33"/>
    <m/>
    <n v="4"/>
    <n v="27"/>
    <n v="1"/>
    <n v="75"/>
    <n v="12"/>
    <n v="17"/>
    <n v="8"/>
    <n v="22"/>
    <n v="4"/>
    <n v="3"/>
    <n v="6"/>
    <m/>
    <n v="1"/>
    <n v="69"/>
    <n v="14"/>
    <n v="7"/>
    <m/>
    <m/>
    <m/>
    <n v="22"/>
    <n v="1"/>
    <n v="15"/>
    <m/>
    <n v="1"/>
    <n v="21"/>
    <n v="4"/>
    <n v="199"/>
    <n v="7"/>
    <m/>
    <m/>
    <m/>
    <m/>
    <m/>
    <m/>
    <m/>
    <n v="270"/>
    <n v="2"/>
    <n v="266"/>
    <n v="2"/>
    <n v="2011"/>
  </r>
  <r>
    <n v="106361144"/>
    <s v="361144"/>
    <x v="216"/>
    <s v="5451 WALNUT AVENUE"/>
    <s v="CHINO"/>
    <n v="91710"/>
    <x v="0"/>
    <x v="0"/>
    <x v="38"/>
    <x v="18"/>
    <s v="151a"/>
    <m/>
    <s v="12 - Inland Counties"/>
    <x v="34"/>
    <s v="General Acute Care"/>
    <s v="Investor - Corporation"/>
    <s v="General Medical / Surgical"/>
    <n v="126"/>
    <x v="0"/>
    <n v="16666"/>
    <n v="14417"/>
    <m/>
    <m/>
    <n v="7768"/>
    <n v="5119"/>
    <n v="5433"/>
    <n v="4208"/>
    <n v="3166"/>
    <n v="2015"/>
    <n v="1075"/>
    <n v="531"/>
    <n v="395"/>
    <n v="1373"/>
    <m/>
    <n v="1009"/>
    <n v="2105"/>
    <n v="20892"/>
    <n v="21"/>
    <n v="451"/>
    <n v="12"/>
    <n v="6593"/>
    <n v="1047"/>
    <n v="584"/>
    <m/>
    <n v="96"/>
    <n v="2"/>
    <m/>
    <m/>
    <n v="1"/>
    <m/>
    <m/>
    <n v="1"/>
    <n v="29346"/>
    <n v="6"/>
    <m/>
    <m/>
    <n v="15468"/>
    <n v="1842"/>
    <n v="1243"/>
    <n v="5981"/>
    <n v="6549"/>
    <n v="716"/>
    <n v="79"/>
    <n v="529"/>
    <n v="8"/>
    <n v="1668"/>
    <n v="232"/>
    <n v="1455"/>
    <n v="387"/>
    <n v="7407"/>
    <n v="1531"/>
    <n v="43"/>
    <n v="1868"/>
    <n v="1694"/>
    <n v="14"/>
    <n v="841"/>
    <n v="5298"/>
    <n v="1372"/>
    <n v="5941"/>
    <m/>
    <m/>
    <n v="2009"/>
    <n v="99"/>
    <n v="274"/>
    <n v="19"/>
    <n v="349"/>
    <n v="7"/>
    <n v="70"/>
    <n v="402"/>
    <n v="23306"/>
    <n v="3286"/>
    <n v="145"/>
    <n v="756"/>
    <n v="94"/>
    <n v="182"/>
    <n v="85"/>
    <m/>
    <n v="31083"/>
    <n v="207"/>
    <n v="23975"/>
    <n v="6901"/>
    <n v="3741"/>
    <n v="2634"/>
    <m/>
    <m/>
    <n v="274"/>
    <n v="508"/>
    <n v="729"/>
    <n v="1053"/>
    <n v="919"/>
    <n v="868"/>
    <n v="925"/>
    <n v="1093"/>
    <m/>
    <n v="6"/>
    <m/>
    <n v="373"/>
    <n v="548"/>
    <n v="3064"/>
    <n v="99"/>
    <n v="4"/>
    <n v="2281"/>
    <n v="6"/>
    <n v="474"/>
    <n v="441"/>
    <n v="124"/>
    <n v="352"/>
    <n v="125"/>
    <n v="2"/>
    <n v="122"/>
    <n v="4244"/>
    <n v="325"/>
    <n v="166"/>
    <n v="0"/>
    <n v="0"/>
    <n v="0"/>
    <n v="0"/>
    <n v="0"/>
    <n v="1759"/>
    <n v="2733"/>
    <n v="125"/>
    <n v="1668"/>
    <n v="90"/>
    <n v="74"/>
    <n v="68"/>
    <n v="853"/>
    <n v="7"/>
    <n v="1480"/>
    <n v="369"/>
    <n v="412"/>
    <n v="349"/>
    <n v="449"/>
    <n v="279"/>
    <n v="70"/>
    <n v="506"/>
    <n v="9"/>
    <n v="164"/>
    <n v="702"/>
    <n v="120"/>
    <n v="464"/>
    <m/>
    <m/>
    <m/>
    <n v="269"/>
    <n v="58"/>
    <n v="312"/>
    <n v="11"/>
    <n v="34"/>
    <n v="119"/>
    <n v="23"/>
    <n v="5251"/>
    <n v="150"/>
    <n v="7"/>
    <n v="29"/>
    <n v="68"/>
    <n v="19"/>
    <n v="24"/>
    <n v="1"/>
    <m/>
    <n v="6375"/>
    <n v="180"/>
    <n v="4954"/>
    <n v="1241"/>
    <n v="2011"/>
  </r>
  <r>
    <n v="106361166"/>
    <s v="361166"/>
    <x v="217"/>
    <s v="5000 SAN BERNARDINO STREET"/>
    <s v="MONTCLAIR"/>
    <n v="91763"/>
    <x v="0"/>
    <x v="0"/>
    <x v="38"/>
    <x v="22"/>
    <s v="151c"/>
    <m/>
    <s v="12 - Inland Counties"/>
    <x v="34"/>
    <s v="General Acute Care"/>
    <s v="Non-Profit Corporation (incl. Church-related)"/>
    <s v="General Medical / Surgical"/>
    <n v="102"/>
    <x v="0"/>
    <n v="9162"/>
    <n v="7108"/>
    <m/>
    <m/>
    <n v="3960"/>
    <n v="2651"/>
    <n v="2929"/>
    <n v="2159"/>
    <n v="1725"/>
    <n v="1171"/>
    <n v="453"/>
    <n v="253"/>
    <n v="149"/>
    <n v="819"/>
    <n v="1"/>
    <n v="289"/>
    <n v="1612"/>
    <n v="10944"/>
    <n v="4"/>
    <n v="248"/>
    <n v="28"/>
    <n v="3145"/>
    <n v="188"/>
    <n v="246"/>
    <n v="7"/>
    <n v="39"/>
    <m/>
    <m/>
    <m/>
    <n v="17"/>
    <m/>
    <n v="73"/>
    <m/>
    <n v="15672"/>
    <n v="28"/>
    <m/>
    <m/>
    <n v="2544"/>
    <n v="943"/>
    <n v="330"/>
    <n v="8946"/>
    <n v="3507"/>
    <n v="633"/>
    <n v="31"/>
    <n v="225"/>
    <n v="3"/>
    <n v="1116"/>
    <n v="135"/>
    <n v="890"/>
    <n v="445"/>
    <n v="3457"/>
    <n v="909"/>
    <n v="32"/>
    <n v="1020"/>
    <n v="528"/>
    <n v="61"/>
    <n v="608"/>
    <n v="3075"/>
    <n v="883"/>
    <n v="2219"/>
    <m/>
    <m/>
    <n v="977"/>
    <n v="46"/>
    <n v="132"/>
    <n v="5"/>
    <n v="174"/>
    <n v="111"/>
    <n v="42"/>
    <n v="179"/>
    <n v="12500"/>
    <n v="1513"/>
    <n v="79"/>
    <n v="331"/>
    <n v="30"/>
    <n v="106"/>
    <n v="45"/>
    <m/>
    <n v="16270"/>
    <n v="14"/>
    <n v="12761"/>
    <n v="3495"/>
    <n v="2076"/>
    <n v="1593"/>
    <m/>
    <m/>
    <n v="157"/>
    <n v="339"/>
    <n v="412"/>
    <n v="590"/>
    <n v="628"/>
    <n v="469"/>
    <n v="433"/>
    <n v="508"/>
    <n v="13"/>
    <n v="120"/>
    <m/>
    <n v="133"/>
    <n v="485"/>
    <n v="1662"/>
    <n v="286"/>
    <n v="11"/>
    <n v="1089"/>
    <n v="3"/>
    <n v="223"/>
    <n v="150"/>
    <n v="72"/>
    <n v="110"/>
    <n v="33"/>
    <n v="6"/>
    <n v="38"/>
    <n v="2299"/>
    <n v="520"/>
    <n v="218"/>
    <n v="0"/>
    <n v="0"/>
    <n v="0"/>
    <n v="0"/>
    <n v="0"/>
    <n v="1625"/>
    <n v="1175"/>
    <n v="300"/>
    <n v="320"/>
    <n v="249"/>
    <n v="149"/>
    <n v="58"/>
    <n v="410"/>
    <m/>
    <n v="551"/>
    <n v="213"/>
    <n v="303"/>
    <n v="465"/>
    <n v="206"/>
    <n v="63"/>
    <n v="31"/>
    <n v="154"/>
    <n v="2"/>
    <n v="90"/>
    <n v="392"/>
    <n v="160"/>
    <n v="421"/>
    <n v="1"/>
    <m/>
    <m/>
    <n v="149"/>
    <n v="36"/>
    <n v="122"/>
    <n v="10"/>
    <n v="22"/>
    <n v="79"/>
    <n v="12"/>
    <n v="3125"/>
    <n v="65"/>
    <m/>
    <n v="11"/>
    <n v="21"/>
    <n v="6"/>
    <n v="11"/>
    <m/>
    <m/>
    <n v="3669"/>
    <n v="15"/>
    <n v="3038"/>
    <n v="616"/>
    <n v="2011"/>
  </r>
  <r>
    <n v="106361223"/>
    <s v="361223"/>
    <x v="218"/>
    <s v="9961 SIERRA AVENUE"/>
    <s v="FONTANA"/>
    <n v="92335"/>
    <x v="0"/>
    <x v="0"/>
    <x v="59"/>
    <x v="22"/>
    <s v="151f"/>
    <m/>
    <s v="12 - Inland Counties"/>
    <x v="34"/>
    <s v="General Acute Care"/>
    <s v="Non-Profit Corporation (incl. Church-related)"/>
    <s v="General Medical / Surgical"/>
    <n v="353"/>
    <x v="0"/>
    <n v="44679"/>
    <n v="33917"/>
    <n v="1"/>
    <m/>
    <n v="11035"/>
    <n v="9246"/>
    <n v="12537"/>
    <n v="9624"/>
    <n v="9653"/>
    <n v="9127"/>
    <n v="6527"/>
    <n v="4704"/>
    <n v="3656"/>
    <n v="2488"/>
    <m/>
    <n v="2017"/>
    <n v="10722"/>
    <n v="36628"/>
    <n v="195"/>
    <n v="1396"/>
    <n v="4482"/>
    <n v="23157"/>
    <n v="260"/>
    <n v="525"/>
    <n v="1"/>
    <n v="93"/>
    <n v="403"/>
    <n v="35"/>
    <n v="33"/>
    <n v="6"/>
    <n v="21"/>
    <n v="623"/>
    <n v="1"/>
    <n v="76373"/>
    <n v="129"/>
    <n v="85"/>
    <n v="9"/>
    <n v="12279"/>
    <n v="12082"/>
    <n v="214"/>
    <n v="41717"/>
    <n v="12305"/>
    <n v="2295"/>
    <n v="463"/>
    <n v="2544"/>
    <n v="40"/>
    <n v="4632"/>
    <n v="1420"/>
    <n v="4883"/>
    <n v="1506"/>
    <n v="14507"/>
    <n v="5257"/>
    <n v="140"/>
    <n v="4688"/>
    <n v="2088"/>
    <n v="220"/>
    <n v="2814"/>
    <n v="8271"/>
    <n v="2448"/>
    <n v="20381"/>
    <m/>
    <m/>
    <n v="4799"/>
    <n v="279"/>
    <n v="979"/>
    <n v="25"/>
    <n v="554"/>
    <n v="31"/>
    <n v="535"/>
    <n v="750"/>
    <n v="61012"/>
    <n v="6877"/>
    <n v="270"/>
    <n v="1767"/>
    <n v="234"/>
    <n v="428"/>
    <n v="57"/>
    <m/>
    <n v="78597"/>
    <n v="471"/>
    <n v="70611"/>
    <n v="7515"/>
    <n v="6670"/>
    <n v="6083"/>
    <m/>
    <m/>
    <n v="411"/>
    <n v="664"/>
    <n v="852"/>
    <n v="1238"/>
    <n v="2154"/>
    <n v="2369"/>
    <n v="2431"/>
    <n v="2190"/>
    <n v="119"/>
    <n v="325"/>
    <m/>
    <n v="430"/>
    <n v="1908"/>
    <n v="3930"/>
    <n v="93"/>
    <n v="88"/>
    <n v="6260"/>
    <n v="44"/>
    <n v="479"/>
    <n v="138"/>
    <n v="421"/>
    <n v="2205"/>
    <n v="119"/>
    <n v="25"/>
    <n v="35"/>
    <n v="8236"/>
    <n v="1087"/>
    <n v="8"/>
    <n v="0"/>
    <n v="0"/>
    <n v="0"/>
    <n v="0"/>
    <n v="0"/>
    <n v="725"/>
    <n v="6181"/>
    <n v="20"/>
    <n v="5314"/>
    <n v="513"/>
    <n v="103"/>
    <n v="265"/>
    <n v="2346"/>
    <n v="23"/>
    <n v="2467"/>
    <n v="702"/>
    <n v="710"/>
    <n v="1573"/>
    <n v="1271"/>
    <n v="275"/>
    <n v="341"/>
    <n v="358"/>
    <n v="16"/>
    <n v="198"/>
    <n v="1351"/>
    <n v="276"/>
    <n v="455"/>
    <n v="1"/>
    <n v="22"/>
    <m/>
    <n v="612"/>
    <n v="84"/>
    <n v="1133"/>
    <n v="17"/>
    <n v="57"/>
    <n v="593"/>
    <n v="39"/>
    <n v="9764"/>
    <n v="273"/>
    <n v="19"/>
    <n v="63"/>
    <n v="54"/>
    <n v="27"/>
    <n v="16"/>
    <n v="2"/>
    <m/>
    <n v="12753"/>
    <n v="76"/>
    <n v="11647"/>
    <n v="1030"/>
    <n v="2011"/>
  </r>
  <r>
    <n v="106361246"/>
    <s v="361246"/>
    <x v="219"/>
    <s v="11234 ANDERSON STREET"/>
    <s v="LOMA LINDA"/>
    <n v="92354"/>
    <x v="8"/>
    <x v="1"/>
    <x v="60"/>
    <x v="31"/>
    <s v="151i"/>
    <m/>
    <s v="12 - Inland Counties"/>
    <x v="34"/>
    <s v="General Acute Care"/>
    <s v="Non-Profit Corporation (incl. Church-related)"/>
    <s v="General Medical / Surgical"/>
    <n v="719"/>
    <x v="0"/>
    <n v="24243"/>
    <n v="20982"/>
    <m/>
    <m/>
    <n v="10685"/>
    <n v="6374"/>
    <n v="6519"/>
    <n v="4743"/>
    <n v="4310"/>
    <n v="3857"/>
    <n v="2580"/>
    <n v="1527"/>
    <n v="1186"/>
    <n v="3444"/>
    <m/>
    <n v="1001"/>
    <n v="4414"/>
    <n v="17964"/>
    <n v="41"/>
    <n v="19"/>
    <n v="79"/>
    <n v="21707"/>
    <n v="334"/>
    <n v="558"/>
    <m/>
    <n v="100"/>
    <n v="1"/>
    <n v="5"/>
    <n v="48"/>
    <n v="2"/>
    <n v="10"/>
    <n v="602"/>
    <m/>
    <n v="43409"/>
    <n v="145"/>
    <n v="11"/>
    <m/>
    <n v="16792"/>
    <n v="5285"/>
    <n v="4843"/>
    <n v="11545"/>
    <n v="6760"/>
    <n v="1005"/>
    <n v="329"/>
    <n v="838"/>
    <n v="48"/>
    <n v="3069"/>
    <n v="648"/>
    <n v="2479"/>
    <n v="982"/>
    <n v="8858"/>
    <n v="2770"/>
    <n v="143"/>
    <n v="2669"/>
    <n v="1760"/>
    <n v="99"/>
    <n v="1424"/>
    <n v="4355"/>
    <n v="1546"/>
    <n v="12202"/>
    <n v="1"/>
    <m/>
    <n v="2209"/>
    <n v="114"/>
    <n v="239"/>
    <n v="11"/>
    <n v="393"/>
    <n v="92"/>
    <n v="315"/>
    <n v="341"/>
    <n v="36302"/>
    <n v="2973"/>
    <n v="173"/>
    <n v="1626"/>
    <n v="109"/>
    <n v="304"/>
    <n v="24"/>
    <m/>
    <n v="45225"/>
    <n v="739"/>
    <n v="38548"/>
    <n v="5938"/>
    <n v="6704"/>
    <n v="6978"/>
    <m/>
    <m/>
    <n v="1683"/>
    <n v="1062"/>
    <n v="868"/>
    <n v="1224"/>
    <n v="1635"/>
    <n v="1667"/>
    <n v="1302"/>
    <n v="1215"/>
    <n v="931"/>
    <n v="2095"/>
    <m/>
    <n v="352"/>
    <n v="1307"/>
    <n v="5750"/>
    <n v="23"/>
    <n v="7"/>
    <n v="6220"/>
    <n v="23"/>
    <n v="232"/>
    <n v="136"/>
    <n v="404"/>
    <n v="1080"/>
    <n v="353"/>
    <n v="38"/>
    <n v="132"/>
    <n v="10338"/>
    <n v="961"/>
    <n v="8"/>
    <n v="0"/>
    <n v="0"/>
    <n v="0"/>
    <n v="0"/>
    <n v="0"/>
    <n v="5261"/>
    <n v="4118"/>
    <n v="453"/>
    <n v="2949"/>
    <n v="901"/>
    <n v="77"/>
    <n v="364"/>
    <n v="2127"/>
    <n v="134"/>
    <n v="1817"/>
    <n v="666"/>
    <n v="652"/>
    <n v="1092"/>
    <n v="2507"/>
    <n v="293"/>
    <n v="455"/>
    <n v="662"/>
    <n v="32"/>
    <n v="122"/>
    <n v="1364"/>
    <n v="314"/>
    <n v="899"/>
    <n v="2"/>
    <n v="103"/>
    <m/>
    <n v="517"/>
    <n v="90"/>
    <n v="931"/>
    <n v="205"/>
    <n v="129"/>
    <n v="997"/>
    <n v="44"/>
    <n v="9941"/>
    <n v="155"/>
    <n v="46"/>
    <n v="490"/>
    <n v="56"/>
    <n v="57"/>
    <n v="21"/>
    <n v="3"/>
    <m/>
    <n v="13682"/>
    <n v="297"/>
    <n v="11164"/>
    <n v="2221"/>
    <n v="2011"/>
  </r>
  <r>
    <n v="106361266"/>
    <s v="361266"/>
    <x v="220"/>
    <s v="29101 HOSPITAL ROAD"/>
    <s v="LAKE ARROWHEAD"/>
    <n v="92352"/>
    <x v="0"/>
    <x v="0"/>
    <x v="30"/>
    <x v="31"/>
    <s v="147"/>
    <m/>
    <s v="12 - Inland Counties"/>
    <x v="34"/>
    <s v="General Acute Care"/>
    <s v="District"/>
    <s v="General Medical / Surgical"/>
    <n v="17"/>
    <x v="2"/>
    <n v="3656"/>
    <n v="2954"/>
    <m/>
    <m/>
    <n v="902"/>
    <n v="1233"/>
    <n v="836"/>
    <n v="653"/>
    <n v="744"/>
    <n v="784"/>
    <n v="624"/>
    <n v="454"/>
    <n v="244"/>
    <n v="136"/>
    <m/>
    <n v="38"/>
    <n v="132"/>
    <n v="769"/>
    <n v="8"/>
    <n v="82"/>
    <n v="7"/>
    <n v="5574"/>
    <n v="563"/>
    <n v="136"/>
    <n v="1"/>
    <n v="8"/>
    <m/>
    <m/>
    <m/>
    <m/>
    <m/>
    <n v="1"/>
    <n v="1"/>
    <n v="5831"/>
    <n v="6"/>
    <n v="18"/>
    <n v="45"/>
    <n v="2315"/>
    <n v="1175"/>
    <n v="201"/>
    <n v="2224"/>
    <n v="695"/>
    <n v="42"/>
    <n v="4"/>
    <n v="227"/>
    <n v="2"/>
    <n v="523"/>
    <n v="91"/>
    <n v="324"/>
    <n v="69"/>
    <n v="1902"/>
    <n v="343"/>
    <n v="8"/>
    <n v="399"/>
    <n v="183"/>
    <n v="4"/>
    <n v="198"/>
    <n v="1019"/>
    <n v="315"/>
    <n v="956"/>
    <m/>
    <n v="1"/>
    <n v="860"/>
    <n v="39"/>
    <n v="10"/>
    <n v="1"/>
    <n v="51"/>
    <m/>
    <n v="1"/>
    <n v="144"/>
    <n v="4638"/>
    <n v="604"/>
    <n v="55"/>
    <n v="116"/>
    <n v="10"/>
    <n v="77"/>
    <n v="4"/>
    <m/>
    <n v="6610"/>
    <n v="10"/>
    <n v="6346"/>
    <n v="254"/>
    <n v="62"/>
    <n v="39"/>
    <m/>
    <m/>
    <n v="8"/>
    <n v="8"/>
    <n v="6"/>
    <n v="14"/>
    <n v="12"/>
    <n v="13"/>
    <n v="14"/>
    <n v="14"/>
    <n v="1"/>
    <n v="11"/>
    <m/>
    <m/>
    <n v="1"/>
    <n v="6"/>
    <m/>
    <m/>
    <n v="94"/>
    <m/>
    <n v="2"/>
    <n v="1"/>
    <m/>
    <m/>
    <m/>
    <m/>
    <n v="1"/>
    <n v="85"/>
    <n v="12"/>
    <m/>
    <n v="0"/>
    <n v="0"/>
    <n v="0"/>
    <n v="0"/>
    <n v="0"/>
    <n v="17"/>
    <n v="38"/>
    <n v="11"/>
    <n v="25"/>
    <n v="10"/>
    <m/>
    <m/>
    <n v="6"/>
    <m/>
    <n v="19"/>
    <n v="1"/>
    <n v="10"/>
    <n v="2"/>
    <n v="4"/>
    <n v="2"/>
    <n v="1"/>
    <n v="3"/>
    <m/>
    <n v="1"/>
    <n v="36"/>
    <n v="9"/>
    <n v="6"/>
    <m/>
    <n v="1"/>
    <m/>
    <n v="7"/>
    <m/>
    <n v="1"/>
    <m/>
    <m/>
    <m/>
    <m/>
    <n v="93"/>
    <m/>
    <m/>
    <m/>
    <m/>
    <m/>
    <m/>
    <m/>
    <m/>
    <n v="101"/>
    <m/>
    <n v="97"/>
    <n v="4"/>
    <n v="2011"/>
  </r>
  <r>
    <n v="106361308"/>
    <s v="361308"/>
    <x v="221"/>
    <s v="350 TERRACINA BOULEVARD"/>
    <s v="REDLANDS"/>
    <n v="92373"/>
    <x v="0"/>
    <x v="0"/>
    <x v="60"/>
    <x v="31"/>
    <s v="151j"/>
    <m/>
    <s v="12 - Inland Counties"/>
    <x v="34"/>
    <s v="General Acute Care"/>
    <s v="Non-Profit Corporation (incl. Church-related)"/>
    <s v="General Medical / Surgical"/>
    <n v="195"/>
    <x v="0"/>
    <n v="20053"/>
    <n v="13713"/>
    <m/>
    <m/>
    <n v="4703"/>
    <n v="4495"/>
    <n v="6369"/>
    <n v="4530"/>
    <n v="3663"/>
    <n v="3378"/>
    <n v="2093"/>
    <n v="1417"/>
    <n v="1892"/>
    <n v="1226"/>
    <m/>
    <n v="444"/>
    <n v="2008"/>
    <n v="10279"/>
    <n v="64"/>
    <n v="688"/>
    <n v="430"/>
    <n v="19853"/>
    <n v="578"/>
    <n v="419"/>
    <m/>
    <n v="63"/>
    <m/>
    <m/>
    <n v="43"/>
    <n v="6"/>
    <m/>
    <m/>
    <n v="2"/>
    <n v="32593"/>
    <n v="62"/>
    <m/>
    <m/>
    <n v="13082"/>
    <n v="4272"/>
    <n v="315"/>
    <n v="9956"/>
    <n v="6141"/>
    <n v="1084"/>
    <n v="96"/>
    <n v="910"/>
    <n v="10"/>
    <n v="1916"/>
    <n v="344"/>
    <n v="1891"/>
    <n v="437"/>
    <n v="6414"/>
    <n v="2463"/>
    <n v="34"/>
    <n v="1943"/>
    <n v="1310"/>
    <n v="104"/>
    <n v="1043"/>
    <n v="4129"/>
    <n v="1502"/>
    <n v="8136"/>
    <m/>
    <m/>
    <n v="2205"/>
    <n v="151"/>
    <n v="304"/>
    <n v="18"/>
    <n v="353"/>
    <n v="2"/>
    <n v="128"/>
    <n v="354"/>
    <n v="26474"/>
    <n v="2765"/>
    <n v="151"/>
    <n v="642"/>
    <n v="55"/>
    <n v="156"/>
    <n v="8"/>
    <m/>
    <n v="33766"/>
    <n v="61"/>
    <n v="33022"/>
    <n v="683"/>
    <n v="3504"/>
    <n v="2603"/>
    <m/>
    <m/>
    <n v="120"/>
    <n v="354"/>
    <n v="373"/>
    <n v="590"/>
    <n v="852"/>
    <n v="1048"/>
    <n v="1099"/>
    <n v="1647"/>
    <n v="9"/>
    <n v="15"/>
    <m/>
    <n v="104"/>
    <n v="293"/>
    <n v="1087"/>
    <n v="83"/>
    <n v="28"/>
    <n v="4495"/>
    <n v="17"/>
    <n v="229"/>
    <n v="71"/>
    <n v="262"/>
    <n v="1255"/>
    <n v="65"/>
    <n v="63"/>
    <n v="116"/>
    <n v="2846"/>
    <n v="1197"/>
    <n v="3"/>
    <n v="0"/>
    <n v="0"/>
    <n v="0"/>
    <n v="0"/>
    <n v="0"/>
    <n v="865"/>
    <n v="3610"/>
    <n v="8"/>
    <n v="1481"/>
    <n v="143"/>
    <n v="25"/>
    <n v="70"/>
    <n v="1007"/>
    <n v="4"/>
    <n v="988"/>
    <n v="263"/>
    <n v="335"/>
    <n v="505"/>
    <n v="477"/>
    <n v="94"/>
    <n v="131"/>
    <n v="93"/>
    <n v="2"/>
    <n v="683"/>
    <n v="854"/>
    <n v="159"/>
    <n v="409"/>
    <m/>
    <n v="8"/>
    <m/>
    <n v="328"/>
    <n v="70"/>
    <n v="383"/>
    <n v="9"/>
    <n v="15"/>
    <n v="204"/>
    <n v="9"/>
    <n v="4899"/>
    <n v="54"/>
    <n v="4"/>
    <n v="9"/>
    <n v="104"/>
    <n v="12"/>
    <n v="7"/>
    <m/>
    <m/>
    <n v="6107"/>
    <n v="20"/>
    <n v="5951"/>
    <n v="136"/>
    <n v="2011"/>
  </r>
  <r>
    <n v="106361318"/>
    <s v="361318"/>
    <x v="222"/>
    <s v="999 SAN BERNARDINO ROAD"/>
    <s v="UPLAND"/>
    <n v="91786"/>
    <x v="0"/>
    <x v="0"/>
    <x v="60"/>
    <x v="31"/>
    <s v="151c"/>
    <m/>
    <s v="12 - Inland Counties"/>
    <x v="34"/>
    <s v="General Acute Care"/>
    <s v="Non-Profit Corporation (incl. Church-related)"/>
    <s v="General Medical / Surgical"/>
    <n v="279"/>
    <x v="0"/>
    <n v="36849"/>
    <n v="27060"/>
    <m/>
    <m/>
    <n v="8453"/>
    <n v="7300"/>
    <n v="10080"/>
    <n v="8542"/>
    <n v="8161"/>
    <n v="7065"/>
    <n v="4805"/>
    <n v="3781"/>
    <n v="3900"/>
    <n v="1822"/>
    <m/>
    <n v="1802"/>
    <n v="7334"/>
    <n v="26085"/>
    <n v="18"/>
    <n v="3842"/>
    <n v="114"/>
    <n v="24714"/>
    <n v="874"/>
    <n v="212"/>
    <n v="32"/>
    <n v="161"/>
    <n v="64"/>
    <n v="1"/>
    <n v="80"/>
    <n v="12"/>
    <m/>
    <n v="137"/>
    <m/>
    <n v="62092"/>
    <n v="244"/>
    <m/>
    <m/>
    <n v="14364"/>
    <n v="12265"/>
    <n v="1704"/>
    <n v="25206"/>
    <n v="10370"/>
    <n v="1470"/>
    <n v="345"/>
    <n v="2074"/>
    <n v="13"/>
    <n v="3222"/>
    <n v="1114"/>
    <n v="4021"/>
    <n v="1464"/>
    <n v="14367"/>
    <n v="4151"/>
    <n v="136"/>
    <n v="2960"/>
    <n v="1188"/>
    <n v="68"/>
    <n v="1201"/>
    <n v="6681"/>
    <n v="2245"/>
    <n v="17188"/>
    <n v="1"/>
    <m/>
    <n v="4990"/>
    <n v="327"/>
    <n v="632"/>
    <n v="23"/>
    <n v="545"/>
    <n v="204"/>
    <n v="160"/>
    <n v="596"/>
    <n v="48788"/>
    <n v="5083"/>
    <n v="259"/>
    <n v="1666"/>
    <n v="174"/>
    <n v="352"/>
    <n v="110"/>
    <m/>
    <n v="63909"/>
    <n v="524"/>
    <n v="60398"/>
    <n v="2987"/>
    <n v="5584"/>
    <n v="4677"/>
    <m/>
    <m/>
    <n v="338"/>
    <n v="605"/>
    <n v="766"/>
    <n v="1038"/>
    <n v="1598"/>
    <n v="1627"/>
    <n v="1775"/>
    <n v="2090"/>
    <n v="130"/>
    <n v="294"/>
    <m/>
    <n v="390"/>
    <n v="845"/>
    <n v="3378"/>
    <n v="583"/>
    <n v="45"/>
    <n v="5016"/>
    <n v="4"/>
    <n v="193"/>
    <n v="91"/>
    <n v="297"/>
    <n v="1050"/>
    <n v="65"/>
    <m/>
    <n v="304"/>
    <n v="6704"/>
    <n v="1557"/>
    <m/>
    <n v="0"/>
    <n v="0"/>
    <n v="0"/>
    <n v="0"/>
    <n v="0"/>
    <n v="939"/>
    <n v="5309"/>
    <n v="133"/>
    <n v="3193"/>
    <n v="687"/>
    <n v="255"/>
    <n v="206"/>
    <n v="2268"/>
    <n v="7"/>
    <n v="1908"/>
    <n v="559"/>
    <n v="581"/>
    <n v="783"/>
    <n v="976"/>
    <n v="147"/>
    <n v="243"/>
    <n v="202"/>
    <n v="8"/>
    <n v="75"/>
    <n v="1384"/>
    <n v="157"/>
    <n v="474"/>
    <m/>
    <n v="28"/>
    <m/>
    <n v="459"/>
    <n v="82"/>
    <n v="580"/>
    <n v="19"/>
    <n v="21"/>
    <n v="97"/>
    <n v="19"/>
    <n v="8770"/>
    <n v="98"/>
    <n v="6"/>
    <n v="34"/>
    <n v="60"/>
    <n v="9"/>
    <n v="6"/>
    <n v="1"/>
    <m/>
    <n v="10261"/>
    <n v="197"/>
    <n v="9337"/>
    <n v="727"/>
    <n v="2011"/>
  </r>
  <r>
    <n v="106361323"/>
    <s v="361323"/>
    <x v="223"/>
    <s v="1805 MEDICAL CENTER DRIVE"/>
    <s v="SAN BERNARDINO"/>
    <n v="92411"/>
    <x v="0"/>
    <x v="0"/>
    <x v="59"/>
    <x v="22"/>
    <s v="151g"/>
    <m/>
    <s v="12 - Inland Counties"/>
    <x v="34"/>
    <s v="General Acute Care"/>
    <s v="Non-Profit Corporation (incl. Church-related)"/>
    <s v="General Medical / Surgical"/>
    <n v="196"/>
    <x v="0"/>
    <n v="22611"/>
    <n v="16626"/>
    <n v="1"/>
    <m/>
    <n v="9462"/>
    <n v="6151"/>
    <n v="7153"/>
    <n v="4920"/>
    <n v="3873"/>
    <n v="2775"/>
    <n v="1219"/>
    <n v="681"/>
    <n v="409"/>
    <n v="2595"/>
    <m/>
    <n v="456"/>
    <n v="8166"/>
    <n v="22760"/>
    <n v="38"/>
    <n v="405"/>
    <n v="93"/>
    <n v="7320"/>
    <n v="526"/>
    <n v="966"/>
    <m/>
    <n v="60"/>
    <n v="9"/>
    <n v="2"/>
    <n v="17"/>
    <m/>
    <m/>
    <n v="33"/>
    <n v="44"/>
    <n v="37520"/>
    <n v="61"/>
    <m/>
    <m/>
    <n v="24327"/>
    <n v="2466"/>
    <n v="745"/>
    <n v="3349"/>
    <n v="8351"/>
    <n v="1576"/>
    <n v="142"/>
    <n v="444"/>
    <n v="11"/>
    <n v="2409"/>
    <n v="371"/>
    <n v="2551"/>
    <n v="890"/>
    <n v="7447"/>
    <n v="1578"/>
    <n v="85"/>
    <n v="3053"/>
    <n v="1756"/>
    <n v="125"/>
    <n v="741"/>
    <n v="7272"/>
    <n v="2182"/>
    <n v="6605"/>
    <m/>
    <m/>
    <n v="2383"/>
    <n v="99"/>
    <n v="242"/>
    <n v="14"/>
    <n v="522"/>
    <n v="60"/>
    <n v="138"/>
    <n v="646"/>
    <n v="31154"/>
    <n v="3000"/>
    <n v="133"/>
    <n v="552"/>
    <n v="34"/>
    <n v="255"/>
    <n v="6"/>
    <m/>
    <n v="39238"/>
    <n v="15"/>
    <n v="32946"/>
    <n v="6277"/>
    <n v="3385"/>
    <n v="2681"/>
    <m/>
    <m/>
    <n v="262"/>
    <n v="660"/>
    <n v="766"/>
    <n v="1051"/>
    <n v="1195"/>
    <n v="730"/>
    <n v="530"/>
    <n v="420"/>
    <n v="262"/>
    <n v="190"/>
    <m/>
    <n v="97"/>
    <n v="1407"/>
    <n v="2790"/>
    <n v="62"/>
    <n v="1"/>
    <n v="1704"/>
    <n v="5"/>
    <n v="144"/>
    <n v="220"/>
    <n v="82"/>
    <n v="309"/>
    <n v="230"/>
    <n v="18"/>
    <n v="8"/>
    <n v="4617"/>
    <n v="433"/>
    <n v="5"/>
    <n v="0"/>
    <n v="0"/>
    <n v="0"/>
    <n v="0"/>
    <n v="0"/>
    <n v="3195"/>
    <n v="1629"/>
    <n v="60"/>
    <n v="542"/>
    <n v="640"/>
    <n v="186"/>
    <n v="132"/>
    <n v="737"/>
    <n v="4"/>
    <n v="816"/>
    <n v="256"/>
    <n v="263"/>
    <n v="352"/>
    <n v="254"/>
    <n v="76"/>
    <n v="65"/>
    <n v="67"/>
    <n v="4"/>
    <n v="1327"/>
    <n v="783"/>
    <n v="136"/>
    <n v="545"/>
    <n v="3"/>
    <n v="60"/>
    <m/>
    <n v="153"/>
    <n v="53"/>
    <n v="149"/>
    <n v="13"/>
    <n v="47"/>
    <n v="59"/>
    <n v="17"/>
    <n v="5380"/>
    <n v="56"/>
    <n v="5"/>
    <n v="5"/>
    <n v="111"/>
    <n v="5"/>
    <n v="13"/>
    <m/>
    <m/>
    <n v="6066"/>
    <n v="4"/>
    <n v="5248"/>
    <n v="814"/>
    <n v="2011"/>
  </r>
  <r>
    <n v="106361339"/>
    <s v="361339"/>
    <x v="224"/>
    <s v="2101 NORTH WATERMAN AVENUE"/>
    <s v="SAN BERNARDINO"/>
    <n v="92404"/>
    <x v="0"/>
    <x v="0"/>
    <x v="59"/>
    <x v="22"/>
    <s v="151k"/>
    <m/>
    <s v="12 - Inland Counties"/>
    <x v="34"/>
    <s v="General Acute Care"/>
    <s v="Non-Profit Corporation (incl. Church-related)"/>
    <s v="General Medical / Surgical"/>
    <n v="427"/>
    <x v="0"/>
    <n v="33996"/>
    <n v="25036"/>
    <m/>
    <m/>
    <n v="10972"/>
    <n v="7925"/>
    <n v="11141"/>
    <n v="7577"/>
    <n v="6639"/>
    <n v="5725"/>
    <n v="3013"/>
    <n v="1799"/>
    <n v="1428"/>
    <n v="2813"/>
    <m/>
    <n v="911"/>
    <n v="15502"/>
    <n v="25728"/>
    <n v="81"/>
    <n v="371"/>
    <n v="569"/>
    <n v="15870"/>
    <n v="672"/>
    <n v="3082"/>
    <n v="4"/>
    <n v="125"/>
    <m/>
    <m/>
    <m/>
    <m/>
    <m/>
    <m/>
    <m/>
    <n v="55149"/>
    <m/>
    <m/>
    <m/>
    <n v="31235"/>
    <n v="6649"/>
    <n v="1466"/>
    <n v="5597"/>
    <n v="14085"/>
    <n v="2236"/>
    <n v="178"/>
    <n v="1003"/>
    <n v="7"/>
    <n v="2911"/>
    <n v="995"/>
    <n v="3397"/>
    <n v="1126"/>
    <n v="10104"/>
    <n v="4206"/>
    <n v="65"/>
    <n v="3591"/>
    <n v="1986"/>
    <n v="149"/>
    <n v="1346"/>
    <n v="7395"/>
    <n v="3109"/>
    <n v="15227"/>
    <n v="1"/>
    <m/>
    <n v="3105"/>
    <n v="190"/>
    <n v="335"/>
    <n v="24"/>
    <n v="969"/>
    <n v="24"/>
    <n v="198"/>
    <n v="873"/>
    <n v="47734"/>
    <n v="4199"/>
    <n v="140"/>
    <n v="806"/>
    <n v="136"/>
    <n v="243"/>
    <n v="56"/>
    <m/>
    <n v="59032"/>
    <n v="101"/>
    <n v="56699"/>
    <n v="2232"/>
    <n v="4175"/>
    <n v="3721"/>
    <m/>
    <m/>
    <n v="132"/>
    <n v="372"/>
    <n v="485"/>
    <n v="974"/>
    <n v="1494"/>
    <n v="1512"/>
    <n v="1405"/>
    <n v="1353"/>
    <n v="94"/>
    <n v="75"/>
    <m/>
    <n v="193"/>
    <n v="1431"/>
    <n v="2623"/>
    <n v="115"/>
    <n v="33"/>
    <n v="3492"/>
    <n v="9"/>
    <n v="372"/>
    <n v="170"/>
    <n v="274"/>
    <n v="774"/>
    <n v="271"/>
    <n v="45"/>
    <n v="5"/>
    <n v="4994"/>
    <n v="972"/>
    <n v="19"/>
    <n v="0"/>
    <n v="0"/>
    <n v="0"/>
    <n v="0"/>
    <n v="0"/>
    <n v="2209"/>
    <n v="3763"/>
    <n v="155"/>
    <n v="1057"/>
    <n v="712"/>
    <n v="93"/>
    <n v="231"/>
    <n v="2000"/>
    <n v="3"/>
    <n v="1088"/>
    <n v="412"/>
    <n v="340"/>
    <n v="677"/>
    <n v="604"/>
    <n v="111"/>
    <n v="172"/>
    <n v="225"/>
    <n v="7"/>
    <n v="49"/>
    <n v="990"/>
    <n v="164"/>
    <n v="712"/>
    <m/>
    <n v="18"/>
    <m/>
    <n v="315"/>
    <n v="70"/>
    <n v="509"/>
    <n v="6"/>
    <n v="28"/>
    <n v="432"/>
    <n v="16"/>
    <n v="6345"/>
    <n v="78"/>
    <n v="5"/>
    <n v="18"/>
    <n v="32"/>
    <n v="22"/>
    <n v="20"/>
    <m/>
    <m/>
    <n v="7896"/>
    <n v="40"/>
    <n v="7343"/>
    <n v="513"/>
    <n v="2011"/>
  </r>
  <r>
    <n v="106361343"/>
    <s v="361343"/>
    <x v="225"/>
    <s v="18300 HIGHWAY 18"/>
    <s v="APPLE VALLEY"/>
    <n v="92307"/>
    <x v="0"/>
    <x v="0"/>
    <x v="30"/>
    <x v="11"/>
    <s v="145.1b"/>
    <m/>
    <s v="12 - Inland Counties"/>
    <x v="34"/>
    <s v="General Acute Care"/>
    <s v="Non-Profit Corporation (incl. Church-related)"/>
    <s v="General Medical / Surgical"/>
    <n v="206"/>
    <x v="0"/>
    <n v="32111"/>
    <n v="23148"/>
    <n v="4"/>
    <m/>
    <n v="9611"/>
    <n v="8005"/>
    <n v="9870"/>
    <n v="7160"/>
    <n v="6491"/>
    <n v="5542"/>
    <n v="2922"/>
    <n v="1672"/>
    <n v="1306"/>
    <n v="2684"/>
    <m/>
    <n v="228"/>
    <n v="7859"/>
    <n v="13759"/>
    <n v="59"/>
    <n v="1507"/>
    <n v="287"/>
    <n v="31564"/>
    <n v="1268"/>
    <n v="414"/>
    <m/>
    <n v="54"/>
    <m/>
    <m/>
    <m/>
    <n v="33"/>
    <n v="168"/>
    <n v="152"/>
    <m/>
    <n v="53128"/>
    <n v="46"/>
    <m/>
    <m/>
    <n v="6526"/>
    <n v="2244"/>
    <n v="2649"/>
    <n v="34697"/>
    <n v="9147"/>
    <n v="2759"/>
    <n v="231"/>
    <n v="1175"/>
    <n v="17"/>
    <n v="2419"/>
    <n v="659"/>
    <n v="3467"/>
    <n v="658"/>
    <n v="10315"/>
    <n v="3304"/>
    <n v="104"/>
    <n v="3800"/>
    <n v="1514"/>
    <n v="221"/>
    <n v="868"/>
    <n v="7565"/>
    <n v="2507"/>
    <n v="13680"/>
    <m/>
    <m/>
    <n v="3276"/>
    <n v="156"/>
    <n v="292"/>
    <n v="35"/>
    <n v="560"/>
    <n v="54"/>
    <n v="312"/>
    <n v="457"/>
    <n v="43278"/>
    <n v="4459"/>
    <n v="254"/>
    <n v="1580"/>
    <n v="154"/>
    <n v="340"/>
    <n v="56"/>
    <m/>
    <n v="55263"/>
    <n v="174"/>
    <n v="53146"/>
    <n v="1943"/>
    <n v="5942"/>
    <n v="5163"/>
    <m/>
    <m/>
    <n v="233"/>
    <n v="574"/>
    <n v="667"/>
    <n v="1353"/>
    <n v="2044"/>
    <n v="2071"/>
    <n v="1986"/>
    <n v="1707"/>
    <n v="220"/>
    <n v="250"/>
    <m/>
    <n v="103"/>
    <n v="1391"/>
    <n v="1993"/>
    <n v="141"/>
    <n v="19"/>
    <n v="7452"/>
    <n v="6"/>
    <n v="272"/>
    <n v="321"/>
    <n v="222"/>
    <n v="1177"/>
    <n v="80"/>
    <n v="10"/>
    <n v="14"/>
    <n v="8215"/>
    <n v="784"/>
    <n v="10"/>
    <n v="0"/>
    <n v="0"/>
    <n v="0"/>
    <n v="0"/>
    <n v="0"/>
    <n v="1195"/>
    <n v="3866"/>
    <n v="262"/>
    <n v="4894"/>
    <n v="888"/>
    <n v="111"/>
    <n v="134"/>
    <n v="2705"/>
    <n v="6"/>
    <n v="1786"/>
    <n v="532"/>
    <n v="711"/>
    <n v="600"/>
    <n v="693"/>
    <n v="148"/>
    <n v="222"/>
    <n v="286"/>
    <n v="6"/>
    <n v="56"/>
    <n v="1382"/>
    <n v="286"/>
    <n v="1385"/>
    <m/>
    <n v="56"/>
    <m/>
    <n v="375"/>
    <n v="68"/>
    <n v="902"/>
    <n v="11"/>
    <n v="45"/>
    <n v="686"/>
    <n v="58"/>
    <n v="8743"/>
    <n v="112"/>
    <n v="7"/>
    <n v="28"/>
    <n v="26"/>
    <n v="25"/>
    <n v="16"/>
    <n v="3"/>
    <m/>
    <n v="11105"/>
    <n v="50"/>
    <n v="10517"/>
    <n v="538"/>
    <n v="2011"/>
  </r>
  <r>
    <n v="106361370"/>
    <s v="361370"/>
    <x v="226"/>
    <s v="15248 ELEVENTH STREET"/>
    <s v="VICTORVILLE"/>
    <n v="92392"/>
    <x v="0"/>
    <x v="0"/>
    <x v="19"/>
    <x v="11"/>
    <s v="145.1a"/>
    <m/>
    <s v="12 - Inland Counties"/>
    <x v="34"/>
    <s v="General Acute Care"/>
    <s v="City and/or County"/>
    <s v="General Medical / Surgical"/>
    <n v="101"/>
    <x v="0"/>
    <n v="19382"/>
    <n v="13545"/>
    <m/>
    <m/>
    <n v="6262"/>
    <n v="5390"/>
    <n v="5988"/>
    <n v="4873"/>
    <n v="4138"/>
    <n v="2590"/>
    <n v="1182"/>
    <n v="512"/>
    <n v="401"/>
    <n v="1591"/>
    <m/>
    <n v="297"/>
    <n v="8443"/>
    <n v="12832"/>
    <n v="30"/>
    <n v="271"/>
    <n v="289"/>
    <n v="10765"/>
    <n v="341"/>
    <n v="3102"/>
    <n v="3"/>
    <n v="99"/>
    <n v="4"/>
    <m/>
    <m/>
    <n v="160"/>
    <n v="19"/>
    <n v="3"/>
    <n v="2"/>
    <n v="29116"/>
    <n v="9"/>
    <m/>
    <n v="69"/>
    <n v="6426"/>
    <n v="2246"/>
    <n v="435"/>
    <n v="16988"/>
    <n v="6832"/>
    <n v="1087"/>
    <n v="100"/>
    <n v="497"/>
    <n v="13"/>
    <n v="1782"/>
    <n v="350"/>
    <n v="2400"/>
    <n v="966"/>
    <n v="6484"/>
    <n v="1857"/>
    <n v="60"/>
    <n v="2328"/>
    <n v="2202"/>
    <n v="82"/>
    <n v="657"/>
    <n v="4705"/>
    <n v="1342"/>
    <n v="6014"/>
    <m/>
    <n v="1"/>
    <n v="1856"/>
    <n v="106"/>
    <n v="153"/>
    <n v="9"/>
    <n v="408"/>
    <n v="51"/>
    <n v="26"/>
    <n v="306"/>
    <n v="26289"/>
    <n v="2551"/>
    <n v="139"/>
    <n v="759"/>
    <n v="90"/>
    <n v="127"/>
    <n v="57"/>
    <m/>
    <n v="32927"/>
    <n v="71"/>
    <n v="31799"/>
    <n v="1057"/>
    <n v="1497"/>
    <n v="1108"/>
    <m/>
    <m/>
    <n v="111"/>
    <n v="206"/>
    <n v="245"/>
    <n v="437"/>
    <n v="493"/>
    <n v="406"/>
    <n v="286"/>
    <n v="228"/>
    <n v="90"/>
    <n v="103"/>
    <m/>
    <n v="51"/>
    <n v="592"/>
    <n v="765"/>
    <n v="29"/>
    <n v="2"/>
    <n v="1164"/>
    <n v="2"/>
    <n v="72"/>
    <n v="101"/>
    <n v="59"/>
    <n v="73"/>
    <n v="22"/>
    <n v="11"/>
    <n v="5"/>
    <n v="2097"/>
    <n v="147"/>
    <n v="18"/>
    <n v="0"/>
    <n v="0"/>
    <n v="0"/>
    <n v="0"/>
    <n v="0"/>
    <n v="1128"/>
    <n v="842"/>
    <n v="94"/>
    <n v="318"/>
    <n v="223"/>
    <n v="83"/>
    <n v="45"/>
    <n v="456"/>
    <n v="2"/>
    <n v="505"/>
    <n v="155"/>
    <n v="162"/>
    <n v="109"/>
    <n v="154"/>
    <n v="28"/>
    <n v="38"/>
    <n v="72"/>
    <n v="2"/>
    <n v="16"/>
    <n v="457"/>
    <n v="66"/>
    <n v="239"/>
    <n v="1"/>
    <n v="15"/>
    <m/>
    <n v="70"/>
    <n v="24"/>
    <n v="130"/>
    <n v="2"/>
    <n v="13"/>
    <n v="27"/>
    <n v="4"/>
    <n v="2276"/>
    <n v="14"/>
    <n v="3"/>
    <n v="4"/>
    <n v="21"/>
    <n v="7"/>
    <n v="10"/>
    <m/>
    <m/>
    <n v="2605"/>
    <n v="6"/>
    <n v="2473"/>
    <n v="126"/>
    <n v="2011"/>
  </r>
  <r>
    <n v="106361458"/>
    <s v="361458"/>
    <x v="227"/>
    <s v="1401 BAILEY AVENUE"/>
    <s v="NEEDLES"/>
    <n v="92363"/>
    <x v="0"/>
    <x v="0"/>
    <x v="16"/>
    <x v="9"/>
    <s v="143"/>
    <m/>
    <s v="12 - Inland Counties"/>
    <x v="34"/>
    <s v="General Acute Care"/>
    <s v="City and/or County"/>
    <s v="General Medical / Surgical"/>
    <n v="25"/>
    <x v="0"/>
    <n v="3992"/>
    <n v="3424"/>
    <m/>
    <m/>
    <n v="730"/>
    <n v="749"/>
    <n v="1171"/>
    <n v="1051"/>
    <n v="1328"/>
    <n v="1160"/>
    <n v="643"/>
    <n v="301"/>
    <n v="190"/>
    <n v="93"/>
    <m/>
    <n v="22"/>
    <n v="215"/>
    <n v="867"/>
    <n v="495"/>
    <n v="2"/>
    <n v="1"/>
    <n v="5814"/>
    <n v="246"/>
    <n v="174"/>
    <n v="36"/>
    <n v="13"/>
    <m/>
    <m/>
    <m/>
    <m/>
    <m/>
    <n v="2"/>
    <m/>
    <n v="6820"/>
    <m/>
    <m/>
    <n v="125"/>
    <n v="3059"/>
    <n v="1439"/>
    <n v="175"/>
    <n v="1442"/>
    <n v="1301"/>
    <n v="29"/>
    <n v="17"/>
    <n v="181"/>
    <n v="3"/>
    <n v="449"/>
    <n v="139"/>
    <n v="240"/>
    <n v="108"/>
    <n v="1392"/>
    <n v="1073"/>
    <n v="12"/>
    <n v="603"/>
    <n v="229"/>
    <n v="1"/>
    <n v="290"/>
    <n v="1177"/>
    <n v="350"/>
    <n v="1123"/>
    <m/>
    <m/>
    <n v="443"/>
    <n v="12"/>
    <n v="68"/>
    <n v="8"/>
    <n v="89"/>
    <n v="53"/>
    <n v="36"/>
    <n v="136"/>
    <n v="5775"/>
    <n v="547"/>
    <n v="30"/>
    <n v="188"/>
    <n v="7"/>
    <n v="17"/>
    <n v="7"/>
    <m/>
    <n v="7416"/>
    <n v="17"/>
    <n v="7317"/>
    <n v="82"/>
    <n v="108"/>
    <n v="127"/>
    <m/>
    <m/>
    <n v="4"/>
    <n v="13"/>
    <n v="11"/>
    <n v="40"/>
    <n v="47"/>
    <n v="49"/>
    <n v="40"/>
    <n v="26"/>
    <m/>
    <n v="5"/>
    <m/>
    <n v="1"/>
    <n v="2"/>
    <n v="23"/>
    <m/>
    <m/>
    <n v="177"/>
    <n v="32"/>
    <n v="11"/>
    <n v="5"/>
    <n v="4"/>
    <n v="1"/>
    <m/>
    <m/>
    <n v="2"/>
    <n v="210"/>
    <n v="2"/>
    <m/>
    <n v="0"/>
    <n v="0"/>
    <n v="0"/>
    <n v="0"/>
    <n v="0"/>
    <n v="65"/>
    <n v="105"/>
    <n v="10"/>
    <n v="39"/>
    <n v="16"/>
    <m/>
    <n v="8"/>
    <n v="23"/>
    <m/>
    <n v="45"/>
    <n v="33"/>
    <n v="8"/>
    <n v="2"/>
    <n v="33"/>
    <n v="2"/>
    <n v="4"/>
    <n v="5"/>
    <m/>
    <n v="10"/>
    <n v="45"/>
    <n v="4"/>
    <n v="13"/>
    <m/>
    <m/>
    <m/>
    <n v="22"/>
    <n v="2"/>
    <n v="1"/>
    <n v="2"/>
    <n v="1"/>
    <n v="6"/>
    <n v="1"/>
    <n v="182"/>
    <n v="2"/>
    <m/>
    <n v="14"/>
    <n v="1"/>
    <m/>
    <n v="1"/>
    <m/>
    <m/>
    <n v="235"/>
    <m/>
    <n v="232"/>
    <n v="3"/>
    <n v="2011"/>
  </r>
  <r>
    <n v="106362041"/>
    <s v="362041"/>
    <x v="228"/>
    <s v="6601 WHITE FEATHER ROAD"/>
    <s v="JOSHUA TREE"/>
    <n v="92252"/>
    <x v="0"/>
    <x v="0"/>
    <x v="55"/>
    <x v="9"/>
    <s v="144.2"/>
    <m/>
    <s v="12 - Inland Counties"/>
    <x v="34"/>
    <s v="General Acute Care"/>
    <s v="District"/>
    <s v="General Medical / Surgical"/>
    <n v="59"/>
    <x v="0"/>
    <n v="11374"/>
    <n v="8442"/>
    <m/>
    <m/>
    <n v="2878"/>
    <n v="2559"/>
    <n v="4087"/>
    <n v="2791"/>
    <n v="2664"/>
    <n v="2301"/>
    <n v="909"/>
    <n v="432"/>
    <n v="440"/>
    <n v="755"/>
    <m/>
    <n v="361"/>
    <n v="1331"/>
    <n v="2434"/>
    <n v="61"/>
    <n v="509"/>
    <n v="50"/>
    <n v="15070"/>
    <n v="481"/>
    <n v="671"/>
    <m/>
    <n v="29"/>
    <n v="2"/>
    <n v="2"/>
    <m/>
    <n v="23"/>
    <m/>
    <n v="34"/>
    <m/>
    <n v="18513"/>
    <n v="61"/>
    <m/>
    <m/>
    <n v="7756"/>
    <n v="1205"/>
    <n v="2780"/>
    <n v="4254"/>
    <n v="3821"/>
    <n v="553"/>
    <n v="33"/>
    <n v="391"/>
    <n v="4"/>
    <n v="1065"/>
    <n v="226"/>
    <n v="1004"/>
    <n v="566"/>
    <n v="4850"/>
    <n v="969"/>
    <n v="17"/>
    <n v="1519"/>
    <n v="860"/>
    <n v="42"/>
    <n v="410"/>
    <n v="2066"/>
    <n v="845"/>
    <n v="4396"/>
    <m/>
    <m/>
    <n v="1322"/>
    <n v="70"/>
    <n v="118"/>
    <n v="16"/>
    <n v="194"/>
    <n v="15"/>
    <n v="56"/>
    <n v="304"/>
    <n v="14831"/>
    <n v="2092"/>
    <n v="87"/>
    <n v="473"/>
    <n v="107"/>
    <n v="100"/>
    <n v="31"/>
    <m/>
    <n v="19816"/>
    <n v="33"/>
    <n v="19556"/>
    <n v="227"/>
    <n v="1470"/>
    <n v="1109"/>
    <m/>
    <m/>
    <n v="52"/>
    <n v="145"/>
    <n v="177"/>
    <n v="262"/>
    <n v="487"/>
    <n v="477"/>
    <n v="407"/>
    <n v="534"/>
    <n v="6"/>
    <n v="32"/>
    <m/>
    <n v="52"/>
    <n v="161"/>
    <n v="193"/>
    <n v="52"/>
    <n v="4"/>
    <n v="2113"/>
    <n v="4"/>
    <n v="101"/>
    <n v="70"/>
    <n v="58"/>
    <n v="46"/>
    <n v="7"/>
    <n v="11"/>
    <n v="9"/>
    <n v="1776"/>
    <n v="498"/>
    <n v="3"/>
    <n v="0"/>
    <n v="0"/>
    <n v="0"/>
    <n v="0"/>
    <n v="0"/>
    <n v="563"/>
    <n v="795"/>
    <n v="100"/>
    <n v="855"/>
    <n v="266"/>
    <n v="44"/>
    <n v="48"/>
    <n v="466"/>
    <n v="1"/>
    <n v="492"/>
    <n v="106"/>
    <n v="125"/>
    <n v="119"/>
    <n v="192"/>
    <n v="56"/>
    <n v="33"/>
    <n v="42"/>
    <n v="15"/>
    <n v="32"/>
    <n v="389"/>
    <n v="83"/>
    <n v="331"/>
    <m/>
    <n v="5"/>
    <m/>
    <n v="153"/>
    <n v="26"/>
    <n v="96"/>
    <n v="3"/>
    <n v="2"/>
    <n v="67"/>
    <n v="14"/>
    <n v="2150"/>
    <n v="27"/>
    <n v="2"/>
    <n v="18"/>
    <n v="13"/>
    <n v="3"/>
    <n v="5"/>
    <m/>
    <m/>
    <n v="2579"/>
    <n v="8"/>
    <n v="2553"/>
    <n v="18"/>
    <n v="2011"/>
  </r>
  <r>
    <n v="106364144"/>
    <s v="364144"/>
    <x v="229"/>
    <s v="16850 BEAR VALLEY ROAD"/>
    <s v="VICTORVILLE"/>
    <n v="92392"/>
    <x v="0"/>
    <x v="0"/>
    <x v="19"/>
    <x v="11"/>
    <s v="145.1a"/>
    <m/>
    <s v="12 - Inland Counties"/>
    <x v="34"/>
    <s v="General Acute Care"/>
    <s v="Investor - Corporation"/>
    <s v="General Medical / Surgical"/>
    <n v="83"/>
    <x v="0"/>
    <n v="15277"/>
    <n v="11885"/>
    <m/>
    <m/>
    <n v="4297"/>
    <n v="3705"/>
    <n v="5020"/>
    <n v="3975"/>
    <n v="3396"/>
    <n v="2621"/>
    <n v="1409"/>
    <n v="947"/>
    <n v="824"/>
    <n v="968"/>
    <m/>
    <n v="333"/>
    <n v="5402"/>
    <n v="309"/>
    <n v="54"/>
    <n v="10028"/>
    <n v="311"/>
    <n v="10725"/>
    <n v="1010"/>
    <n v="3790"/>
    <m/>
    <n v="145"/>
    <m/>
    <m/>
    <m/>
    <n v="159"/>
    <m/>
    <m/>
    <m/>
    <n v="22054"/>
    <n v="4"/>
    <m/>
    <m/>
    <n v="2965"/>
    <n v="3535"/>
    <n v="1105"/>
    <n v="13133"/>
    <n v="6424"/>
    <n v="918"/>
    <n v="81"/>
    <n v="714"/>
    <n v="11"/>
    <n v="1751"/>
    <n v="314"/>
    <n v="1544"/>
    <n v="332"/>
    <n v="7091"/>
    <n v="1879"/>
    <n v="78"/>
    <n v="2021"/>
    <n v="303"/>
    <n v="11"/>
    <n v="1040"/>
    <n v="3207"/>
    <n v="1118"/>
    <n v="4749"/>
    <m/>
    <m/>
    <n v="2075"/>
    <n v="110"/>
    <n v="225"/>
    <n v="20"/>
    <n v="410"/>
    <n v="54"/>
    <n v="5"/>
    <n v="394"/>
    <n v="19206"/>
    <n v="2958"/>
    <n v="119"/>
    <n v="1180"/>
    <n v="162"/>
    <n v="222"/>
    <n v="21"/>
    <n v="1"/>
    <n v="27162"/>
    <n v="1"/>
    <n v="27032"/>
    <n v="129"/>
    <n v="3357"/>
    <n v="2505"/>
    <m/>
    <m/>
    <n v="89"/>
    <n v="339"/>
    <n v="402"/>
    <n v="747"/>
    <n v="993"/>
    <n v="950"/>
    <n v="1093"/>
    <n v="1248"/>
    <m/>
    <n v="1"/>
    <m/>
    <n v="93"/>
    <n v="922"/>
    <n v="533"/>
    <n v="1207"/>
    <n v="77"/>
    <n v="3024"/>
    <n v="6"/>
    <n v="243"/>
    <n v="208"/>
    <n v="120"/>
    <n v="472"/>
    <n v="31"/>
    <n v="22"/>
    <m/>
    <n v="4400"/>
    <n v="337"/>
    <n v="29"/>
    <n v="0"/>
    <n v="0"/>
    <n v="0"/>
    <n v="0"/>
    <n v="0"/>
    <n v="1320"/>
    <n v="3416"/>
    <n v="208"/>
    <n v="542"/>
    <n v="376"/>
    <n v="109"/>
    <n v="81"/>
    <n v="1137"/>
    <m/>
    <n v="953"/>
    <n v="236"/>
    <n v="456"/>
    <n v="573"/>
    <n v="332"/>
    <n v="176"/>
    <n v="119"/>
    <n v="211"/>
    <n v="2"/>
    <n v="32"/>
    <n v="787"/>
    <n v="158"/>
    <n v="500"/>
    <m/>
    <m/>
    <m/>
    <n v="307"/>
    <n v="27"/>
    <n v="290"/>
    <n v="3"/>
    <n v="15"/>
    <n v="117"/>
    <n v="16"/>
    <n v="4953"/>
    <n v="56"/>
    <n v="1"/>
    <n v="17"/>
    <n v="30"/>
    <n v="9"/>
    <n v="21"/>
    <m/>
    <m/>
    <n v="5862"/>
    <n v="1"/>
    <n v="5527"/>
    <n v="334"/>
    <n v="2011"/>
  </r>
  <r>
    <n v="106364231"/>
    <s v="364231"/>
    <x v="230"/>
    <s v="400 N. PEPPER AVENUE"/>
    <s v="COLTON"/>
    <n v="92324"/>
    <x v="2"/>
    <x v="1"/>
    <x v="59"/>
    <x v="22"/>
    <s v="151f"/>
    <m/>
    <s v="12 - Inland Counties"/>
    <x v="34"/>
    <s v="General Acute Care"/>
    <s v="City and/or County"/>
    <s v="General Medical / Surgical"/>
    <n v="366"/>
    <x v="0"/>
    <n v="52241"/>
    <n v="50006"/>
    <n v="2"/>
    <m/>
    <n v="8071"/>
    <n v="9396"/>
    <n v="22278"/>
    <n v="16691"/>
    <n v="18596"/>
    <n v="17268"/>
    <n v="6068"/>
    <n v="1267"/>
    <n v="604"/>
    <n v="2010"/>
    <m/>
    <n v="1617"/>
    <n v="17117"/>
    <n v="53866"/>
    <n v="131"/>
    <n v="1426"/>
    <n v="1086"/>
    <n v="27006"/>
    <n v="307"/>
    <n v="3642"/>
    <m/>
    <n v="110"/>
    <n v="357"/>
    <n v="4"/>
    <n v="14"/>
    <m/>
    <m/>
    <n v="1390"/>
    <n v="513"/>
    <n v="95912"/>
    <m/>
    <m/>
    <m/>
    <n v="30807"/>
    <n v="3511"/>
    <n v="22714"/>
    <n v="4439"/>
    <n v="40778"/>
    <n v="5307"/>
    <n v="331"/>
    <n v="4753"/>
    <n v="67"/>
    <n v="6649"/>
    <n v="3425"/>
    <n v="6168"/>
    <n v="1741"/>
    <n v="17148"/>
    <n v="7964"/>
    <n v="398"/>
    <n v="5871"/>
    <n v="5270"/>
    <n v="61"/>
    <n v="6557"/>
    <n v="9838"/>
    <n v="5301"/>
    <n v="15394"/>
    <n v="6"/>
    <m/>
    <n v="4588"/>
    <n v="155"/>
    <n v="350"/>
    <n v="84"/>
    <n v="1899"/>
    <n v="646"/>
    <n v="350"/>
    <n v="686"/>
    <n v="84472"/>
    <n v="5774"/>
    <n v="331"/>
    <n v="2427"/>
    <n v="141"/>
    <n v="248"/>
    <n v="98"/>
    <m/>
    <n v="102249"/>
    <n v="877"/>
    <n v="85822"/>
    <n v="15550"/>
    <n v="10090"/>
    <n v="10693"/>
    <m/>
    <m/>
    <n v="959"/>
    <n v="3469"/>
    <n v="2926"/>
    <n v="3900"/>
    <n v="4519"/>
    <n v="2329"/>
    <n v="1018"/>
    <n v="822"/>
    <n v="301"/>
    <n v="540"/>
    <m/>
    <n v="508"/>
    <n v="3226"/>
    <n v="9948"/>
    <n v="316"/>
    <n v="198"/>
    <n v="6550"/>
    <n v="37"/>
    <n v="225"/>
    <n v="472"/>
    <n v="365"/>
    <n v="189"/>
    <n v="335"/>
    <n v="227"/>
    <n v="401"/>
    <n v="17411"/>
    <n v="615"/>
    <n v="543"/>
    <n v="0"/>
    <n v="0"/>
    <n v="0"/>
    <n v="0"/>
    <n v="0"/>
    <n v="8106"/>
    <n v="2725"/>
    <n v="628"/>
    <n v="1707"/>
    <n v="7617"/>
    <n v="1538"/>
    <n v="253"/>
    <n v="2142"/>
    <n v="23"/>
    <n v="2016"/>
    <n v="865"/>
    <n v="821"/>
    <n v="745"/>
    <n v="2633"/>
    <n v="370"/>
    <n v="595"/>
    <n v="342"/>
    <n v="62"/>
    <n v="4591"/>
    <n v="1159"/>
    <n v="457"/>
    <n v="2110"/>
    <n v="8"/>
    <n v="53"/>
    <m/>
    <n v="617"/>
    <n v="58"/>
    <n v="372"/>
    <n v="382"/>
    <n v="50"/>
    <n v="444"/>
    <n v="33"/>
    <n v="17085"/>
    <n v="488"/>
    <n v="55"/>
    <n v="786"/>
    <n v="273"/>
    <n v="24"/>
    <n v="34"/>
    <n v="79"/>
    <n v="3"/>
    <n v="20783"/>
    <n v="350"/>
    <n v="16564"/>
    <n v="3869"/>
    <n v="2011"/>
  </r>
  <r>
    <n v="106370652"/>
    <s v="370652"/>
    <x v="231"/>
    <s v="6655 ALVARADO ROAD"/>
    <s v="SAN DIEGO"/>
    <n v="92120"/>
    <x v="0"/>
    <x v="0"/>
    <x v="61"/>
    <x v="34"/>
    <s v="161e"/>
    <m/>
    <s v="14 - San Diego/Imperial"/>
    <x v="35"/>
    <s v="General Acute Care"/>
    <s v="Investor - Corporation"/>
    <s v="General Medical / Surgical"/>
    <n v="226"/>
    <x v="0"/>
    <n v="10371"/>
    <n v="8402"/>
    <m/>
    <m/>
    <n v="668"/>
    <n v="1624"/>
    <n v="4329"/>
    <n v="3306"/>
    <n v="3218"/>
    <n v="2726"/>
    <n v="1259"/>
    <n v="733"/>
    <n v="821"/>
    <n v="89"/>
    <m/>
    <n v="835"/>
    <n v="3553"/>
    <n v="3499"/>
    <n v="19"/>
    <m/>
    <m/>
    <n v="10867"/>
    <n v="241"/>
    <m/>
    <m/>
    <m/>
    <n v="334"/>
    <n v="6"/>
    <m/>
    <n v="72"/>
    <m/>
    <m/>
    <n v="20"/>
    <n v="18086"/>
    <n v="14"/>
    <m/>
    <m/>
    <n v="5429"/>
    <n v="4166"/>
    <n v="1667"/>
    <n v="2149"/>
    <n v="5362"/>
    <n v="307"/>
    <n v="33"/>
    <n v="348"/>
    <n v="4"/>
    <n v="859"/>
    <n v="243"/>
    <n v="1012"/>
    <n v="331"/>
    <n v="4163"/>
    <n v="1702"/>
    <n v="25"/>
    <n v="1374"/>
    <n v="881"/>
    <n v="9"/>
    <n v="1355"/>
    <n v="1481"/>
    <n v="801"/>
    <n v="3844"/>
    <n v="1"/>
    <m/>
    <n v="1431"/>
    <n v="59"/>
    <n v="116"/>
    <n v="5"/>
    <n v="392"/>
    <n v="16"/>
    <n v="81"/>
    <n v="179"/>
    <n v="13866"/>
    <n v="1829"/>
    <n v="68"/>
    <n v="523"/>
    <n v="95"/>
    <n v="65"/>
    <n v="48"/>
    <m/>
    <n v="18773"/>
    <n v="570"/>
    <n v="17738"/>
    <n v="465"/>
    <n v="3149"/>
    <n v="2989"/>
    <m/>
    <m/>
    <n v="50"/>
    <n v="320"/>
    <n v="367"/>
    <n v="708"/>
    <n v="1226"/>
    <n v="985"/>
    <n v="1022"/>
    <n v="1460"/>
    <m/>
    <m/>
    <m/>
    <n v="515"/>
    <n v="890"/>
    <n v="1059"/>
    <n v="1"/>
    <n v="1"/>
    <n v="3669"/>
    <n v="3"/>
    <n v="73"/>
    <n v="214"/>
    <n v="208"/>
    <n v="281"/>
    <n v="174"/>
    <n v="2"/>
    <n v="332"/>
    <n v="3366"/>
    <n v="1258"/>
    <n v="230"/>
    <n v="0"/>
    <n v="0"/>
    <n v="0"/>
    <n v="0"/>
    <n v="0"/>
    <n v="1339"/>
    <n v="3382"/>
    <n v="560"/>
    <n v="522"/>
    <n v="335"/>
    <n v="15"/>
    <n v="74"/>
    <n v="1112"/>
    <n v="5"/>
    <n v="799"/>
    <n v="313"/>
    <n v="291"/>
    <n v="739"/>
    <n v="555"/>
    <n v="171"/>
    <n v="114"/>
    <n v="362"/>
    <n v="29"/>
    <n v="91"/>
    <n v="763"/>
    <n v="179"/>
    <n v="526"/>
    <m/>
    <m/>
    <m/>
    <n v="283"/>
    <n v="38"/>
    <n v="332"/>
    <n v="29"/>
    <n v="13"/>
    <n v="201"/>
    <n v="15"/>
    <n v="5011"/>
    <n v="75"/>
    <n v="7"/>
    <n v="14"/>
    <n v="38"/>
    <n v="27"/>
    <n v="54"/>
    <n v="1"/>
    <m/>
    <n v="6138"/>
    <n v="431"/>
    <n v="5458"/>
    <n v="249"/>
    <n v="2011"/>
  </r>
  <r>
    <n v="106370673"/>
    <s v="370673"/>
    <x v="232"/>
    <s v="3020 CHILDRENS WAY"/>
    <s v="SAN DIEGO"/>
    <n v="92123"/>
    <x v="9"/>
    <x v="0"/>
    <x v="62"/>
    <x v="34"/>
    <s v="161b"/>
    <m/>
    <s v="14 - San Diego/Imperial"/>
    <x v="35"/>
    <s v="General Acute Care"/>
    <s v="Non-Profit Corporation (incl. Church-related)"/>
    <s v="Pediatric"/>
    <n v="442"/>
    <x v="0"/>
    <n v="29431"/>
    <n v="35912"/>
    <n v="1"/>
    <m/>
    <n v="38641"/>
    <n v="16034"/>
    <n v="189"/>
    <n v="64"/>
    <n v="47"/>
    <n v="28"/>
    <n v="11"/>
    <n v="4"/>
    <n v="3"/>
    <n v="10323"/>
    <m/>
    <n v="3289"/>
    <n v="4301"/>
    <n v="32262"/>
    <n v="100"/>
    <n v="8849"/>
    <n v="314"/>
    <n v="16229"/>
    <n v="239"/>
    <m/>
    <n v="7"/>
    <n v="13"/>
    <n v="2"/>
    <n v="4"/>
    <n v="9"/>
    <n v="442"/>
    <m/>
    <n v="71"/>
    <m/>
    <n v="64554"/>
    <n v="3"/>
    <m/>
    <m/>
    <n v="34213"/>
    <n v="20"/>
    <n v="5251"/>
    <n v="19505"/>
    <n v="6355"/>
    <n v="14"/>
    <n v="267"/>
    <n v="115"/>
    <n v="93"/>
    <n v="3793"/>
    <n v="716"/>
    <n v="2228"/>
    <n v="2451"/>
    <n v="18708"/>
    <n v="1398"/>
    <n v="48"/>
    <n v="4785"/>
    <n v="1214"/>
    <n v="476"/>
    <n v="418"/>
    <n v="12622"/>
    <n v="2582"/>
    <n v="13414"/>
    <n v="1"/>
    <n v="1"/>
    <n v="7497"/>
    <n v="295"/>
    <n v="245"/>
    <n v="20"/>
    <n v="223"/>
    <n v="5"/>
    <n v="102"/>
    <n v="699"/>
    <n v="48030"/>
    <n v="6145"/>
    <n v="568"/>
    <n v="640"/>
    <n v="77"/>
    <n v="746"/>
    <n v="52"/>
    <m/>
    <n v="65344"/>
    <n v="1179"/>
    <n v="52433"/>
    <n v="11732"/>
    <n v="2775"/>
    <n v="3535"/>
    <m/>
    <m/>
    <n v="1857"/>
    <n v="45"/>
    <m/>
    <m/>
    <m/>
    <m/>
    <m/>
    <m/>
    <n v="1414"/>
    <n v="2994"/>
    <m/>
    <n v="317"/>
    <n v="386"/>
    <n v="3026"/>
    <n v="691"/>
    <n v="10"/>
    <n v="1863"/>
    <n v="17"/>
    <n v="18"/>
    <m/>
    <n v="21"/>
    <n v="82"/>
    <n v="32"/>
    <n v="27"/>
    <n v="2"/>
    <n v="6096"/>
    <n v="28"/>
    <n v="4"/>
    <n v="0"/>
    <n v="0"/>
    <n v="0"/>
    <n v="0"/>
    <n v="0"/>
    <n v="1955"/>
    <n v="17"/>
    <n v="1652"/>
    <n v="2264"/>
    <n v="422"/>
    <n v="1"/>
    <n v="167"/>
    <n v="100"/>
    <n v="85"/>
    <n v="1117"/>
    <n v="245"/>
    <n v="202"/>
    <n v="316"/>
    <n v="1216"/>
    <n v="142"/>
    <n v="74"/>
    <n v="278"/>
    <n v="28"/>
    <n v="29"/>
    <n v="1557"/>
    <n v="201"/>
    <n v="336"/>
    <m/>
    <n v="216"/>
    <m/>
    <n v="315"/>
    <n v="36"/>
    <n v="149"/>
    <n v="26"/>
    <n v="3"/>
    <n v="216"/>
    <n v="26"/>
    <n v="5188"/>
    <n v="118"/>
    <n v="34"/>
    <n v="113"/>
    <n v="13"/>
    <n v="70"/>
    <n v="3"/>
    <m/>
    <m/>
    <n v="6310"/>
    <n v="119"/>
    <n v="4946"/>
    <n v="1245"/>
    <n v="2011"/>
  </r>
  <r>
    <n v="106370689"/>
    <s v="370689"/>
    <x v="233"/>
    <s v="250 PROSPECT PLACE"/>
    <s v="CORONADO"/>
    <n v="92118"/>
    <x v="0"/>
    <x v="0"/>
    <x v="63"/>
    <x v="8"/>
    <s v="161n"/>
    <m/>
    <s v="14 - San Diego/Imperial"/>
    <x v="35"/>
    <s v="General Acute Care"/>
    <s v="Non-Profit Corporation (incl. Church-related)"/>
    <s v="General Medical / Surgical"/>
    <n v="59"/>
    <x v="0"/>
    <n v="6317"/>
    <n v="4648"/>
    <m/>
    <m/>
    <n v="1043"/>
    <n v="1164"/>
    <n v="1841"/>
    <n v="1493"/>
    <n v="1408"/>
    <n v="1346"/>
    <n v="879"/>
    <n v="694"/>
    <n v="985"/>
    <n v="112"/>
    <m/>
    <n v="295"/>
    <n v="411"/>
    <n v="2844"/>
    <n v="19"/>
    <n v="623"/>
    <n v="533"/>
    <n v="6240"/>
    <n v="166"/>
    <n v="202"/>
    <m/>
    <n v="8"/>
    <n v="6"/>
    <n v="1"/>
    <n v="1"/>
    <m/>
    <n v="86"/>
    <n v="31"/>
    <n v="15"/>
    <n v="10425"/>
    <n v="17"/>
    <n v="7"/>
    <m/>
    <n v="2045"/>
    <n v="2251"/>
    <n v="1790"/>
    <n v="3423"/>
    <n v="1456"/>
    <n v="176"/>
    <n v="24"/>
    <n v="259"/>
    <n v="1"/>
    <n v="577"/>
    <n v="117"/>
    <n v="690"/>
    <n v="194"/>
    <n v="3131"/>
    <n v="538"/>
    <n v="18"/>
    <n v="898"/>
    <n v="245"/>
    <n v="1"/>
    <n v="369"/>
    <n v="1055"/>
    <n v="581"/>
    <n v="2091"/>
    <m/>
    <m/>
    <n v="1069"/>
    <n v="31"/>
    <n v="123"/>
    <n v="3"/>
    <n v="120"/>
    <n v="8"/>
    <n v="39"/>
    <n v="154"/>
    <n v="7550"/>
    <n v="1469"/>
    <n v="114"/>
    <n v="214"/>
    <n v="18"/>
    <n v="38"/>
    <n v="15"/>
    <m/>
    <n v="10965"/>
    <n v="133"/>
    <n v="10153"/>
    <n v="679"/>
    <n v="310"/>
    <n v="300"/>
    <m/>
    <m/>
    <n v="5"/>
    <n v="21"/>
    <n v="37"/>
    <n v="49"/>
    <n v="91"/>
    <n v="101"/>
    <n v="91"/>
    <n v="215"/>
    <m/>
    <m/>
    <m/>
    <n v="18"/>
    <n v="12"/>
    <n v="142"/>
    <n v="22"/>
    <n v="24"/>
    <n v="392"/>
    <m/>
    <n v="35"/>
    <n v="7"/>
    <n v="23"/>
    <n v="81"/>
    <n v="7"/>
    <n v="5"/>
    <n v="8"/>
    <n v="329"/>
    <n v="114"/>
    <n v="1"/>
    <n v="0"/>
    <n v="0"/>
    <n v="0"/>
    <n v="0"/>
    <n v="0"/>
    <n v="63"/>
    <n v="350"/>
    <n v="12"/>
    <n v="131"/>
    <n v="54"/>
    <n v="1"/>
    <n v="7"/>
    <n v="112"/>
    <m/>
    <n v="141"/>
    <n v="23"/>
    <n v="29"/>
    <n v="95"/>
    <n v="54"/>
    <n v="12"/>
    <n v="24"/>
    <n v="17"/>
    <m/>
    <n v="6"/>
    <n v="49"/>
    <n v="16"/>
    <n v="24"/>
    <m/>
    <m/>
    <m/>
    <n v="37"/>
    <n v="2"/>
    <n v="31"/>
    <n v="1"/>
    <n v="4"/>
    <n v="31"/>
    <n v="1"/>
    <n v="485"/>
    <n v="5"/>
    <n v="4"/>
    <n v="2"/>
    <n v="6"/>
    <m/>
    <n v="1"/>
    <m/>
    <m/>
    <n v="610"/>
    <n v="9"/>
    <n v="526"/>
    <n v="75"/>
    <n v="2011"/>
  </r>
  <r>
    <n v="106370694"/>
    <s v="370694"/>
    <x v="234"/>
    <s v="7901 FROST STREET"/>
    <s v="SAN DIEGO"/>
    <n v="92123"/>
    <x v="2"/>
    <x v="0"/>
    <x v="62"/>
    <x v="34"/>
    <s v="161b"/>
    <m/>
    <s v="14 - San Diego/Imperial"/>
    <x v="35"/>
    <s v="General Acute Care"/>
    <s v="Non-Profit Corporation (incl. Church-related)"/>
    <s v="General Medical / Surgical"/>
    <n v="675"/>
    <x v="0"/>
    <n v="30769"/>
    <n v="20125"/>
    <m/>
    <m/>
    <n v="717"/>
    <n v="2991"/>
    <n v="11416"/>
    <n v="8957"/>
    <n v="8055"/>
    <n v="6882"/>
    <n v="4455"/>
    <n v="3164"/>
    <n v="4099"/>
    <n v="158"/>
    <m/>
    <n v="4669"/>
    <n v="5028"/>
    <n v="10053"/>
    <n v="109"/>
    <n v="3647"/>
    <n v="2109"/>
    <n v="25279"/>
    <n v="314"/>
    <n v="870"/>
    <n v="31"/>
    <n v="68"/>
    <n v="95"/>
    <n v="2"/>
    <n v="26"/>
    <n v="11"/>
    <n v="80"/>
    <n v="680"/>
    <n v="61"/>
    <n v="47988"/>
    <n v="658"/>
    <n v="10"/>
    <m/>
    <n v="8356"/>
    <n v="10987"/>
    <n v="4904"/>
    <n v="18855"/>
    <n v="7792"/>
    <n v="2735"/>
    <n v="184"/>
    <n v="1587"/>
    <n v="17"/>
    <n v="2925"/>
    <n v="803"/>
    <n v="3126"/>
    <n v="709"/>
    <n v="10999"/>
    <n v="3790"/>
    <n v="129"/>
    <n v="2391"/>
    <n v="958"/>
    <n v="8"/>
    <n v="2224"/>
    <n v="2829"/>
    <n v="1684"/>
    <n v="13796"/>
    <m/>
    <m/>
    <n v="3805"/>
    <n v="305"/>
    <n v="754"/>
    <n v="9"/>
    <n v="610"/>
    <n v="139"/>
    <n v="562"/>
    <n v="296"/>
    <n v="37945"/>
    <n v="3688"/>
    <n v="243"/>
    <n v="2117"/>
    <n v="217"/>
    <n v="192"/>
    <n v="12"/>
    <m/>
    <n v="50894"/>
    <n v="2079"/>
    <n v="46062"/>
    <n v="2753"/>
    <n v="6814"/>
    <n v="6210"/>
    <m/>
    <m/>
    <n v="267"/>
    <n v="1171"/>
    <n v="1046"/>
    <n v="1562"/>
    <n v="2103"/>
    <n v="2097"/>
    <n v="1872"/>
    <n v="2904"/>
    <n v="2"/>
    <m/>
    <m/>
    <n v="1460"/>
    <n v="876"/>
    <n v="2113"/>
    <n v="745"/>
    <n v="350"/>
    <n v="7446"/>
    <n v="34"/>
    <n v="291"/>
    <n v="141"/>
    <n v="447"/>
    <n v="1622"/>
    <n v="276"/>
    <n v="60"/>
    <n v="116"/>
    <n v="8265"/>
    <n v="1800"/>
    <n v="6"/>
    <n v="0"/>
    <n v="0"/>
    <n v="0"/>
    <n v="0"/>
    <n v="0"/>
    <n v="1721"/>
    <n v="6061"/>
    <n v="311"/>
    <n v="3596"/>
    <n v="1335"/>
    <n v="295"/>
    <n v="214"/>
    <n v="2125"/>
    <n v="7"/>
    <n v="2171"/>
    <n v="629"/>
    <n v="581"/>
    <n v="790"/>
    <n v="2584"/>
    <n v="299"/>
    <n v="449"/>
    <n v="281"/>
    <n v="38"/>
    <n v="160"/>
    <n v="1382"/>
    <n v="386"/>
    <n v="631"/>
    <n v="1"/>
    <n v="1"/>
    <m/>
    <n v="1244"/>
    <n v="70"/>
    <n v="1215"/>
    <n v="153"/>
    <n v="87"/>
    <n v="279"/>
    <n v="36"/>
    <n v="8991"/>
    <n v="202"/>
    <n v="85"/>
    <n v="508"/>
    <n v="93"/>
    <n v="48"/>
    <n v="13"/>
    <m/>
    <m/>
    <n v="13024"/>
    <n v="933"/>
    <n v="11300"/>
    <n v="791"/>
    <n v="2011"/>
  </r>
  <r>
    <n v="106370705"/>
    <s v="370705"/>
    <x v="235"/>
    <s v="624 EAST ELDER STREET"/>
    <s v="FALLBROOK"/>
    <n v="92028"/>
    <x v="0"/>
    <x v="0"/>
    <x v="56"/>
    <x v="32"/>
    <s v="160"/>
    <m/>
    <s v="14 - San Diego/Imperial"/>
    <x v="35"/>
    <s v="General Acute Care"/>
    <s v="Investor - Corporation"/>
    <s v="General Medical / Surgical"/>
    <n v="47"/>
    <x v="0"/>
    <n v="5117"/>
    <n v="3817"/>
    <m/>
    <m/>
    <n v="1317"/>
    <n v="1099"/>
    <n v="1370"/>
    <n v="1010"/>
    <n v="943"/>
    <n v="949"/>
    <n v="622"/>
    <n v="550"/>
    <n v="741"/>
    <n v="333"/>
    <m/>
    <n v="125"/>
    <n v="201"/>
    <n v="3072"/>
    <n v="116"/>
    <n v="301"/>
    <n v="16"/>
    <n v="5103"/>
    <n v="140"/>
    <n v="202"/>
    <n v="34"/>
    <n v="10"/>
    <n v="6"/>
    <n v="4"/>
    <n v="2"/>
    <n v="1"/>
    <n v="23"/>
    <n v="13"/>
    <n v="1"/>
    <n v="8475"/>
    <n v="18"/>
    <m/>
    <n v="5"/>
    <n v="1705"/>
    <n v="1453"/>
    <n v="983"/>
    <n v="3620"/>
    <n v="1173"/>
    <n v="302"/>
    <n v="23"/>
    <n v="211"/>
    <n v="3"/>
    <n v="562"/>
    <n v="136"/>
    <n v="540"/>
    <n v="100"/>
    <n v="2637"/>
    <n v="314"/>
    <n v="2"/>
    <n v="751"/>
    <n v="169"/>
    <n v="32"/>
    <n v="252"/>
    <n v="915"/>
    <n v="334"/>
    <n v="1651"/>
    <m/>
    <m/>
    <n v="743"/>
    <n v="50"/>
    <n v="136"/>
    <n v="12"/>
    <n v="80"/>
    <m/>
    <n v="81"/>
    <n v="223"/>
    <n v="5968"/>
    <n v="1241"/>
    <n v="44"/>
    <n v="245"/>
    <n v="31"/>
    <n v="65"/>
    <n v="15"/>
    <m/>
    <n v="8934"/>
    <n v="16"/>
    <n v="7524"/>
    <n v="1394"/>
    <n v="865"/>
    <n v="655"/>
    <m/>
    <m/>
    <n v="19"/>
    <n v="88"/>
    <n v="98"/>
    <n v="110"/>
    <n v="210"/>
    <n v="172"/>
    <n v="304"/>
    <n v="519"/>
    <m/>
    <m/>
    <m/>
    <n v="12"/>
    <n v="20"/>
    <n v="278"/>
    <n v="11"/>
    <n v="2"/>
    <n v="1183"/>
    <n v="14"/>
    <n v="87"/>
    <n v="20"/>
    <n v="48"/>
    <n v="210"/>
    <m/>
    <m/>
    <n v="4"/>
    <n v="926"/>
    <n v="225"/>
    <m/>
    <n v="0"/>
    <n v="0"/>
    <n v="0"/>
    <n v="0"/>
    <n v="0"/>
    <n v="198"/>
    <n v="907"/>
    <n v="81"/>
    <n v="275"/>
    <n v="59"/>
    <n v="85"/>
    <n v="21"/>
    <n v="218"/>
    <n v="1"/>
    <n v="280"/>
    <n v="53"/>
    <n v="90"/>
    <n v="106"/>
    <n v="131"/>
    <n v="24"/>
    <n v="27"/>
    <n v="28"/>
    <n v="4"/>
    <n v="16"/>
    <n v="231"/>
    <n v="33"/>
    <n v="172"/>
    <m/>
    <m/>
    <m/>
    <n v="99"/>
    <n v="4"/>
    <n v="31"/>
    <n v="1"/>
    <m/>
    <n v="37"/>
    <n v="5"/>
    <n v="1294"/>
    <n v="24"/>
    <n v="1"/>
    <n v="9"/>
    <n v="8"/>
    <n v="1"/>
    <n v="6"/>
    <m/>
    <m/>
    <n v="1520"/>
    <n v="3"/>
    <n v="1346"/>
    <n v="171"/>
    <n v="2011"/>
  </r>
  <r>
    <n v="106370714"/>
    <s v="370714"/>
    <x v="236"/>
    <s v="5555 GROSSMONT CENTER DRIVE"/>
    <s v="LA MESA"/>
    <n v="91942"/>
    <x v="0"/>
    <x v="0"/>
    <x v="64"/>
    <x v="32"/>
    <s v="161f"/>
    <m/>
    <s v="14 - San Diego/Imperial"/>
    <x v="35"/>
    <s v="General Acute Care"/>
    <s v="Non-Profit Corporation (incl. Church-related)"/>
    <s v="General Medical / Surgical"/>
    <n v="460"/>
    <x v="0"/>
    <n v="39997"/>
    <n v="30426"/>
    <m/>
    <m/>
    <n v="5343"/>
    <n v="6740"/>
    <n v="14808"/>
    <n v="10603"/>
    <n v="10180"/>
    <n v="9240"/>
    <n v="4855"/>
    <n v="3264"/>
    <n v="4149"/>
    <n v="1241"/>
    <m/>
    <n v="1188"/>
    <n v="7274"/>
    <n v="13445"/>
    <n v="242"/>
    <n v="8800"/>
    <n v="3969"/>
    <n v="35505"/>
    <n v="1047"/>
    <n v="5321"/>
    <n v="225"/>
    <n v="159"/>
    <n v="23"/>
    <m/>
    <n v="23"/>
    <m/>
    <n v="205"/>
    <n v="1175"/>
    <n v="111"/>
    <n v="60962"/>
    <n v="1128"/>
    <n v="44"/>
    <m/>
    <n v="21674"/>
    <n v="12449"/>
    <n v="5777"/>
    <n v="15809"/>
    <n v="14714"/>
    <n v="2524"/>
    <n v="161"/>
    <n v="1768"/>
    <n v="14"/>
    <n v="3320"/>
    <n v="860"/>
    <n v="3779"/>
    <n v="1050"/>
    <n v="15461"/>
    <n v="5089"/>
    <n v="107"/>
    <n v="3653"/>
    <n v="2271"/>
    <n v="100"/>
    <n v="3771"/>
    <n v="5241"/>
    <n v="2389"/>
    <n v="18865"/>
    <m/>
    <m/>
    <n v="5469"/>
    <n v="350"/>
    <n v="811"/>
    <n v="43"/>
    <n v="1000"/>
    <n v="129"/>
    <n v="302"/>
    <n v="710"/>
    <n v="52216"/>
    <n v="6173"/>
    <n v="361"/>
    <n v="1880"/>
    <n v="506"/>
    <n v="381"/>
    <n v="92"/>
    <m/>
    <n v="70423"/>
    <n v="3210"/>
    <n v="63950"/>
    <n v="3263"/>
    <n v="11075"/>
    <n v="9542"/>
    <m/>
    <m/>
    <n v="303"/>
    <n v="1511"/>
    <n v="1667"/>
    <n v="2810"/>
    <n v="3857"/>
    <n v="3313"/>
    <n v="2870"/>
    <n v="4285"/>
    <n v="1"/>
    <m/>
    <m/>
    <n v="461"/>
    <n v="1501"/>
    <n v="3040"/>
    <n v="2327"/>
    <n v="941"/>
    <n v="12267"/>
    <n v="80"/>
    <n v="328"/>
    <n v="424"/>
    <n v="722"/>
    <n v="1650"/>
    <n v="353"/>
    <n v="205"/>
    <n v="181"/>
    <n v="13464"/>
    <n v="3274"/>
    <n v="16"/>
    <n v="0"/>
    <n v="0"/>
    <n v="0"/>
    <n v="0"/>
    <n v="0"/>
    <n v="4327"/>
    <n v="9948"/>
    <n v="322"/>
    <n v="2893"/>
    <n v="3127"/>
    <n v="183"/>
    <n v="258"/>
    <n v="3775"/>
    <n v="9"/>
    <n v="3193"/>
    <n v="1134"/>
    <n v="1142"/>
    <n v="1504"/>
    <n v="1739"/>
    <n v="562"/>
    <n v="469"/>
    <n v="779"/>
    <n v="32"/>
    <n v="1422"/>
    <n v="2352"/>
    <n v="663"/>
    <n v="1400"/>
    <n v="1"/>
    <m/>
    <m/>
    <n v="1007"/>
    <n v="184"/>
    <n v="1825"/>
    <n v="67"/>
    <n v="42"/>
    <n v="420"/>
    <n v="59"/>
    <n v="16436"/>
    <n v="295"/>
    <n v="16"/>
    <n v="49"/>
    <n v="138"/>
    <n v="43"/>
    <n v="30"/>
    <n v="6"/>
    <m/>
    <n v="20617"/>
    <n v="1102"/>
    <n v="18334"/>
    <n v="1181"/>
    <n v="2011"/>
  </r>
  <r>
    <n v="106370730"/>
    <s v="370730"/>
    <x v="237"/>
    <s v="4647 ZION AVENUE"/>
    <s v="SAN DIEGO"/>
    <n v="92120"/>
    <x v="0"/>
    <x v="0"/>
    <x v="61"/>
    <x v="34"/>
    <s v="161o"/>
    <m/>
    <s v="14 - San Diego/Imperial"/>
    <x v="35"/>
    <s v="General Acute Care"/>
    <s v="Non-Profit Corporation (incl. Church-related)"/>
    <s v="General Medical / Surgical"/>
    <n v="392"/>
    <x v="0"/>
    <n v="45797"/>
    <n v="35736"/>
    <m/>
    <m/>
    <n v="6720"/>
    <n v="7760"/>
    <n v="11535"/>
    <n v="9512"/>
    <n v="10261"/>
    <n v="11518"/>
    <n v="9057"/>
    <n v="7138"/>
    <n v="6717"/>
    <n v="1315"/>
    <m/>
    <n v="6646"/>
    <n v="7627"/>
    <n v="21574"/>
    <n v="207"/>
    <n v="616"/>
    <n v="782"/>
    <n v="44081"/>
    <n v="137"/>
    <n v="471"/>
    <n v="2"/>
    <n v="34"/>
    <n v="255"/>
    <n v="86"/>
    <n v="7"/>
    <n v="4"/>
    <n v="11"/>
    <n v="720"/>
    <n v="6"/>
    <n v="79284"/>
    <n v="338"/>
    <n v="176"/>
    <n v="2"/>
    <n v="4730"/>
    <n v="17871"/>
    <n v="200"/>
    <n v="54141"/>
    <n v="4591"/>
    <n v="2047"/>
    <n v="375"/>
    <n v="3231"/>
    <n v="25"/>
    <n v="5132"/>
    <n v="1435"/>
    <n v="4954"/>
    <n v="1183"/>
    <n v="19277"/>
    <n v="5075"/>
    <n v="186"/>
    <n v="4042"/>
    <n v="1917"/>
    <n v="153"/>
    <n v="2290"/>
    <n v="5644"/>
    <n v="2373"/>
    <n v="22194"/>
    <m/>
    <m/>
    <n v="6141"/>
    <n v="263"/>
    <n v="1193"/>
    <n v="21"/>
    <n v="512"/>
    <n v="54"/>
    <n v="1146"/>
    <n v="762"/>
    <n v="60233"/>
    <n v="8434"/>
    <n v="476"/>
    <n v="1528"/>
    <n v="214"/>
    <n v="533"/>
    <n v="22"/>
    <n v="1"/>
    <n v="81533"/>
    <n v="763"/>
    <n v="75224"/>
    <n v="5546"/>
    <n v="7745"/>
    <n v="7193"/>
    <m/>
    <m/>
    <n v="327"/>
    <n v="657"/>
    <n v="817"/>
    <n v="1319"/>
    <n v="2273"/>
    <n v="2664"/>
    <n v="3034"/>
    <n v="3542"/>
    <n v="76"/>
    <n v="228"/>
    <n v="1"/>
    <n v="1006"/>
    <n v="1109"/>
    <n v="2843"/>
    <n v="50"/>
    <n v="57"/>
    <n v="9841"/>
    <n v="32"/>
    <n v="413"/>
    <n v="93"/>
    <n v="374"/>
    <n v="3117"/>
    <n v="115"/>
    <n v="47"/>
    <n v="131"/>
    <n v="9116"/>
    <n v="1531"/>
    <n v="1"/>
    <n v="0"/>
    <n v="0"/>
    <n v="0"/>
    <n v="0"/>
    <n v="0"/>
    <n v="431"/>
    <n v="8005"/>
    <n v="23"/>
    <n v="6222"/>
    <n v="257"/>
    <n v="97"/>
    <n v="313"/>
    <n v="2533"/>
    <n v="13"/>
    <n v="2979"/>
    <n v="706"/>
    <n v="1071"/>
    <n v="1204"/>
    <n v="1506"/>
    <n v="387"/>
    <n v="452"/>
    <n v="420"/>
    <n v="22"/>
    <n v="203"/>
    <n v="1501"/>
    <n v="385"/>
    <n v="1132"/>
    <n v="2"/>
    <n v="12"/>
    <m/>
    <n v="771"/>
    <n v="61"/>
    <n v="1161"/>
    <n v="12"/>
    <n v="54"/>
    <n v="786"/>
    <n v="33"/>
    <n v="11682"/>
    <n v="214"/>
    <n v="27"/>
    <n v="51"/>
    <n v="50"/>
    <n v="26"/>
    <n v="10"/>
    <m/>
    <m/>
    <n v="14938"/>
    <n v="158"/>
    <n v="13885"/>
    <n v="895"/>
    <n v="2011"/>
  </r>
  <r>
    <n v="106370744"/>
    <s v="370744"/>
    <x v="238"/>
    <s v="4077 FIFTH AVENUE"/>
    <s v="SAN DIEGO"/>
    <n v="92103"/>
    <x v="5"/>
    <x v="1"/>
    <x v="62"/>
    <x v="34"/>
    <s v="161b"/>
    <m/>
    <s v="14 - San Diego/Imperial"/>
    <x v="35"/>
    <s v="General Acute Care"/>
    <s v="Non-Profit Corporation (incl. Church-related)"/>
    <s v="General Medical / Surgical"/>
    <n v="465"/>
    <x v="0"/>
    <n v="44662"/>
    <n v="37742"/>
    <m/>
    <m/>
    <n v="5504"/>
    <n v="6503"/>
    <n v="16368"/>
    <n v="12443"/>
    <n v="12519"/>
    <n v="12100"/>
    <n v="6747"/>
    <n v="4554"/>
    <n v="4284"/>
    <n v="1382"/>
    <m/>
    <n v="3207"/>
    <n v="10032"/>
    <n v="35731"/>
    <n v="230"/>
    <n v="1175"/>
    <n v="83"/>
    <n v="31946"/>
    <n v="1220"/>
    <n v="1484"/>
    <n v="11"/>
    <n v="130"/>
    <n v="45"/>
    <n v="29"/>
    <n v="16"/>
    <n v="264"/>
    <m/>
    <n v="537"/>
    <m/>
    <n v="78177"/>
    <n v="491"/>
    <m/>
    <m/>
    <n v="25789"/>
    <n v="16095"/>
    <n v="11794"/>
    <n v="14288"/>
    <n v="14438"/>
    <n v="3212"/>
    <n v="161"/>
    <n v="2021"/>
    <n v="23"/>
    <n v="4159"/>
    <n v="1129"/>
    <n v="4151"/>
    <n v="1263"/>
    <n v="17313"/>
    <n v="6017"/>
    <n v="157"/>
    <n v="5073"/>
    <n v="3214"/>
    <n v="107"/>
    <n v="4682"/>
    <n v="7209"/>
    <n v="3237"/>
    <n v="19276"/>
    <m/>
    <m/>
    <n v="6077"/>
    <n v="320"/>
    <n v="804"/>
    <n v="29"/>
    <n v="1535"/>
    <n v="31"/>
    <n v="523"/>
    <n v="678"/>
    <n v="62293"/>
    <n v="6890"/>
    <n v="405"/>
    <n v="2102"/>
    <n v="235"/>
    <n v="336"/>
    <n v="146"/>
    <m/>
    <n v="82404"/>
    <n v="677"/>
    <n v="70083"/>
    <n v="11644"/>
    <n v="10317"/>
    <n v="10845"/>
    <n v="3"/>
    <m/>
    <n v="412"/>
    <n v="1811"/>
    <n v="1793"/>
    <n v="2709"/>
    <n v="3932"/>
    <n v="3378"/>
    <n v="3096"/>
    <n v="4025"/>
    <n v="9"/>
    <m/>
    <m/>
    <n v="1288"/>
    <n v="2240"/>
    <n v="7775"/>
    <n v="229"/>
    <n v="46"/>
    <n v="9532"/>
    <n v="55"/>
    <n v="519"/>
    <n v="503"/>
    <n v="573"/>
    <n v="2330"/>
    <n v="424"/>
    <n v="32"/>
    <n v="156"/>
    <n v="13307"/>
    <n v="3281"/>
    <n v="40"/>
    <n v="0"/>
    <n v="0"/>
    <n v="0"/>
    <n v="0"/>
    <n v="0"/>
    <n v="4048"/>
    <n v="10024"/>
    <n v="345"/>
    <n v="2839"/>
    <n v="3909"/>
    <n v="283"/>
    <n v="222"/>
    <n v="3663"/>
    <n v="14"/>
    <n v="3034"/>
    <n v="1214"/>
    <n v="953"/>
    <n v="1692"/>
    <n v="3578"/>
    <n v="504"/>
    <n v="532"/>
    <n v="604"/>
    <n v="156"/>
    <n v="1257"/>
    <n v="1912"/>
    <n v="593"/>
    <n v="945"/>
    <n v="3"/>
    <n v="6"/>
    <m/>
    <n v="1654"/>
    <n v="187"/>
    <n v="1312"/>
    <n v="463"/>
    <n v="101"/>
    <n v="1192"/>
    <n v="76"/>
    <n v="14682"/>
    <n v="405"/>
    <n v="88"/>
    <n v="679"/>
    <n v="219"/>
    <n v="41"/>
    <n v="61"/>
    <n v="5"/>
    <m/>
    <n v="21165"/>
    <n v="401"/>
    <n v="16631"/>
    <n v="4133"/>
    <n v="2011"/>
  </r>
  <r>
    <n v="106370745"/>
    <s v="370745"/>
    <x v="239"/>
    <s v="7850 VISTA HILL AVENUE"/>
    <s v="SAN DIEGO"/>
    <n v="92123"/>
    <x v="0"/>
    <x v="0"/>
    <x v="62"/>
    <x v="34"/>
    <s v="161b"/>
    <m/>
    <s v="14 - San Diego/Imperial"/>
    <x v="35"/>
    <s v="Acute Psychiatric"/>
    <s v="Non-Profit Corporation (incl. Church-related)"/>
    <s v="Psychiatric"/>
    <n v="0"/>
    <x v="1"/>
    <m/>
    <m/>
    <m/>
    <m/>
    <m/>
    <m/>
    <m/>
    <m/>
    <m/>
    <m/>
    <m/>
    <m/>
    <m/>
    <m/>
    <m/>
    <m/>
    <m/>
    <m/>
    <m/>
    <m/>
    <m/>
    <m/>
    <m/>
    <m/>
    <m/>
    <m/>
    <m/>
    <m/>
    <m/>
    <m/>
    <m/>
    <m/>
    <m/>
    <m/>
    <m/>
    <m/>
    <m/>
    <m/>
    <m/>
    <m/>
    <m/>
    <m/>
    <m/>
    <m/>
    <m/>
    <m/>
    <m/>
    <m/>
    <m/>
    <m/>
    <m/>
    <m/>
    <m/>
    <m/>
    <m/>
    <m/>
    <m/>
    <m/>
    <m/>
    <m/>
    <m/>
    <m/>
    <m/>
    <m/>
    <m/>
    <m/>
    <m/>
    <m/>
    <m/>
    <m/>
    <m/>
    <m/>
    <m/>
    <m/>
    <m/>
    <m/>
    <m/>
    <m/>
    <m/>
    <m/>
    <m/>
    <m/>
    <n v="1"/>
    <m/>
    <m/>
    <m/>
    <m/>
    <m/>
    <m/>
    <m/>
    <m/>
    <m/>
    <m/>
    <n v="1"/>
    <m/>
    <m/>
    <m/>
    <m/>
    <m/>
    <m/>
    <m/>
    <m/>
    <n v="1"/>
    <m/>
    <m/>
    <m/>
    <m/>
    <m/>
    <m/>
    <m/>
    <m/>
    <m/>
    <n v="1"/>
    <m/>
    <n v="0"/>
    <n v="0"/>
    <n v="0"/>
    <n v="0"/>
    <n v="0"/>
    <m/>
    <n v="1"/>
    <m/>
    <m/>
    <m/>
    <m/>
    <m/>
    <m/>
    <m/>
    <m/>
    <m/>
    <m/>
    <m/>
    <m/>
    <m/>
    <m/>
    <n v="1"/>
    <m/>
    <m/>
    <m/>
    <m/>
    <m/>
    <m/>
    <m/>
    <m/>
    <m/>
    <m/>
    <m/>
    <m/>
    <m/>
    <m/>
    <m/>
    <n v="1"/>
    <m/>
    <m/>
    <m/>
    <m/>
    <m/>
    <m/>
    <m/>
    <m/>
    <n v="1"/>
    <m/>
    <n v="1"/>
    <m/>
    <n v="2011"/>
  </r>
  <r>
    <n v="106370755"/>
    <s v="370755"/>
    <x v="240"/>
    <s v="555 E. VALLEY PARKWAY"/>
    <s v="ESCONDIDO"/>
    <n v="92025"/>
    <x v="2"/>
    <x v="0"/>
    <x v="65"/>
    <x v="35"/>
    <s v="156e"/>
    <m/>
    <s v="14 - San Diego/Imperial"/>
    <x v="35"/>
    <s v="General Acute Care"/>
    <s v="District"/>
    <s v="General Medical / Surgical"/>
    <n v="275"/>
    <x v="0"/>
    <n v="29345"/>
    <n v="23469"/>
    <n v="4"/>
    <m/>
    <n v="6406"/>
    <n v="5913"/>
    <n v="8666"/>
    <n v="6479"/>
    <n v="6620"/>
    <n v="5916"/>
    <n v="3887"/>
    <n v="3114"/>
    <n v="4070"/>
    <n v="1747"/>
    <m/>
    <n v="1521"/>
    <n v="2163"/>
    <n v="19553"/>
    <n v="672"/>
    <n v="893"/>
    <n v="224"/>
    <n v="27792"/>
    <n v="1096"/>
    <n v="71"/>
    <n v="258"/>
    <n v="90"/>
    <n v="83"/>
    <n v="33"/>
    <n v="17"/>
    <m/>
    <n v="98"/>
    <n v="1052"/>
    <n v="3"/>
    <n v="49659"/>
    <n v="358"/>
    <m/>
    <m/>
    <n v="15940"/>
    <n v="10168"/>
    <n v="4256"/>
    <n v="15590"/>
    <n v="6864"/>
    <n v="1835"/>
    <n v="200"/>
    <n v="1358"/>
    <n v="12"/>
    <n v="3128"/>
    <n v="919"/>
    <n v="2803"/>
    <n v="654"/>
    <n v="12319"/>
    <n v="3000"/>
    <n v="99"/>
    <n v="2598"/>
    <n v="1227"/>
    <n v="168"/>
    <n v="3107"/>
    <n v="4936"/>
    <n v="1770"/>
    <n v="12684"/>
    <n v="1"/>
    <m/>
    <n v="4518"/>
    <n v="194"/>
    <n v="543"/>
    <n v="21"/>
    <n v="667"/>
    <n v="42"/>
    <n v="381"/>
    <n v="599"/>
    <n v="38599"/>
    <n v="4414"/>
    <n v="329"/>
    <n v="1952"/>
    <n v="225"/>
    <n v="251"/>
    <n v="83"/>
    <m/>
    <n v="52818"/>
    <n v="732"/>
    <n v="44505"/>
    <n v="7581"/>
    <n v="5560"/>
    <n v="5432"/>
    <m/>
    <n v="2"/>
    <n v="257"/>
    <n v="839"/>
    <n v="788"/>
    <n v="1278"/>
    <n v="1779"/>
    <n v="1588"/>
    <n v="1633"/>
    <n v="2827"/>
    <n v="2"/>
    <n v="1"/>
    <n v="2"/>
    <n v="376"/>
    <n v="299"/>
    <n v="2176"/>
    <n v="151"/>
    <n v="29"/>
    <n v="7804"/>
    <n v="159"/>
    <n v="239"/>
    <n v="187"/>
    <n v="436"/>
    <n v="1447"/>
    <n v="383"/>
    <n v="1"/>
    <n v="276"/>
    <n v="6029"/>
    <n v="1986"/>
    <n v="10"/>
    <n v="0"/>
    <n v="0"/>
    <n v="0"/>
    <n v="0"/>
    <n v="0"/>
    <n v="1564"/>
    <n v="5632"/>
    <n v="212"/>
    <n v="2209"/>
    <n v="1377"/>
    <n v="106"/>
    <n v="149"/>
    <n v="2141"/>
    <n v="3"/>
    <n v="1479"/>
    <n v="485"/>
    <n v="513"/>
    <n v="850"/>
    <n v="1927"/>
    <n v="188"/>
    <n v="234"/>
    <n v="274"/>
    <n v="13"/>
    <n v="766"/>
    <n v="1199"/>
    <n v="218"/>
    <n v="447"/>
    <n v="2"/>
    <m/>
    <m/>
    <n v="886"/>
    <n v="66"/>
    <n v="751"/>
    <n v="91"/>
    <n v="121"/>
    <n v="475"/>
    <n v="43"/>
    <n v="7624"/>
    <n v="149"/>
    <n v="62"/>
    <n v="537"/>
    <n v="108"/>
    <n v="56"/>
    <n v="25"/>
    <m/>
    <m/>
    <n v="10994"/>
    <n v="226"/>
    <n v="9760"/>
    <n v="1008"/>
    <n v="2011"/>
  </r>
  <r>
    <n v="106370759"/>
    <s v="370759"/>
    <x v="241"/>
    <s v="2400 EAST FOURTH STREET"/>
    <s v="NATIONAL CITY"/>
    <n v="92050"/>
    <x v="0"/>
    <x v="0"/>
    <x v="63"/>
    <x v="8"/>
    <s v="161g"/>
    <m/>
    <s v="14 - San Diego/Imperial"/>
    <x v="35"/>
    <s v="General Acute Care"/>
    <s v="Investor - Limited Liability Company"/>
    <s v="General Medical / Surgical"/>
    <n v="198"/>
    <x v="0"/>
    <n v="14237"/>
    <n v="11078"/>
    <m/>
    <m/>
    <n v="2631"/>
    <n v="3113"/>
    <n v="5028"/>
    <n v="3648"/>
    <n v="3888"/>
    <n v="3319"/>
    <n v="1471"/>
    <n v="937"/>
    <n v="746"/>
    <n v="532"/>
    <n v="2"/>
    <n v="2430"/>
    <n v="7173"/>
    <n v="10048"/>
    <n v="6"/>
    <n v="136"/>
    <n v="6"/>
    <n v="5516"/>
    <n v="142"/>
    <n v="1298"/>
    <n v="111"/>
    <n v="57"/>
    <m/>
    <n v="1"/>
    <m/>
    <m/>
    <m/>
    <n v="84"/>
    <m/>
    <n v="23539"/>
    <n v="83"/>
    <m/>
    <m/>
    <n v="11675"/>
    <n v="4054"/>
    <n v="2796"/>
    <n v="1742"/>
    <n v="5048"/>
    <n v="881"/>
    <n v="58"/>
    <n v="475"/>
    <n v="3"/>
    <n v="1253"/>
    <n v="443"/>
    <n v="1389"/>
    <n v="504"/>
    <n v="5829"/>
    <n v="1380"/>
    <n v="20"/>
    <n v="2031"/>
    <n v="734"/>
    <n v="5"/>
    <n v="2276"/>
    <n v="2949"/>
    <n v="1044"/>
    <n v="4041"/>
    <m/>
    <m/>
    <n v="1677"/>
    <n v="175"/>
    <n v="225"/>
    <n v="2"/>
    <n v="434"/>
    <n v="1"/>
    <n v="20"/>
    <n v="275"/>
    <n v="19136"/>
    <n v="2544"/>
    <n v="73"/>
    <n v="590"/>
    <n v="46"/>
    <n v="114"/>
    <n v="3"/>
    <m/>
    <n v="25315"/>
    <n v="488"/>
    <n v="21230"/>
    <n v="3597"/>
    <n v="3458"/>
    <n v="3290"/>
    <m/>
    <m/>
    <n v="111"/>
    <n v="587"/>
    <n v="631"/>
    <n v="1036"/>
    <n v="1282"/>
    <n v="985"/>
    <n v="876"/>
    <n v="1240"/>
    <m/>
    <m/>
    <m/>
    <n v="1293"/>
    <n v="1287"/>
    <n v="1933"/>
    <n v="15"/>
    <m/>
    <n v="2219"/>
    <n v="1"/>
    <n v="427"/>
    <n v="247"/>
    <n v="138"/>
    <n v="381"/>
    <n v="81"/>
    <n v="5"/>
    <n v="5"/>
    <n v="4490"/>
    <n v="971"/>
    <n v="3"/>
    <n v="0"/>
    <n v="0"/>
    <n v="0"/>
    <n v="0"/>
    <n v="0"/>
    <n v="2214"/>
    <n v="3411"/>
    <n v="91"/>
    <n v="199"/>
    <n v="833"/>
    <n v="181"/>
    <n v="64"/>
    <n v="1043"/>
    <n v="1"/>
    <n v="596"/>
    <n v="332"/>
    <n v="321"/>
    <n v="635"/>
    <n v="290"/>
    <n v="100"/>
    <n v="62"/>
    <n v="172"/>
    <n v="15"/>
    <n v="1858"/>
    <n v="556"/>
    <n v="97"/>
    <n v="425"/>
    <m/>
    <m/>
    <m/>
    <n v="194"/>
    <n v="26"/>
    <n v="162"/>
    <n v="34"/>
    <n v="2"/>
    <n v="12"/>
    <n v="7"/>
    <n v="5883"/>
    <n v="150"/>
    <m/>
    <n v="7"/>
    <n v="233"/>
    <n v="13"/>
    <n v="24"/>
    <n v="1"/>
    <m/>
    <n v="6748"/>
    <n v="544"/>
    <n v="5185"/>
    <n v="1019"/>
    <n v="2011"/>
  </r>
  <r>
    <n v="106370771"/>
    <s v="370771"/>
    <x v="242"/>
    <s v="9888 GENESEE AVENUE"/>
    <s v="LA JOLLA"/>
    <n v="92037"/>
    <x v="2"/>
    <x v="0"/>
    <x v="65"/>
    <x v="34"/>
    <s v="161r"/>
    <m/>
    <s v="14 - San Diego/Imperial"/>
    <x v="35"/>
    <s v="General Acute Care"/>
    <s v="Non-Profit Corporation (incl. Church-related)"/>
    <s v="General Medical / Surgical"/>
    <n v="318"/>
    <x v="0"/>
    <n v="13216"/>
    <n v="10782"/>
    <n v="1"/>
    <m/>
    <n v="914"/>
    <n v="1712"/>
    <n v="4424"/>
    <n v="3673"/>
    <n v="3404"/>
    <n v="3020"/>
    <n v="2094"/>
    <n v="1865"/>
    <n v="2726"/>
    <n v="167"/>
    <m/>
    <n v="1766"/>
    <n v="811"/>
    <n v="2134"/>
    <n v="32"/>
    <n v="1321"/>
    <n v="37"/>
    <n v="17898"/>
    <n v="502"/>
    <n v="194"/>
    <n v="4"/>
    <n v="80"/>
    <n v="43"/>
    <n v="26"/>
    <n v="13"/>
    <n v="34"/>
    <m/>
    <n v="151"/>
    <m/>
    <n v="22650"/>
    <n v="302"/>
    <m/>
    <m/>
    <n v="1623"/>
    <n v="5980"/>
    <n v="2950"/>
    <n v="11092"/>
    <n v="2354"/>
    <n v="662"/>
    <n v="61"/>
    <n v="893"/>
    <n v="2"/>
    <n v="1054"/>
    <n v="287"/>
    <n v="1097"/>
    <n v="190"/>
    <n v="7266"/>
    <n v="1096"/>
    <n v="24"/>
    <n v="1352"/>
    <n v="661"/>
    <n v="18"/>
    <n v="1130"/>
    <n v="1388"/>
    <n v="755"/>
    <n v="6063"/>
    <m/>
    <m/>
    <n v="2400"/>
    <n v="280"/>
    <n v="270"/>
    <n v="5"/>
    <n v="331"/>
    <n v="62"/>
    <n v="233"/>
    <n v="246"/>
    <n v="16033"/>
    <n v="2642"/>
    <n v="213"/>
    <n v="1053"/>
    <n v="76"/>
    <n v="92"/>
    <n v="63"/>
    <m/>
    <n v="23999"/>
    <n v="501"/>
    <n v="23119"/>
    <n v="379"/>
    <n v="3460"/>
    <n v="3426"/>
    <m/>
    <m/>
    <n v="142"/>
    <n v="541"/>
    <n v="475"/>
    <n v="679"/>
    <n v="909"/>
    <n v="878"/>
    <n v="1119"/>
    <n v="2143"/>
    <m/>
    <m/>
    <m/>
    <n v="469"/>
    <n v="161"/>
    <n v="536"/>
    <n v="245"/>
    <n v="16"/>
    <n v="5448"/>
    <n v="11"/>
    <n v="197"/>
    <n v="105"/>
    <n v="317"/>
    <n v="1017"/>
    <n v="199"/>
    <n v="5"/>
    <n v="11"/>
    <n v="3819"/>
    <n v="1215"/>
    <n v="1"/>
    <n v="0"/>
    <n v="0"/>
    <n v="0"/>
    <n v="0"/>
    <n v="0"/>
    <n v="345"/>
    <n v="3788"/>
    <n v="238"/>
    <n v="1886"/>
    <n v="629"/>
    <n v="60"/>
    <n v="45"/>
    <n v="1252"/>
    <n v="7"/>
    <n v="901"/>
    <n v="197"/>
    <n v="238"/>
    <n v="620"/>
    <n v="1958"/>
    <n v="127"/>
    <n v="226"/>
    <n v="245"/>
    <n v="4"/>
    <n v="80"/>
    <n v="547"/>
    <n v="123"/>
    <n v="256"/>
    <m/>
    <m/>
    <m/>
    <n v="846"/>
    <n v="58"/>
    <n v="462"/>
    <n v="98"/>
    <n v="10"/>
    <n v="507"/>
    <n v="14"/>
    <n v="4127"/>
    <n v="173"/>
    <n v="101"/>
    <n v="396"/>
    <n v="71"/>
    <n v="19"/>
    <n v="4"/>
    <m/>
    <m/>
    <n v="6886"/>
    <n v="224"/>
    <n v="6523"/>
    <n v="139"/>
    <n v="2011"/>
  </r>
  <r>
    <n v="106370780"/>
    <s v="370780"/>
    <x v="243"/>
    <s v="4002 VISTA WAY"/>
    <s v="OCEANSIDE"/>
    <n v="92056"/>
    <x v="0"/>
    <x v="0"/>
    <x v="52"/>
    <x v="35"/>
    <s v="156d"/>
    <m/>
    <s v="14 - San Diego/Imperial"/>
    <x v="35"/>
    <s v="General Acute Care"/>
    <s v="District"/>
    <s v="General Medical / Surgical"/>
    <n v="368"/>
    <x v="0"/>
    <n v="31766"/>
    <n v="26005"/>
    <m/>
    <m/>
    <n v="7169"/>
    <n v="5706"/>
    <n v="10363"/>
    <n v="7555"/>
    <n v="7028"/>
    <n v="6267"/>
    <n v="3878"/>
    <n v="3174"/>
    <n v="4766"/>
    <n v="1865"/>
    <m/>
    <n v="2026"/>
    <n v="3621"/>
    <n v="17453"/>
    <n v="67"/>
    <n v="3172"/>
    <n v="280"/>
    <n v="31152"/>
    <n v="1762"/>
    <n v="541"/>
    <m/>
    <n v="98"/>
    <n v="113"/>
    <n v="53"/>
    <n v="10"/>
    <n v="153"/>
    <n v="330"/>
    <n v="281"/>
    <n v="81"/>
    <n v="53992"/>
    <n v="357"/>
    <m/>
    <m/>
    <n v="15831"/>
    <n v="11697"/>
    <n v="6705"/>
    <n v="12833"/>
    <n v="10705"/>
    <n v="1849"/>
    <n v="147"/>
    <n v="1680"/>
    <n v="10"/>
    <n v="2996"/>
    <n v="1068"/>
    <n v="3282"/>
    <n v="977"/>
    <n v="14907"/>
    <n v="3118"/>
    <n v="102"/>
    <n v="3148"/>
    <n v="1213"/>
    <n v="110"/>
    <n v="3293"/>
    <n v="5495"/>
    <n v="2268"/>
    <n v="12108"/>
    <m/>
    <m/>
    <n v="5132"/>
    <n v="497"/>
    <n v="744"/>
    <n v="26"/>
    <n v="768"/>
    <n v="78"/>
    <n v="391"/>
    <n v="755"/>
    <n v="40991"/>
    <n v="5831"/>
    <n v="275"/>
    <n v="1501"/>
    <n v="277"/>
    <n v="452"/>
    <n v="53"/>
    <m/>
    <n v="57771"/>
    <n v="373"/>
    <n v="52005"/>
    <n v="5393"/>
    <n v="5637"/>
    <n v="4765"/>
    <m/>
    <m/>
    <n v="150"/>
    <n v="756"/>
    <n v="736"/>
    <n v="1187"/>
    <n v="1553"/>
    <n v="1409"/>
    <n v="1581"/>
    <n v="2943"/>
    <n v="56"/>
    <n v="31"/>
    <m/>
    <n v="470"/>
    <n v="453"/>
    <n v="1922"/>
    <n v="509"/>
    <n v="32"/>
    <n v="7003"/>
    <n v="13"/>
    <n v="248"/>
    <n v="148"/>
    <n v="378"/>
    <n v="1310"/>
    <n v="308"/>
    <n v="13"/>
    <n v="431"/>
    <n v="5708"/>
    <n v="1673"/>
    <n v="185"/>
    <n v="0"/>
    <n v="0"/>
    <n v="0"/>
    <n v="0"/>
    <n v="0"/>
    <n v="1402"/>
    <n v="5874"/>
    <n v="510"/>
    <n v="1505"/>
    <n v="1111"/>
    <n v="132"/>
    <n v="152"/>
    <n v="2107"/>
    <n v="4"/>
    <n v="1512"/>
    <n v="535"/>
    <n v="593"/>
    <n v="687"/>
    <n v="1083"/>
    <n v="161"/>
    <n v="255"/>
    <n v="246"/>
    <n v="11"/>
    <n v="987"/>
    <n v="1268"/>
    <n v="290"/>
    <n v="369"/>
    <n v="1"/>
    <n v="9"/>
    <m/>
    <n v="688"/>
    <n v="98"/>
    <n v="753"/>
    <n v="29"/>
    <n v="34"/>
    <n v="646"/>
    <n v="28"/>
    <n v="7727"/>
    <n v="117"/>
    <n v="19"/>
    <n v="31"/>
    <n v="169"/>
    <n v="32"/>
    <n v="31"/>
    <m/>
    <m/>
    <n v="10402"/>
    <n v="98"/>
    <n v="9499"/>
    <n v="805"/>
    <n v="2011"/>
  </r>
  <r>
    <n v="106370782"/>
    <s v="370782"/>
    <x v="244"/>
    <s v="200 WEST ARBOR DRIVE"/>
    <s v="SAN DIEGO"/>
    <n v="92103"/>
    <x v="5"/>
    <x v="1"/>
    <x v="62"/>
    <x v="34"/>
    <s v="161b"/>
    <m/>
    <s v="14 - San Diego/Imperial"/>
    <x v="35"/>
    <s v="General Acute Care"/>
    <s v="University of California"/>
    <s v="General Medical / Surgical"/>
    <n v="360"/>
    <x v="3"/>
    <n v="24469"/>
    <n v="24118"/>
    <m/>
    <m/>
    <n v="865"/>
    <n v="2552"/>
    <n v="10106"/>
    <n v="8145"/>
    <n v="8446"/>
    <n v="8854"/>
    <n v="4860"/>
    <n v="2518"/>
    <n v="2041"/>
    <n v="177"/>
    <n v="23"/>
    <n v="3522"/>
    <n v="6339"/>
    <n v="8167"/>
    <n v="125"/>
    <n v="2403"/>
    <n v="528"/>
    <n v="27503"/>
    <n v="441"/>
    <n v="763"/>
    <n v="7"/>
    <n v="55"/>
    <n v="45"/>
    <n v="9"/>
    <m/>
    <n v="11"/>
    <m/>
    <m/>
    <n v="17"/>
    <n v="47009"/>
    <n v="230"/>
    <m/>
    <m/>
    <n v="8090"/>
    <n v="8324"/>
    <n v="6119"/>
    <n v="15020"/>
    <n v="11034"/>
    <n v="716"/>
    <n v="129"/>
    <n v="1177"/>
    <n v="10"/>
    <n v="1925"/>
    <n v="722"/>
    <n v="2386"/>
    <n v="609"/>
    <n v="8329"/>
    <n v="4668"/>
    <n v="77"/>
    <n v="2843"/>
    <n v="2874"/>
    <n v="4"/>
    <n v="2874"/>
    <n v="3096"/>
    <n v="2198"/>
    <n v="13950"/>
    <m/>
    <m/>
    <n v="3021"/>
    <n v="114"/>
    <n v="324"/>
    <n v="45"/>
    <n v="910"/>
    <n v="37"/>
    <n v="147"/>
    <n v="440"/>
    <n v="37226"/>
    <n v="4513"/>
    <n v="275"/>
    <n v="1092"/>
    <n v="190"/>
    <n v="157"/>
    <n v="95"/>
    <n v="1"/>
    <n v="48587"/>
    <n v="582"/>
    <n v="46001"/>
    <n v="2004"/>
    <n v="5041"/>
    <n v="5893"/>
    <m/>
    <m/>
    <n v="116"/>
    <n v="1005"/>
    <n v="1100"/>
    <n v="1786"/>
    <n v="2547"/>
    <n v="1843"/>
    <n v="1222"/>
    <n v="1309"/>
    <n v="5"/>
    <m/>
    <n v="1"/>
    <n v="707"/>
    <n v="1384"/>
    <n v="2338"/>
    <n v="419"/>
    <n v="10"/>
    <n v="6056"/>
    <n v="20"/>
    <n v="82"/>
    <n v="219"/>
    <n v="237"/>
    <n v="1082"/>
    <n v="335"/>
    <m/>
    <n v="13"/>
    <n v="7720"/>
    <n v="1088"/>
    <n v="158"/>
    <n v="0"/>
    <n v="0"/>
    <n v="0"/>
    <n v="0"/>
    <n v="0"/>
    <n v="2533"/>
    <n v="4234"/>
    <n v="327"/>
    <n v="1921"/>
    <n v="1919"/>
    <n v="137"/>
    <n v="207"/>
    <n v="1647"/>
    <n v="12"/>
    <n v="1595"/>
    <n v="554"/>
    <n v="583"/>
    <n v="1238"/>
    <n v="1282"/>
    <n v="247"/>
    <n v="632"/>
    <n v="311"/>
    <n v="58"/>
    <n v="695"/>
    <n v="896"/>
    <n v="294"/>
    <n v="541"/>
    <n v="4"/>
    <n v="1"/>
    <m/>
    <n v="574"/>
    <n v="71"/>
    <n v="708"/>
    <n v="72"/>
    <n v="36"/>
    <n v="885"/>
    <n v="23"/>
    <n v="8193"/>
    <n v="145"/>
    <n v="27"/>
    <n v="64"/>
    <n v="76"/>
    <n v="27"/>
    <n v="30"/>
    <n v="3"/>
    <m/>
    <n v="10934"/>
    <n v="255"/>
    <n v="9668"/>
    <n v="1011"/>
    <n v="2011"/>
  </r>
  <r>
    <n v="106370875"/>
    <s v="370875"/>
    <x v="245"/>
    <s v="751 MEDICAL CENTER COURT"/>
    <s v="CHULA VISTA"/>
    <n v="91911"/>
    <x v="0"/>
    <x v="0"/>
    <x v="61"/>
    <x v="8"/>
    <s v="161s"/>
    <m/>
    <s v="14 - San Diego/Imperial"/>
    <x v="35"/>
    <s v="General Acute Care"/>
    <s v="Non-Profit Corporation (incl. Church-related)"/>
    <s v="General Medical / Surgical"/>
    <n v="243"/>
    <x v="0"/>
    <n v="24455"/>
    <n v="16805"/>
    <m/>
    <m/>
    <n v="4891"/>
    <n v="4674"/>
    <n v="7625"/>
    <n v="5865"/>
    <n v="5166"/>
    <n v="4071"/>
    <n v="2634"/>
    <n v="2673"/>
    <n v="2642"/>
    <n v="1019"/>
    <m/>
    <n v="3053"/>
    <n v="2408"/>
    <n v="23635"/>
    <n v="66"/>
    <n v="2588"/>
    <n v="1933"/>
    <n v="7577"/>
    <n v="798"/>
    <n v="1573"/>
    <n v="60"/>
    <n v="80"/>
    <n v="31"/>
    <m/>
    <n v="5"/>
    <n v="2"/>
    <n v="467"/>
    <n v="172"/>
    <n v="117"/>
    <n v="37694"/>
    <n v="234"/>
    <n v="27"/>
    <m/>
    <n v="12790"/>
    <n v="7370"/>
    <n v="3790"/>
    <n v="11575"/>
    <n v="5735"/>
    <n v="1774"/>
    <n v="119"/>
    <n v="1009"/>
    <n v="14"/>
    <n v="2572"/>
    <n v="563"/>
    <n v="2647"/>
    <n v="655"/>
    <n v="8574"/>
    <n v="3171"/>
    <n v="71"/>
    <n v="2054"/>
    <n v="695"/>
    <n v="82"/>
    <n v="1035"/>
    <n v="4271"/>
    <n v="1651"/>
    <n v="10303"/>
    <m/>
    <m/>
    <n v="2948"/>
    <n v="148"/>
    <n v="461"/>
    <n v="10"/>
    <n v="346"/>
    <n v="14"/>
    <n v="243"/>
    <n v="354"/>
    <n v="31689"/>
    <n v="3633"/>
    <n v="161"/>
    <n v="946"/>
    <n v="95"/>
    <n v="184"/>
    <n v="28"/>
    <m/>
    <n v="41260"/>
    <n v="976"/>
    <n v="31520"/>
    <n v="8764"/>
    <n v="5091"/>
    <n v="4225"/>
    <m/>
    <m/>
    <n v="90"/>
    <n v="468"/>
    <n v="596"/>
    <n v="868"/>
    <n v="1380"/>
    <n v="1439"/>
    <n v="1940"/>
    <n v="2533"/>
    <n v="2"/>
    <m/>
    <m/>
    <n v="976"/>
    <n v="404"/>
    <n v="5193"/>
    <n v="495"/>
    <n v="34"/>
    <n v="2192"/>
    <n v="22"/>
    <n v="269"/>
    <n v="144"/>
    <n v="283"/>
    <n v="1141"/>
    <n v="46"/>
    <n v="38"/>
    <n v="104"/>
    <n v="5843"/>
    <n v="1393"/>
    <n v="55"/>
    <n v="0"/>
    <n v="0"/>
    <n v="0"/>
    <n v="0"/>
    <n v="0"/>
    <n v="1889"/>
    <n v="5181"/>
    <n v="138"/>
    <n v="1170"/>
    <n v="938"/>
    <n v="125"/>
    <n v="126"/>
    <n v="2172"/>
    <n v="3"/>
    <n v="1385"/>
    <n v="501"/>
    <n v="587"/>
    <n v="801"/>
    <n v="706"/>
    <n v="175"/>
    <n v="363"/>
    <n v="183"/>
    <n v="30"/>
    <n v="77"/>
    <n v="903"/>
    <n v="260"/>
    <n v="917"/>
    <n v="1"/>
    <n v="1"/>
    <m/>
    <n v="348"/>
    <n v="33"/>
    <n v="700"/>
    <n v="24"/>
    <n v="10"/>
    <n v="569"/>
    <n v="18"/>
    <n v="7442"/>
    <n v="96"/>
    <n v="3"/>
    <n v="9"/>
    <n v="32"/>
    <n v="22"/>
    <n v="10"/>
    <m/>
    <m/>
    <n v="9316"/>
    <n v="537"/>
    <n v="5254"/>
    <n v="3525"/>
    <n v="2011"/>
  </r>
  <r>
    <n v="106370977"/>
    <s v="370977"/>
    <x v="246"/>
    <s v="15615 POMERADO ROAD"/>
    <s v="POWAY"/>
    <n v="92064"/>
    <x v="0"/>
    <x v="0"/>
    <x v="65"/>
    <x v="32"/>
    <s v="161q"/>
    <m/>
    <s v="14 - San Diego/Imperial"/>
    <x v="35"/>
    <s v="General Acute Care"/>
    <s v="District"/>
    <s v="General Medical / Surgical"/>
    <n v="95"/>
    <x v="0"/>
    <n v="14402"/>
    <n v="10859"/>
    <n v="1"/>
    <m/>
    <n v="2585"/>
    <n v="2837"/>
    <n v="4048"/>
    <n v="3055"/>
    <n v="3202"/>
    <n v="2912"/>
    <n v="1870"/>
    <n v="1578"/>
    <n v="2758"/>
    <n v="417"/>
    <m/>
    <n v="1718"/>
    <n v="947"/>
    <n v="3701"/>
    <n v="142"/>
    <n v="1697"/>
    <n v="40"/>
    <n v="17017"/>
    <n v="738"/>
    <n v="19"/>
    <n v="9"/>
    <n v="59"/>
    <n v="2"/>
    <n v="12"/>
    <n v="1"/>
    <m/>
    <n v="20"/>
    <n v="322"/>
    <m/>
    <n v="23712"/>
    <n v="362"/>
    <n v="6"/>
    <m/>
    <n v="5289"/>
    <n v="5499"/>
    <n v="2650"/>
    <n v="9291"/>
    <n v="2533"/>
    <n v="632"/>
    <n v="71"/>
    <n v="781"/>
    <n v="5"/>
    <n v="1488"/>
    <n v="237"/>
    <n v="1461"/>
    <n v="271"/>
    <n v="6504"/>
    <n v="1748"/>
    <n v="31"/>
    <n v="1214"/>
    <n v="364"/>
    <n v="8"/>
    <n v="1020"/>
    <n v="2161"/>
    <n v="823"/>
    <n v="6443"/>
    <m/>
    <m/>
    <n v="2341"/>
    <n v="188"/>
    <n v="297"/>
    <n v="7"/>
    <n v="140"/>
    <n v="26"/>
    <n v="77"/>
    <n v="341"/>
    <n v="17829"/>
    <n v="2966"/>
    <n v="193"/>
    <n v="644"/>
    <n v="67"/>
    <n v="140"/>
    <n v="6"/>
    <m/>
    <n v="25262"/>
    <n v="1005"/>
    <n v="23205"/>
    <n v="1052"/>
    <n v="2034"/>
    <n v="1653"/>
    <m/>
    <m/>
    <n v="37"/>
    <n v="147"/>
    <n v="171"/>
    <n v="288"/>
    <n v="427"/>
    <n v="528"/>
    <n v="644"/>
    <n v="1444"/>
    <n v="1"/>
    <m/>
    <m/>
    <n v="335"/>
    <n v="56"/>
    <n v="297"/>
    <n v="139"/>
    <n v="6"/>
    <n v="2830"/>
    <n v="24"/>
    <n v="178"/>
    <n v="36"/>
    <n v="197"/>
    <n v="351"/>
    <n v="127"/>
    <n v="4"/>
    <n v="82"/>
    <n v="1761"/>
    <n v="951"/>
    <m/>
    <n v="0"/>
    <n v="0"/>
    <n v="0"/>
    <n v="0"/>
    <n v="0"/>
    <n v="302"/>
    <n v="2400"/>
    <n v="69"/>
    <n v="651"/>
    <n v="265"/>
    <n v="22"/>
    <n v="32"/>
    <n v="739"/>
    <m/>
    <n v="718"/>
    <n v="143"/>
    <n v="211"/>
    <n v="419"/>
    <n v="435"/>
    <n v="59"/>
    <n v="83"/>
    <n v="69"/>
    <n v="5"/>
    <n v="35"/>
    <n v="489"/>
    <n v="68"/>
    <n v="159"/>
    <n v="1"/>
    <m/>
    <m/>
    <n v="327"/>
    <n v="33"/>
    <n v="211"/>
    <n v="3"/>
    <n v="12"/>
    <n v="45"/>
    <n v="14"/>
    <n v="2924"/>
    <n v="47"/>
    <n v="3"/>
    <n v="7"/>
    <n v="35"/>
    <n v="23"/>
    <n v="2"/>
    <n v="1"/>
    <m/>
    <n v="3687"/>
    <n v="247"/>
    <n v="3313"/>
    <n v="127"/>
    <n v="2011"/>
  </r>
  <r>
    <n v="106371394"/>
    <s v="371394"/>
    <x v="247"/>
    <s v="354 SANTA FE DRIVE"/>
    <s v="ENCINITAS"/>
    <n v="92024"/>
    <x v="0"/>
    <x v="0"/>
    <x v="66"/>
    <x v="35"/>
    <s v="156a"/>
    <m/>
    <s v="14 - San Diego/Imperial"/>
    <x v="35"/>
    <s v="General Acute Care"/>
    <s v="Non-Profit Corporation (incl. Church-related)"/>
    <s v="General Medical / Surgical"/>
    <n v="158"/>
    <x v="0"/>
    <n v="18356"/>
    <n v="14845"/>
    <m/>
    <m/>
    <n v="3081"/>
    <n v="3065"/>
    <n v="4263"/>
    <n v="4156"/>
    <n v="4449"/>
    <n v="3952"/>
    <n v="3044"/>
    <n v="2549"/>
    <n v="4142"/>
    <n v="499"/>
    <n v="1"/>
    <n v="941"/>
    <n v="716"/>
    <n v="4878"/>
    <n v="19"/>
    <n v="832"/>
    <n v="104"/>
    <n v="25711"/>
    <n v="1176"/>
    <n v="513"/>
    <n v="2"/>
    <n v="37"/>
    <n v="86"/>
    <n v="39"/>
    <n v="6"/>
    <n v="8"/>
    <m/>
    <n v="236"/>
    <m/>
    <n v="30664"/>
    <n v="434"/>
    <m/>
    <m/>
    <n v="3518"/>
    <n v="8488"/>
    <n v="1897"/>
    <n v="14730"/>
    <n v="4568"/>
    <n v="530"/>
    <n v="154"/>
    <n v="1148"/>
    <n v="7"/>
    <n v="1368"/>
    <n v="432"/>
    <n v="1660"/>
    <n v="346"/>
    <n v="9006"/>
    <n v="2032"/>
    <n v="99"/>
    <n v="2039"/>
    <n v="1076"/>
    <n v="25"/>
    <n v="926"/>
    <n v="2279"/>
    <n v="1165"/>
    <n v="8909"/>
    <m/>
    <m/>
    <n v="3567"/>
    <n v="109"/>
    <n v="438"/>
    <n v="29"/>
    <n v="184"/>
    <n v="126"/>
    <n v="252"/>
    <n v="455"/>
    <n v="22694"/>
    <n v="3967"/>
    <n v="273"/>
    <n v="794"/>
    <n v="96"/>
    <n v="199"/>
    <n v="18"/>
    <m/>
    <n v="33201"/>
    <n v="229"/>
    <n v="31553"/>
    <n v="1419"/>
    <n v="2986"/>
    <n v="2549"/>
    <m/>
    <m/>
    <n v="83"/>
    <n v="287"/>
    <n v="319"/>
    <n v="516"/>
    <n v="766"/>
    <n v="750"/>
    <n v="867"/>
    <n v="1947"/>
    <m/>
    <m/>
    <m/>
    <n v="222"/>
    <n v="91"/>
    <n v="638"/>
    <n v="81"/>
    <n v="21"/>
    <n v="4481"/>
    <n v="1"/>
    <n v="174"/>
    <n v="53"/>
    <n v="157"/>
    <n v="1150"/>
    <n v="199"/>
    <m/>
    <n v="56"/>
    <n v="2644"/>
    <n v="1100"/>
    <n v="2"/>
    <n v="0"/>
    <n v="0"/>
    <n v="0"/>
    <n v="0"/>
    <n v="0"/>
    <n v="358"/>
    <n v="3263"/>
    <n v="57"/>
    <n v="1344"/>
    <n v="513"/>
    <n v="39"/>
    <n v="47"/>
    <n v="1240"/>
    <n v="2"/>
    <n v="1101"/>
    <n v="205"/>
    <n v="258"/>
    <n v="545"/>
    <n v="723"/>
    <n v="106"/>
    <n v="177"/>
    <n v="146"/>
    <n v="5"/>
    <n v="64"/>
    <n v="492"/>
    <n v="143"/>
    <n v="242"/>
    <m/>
    <m/>
    <m/>
    <n v="428"/>
    <n v="62"/>
    <n v="563"/>
    <n v="5"/>
    <n v="28"/>
    <n v="413"/>
    <n v="16"/>
    <n v="3845"/>
    <n v="77"/>
    <n v="11"/>
    <n v="12"/>
    <n v="48"/>
    <n v="23"/>
    <n v="4"/>
    <m/>
    <m/>
    <n v="5535"/>
    <n v="89"/>
    <n v="5173"/>
    <n v="273"/>
    <n v="2011"/>
  </r>
  <r>
    <n v="106380857"/>
    <s v="380857"/>
    <x v="248"/>
    <s v="2425 GEARY BOULEVARD"/>
    <s v="SAN FRANCISCO"/>
    <n v="94115"/>
    <x v="0"/>
    <x v="1"/>
    <x v="67"/>
    <x v="36"/>
    <s v="162h"/>
    <m/>
    <s v="04 - West Bay"/>
    <x v="36"/>
    <s v="General Acute Care"/>
    <s v="Non-Profit Corporation (incl. Church-related)"/>
    <s v="General Medical / Surgical"/>
    <n v="247"/>
    <x v="0"/>
    <n v="13947"/>
    <n v="12945"/>
    <n v="4"/>
    <m/>
    <n v="1892"/>
    <n v="1680"/>
    <n v="4456"/>
    <n v="4142"/>
    <n v="3605"/>
    <n v="3456"/>
    <n v="2913"/>
    <n v="2051"/>
    <n v="2300"/>
    <n v="400"/>
    <n v="1"/>
    <n v="5812"/>
    <n v="4226"/>
    <n v="4180"/>
    <n v="48"/>
    <n v="876"/>
    <n v="538"/>
    <n v="11216"/>
    <n v="79"/>
    <n v="137"/>
    <n v="4"/>
    <n v="18"/>
    <n v="25"/>
    <n v="25"/>
    <n v="27"/>
    <n v="1"/>
    <n v="2"/>
    <n v="293"/>
    <n v="3"/>
    <n v="26099"/>
    <n v="97"/>
    <n v="85"/>
    <n v="1"/>
    <n v="1378"/>
    <n v="5507"/>
    <n v="346"/>
    <n v="17476"/>
    <n v="2189"/>
    <n v="651"/>
    <n v="97"/>
    <n v="781"/>
    <n v="4"/>
    <n v="1497"/>
    <n v="553"/>
    <n v="1389"/>
    <n v="385"/>
    <n v="7090"/>
    <n v="1429"/>
    <n v="64"/>
    <n v="1445"/>
    <n v="836"/>
    <n v="38"/>
    <n v="1253"/>
    <n v="1924"/>
    <n v="827"/>
    <n v="6633"/>
    <m/>
    <m/>
    <n v="2110"/>
    <n v="82"/>
    <n v="185"/>
    <n v="8"/>
    <n v="356"/>
    <n v="16"/>
    <n v="208"/>
    <n v="213"/>
    <n v="19450"/>
    <n v="3111"/>
    <n v="255"/>
    <n v="629"/>
    <n v="81"/>
    <n v="180"/>
    <n v="12"/>
    <m/>
    <n v="26896"/>
    <n v="1877"/>
    <n v="23491"/>
    <n v="1528"/>
    <n v="2312"/>
    <n v="2684"/>
    <m/>
    <m/>
    <n v="74"/>
    <n v="190"/>
    <n v="275"/>
    <n v="425"/>
    <n v="674"/>
    <n v="823"/>
    <n v="985"/>
    <n v="1452"/>
    <n v="36"/>
    <n v="62"/>
    <m/>
    <n v="1415"/>
    <n v="798"/>
    <n v="534"/>
    <n v="53"/>
    <n v="10"/>
    <n v="2184"/>
    <n v="2"/>
    <n v="43"/>
    <n v="55"/>
    <n v="151"/>
    <n v="683"/>
    <n v="52"/>
    <n v="6"/>
    <n v="88"/>
    <n v="3365"/>
    <n v="553"/>
    <m/>
    <n v="0"/>
    <n v="0"/>
    <n v="0"/>
    <n v="0"/>
    <n v="0"/>
    <n v="100"/>
    <n v="2840"/>
    <n v="26"/>
    <n v="1971"/>
    <n v="59"/>
    <n v="50"/>
    <n v="58"/>
    <n v="1229"/>
    <n v="4"/>
    <n v="914"/>
    <n v="199"/>
    <n v="193"/>
    <n v="805"/>
    <n v="402"/>
    <n v="57"/>
    <n v="148"/>
    <n v="101"/>
    <n v="3"/>
    <n v="69"/>
    <n v="385"/>
    <n v="79"/>
    <n v="292"/>
    <m/>
    <n v="8"/>
    <m/>
    <n v="261"/>
    <n v="23"/>
    <n v="502"/>
    <n v="8"/>
    <n v="12"/>
    <n v="347"/>
    <n v="5"/>
    <n v="3729"/>
    <n v="57"/>
    <n v="8"/>
    <n v="13"/>
    <n v="15"/>
    <n v="10"/>
    <n v="4"/>
    <n v="2"/>
    <m/>
    <n v="4996"/>
    <n v="588"/>
    <n v="4209"/>
    <n v="199"/>
    <n v="2011"/>
  </r>
  <r>
    <n v="106380929"/>
    <s v="380929"/>
    <x v="249"/>
    <s v="2333 BUCHANAN STREET"/>
    <s v="SAN FRANCISCO"/>
    <n v="94115"/>
    <x v="0"/>
    <x v="1"/>
    <x v="68"/>
    <x v="25"/>
    <s v="162b"/>
    <m/>
    <s v="04 - West Bay"/>
    <x v="36"/>
    <s v="General Acute Care"/>
    <s v="Non-Profit Corporation (incl. Church-related)"/>
    <s v="General Medical / Surgical"/>
    <n v="295"/>
    <x v="0"/>
    <n v="20914"/>
    <n v="21703"/>
    <m/>
    <m/>
    <n v="6859"/>
    <n v="2540"/>
    <n v="5167"/>
    <n v="6233"/>
    <n v="6179"/>
    <n v="5132"/>
    <n v="3747"/>
    <n v="2514"/>
    <n v="2833"/>
    <n v="1413"/>
    <m/>
    <n v="7319"/>
    <n v="4256"/>
    <n v="332"/>
    <n v="730"/>
    <n v="3037"/>
    <n v="59"/>
    <n v="26884"/>
    <n v="137"/>
    <n v="954"/>
    <m/>
    <n v="27"/>
    <n v="11"/>
    <n v="7"/>
    <n v="26"/>
    <n v="244"/>
    <m/>
    <n v="68"/>
    <n v="1"/>
    <n v="41056"/>
    <n v="21"/>
    <n v="65"/>
    <m/>
    <n v="2557"/>
    <n v="6698"/>
    <n v="411"/>
    <n v="32739"/>
    <n v="212"/>
    <n v="328"/>
    <n v="100"/>
    <n v="785"/>
    <n v="3"/>
    <n v="1682"/>
    <n v="411"/>
    <n v="2027"/>
    <n v="1166"/>
    <n v="11942"/>
    <n v="2757"/>
    <n v="31"/>
    <n v="2374"/>
    <n v="755"/>
    <n v="57"/>
    <n v="1186"/>
    <n v="3821"/>
    <n v="1909"/>
    <n v="11283"/>
    <m/>
    <m/>
    <n v="4448"/>
    <n v="361"/>
    <n v="244"/>
    <n v="25"/>
    <n v="463"/>
    <n v="35"/>
    <n v="212"/>
    <n v="417"/>
    <n v="29611"/>
    <n v="4696"/>
    <n v="384"/>
    <n v="795"/>
    <n v="43"/>
    <n v="328"/>
    <n v="555"/>
    <m/>
    <n v="42617"/>
    <n v="2748"/>
    <n v="39336"/>
    <n v="533"/>
    <n v="4454"/>
    <n v="4519"/>
    <m/>
    <n v="1"/>
    <n v="160"/>
    <n v="396"/>
    <n v="570"/>
    <n v="852"/>
    <n v="1201"/>
    <n v="1380"/>
    <n v="1322"/>
    <n v="2729"/>
    <n v="148"/>
    <n v="216"/>
    <m/>
    <n v="1537"/>
    <n v="956"/>
    <n v="389"/>
    <n v="218"/>
    <n v="4"/>
    <n v="5522"/>
    <n v="348"/>
    <n v="106"/>
    <n v="140"/>
    <n v="336"/>
    <n v="1230"/>
    <n v="142"/>
    <n v="60"/>
    <n v="185"/>
    <n v="5470"/>
    <n v="1299"/>
    <n v="6"/>
    <n v="0"/>
    <n v="0"/>
    <n v="0"/>
    <n v="0"/>
    <n v="0"/>
    <n v="744"/>
    <n v="3771"/>
    <n v="174"/>
    <n v="4183"/>
    <n v="102"/>
    <n v="27"/>
    <n v="139"/>
    <n v="1486"/>
    <n v="14"/>
    <n v="1504"/>
    <n v="373"/>
    <n v="441"/>
    <n v="902"/>
    <n v="1154"/>
    <n v="229"/>
    <n v="286"/>
    <n v="234"/>
    <n v="14"/>
    <n v="420"/>
    <n v="876"/>
    <n v="309"/>
    <n v="536"/>
    <n v="1"/>
    <n v="29"/>
    <m/>
    <n v="645"/>
    <n v="59"/>
    <n v="541"/>
    <n v="24"/>
    <n v="13"/>
    <n v="468"/>
    <n v="13"/>
    <n v="6830"/>
    <n v="270"/>
    <n v="17"/>
    <n v="20"/>
    <n v="56"/>
    <n v="12"/>
    <n v="3"/>
    <n v="3"/>
    <m/>
    <n v="8974"/>
    <n v="1159"/>
    <n v="7631"/>
    <n v="184"/>
    <n v="2011"/>
  </r>
  <r>
    <n v="106380939"/>
    <s v="380939"/>
    <x v="250"/>
    <s v="1001 POTRERO AVENUE"/>
    <s v="SAN FRANCISCO"/>
    <n v="94110"/>
    <x v="5"/>
    <x v="1"/>
    <x v="68"/>
    <x v="25"/>
    <s v="162c"/>
    <m/>
    <s v="04 - West Bay"/>
    <x v="36"/>
    <s v="General Acute Care"/>
    <s v="City and/or County"/>
    <s v="General Medical / Surgical"/>
    <n v="403"/>
    <x v="3"/>
    <n v="15013"/>
    <n v="22993"/>
    <m/>
    <m/>
    <n v="1574"/>
    <n v="1710"/>
    <n v="7403"/>
    <n v="7266"/>
    <n v="7678"/>
    <n v="6924"/>
    <n v="3405"/>
    <n v="954"/>
    <n v="598"/>
    <n v="441"/>
    <n v="53"/>
    <n v="5526"/>
    <n v="9171"/>
    <n v="9670"/>
    <n v="485"/>
    <n v="630"/>
    <n v="558"/>
    <n v="11966"/>
    <n v="745"/>
    <n v="439"/>
    <n v="748"/>
    <n v="34"/>
    <n v="1"/>
    <m/>
    <n v="5"/>
    <m/>
    <m/>
    <n v="1191"/>
    <n v="1"/>
    <n v="34605"/>
    <n v="237"/>
    <m/>
    <m/>
    <n v="12041"/>
    <n v="5025"/>
    <n v="10505"/>
    <n v="5523"/>
    <n v="4912"/>
    <n v="548"/>
    <n v="91"/>
    <n v="660"/>
    <n v="20"/>
    <n v="1345"/>
    <n v="470"/>
    <n v="1496"/>
    <n v="642"/>
    <n v="9592"/>
    <n v="2493"/>
    <n v="34"/>
    <n v="1188"/>
    <n v="1189"/>
    <n v="15"/>
    <n v="6487"/>
    <n v="1772"/>
    <n v="1242"/>
    <n v="8720"/>
    <n v="1"/>
    <n v="1"/>
    <n v="2367"/>
    <n v="96"/>
    <n v="91"/>
    <n v="17"/>
    <n v="2228"/>
    <n v="13"/>
    <n v="126"/>
    <n v="137"/>
    <n v="27324"/>
    <n v="2148"/>
    <n v="373"/>
    <n v="2289"/>
    <n v="345"/>
    <n v="124"/>
    <n v="327"/>
    <n v="1"/>
    <n v="38006"/>
    <n v="2219"/>
    <n v="30745"/>
    <n v="5042"/>
    <n v="3746"/>
    <n v="6685"/>
    <m/>
    <m/>
    <n v="192"/>
    <n v="1158"/>
    <n v="1372"/>
    <n v="1866"/>
    <n v="2515"/>
    <n v="1650"/>
    <n v="769"/>
    <n v="748"/>
    <n v="41"/>
    <n v="116"/>
    <n v="4"/>
    <n v="2078"/>
    <n v="2492"/>
    <n v="2053"/>
    <n v="92"/>
    <n v="117"/>
    <n v="3422"/>
    <n v="177"/>
    <n v="426"/>
    <n v="314"/>
    <n v="316"/>
    <n v="346"/>
    <n v="187"/>
    <n v="43"/>
    <n v="239"/>
    <n v="7522"/>
    <n v="862"/>
    <n v="176"/>
    <n v="0"/>
    <n v="0"/>
    <n v="0"/>
    <n v="0"/>
    <n v="0"/>
    <n v="4970"/>
    <n v="3003"/>
    <n v="515"/>
    <n v="842"/>
    <n v="1101"/>
    <n v="27"/>
    <n v="130"/>
    <n v="1504"/>
    <n v="4"/>
    <n v="1127"/>
    <n v="392"/>
    <n v="380"/>
    <n v="473"/>
    <n v="2202"/>
    <n v="195"/>
    <n v="255"/>
    <n v="184"/>
    <n v="12"/>
    <n v="1722"/>
    <n v="831"/>
    <n v="407"/>
    <n v="575"/>
    <n v="4"/>
    <n v="7"/>
    <m/>
    <n v="816"/>
    <n v="145"/>
    <n v="229"/>
    <n v="403"/>
    <n v="52"/>
    <n v="339"/>
    <n v="43"/>
    <n v="7449"/>
    <n v="179"/>
    <n v="69"/>
    <n v="539"/>
    <n v="120"/>
    <n v="22"/>
    <n v="13"/>
    <n v="13"/>
    <m/>
    <n v="10431"/>
    <n v="934"/>
    <n v="8496"/>
    <n v="1001"/>
    <n v="2011"/>
  </r>
  <r>
    <n v="106380960"/>
    <s v="380960"/>
    <x v="251"/>
    <s v="900 HYDE STREET"/>
    <s v="SAN FRANCISCO"/>
    <n v="94109"/>
    <x v="0"/>
    <x v="0"/>
    <x v="68"/>
    <x v="25"/>
    <s v="162b"/>
    <m/>
    <s v="04 - West Bay"/>
    <x v="36"/>
    <s v="General Acute Care"/>
    <s v="Non-Profit Corporation (incl. Church-related)"/>
    <s v="General Medical / Surgical"/>
    <n v="287"/>
    <x v="0"/>
    <n v="11531"/>
    <n v="17035"/>
    <n v="3"/>
    <m/>
    <n v="405"/>
    <n v="933"/>
    <n v="5379"/>
    <n v="4896"/>
    <n v="6050"/>
    <n v="5549"/>
    <n v="3307"/>
    <n v="987"/>
    <n v="1013"/>
    <n v="50"/>
    <m/>
    <n v="2874"/>
    <n v="5809"/>
    <n v="2832"/>
    <n v="32"/>
    <n v="747"/>
    <n v="362"/>
    <n v="15913"/>
    <n v="108"/>
    <n v="1196"/>
    <m/>
    <n v="40"/>
    <n v="37"/>
    <n v="3"/>
    <m/>
    <m/>
    <n v="13"/>
    <n v="13"/>
    <n v="2"/>
    <n v="27070"/>
    <n v="84"/>
    <n v="3"/>
    <m/>
    <n v="6483"/>
    <n v="6018"/>
    <n v="3761"/>
    <n v="5788"/>
    <n v="6519"/>
    <n v="182"/>
    <n v="25"/>
    <n v="510"/>
    <n v="1"/>
    <n v="1082"/>
    <n v="369"/>
    <n v="825"/>
    <n v="573"/>
    <n v="6502"/>
    <n v="2562"/>
    <n v="5"/>
    <n v="1403"/>
    <n v="1493"/>
    <n v="1"/>
    <n v="3139"/>
    <n v="2051"/>
    <n v="1373"/>
    <n v="6473"/>
    <m/>
    <m/>
    <n v="2035"/>
    <n v="310"/>
    <n v="175"/>
    <n v="45"/>
    <n v="896"/>
    <n v="12"/>
    <n v="98"/>
    <n v="271"/>
    <n v="20878"/>
    <n v="3239"/>
    <n v="168"/>
    <n v="291"/>
    <n v="42"/>
    <n v="104"/>
    <n v="5"/>
    <m/>
    <n v="28569"/>
    <n v="1161"/>
    <n v="26769"/>
    <n v="639"/>
    <n v="1704"/>
    <n v="2624"/>
    <m/>
    <m/>
    <n v="26"/>
    <n v="298"/>
    <n v="425"/>
    <n v="641"/>
    <n v="880"/>
    <n v="639"/>
    <n v="489"/>
    <n v="921"/>
    <n v="2"/>
    <n v="7"/>
    <m/>
    <n v="1049"/>
    <n v="797"/>
    <n v="223"/>
    <n v="66"/>
    <n v="34"/>
    <n v="2151"/>
    <n v="8"/>
    <n v="117"/>
    <n v="222"/>
    <n v="194"/>
    <n v="339"/>
    <n v="168"/>
    <n v="16"/>
    <n v="38"/>
    <n v="2658"/>
    <n v="576"/>
    <m/>
    <n v="0"/>
    <n v="0"/>
    <n v="0"/>
    <n v="0"/>
    <n v="0"/>
    <n v="1074"/>
    <n v="1786"/>
    <n v="401"/>
    <n v="743"/>
    <n v="324"/>
    <n v="7"/>
    <n v="42"/>
    <n v="591"/>
    <n v="1"/>
    <n v="458"/>
    <n v="143"/>
    <n v="193"/>
    <n v="274"/>
    <n v="464"/>
    <n v="93"/>
    <n v="121"/>
    <n v="111"/>
    <n v="8"/>
    <n v="811"/>
    <n v="696"/>
    <n v="149"/>
    <n v="166"/>
    <m/>
    <m/>
    <m/>
    <n v="259"/>
    <n v="41"/>
    <n v="223"/>
    <n v="46"/>
    <n v="32"/>
    <n v="141"/>
    <n v="22"/>
    <n v="3260"/>
    <n v="80"/>
    <n v="7"/>
    <n v="11"/>
    <n v="128"/>
    <n v="16"/>
    <n v="36"/>
    <n v="26"/>
    <m/>
    <n v="4328"/>
    <n v="716"/>
    <n v="3566"/>
    <n v="46"/>
    <n v="2011"/>
  </r>
  <r>
    <n v="106380964"/>
    <s v="380964"/>
    <x v="252"/>
    <s v="3555 CESAR CHAVEZ STREET"/>
    <s v="SAN FRANCISCO"/>
    <n v="94110"/>
    <x v="0"/>
    <x v="0"/>
    <x v="68"/>
    <x v="25"/>
    <s v="162c"/>
    <m/>
    <s v="04 - West Bay"/>
    <x v="36"/>
    <s v="General Acute Care"/>
    <s v="Non-Profit Corporation (incl. Church-related)"/>
    <s v="General Medical / Surgical"/>
    <n v="149"/>
    <x v="0"/>
    <n v="13495"/>
    <n v="10746"/>
    <m/>
    <m/>
    <n v="2961"/>
    <n v="1948"/>
    <n v="4150"/>
    <n v="3836"/>
    <n v="3940"/>
    <n v="2997"/>
    <n v="1633"/>
    <n v="1031"/>
    <n v="998"/>
    <n v="747"/>
    <m/>
    <n v="2166"/>
    <n v="7197"/>
    <n v="5273"/>
    <n v="46"/>
    <n v="5"/>
    <n v="1"/>
    <n v="9553"/>
    <n v="336"/>
    <n v="209"/>
    <m/>
    <n v="10"/>
    <m/>
    <m/>
    <m/>
    <m/>
    <n v="2"/>
    <n v="20"/>
    <m/>
    <n v="23664"/>
    <m/>
    <m/>
    <m/>
    <n v="10656"/>
    <n v="3922"/>
    <n v="708"/>
    <n v="3923"/>
    <n v="5032"/>
    <n v="425"/>
    <n v="37"/>
    <n v="339"/>
    <n v="4"/>
    <n v="1149"/>
    <n v="323"/>
    <n v="1299"/>
    <n v="983"/>
    <n v="4735"/>
    <n v="1554"/>
    <n v="14"/>
    <n v="2184"/>
    <n v="767"/>
    <n v="17"/>
    <n v="1452"/>
    <n v="2947"/>
    <n v="1267"/>
    <n v="4745"/>
    <m/>
    <m/>
    <n v="1582"/>
    <n v="109"/>
    <n v="108"/>
    <n v="9"/>
    <n v="454"/>
    <n v="8"/>
    <n v="34"/>
    <n v="192"/>
    <n v="18961"/>
    <n v="1691"/>
    <n v="99"/>
    <n v="484"/>
    <n v="17"/>
    <n v="78"/>
    <n v="413"/>
    <n v="2"/>
    <n v="24241"/>
    <n v="584"/>
    <n v="18519"/>
    <n v="5138"/>
    <n v="1236"/>
    <n v="966"/>
    <m/>
    <m/>
    <n v="35"/>
    <n v="133"/>
    <n v="194"/>
    <n v="205"/>
    <n v="303"/>
    <n v="289"/>
    <n v="343"/>
    <n v="621"/>
    <n v="27"/>
    <n v="52"/>
    <m/>
    <n v="454"/>
    <n v="416"/>
    <n v="652"/>
    <n v="5"/>
    <m/>
    <n v="672"/>
    <n v="3"/>
    <n v="90"/>
    <n v="68"/>
    <n v="68"/>
    <n v="254"/>
    <n v="5"/>
    <n v="11"/>
    <n v="25"/>
    <n v="1415"/>
    <n v="266"/>
    <m/>
    <n v="0"/>
    <n v="0"/>
    <n v="0"/>
    <n v="0"/>
    <n v="0"/>
    <n v="517"/>
    <n v="1163"/>
    <n v="24"/>
    <n v="309"/>
    <n v="189"/>
    <n v="43"/>
    <n v="38"/>
    <n v="334"/>
    <m/>
    <n v="374"/>
    <n v="120"/>
    <n v="132"/>
    <n v="299"/>
    <n v="152"/>
    <n v="43"/>
    <n v="43"/>
    <n v="46"/>
    <n v="8"/>
    <n v="43"/>
    <n v="287"/>
    <n v="88"/>
    <n v="148"/>
    <m/>
    <n v="4"/>
    <m/>
    <n v="98"/>
    <n v="20"/>
    <n v="213"/>
    <n v="5"/>
    <m/>
    <n v="92"/>
    <n v="11"/>
    <n v="1728"/>
    <n v="21"/>
    <n v="2"/>
    <n v="4"/>
    <n v="6"/>
    <n v="2"/>
    <m/>
    <m/>
    <m/>
    <n v="2202"/>
    <n v="254"/>
    <n v="1382"/>
    <n v="566"/>
    <n v="2011"/>
  </r>
  <r>
    <n v="106380965"/>
    <s v="380965"/>
    <x v="253"/>
    <s v="450 STANYAN STREET"/>
    <s v="SAN FRANCISCO"/>
    <n v="94117"/>
    <x v="0"/>
    <x v="1"/>
    <x v="67"/>
    <x v="36"/>
    <s v="162g"/>
    <m/>
    <s v="04 - West Bay"/>
    <x v="36"/>
    <s v="General Acute Care"/>
    <m/>
    <m/>
    <n v="336"/>
    <x v="0"/>
    <n v="7111"/>
    <n v="7576"/>
    <m/>
    <m/>
    <n v="192"/>
    <n v="724"/>
    <n v="2934"/>
    <n v="2266"/>
    <n v="2272"/>
    <n v="2031"/>
    <n v="1536"/>
    <n v="1144"/>
    <n v="1577"/>
    <n v="11"/>
    <m/>
    <n v="2426"/>
    <n v="1699"/>
    <n v="1056"/>
    <n v="3"/>
    <n v="353"/>
    <n v="128"/>
    <n v="9022"/>
    <n v="35"/>
    <n v="269"/>
    <m/>
    <n v="25"/>
    <n v="21"/>
    <n v="2"/>
    <m/>
    <m/>
    <m/>
    <n v="77"/>
    <n v="41"/>
    <n v="14087"/>
    <n v="129"/>
    <n v="1"/>
    <m/>
    <n v="2087"/>
    <n v="4003"/>
    <n v="367"/>
    <n v="5092"/>
    <n v="3138"/>
    <n v="54"/>
    <n v="32"/>
    <n v="295"/>
    <n v="2"/>
    <n v="632"/>
    <n v="205"/>
    <n v="677"/>
    <n v="204"/>
    <n v="3573"/>
    <n v="1252"/>
    <n v="12"/>
    <n v="620"/>
    <n v="711"/>
    <m/>
    <n v="878"/>
    <n v="934"/>
    <n v="659"/>
    <n v="3947"/>
    <m/>
    <m/>
    <n v="1085"/>
    <n v="17"/>
    <n v="94"/>
    <n v="18"/>
    <n v="146"/>
    <n v="2"/>
    <n v="109"/>
    <n v="145"/>
    <n v="10511"/>
    <n v="2098"/>
    <n v="95"/>
    <n v="187"/>
    <n v="21"/>
    <n v="80"/>
    <n v="79"/>
    <m/>
    <n v="14687"/>
    <n v="907"/>
    <n v="13647"/>
    <n v="133"/>
    <n v="1566"/>
    <n v="1484"/>
    <m/>
    <m/>
    <n v="31"/>
    <n v="108"/>
    <n v="122"/>
    <n v="188"/>
    <n v="352"/>
    <n v="377"/>
    <n v="584"/>
    <n v="1288"/>
    <m/>
    <m/>
    <m/>
    <n v="908"/>
    <n v="297"/>
    <n v="147"/>
    <n v="22"/>
    <n v="13"/>
    <n v="1663"/>
    <m/>
    <n v="27"/>
    <n v="57"/>
    <n v="126"/>
    <n v="427"/>
    <n v="80"/>
    <n v="9"/>
    <n v="14"/>
    <n v="1524"/>
    <n v="786"/>
    <m/>
    <n v="0"/>
    <n v="0"/>
    <n v="0"/>
    <n v="0"/>
    <n v="0"/>
    <n v="347"/>
    <n v="1931"/>
    <n v="180"/>
    <n v="575"/>
    <n v="17"/>
    <n v="2"/>
    <n v="58"/>
    <n v="677"/>
    <n v="2"/>
    <n v="473"/>
    <n v="88"/>
    <n v="176"/>
    <n v="218"/>
    <n v="316"/>
    <n v="109"/>
    <n v="101"/>
    <n v="57"/>
    <n v="4"/>
    <n v="65"/>
    <n v="457"/>
    <n v="140"/>
    <n v="107"/>
    <m/>
    <m/>
    <m/>
    <n v="257"/>
    <n v="11"/>
    <n v="179"/>
    <n v="2"/>
    <n v="3"/>
    <n v="143"/>
    <n v="17"/>
    <n v="2362"/>
    <n v="40"/>
    <n v="6"/>
    <n v="4"/>
    <n v="14"/>
    <n v="7"/>
    <n v="5"/>
    <m/>
    <m/>
    <n v="3050"/>
    <n v="564"/>
    <n v="2437"/>
    <n v="49"/>
    <n v="2011"/>
  </r>
  <r>
    <n v="106381154"/>
    <s v="381154"/>
    <x v="254"/>
    <s v="505 PARNASSUS AVENUE"/>
    <s v="SAN FRANCISCO"/>
    <n v="94122"/>
    <x v="0"/>
    <x v="1"/>
    <x v="67"/>
    <x v="36"/>
    <s v="162g"/>
    <m/>
    <s v="04 - West Bay"/>
    <x v="36"/>
    <s v="General Acute Care"/>
    <s v="University of California"/>
    <s v="General Medical / Surgical"/>
    <n v="582"/>
    <x v="0"/>
    <n v="14778"/>
    <n v="12649"/>
    <m/>
    <m/>
    <n v="1780"/>
    <n v="1805"/>
    <n v="5007"/>
    <n v="4408"/>
    <n v="3941"/>
    <n v="3662"/>
    <n v="2878"/>
    <n v="1805"/>
    <n v="1774"/>
    <n v="356"/>
    <n v="11"/>
    <n v="1210"/>
    <n v="4595"/>
    <n v="2079"/>
    <n v="95"/>
    <n v="3081"/>
    <n v="3538"/>
    <n v="12829"/>
    <n v="106"/>
    <n v="113"/>
    <m/>
    <n v="42"/>
    <n v="163"/>
    <n v="8"/>
    <n v="19"/>
    <n v="34"/>
    <m/>
    <n v="412"/>
    <n v="3"/>
    <n v="26458"/>
    <n v="69"/>
    <m/>
    <m/>
    <n v="5284"/>
    <n v="6450"/>
    <n v="948"/>
    <n v="11575"/>
    <n v="3170"/>
    <n v="415"/>
    <n v="142"/>
    <n v="720"/>
    <n v="13"/>
    <n v="989"/>
    <n v="358"/>
    <n v="1389"/>
    <n v="455"/>
    <n v="5024"/>
    <n v="2108"/>
    <n v="102"/>
    <n v="1778"/>
    <n v="157"/>
    <n v="10"/>
    <n v="1857"/>
    <n v="1694"/>
    <n v="1184"/>
    <n v="9032"/>
    <m/>
    <m/>
    <n v="1748"/>
    <n v="30"/>
    <n v="52"/>
    <n v="7"/>
    <n v="289"/>
    <m/>
    <n v="310"/>
    <n v="164"/>
    <n v="21391"/>
    <n v="2584"/>
    <n v="211"/>
    <n v="432"/>
    <n v="48"/>
    <n v="129"/>
    <n v="32"/>
    <m/>
    <n v="27427"/>
    <n v="2671"/>
    <n v="23949"/>
    <n v="807"/>
    <n v="3753"/>
    <n v="3836"/>
    <m/>
    <m/>
    <n v="302"/>
    <n v="592"/>
    <n v="542"/>
    <n v="856"/>
    <n v="1276"/>
    <n v="1193"/>
    <n v="1067"/>
    <n v="1312"/>
    <n v="134"/>
    <n v="315"/>
    <m/>
    <n v="1669"/>
    <n v="1112"/>
    <n v="885"/>
    <n v="471"/>
    <n v="14"/>
    <n v="3407"/>
    <n v="31"/>
    <n v="83"/>
    <n v="117"/>
    <n v="284"/>
    <n v="1328"/>
    <n v="197"/>
    <n v="52"/>
    <n v="31"/>
    <n v="4802"/>
    <n v="687"/>
    <n v="8"/>
    <n v="0"/>
    <n v="0"/>
    <n v="0"/>
    <n v="0"/>
    <n v="0"/>
    <n v="1690"/>
    <n v="3459"/>
    <n v="38"/>
    <n v="2022"/>
    <n v="380"/>
    <n v="17"/>
    <n v="224"/>
    <n v="1249"/>
    <n v="22"/>
    <n v="1111"/>
    <n v="365"/>
    <n v="436"/>
    <n v="547"/>
    <n v="861"/>
    <n v="194"/>
    <n v="482"/>
    <n v="261"/>
    <n v="20"/>
    <n v="123"/>
    <n v="922"/>
    <n v="247"/>
    <n v="488"/>
    <n v="1"/>
    <n v="19"/>
    <m/>
    <n v="271"/>
    <n v="49"/>
    <n v="668"/>
    <n v="15"/>
    <n v="35"/>
    <n v="221"/>
    <n v="24"/>
    <n v="6117"/>
    <n v="73"/>
    <n v="12"/>
    <n v="8"/>
    <n v="43"/>
    <n v="50"/>
    <n v="2"/>
    <n v="1"/>
    <m/>
    <n v="7589"/>
    <n v="1276"/>
    <n v="5968"/>
    <n v="345"/>
    <n v="2011"/>
  </r>
  <r>
    <n v="106382715"/>
    <s v="382715"/>
    <x v="255"/>
    <s v="845 JACKSON STREET"/>
    <s v="SAN FRANCISCO"/>
    <n v="94133"/>
    <x v="0"/>
    <x v="0"/>
    <x v="68"/>
    <x v="25"/>
    <s v="162a"/>
    <m/>
    <s v="04 - West Bay"/>
    <x v="36"/>
    <s v="General Acute Care"/>
    <s v="Non-Profit Corporation (incl. Church-related)"/>
    <s v="General Medical / Surgical"/>
    <n v="54"/>
    <x v="2"/>
    <n v="2223"/>
    <n v="1968"/>
    <m/>
    <m/>
    <n v="168"/>
    <n v="166"/>
    <n v="303"/>
    <n v="230"/>
    <n v="383"/>
    <n v="424"/>
    <n v="519"/>
    <n v="970"/>
    <n v="1018"/>
    <n v="10"/>
    <m/>
    <n v="3751"/>
    <n v="139"/>
    <n v="48"/>
    <m/>
    <n v="16"/>
    <n v="14"/>
    <n v="223"/>
    <n v="57"/>
    <n v="57"/>
    <m/>
    <n v="2"/>
    <m/>
    <m/>
    <m/>
    <n v="4"/>
    <m/>
    <m/>
    <m/>
    <n v="4069"/>
    <n v="2"/>
    <m/>
    <m/>
    <n v="830"/>
    <n v="1344"/>
    <n v="87"/>
    <n v="1682"/>
    <n v="248"/>
    <n v="6"/>
    <n v="12"/>
    <n v="112"/>
    <m/>
    <n v="234"/>
    <n v="99"/>
    <n v="246"/>
    <n v="56"/>
    <n v="1028"/>
    <n v="285"/>
    <n v="6"/>
    <n v="141"/>
    <n v="65"/>
    <m/>
    <n v="62"/>
    <n v="325"/>
    <n v="123"/>
    <n v="1391"/>
    <m/>
    <m/>
    <n v="480"/>
    <n v="5"/>
    <n v="21"/>
    <n v="1"/>
    <n v="22"/>
    <n v="23"/>
    <n v="14"/>
    <n v="45"/>
    <n v="3123"/>
    <n v="388"/>
    <n v="9"/>
    <n v="25"/>
    <n v="1"/>
    <n v="31"/>
    <n v="3"/>
    <m/>
    <n v="4191"/>
    <n v="3610"/>
    <n v="575"/>
    <n v="6"/>
    <n v="762"/>
    <n v="740"/>
    <m/>
    <m/>
    <n v="1"/>
    <n v="9"/>
    <n v="8"/>
    <n v="36"/>
    <n v="70"/>
    <n v="145"/>
    <n v="465"/>
    <n v="768"/>
    <m/>
    <m/>
    <m/>
    <n v="1474"/>
    <n v="5"/>
    <n v="1"/>
    <n v="2"/>
    <m/>
    <n v="20"/>
    <m/>
    <n v="36"/>
    <n v="13"/>
    <n v="58"/>
    <n v="475"/>
    <n v="2"/>
    <m/>
    <n v="9"/>
    <n v="707"/>
    <n v="202"/>
    <m/>
    <n v="0"/>
    <n v="0"/>
    <n v="0"/>
    <n v="0"/>
    <n v="0"/>
    <n v="110"/>
    <n v="1286"/>
    <n v="27"/>
    <n v="66"/>
    <n v="13"/>
    <m/>
    <n v="31"/>
    <n v="262"/>
    <m/>
    <n v="291"/>
    <n v="71"/>
    <n v="72"/>
    <n v="54"/>
    <n v="97"/>
    <n v="18"/>
    <n v="130"/>
    <n v="11"/>
    <m/>
    <n v="2"/>
    <n v="334"/>
    <n v="23"/>
    <n v="106"/>
    <m/>
    <m/>
    <m/>
    <n v="101"/>
    <n v="5"/>
    <n v="85"/>
    <m/>
    <n v="1"/>
    <n v="37"/>
    <n v="5"/>
    <n v="1249"/>
    <n v="7"/>
    <n v="1"/>
    <n v="4"/>
    <n v="5"/>
    <n v="1"/>
    <n v="1"/>
    <m/>
    <m/>
    <n v="1502"/>
    <n v="1436"/>
    <n v="66"/>
    <m/>
    <n v="2011"/>
  </r>
  <r>
    <n v="106390846"/>
    <s v="390846"/>
    <x v="256"/>
    <s v="525 WEST ACACIA"/>
    <s v="STOCKTON"/>
    <n v="95203"/>
    <x v="0"/>
    <x v="0"/>
    <x v="43"/>
    <x v="37"/>
    <s v="169b"/>
    <m/>
    <s v="06 - North San Joaquin"/>
    <x v="37"/>
    <s v="General Acute Care"/>
    <s v="Non-Profit Corporation (incl. Church-related)"/>
    <s v="General Medical / Surgical"/>
    <n v="202"/>
    <x v="0"/>
    <n v="20761"/>
    <n v="15700"/>
    <m/>
    <m/>
    <n v="5775"/>
    <n v="4490"/>
    <n v="6440"/>
    <n v="4698"/>
    <n v="4513"/>
    <n v="3785"/>
    <n v="2341"/>
    <n v="1515"/>
    <n v="1497"/>
    <n v="1407"/>
    <m/>
    <n v="3079"/>
    <n v="9292"/>
    <n v="12716"/>
    <n v="8"/>
    <n v="635"/>
    <n v="1"/>
    <n v="10730"/>
    <n v="380"/>
    <n v="1312"/>
    <m/>
    <n v="66"/>
    <n v="5"/>
    <n v="2"/>
    <m/>
    <n v="15"/>
    <m/>
    <n v="195"/>
    <n v="1"/>
    <n v="34166"/>
    <n v="319"/>
    <m/>
    <m/>
    <n v="16167"/>
    <n v="5692"/>
    <n v="943"/>
    <n v="9489"/>
    <n v="4170"/>
    <n v="855"/>
    <n v="142"/>
    <n v="858"/>
    <n v="9"/>
    <n v="1649"/>
    <n v="591"/>
    <n v="2011"/>
    <n v="1029"/>
    <n v="8110"/>
    <n v="1828"/>
    <n v="39"/>
    <n v="2118"/>
    <n v="858"/>
    <n v="39"/>
    <n v="957"/>
    <n v="4837"/>
    <n v="1737"/>
    <n v="8790"/>
    <n v="4"/>
    <m/>
    <n v="2287"/>
    <n v="182"/>
    <n v="177"/>
    <n v="33"/>
    <n v="533"/>
    <n v="31"/>
    <n v="124"/>
    <n v="516"/>
    <n v="27602"/>
    <n v="3342"/>
    <n v="169"/>
    <n v="1100"/>
    <n v="117"/>
    <n v="206"/>
    <n v="42"/>
    <m/>
    <n v="36461"/>
    <n v="446"/>
    <n v="34626"/>
    <n v="1389"/>
    <n v="2501"/>
    <n v="2043"/>
    <m/>
    <m/>
    <n v="137"/>
    <n v="251"/>
    <n v="345"/>
    <n v="465"/>
    <n v="772"/>
    <n v="769"/>
    <n v="786"/>
    <n v="829"/>
    <n v="64"/>
    <n v="126"/>
    <m/>
    <n v="591"/>
    <n v="857"/>
    <n v="1063"/>
    <n v="72"/>
    <m/>
    <n v="1961"/>
    <m/>
    <n v="130"/>
    <n v="100"/>
    <n v="192"/>
    <n v="283"/>
    <n v="26"/>
    <n v="56"/>
    <n v="36"/>
    <n v="2893"/>
    <n v="828"/>
    <m/>
    <n v="0"/>
    <n v="0"/>
    <n v="0"/>
    <n v="0"/>
    <n v="0"/>
    <n v="1226"/>
    <n v="2145"/>
    <n v="43"/>
    <n v="906"/>
    <n v="224"/>
    <n v="67"/>
    <n v="81"/>
    <n v="822"/>
    <n v="4"/>
    <n v="742"/>
    <n v="245"/>
    <n v="290"/>
    <n v="307"/>
    <n v="316"/>
    <n v="56"/>
    <n v="69"/>
    <n v="73"/>
    <n v="1"/>
    <n v="34"/>
    <n v="868"/>
    <n v="133"/>
    <n v="427"/>
    <n v="1"/>
    <n v="8"/>
    <m/>
    <n v="179"/>
    <n v="31"/>
    <n v="140"/>
    <n v="16"/>
    <n v="5"/>
    <n v="15"/>
    <n v="12"/>
    <n v="4033"/>
    <n v="38"/>
    <n v="7"/>
    <n v="22"/>
    <n v="30"/>
    <n v="9"/>
    <n v="6"/>
    <n v="1"/>
    <m/>
    <n v="4544"/>
    <n v="199"/>
    <n v="4162"/>
    <n v="183"/>
    <n v="2011"/>
  </r>
  <r>
    <n v="106390923"/>
    <s v="390923"/>
    <x v="257"/>
    <s v="975 SOUTH FAIRMONT AVENUE"/>
    <s v="LODI"/>
    <n v="95240"/>
    <x v="0"/>
    <x v="0"/>
    <x v="4"/>
    <x v="5"/>
    <s v="166"/>
    <m/>
    <s v="06 - North San Joaquin"/>
    <x v="37"/>
    <s v="General Acute Care"/>
    <s v="Non-Profit Corporation (incl. Church-related)"/>
    <s v="General Medical / Surgical"/>
    <n v="190"/>
    <x v="0"/>
    <n v="14202"/>
    <n v="11660"/>
    <n v="3"/>
    <m/>
    <n v="3746"/>
    <n v="2916"/>
    <n v="4004"/>
    <n v="3083"/>
    <n v="2957"/>
    <n v="2631"/>
    <n v="1972"/>
    <n v="1603"/>
    <n v="1987"/>
    <n v="966"/>
    <m/>
    <n v="714"/>
    <n v="548"/>
    <n v="7441"/>
    <n v="12"/>
    <n v="479"/>
    <n v="119"/>
    <n v="16552"/>
    <n v="882"/>
    <n v="1360"/>
    <m/>
    <n v="110"/>
    <n v="8"/>
    <n v="4"/>
    <m/>
    <m/>
    <n v="171"/>
    <n v="117"/>
    <m/>
    <n v="22987"/>
    <n v="226"/>
    <m/>
    <m/>
    <n v="9314"/>
    <n v="5604"/>
    <n v="1696"/>
    <n v="5550"/>
    <n v="3701"/>
    <n v="899"/>
    <n v="111"/>
    <n v="689"/>
    <n v="5"/>
    <n v="1480"/>
    <n v="442"/>
    <n v="1582"/>
    <n v="391"/>
    <n v="6026"/>
    <n v="1230"/>
    <n v="47"/>
    <n v="1409"/>
    <n v="1101"/>
    <n v="35"/>
    <n v="756"/>
    <n v="2713"/>
    <n v="975"/>
    <n v="5974"/>
    <m/>
    <m/>
    <n v="2020"/>
    <n v="185"/>
    <n v="276"/>
    <n v="6"/>
    <n v="330"/>
    <n v="6"/>
    <n v="137"/>
    <n v="259"/>
    <n v="19180"/>
    <n v="2258"/>
    <n v="170"/>
    <n v="720"/>
    <n v="99"/>
    <n v="195"/>
    <n v="24"/>
    <m/>
    <n v="25865"/>
    <n v="386"/>
    <n v="22205"/>
    <n v="3274"/>
    <n v="2785"/>
    <n v="2338"/>
    <m/>
    <m/>
    <n v="113"/>
    <n v="234"/>
    <n v="273"/>
    <n v="435"/>
    <n v="649"/>
    <n v="790"/>
    <n v="951"/>
    <n v="1505"/>
    <n v="50"/>
    <n v="123"/>
    <m/>
    <n v="155"/>
    <n v="64"/>
    <n v="820"/>
    <n v="42"/>
    <n v="13"/>
    <n v="4026"/>
    <n v="3"/>
    <n v="207"/>
    <n v="67"/>
    <n v="218"/>
    <n v="732"/>
    <n v="35"/>
    <n v="13"/>
    <n v="52"/>
    <n v="2672"/>
    <n v="1127"/>
    <m/>
    <n v="0"/>
    <n v="0"/>
    <n v="0"/>
    <n v="0"/>
    <n v="0"/>
    <n v="782"/>
    <n v="3194"/>
    <n v="80"/>
    <n v="662"/>
    <n v="405"/>
    <n v="81"/>
    <n v="77"/>
    <n v="943"/>
    <n v="1"/>
    <n v="869"/>
    <n v="230"/>
    <n v="244"/>
    <n v="710"/>
    <n v="394"/>
    <n v="79"/>
    <n v="91"/>
    <n v="96"/>
    <n v="2"/>
    <n v="50"/>
    <n v="773"/>
    <n v="151"/>
    <n v="327"/>
    <m/>
    <n v="5"/>
    <m/>
    <n v="261"/>
    <n v="58"/>
    <n v="194"/>
    <n v="11"/>
    <n v="21"/>
    <n v="154"/>
    <n v="8"/>
    <n v="4283"/>
    <n v="61"/>
    <n v="4"/>
    <n v="18"/>
    <n v="33"/>
    <n v="10"/>
    <n v="6"/>
    <n v="1"/>
    <m/>
    <n v="5123"/>
    <n v="91"/>
    <n v="4636"/>
    <n v="396"/>
    <n v="2011"/>
  </r>
  <r>
    <n v="106391010"/>
    <s v="391010"/>
    <x v="258"/>
    <s v="500 WEST HOSPITAL ROAD"/>
    <s v="FRENCH CAMP"/>
    <n v="95231"/>
    <x v="0"/>
    <x v="0"/>
    <x v="43"/>
    <x v="37"/>
    <s v="169b"/>
    <m/>
    <s v="06 - North San Joaquin"/>
    <x v="37"/>
    <s v="General Acute Care"/>
    <s v="City and/or County"/>
    <s v="General Medical / Surgical"/>
    <n v="196"/>
    <x v="0"/>
    <n v="17792"/>
    <n v="20905"/>
    <m/>
    <m/>
    <n v="2931"/>
    <n v="3137"/>
    <n v="7401"/>
    <n v="5984"/>
    <n v="6927"/>
    <n v="6754"/>
    <n v="3077"/>
    <n v="1053"/>
    <n v="500"/>
    <n v="933"/>
    <m/>
    <n v="3038"/>
    <n v="7372"/>
    <n v="15731"/>
    <n v="56"/>
    <n v="837"/>
    <n v="107"/>
    <n v="11556"/>
    <n v="2744"/>
    <n v="3522"/>
    <n v="10"/>
    <n v="47"/>
    <m/>
    <m/>
    <m/>
    <m/>
    <n v="1830"/>
    <n v="12"/>
    <m/>
    <n v="30448"/>
    <n v="84"/>
    <m/>
    <m/>
    <n v="12742"/>
    <n v="3222"/>
    <n v="5802"/>
    <n v="2007"/>
    <n v="14924"/>
    <n v="1061"/>
    <n v="257"/>
    <n v="1270"/>
    <n v="16"/>
    <n v="2813"/>
    <n v="1025"/>
    <n v="2226"/>
    <n v="942"/>
    <n v="6590"/>
    <n v="2998"/>
    <n v="86"/>
    <n v="2106"/>
    <n v="1619"/>
    <n v="89"/>
    <n v="1191"/>
    <n v="3867"/>
    <n v="2115"/>
    <n v="8425"/>
    <m/>
    <n v="1"/>
    <n v="1806"/>
    <n v="76"/>
    <n v="187"/>
    <n v="23"/>
    <n v="1006"/>
    <n v="38"/>
    <n v="158"/>
    <n v="412"/>
    <n v="30316"/>
    <n v="2791"/>
    <n v="164"/>
    <n v="1123"/>
    <n v="218"/>
    <n v="177"/>
    <n v="202"/>
    <m/>
    <n v="38697"/>
    <n v="1385"/>
    <n v="31373"/>
    <n v="5939"/>
    <n v="1594"/>
    <n v="2671"/>
    <m/>
    <m/>
    <n v="134"/>
    <n v="456"/>
    <n v="477"/>
    <n v="728"/>
    <n v="1093"/>
    <n v="718"/>
    <n v="315"/>
    <n v="185"/>
    <n v="66"/>
    <n v="93"/>
    <m/>
    <n v="476"/>
    <n v="704"/>
    <n v="1641"/>
    <n v="60"/>
    <n v="14"/>
    <n v="1363"/>
    <n v="7"/>
    <n v="144"/>
    <n v="120"/>
    <n v="138"/>
    <n v="80"/>
    <n v="34"/>
    <m/>
    <m/>
    <n v="3069"/>
    <n v="347"/>
    <n v="333"/>
    <n v="0"/>
    <n v="0"/>
    <n v="0"/>
    <n v="0"/>
    <n v="0"/>
    <n v="1229"/>
    <n v="879"/>
    <n v="473"/>
    <n v="162"/>
    <n v="1522"/>
    <n v="69"/>
    <n v="59"/>
    <n v="715"/>
    <n v="4"/>
    <n v="791"/>
    <n v="266"/>
    <n v="210"/>
    <n v="475"/>
    <n v="594"/>
    <n v="59"/>
    <n v="103"/>
    <n v="83"/>
    <n v="3"/>
    <n v="32"/>
    <n v="401"/>
    <n v="184"/>
    <n v="207"/>
    <n v="2"/>
    <n v="8"/>
    <m/>
    <n v="151"/>
    <n v="18"/>
    <n v="200"/>
    <n v="96"/>
    <n v="6"/>
    <n v="191"/>
    <n v="15"/>
    <n v="3285"/>
    <n v="68"/>
    <n v="11"/>
    <n v="132"/>
    <n v="33"/>
    <n v="25"/>
    <n v="33"/>
    <n v="1"/>
    <m/>
    <n v="4265"/>
    <n v="252"/>
    <n v="3292"/>
    <n v="721"/>
    <n v="2011"/>
  </r>
  <r>
    <n v="106391042"/>
    <s v="391042"/>
    <x v="259"/>
    <s v="1800 NORTH CALIFORNIA STREET"/>
    <s v="STOCKTON"/>
    <n v="95204"/>
    <x v="0"/>
    <x v="0"/>
    <x v="43"/>
    <x v="37"/>
    <s v="169a"/>
    <m/>
    <s v="06 - North San Joaquin"/>
    <x v="37"/>
    <s v="General Acute Care"/>
    <s v="Non-Profit Corporation (incl. Church-related)"/>
    <s v="General Medical / Surgical"/>
    <n v="338"/>
    <x v="0"/>
    <n v="21955"/>
    <n v="17261"/>
    <m/>
    <m/>
    <n v="5905"/>
    <n v="4153"/>
    <n v="6724"/>
    <n v="4715"/>
    <n v="4849"/>
    <n v="4261"/>
    <n v="2809"/>
    <n v="1866"/>
    <n v="2276"/>
    <n v="1658"/>
    <m/>
    <n v="2927"/>
    <n v="7303"/>
    <n v="16159"/>
    <n v="151"/>
    <n v="810"/>
    <n v="249"/>
    <n v="11617"/>
    <n v="536"/>
    <n v="2529"/>
    <n v="22"/>
    <n v="189"/>
    <n v="29"/>
    <n v="19"/>
    <n v="17"/>
    <n v="16"/>
    <m/>
    <n v="264"/>
    <n v="9"/>
    <n v="35414"/>
    <n v="170"/>
    <m/>
    <n v="2"/>
    <n v="18700"/>
    <n v="7983"/>
    <n v="1047"/>
    <n v="5930"/>
    <n v="5556"/>
    <n v="1217"/>
    <n v="144"/>
    <n v="822"/>
    <n v="10"/>
    <n v="1942"/>
    <n v="547"/>
    <n v="2053"/>
    <n v="568"/>
    <n v="7511"/>
    <n v="2621"/>
    <n v="68"/>
    <n v="2127"/>
    <n v="1934"/>
    <n v="62"/>
    <n v="1474"/>
    <n v="4560"/>
    <n v="1705"/>
    <n v="9851"/>
    <m/>
    <m/>
    <n v="2659"/>
    <n v="145"/>
    <n v="274"/>
    <n v="26"/>
    <n v="630"/>
    <n v="47"/>
    <n v="79"/>
    <n v="443"/>
    <n v="30521"/>
    <n v="2818"/>
    <n v="147"/>
    <n v="941"/>
    <n v="139"/>
    <n v="238"/>
    <n v="109"/>
    <m/>
    <n v="39216"/>
    <n v="668"/>
    <n v="34887"/>
    <n v="3661"/>
    <n v="4917"/>
    <n v="4366"/>
    <m/>
    <m/>
    <n v="203"/>
    <n v="435"/>
    <n v="519"/>
    <n v="865"/>
    <n v="1465"/>
    <n v="1648"/>
    <n v="1547"/>
    <n v="2308"/>
    <n v="119"/>
    <n v="174"/>
    <m/>
    <n v="969"/>
    <n v="1187"/>
    <n v="2742"/>
    <n v="198"/>
    <n v="28"/>
    <n v="4130"/>
    <n v="29"/>
    <n v="125"/>
    <n v="196"/>
    <n v="528"/>
    <n v="1223"/>
    <n v="126"/>
    <n v="106"/>
    <n v="78"/>
    <n v="5068"/>
    <n v="1831"/>
    <n v="2"/>
    <n v="0"/>
    <n v="0"/>
    <n v="0"/>
    <n v="0"/>
    <n v="0"/>
    <n v="2281"/>
    <n v="5204"/>
    <n v="92"/>
    <n v="1208"/>
    <n v="498"/>
    <n v="101"/>
    <n v="146"/>
    <n v="1809"/>
    <n v="8"/>
    <n v="1295"/>
    <n v="451"/>
    <n v="581"/>
    <n v="1057"/>
    <n v="927"/>
    <n v="129"/>
    <n v="265"/>
    <n v="235"/>
    <n v="5"/>
    <n v="103"/>
    <n v="1386"/>
    <n v="260"/>
    <n v="500"/>
    <n v="5"/>
    <n v="20"/>
    <m/>
    <n v="507"/>
    <n v="109"/>
    <n v="609"/>
    <n v="77"/>
    <n v="46"/>
    <n v="464"/>
    <n v="25"/>
    <n v="7094"/>
    <n v="136"/>
    <n v="18"/>
    <n v="81"/>
    <n v="46"/>
    <n v="37"/>
    <n v="32"/>
    <n v="2"/>
    <m/>
    <n v="9283"/>
    <n v="380"/>
    <n v="8210"/>
    <n v="693"/>
    <n v="2011"/>
  </r>
  <r>
    <n v="106391056"/>
    <s v="391056"/>
    <x v="260"/>
    <s v="1420 NORTH TRACY BOULEVARD"/>
    <s v="TRACY"/>
    <n v="95376"/>
    <x v="0"/>
    <x v="0"/>
    <x v="43"/>
    <x v="37"/>
    <s v="163"/>
    <m/>
    <s v="06 - North San Joaquin"/>
    <x v="37"/>
    <s v="General Acute Care"/>
    <s v="Non-Profit Corporation (incl. Church-related)"/>
    <s v="General Medical / Surgical"/>
    <n v="82"/>
    <x v="0"/>
    <n v="16577"/>
    <n v="12883"/>
    <n v="1"/>
    <m/>
    <n v="5140"/>
    <n v="3681"/>
    <n v="4310"/>
    <n v="4276"/>
    <n v="4092"/>
    <n v="2983"/>
    <n v="1639"/>
    <n v="1199"/>
    <n v="1046"/>
    <n v="1095"/>
    <m/>
    <n v="2151"/>
    <n v="3241"/>
    <n v="10581"/>
    <n v="99"/>
    <n v="1780"/>
    <n v="58"/>
    <n v="11551"/>
    <n v="300"/>
    <n v="80"/>
    <n v="42"/>
    <n v="44"/>
    <n v="46"/>
    <n v="17"/>
    <m/>
    <n v="118"/>
    <n v="16"/>
    <n v="134"/>
    <n v="47"/>
    <n v="28418"/>
    <n v="157"/>
    <n v="34"/>
    <n v="8"/>
    <n v="10336"/>
    <n v="3622"/>
    <n v="931"/>
    <n v="9320"/>
    <n v="5252"/>
    <n v="691"/>
    <n v="80"/>
    <n v="455"/>
    <n v="6"/>
    <n v="1469"/>
    <n v="392"/>
    <n v="1664"/>
    <n v="1096"/>
    <n v="6174"/>
    <n v="1874"/>
    <n v="20"/>
    <n v="2758"/>
    <n v="498"/>
    <n v="20"/>
    <n v="800"/>
    <n v="4060"/>
    <n v="1246"/>
    <n v="6158"/>
    <m/>
    <m/>
    <n v="1937"/>
    <n v="130"/>
    <n v="168"/>
    <n v="13"/>
    <n v="248"/>
    <n v="5"/>
    <n v="152"/>
    <n v="300"/>
    <n v="22568"/>
    <n v="2751"/>
    <n v="105"/>
    <n v="793"/>
    <n v="96"/>
    <n v="166"/>
    <n v="28"/>
    <n v="1"/>
    <n v="29461"/>
    <n v="1228"/>
    <n v="24603"/>
    <n v="3630"/>
    <n v="1222"/>
    <n v="1036"/>
    <m/>
    <m/>
    <n v="56"/>
    <n v="122"/>
    <n v="183"/>
    <n v="253"/>
    <n v="330"/>
    <n v="406"/>
    <n v="361"/>
    <n v="499"/>
    <n v="9"/>
    <n v="39"/>
    <m/>
    <n v="198"/>
    <n v="187"/>
    <n v="586"/>
    <n v="137"/>
    <m/>
    <n v="1142"/>
    <n v="8"/>
    <n v="141"/>
    <n v="21"/>
    <n v="81"/>
    <n v="54"/>
    <n v="102"/>
    <n v="2"/>
    <n v="12"/>
    <n v="1523"/>
    <n v="322"/>
    <m/>
    <n v="0"/>
    <n v="0"/>
    <n v="0"/>
    <n v="0"/>
    <n v="0"/>
    <n v="355"/>
    <n v="1185"/>
    <n v="36"/>
    <n v="467"/>
    <n v="215"/>
    <n v="25"/>
    <n v="55"/>
    <n v="345"/>
    <m/>
    <n v="486"/>
    <n v="143"/>
    <n v="140"/>
    <n v="237"/>
    <n v="189"/>
    <n v="31"/>
    <n v="51"/>
    <n v="65"/>
    <m/>
    <n v="27"/>
    <n v="317"/>
    <n v="54"/>
    <n v="88"/>
    <n v="2"/>
    <n v="3"/>
    <m/>
    <n v="108"/>
    <n v="33"/>
    <n v="132"/>
    <n v="6"/>
    <n v="2"/>
    <n v="105"/>
    <n v="6"/>
    <n v="1802"/>
    <n v="36"/>
    <n v="3"/>
    <n v="9"/>
    <n v="10"/>
    <n v="4"/>
    <n v="2"/>
    <m/>
    <m/>
    <n v="2258"/>
    <n v="214"/>
    <n v="1828"/>
    <n v="216"/>
    <n v="2011"/>
  </r>
  <r>
    <n v="106392287"/>
    <s v="392287"/>
    <x v="261"/>
    <s v="1205 EAST NORTH STREET"/>
    <s v="MANTECA"/>
    <n v="95336"/>
    <x v="0"/>
    <x v="0"/>
    <x v="69"/>
    <x v="37"/>
    <s v="164.1"/>
    <m/>
    <s v="06 - North San Joaquin"/>
    <x v="37"/>
    <s v="General Acute Care"/>
    <s v="Investor - Corporation"/>
    <s v="General Medical / Surgical"/>
    <n v="73"/>
    <x v="0"/>
    <n v="13697"/>
    <n v="10378"/>
    <m/>
    <m/>
    <n v="4191"/>
    <n v="2886"/>
    <n v="4056"/>
    <n v="3355"/>
    <n v="2874"/>
    <n v="2242"/>
    <n v="1369"/>
    <n v="1106"/>
    <n v="1061"/>
    <n v="935"/>
    <m/>
    <n v="370"/>
    <n v="1134"/>
    <n v="7396"/>
    <n v="24"/>
    <n v="1237"/>
    <n v="230"/>
    <n v="13684"/>
    <n v="293"/>
    <n v="332"/>
    <m/>
    <n v="40"/>
    <n v="9"/>
    <n v="3"/>
    <m/>
    <m/>
    <m/>
    <n v="47"/>
    <n v="5"/>
    <n v="23275"/>
    <n v="71"/>
    <m/>
    <m/>
    <n v="2120"/>
    <n v="3604"/>
    <n v="1558"/>
    <n v="13538"/>
    <n v="3255"/>
    <n v="514"/>
    <n v="76"/>
    <n v="461"/>
    <n v="5"/>
    <n v="1350"/>
    <n v="367"/>
    <n v="1330"/>
    <n v="632"/>
    <n v="6051"/>
    <n v="1390"/>
    <n v="15"/>
    <n v="2036"/>
    <n v="597"/>
    <n v="33"/>
    <n v="696"/>
    <n v="3163"/>
    <n v="1110"/>
    <n v="4249"/>
    <m/>
    <m/>
    <n v="1595"/>
    <n v="126"/>
    <n v="137"/>
    <n v="16"/>
    <n v="222"/>
    <n v="12"/>
    <n v="89"/>
    <n v="319"/>
    <n v="18032"/>
    <n v="2539"/>
    <n v="123"/>
    <n v="679"/>
    <n v="51"/>
    <n v="121"/>
    <n v="14"/>
    <m/>
    <n v="24075"/>
    <n v="208"/>
    <n v="22857"/>
    <n v="1010"/>
    <n v="1317"/>
    <n v="975"/>
    <m/>
    <m/>
    <n v="39"/>
    <n v="89"/>
    <n v="95"/>
    <n v="157"/>
    <n v="292"/>
    <n v="424"/>
    <n v="478"/>
    <n v="698"/>
    <n v="2"/>
    <n v="18"/>
    <m/>
    <n v="55"/>
    <n v="77"/>
    <n v="349"/>
    <n v="66"/>
    <n v="12"/>
    <n v="1728"/>
    <n v="5"/>
    <n v="90"/>
    <n v="29"/>
    <n v="81"/>
    <n v="206"/>
    <n v="11"/>
    <n v="6"/>
    <n v="23"/>
    <n v="1408"/>
    <n v="438"/>
    <m/>
    <n v="0"/>
    <n v="0"/>
    <n v="0"/>
    <n v="0"/>
    <n v="0"/>
    <n v="75"/>
    <n v="1533"/>
    <n v="41"/>
    <n v="533"/>
    <n v="110"/>
    <n v="23"/>
    <n v="54"/>
    <n v="435"/>
    <n v="3"/>
    <n v="402"/>
    <n v="141"/>
    <n v="166"/>
    <n v="154"/>
    <n v="219"/>
    <n v="50"/>
    <n v="64"/>
    <n v="47"/>
    <n v="3"/>
    <n v="21"/>
    <n v="342"/>
    <n v="47"/>
    <n v="120"/>
    <m/>
    <n v="1"/>
    <m/>
    <n v="166"/>
    <n v="31"/>
    <n v="187"/>
    <n v="5"/>
    <n v="8"/>
    <n v="93"/>
    <n v="6"/>
    <n v="1679"/>
    <n v="40"/>
    <n v="3"/>
    <n v="13"/>
    <n v="18"/>
    <n v="42"/>
    <m/>
    <n v="1"/>
    <m/>
    <n v="2292"/>
    <n v="17"/>
    <n v="2217"/>
    <n v="58"/>
    <n v="2011"/>
  </r>
  <r>
    <n v="106394009"/>
    <s v="394009"/>
    <x v="262"/>
    <s v="1777 WEST YOSEMITE AVENUE"/>
    <s v="MANTECA"/>
    <n v="95336"/>
    <x v="0"/>
    <x v="0"/>
    <x v="69"/>
    <x v="37"/>
    <s v="164.1"/>
    <m/>
    <s v="06 - North San Joaquin"/>
    <x v="37"/>
    <s v="General Acute Care"/>
    <s v="Non-Profit Corporation (incl. Church-related)"/>
    <s v="General Medical / Surgical"/>
    <n v="61"/>
    <x v="0"/>
    <n v="27112"/>
    <n v="21889"/>
    <m/>
    <m/>
    <n v="6000"/>
    <n v="6203"/>
    <n v="6120"/>
    <n v="5844"/>
    <n v="6881"/>
    <n v="6379"/>
    <n v="4396"/>
    <n v="3410"/>
    <n v="2792"/>
    <n v="976"/>
    <m/>
    <n v="3099"/>
    <n v="3750"/>
    <n v="15197"/>
    <n v="257"/>
    <n v="1231"/>
    <n v="432"/>
    <n v="25035"/>
    <n v="695"/>
    <n v="366"/>
    <n v="1"/>
    <n v="60"/>
    <n v="9"/>
    <n v="60"/>
    <n v="47"/>
    <n v="22"/>
    <n v="6"/>
    <n v="261"/>
    <n v="8"/>
    <n v="46762"/>
    <n v="230"/>
    <n v="462"/>
    <n v="12"/>
    <n v="2070"/>
    <n v="8963"/>
    <n v="260"/>
    <n v="34001"/>
    <n v="3707"/>
    <n v="832"/>
    <n v="328"/>
    <n v="1700"/>
    <n v="12"/>
    <n v="3080"/>
    <n v="943"/>
    <n v="2713"/>
    <n v="1220"/>
    <n v="11190"/>
    <n v="3221"/>
    <n v="97"/>
    <n v="3100"/>
    <n v="1057"/>
    <n v="64"/>
    <n v="1340"/>
    <n v="4377"/>
    <n v="1640"/>
    <n v="12086"/>
    <n v="1"/>
    <m/>
    <n v="2971"/>
    <n v="149"/>
    <n v="448"/>
    <n v="34"/>
    <n v="226"/>
    <n v="6"/>
    <n v="209"/>
    <n v="515"/>
    <n v="37557"/>
    <n v="5460"/>
    <n v="120"/>
    <n v="883"/>
    <n v="93"/>
    <n v="287"/>
    <n v="43"/>
    <m/>
    <n v="49001"/>
    <n v="418"/>
    <n v="45144"/>
    <n v="3439"/>
    <n v="2359"/>
    <n v="2056"/>
    <m/>
    <m/>
    <n v="155"/>
    <n v="214"/>
    <n v="308"/>
    <n v="424"/>
    <n v="729"/>
    <n v="737"/>
    <n v="859"/>
    <n v="791"/>
    <n v="64"/>
    <n v="134"/>
    <m/>
    <n v="258"/>
    <n v="337"/>
    <n v="995"/>
    <n v="68"/>
    <n v="6"/>
    <n v="2721"/>
    <n v="30"/>
    <n v="285"/>
    <n v="23"/>
    <n v="132"/>
    <n v="142"/>
    <n v="33"/>
    <n v="13"/>
    <n v="30"/>
    <n v="3149"/>
    <n v="608"/>
    <m/>
    <n v="0"/>
    <n v="0"/>
    <n v="0"/>
    <n v="0"/>
    <n v="0"/>
    <n v="42"/>
    <n v="2198"/>
    <n v="12"/>
    <n v="2099"/>
    <n v="64"/>
    <n v="38"/>
    <n v="80"/>
    <n v="778"/>
    <n v="2"/>
    <n v="934"/>
    <n v="229"/>
    <n v="220"/>
    <n v="789"/>
    <n v="419"/>
    <n v="48"/>
    <n v="70"/>
    <n v="82"/>
    <n v="13"/>
    <n v="34"/>
    <n v="424"/>
    <n v="79"/>
    <n v="160"/>
    <n v="2"/>
    <n v="14"/>
    <m/>
    <n v="197"/>
    <n v="17"/>
    <n v="294"/>
    <n v="4"/>
    <n v="2"/>
    <n v="358"/>
    <n v="5"/>
    <n v="3424"/>
    <n v="56"/>
    <n v="5"/>
    <n v="10"/>
    <n v="21"/>
    <n v="12"/>
    <n v="9"/>
    <n v="1"/>
    <m/>
    <n v="4415"/>
    <n v="65"/>
    <n v="4118"/>
    <n v="232"/>
    <n v="2011"/>
  </r>
  <r>
    <n v="106400466"/>
    <s v="400466"/>
    <x v="263"/>
    <s v="345 SOUTH HALCYON ROAD"/>
    <s v="ARROYO GRANDE"/>
    <n v="93420"/>
    <x v="0"/>
    <x v="0"/>
    <x v="70"/>
    <x v="26"/>
    <s v="171"/>
    <m/>
    <s v="08 - Mid-Coast"/>
    <x v="38"/>
    <s v="General Acute Care"/>
    <s v="Non-Profit Corporation (incl. Church-related)"/>
    <s v="General Medical / Surgical"/>
    <n v="67"/>
    <x v="0"/>
    <n v="7542"/>
    <n v="6725"/>
    <m/>
    <m/>
    <n v="2087"/>
    <n v="2234"/>
    <n v="2601"/>
    <n v="2117"/>
    <n v="1924"/>
    <n v="1849"/>
    <n v="846"/>
    <n v="163"/>
    <n v="138"/>
    <n v="308"/>
    <m/>
    <n v="130"/>
    <n v="184"/>
    <n v="3140"/>
    <n v="36"/>
    <n v="470"/>
    <n v="83"/>
    <n v="10224"/>
    <n v="237"/>
    <n v="71"/>
    <m/>
    <n v="18"/>
    <n v="8"/>
    <n v="2"/>
    <n v="3"/>
    <n v="4"/>
    <m/>
    <n v="39"/>
    <n v="1"/>
    <n v="13874"/>
    <n v="6"/>
    <n v="3"/>
    <n v="1"/>
    <n v="4519"/>
    <n v="173"/>
    <n v="867"/>
    <n v="6026"/>
    <n v="2682"/>
    <n v="301"/>
    <n v="33"/>
    <n v="228"/>
    <n v="1"/>
    <n v="599"/>
    <n v="140"/>
    <n v="697"/>
    <n v="265"/>
    <n v="3990"/>
    <n v="1000"/>
    <n v="4"/>
    <n v="672"/>
    <n v="407"/>
    <n v="9"/>
    <n v="373"/>
    <n v="1252"/>
    <n v="762"/>
    <n v="3532"/>
    <m/>
    <n v="2"/>
    <n v="983"/>
    <n v="105"/>
    <n v="132"/>
    <n v="20"/>
    <n v="125"/>
    <n v="3"/>
    <n v="74"/>
    <n v="158"/>
    <n v="9895"/>
    <n v="1889"/>
    <n v="117"/>
    <n v="603"/>
    <n v="49"/>
    <n v="101"/>
    <n v="13"/>
    <m/>
    <n v="14267"/>
    <n v="35"/>
    <n v="13466"/>
    <n v="766"/>
    <n v="1151"/>
    <n v="948"/>
    <m/>
    <m/>
    <n v="32"/>
    <n v="100"/>
    <n v="103"/>
    <n v="169"/>
    <n v="287"/>
    <n v="356"/>
    <n v="405"/>
    <n v="641"/>
    <m/>
    <n v="6"/>
    <m/>
    <n v="37"/>
    <n v="22"/>
    <n v="221"/>
    <n v="34"/>
    <n v="6"/>
    <n v="1776"/>
    <n v="3"/>
    <n v="80"/>
    <n v="16"/>
    <n v="89"/>
    <n v="229"/>
    <n v="57"/>
    <n v="9"/>
    <n v="17"/>
    <n v="1337"/>
    <n v="263"/>
    <n v="2"/>
    <n v="0"/>
    <n v="0"/>
    <n v="0"/>
    <n v="0"/>
    <n v="0"/>
    <n v="214"/>
    <n v="1335"/>
    <n v="46"/>
    <n v="359"/>
    <n v="145"/>
    <n v="1"/>
    <n v="39"/>
    <n v="369"/>
    <m/>
    <n v="432"/>
    <n v="113"/>
    <n v="110"/>
    <n v="298"/>
    <n v="255"/>
    <n v="25"/>
    <n v="39"/>
    <n v="41"/>
    <n v="4"/>
    <n v="19"/>
    <n v="248"/>
    <n v="41"/>
    <n v="65"/>
    <m/>
    <m/>
    <m/>
    <n v="196"/>
    <n v="27"/>
    <n v="131"/>
    <n v="5"/>
    <n v="5"/>
    <n v="51"/>
    <n v="7"/>
    <n v="1587"/>
    <n v="23"/>
    <n v="4"/>
    <n v="31"/>
    <n v="26"/>
    <n v="5"/>
    <n v="1"/>
    <m/>
    <m/>
    <n v="2099"/>
    <n v="9"/>
    <n v="2022"/>
    <n v="68"/>
    <n v="2011"/>
  </r>
  <r>
    <n v="106400480"/>
    <s v="400480"/>
    <x v="264"/>
    <s v="1911 JOHNSON AVENUE"/>
    <s v="SAN LUIS OBISPO"/>
    <n v="93401"/>
    <x v="0"/>
    <x v="0"/>
    <x v="70"/>
    <x v="26"/>
    <s v="172"/>
    <m/>
    <s v="08 - Mid-Coast"/>
    <x v="38"/>
    <s v="General Acute Care"/>
    <s v="Non-Profit Corporation (incl. Church-related)"/>
    <s v="General Medical / Surgical"/>
    <n v="112"/>
    <x v="0"/>
    <n v="4941"/>
    <n v="4714"/>
    <m/>
    <m/>
    <n v="865"/>
    <n v="1029"/>
    <n v="2259"/>
    <n v="1361"/>
    <n v="1363"/>
    <n v="1575"/>
    <n v="821"/>
    <n v="123"/>
    <n v="96"/>
    <n v="163"/>
    <m/>
    <n v="132"/>
    <n v="227"/>
    <n v="1173"/>
    <n v="2"/>
    <n v="299"/>
    <n v="184"/>
    <n v="7638"/>
    <n v="109"/>
    <n v="58"/>
    <m/>
    <n v="5"/>
    <n v="13"/>
    <n v="1"/>
    <n v="1"/>
    <m/>
    <m/>
    <n v="81"/>
    <n v="5"/>
    <n v="9370"/>
    <n v="8"/>
    <n v="4"/>
    <m/>
    <n v="2283"/>
    <n v="114"/>
    <n v="687"/>
    <n v="4580"/>
    <n v="1991"/>
    <n v="219"/>
    <n v="19"/>
    <n v="231"/>
    <n v="2"/>
    <n v="487"/>
    <n v="94"/>
    <n v="476"/>
    <n v="158"/>
    <n v="2225"/>
    <n v="644"/>
    <n v="14"/>
    <n v="509"/>
    <n v="378"/>
    <n v="4"/>
    <n v="321"/>
    <n v="760"/>
    <n v="520"/>
    <n v="2594"/>
    <m/>
    <m/>
    <n v="638"/>
    <n v="47"/>
    <n v="67"/>
    <n v="12"/>
    <n v="109"/>
    <n v="7"/>
    <n v="48"/>
    <n v="98"/>
    <n v="7098"/>
    <n v="1084"/>
    <n v="119"/>
    <n v="242"/>
    <n v="34"/>
    <n v="46"/>
    <n v="6"/>
    <m/>
    <n v="9655"/>
    <n v="46"/>
    <n v="9192"/>
    <n v="417"/>
    <n v="1192"/>
    <n v="1169"/>
    <m/>
    <m/>
    <n v="22"/>
    <n v="101"/>
    <n v="78"/>
    <n v="177"/>
    <n v="331"/>
    <n v="438"/>
    <n v="411"/>
    <n v="803"/>
    <m/>
    <m/>
    <m/>
    <n v="22"/>
    <n v="31"/>
    <n v="115"/>
    <n v="29"/>
    <n v="49"/>
    <n v="2114"/>
    <n v="1"/>
    <n v="57"/>
    <n v="21"/>
    <n v="81"/>
    <n v="247"/>
    <n v="22"/>
    <n v="41"/>
    <n v="11"/>
    <n v="1383"/>
    <n v="487"/>
    <n v="11"/>
    <n v="0"/>
    <n v="0"/>
    <n v="0"/>
    <n v="0"/>
    <n v="0"/>
    <n v="190"/>
    <n v="1510"/>
    <n v="39"/>
    <n v="511"/>
    <n v="111"/>
    <n v="15"/>
    <n v="49"/>
    <n v="627"/>
    <n v="1"/>
    <n v="413"/>
    <n v="87"/>
    <n v="90"/>
    <n v="276"/>
    <n v="193"/>
    <n v="45"/>
    <n v="64"/>
    <n v="45"/>
    <n v="1"/>
    <n v="16"/>
    <n v="246"/>
    <n v="47"/>
    <n v="146"/>
    <m/>
    <m/>
    <m/>
    <n v="147"/>
    <n v="6"/>
    <n v="169"/>
    <n v="6"/>
    <n v="11"/>
    <n v="86"/>
    <n v="2"/>
    <n v="1860"/>
    <n v="32"/>
    <n v="6"/>
    <n v="12"/>
    <n v="11"/>
    <n v="5"/>
    <n v="8"/>
    <m/>
    <m/>
    <n v="2361"/>
    <n v="5"/>
    <n v="2324"/>
    <n v="32"/>
    <n v="2011"/>
  </r>
  <r>
    <n v="106400524"/>
    <s v="400524"/>
    <x v="265"/>
    <s v="1010 MURRAY STREET"/>
    <s v="SAN LUIS OBISPO"/>
    <n v="93405"/>
    <x v="0"/>
    <x v="0"/>
    <x v="70"/>
    <x v="26"/>
    <s v="172"/>
    <m/>
    <s v="08 - Mid-Coast"/>
    <x v="38"/>
    <s v="General Acute Care"/>
    <s v="Investor - Corporation"/>
    <s v="General Medical / Surgical"/>
    <n v="164"/>
    <x v="0"/>
    <n v="9307"/>
    <n v="8318"/>
    <m/>
    <m/>
    <n v="1591"/>
    <n v="2262"/>
    <n v="3685"/>
    <n v="2116"/>
    <n v="2002"/>
    <n v="2106"/>
    <n v="1374"/>
    <n v="825"/>
    <n v="1207"/>
    <n v="457"/>
    <m/>
    <n v="247"/>
    <n v="325"/>
    <n v="1882"/>
    <n v="25"/>
    <n v="489"/>
    <n v="269"/>
    <n v="14388"/>
    <n v="115"/>
    <n v="50"/>
    <m/>
    <n v="34"/>
    <n v="36"/>
    <n v="9"/>
    <m/>
    <m/>
    <m/>
    <n v="72"/>
    <n v="10"/>
    <n v="17213"/>
    <n v="86"/>
    <m/>
    <m/>
    <n v="332"/>
    <n v="3543"/>
    <n v="1200"/>
    <n v="10137"/>
    <n v="2413"/>
    <n v="367"/>
    <n v="55"/>
    <n v="350"/>
    <n v="9"/>
    <n v="841"/>
    <n v="267"/>
    <n v="910"/>
    <n v="313"/>
    <n v="4725"/>
    <n v="949"/>
    <n v="25"/>
    <n v="1254"/>
    <n v="651"/>
    <n v="29"/>
    <n v="717"/>
    <n v="1602"/>
    <n v="872"/>
    <n v="3689"/>
    <m/>
    <m/>
    <n v="1538"/>
    <n v="68"/>
    <n v="146"/>
    <n v="9"/>
    <n v="217"/>
    <n v="6"/>
    <n v="102"/>
    <n v="176"/>
    <n v="12942"/>
    <n v="1708"/>
    <n v="210"/>
    <n v="333"/>
    <n v="62"/>
    <n v="94"/>
    <n v="14"/>
    <m/>
    <n v="17625"/>
    <n v="63"/>
    <n v="17059"/>
    <n v="503"/>
    <n v="1214"/>
    <n v="1340"/>
    <m/>
    <m/>
    <n v="96"/>
    <n v="252"/>
    <n v="145"/>
    <n v="200"/>
    <n v="410"/>
    <n v="361"/>
    <n v="328"/>
    <n v="622"/>
    <n v="46"/>
    <n v="94"/>
    <m/>
    <n v="35"/>
    <n v="34"/>
    <n v="215"/>
    <n v="50"/>
    <n v="22"/>
    <n v="2193"/>
    <n v="5"/>
    <n v="76"/>
    <n v="25"/>
    <n v="86"/>
    <n v="258"/>
    <n v="37"/>
    <n v="8"/>
    <n v="16"/>
    <n v="1571"/>
    <n v="419"/>
    <n v="58"/>
    <n v="0"/>
    <n v="0"/>
    <n v="0"/>
    <n v="0"/>
    <n v="0"/>
    <n v="266"/>
    <n v="1151"/>
    <n v="222"/>
    <n v="705"/>
    <n v="210"/>
    <n v="26"/>
    <n v="40"/>
    <n v="353"/>
    <n v="2"/>
    <n v="467"/>
    <n v="123"/>
    <n v="96"/>
    <n v="286"/>
    <n v="402"/>
    <n v="59"/>
    <n v="60"/>
    <n v="72"/>
    <m/>
    <n v="42"/>
    <n v="316"/>
    <n v="65"/>
    <n v="143"/>
    <n v="1"/>
    <n v="1"/>
    <m/>
    <n v="189"/>
    <n v="28"/>
    <n v="102"/>
    <n v="5"/>
    <n v="3"/>
    <n v="101"/>
    <n v="8"/>
    <n v="1961"/>
    <n v="36"/>
    <n v="20"/>
    <n v="51"/>
    <n v="41"/>
    <n v="5"/>
    <n v="3"/>
    <n v="1"/>
    <m/>
    <n v="2554"/>
    <n v="3"/>
    <n v="2495"/>
    <n v="56"/>
    <n v="2011"/>
  </r>
  <r>
    <n v="106400548"/>
    <s v="400548"/>
    <x v="266"/>
    <s v="1100 LAS TABLAS ROAD"/>
    <s v="TEMPLETON"/>
    <n v="93465"/>
    <x v="0"/>
    <x v="0"/>
    <x v="70"/>
    <x v="26"/>
    <s v="170"/>
    <m/>
    <s v="08 - Mid-Coast"/>
    <x v="38"/>
    <s v="General Acute Care"/>
    <s v="Investor - Corporation"/>
    <s v="General Medical / Surgical"/>
    <n v="122"/>
    <x v="0"/>
    <n v="16607"/>
    <n v="12952"/>
    <m/>
    <m/>
    <n v="3719"/>
    <n v="3322"/>
    <n v="5137"/>
    <n v="3854"/>
    <n v="3809"/>
    <n v="3476"/>
    <n v="2158"/>
    <n v="1549"/>
    <n v="1806"/>
    <n v="729"/>
    <m/>
    <n v="229"/>
    <n v="637"/>
    <n v="4943"/>
    <n v="29"/>
    <n v="349"/>
    <n v="261"/>
    <n v="23111"/>
    <n v="356"/>
    <n v="102"/>
    <n v="90"/>
    <n v="48"/>
    <n v="14"/>
    <n v="2"/>
    <m/>
    <m/>
    <m/>
    <n v="39"/>
    <n v="2"/>
    <n v="28832"/>
    <n v="73"/>
    <m/>
    <n v="1"/>
    <n v="870"/>
    <n v="5737"/>
    <n v="2248"/>
    <n v="16860"/>
    <n v="3844"/>
    <n v="771"/>
    <n v="89"/>
    <n v="654"/>
    <n v="5"/>
    <n v="1495"/>
    <n v="352"/>
    <n v="1618"/>
    <n v="446"/>
    <n v="7326"/>
    <n v="2071"/>
    <n v="25"/>
    <n v="1805"/>
    <n v="732"/>
    <n v="35"/>
    <n v="753"/>
    <n v="3167"/>
    <n v="1645"/>
    <n v="6570"/>
    <m/>
    <m/>
    <n v="2357"/>
    <n v="128"/>
    <n v="192"/>
    <n v="17"/>
    <n v="212"/>
    <n v="7"/>
    <n v="143"/>
    <n v="446"/>
    <n v="21553"/>
    <n v="3200"/>
    <n v="244"/>
    <n v="770"/>
    <n v="105"/>
    <n v="162"/>
    <n v="23"/>
    <m/>
    <n v="29559"/>
    <n v="77"/>
    <n v="27261"/>
    <n v="2221"/>
    <n v="2280"/>
    <n v="2151"/>
    <m/>
    <m/>
    <n v="82"/>
    <n v="279"/>
    <n v="331"/>
    <n v="469"/>
    <n v="668"/>
    <n v="690"/>
    <n v="658"/>
    <n v="1248"/>
    <n v="1"/>
    <n v="5"/>
    <m/>
    <n v="18"/>
    <n v="153"/>
    <n v="425"/>
    <n v="44"/>
    <n v="70"/>
    <n v="3719"/>
    <n v="2"/>
    <n v="129"/>
    <n v="60"/>
    <n v="153"/>
    <n v="587"/>
    <n v="84"/>
    <n v="5"/>
    <n v="40"/>
    <n v="2488"/>
    <n v="586"/>
    <n v="299"/>
    <n v="0"/>
    <n v="0"/>
    <n v="0"/>
    <n v="0"/>
    <n v="0"/>
    <n v="430"/>
    <n v="2315"/>
    <n v="616"/>
    <n v="735"/>
    <n v="335"/>
    <n v="41"/>
    <n v="57"/>
    <n v="673"/>
    <m/>
    <n v="847"/>
    <n v="217"/>
    <n v="223"/>
    <n v="283"/>
    <n v="542"/>
    <n v="101"/>
    <n v="112"/>
    <n v="100"/>
    <n v="6"/>
    <n v="52"/>
    <n v="555"/>
    <n v="126"/>
    <n v="495"/>
    <m/>
    <n v="1"/>
    <m/>
    <n v="317"/>
    <n v="55"/>
    <n v="262"/>
    <n v="16"/>
    <n v="15"/>
    <n v="108"/>
    <n v="15"/>
    <n v="3448"/>
    <n v="70"/>
    <n v="19"/>
    <n v="47"/>
    <n v="43"/>
    <n v="12"/>
    <n v="4"/>
    <m/>
    <m/>
    <n v="4431"/>
    <n v="5"/>
    <n v="4276"/>
    <n v="150"/>
    <n v="2011"/>
  </r>
  <r>
    <n v="106410782"/>
    <s v="410782"/>
    <x v="267"/>
    <s v="222 WEST 39TH AVENUE"/>
    <s v="SAN MATEO"/>
    <n v="94403"/>
    <x v="0"/>
    <x v="0"/>
    <x v="71"/>
    <x v="36"/>
    <s v="176e"/>
    <m/>
    <s v="04 - West Bay"/>
    <x v="39"/>
    <s v="General Acute Care"/>
    <s v="City and/or County"/>
    <s v="General Medical / Surgical"/>
    <n v="100"/>
    <x v="0"/>
    <n v="19389"/>
    <n v="18053"/>
    <m/>
    <m/>
    <n v="1994"/>
    <n v="2274"/>
    <n v="7284"/>
    <n v="7091"/>
    <n v="7076"/>
    <n v="6568"/>
    <n v="3119"/>
    <n v="1059"/>
    <n v="542"/>
    <n v="435"/>
    <m/>
    <n v="473"/>
    <n v="325"/>
    <n v="32057"/>
    <n v="175"/>
    <n v="1938"/>
    <n v="156"/>
    <n v="2318"/>
    <n v="1249"/>
    <n v="365"/>
    <m/>
    <n v="20"/>
    <m/>
    <m/>
    <n v="2"/>
    <n v="85"/>
    <n v="367"/>
    <n v="750"/>
    <m/>
    <n v="34583"/>
    <n v="21"/>
    <m/>
    <m/>
    <n v="8390"/>
    <n v="3420"/>
    <n v="17393"/>
    <n v="1232"/>
    <n v="7007"/>
    <n v="921"/>
    <n v="93"/>
    <n v="933"/>
    <n v="6"/>
    <n v="2062"/>
    <n v="764"/>
    <n v="2668"/>
    <n v="1102"/>
    <n v="4940"/>
    <n v="3228"/>
    <n v="114"/>
    <n v="2380"/>
    <n v="2830"/>
    <n v="20"/>
    <n v="1228"/>
    <n v="3952"/>
    <n v="2129"/>
    <n v="8070"/>
    <m/>
    <n v="2"/>
    <n v="1392"/>
    <n v="95"/>
    <n v="174"/>
    <n v="12"/>
    <n v="352"/>
    <n v="5"/>
    <n v="43"/>
    <n v="220"/>
    <n v="31970"/>
    <n v="2327"/>
    <n v="134"/>
    <n v="363"/>
    <n v="156"/>
    <n v="165"/>
    <n v="34"/>
    <m/>
    <n v="37442"/>
    <n v="975"/>
    <n v="22011"/>
    <n v="14456"/>
    <n v="1282"/>
    <n v="1529"/>
    <m/>
    <m/>
    <n v="56"/>
    <n v="385"/>
    <n v="388"/>
    <n v="495"/>
    <n v="609"/>
    <n v="447"/>
    <n v="228"/>
    <n v="166"/>
    <n v="2"/>
    <n v="35"/>
    <m/>
    <n v="39"/>
    <n v="29"/>
    <n v="2379"/>
    <n v="118"/>
    <n v="7"/>
    <n v="225"/>
    <n v="14"/>
    <n v="115"/>
    <n v="35"/>
    <n v="58"/>
    <n v="44"/>
    <n v="33"/>
    <n v="9"/>
    <n v="300"/>
    <n v="2005"/>
    <n v="180"/>
    <n v="32"/>
    <n v="0"/>
    <n v="0"/>
    <n v="0"/>
    <n v="0"/>
    <n v="0"/>
    <n v="875"/>
    <n v="661"/>
    <n v="342"/>
    <n v="49"/>
    <n v="884"/>
    <n v="21"/>
    <n v="36"/>
    <n v="309"/>
    <n v="1"/>
    <n v="568"/>
    <n v="113"/>
    <n v="136"/>
    <n v="128"/>
    <n v="147"/>
    <n v="39"/>
    <n v="59"/>
    <n v="42"/>
    <n v="7"/>
    <n v="770"/>
    <n v="250"/>
    <n v="104"/>
    <n v="81"/>
    <m/>
    <m/>
    <m/>
    <n v="56"/>
    <n v="14"/>
    <n v="90"/>
    <n v="9"/>
    <n v="9"/>
    <n v="3"/>
    <n v="6"/>
    <n v="2552"/>
    <n v="26"/>
    <n v="2"/>
    <n v="5"/>
    <n v="34"/>
    <n v="4"/>
    <n v="1"/>
    <m/>
    <m/>
    <n v="2811"/>
    <n v="105"/>
    <n v="1992"/>
    <n v="714"/>
    <n v="2011"/>
  </r>
  <r>
    <n v="106410804"/>
    <s v="410804"/>
    <x v="268"/>
    <s v="1150 VETERANS BOULEVARD"/>
    <s v="REDWOOD CITY"/>
    <n v="94063"/>
    <x v="0"/>
    <x v="0"/>
    <x v="72"/>
    <x v="38"/>
    <s v="176c"/>
    <m/>
    <s v="04 - West Bay"/>
    <x v="39"/>
    <s v="General Acute Care"/>
    <s v="Non-Profit Corporation (incl. Church-related)"/>
    <s v="General Medical / Surgical"/>
    <n v="213"/>
    <x v="0"/>
    <n v="11613"/>
    <n v="11039"/>
    <m/>
    <m/>
    <n v="2125"/>
    <n v="2133"/>
    <n v="2710"/>
    <n v="2597"/>
    <n v="2994"/>
    <n v="2925"/>
    <n v="2361"/>
    <n v="1969"/>
    <n v="2498"/>
    <n v="340"/>
    <m/>
    <n v="2564"/>
    <n v="1360"/>
    <n v="6124"/>
    <n v="93"/>
    <n v="501"/>
    <n v="221"/>
    <n v="11789"/>
    <n v="97"/>
    <n v="206"/>
    <m/>
    <n v="20"/>
    <n v="48"/>
    <n v="17"/>
    <n v="7"/>
    <m/>
    <n v="9"/>
    <n v="107"/>
    <m/>
    <n v="21956"/>
    <n v="56"/>
    <n v="110"/>
    <n v="19"/>
    <n v="583"/>
    <n v="5580"/>
    <n v="382"/>
    <n v="14280"/>
    <n v="1827"/>
    <n v="380"/>
    <n v="143"/>
    <n v="691"/>
    <n v="3"/>
    <n v="1047"/>
    <n v="346"/>
    <n v="954"/>
    <n v="473"/>
    <n v="6540"/>
    <n v="1199"/>
    <n v="41"/>
    <n v="1415"/>
    <n v="822"/>
    <n v="22"/>
    <n v="885"/>
    <n v="1475"/>
    <n v="733"/>
    <n v="5483"/>
    <m/>
    <m/>
    <n v="2001"/>
    <n v="69"/>
    <n v="205"/>
    <n v="10"/>
    <n v="149"/>
    <n v="9"/>
    <n v="96"/>
    <n v="268"/>
    <n v="15675"/>
    <n v="3428"/>
    <n v="121"/>
    <n v="443"/>
    <n v="33"/>
    <n v="128"/>
    <n v="17"/>
    <m/>
    <n v="22652"/>
    <n v="353"/>
    <n v="20088"/>
    <n v="2211"/>
    <n v="1614"/>
    <n v="1443"/>
    <m/>
    <m/>
    <n v="35"/>
    <n v="79"/>
    <n v="121"/>
    <n v="207"/>
    <n v="360"/>
    <n v="497"/>
    <n v="600"/>
    <n v="1157"/>
    <n v="1"/>
    <m/>
    <m/>
    <n v="344"/>
    <n v="195"/>
    <n v="377"/>
    <n v="19"/>
    <n v="4"/>
    <n v="2103"/>
    <n v="15"/>
    <n v="124"/>
    <n v="19"/>
    <n v="147"/>
    <n v="576"/>
    <n v="27"/>
    <n v="3"/>
    <n v="95"/>
    <n v="1614"/>
    <n v="452"/>
    <m/>
    <n v="0"/>
    <n v="0"/>
    <n v="0"/>
    <n v="0"/>
    <n v="0"/>
    <n v="36"/>
    <n v="2024"/>
    <n v="4"/>
    <n v="918"/>
    <n v="75"/>
    <n v="10"/>
    <n v="49"/>
    <n v="676"/>
    <n v="4"/>
    <n v="457"/>
    <n v="88"/>
    <n v="146"/>
    <n v="688"/>
    <n v="293"/>
    <n v="52"/>
    <n v="86"/>
    <n v="63"/>
    <m/>
    <n v="35"/>
    <n v="227"/>
    <n v="67"/>
    <n v="115"/>
    <n v="1"/>
    <m/>
    <m/>
    <n v="214"/>
    <n v="19"/>
    <n v="324"/>
    <n v="2"/>
    <n v="12"/>
    <n v="104"/>
    <n v="12"/>
    <n v="2277"/>
    <n v="72"/>
    <n v="5"/>
    <n v="9"/>
    <n v="6"/>
    <n v="1"/>
    <m/>
    <m/>
    <m/>
    <n v="3057"/>
    <n v="74"/>
    <n v="2850"/>
    <n v="133"/>
    <n v="2011"/>
  </r>
  <r>
    <n v="106410806"/>
    <s v="410806"/>
    <x v="269"/>
    <s v="1200 EL CAMINO REAL"/>
    <s v="SOUTH SAN FRANCISCO"/>
    <n v="94080"/>
    <x v="0"/>
    <x v="0"/>
    <x v="71"/>
    <x v="36"/>
    <s v="176a"/>
    <m/>
    <s v="04 - West Bay"/>
    <x v="39"/>
    <s v="General Acute Care"/>
    <s v="Non-Profit Corporation (incl. Church-related)"/>
    <s v="General Medical / Surgical"/>
    <n v="120"/>
    <x v="0"/>
    <n v="15412"/>
    <n v="14529"/>
    <m/>
    <m/>
    <n v="2804"/>
    <n v="2435"/>
    <n v="3979"/>
    <n v="3409"/>
    <n v="3564"/>
    <n v="4023"/>
    <n v="3256"/>
    <n v="2821"/>
    <n v="3223"/>
    <n v="427"/>
    <m/>
    <n v="8827"/>
    <n v="2052"/>
    <n v="8084"/>
    <n v="89"/>
    <n v="431"/>
    <n v="178"/>
    <n v="10280"/>
    <n v="291"/>
    <n v="189"/>
    <m/>
    <n v="37"/>
    <n v="160"/>
    <n v="32"/>
    <n v="5"/>
    <m/>
    <n v="15"/>
    <n v="140"/>
    <n v="1"/>
    <n v="28876"/>
    <n v="78"/>
    <n v="115"/>
    <n v="2"/>
    <n v="744"/>
    <n v="7060"/>
    <n v="421"/>
    <n v="18972"/>
    <n v="2744"/>
    <n v="329"/>
    <n v="129"/>
    <n v="1123"/>
    <n v="6"/>
    <n v="2035"/>
    <n v="740"/>
    <n v="1237"/>
    <n v="680"/>
    <n v="7459"/>
    <n v="1587"/>
    <n v="64"/>
    <n v="1802"/>
    <n v="328"/>
    <n v="10"/>
    <n v="1210"/>
    <n v="3092"/>
    <n v="1079"/>
    <n v="7029"/>
    <m/>
    <n v="2"/>
    <n v="2328"/>
    <n v="164"/>
    <n v="477"/>
    <n v="14"/>
    <n v="218"/>
    <n v="8"/>
    <n v="248"/>
    <n v="285"/>
    <n v="21501"/>
    <n v="3677"/>
    <n v="125"/>
    <n v="639"/>
    <n v="29"/>
    <n v="209"/>
    <n v="19"/>
    <m/>
    <n v="29941"/>
    <n v="875"/>
    <n v="26710"/>
    <n v="2356"/>
    <n v="2140"/>
    <n v="2075"/>
    <m/>
    <m/>
    <n v="29"/>
    <n v="149"/>
    <n v="160"/>
    <n v="304"/>
    <n v="510"/>
    <n v="758"/>
    <n v="970"/>
    <n v="1335"/>
    <m/>
    <m/>
    <m/>
    <n v="1165"/>
    <n v="264"/>
    <n v="699"/>
    <n v="26"/>
    <n v="2"/>
    <n v="2048"/>
    <n v="11"/>
    <n v="241"/>
    <n v="28"/>
    <n v="194"/>
    <n v="751"/>
    <n v="37"/>
    <n v="3"/>
    <n v="85"/>
    <n v="2445"/>
    <n v="431"/>
    <m/>
    <n v="0"/>
    <n v="0"/>
    <n v="0"/>
    <n v="0"/>
    <n v="0"/>
    <n v="42"/>
    <n v="2694"/>
    <n v="14"/>
    <n v="1367"/>
    <n v="98"/>
    <n v="10"/>
    <n v="51"/>
    <n v="857"/>
    <n v="2"/>
    <n v="711"/>
    <n v="173"/>
    <n v="198"/>
    <n v="795"/>
    <n v="356"/>
    <n v="69"/>
    <n v="127"/>
    <n v="52"/>
    <m/>
    <n v="53"/>
    <n v="431"/>
    <n v="77"/>
    <n v="253"/>
    <m/>
    <m/>
    <m/>
    <n v="254"/>
    <n v="19"/>
    <n v="548"/>
    <n v="8"/>
    <n v="7"/>
    <n v="151"/>
    <n v="15"/>
    <n v="3102"/>
    <n v="75"/>
    <n v="2"/>
    <n v="6"/>
    <n v="9"/>
    <n v="12"/>
    <n v="7"/>
    <m/>
    <m/>
    <n v="4215"/>
    <n v="191"/>
    <n v="3784"/>
    <n v="240"/>
    <n v="2011"/>
  </r>
  <r>
    <n v="106410817"/>
    <s v="410817"/>
    <x v="270"/>
    <s v="1900 SULLIVAN AVENUE"/>
    <s v="DALY CITY"/>
    <n v="94015"/>
    <x v="0"/>
    <x v="0"/>
    <x v="71"/>
    <x v="36"/>
    <s v="176d"/>
    <m/>
    <s v="04 - West Bay"/>
    <x v="39"/>
    <s v="General Acute Care"/>
    <s v="Non-Profit Corporation (incl. Church-related)"/>
    <s v="General Medical / Surgical"/>
    <n v="250"/>
    <x v="0"/>
    <n v="11276"/>
    <n v="8710"/>
    <m/>
    <m/>
    <n v="2300"/>
    <n v="1965"/>
    <n v="3263"/>
    <n v="2744"/>
    <n v="2400"/>
    <n v="2135"/>
    <n v="1686"/>
    <n v="1453"/>
    <n v="1540"/>
    <n v="500"/>
    <m/>
    <n v="4737"/>
    <n v="1204"/>
    <n v="7459"/>
    <n v="19"/>
    <n v="115"/>
    <n v="1316"/>
    <n v="5136"/>
    <n v="205"/>
    <n v="593"/>
    <m/>
    <n v="68"/>
    <n v="1"/>
    <n v="4"/>
    <n v="5"/>
    <n v="34"/>
    <m/>
    <n v="10"/>
    <m/>
    <n v="18996"/>
    <n v="70"/>
    <m/>
    <m/>
    <n v="5644"/>
    <n v="4608"/>
    <n v="902"/>
    <n v="6206"/>
    <n v="2626"/>
    <n v="391"/>
    <n v="40"/>
    <n v="427"/>
    <n v="3"/>
    <n v="841"/>
    <n v="308"/>
    <n v="1084"/>
    <n v="435"/>
    <n v="4509"/>
    <n v="1137"/>
    <n v="21"/>
    <n v="2276"/>
    <n v="451"/>
    <n v="8"/>
    <n v="570"/>
    <n v="2078"/>
    <n v="1075"/>
    <n v="4332"/>
    <m/>
    <m/>
    <n v="1763"/>
    <n v="136"/>
    <n v="177"/>
    <n v="14"/>
    <n v="192"/>
    <n v="25"/>
    <n v="11"/>
    <n v="159"/>
    <n v="14758"/>
    <n v="1909"/>
    <n v="81"/>
    <n v="606"/>
    <n v="14"/>
    <n v="123"/>
    <n v="18"/>
    <m/>
    <n v="19986"/>
    <n v="2263"/>
    <n v="16221"/>
    <n v="1502"/>
    <n v="2783"/>
    <n v="2241"/>
    <m/>
    <m/>
    <n v="26"/>
    <n v="138"/>
    <n v="216"/>
    <n v="334"/>
    <n v="531"/>
    <n v="777"/>
    <n v="1160"/>
    <n v="1839"/>
    <n v="2"/>
    <n v="1"/>
    <m/>
    <n v="2111"/>
    <n v="291"/>
    <n v="622"/>
    <n v="15"/>
    <n v="18"/>
    <n v="1965"/>
    <n v="2"/>
    <n v="81"/>
    <n v="72"/>
    <n v="250"/>
    <n v="447"/>
    <n v="38"/>
    <n v="9"/>
    <n v="124"/>
    <n v="2989"/>
    <n v="1014"/>
    <m/>
    <n v="0"/>
    <n v="0"/>
    <n v="0"/>
    <n v="0"/>
    <n v="0"/>
    <n v="669"/>
    <n v="3303"/>
    <n v="109"/>
    <n v="872"/>
    <n v="71"/>
    <n v="27"/>
    <n v="90"/>
    <n v="1321"/>
    <n v="3"/>
    <n v="670"/>
    <n v="223"/>
    <n v="313"/>
    <n v="531"/>
    <n v="424"/>
    <n v="72"/>
    <n v="187"/>
    <n v="107"/>
    <n v="5"/>
    <n v="23"/>
    <n v="740"/>
    <n v="123"/>
    <n v="163"/>
    <m/>
    <n v="2"/>
    <m/>
    <n v="313"/>
    <n v="31"/>
    <n v="515"/>
    <n v="5"/>
    <n v="13"/>
    <n v="86"/>
    <n v="11"/>
    <n v="3940"/>
    <n v="64"/>
    <n v="5"/>
    <n v="15"/>
    <n v="13"/>
    <n v="9"/>
    <n v="2"/>
    <m/>
    <n v="2"/>
    <n v="5024"/>
    <n v="1350"/>
    <n v="3353"/>
    <n v="321"/>
    <n v="2011"/>
  </r>
  <r>
    <n v="106410828"/>
    <s v="410828"/>
    <x v="271"/>
    <s v="600 MARINE BOULEVARD"/>
    <s v="MOSS BEACH"/>
    <n v="94038"/>
    <x v="0"/>
    <x v="0"/>
    <x v="71"/>
    <x v="36"/>
    <s v="175.1"/>
    <m/>
    <s v="04 - West Bay"/>
    <x v="39"/>
    <s v="General Acute Care"/>
    <s v="Non-Profit Corporation (incl. Church-related)"/>
    <s v="Long-Term Care (SN/IC)"/>
    <n v="5"/>
    <x v="2"/>
    <n v="1570"/>
    <n v="1494"/>
    <m/>
    <m/>
    <n v="537"/>
    <n v="386"/>
    <n v="353"/>
    <n v="362"/>
    <n v="429"/>
    <n v="370"/>
    <n v="285"/>
    <n v="120"/>
    <n v="131"/>
    <n v="91"/>
    <m/>
    <m/>
    <m/>
    <n v="2061"/>
    <m/>
    <n v="29"/>
    <n v="973"/>
    <n v="1"/>
    <n v="195"/>
    <n v="8"/>
    <m/>
    <n v="3"/>
    <m/>
    <m/>
    <m/>
    <m/>
    <m/>
    <n v="1"/>
    <m/>
    <n v="2845"/>
    <n v="12"/>
    <m/>
    <m/>
    <n v="959"/>
    <n v="435"/>
    <n v="180"/>
    <n v="1148"/>
    <n v="342"/>
    <n v="16"/>
    <n v="2"/>
    <n v="47"/>
    <m/>
    <n v="140"/>
    <n v="14"/>
    <n v="104"/>
    <n v="102"/>
    <n v="955"/>
    <n v="149"/>
    <m/>
    <n v="321"/>
    <n v="127"/>
    <m/>
    <n v="67"/>
    <n v="403"/>
    <n v="190"/>
    <n v="427"/>
    <m/>
    <m/>
    <n v="247"/>
    <n v="45"/>
    <n v="16"/>
    <n v="3"/>
    <n v="11"/>
    <n v="1"/>
    <n v="9"/>
    <n v="69"/>
    <n v="2019"/>
    <n v="541"/>
    <n v="37"/>
    <n v="45"/>
    <n v="3"/>
    <n v="17"/>
    <n v="1"/>
    <m/>
    <n v="3064"/>
    <n v="31"/>
    <n v="2245"/>
    <n v="788"/>
    <m/>
    <m/>
    <m/>
    <m/>
    <m/>
    <m/>
    <m/>
    <m/>
    <m/>
    <m/>
    <m/>
    <m/>
    <m/>
    <m/>
    <m/>
    <m/>
    <m/>
    <m/>
    <m/>
    <m/>
    <m/>
    <m/>
    <m/>
    <m/>
    <m/>
    <m/>
    <m/>
    <m/>
    <m/>
    <m/>
    <m/>
    <m/>
    <m/>
    <m/>
    <m/>
    <m/>
    <m/>
    <m/>
    <m/>
    <m/>
    <m/>
    <m/>
    <m/>
    <m/>
    <m/>
    <m/>
    <m/>
    <m/>
    <m/>
    <m/>
    <m/>
    <m/>
    <m/>
    <m/>
    <m/>
    <m/>
    <m/>
    <m/>
    <m/>
    <m/>
    <m/>
    <m/>
    <m/>
    <m/>
    <m/>
    <m/>
    <m/>
    <m/>
    <m/>
    <m/>
    <m/>
    <m/>
    <m/>
    <m/>
    <m/>
    <m/>
    <m/>
    <m/>
    <m/>
    <m/>
    <m/>
    <m/>
    <n v="2011"/>
  </r>
  <r>
    <n v="106410852"/>
    <s v="410852"/>
    <x v="272"/>
    <s v="1501 TROUSDALE DRIVE"/>
    <s v="BURLINGAME"/>
    <n v="94010"/>
    <x v="0"/>
    <x v="0"/>
    <x v="71"/>
    <x v="36"/>
    <s v="176e"/>
    <m/>
    <s v="04 - West Bay"/>
    <x v="39"/>
    <s v="General Acute Care"/>
    <s v="Non-Profit Corporation (incl. Church-related)"/>
    <s v="General Medical / Surgical"/>
    <n v="241"/>
    <x v="0"/>
    <n v="19511"/>
    <n v="15977"/>
    <n v="2"/>
    <m/>
    <n v="4469"/>
    <n v="3291"/>
    <n v="4457"/>
    <n v="4483"/>
    <n v="4684"/>
    <n v="4250"/>
    <n v="2995"/>
    <n v="2338"/>
    <n v="3610"/>
    <n v="913"/>
    <m/>
    <n v="5174"/>
    <n v="1560"/>
    <n v="7446"/>
    <n v="58"/>
    <n v="1572"/>
    <n v="145"/>
    <n v="19535"/>
    <n v="247"/>
    <n v="225"/>
    <m/>
    <n v="43"/>
    <n v="98"/>
    <n v="34"/>
    <m/>
    <n v="2"/>
    <n v="21"/>
    <n v="193"/>
    <n v="3"/>
    <n v="34413"/>
    <n v="134"/>
    <n v="69"/>
    <n v="8"/>
    <n v="6505"/>
    <n v="7845"/>
    <n v="1284"/>
    <n v="16037"/>
    <n v="3819"/>
    <n v="700"/>
    <n v="63"/>
    <n v="740"/>
    <n v="5"/>
    <n v="1657"/>
    <n v="429"/>
    <n v="1676"/>
    <n v="927"/>
    <n v="9702"/>
    <n v="2216"/>
    <n v="35"/>
    <n v="2126"/>
    <n v="1157"/>
    <n v="31"/>
    <n v="1232"/>
    <n v="3136"/>
    <n v="1429"/>
    <n v="8229"/>
    <m/>
    <m/>
    <n v="3564"/>
    <n v="149"/>
    <n v="299"/>
    <n v="14"/>
    <n v="195"/>
    <n v="21"/>
    <n v="191"/>
    <n v="359"/>
    <n v="25108"/>
    <n v="4318"/>
    <n v="263"/>
    <n v="701"/>
    <n v="49"/>
    <n v="254"/>
    <n v="5"/>
    <m/>
    <n v="35490"/>
    <n v="1019"/>
    <n v="32340"/>
    <n v="2131"/>
    <n v="4344"/>
    <n v="3487"/>
    <n v="2"/>
    <n v="1"/>
    <n v="431"/>
    <n v="403"/>
    <n v="449"/>
    <n v="669"/>
    <n v="944"/>
    <n v="1041"/>
    <n v="1124"/>
    <n v="2754"/>
    <n v="7"/>
    <n v="12"/>
    <m/>
    <n v="1092"/>
    <n v="255"/>
    <n v="740"/>
    <n v="225"/>
    <n v="45"/>
    <n v="5466"/>
    <n v="11"/>
    <n v="155"/>
    <n v="92"/>
    <n v="304"/>
    <n v="1209"/>
    <n v="87"/>
    <n v="29"/>
    <m/>
    <n v="4643"/>
    <n v="1313"/>
    <n v="2"/>
    <n v="0"/>
    <n v="0"/>
    <n v="0"/>
    <n v="0"/>
    <n v="0"/>
    <n v="478"/>
    <n v="4625"/>
    <n v="54"/>
    <n v="2145"/>
    <n v="532"/>
    <n v="64"/>
    <n v="98"/>
    <n v="1317"/>
    <n v="3"/>
    <n v="1122"/>
    <n v="236"/>
    <n v="348"/>
    <n v="945"/>
    <n v="770"/>
    <n v="159"/>
    <n v="145"/>
    <n v="179"/>
    <n v="26"/>
    <n v="1200"/>
    <n v="722"/>
    <n v="195"/>
    <n v="300"/>
    <m/>
    <n v="5"/>
    <m/>
    <n v="597"/>
    <n v="53"/>
    <n v="612"/>
    <n v="9"/>
    <n v="25"/>
    <n v="215"/>
    <n v="14"/>
    <n v="6065"/>
    <n v="102"/>
    <n v="5"/>
    <n v="15"/>
    <n v="110"/>
    <n v="10"/>
    <n v="1"/>
    <n v="1"/>
    <m/>
    <n v="7834"/>
    <n v="365"/>
    <n v="7242"/>
    <n v="227"/>
    <n v="2011"/>
  </r>
  <r>
    <n v="106410891"/>
    <s v="410891"/>
    <x v="273"/>
    <s v="170 ALAMEDA DE LAS PULGAS"/>
    <s v="REDWOOD CITY"/>
    <n v="94062"/>
    <x v="0"/>
    <x v="0"/>
    <x v="72"/>
    <x v="38"/>
    <s v="176g"/>
    <m/>
    <s v="04 - West Bay"/>
    <x v="39"/>
    <s v="General Acute Care"/>
    <s v="Non-Profit Corporation (incl. Church-related)"/>
    <s v="General Medical / Surgical"/>
    <n v="279"/>
    <x v="0"/>
    <n v="9557"/>
    <n v="7616"/>
    <m/>
    <m/>
    <n v="2173"/>
    <n v="1742"/>
    <n v="2048"/>
    <n v="2182"/>
    <n v="2366"/>
    <n v="2067"/>
    <n v="1444"/>
    <n v="1176"/>
    <n v="1624"/>
    <n v="351"/>
    <m/>
    <n v="1008"/>
    <n v="633"/>
    <n v="4304"/>
    <m/>
    <n v="1076"/>
    <n v="69"/>
    <n v="10083"/>
    <n v="33"/>
    <n v="73"/>
    <n v="48"/>
    <n v="21"/>
    <n v="2"/>
    <n v="4"/>
    <n v="1"/>
    <n v="4"/>
    <m/>
    <n v="11"/>
    <n v="130"/>
    <n v="16710"/>
    <n v="136"/>
    <m/>
    <m/>
    <n v="3433"/>
    <n v="4043"/>
    <n v="589"/>
    <n v="7091"/>
    <n v="2017"/>
    <n v="287"/>
    <n v="32"/>
    <n v="369"/>
    <n v="2"/>
    <n v="996"/>
    <n v="183"/>
    <n v="878"/>
    <n v="301"/>
    <n v="4817"/>
    <n v="818"/>
    <n v="24"/>
    <n v="1787"/>
    <n v="324"/>
    <n v="17"/>
    <n v="504"/>
    <n v="1922"/>
    <n v="807"/>
    <n v="3105"/>
    <m/>
    <m/>
    <n v="1650"/>
    <n v="57"/>
    <n v="92"/>
    <n v="4"/>
    <n v="108"/>
    <m/>
    <n v="4"/>
    <n v="237"/>
    <n v="12347"/>
    <n v="2064"/>
    <n v="153"/>
    <n v="296"/>
    <n v="14"/>
    <n v="147"/>
    <m/>
    <m/>
    <n v="17173"/>
    <n v="72"/>
    <n v="15953"/>
    <n v="1148"/>
    <n v="1580"/>
    <n v="1267"/>
    <m/>
    <m/>
    <n v="28"/>
    <n v="74"/>
    <n v="127"/>
    <n v="175"/>
    <n v="330"/>
    <n v="416"/>
    <n v="493"/>
    <n v="1204"/>
    <m/>
    <m/>
    <m/>
    <n v="170"/>
    <n v="57"/>
    <n v="293"/>
    <n v="148"/>
    <n v="3"/>
    <n v="2172"/>
    <n v="4"/>
    <n v="39"/>
    <n v="18"/>
    <n v="117"/>
    <n v="532"/>
    <n v="29"/>
    <m/>
    <n v="106"/>
    <n v="1507"/>
    <n v="498"/>
    <n v="1"/>
    <n v="0"/>
    <n v="0"/>
    <n v="0"/>
    <n v="0"/>
    <n v="0"/>
    <n v="135"/>
    <n v="1970"/>
    <n v="23"/>
    <n v="607"/>
    <n v="112"/>
    <n v="24"/>
    <n v="47"/>
    <n v="681"/>
    <n v="1"/>
    <n v="463"/>
    <n v="103"/>
    <n v="166"/>
    <n v="268"/>
    <n v="345"/>
    <n v="40"/>
    <n v="77"/>
    <n v="32"/>
    <n v="2"/>
    <n v="106"/>
    <n v="358"/>
    <n v="68"/>
    <n v="66"/>
    <m/>
    <m/>
    <m/>
    <n v="233"/>
    <n v="24"/>
    <n v="226"/>
    <n v="2"/>
    <n v="5"/>
    <n v="193"/>
    <n v="2"/>
    <n v="2086"/>
    <n v="40"/>
    <n v="8"/>
    <n v="5"/>
    <n v="16"/>
    <n v="6"/>
    <m/>
    <n v="1"/>
    <m/>
    <n v="2847"/>
    <n v="30"/>
    <n v="2700"/>
    <n v="117"/>
    <n v="2011"/>
  </r>
  <r>
    <n v="106420483"/>
    <s v="420483"/>
    <x v="274"/>
    <s v="351 SOUTH PATTERSON AVENUE"/>
    <s v="SANTA BARBARA"/>
    <n v="93111"/>
    <x v="0"/>
    <x v="0"/>
    <x v="73"/>
    <x v="23"/>
    <s v="181a"/>
    <m/>
    <s v="10 - Santa Barbara/Ventura"/>
    <x v="40"/>
    <s v="General Acute Care"/>
    <s v="Non-Profit Corporation (incl. Church-related)"/>
    <s v="General Medical / Surgical"/>
    <n v="67"/>
    <x v="0"/>
    <n v="8945"/>
    <n v="8593"/>
    <m/>
    <m/>
    <n v="1634"/>
    <n v="2835"/>
    <n v="3818"/>
    <n v="1647"/>
    <n v="1739"/>
    <n v="1849"/>
    <n v="1150"/>
    <n v="959"/>
    <n v="1694"/>
    <n v="213"/>
    <m/>
    <n v="601"/>
    <n v="457"/>
    <n v="4153"/>
    <n v="28"/>
    <n v="36"/>
    <n v="123"/>
    <n v="12140"/>
    <n v="821"/>
    <n v="299"/>
    <m/>
    <n v="15"/>
    <n v="1"/>
    <m/>
    <n v="1"/>
    <n v="6"/>
    <m/>
    <n v="81"/>
    <n v="1"/>
    <n v="16241"/>
    <n v="72"/>
    <m/>
    <m/>
    <n v="2740"/>
    <n v="3153"/>
    <n v="1095"/>
    <n v="8176"/>
    <n v="2374"/>
    <n v="178"/>
    <n v="38"/>
    <n v="424"/>
    <n v="1"/>
    <n v="963"/>
    <n v="215"/>
    <n v="830"/>
    <n v="435"/>
    <n v="5063"/>
    <n v="795"/>
    <n v="19"/>
    <n v="988"/>
    <n v="957"/>
    <n v="3"/>
    <n v="1130"/>
    <n v="1586"/>
    <n v="835"/>
    <n v="3077"/>
    <n v="1"/>
    <m/>
    <n v="1699"/>
    <n v="78"/>
    <n v="141"/>
    <n v="15"/>
    <n v="253"/>
    <n v="13"/>
    <n v="87"/>
    <n v="236"/>
    <n v="12121"/>
    <n v="2150"/>
    <n v="241"/>
    <n v="305"/>
    <n v="51"/>
    <n v="77"/>
    <n v="71"/>
    <m/>
    <n v="17538"/>
    <n v="155"/>
    <n v="16198"/>
    <n v="1185"/>
    <n v="361"/>
    <n v="302"/>
    <m/>
    <m/>
    <n v="39"/>
    <n v="83"/>
    <n v="24"/>
    <n v="67"/>
    <n v="66"/>
    <n v="62"/>
    <n v="96"/>
    <n v="226"/>
    <m/>
    <m/>
    <m/>
    <n v="16"/>
    <n v="18"/>
    <n v="102"/>
    <n v="3"/>
    <n v="1"/>
    <n v="522"/>
    <n v="1"/>
    <n v="36"/>
    <n v="3"/>
    <n v="14"/>
    <n v="47"/>
    <n v="19"/>
    <n v="6"/>
    <m/>
    <n v="419"/>
    <n v="109"/>
    <n v="10"/>
    <n v="0"/>
    <n v="0"/>
    <n v="0"/>
    <n v="0"/>
    <n v="0"/>
    <n v="47"/>
    <n v="341"/>
    <n v="45"/>
    <n v="179"/>
    <n v="51"/>
    <n v="5"/>
    <n v="5"/>
    <n v="66"/>
    <m/>
    <n v="134"/>
    <n v="39"/>
    <n v="38"/>
    <n v="52"/>
    <n v="137"/>
    <n v="14"/>
    <n v="5"/>
    <n v="11"/>
    <m/>
    <n v="10"/>
    <n v="82"/>
    <n v="28"/>
    <n v="37"/>
    <m/>
    <m/>
    <m/>
    <n v="95"/>
    <n v="8"/>
    <n v="37"/>
    <n v="4"/>
    <n v="1"/>
    <n v="16"/>
    <m/>
    <n v="462"/>
    <n v="17"/>
    <n v="4"/>
    <n v="4"/>
    <n v="11"/>
    <n v="2"/>
    <n v="2"/>
    <m/>
    <m/>
    <n v="663"/>
    <n v="6"/>
    <n v="621"/>
    <n v="36"/>
    <n v="2011"/>
  </r>
  <r>
    <n v="106420491"/>
    <s v="420491"/>
    <x v="275"/>
    <s v="1515 E. OCEAN AVENUE"/>
    <s v="LOMPOC"/>
    <n v="93436"/>
    <x v="0"/>
    <x v="0"/>
    <x v="70"/>
    <x v="23"/>
    <s v="179"/>
    <m/>
    <s v="10 - Santa Barbara/Ventura"/>
    <x v="40"/>
    <s v="General Acute Care"/>
    <s v="District"/>
    <s v="General Medical / Surgical"/>
    <n v="100"/>
    <x v="0"/>
    <n v="10114"/>
    <n v="7921"/>
    <m/>
    <m/>
    <n v="2565"/>
    <n v="2012"/>
    <n v="3660"/>
    <n v="2185"/>
    <n v="2017"/>
    <n v="1909"/>
    <n v="1164"/>
    <n v="984"/>
    <n v="935"/>
    <n v="604"/>
    <m/>
    <n v="269"/>
    <n v="1398"/>
    <n v="7489"/>
    <n v="38"/>
    <n v="242"/>
    <n v="89"/>
    <n v="8510"/>
    <n v="399"/>
    <n v="893"/>
    <m/>
    <n v="24"/>
    <n v="11"/>
    <m/>
    <m/>
    <n v="43"/>
    <n v="182"/>
    <n v="87"/>
    <n v="5"/>
    <n v="16326"/>
    <n v="65"/>
    <m/>
    <m/>
    <n v="6691"/>
    <n v="3230"/>
    <n v="2123"/>
    <n v="3548"/>
    <n v="2443"/>
    <n v="539"/>
    <n v="70"/>
    <n v="545"/>
    <n v="4"/>
    <n v="920"/>
    <n v="324"/>
    <n v="933"/>
    <n v="195"/>
    <n v="3967"/>
    <n v="1018"/>
    <n v="28"/>
    <n v="1109"/>
    <n v="645"/>
    <n v="9"/>
    <n v="613"/>
    <n v="1719"/>
    <n v="652"/>
    <n v="4745"/>
    <m/>
    <m/>
    <n v="1404"/>
    <n v="146"/>
    <n v="136"/>
    <n v="9"/>
    <n v="195"/>
    <n v="5"/>
    <n v="153"/>
    <n v="154"/>
    <n v="13149"/>
    <n v="2087"/>
    <n v="108"/>
    <n v="302"/>
    <n v="77"/>
    <n v="105"/>
    <n v="5"/>
    <m/>
    <n v="18035"/>
    <n v="18"/>
    <n v="16448"/>
    <n v="1569"/>
    <n v="780"/>
    <n v="690"/>
    <m/>
    <m/>
    <n v="49"/>
    <n v="108"/>
    <n v="84"/>
    <n v="117"/>
    <n v="210"/>
    <n v="229"/>
    <n v="307"/>
    <n v="321"/>
    <n v="9"/>
    <n v="36"/>
    <m/>
    <n v="24"/>
    <n v="101"/>
    <n v="423"/>
    <n v="7"/>
    <n v="6"/>
    <n v="903"/>
    <n v="6"/>
    <n v="88"/>
    <n v="21"/>
    <n v="51"/>
    <n v="137"/>
    <n v="7"/>
    <n v="6"/>
    <n v="6"/>
    <n v="919"/>
    <n v="224"/>
    <n v="11"/>
    <n v="0"/>
    <n v="0"/>
    <n v="0"/>
    <n v="0"/>
    <n v="0"/>
    <n v="247"/>
    <n v="831"/>
    <n v="74"/>
    <n v="205"/>
    <n v="113"/>
    <n v="30"/>
    <n v="34"/>
    <n v="217"/>
    <m/>
    <n v="352"/>
    <n v="85"/>
    <n v="91"/>
    <n v="58"/>
    <n v="156"/>
    <n v="18"/>
    <n v="27"/>
    <n v="29"/>
    <n v="1"/>
    <n v="16"/>
    <n v="278"/>
    <n v="39"/>
    <n v="38"/>
    <m/>
    <n v="1"/>
    <m/>
    <n v="141"/>
    <n v="24"/>
    <n v="60"/>
    <n v="5"/>
    <n v="8"/>
    <n v="55"/>
    <n v="6"/>
    <n v="1108"/>
    <n v="30"/>
    <n v="3"/>
    <n v="12"/>
    <n v="14"/>
    <n v="4"/>
    <m/>
    <m/>
    <m/>
    <n v="1470"/>
    <n v="3"/>
    <n v="1361"/>
    <n v="106"/>
    <n v="2011"/>
  </r>
  <r>
    <n v="106420493"/>
    <s v="420493"/>
    <x v="276"/>
    <s v="1400 EAST CHURCH STREET"/>
    <s v="SANTA MARIA"/>
    <n v="93454"/>
    <x v="0"/>
    <x v="0"/>
    <x v="70"/>
    <x v="26"/>
    <s v="180.1"/>
    <m/>
    <s v="10 - Santa Barbara/Ventura"/>
    <x v="40"/>
    <s v="General Acute Care"/>
    <s v="Non-Profit Corporation (incl. Church-related)"/>
    <s v="General Medical / Surgical"/>
    <n v="161"/>
    <x v="0"/>
    <n v="19770"/>
    <n v="16595"/>
    <m/>
    <m/>
    <n v="7244"/>
    <n v="5275"/>
    <n v="7003"/>
    <n v="5125"/>
    <n v="4332"/>
    <n v="3341"/>
    <n v="1306"/>
    <n v="382"/>
    <n v="340"/>
    <n v="2017"/>
    <m/>
    <n v="735"/>
    <n v="783"/>
    <n v="21847"/>
    <n v="24"/>
    <n v="137"/>
    <n v="76"/>
    <n v="12763"/>
    <n v="167"/>
    <n v="93"/>
    <m/>
    <n v="29"/>
    <n v="21"/>
    <n v="5"/>
    <n v="4"/>
    <n v="6"/>
    <m/>
    <n v="171"/>
    <n v="6"/>
    <n v="35850"/>
    <n v="9"/>
    <n v="4"/>
    <m/>
    <n v="18762"/>
    <n v="314"/>
    <n v="1918"/>
    <n v="9306"/>
    <n v="6065"/>
    <n v="989"/>
    <n v="59"/>
    <n v="414"/>
    <n v="9"/>
    <n v="2044"/>
    <n v="292"/>
    <n v="1873"/>
    <n v="1129"/>
    <n v="7023"/>
    <n v="2168"/>
    <n v="27"/>
    <n v="2901"/>
    <n v="1867"/>
    <n v="75"/>
    <n v="1086"/>
    <n v="3983"/>
    <n v="1725"/>
    <n v="8701"/>
    <m/>
    <m/>
    <n v="2061"/>
    <n v="139"/>
    <n v="203"/>
    <n v="19"/>
    <n v="318"/>
    <n v="21"/>
    <n v="145"/>
    <n v="215"/>
    <n v="28950"/>
    <n v="2958"/>
    <n v="186"/>
    <n v="824"/>
    <n v="108"/>
    <n v="189"/>
    <n v="29"/>
    <m/>
    <n v="36365"/>
    <n v="238"/>
    <n v="26923"/>
    <n v="9204"/>
    <n v="2659"/>
    <n v="2500"/>
    <m/>
    <m/>
    <n v="186"/>
    <n v="353"/>
    <n v="286"/>
    <n v="431"/>
    <n v="680"/>
    <n v="768"/>
    <n v="858"/>
    <n v="1344"/>
    <n v="103"/>
    <n v="150"/>
    <m/>
    <n v="202"/>
    <n v="108"/>
    <n v="1843"/>
    <n v="25"/>
    <n v="8"/>
    <n v="2967"/>
    <n v="6"/>
    <n v="77"/>
    <n v="39"/>
    <n v="212"/>
    <n v="497"/>
    <n v="81"/>
    <n v="101"/>
    <n v="54"/>
    <n v="3434"/>
    <n v="658"/>
    <n v="6"/>
    <n v="0"/>
    <n v="0"/>
    <n v="0"/>
    <n v="0"/>
    <n v="0"/>
    <n v="973"/>
    <n v="2739"/>
    <n v="146"/>
    <n v="925"/>
    <n v="376"/>
    <n v="101"/>
    <n v="77"/>
    <n v="881"/>
    <n v="2"/>
    <n v="997"/>
    <n v="236"/>
    <n v="257"/>
    <n v="871"/>
    <n v="526"/>
    <n v="67"/>
    <n v="85"/>
    <n v="116"/>
    <n v="3"/>
    <n v="36"/>
    <n v="546"/>
    <n v="72"/>
    <n v="270"/>
    <n v="2"/>
    <n v="14"/>
    <m/>
    <n v="339"/>
    <n v="34"/>
    <n v="409"/>
    <n v="28"/>
    <n v="9"/>
    <n v="230"/>
    <n v="9"/>
    <n v="3889"/>
    <n v="89"/>
    <n v="12"/>
    <n v="50"/>
    <n v="23"/>
    <n v="15"/>
    <n v="21"/>
    <n v="2"/>
    <m/>
    <n v="5159"/>
    <n v="54"/>
    <n v="4293"/>
    <n v="812"/>
    <n v="2011"/>
  </r>
  <r>
    <n v="106420514"/>
    <s v="420514"/>
    <x v="277"/>
    <s v="320 WEST PUEBLO STREET"/>
    <s v="SANTA BARBARA"/>
    <n v="93105"/>
    <x v="2"/>
    <x v="0"/>
    <x v="73"/>
    <x v="23"/>
    <s v="181b"/>
    <m/>
    <s v="10 - Santa Barbara/Ventura"/>
    <x v="40"/>
    <s v="General Acute Care"/>
    <s v="Non-Profit Corporation (incl. Church-related)"/>
    <s v="General Medical / Surgical"/>
    <n v="350"/>
    <x v="0"/>
    <n v="16808"/>
    <n v="16216"/>
    <m/>
    <m/>
    <n v="3411"/>
    <n v="3009"/>
    <n v="5538"/>
    <n v="3751"/>
    <n v="4094"/>
    <n v="4406"/>
    <n v="2809"/>
    <n v="1993"/>
    <n v="3076"/>
    <n v="936"/>
    <n v="1"/>
    <n v="605"/>
    <n v="783"/>
    <n v="10498"/>
    <n v="78"/>
    <n v="94"/>
    <n v="222"/>
    <n v="20744"/>
    <n v="140"/>
    <n v="814"/>
    <m/>
    <n v="46"/>
    <n v="21"/>
    <n v="6"/>
    <n v="10"/>
    <n v="2"/>
    <m/>
    <n v="437"/>
    <n v="4"/>
    <n v="31248"/>
    <n v="296"/>
    <m/>
    <m/>
    <n v="7534"/>
    <n v="7087"/>
    <n v="1339"/>
    <n v="11270"/>
    <n v="5794"/>
    <n v="605"/>
    <n v="92"/>
    <n v="873"/>
    <n v="8"/>
    <n v="1712"/>
    <n v="421"/>
    <n v="1578"/>
    <n v="769"/>
    <n v="7811"/>
    <n v="1579"/>
    <n v="58"/>
    <n v="2133"/>
    <n v="1061"/>
    <n v="55"/>
    <n v="2912"/>
    <n v="2862"/>
    <n v="1340"/>
    <n v="7155"/>
    <m/>
    <m/>
    <n v="2928"/>
    <n v="148"/>
    <n v="272"/>
    <n v="19"/>
    <n v="422"/>
    <n v="27"/>
    <n v="238"/>
    <n v="324"/>
    <n v="24382"/>
    <n v="2814"/>
    <n v="335"/>
    <n v="694"/>
    <n v="102"/>
    <n v="194"/>
    <n v="125"/>
    <m/>
    <n v="33024"/>
    <n v="365"/>
    <n v="28322"/>
    <n v="4337"/>
    <n v="3862"/>
    <n v="3650"/>
    <m/>
    <m/>
    <n v="229"/>
    <n v="576"/>
    <n v="446"/>
    <n v="818"/>
    <n v="1159"/>
    <n v="1065"/>
    <n v="1002"/>
    <n v="1925"/>
    <n v="98"/>
    <n v="194"/>
    <m/>
    <n v="144"/>
    <n v="114"/>
    <n v="1616"/>
    <n v="13"/>
    <n v="39"/>
    <n v="5577"/>
    <n v="9"/>
    <n v="27"/>
    <n v="77"/>
    <n v="276"/>
    <n v="503"/>
    <n v="263"/>
    <n v="62"/>
    <m/>
    <n v="5374"/>
    <n v="911"/>
    <n v="19"/>
    <n v="0"/>
    <n v="0"/>
    <n v="0"/>
    <n v="0"/>
    <n v="0"/>
    <n v="785"/>
    <n v="3744"/>
    <n v="296"/>
    <n v="2178"/>
    <n v="509"/>
    <n v="46"/>
    <n v="101"/>
    <n v="1456"/>
    <n v="26"/>
    <n v="1295"/>
    <n v="231"/>
    <n v="345"/>
    <n v="460"/>
    <n v="715"/>
    <n v="159"/>
    <n v="224"/>
    <n v="184"/>
    <n v="2"/>
    <n v="1102"/>
    <n v="689"/>
    <n v="142"/>
    <n v="318"/>
    <m/>
    <n v="17"/>
    <m/>
    <n v="368"/>
    <n v="46"/>
    <n v="545"/>
    <n v="8"/>
    <n v="24"/>
    <n v="440"/>
    <n v="15"/>
    <n v="5798"/>
    <n v="104"/>
    <n v="13"/>
    <n v="9"/>
    <n v="87"/>
    <n v="34"/>
    <n v="18"/>
    <n v="3"/>
    <m/>
    <n v="7512"/>
    <n v="52"/>
    <n v="6787"/>
    <n v="673"/>
    <n v="2011"/>
  </r>
  <r>
    <n v="106420522"/>
    <s v="420522"/>
    <x v="278"/>
    <s v="2050 VIBORG ROAD"/>
    <s v="SOLVANG"/>
    <n v="93463"/>
    <x v="0"/>
    <x v="0"/>
    <x v="73"/>
    <x v="23"/>
    <s v="178.1"/>
    <m/>
    <s v="10 - Santa Barbara/Ventura"/>
    <x v="40"/>
    <s v="General Acute Care"/>
    <s v="Non-Profit Corporation (incl. Church-related)"/>
    <s v="General Medical / Surgical"/>
    <n v="11"/>
    <x v="2"/>
    <n v="3354"/>
    <n v="3080"/>
    <m/>
    <m/>
    <n v="606"/>
    <n v="634"/>
    <n v="736"/>
    <n v="504"/>
    <n v="694"/>
    <n v="852"/>
    <n v="801"/>
    <n v="668"/>
    <n v="863"/>
    <n v="76"/>
    <m/>
    <n v="102"/>
    <n v="75"/>
    <n v="1089"/>
    <n v="60"/>
    <n v="9"/>
    <n v="26"/>
    <n v="5073"/>
    <n v="488"/>
    <n v="74"/>
    <m/>
    <n v="12"/>
    <n v="2"/>
    <n v="1"/>
    <m/>
    <m/>
    <m/>
    <n v="22"/>
    <n v="1"/>
    <n v="5817"/>
    <n v="17"/>
    <m/>
    <m/>
    <n v="803"/>
    <n v="1761"/>
    <n v="412"/>
    <n v="2751"/>
    <n v="707"/>
    <n v="57"/>
    <n v="38"/>
    <n v="288"/>
    <m/>
    <n v="327"/>
    <n v="104"/>
    <n v="291"/>
    <n v="130"/>
    <n v="1889"/>
    <n v="405"/>
    <n v="10"/>
    <n v="324"/>
    <n v="225"/>
    <n v="3"/>
    <n v="200"/>
    <n v="446"/>
    <n v="206"/>
    <n v="1491"/>
    <m/>
    <m/>
    <n v="695"/>
    <n v="29"/>
    <n v="49"/>
    <n v="2"/>
    <n v="30"/>
    <m/>
    <n v="42"/>
    <n v="148"/>
    <n v="4403"/>
    <n v="784"/>
    <n v="76"/>
    <n v="115"/>
    <n v="10"/>
    <n v="38"/>
    <n v="13"/>
    <m/>
    <n v="6434"/>
    <n v="41"/>
    <n v="6032"/>
    <n v="361"/>
    <n v="154"/>
    <n v="100"/>
    <m/>
    <m/>
    <n v="4"/>
    <n v="2"/>
    <n v="2"/>
    <n v="9"/>
    <n v="23"/>
    <n v="29"/>
    <n v="39"/>
    <n v="146"/>
    <m/>
    <m/>
    <m/>
    <m/>
    <n v="1"/>
    <n v="10"/>
    <m/>
    <m/>
    <n v="241"/>
    <n v="2"/>
    <n v="29"/>
    <n v="2"/>
    <n v="4"/>
    <n v="27"/>
    <n v="1"/>
    <n v="1"/>
    <m/>
    <n v="142"/>
    <n v="48"/>
    <m/>
    <n v="0"/>
    <n v="0"/>
    <n v="0"/>
    <n v="0"/>
    <n v="0"/>
    <n v="5"/>
    <n v="190"/>
    <n v="3"/>
    <n v="48"/>
    <n v="8"/>
    <n v="1"/>
    <n v="6"/>
    <n v="48"/>
    <m/>
    <n v="23"/>
    <n v="22"/>
    <n v="25"/>
    <n v="17"/>
    <n v="15"/>
    <n v="9"/>
    <n v="7"/>
    <n v="3"/>
    <m/>
    <n v="6"/>
    <n v="50"/>
    <n v="5"/>
    <n v="17"/>
    <m/>
    <m/>
    <m/>
    <n v="22"/>
    <m/>
    <n v="34"/>
    <m/>
    <n v="1"/>
    <n v="5"/>
    <n v="1"/>
    <n v="185"/>
    <n v="5"/>
    <m/>
    <m/>
    <n v="1"/>
    <m/>
    <m/>
    <m/>
    <m/>
    <n v="254"/>
    <m/>
    <n v="252"/>
    <n v="2"/>
    <n v="2011"/>
  </r>
  <r>
    <n v="106430705"/>
    <s v="430705"/>
    <x v="279"/>
    <s v="225 NORTH JACKSON AVENUE"/>
    <s v="SAN JOSE"/>
    <n v="95116"/>
    <x v="2"/>
    <x v="0"/>
    <x v="74"/>
    <x v="39"/>
    <s v="183b"/>
    <m/>
    <s v="07 - Santa Clara"/>
    <x v="41"/>
    <s v="General Acute Care"/>
    <s v="Investor - Corporation"/>
    <s v="General Medical / Surgical"/>
    <n v="247"/>
    <x v="0"/>
    <n v="27271"/>
    <n v="23476"/>
    <m/>
    <m/>
    <n v="9457"/>
    <n v="6664"/>
    <n v="8797"/>
    <n v="6777"/>
    <n v="6115"/>
    <n v="4390"/>
    <n v="2663"/>
    <n v="2228"/>
    <n v="1929"/>
    <n v="1727"/>
    <m/>
    <n v="9619"/>
    <n v="2039"/>
    <n v="32063"/>
    <n v="31"/>
    <n v="1009"/>
    <n v="159"/>
    <n v="5827"/>
    <n v="331"/>
    <n v="955"/>
    <m/>
    <n v="132"/>
    <n v="40"/>
    <n v="2"/>
    <n v="1"/>
    <n v="115"/>
    <n v="246"/>
    <n v="203"/>
    <n v="16"/>
    <n v="48590"/>
    <n v="96"/>
    <n v="20"/>
    <m/>
    <n v="7286"/>
    <n v="6743"/>
    <n v="18584"/>
    <n v="7929"/>
    <n v="10205"/>
    <n v="1768"/>
    <n v="135"/>
    <n v="772"/>
    <n v="5"/>
    <n v="2370"/>
    <n v="477"/>
    <n v="2369"/>
    <n v="1108"/>
    <n v="12012"/>
    <n v="1942"/>
    <n v="34"/>
    <n v="3102"/>
    <n v="2270"/>
    <n v="66"/>
    <n v="1946"/>
    <n v="5980"/>
    <n v="1978"/>
    <n v="12413"/>
    <m/>
    <m/>
    <n v="3462"/>
    <n v="171"/>
    <n v="269"/>
    <n v="18"/>
    <n v="823"/>
    <n v="5"/>
    <n v="26"/>
    <n v="480"/>
    <n v="38240"/>
    <n v="4780"/>
    <n v="299"/>
    <n v="1837"/>
    <n v="87"/>
    <n v="224"/>
    <n v="26"/>
    <m/>
    <n v="50747"/>
    <n v="2967"/>
    <n v="39634"/>
    <n v="8146"/>
    <n v="4964"/>
    <n v="4743"/>
    <m/>
    <m/>
    <n v="291"/>
    <n v="699"/>
    <n v="694"/>
    <n v="991"/>
    <n v="1214"/>
    <n v="1313"/>
    <n v="1827"/>
    <n v="2415"/>
    <n v="82"/>
    <n v="181"/>
    <m/>
    <n v="3447"/>
    <n v="291"/>
    <n v="3670"/>
    <n v="568"/>
    <n v="16"/>
    <n v="1709"/>
    <n v="6"/>
    <n v="417"/>
    <n v="213"/>
    <n v="403"/>
    <n v="680"/>
    <n v="168"/>
    <n v="79"/>
    <n v="149"/>
    <n v="6123"/>
    <n v="1467"/>
    <n v="8"/>
    <n v="0"/>
    <n v="0"/>
    <n v="0"/>
    <n v="0"/>
    <n v="0"/>
    <n v="1842"/>
    <n v="5268"/>
    <n v="250"/>
    <n v="1356"/>
    <n v="991"/>
    <n v="327"/>
    <n v="101"/>
    <n v="1807"/>
    <n v="3"/>
    <n v="1274"/>
    <n v="438"/>
    <n v="546"/>
    <n v="947"/>
    <n v="1637"/>
    <n v="120"/>
    <n v="182"/>
    <n v="190"/>
    <n v="20"/>
    <n v="113"/>
    <n v="1250"/>
    <n v="200"/>
    <n v="540"/>
    <m/>
    <n v="12"/>
    <m/>
    <n v="621"/>
    <n v="73"/>
    <n v="488"/>
    <n v="229"/>
    <n v="3"/>
    <n v="18"/>
    <n v="26"/>
    <n v="7407"/>
    <n v="188"/>
    <n v="65"/>
    <n v="486"/>
    <n v="63"/>
    <n v="25"/>
    <n v="14"/>
    <n v="1"/>
    <m/>
    <n v="9707"/>
    <n v="2188"/>
    <n v="6356"/>
    <n v="1163"/>
    <n v="2011"/>
  </r>
  <r>
    <n v="106430763"/>
    <s v="430763"/>
    <x v="280"/>
    <s v="2500 GRANT ROAD"/>
    <s v="MOUNTAIN VIEW"/>
    <n v="94040"/>
    <x v="0"/>
    <x v="0"/>
    <x v="75"/>
    <x v="39"/>
    <s v="183a"/>
    <m/>
    <s v="07 - Santa Clara"/>
    <x v="41"/>
    <s v="General Acute Care"/>
    <s v="District"/>
    <s v="General Medical / Surgical"/>
    <n v="374"/>
    <x v="0"/>
    <n v="24830"/>
    <n v="20394"/>
    <m/>
    <m/>
    <n v="6518"/>
    <n v="4085"/>
    <n v="6051"/>
    <n v="6360"/>
    <n v="5792"/>
    <n v="4867"/>
    <n v="3109"/>
    <n v="2761"/>
    <n v="4374"/>
    <n v="1304"/>
    <n v="3"/>
    <n v="8278"/>
    <n v="1587"/>
    <n v="9236"/>
    <n v="16"/>
    <n v="4046"/>
    <n v="618"/>
    <n v="21443"/>
    <n v="589"/>
    <n v="560"/>
    <m/>
    <n v="101"/>
    <n v="134"/>
    <n v="44"/>
    <n v="3"/>
    <m/>
    <m/>
    <n v="134"/>
    <m/>
    <n v="43151"/>
    <n v="508"/>
    <m/>
    <m/>
    <n v="8637"/>
    <n v="9064"/>
    <n v="2688"/>
    <n v="19818"/>
    <n v="5017"/>
    <n v="914"/>
    <n v="160"/>
    <n v="1174"/>
    <n v="6"/>
    <n v="2116"/>
    <n v="471"/>
    <n v="2148"/>
    <n v="1074"/>
    <n v="11212"/>
    <n v="2540"/>
    <n v="52"/>
    <n v="3547"/>
    <n v="2136"/>
    <n v="90"/>
    <n v="1463"/>
    <n v="3660"/>
    <n v="1429"/>
    <n v="11032"/>
    <m/>
    <m/>
    <n v="3785"/>
    <n v="126"/>
    <n v="619"/>
    <n v="16"/>
    <n v="196"/>
    <n v="28"/>
    <n v="179"/>
    <n v="407"/>
    <n v="32824"/>
    <n v="5472"/>
    <n v="352"/>
    <n v="752"/>
    <n v="92"/>
    <n v="317"/>
    <n v="59"/>
    <m/>
    <n v="45224"/>
    <n v="2944"/>
    <n v="38017"/>
    <n v="4263"/>
    <n v="4261"/>
    <n v="3386"/>
    <m/>
    <m/>
    <n v="87"/>
    <n v="360"/>
    <n v="527"/>
    <n v="684"/>
    <n v="985"/>
    <n v="1034"/>
    <n v="1336"/>
    <n v="2592"/>
    <n v="26"/>
    <n v="16"/>
    <m/>
    <n v="1336"/>
    <n v="184"/>
    <n v="643"/>
    <n v="400"/>
    <n v="6"/>
    <n v="5074"/>
    <n v="4"/>
    <n v="123"/>
    <n v="84"/>
    <n v="358"/>
    <n v="833"/>
    <n v="193"/>
    <n v="57"/>
    <n v="183"/>
    <n v="4313"/>
    <n v="1501"/>
    <n v="2"/>
    <n v="0"/>
    <n v="0"/>
    <n v="0"/>
    <n v="0"/>
    <n v="0"/>
    <n v="489"/>
    <n v="4808"/>
    <n v="95"/>
    <n v="2036"/>
    <n v="219"/>
    <n v="106"/>
    <n v="93"/>
    <n v="1453"/>
    <n v="7"/>
    <n v="1217"/>
    <n v="261"/>
    <n v="425"/>
    <n v="756"/>
    <n v="870"/>
    <n v="128"/>
    <n v="235"/>
    <n v="136"/>
    <n v="8"/>
    <n v="632"/>
    <n v="883"/>
    <n v="181"/>
    <n v="230"/>
    <n v="9"/>
    <n v="17"/>
    <m/>
    <n v="600"/>
    <n v="56"/>
    <n v="671"/>
    <n v="5"/>
    <n v="29"/>
    <n v="535"/>
    <n v="6"/>
    <n v="5436"/>
    <n v="117"/>
    <n v="17"/>
    <n v="18"/>
    <n v="115"/>
    <n v="38"/>
    <n v="4"/>
    <m/>
    <m/>
    <n v="7647"/>
    <n v="628"/>
    <n v="6764"/>
    <n v="255"/>
    <n v="2011"/>
  </r>
  <r>
    <n v="106430779"/>
    <s v="430779"/>
    <x v="281"/>
    <s v="2425 SAMARITAN DRIVE"/>
    <s v="SAN JOSE"/>
    <n v="95124"/>
    <x v="0"/>
    <x v="0"/>
    <x v="76"/>
    <x v="38"/>
    <s v="183m"/>
    <m/>
    <s v="07 - Santa Clara"/>
    <x v="41"/>
    <s v="General Acute Care"/>
    <s v="Investor - Corporation"/>
    <s v="General Medical / Surgical"/>
    <n v="332"/>
    <x v="0"/>
    <n v="19710"/>
    <n v="15229"/>
    <n v="1"/>
    <m/>
    <n v="4974"/>
    <n v="3758"/>
    <n v="4331"/>
    <n v="4634"/>
    <n v="5024"/>
    <n v="3659"/>
    <n v="2570"/>
    <n v="2191"/>
    <n v="2979"/>
    <n v="820"/>
    <m/>
    <n v="3652"/>
    <n v="1016"/>
    <n v="6767"/>
    <n v="17"/>
    <n v="1298"/>
    <n v="429"/>
    <n v="21761"/>
    <n v="253"/>
    <n v="210"/>
    <n v="1"/>
    <n v="58"/>
    <n v="26"/>
    <n v="6"/>
    <n v="9"/>
    <n v="31"/>
    <n v="6"/>
    <n v="261"/>
    <n v="9"/>
    <n v="33966"/>
    <n v="97"/>
    <n v="7"/>
    <m/>
    <n v="1313"/>
    <n v="6902"/>
    <n v="4432"/>
    <n v="19455"/>
    <n v="2838"/>
    <n v="707"/>
    <n v="73"/>
    <n v="772"/>
    <n v="7"/>
    <n v="1528"/>
    <n v="324"/>
    <n v="1727"/>
    <n v="363"/>
    <n v="9953"/>
    <n v="1683"/>
    <n v="45"/>
    <n v="1877"/>
    <n v="675"/>
    <n v="53"/>
    <n v="1096"/>
    <n v="2954"/>
    <n v="1245"/>
    <n v="9856"/>
    <n v="2"/>
    <m/>
    <n v="3707"/>
    <n v="140"/>
    <n v="201"/>
    <n v="18"/>
    <n v="167"/>
    <n v="3"/>
    <n v="19"/>
    <n v="385"/>
    <n v="24311"/>
    <n v="4582"/>
    <n v="308"/>
    <n v="758"/>
    <n v="68"/>
    <n v="267"/>
    <n v="6"/>
    <m/>
    <n v="34940"/>
    <n v="408"/>
    <n v="34048"/>
    <n v="484"/>
    <n v="4403"/>
    <n v="3680"/>
    <n v="1"/>
    <m/>
    <n v="248"/>
    <n v="276"/>
    <n v="468"/>
    <n v="802"/>
    <n v="921"/>
    <n v="1089"/>
    <n v="1408"/>
    <n v="2474"/>
    <n v="126"/>
    <n v="272"/>
    <m/>
    <n v="824"/>
    <n v="177"/>
    <n v="798"/>
    <n v="264"/>
    <n v="8"/>
    <n v="6012"/>
    <n v="1"/>
    <n v="97"/>
    <n v="59"/>
    <n v="385"/>
    <n v="646"/>
    <n v="239"/>
    <n v="83"/>
    <n v="50"/>
    <n v="5262"/>
    <n v="1263"/>
    <m/>
    <n v="0"/>
    <n v="0"/>
    <n v="0"/>
    <n v="0"/>
    <n v="0"/>
    <n v="359"/>
    <n v="4547"/>
    <n v="175"/>
    <n v="2719"/>
    <n v="284"/>
    <n v="149"/>
    <n v="109"/>
    <n v="1794"/>
    <n v="16"/>
    <n v="1253"/>
    <n v="303"/>
    <n v="433"/>
    <n v="633"/>
    <n v="815"/>
    <n v="150"/>
    <n v="257"/>
    <n v="218"/>
    <n v="1"/>
    <n v="256"/>
    <n v="932"/>
    <n v="197"/>
    <n v="536"/>
    <m/>
    <n v="32"/>
    <m/>
    <n v="571"/>
    <n v="41"/>
    <n v="625"/>
    <n v="5"/>
    <n v="16"/>
    <n v="35"/>
    <n v="28"/>
    <n v="6551"/>
    <n v="105"/>
    <n v="19"/>
    <n v="13"/>
    <n v="26"/>
    <n v="27"/>
    <n v="21"/>
    <n v="1"/>
    <m/>
    <n v="8084"/>
    <n v="178"/>
    <n v="7795"/>
    <n v="111"/>
    <n v="2011"/>
  </r>
  <r>
    <n v="106430837"/>
    <s v="430837"/>
    <x v="282"/>
    <s v="2105 FOREST AVENUE"/>
    <s v="SAN JOSE"/>
    <n v="95128"/>
    <x v="0"/>
    <x v="0"/>
    <x v="76"/>
    <x v="39"/>
    <s v="183j"/>
    <m/>
    <s v="07 - Santa Clara"/>
    <x v="41"/>
    <s v="General Acute Care"/>
    <s v="Non-Profit Corporation (incl. Church-related)"/>
    <s v="General Medical / Surgical"/>
    <n v="334"/>
    <x v="0"/>
    <n v="25263"/>
    <n v="18814"/>
    <m/>
    <m/>
    <n v="9187"/>
    <n v="4843"/>
    <n v="7714"/>
    <n v="5947"/>
    <n v="4410"/>
    <n v="3293"/>
    <n v="2032"/>
    <n v="1645"/>
    <n v="2433"/>
    <n v="2573"/>
    <m/>
    <n v="4757"/>
    <n v="1912"/>
    <n v="22608"/>
    <n v="197"/>
    <n v="1592"/>
    <n v="723"/>
    <n v="12288"/>
    <n v="137"/>
    <n v="158"/>
    <m/>
    <n v="31"/>
    <m/>
    <m/>
    <m/>
    <n v="1"/>
    <m/>
    <n v="83"/>
    <m/>
    <n v="43530"/>
    <n v="137"/>
    <m/>
    <m/>
    <n v="20673"/>
    <n v="5662"/>
    <n v="2230"/>
    <n v="10671"/>
    <n v="4841"/>
    <n v="908"/>
    <n v="99"/>
    <n v="603"/>
    <n v="15"/>
    <n v="2104"/>
    <n v="434"/>
    <n v="2452"/>
    <n v="1260"/>
    <n v="9384"/>
    <n v="2363"/>
    <n v="36"/>
    <n v="2739"/>
    <n v="1139"/>
    <n v="75"/>
    <n v="862"/>
    <n v="6377"/>
    <n v="1761"/>
    <n v="11464"/>
    <n v="2"/>
    <m/>
    <n v="3157"/>
    <n v="151"/>
    <n v="178"/>
    <n v="11"/>
    <n v="323"/>
    <n v="51"/>
    <n v="294"/>
    <n v="380"/>
    <n v="33986"/>
    <n v="4206"/>
    <n v="208"/>
    <n v="851"/>
    <n v="31"/>
    <n v="238"/>
    <n v="12"/>
    <m/>
    <n v="44077"/>
    <n v="934"/>
    <n v="38717"/>
    <n v="4426"/>
    <n v="3430"/>
    <n v="2852"/>
    <m/>
    <m/>
    <n v="141"/>
    <n v="277"/>
    <n v="385"/>
    <n v="522"/>
    <n v="719"/>
    <n v="762"/>
    <n v="1006"/>
    <n v="2129"/>
    <n v="158"/>
    <n v="183"/>
    <m/>
    <n v="1319"/>
    <n v="205"/>
    <n v="1613"/>
    <n v="98"/>
    <n v="43"/>
    <n v="2993"/>
    <n v="11"/>
    <n v="116"/>
    <n v="42"/>
    <n v="246"/>
    <n v="754"/>
    <n v="34"/>
    <n v="1"/>
    <n v="56"/>
    <n v="3771"/>
    <n v="1260"/>
    <n v="2"/>
    <n v="0"/>
    <n v="0"/>
    <n v="0"/>
    <n v="0"/>
    <n v="0"/>
    <n v="1134"/>
    <n v="3319"/>
    <n v="281"/>
    <n v="1402"/>
    <n v="146"/>
    <n v="94"/>
    <n v="89"/>
    <n v="1234"/>
    <n v="4"/>
    <n v="1103"/>
    <n v="302"/>
    <n v="407"/>
    <n v="726"/>
    <n v="518"/>
    <n v="105"/>
    <n v="155"/>
    <n v="128"/>
    <n v="5"/>
    <n v="52"/>
    <n v="829"/>
    <n v="216"/>
    <n v="282"/>
    <n v="1"/>
    <n v="32"/>
    <m/>
    <n v="343"/>
    <n v="31"/>
    <n v="317"/>
    <n v="4"/>
    <n v="12"/>
    <n v="192"/>
    <n v="22"/>
    <n v="5260"/>
    <n v="45"/>
    <n v="9"/>
    <n v="11"/>
    <n v="15"/>
    <n v="18"/>
    <n v="2"/>
    <n v="1"/>
    <m/>
    <n v="6282"/>
    <n v="544"/>
    <n v="5399"/>
    <n v="339"/>
    <n v="2011"/>
  </r>
  <r>
    <n v="106430883"/>
    <s v="430883"/>
    <x v="283"/>
    <s v="751 SOUTH BASCOM AVENUE"/>
    <s v="SAN JOSE"/>
    <n v="95128"/>
    <x v="7"/>
    <x v="1"/>
    <x v="76"/>
    <x v="39"/>
    <s v="183j"/>
    <m/>
    <s v="07 - Santa Clara"/>
    <x v="41"/>
    <s v="General Acute Care"/>
    <s v="City and/or County"/>
    <s v="General Medical / Surgical"/>
    <n v="524"/>
    <x v="3"/>
    <n v="35641"/>
    <n v="38125"/>
    <m/>
    <m/>
    <n v="3589"/>
    <n v="5446"/>
    <n v="14461"/>
    <n v="12471"/>
    <n v="14130"/>
    <n v="13330"/>
    <n v="6111"/>
    <n v="2138"/>
    <n v="1158"/>
    <n v="932"/>
    <m/>
    <n v="8010"/>
    <n v="5738"/>
    <n v="30983"/>
    <n v="137"/>
    <n v="2709"/>
    <n v="1649"/>
    <n v="24540"/>
    <n v="112"/>
    <n v="3078"/>
    <n v="18"/>
    <n v="69"/>
    <n v="17"/>
    <n v="6"/>
    <m/>
    <n v="480"/>
    <n v="19"/>
    <n v="2258"/>
    <n v="2"/>
    <n v="67429"/>
    <n v="270"/>
    <m/>
    <n v="8"/>
    <n v="25118"/>
    <n v="8848"/>
    <n v="18129"/>
    <n v="6931"/>
    <n v="14740"/>
    <n v="1288"/>
    <n v="137"/>
    <n v="2356"/>
    <n v="22"/>
    <n v="2765"/>
    <n v="1400"/>
    <n v="2522"/>
    <n v="844"/>
    <n v="12070"/>
    <n v="6472"/>
    <n v="34"/>
    <n v="2818"/>
    <n v="2086"/>
    <n v="43"/>
    <n v="11875"/>
    <n v="5098"/>
    <n v="2802"/>
    <n v="19134"/>
    <m/>
    <m/>
    <n v="3411"/>
    <n v="167"/>
    <n v="43"/>
    <n v="35"/>
    <n v="1415"/>
    <n v="15"/>
    <n v="46"/>
    <n v="352"/>
    <n v="59989"/>
    <n v="4815"/>
    <n v="435"/>
    <n v="2187"/>
    <n v="561"/>
    <n v="211"/>
    <n v="84"/>
    <m/>
    <n v="73766"/>
    <n v="3997"/>
    <n v="58042"/>
    <n v="11727"/>
    <n v="4453"/>
    <n v="5716"/>
    <m/>
    <m/>
    <n v="392"/>
    <n v="923"/>
    <n v="916"/>
    <n v="1590"/>
    <n v="2344"/>
    <n v="1855"/>
    <n v="945"/>
    <n v="782"/>
    <n v="116"/>
    <n v="306"/>
    <m/>
    <n v="1941"/>
    <n v="612"/>
    <n v="3885"/>
    <n v="312"/>
    <n v="132"/>
    <n v="3259"/>
    <n v="28"/>
    <n v="163"/>
    <n v="206"/>
    <n v="317"/>
    <n v="329"/>
    <n v="237"/>
    <m/>
    <n v="114"/>
    <n v="7688"/>
    <n v="957"/>
    <n v="158"/>
    <n v="0"/>
    <n v="0"/>
    <n v="0"/>
    <n v="0"/>
    <n v="0"/>
    <n v="3851"/>
    <n v="2507"/>
    <n v="135"/>
    <n v="966"/>
    <n v="2710"/>
    <n v="97"/>
    <n v="160"/>
    <n v="1752"/>
    <n v="6"/>
    <n v="1490"/>
    <n v="549"/>
    <n v="393"/>
    <n v="956"/>
    <n v="1827"/>
    <n v="189"/>
    <n v="282"/>
    <n v="336"/>
    <n v="47"/>
    <n v="254"/>
    <n v="870"/>
    <n v="270"/>
    <n v="662"/>
    <n v="6"/>
    <n v="23"/>
    <m/>
    <n v="488"/>
    <n v="89"/>
    <n v="607"/>
    <n v="156"/>
    <n v="95"/>
    <n v="262"/>
    <n v="23"/>
    <n v="7517"/>
    <n v="190"/>
    <n v="71"/>
    <n v="428"/>
    <n v="133"/>
    <n v="58"/>
    <n v="19"/>
    <n v="33"/>
    <m/>
    <n v="10169"/>
    <n v="1160"/>
    <n v="7311"/>
    <n v="1698"/>
    <n v="2011"/>
  </r>
  <r>
    <n v="106430905"/>
    <s v="430905"/>
    <x v="284"/>
    <s v="300 PASTEUR DRIVE"/>
    <s v="PALO ALTO"/>
    <n v="94305"/>
    <x v="7"/>
    <x v="1"/>
    <x v="72"/>
    <x v="38"/>
    <s v="183a"/>
    <m/>
    <s v="07 - Santa Clara"/>
    <x v="41"/>
    <s v="General Acute Care"/>
    <s v="Non-Profit Corporation (incl. Church-related)"/>
    <s v="General Medical / Surgical"/>
    <n v="583"/>
    <x v="0"/>
    <n v="19795"/>
    <n v="17176"/>
    <n v="3"/>
    <m/>
    <n v="7846"/>
    <n v="4704"/>
    <n v="5978"/>
    <n v="4224"/>
    <n v="3505"/>
    <n v="3245"/>
    <n v="2134"/>
    <n v="1360"/>
    <n v="1547"/>
    <n v="2431"/>
    <m/>
    <n v="4769"/>
    <n v="2933"/>
    <n v="12458"/>
    <n v="56"/>
    <n v="2213"/>
    <n v="353"/>
    <n v="14192"/>
    <n v="110"/>
    <n v="364"/>
    <n v="2647"/>
    <n v="55"/>
    <n v="130"/>
    <n v="132"/>
    <n v="5"/>
    <n v="3"/>
    <n v="31"/>
    <n v="117"/>
    <n v="3"/>
    <n v="33083"/>
    <n v="90"/>
    <n v="204"/>
    <m/>
    <n v="12382"/>
    <n v="4377"/>
    <n v="1014"/>
    <n v="12990"/>
    <n v="6211"/>
    <n v="1492"/>
    <n v="304"/>
    <n v="589"/>
    <n v="34"/>
    <n v="1875"/>
    <n v="572"/>
    <n v="1936"/>
    <n v="655"/>
    <n v="8165"/>
    <n v="2472"/>
    <n v="98"/>
    <n v="2121"/>
    <n v="796"/>
    <n v="182"/>
    <n v="985"/>
    <n v="2891"/>
    <n v="1112"/>
    <n v="10691"/>
    <m/>
    <n v="4"/>
    <n v="2752"/>
    <n v="110"/>
    <n v="203"/>
    <n v="6"/>
    <n v="232"/>
    <n v="142"/>
    <n v="280"/>
    <n v="297"/>
    <n v="27680"/>
    <n v="3223"/>
    <n v="395"/>
    <n v="1289"/>
    <n v="45"/>
    <n v="264"/>
    <n v="56"/>
    <m/>
    <n v="36974"/>
    <n v="773"/>
    <n v="30081"/>
    <n v="6120"/>
    <n v="4971"/>
    <n v="4681"/>
    <m/>
    <m/>
    <n v="181"/>
    <n v="876"/>
    <n v="753"/>
    <n v="1143"/>
    <n v="1664"/>
    <n v="1562"/>
    <n v="1400"/>
    <n v="2073"/>
    <m/>
    <m/>
    <m/>
    <n v="1391"/>
    <n v="711"/>
    <n v="1374"/>
    <n v="485"/>
    <n v="110"/>
    <n v="5566"/>
    <n v="15"/>
    <n v="154"/>
    <n v="86"/>
    <n v="353"/>
    <n v="185"/>
    <n v="208"/>
    <n v="7"/>
    <n v="11"/>
    <n v="7453"/>
    <n v="1189"/>
    <n v="6"/>
    <n v="0"/>
    <n v="0"/>
    <n v="0"/>
    <n v="0"/>
    <n v="0"/>
    <n v="1091"/>
    <n v="4104"/>
    <n v="514"/>
    <n v="2617"/>
    <n v="1326"/>
    <n v="68"/>
    <n v="200"/>
    <n v="1595"/>
    <n v="10"/>
    <n v="1335"/>
    <n v="339"/>
    <n v="462"/>
    <n v="698"/>
    <n v="1707"/>
    <n v="184"/>
    <n v="455"/>
    <n v="271"/>
    <n v="25"/>
    <n v="690"/>
    <n v="786"/>
    <n v="174"/>
    <n v="653"/>
    <m/>
    <m/>
    <m/>
    <n v="637"/>
    <n v="69"/>
    <n v="904"/>
    <n v="73"/>
    <n v="70"/>
    <n v="797"/>
    <n v="11"/>
    <n v="6423"/>
    <n v="139"/>
    <n v="84"/>
    <n v="295"/>
    <n v="101"/>
    <n v="29"/>
    <n v="15"/>
    <n v="5"/>
    <m/>
    <n v="9652"/>
    <n v="651"/>
    <n v="8388"/>
    <n v="613"/>
    <n v="2011"/>
  </r>
  <r>
    <n v="106431506"/>
    <s v="431506"/>
    <x v="285"/>
    <s v="250 HOSPITAL PARKWAY"/>
    <s v="SAN JOSE"/>
    <n v="95119"/>
    <x v="0"/>
    <x v="0"/>
    <x v="76"/>
    <x v="38"/>
    <s v="183i"/>
    <m/>
    <s v="07 - Santa Clara"/>
    <x v="41"/>
    <s v="General Acute Care"/>
    <s v="Non-Profit Corporation (incl. Church-related)"/>
    <s v="General Medical / Surgical"/>
    <n v="242"/>
    <x v="0"/>
    <n v="22914"/>
    <n v="19244"/>
    <n v="3"/>
    <m/>
    <n v="4706"/>
    <n v="4492"/>
    <n v="5532"/>
    <n v="5192"/>
    <n v="5744"/>
    <n v="4962"/>
    <n v="4159"/>
    <n v="3402"/>
    <n v="3065"/>
    <n v="906"/>
    <n v="1"/>
    <n v="5111"/>
    <n v="2411"/>
    <n v="16293"/>
    <n v="193"/>
    <n v="911"/>
    <n v="287"/>
    <n v="16955"/>
    <n v="133"/>
    <n v="349"/>
    <n v="3"/>
    <n v="62"/>
    <n v="64"/>
    <n v="35"/>
    <n v="12"/>
    <n v="1"/>
    <n v="19"/>
    <n v="297"/>
    <n v="9"/>
    <n v="40732"/>
    <n v="80"/>
    <n v="285"/>
    <n v="80"/>
    <n v="2310"/>
    <n v="8701"/>
    <n v="143"/>
    <n v="25328"/>
    <n v="5679"/>
    <n v="682"/>
    <n v="150"/>
    <n v="1435"/>
    <n v="9"/>
    <n v="2666"/>
    <n v="907"/>
    <n v="2347"/>
    <n v="671"/>
    <n v="8260"/>
    <n v="2262"/>
    <n v="74"/>
    <n v="2387"/>
    <n v="833"/>
    <n v="27"/>
    <n v="1956"/>
    <n v="3616"/>
    <n v="1135"/>
    <n v="12744"/>
    <m/>
    <m/>
    <n v="2670"/>
    <n v="241"/>
    <n v="459"/>
    <n v="19"/>
    <n v="344"/>
    <n v="116"/>
    <n v="383"/>
    <n v="332"/>
    <n v="32561"/>
    <n v="3653"/>
    <n v="238"/>
    <n v="778"/>
    <n v="84"/>
    <n v="243"/>
    <n v="40"/>
    <m/>
    <n v="42161"/>
    <n v="816"/>
    <n v="37854"/>
    <n v="3491"/>
    <n v="3040"/>
    <n v="2881"/>
    <n v="1"/>
    <m/>
    <n v="132"/>
    <n v="295"/>
    <n v="357"/>
    <n v="540"/>
    <n v="844"/>
    <n v="1141"/>
    <n v="1249"/>
    <n v="1349"/>
    <n v="11"/>
    <n v="4"/>
    <m/>
    <n v="721"/>
    <n v="285"/>
    <n v="1560"/>
    <n v="75"/>
    <n v="22"/>
    <n v="3246"/>
    <n v="13"/>
    <n v="337"/>
    <n v="55"/>
    <n v="224"/>
    <n v="763"/>
    <n v="69"/>
    <n v="6"/>
    <n v="88"/>
    <n v="3735"/>
    <n v="645"/>
    <m/>
    <n v="0"/>
    <n v="0"/>
    <n v="0"/>
    <n v="0"/>
    <n v="0"/>
    <n v="181"/>
    <n v="3359"/>
    <n v="14"/>
    <n v="2226"/>
    <n v="142"/>
    <n v="84"/>
    <n v="79"/>
    <n v="1312"/>
    <m/>
    <n v="1161"/>
    <n v="241"/>
    <n v="297"/>
    <n v="812"/>
    <n v="547"/>
    <n v="105"/>
    <n v="145"/>
    <n v="131"/>
    <n v="6"/>
    <n v="68"/>
    <n v="573"/>
    <n v="108"/>
    <n v="246"/>
    <n v="2"/>
    <n v="5"/>
    <m/>
    <n v="306"/>
    <n v="26"/>
    <n v="569"/>
    <n v="14"/>
    <n v="9"/>
    <n v="131"/>
    <n v="16"/>
    <n v="4683"/>
    <n v="82"/>
    <n v="4"/>
    <n v="18"/>
    <n v="40"/>
    <n v="18"/>
    <n v="5"/>
    <n v="1"/>
    <m/>
    <n v="5922"/>
    <n v="188"/>
    <n v="5413"/>
    <n v="321"/>
    <n v="2011"/>
  </r>
  <r>
    <n v="106434138"/>
    <s v="434138"/>
    <x v="286"/>
    <s v="9400 NO NAME UNO"/>
    <s v="GILROY"/>
    <n v="95020"/>
    <x v="0"/>
    <x v="0"/>
    <x v="45"/>
    <x v="39"/>
    <s v="182"/>
    <m/>
    <s v="07 - Santa Clara"/>
    <x v="41"/>
    <s v="General Acute Care"/>
    <s v="Non-Profit Corporation (incl. Church-related)"/>
    <s v="General Medical / Surgical"/>
    <n v="72"/>
    <x v="0"/>
    <n v="13025"/>
    <n v="10492"/>
    <m/>
    <m/>
    <n v="4871"/>
    <n v="3222"/>
    <n v="3582"/>
    <n v="2896"/>
    <n v="2672"/>
    <n v="2030"/>
    <n v="1254"/>
    <n v="852"/>
    <n v="998"/>
    <n v="1140"/>
    <m/>
    <n v="404"/>
    <n v="320"/>
    <n v="14790"/>
    <n v="21"/>
    <n v="1390"/>
    <n v="35"/>
    <n v="6557"/>
    <n v="477"/>
    <n v="917"/>
    <m/>
    <n v="23"/>
    <n v="1"/>
    <m/>
    <n v="1"/>
    <n v="86"/>
    <m/>
    <n v="52"/>
    <n v="1"/>
    <n v="21920"/>
    <n v="39"/>
    <m/>
    <m/>
    <n v="10534"/>
    <n v="2961"/>
    <n v="1002"/>
    <n v="7881"/>
    <n v="1139"/>
    <n v="696"/>
    <n v="48"/>
    <n v="424"/>
    <n v="4"/>
    <n v="1160"/>
    <n v="255"/>
    <n v="1345"/>
    <n v="792"/>
    <n v="5372"/>
    <n v="1196"/>
    <n v="23"/>
    <n v="1659"/>
    <n v="505"/>
    <n v="56"/>
    <n v="578"/>
    <n v="3157"/>
    <n v="989"/>
    <n v="5257"/>
    <m/>
    <n v="1"/>
    <n v="1563"/>
    <n v="128"/>
    <n v="184"/>
    <n v="15"/>
    <n v="204"/>
    <n v="3"/>
    <n v="25"/>
    <n v="278"/>
    <n v="17662"/>
    <n v="2704"/>
    <n v="163"/>
    <n v="378"/>
    <n v="51"/>
    <n v="126"/>
    <n v="33"/>
    <m/>
    <n v="23517"/>
    <n v="106"/>
    <n v="18573"/>
    <n v="4838"/>
    <n v="1210"/>
    <n v="979"/>
    <m/>
    <m/>
    <n v="58"/>
    <n v="94"/>
    <n v="138"/>
    <n v="230"/>
    <n v="306"/>
    <n v="287"/>
    <n v="372"/>
    <n v="621"/>
    <n v="35"/>
    <n v="48"/>
    <m/>
    <n v="95"/>
    <n v="24"/>
    <n v="871"/>
    <n v="77"/>
    <m/>
    <n v="1121"/>
    <n v="1"/>
    <n v="156"/>
    <n v="22"/>
    <n v="62"/>
    <n v="169"/>
    <n v="30"/>
    <m/>
    <n v="51"/>
    <n v="1305"/>
    <n v="394"/>
    <m/>
    <n v="0"/>
    <n v="0"/>
    <n v="0"/>
    <n v="0"/>
    <n v="0"/>
    <n v="423"/>
    <n v="1020"/>
    <n v="25"/>
    <n v="588"/>
    <n v="133"/>
    <n v="37"/>
    <n v="28"/>
    <n v="406"/>
    <n v="1"/>
    <n v="392"/>
    <n v="112"/>
    <n v="152"/>
    <n v="215"/>
    <n v="223"/>
    <n v="57"/>
    <n v="40"/>
    <n v="26"/>
    <m/>
    <n v="11"/>
    <n v="346"/>
    <n v="47"/>
    <n v="89"/>
    <m/>
    <n v="7"/>
    <m/>
    <n v="180"/>
    <n v="15"/>
    <n v="146"/>
    <n v="2"/>
    <m/>
    <m/>
    <n v="4"/>
    <n v="1751"/>
    <n v="51"/>
    <n v="8"/>
    <n v="5"/>
    <n v="18"/>
    <n v="5"/>
    <n v="4"/>
    <m/>
    <m/>
    <n v="2189"/>
    <n v="21"/>
    <n v="1846"/>
    <n v="322"/>
    <n v="2011"/>
  </r>
  <r>
    <n v="106434153"/>
    <s v="434153"/>
    <x v="287"/>
    <s v="700 LAWRENCE EXPRESSWAY"/>
    <s v="SANTA CLARA"/>
    <n v="95051"/>
    <x v="0"/>
    <x v="0"/>
    <x v="75"/>
    <x v="39"/>
    <s v="183f"/>
    <m/>
    <s v="07 - Santa Clara"/>
    <x v="41"/>
    <s v="General Acute Care"/>
    <s v="Non-Profit Corporation (incl. Church-related)"/>
    <s v="General Medical / Surgical"/>
    <n v="327"/>
    <x v="0"/>
    <n v="27181"/>
    <n v="23305"/>
    <n v="2"/>
    <m/>
    <n v="5785"/>
    <n v="4450"/>
    <n v="6643"/>
    <n v="6703"/>
    <n v="6166"/>
    <n v="6338"/>
    <n v="4762"/>
    <n v="4034"/>
    <n v="4502"/>
    <n v="1105"/>
    <m/>
    <n v="11327"/>
    <n v="2404"/>
    <n v="12152"/>
    <n v="167"/>
    <n v="778"/>
    <n v="487"/>
    <n v="23173"/>
    <n v="72"/>
    <n v="458"/>
    <m/>
    <n v="55"/>
    <n v="151"/>
    <n v="19"/>
    <n v="19"/>
    <m/>
    <n v="5"/>
    <n v="436"/>
    <n v="2"/>
    <n v="48866"/>
    <n v="242"/>
    <n v="136"/>
    <n v="27"/>
    <n v="2089"/>
    <n v="10561"/>
    <n v="177"/>
    <n v="33835"/>
    <n v="3826"/>
    <n v="988"/>
    <n v="190"/>
    <n v="1495"/>
    <n v="15"/>
    <n v="2235"/>
    <n v="808"/>
    <n v="2358"/>
    <n v="708"/>
    <n v="13833"/>
    <n v="2610"/>
    <n v="58"/>
    <n v="2868"/>
    <n v="974"/>
    <n v="68"/>
    <n v="1478"/>
    <n v="3669"/>
    <n v="1608"/>
    <n v="14525"/>
    <m/>
    <m/>
    <n v="4515"/>
    <n v="199"/>
    <n v="296"/>
    <n v="17"/>
    <n v="274"/>
    <n v="51"/>
    <n v="373"/>
    <n v="620"/>
    <n v="35174"/>
    <n v="7120"/>
    <n v="307"/>
    <n v="1065"/>
    <n v="93"/>
    <n v="354"/>
    <n v="30"/>
    <m/>
    <n v="50488"/>
    <n v="1481"/>
    <n v="46258"/>
    <n v="2749"/>
    <n v="4770"/>
    <n v="4514"/>
    <m/>
    <m/>
    <n v="217"/>
    <n v="290"/>
    <n v="430"/>
    <n v="730"/>
    <n v="1233"/>
    <n v="1500"/>
    <n v="1812"/>
    <n v="2702"/>
    <n v="120"/>
    <n v="250"/>
    <m/>
    <n v="1698"/>
    <n v="334"/>
    <n v="1567"/>
    <n v="72"/>
    <n v="32"/>
    <n v="5546"/>
    <n v="35"/>
    <n v="97"/>
    <n v="51"/>
    <n v="393"/>
    <n v="2069"/>
    <n v="60"/>
    <n v="2"/>
    <n v="124"/>
    <n v="5320"/>
    <n v="1167"/>
    <n v="1"/>
    <n v="0"/>
    <n v="0"/>
    <n v="0"/>
    <n v="0"/>
    <n v="0"/>
    <n v="219"/>
    <n v="5372"/>
    <n v="17"/>
    <n v="3496"/>
    <n v="180"/>
    <n v="67"/>
    <n v="138"/>
    <n v="1974"/>
    <n v="7"/>
    <n v="1550"/>
    <n v="429"/>
    <n v="411"/>
    <n v="1508"/>
    <n v="903"/>
    <n v="126"/>
    <n v="248"/>
    <n v="224"/>
    <n v="13"/>
    <n v="160"/>
    <n v="888"/>
    <n v="173"/>
    <n v="436"/>
    <n v="2"/>
    <n v="27"/>
    <m/>
    <n v="543"/>
    <n v="58"/>
    <n v="746"/>
    <n v="8"/>
    <n v="87"/>
    <n v="443"/>
    <n v="24"/>
    <n v="7137"/>
    <n v="130"/>
    <n v="18"/>
    <n v="24"/>
    <n v="32"/>
    <n v="28"/>
    <n v="5"/>
    <n v="1"/>
    <m/>
    <n v="9284"/>
    <n v="353"/>
    <n v="8651"/>
    <n v="280"/>
    <n v="2011"/>
  </r>
  <r>
    <n v="106434218"/>
    <s v="434218"/>
    <x v="288"/>
    <s v="3840 HOMESTEAD ROAD"/>
    <s v="SANTA CLARA"/>
    <n v="95051"/>
    <x v="0"/>
    <x v="0"/>
    <x v="75"/>
    <x v="39"/>
    <s v="183n"/>
    <m/>
    <s v="07 - Santa Clara"/>
    <x v="41"/>
    <s v="Psychiatric Health Facility"/>
    <s v="Non-Profit Corporation (incl. Church-related)"/>
    <s v="Psychiatric"/>
    <n v="0"/>
    <x v="1"/>
    <m/>
    <m/>
    <m/>
    <m/>
    <m/>
    <m/>
    <m/>
    <m/>
    <m/>
    <m/>
    <m/>
    <m/>
    <m/>
    <m/>
    <m/>
    <m/>
    <m/>
    <m/>
    <m/>
    <m/>
    <m/>
    <m/>
    <m/>
    <m/>
    <m/>
    <m/>
    <m/>
    <m/>
    <m/>
    <m/>
    <m/>
    <m/>
    <m/>
    <m/>
    <m/>
    <m/>
    <m/>
    <m/>
    <m/>
    <m/>
    <m/>
    <m/>
    <m/>
    <m/>
    <m/>
    <m/>
    <m/>
    <m/>
    <m/>
    <m/>
    <m/>
    <m/>
    <m/>
    <m/>
    <m/>
    <m/>
    <m/>
    <m/>
    <m/>
    <m/>
    <m/>
    <m/>
    <m/>
    <m/>
    <m/>
    <m/>
    <m/>
    <m/>
    <m/>
    <m/>
    <m/>
    <m/>
    <m/>
    <m/>
    <m/>
    <m/>
    <m/>
    <m/>
    <m/>
    <m/>
    <m/>
    <m/>
    <n v="3"/>
    <m/>
    <m/>
    <m/>
    <m/>
    <m/>
    <m/>
    <n v="1"/>
    <n v="2"/>
    <m/>
    <m/>
    <m/>
    <m/>
    <m/>
    <m/>
    <n v="1"/>
    <m/>
    <m/>
    <m/>
    <m/>
    <n v="2"/>
    <m/>
    <m/>
    <m/>
    <m/>
    <m/>
    <m/>
    <m/>
    <m/>
    <n v="3"/>
    <m/>
    <m/>
    <n v="0"/>
    <n v="0"/>
    <n v="0"/>
    <n v="0"/>
    <n v="0"/>
    <m/>
    <n v="1"/>
    <m/>
    <n v="2"/>
    <m/>
    <m/>
    <m/>
    <m/>
    <m/>
    <m/>
    <m/>
    <m/>
    <m/>
    <m/>
    <m/>
    <m/>
    <m/>
    <m/>
    <n v="3"/>
    <m/>
    <m/>
    <m/>
    <m/>
    <m/>
    <m/>
    <m/>
    <m/>
    <m/>
    <m/>
    <m/>
    <m/>
    <m/>
    <n v="3"/>
    <m/>
    <m/>
    <m/>
    <m/>
    <m/>
    <m/>
    <m/>
    <m/>
    <n v="3"/>
    <m/>
    <n v="3"/>
    <m/>
    <n v="2011"/>
  </r>
  <r>
    <n v="106440755"/>
    <s v="440755"/>
    <x v="289"/>
    <s v="1555 SOQUEL DRIVE"/>
    <s v="SANTA CRUZ"/>
    <n v="95065"/>
    <x v="0"/>
    <x v="0"/>
    <x v="44"/>
    <x v="38"/>
    <s v="185.1"/>
    <m/>
    <s v="08 - Mid-Coast"/>
    <x v="42"/>
    <s v="General Acute Care"/>
    <s v="Non-Profit Corporation (incl. Church-related)"/>
    <s v="General Medical / Surgical"/>
    <n v="231"/>
    <x v="0"/>
    <n v="17275"/>
    <n v="16623"/>
    <n v="2"/>
    <m/>
    <n v="3007"/>
    <n v="3697"/>
    <n v="6277"/>
    <n v="4340"/>
    <n v="4452"/>
    <n v="4604"/>
    <n v="3130"/>
    <n v="1561"/>
    <n v="2244"/>
    <n v="587"/>
    <n v="1"/>
    <n v="418"/>
    <n v="725"/>
    <n v="5625"/>
    <n v="9"/>
    <n v="1111"/>
    <n v="137"/>
    <n v="25875"/>
    <n v="267"/>
    <n v="678"/>
    <n v="14"/>
    <n v="36"/>
    <n v="51"/>
    <n v="4"/>
    <n v="9"/>
    <n v="4"/>
    <n v="462"/>
    <n v="320"/>
    <n v="268"/>
    <n v="30992"/>
    <n v="272"/>
    <n v="523"/>
    <m/>
    <n v="8169"/>
    <n v="5616"/>
    <n v="1433"/>
    <n v="7729"/>
    <n v="10953"/>
    <n v="574"/>
    <n v="77"/>
    <n v="850"/>
    <n v="5"/>
    <n v="1821"/>
    <n v="546"/>
    <n v="1754"/>
    <n v="546"/>
    <n v="9194"/>
    <n v="1953"/>
    <n v="48"/>
    <n v="2121"/>
    <n v="1089"/>
    <n v="29"/>
    <n v="2045"/>
    <n v="2755"/>
    <n v="1673"/>
    <n v="6818"/>
    <n v="2"/>
    <m/>
    <n v="3244"/>
    <n v="330"/>
    <n v="379"/>
    <n v="26"/>
    <n v="630"/>
    <n v="24"/>
    <n v="275"/>
    <n v="524"/>
    <n v="23007"/>
    <n v="3528"/>
    <n v="500"/>
    <n v="968"/>
    <n v="218"/>
    <n v="188"/>
    <n v="59"/>
    <m/>
    <n v="33900"/>
    <n v="43"/>
    <n v="31557"/>
    <n v="2300"/>
    <n v="3525"/>
    <n v="3447"/>
    <m/>
    <m/>
    <n v="170"/>
    <n v="469"/>
    <n v="477"/>
    <n v="734"/>
    <n v="1183"/>
    <n v="1187"/>
    <n v="918"/>
    <n v="1690"/>
    <n v="50"/>
    <n v="94"/>
    <m/>
    <n v="92"/>
    <n v="101"/>
    <n v="784"/>
    <n v="130"/>
    <n v="14"/>
    <n v="5849"/>
    <n v="2"/>
    <n v="119"/>
    <n v="114"/>
    <n v="235"/>
    <n v="771"/>
    <n v="360"/>
    <n v="6"/>
    <n v="25"/>
    <n v="4077"/>
    <n v="1242"/>
    <n v="23"/>
    <n v="0"/>
    <n v="0"/>
    <n v="0"/>
    <n v="0"/>
    <n v="0"/>
    <n v="868"/>
    <n v="3170"/>
    <n v="143"/>
    <n v="2027"/>
    <n v="764"/>
    <n v="65"/>
    <n v="102"/>
    <n v="1373"/>
    <n v="3"/>
    <n v="1083"/>
    <n v="262"/>
    <n v="329"/>
    <n v="459"/>
    <n v="829"/>
    <n v="171"/>
    <n v="206"/>
    <n v="192"/>
    <n v="15"/>
    <n v="472"/>
    <n v="725"/>
    <n v="223"/>
    <n v="450"/>
    <n v="1"/>
    <n v="12"/>
    <m/>
    <n v="442"/>
    <n v="102"/>
    <n v="604"/>
    <n v="17"/>
    <n v="58"/>
    <n v="325"/>
    <n v="29"/>
    <n v="5093"/>
    <n v="124"/>
    <n v="31"/>
    <n v="46"/>
    <n v="73"/>
    <n v="17"/>
    <n v="10"/>
    <n v="1"/>
    <m/>
    <n v="6972"/>
    <n v="12"/>
    <n v="6574"/>
    <n v="386"/>
    <n v="2011"/>
  </r>
  <r>
    <n v="106444013"/>
    <s v="444013"/>
    <x v="290"/>
    <s v="75 NIELSON STREET"/>
    <s v="WATSONVILLE"/>
    <n v="95076"/>
    <x v="0"/>
    <x v="0"/>
    <x v="45"/>
    <x v="26"/>
    <s v="184"/>
    <m/>
    <s v="08 - Mid-Coast"/>
    <x v="42"/>
    <s v="General Acute Care"/>
    <s v="Investor - Corporation"/>
    <s v="General Medical / Surgical"/>
    <n v="106"/>
    <x v="0"/>
    <n v="13867"/>
    <n v="10991"/>
    <n v="2"/>
    <m/>
    <n v="5857"/>
    <n v="3155"/>
    <n v="3756"/>
    <n v="2991"/>
    <n v="2313"/>
    <n v="2035"/>
    <n v="1339"/>
    <n v="858"/>
    <n v="956"/>
    <n v="1600"/>
    <m/>
    <n v="189"/>
    <n v="124"/>
    <n v="17983"/>
    <n v="12"/>
    <n v="1087"/>
    <n v="68"/>
    <n v="5397"/>
    <n v="208"/>
    <n v="810"/>
    <n v="30"/>
    <n v="22"/>
    <n v="3"/>
    <n v="4"/>
    <n v="1"/>
    <n v="1"/>
    <n v="101"/>
    <n v="40"/>
    <n v="1"/>
    <n v="23527"/>
    <n v="112"/>
    <m/>
    <m/>
    <n v="13357"/>
    <n v="3048"/>
    <n v="734"/>
    <n v="4319"/>
    <n v="3402"/>
    <n v="983"/>
    <n v="60"/>
    <n v="473"/>
    <n v="9"/>
    <n v="1373"/>
    <n v="317"/>
    <n v="1435"/>
    <n v="835"/>
    <n v="4572"/>
    <n v="1004"/>
    <n v="38"/>
    <n v="2567"/>
    <n v="750"/>
    <n v="56"/>
    <n v="816"/>
    <n v="3583"/>
    <n v="1002"/>
    <n v="4987"/>
    <m/>
    <m/>
    <n v="1567"/>
    <n v="145"/>
    <n v="204"/>
    <n v="11"/>
    <n v="200"/>
    <n v="65"/>
    <n v="124"/>
    <n v="242"/>
    <n v="19564"/>
    <n v="1931"/>
    <n v="115"/>
    <n v="441"/>
    <n v="46"/>
    <n v="125"/>
    <n v="80"/>
    <m/>
    <n v="24860"/>
    <n v="35"/>
    <n v="12520"/>
    <n v="12305"/>
    <n v="1393"/>
    <n v="1208"/>
    <m/>
    <m/>
    <n v="85"/>
    <n v="205"/>
    <n v="154"/>
    <n v="221"/>
    <n v="373"/>
    <n v="337"/>
    <n v="354"/>
    <n v="614"/>
    <n v="128"/>
    <n v="130"/>
    <m/>
    <n v="45"/>
    <n v="7"/>
    <n v="1390"/>
    <n v="36"/>
    <n v="2"/>
    <n v="1120"/>
    <n v="1"/>
    <n v="83"/>
    <n v="22"/>
    <n v="76"/>
    <n v="196"/>
    <n v="29"/>
    <n v="4"/>
    <m/>
    <n v="1857"/>
    <n v="334"/>
    <m/>
    <n v="0"/>
    <n v="0"/>
    <n v="0"/>
    <n v="0"/>
    <n v="0"/>
    <n v="641"/>
    <n v="1253"/>
    <n v="53"/>
    <n v="351"/>
    <n v="303"/>
    <n v="133"/>
    <n v="40"/>
    <n v="442"/>
    <n v="4"/>
    <n v="484"/>
    <n v="123"/>
    <n v="194"/>
    <n v="132"/>
    <n v="211"/>
    <n v="39"/>
    <n v="28"/>
    <n v="38"/>
    <n v="9"/>
    <n v="34"/>
    <n v="463"/>
    <n v="55"/>
    <n v="146"/>
    <n v="7"/>
    <n v="19"/>
    <m/>
    <n v="158"/>
    <n v="11"/>
    <n v="137"/>
    <n v="10"/>
    <n v="4"/>
    <n v="103"/>
    <n v="7"/>
    <n v="2107"/>
    <n v="28"/>
    <n v="6"/>
    <n v="8"/>
    <n v="7"/>
    <n v="7"/>
    <n v="7"/>
    <n v="1"/>
    <m/>
    <n v="2601"/>
    <n v="6"/>
    <n v="1543"/>
    <n v="1052"/>
    <n v="2011"/>
  </r>
  <r>
    <n v="106450936"/>
    <s v="450936"/>
    <x v="291"/>
    <s v="HWY. 299-E, P O BOX 459"/>
    <s v="FALL RIVER MILLS"/>
    <n v="96028"/>
    <x v="3"/>
    <x v="0"/>
    <x v="7"/>
    <x v="3"/>
    <s v="190"/>
    <m/>
    <s v="01 - Northern California"/>
    <x v="43"/>
    <s v="General Acute Care"/>
    <s v="District"/>
    <s v="General Medical / Surgical"/>
    <n v="22"/>
    <x v="2"/>
    <n v="2037"/>
    <n v="1713"/>
    <m/>
    <m/>
    <n v="388"/>
    <n v="420"/>
    <n v="468"/>
    <n v="381"/>
    <n v="438"/>
    <n v="460"/>
    <n v="404"/>
    <n v="416"/>
    <n v="300"/>
    <n v="75"/>
    <m/>
    <n v="10"/>
    <n v="6"/>
    <n v="301"/>
    <n v="284"/>
    <m/>
    <n v="7"/>
    <n v="3142"/>
    <n v="190"/>
    <n v="31"/>
    <n v="7"/>
    <n v="8"/>
    <m/>
    <m/>
    <m/>
    <n v="1"/>
    <m/>
    <m/>
    <m/>
    <n v="3511"/>
    <n v="2"/>
    <m/>
    <m/>
    <n v="1199"/>
    <n v="1096"/>
    <n v="106"/>
    <n v="947"/>
    <n v="402"/>
    <n v="151"/>
    <n v="19"/>
    <n v="169"/>
    <n v="2"/>
    <n v="271"/>
    <n v="102"/>
    <n v="130"/>
    <n v="90"/>
    <n v="1010"/>
    <n v="244"/>
    <n v="13"/>
    <n v="236"/>
    <n v="63"/>
    <n v="5"/>
    <n v="111"/>
    <n v="379"/>
    <n v="162"/>
    <n v="593"/>
    <m/>
    <m/>
    <n v="300"/>
    <n v="8"/>
    <n v="35"/>
    <n v="4"/>
    <n v="37"/>
    <n v="3"/>
    <n v="21"/>
    <n v="101"/>
    <n v="2549"/>
    <n v="542"/>
    <n v="26"/>
    <n v="89"/>
    <n v="14"/>
    <n v="20"/>
    <n v="1"/>
    <m/>
    <n v="3750"/>
    <n v="1"/>
    <n v="3593"/>
    <n v="156"/>
    <n v="185"/>
    <n v="128"/>
    <m/>
    <m/>
    <n v="6"/>
    <n v="41"/>
    <n v="12"/>
    <n v="20"/>
    <n v="20"/>
    <n v="59"/>
    <n v="68"/>
    <n v="77"/>
    <n v="5"/>
    <n v="5"/>
    <m/>
    <m/>
    <m/>
    <n v="16"/>
    <m/>
    <n v="1"/>
    <n v="279"/>
    <n v="17"/>
    <n v="25"/>
    <n v="4"/>
    <n v="8"/>
    <m/>
    <n v="1"/>
    <m/>
    <m/>
    <n v="225"/>
    <n v="50"/>
    <m/>
    <n v="0"/>
    <n v="0"/>
    <n v="0"/>
    <n v="0"/>
    <n v="0"/>
    <n v="69"/>
    <n v="182"/>
    <m/>
    <n v="51"/>
    <n v="11"/>
    <n v="47"/>
    <n v="2"/>
    <n v="43"/>
    <m/>
    <n v="31"/>
    <n v="18"/>
    <n v="21"/>
    <n v="8"/>
    <n v="19"/>
    <n v="6"/>
    <n v="1"/>
    <n v="5"/>
    <m/>
    <n v="11"/>
    <n v="73"/>
    <n v="12"/>
    <n v="15"/>
    <m/>
    <n v="1"/>
    <m/>
    <n v="14"/>
    <n v="2"/>
    <n v="12"/>
    <n v="2"/>
    <m/>
    <n v="3"/>
    <n v="1"/>
    <n v="267"/>
    <n v="6"/>
    <n v="1"/>
    <n v="2"/>
    <n v="3"/>
    <m/>
    <m/>
    <m/>
    <m/>
    <n v="313"/>
    <m/>
    <n v="306"/>
    <n v="7"/>
    <n v="2011"/>
  </r>
  <r>
    <n v="106450940"/>
    <s v="450940"/>
    <x v="292"/>
    <s v="1100 BUTTE STREET"/>
    <s v="REDDING"/>
    <n v="96001"/>
    <x v="4"/>
    <x v="0"/>
    <x v="7"/>
    <x v="3"/>
    <s v="189.2"/>
    <m/>
    <s v="01 - Northern California"/>
    <x v="43"/>
    <s v="General Acute Care"/>
    <s v="Investor - Limited Liability Company"/>
    <s v="General Medical / Surgical"/>
    <n v="246"/>
    <x v="0"/>
    <n v="15047"/>
    <n v="13301"/>
    <m/>
    <m/>
    <n v="2770"/>
    <n v="3609"/>
    <n v="6648"/>
    <n v="4615"/>
    <n v="4390"/>
    <n v="3258"/>
    <n v="1429"/>
    <n v="654"/>
    <n v="528"/>
    <n v="447"/>
    <m/>
    <n v="201"/>
    <n v="625"/>
    <n v="465"/>
    <n v="166"/>
    <n v="979"/>
    <n v="69"/>
    <n v="25843"/>
    <n v="222"/>
    <n v="1967"/>
    <n v="90"/>
    <n v="18"/>
    <n v="1"/>
    <m/>
    <m/>
    <m/>
    <m/>
    <n v="599"/>
    <n v="26"/>
    <n v="25393"/>
    <n v="32"/>
    <m/>
    <m/>
    <n v="15510"/>
    <n v="3268"/>
    <n v="703"/>
    <n v="4037"/>
    <n v="4830"/>
    <n v="456"/>
    <n v="26"/>
    <n v="378"/>
    <n v="8"/>
    <n v="2369"/>
    <n v="377"/>
    <n v="1381"/>
    <n v="539"/>
    <n v="6974"/>
    <n v="2036"/>
    <n v="26"/>
    <n v="2147"/>
    <n v="937"/>
    <n v="11"/>
    <n v="1623"/>
    <n v="2847"/>
    <n v="1962"/>
    <n v="4250"/>
    <m/>
    <n v="1"/>
    <n v="2076"/>
    <n v="78"/>
    <n v="183"/>
    <n v="17"/>
    <n v="525"/>
    <n v="8"/>
    <n v="143"/>
    <n v="401"/>
    <n v="20362"/>
    <n v="3266"/>
    <n v="256"/>
    <n v="697"/>
    <n v="133"/>
    <n v="150"/>
    <n v="53"/>
    <m/>
    <n v="28348"/>
    <n v="84"/>
    <n v="28168"/>
    <n v="96"/>
    <n v="3537"/>
    <n v="3307"/>
    <m/>
    <m/>
    <n v="91"/>
    <n v="369"/>
    <n v="448"/>
    <n v="868"/>
    <n v="1197"/>
    <n v="1305"/>
    <n v="1204"/>
    <n v="1355"/>
    <m/>
    <n v="7"/>
    <m/>
    <n v="62"/>
    <n v="55"/>
    <n v="117"/>
    <n v="132"/>
    <n v="9"/>
    <n v="6422"/>
    <n v="47"/>
    <n v="220"/>
    <n v="208"/>
    <n v="162"/>
    <n v="376"/>
    <n v="42"/>
    <m/>
    <m/>
    <n v="5068"/>
    <n v="755"/>
    <n v="13"/>
    <n v="0"/>
    <n v="0"/>
    <n v="0"/>
    <n v="0"/>
    <n v="0"/>
    <n v="1662"/>
    <n v="4256"/>
    <n v="54"/>
    <n v="568"/>
    <n v="304"/>
    <n v="9"/>
    <n v="73"/>
    <n v="1426"/>
    <n v="3"/>
    <n v="1229"/>
    <n v="318"/>
    <n v="473"/>
    <n v="541"/>
    <n v="572"/>
    <n v="159"/>
    <n v="117"/>
    <n v="321"/>
    <n v="1"/>
    <n v="90"/>
    <n v="882"/>
    <n v="213"/>
    <n v="417"/>
    <m/>
    <m/>
    <m/>
    <n v="321"/>
    <n v="59"/>
    <n v="246"/>
    <n v="7"/>
    <n v="25"/>
    <n v="198"/>
    <n v="32"/>
    <n v="5714"/>
    <n v="82"/>
    <n v="10"/>
    <n v="36"/>
    <n v="61"/>
    <n v="7"/>
    <n v="45"/>
    <n v="1"/>
    <m/>
    <n v="6844"/>
    <n v="28"/>
    <n v="6775"/>
    <n v="41"/>
    <n v="2011"/>
  </r>
  <r>
    <n v="106450949"/>
    <s v="450949"/>
    <x v="293"/>
    <s v="2175 ROSALINE AVENUE"/>
    <s v="REDDING"/>
    <n v="96001"/>
    <x v="2"/>
    <x v="0"/>
    <x v="7"/>
    <x v="3"/>
    <s v="189.2"/>
    <m/>
    <s v="01 - Northern California"/>
    <x v="43"/>
    <s v="General Acute Care"/>
    <s v="Non-Profit Corporation (incl. Church-related)"/>
    <s v="General Medical / Surgical"/>
    <n v="266"/>
    <x v="0"/>
    <n v="21600"/>
    <n v="17502"/>
    <n v="5"/>
    <n v="1"/>
    <n v="4973"/>
    <n v="4248"/>
    <n v="6808"/>
    <n v="4804"/>
    <n v="4560"/>
    <n v="4484"/>
    <n v="2957"/>
    <n v="2415"/>
    <n v="2501"/>
    <n v="1358"/>
    <m/>
    <n v="472"/>
    <n v="690"/>
    <n v="1652"/>
    <n v="656"/>
    <n v="426"/>
    <m/>
    <n v="35212"/>
    <n v="202"/>
    <n v="923"/>
    <n v="2"/>
    <n v="83"/>
    <n v="125"/>
    <n v="23"/>
    <n v="18"/>
    <n v="13"/>
    <n v="64"/>
    <n v="156"/>
    <n v="269"/>
    <n v="36934"/>
    <n v="294"/>
    <n v="1"/>
    <n v="1"/>
    <n v="15612"/>
    <n v="8191"/>
    <n v="834"/>
    <n v="8672"/>
    <n v="5799"/>
    <n v="1165"/>
    <n v="92"/>
    <n v="1089"/>
    <n v="13"/>
    <n v="2636"/>
    <n v="636"/>
    <n v="1936"/>
    <n v="861"/>
    <n v="8816"/>
    <n v="1831"/>
    <n v="64"/>
    <n v="3484"/>
    <n v="1270"/>
    <n v="84"/>
    <n v="1242"/>
    <n v="4061"/>
    <n v="1995"/>
    <n v="7833"/>
    <m/>
    <m/>
    <n v="2929"/>
    <n v="252"/>
    <n v="404"/>
    <n v="35"/>
    <n v="405"/>
    <n v="58"/>
    <n v="244"/>
    <n v="398"/>
    <n v="29302"/>
    <n v="3258"/>
    <n v="323"/>
    <n v="1082"/>
    <n v="213"/>
    <n v="180"/>
    <n v="25"/>
    <m/>
    <n v="39108"/>
    <n v="152"/>
    <n v="38725"/>
    <n v="231"/>
    <n v="3566"/>
    <n v="3526"/>
    <m/>
    <m/>
    <n v="208"/>
    <n v="429"/>
    <n v="396"/>
    <n v="585"/>
    <n v="986"/>
    <n v="1250"/>
    <n v="1247"/>
    <n v="1473"/>
    <n v="196"/>
    <n v="322"/>
    <m/>
    <n v="59"/>
    <n v="81"/>
    <n v="175"/>
    <n v="64"/>
    <n v="57"/>
    <n v="6554"/>
    <n v="102"/>
    <n v="85"/>
    <n v="63"/>
    <n v="302"/>
    <n v="1066"/>
    <n v="3"/>
    <n v="8"/>
    <n v="79"/>
    <n v="4191"/>
    <n v="1289"/>
    <n v="6"/>
    <n v="0"/>
    <n v="0"/>
    <n v="0"/>
    <n v="0"/>
    <n v="0"/>
    <n v="1167"/>
    <n v="3920"/>
    <n v="130"/>
    <n v="1110"/>
    <n v="765"/>
    <n v="85"/>
    <n v="82"/>
    <n v="1390"/>
    <n v="5"/>
    <n v="1002"/>
    <n v="326"/>
    <n v="408"/>
    <n v="481"/>
    <n v="1310"/>
    <n v="114"/>
    <n v="155"/>
    <n v="143"/>
    <n v="2"/>
    <n v="48"/>
    <n v="1176"/>
    <n v="171"/>
    <n v="169"/>
    <m/>
    <n v="25"/>
    <m/>
    <n v="554"/>
    <n v="100"/>
    <n v="455"/>
    <n v="39"/>
    <n v="35"/>
    <n v="323"/>
    <n v="34"/>
    <n v="4965"/>
    <n v="137"/>
    <n v="51"/>
    <n v="273"/>
    <n v="61"/>
    <n v="47"/>
    <n v="18"/>
    <m/>
    <m/>
    <n v="7092"/>
    <n v="28"/>
    <n v="7022"/>
    <n v="42"/>
    <n v="2011"/>
  </r>
  <r>
    <n v="106470871"/>
    <s v="470871"/>
    <x v="294"/>
    <s v="914 PINE STREET, BOX 239"/>
    <s v="MOUNT SHASTA"/>
    <n v="96067"/>
    <x v="4"/>
    <x v="0"/>
    <x v="7"/>
    <x v="3"/>
    <s v="197"/>
    <m/>
    <s v="01 - Northern California"/>
    <x v="44"/>
    <s v="General Acute Care"/>
    <s v="Non-Profit Corporation (incl. Church-related)"/>
    <s v="General Medical / Surgical"/>
    <n v="33"/>
    <x v="0"/>
    <n v="3747"/>
    <n v="3392"/>
    <m/>
    <m/>
    <n v="654"/>
    <n v="783"/>
    <n v="1015"/>
    <n v="773"/>
    <n v="894"/>
    <n v="1053"/>
    <n v="712"/>
    <n v="514"/>
    <n v="603"/>
    <n v="138"/>
    <m/>
    <n v="29"/>
    <n v="231"/>
    <n v="229"/>
    <n v="76"/>
    <n v="335"/>
    <m/>
    <n v="6239"/>
    <n v="159"/>
    <n v="80"/>
    <n v="1"/>
    <n v="15"/>
    <n v="9"/>
    <n v="11"/>
    <m/>
    <m/>
    <n v="84"/>
    <n v="39"/>
    <n v="1"/>
    <n v="6696"/>
    <n v="40"/>
    <n v="4"/>
    <m/>
    <n v="2064"/>
    <n v="1894"/>
    <n v="268"/>
    <n v="1791"/>
    <n v="1122"/>
    <n v="106"/>
    <n v="16"/>
    <n v="230"/>
    <n v="1"/>
    <n v="399"/>
    <n v="105"/>
    <n v="285"/>
    <n v="132"/>
    <n v="1906"/>
    <n v="450"/>
    <n v="18"/>
    <n v="409"/>
    <n v="236"/>
    <n v="5"/>
    <n v="271"/>
    <n v="586"/>
    <n v="308"/>
    <n v="1675"/>
    <m/>
    <n v="1"/>
    <n v="685"/>
    <n v="38"/>
    <n v="91"/>
    <n v="8"/>
    <n v="67"/>
    <n v="10"/>
    <n v="15"/>
    <n v="96"/>
    <n v="5070"/>
    <n v="782"/>
    <n v="55"/>
    <n v="184"/>
    <n v="13"/>
    <n v="19"/>
    <n v="6"/>
    <m/>
    <n v="7139"/>
    <n v="9"/>
    <n v="7087"/>
    <n v="43"/>
    <n v="408"/>
    <n v="331"/>
    <m/>
    <m/>
    <n v="24"/>
    <n v="40"/>
    <n v="43"/>
    <n v="69"/>
    <n v="136"/>
    <n v="123"/>
    <n v="112"/>
    <n v="165"/>
    <n v="6"/>
    <n v="21"/>
    <m/>
    <n v="2"/>
    <n v="23"/>
    <n v="15"/>
    <n v="21"/>
    <n v="7"/>
    <n v="666"/>
    <n v="5"/>
    <n v="42"/>
    <m/>
    <n v="23"/>
    <n v="34"/>
    <m/>
    <n v="2"/>
    <m/>
    <n v="576"/>
    <n v="62"/>
    <m/>
    <n v="0"/>
    <n v="0"/>
    <n v="0"/>
    <n v="0"/>
    <n v="0"/>
    <n v="105"/>
    <n v="387"/>
    <n v="13"/>
    <n v="144"/>
    <n v="90"/>
    <n v="8"/>
    <n v="13"/>
    <n v="107"/>
    <m/>
    <n v="136"/>
    <n v="20"/>
    <n v="43"/>
    <n v="47"/>
    <n v="121"/>
    <n v="5"/>
    <n v="10"/>
    <n v="11"/>
    <m/>
    <n v="11"/>
    <n v="154"/>
    <n v="17"/>
    <n v="36"/>
    <m/>
    <m/>
    <m/>
    <n v="58"/>
    <n v="26"/>
    <n v="32"/>
    <n v="4"/>
    <n v="1"/>
    <n v="7"/>
    <n v="1"/>
    <n v="557"/>
    <n v="13"/>
    <n v="1"/>
    <n v="19"/>
    <n v="15"/>
    <n v="1"/>
    <n v="4"/>
    <m/>
    <m/>
    <n v="739"/>
    <n v="1"/>
    <n v="736"/>
    <n v="2"/>
    <n v="2011"/>
  </r>
  <r>
    <n v="106474007"/>
    <s v="474007"/>
    <x v="295"/>
    <s v="444 BRUCE STREET"/>
    <s v="YREKA"/>
    <n v="96097"/>
    <x v="4"/>
    <x v="0"/>
    <x v="7"/>
    <x v="3"/>
    <s v="195"/>
    <m/>
    <s v="01 - Northern California"/>
    <x v="44"/>
    <s v="General Acute Care"/>
    <s v="Non-Profit Corporation (incl. Church-related)"/>
    <s v="General Medical / Surgical"/>
    <n v="28"/>
    <x v="0"/>
    <n v="5957"/>
    <n v="5091"/>
    <m/>
    <m/>
    <n v="1140"/>
    <n v="1105"/>
    <n v="1711"/>
    <n v="1212"/>
    <n v="1328"/>
    <n v="1408"/>
    <n v="1147"/>
    <n v="839"/>
    <n v="932"/>
    <n v="226"/>
    <m/>
    <n v="80"/>
    <n v="124"/>
    <n v="686"/>
    <n v="705"/>
    <n v="65"/>
    <n v="106"/>
    <n v="9282"/>
    <n v="679"/>
    <n v="35"/>
    <m/>
    <n v="18"/>
    <m/>
    <n v="1"/>
    <m/>
    <n v="1"/>
    <m/>
    <n v="69"/>
    <m/>
    <n v="10244"/>
    <n v="1"/>
    <m/>
    <m/>
    <n v="4251"/>
    <n v="3228"/>
    <n v="797"/>
    <n v="1462"/>
    <n v="1310"/>
    <n v="107"/>
    <n v="20"/>
    <n v="384"/>
    <n v="2"/>
    <n v="989"/>
    <n v="194"/>
    <n v="532"/>
    <n v="213"/>
    <n v="2977"/>
    <n v="601"/>
    <n v="21"/>
    <n v="618"/>
    <n v="304"/>
    <n v="1"/>
    <n v="541"/>
    <n v="1286"/>
    <n v="476"/>
    <n v="1782"/>
    <m/>
    <m/>
    <n v="977"/>
    <n v="59"/>
    <n v="129"/>
    <n v="10"/>
    <n v="122"/>
    <n v="9"/>
    <n v="82"/>
    <n v="174"/>
    <n v="7716"/>
    <n v="1377"/>
    <n v="66"/>
    <n v="209"/>
    <n v="40"/>
    <n v="69"/>
    <n v="9"/>
    <m/>
    <n v="11048"/>
    <n v="38"/>
    <n v="10933"/>
    <n v="77"/>
    <n v="500"/>
    <n v="479"/>
    <m/>
    <m/>
    <n v="30"/>
    <n v="37"/>
    <n v="47"/>
    <n v="80"/>
    <n v="157"/>
    <n v="191"/>
    <n v="166"/>
    <n v="242"/>
    <n v="13"/>
    <n v="16"/>
    <m/>
    <n v="3"/>
    <n v="9"/>
    <n v="38"/>
    <n v="3"/>
    <n v="2"/>
    <n v="854"/>
    <n v="70"/>
    <n v="52"/>
    <n v="10"/>
    <n v="14"/>
    <n v="72"/>
    <n v="19"/>
    <n v="7"/>
    <m/>
    <n v="737"/>
    <n v="68"/>
    <m/>
    <n v="0"/>
    <n v="0"/>
    <n v="0"/>
    <n v="0"/>
    <n v="0"/>
    <n v="202"/>
    <n v="578"/>
    <n v="39"/>
    <n v="89"/>
    <n v="71"/>
    <n v="6"/>
    <n v="7"/>
    <n v="133"/>
    <m/>
    <n v="203"/>
    <n v="36"/>
    <n v="39"/>
    <n v="47"/>
    <n v="123"/>
    <n v="23"/>
    <n v="10"/>
    <n v="16"/>
    <m/>
    <n v="12"/>
    <n v="194"/>
    <n v="17"/>
    <n v="113"/>
    <m/>
    <m/>
    <m/>
    <n v="81"/>
    <n v="5"/>
    <n v="38"/>
    <n v="2"/>
    <n v="4"/>
    <n v="24"/>
    <n v="4"/>
    <n v="755"/>
    <n v="18"/>
    <n v="4"/>
    <n v="10"/>
    <n v="25"/>
    <m/>
    <n v="8"/>
    <n v="1"/>
    <m/>
    <n v="979"/>
    <n v="2"/>
    <n v="970"/>
    <n v="7"/>
    <n v="2011"/>
  </r>
  <r>
    <n v="106480989"/>
    <s v="480989"/>
    <x v="296"/>
    <s v="975 SERENO DRIVE"/>
    <s v="VALLEJO"/>
    <n v="94590"/>
    <x v="0"/>
    <x v="0"/>
    <x v="46"/>
    <x v="7"/>
    <s v="204"/>
    <m/>
    <s v="03 - North Bay"/>
    <x v="45"/>
    <s v="General Acute Care"/>
    <s v="Non-Profit Corporation (incl. Church-related)"/>
    <s v="General Medical / Surgical"/>
    <n v="248"/>
    <x v="0"/>
    <n v="20449"/>
    <n v="16591"/>
    <n v="1"/>
    <m/>
    <n v="3895"/>
    <n v="4213"/>
    <n v="4962"/>
    <n v="4251"/>
    <n v="4643"/>
    <n v="5031"/>
    <n v="3728"/>
    <n v="2699"/>
    <n v="2970"/>
    <n v="649"/>
    <m/>
    <n v="5020"/>
    <n v="10170"/>
    <n v="5679"/>
    <n v="161"/>
    <n v="612"/>
    <n v="362"/>
    <n v="15037"/>
    <n v="194"/>
    <n v="361"/>
    <n v="9"/>
    <n v="53"/>
    <n v="95"/>
    <n v="41"/>
    <n v="6"/>
    <n v="1"/>
    <n v="20"/>
    <n v="238"/>
    <n v="5"/>
    <n v="35701"/>
    <n v="85"/>
    <n v="201"/>
    <n v="31"/>
    <n v="5604"/>
    <n v="7481"/>
    <n v="108"/>
    <n v="19283"/>
    <n v="4565"/>
    <n v="583"/>
    <n v="237"/>
    <n v="1427"/>
    <n v="13"/>
    <n v="1980"/>
    <n v="899"/>
    <n v="1702"/>
    <n v="694"/>
    <n v="9181"/>
    <n v="2058"/>
    <n v="98"/>
    <n v="2247"/>
    <n v="967"/>
    <n v="36"/>
    <n v="1447"/>
    <n v="3371"/>
    <n v="1310"/>
    <n v="8791"/>
    <m/>
    <m/>
    <n v="2744"/>
    <n v="137"/>
    <n v="395"/>
    <n v="24"/>
    <n v="347"/>
    <n v="67"/>
    <n v="181"/>
    <n v="366"/>
    <n v="26884"/>
    <n v="4282"/>
    <n v="139"/>
    <n v="1146"/>
    <n v="97"/>
    <n v="178"/>
    <n v="54"/>
    <m/>
    <n v="37041"/>
    <n v="347"/>
    <n v="35192"/>
    <n v="1502"/>
    <n v="2552"/>
    <n v="2343"/>
    <n v="1"/>
    <m/>
    <n v="60"/>
    <n v="213"/>
    <n v="244"/>
    <n v="472"/>
    <n v="701"/>
    <n v="909"/>
    <n v="1007"/>
    <n v="1284"/>
    <n v="2"/>
    <n v="4"/>
    <m/>
    <n v="725"/>
    <n v="974"/>
    <n v="423"/>
    <n v="33"/>
    <n v="8"/>
    <n v="2714"/>
    <n v="19"/>
    <n v="232"/>
    <n v="70"/>
    <n v="175"/>
    <n v="979"/>
    <n v="73"/>
    <n v="5"/>
    <n v="85"/>
    <n v="2645"/>
    <n v="631"/>
    <n v="1"/>
    <n v="0"/>
    <n v="0"/>
    <n v="0"/>
    <n v="0"/>
    <n v="0"/>
    <n v="320"/>
    <n v="2900"/>
    <n v="12"/>
    <n v="1521"/>
    <n v="143"/>
    <n v="36"/>
    <n v="68"/>
    <n v="1028"/>
    <m/>
    <n v="848"/>
    <n v="204"/>
    <n v="240"/>
    <n v="683"/>
    <n v="464"/>
    <n v="79"/>
    <n v="109"/>
    <n v="95"/>
    <n v="6"/>
    <n v="81"/>
    <n v="602"/>
    <n v="92"/>
    <n v="260"/>
    <m/>
    <n v="1"/>
    <m/>
    <n v="274"/>
    <n v="17"/>
    <n v="544"/>
    <n v="12"/>
    <n v="25"/>
    <n v="215"/>
    <n v="12"/>
    <n v="3636"/>
    <n v="91"/>
    <n v="5"/>
    <n v="29"/>
    <n v="17"/>
    <n v="12"/>
    <n v="6"/>
    <n v="1"/>
    <m/>
    <n v="4896"/>
    <n v="97"/>
    <n v="4692"/>
    <n v="107"/>
    <n v="2011"/>
  </r>
  <r>
    <n v="106481094"/>
    <s v="481094"/>
    <x v="297"/>
    <s v="300 HOSPITAL DRIVE"/>
    <s v="VALLEJO"/>
    <n v="94590"/>
    <x v="0"/>
    <x v="0"/>
    <x v="46"/>
    <x v="7"/>
    <s v="204"/>
    <m/>
    <s v="03 - North Bay"/>
    <x v="45"/>
    <s v="General Acute Care"/>
    <s v="Non-Profit Corporation (incl. Church-related)"/>
    <s v="General Medical / Surgical"/>
    <n v="102"/>
    <x v="0"/>
    <n v="18213"/>
    <n v="13820"/>
    <n v="2"/>
    <m/>
    <n v="3688"/>
    <n v="2938"/>
    <n v="5809"/>
    <n v="4436"/>
    <n v="4821"/>
    <n v="4561"/>
    <n v="2424"/>
    <n v="1343"/>
    <n v="1102"/>
    <n v="913"/>
    <m/>
    <n v="3340"/>
    <n v="12147"/>
    <n v="5649"/>
    <n v="85"/>
    <n v="982"/>
    <n v="37"/>
    <n v="9795"/>
    <n v="400"/>
    <n v="403"/>
    <m/>
    <n v="31"/>
    <m/>
    <n v="1"/>
    <m/>
    <n v="16"/>
    <m/>
    <n v="236"/>
    <n v="146"/>
    <n v="30802"/>
    <m/>
    <m/>
    <m/>
    <n v="14997"/>
    <n v="5280"/>
    <n v="823"/>
    <n v="5058"/>
    <n v="5877"/>
    <n v="845"/>
    <n v="145"/>
    <n v="780"/>
    <n v="10"/>
    <n v="1880"/>
    <n v="700"/>
    <n v="2050"/>
    <n v="757"/>
    <n v="6744"/>
    <n v="1822"/>
    <n v="97"/>
    <n v="2179"/>
    <n v="887"/>
    <n v="53"/>
    <n v="1216"/>
    <n v="4158"/>
    <n v="1717"/>
    <n v="5995"/>
    <m/>
    <m/>
    <n v="1843"/>
    <n v="195"/>
    <n v="156"/>
    <n v="20"/>
    <n v="574"/>
    <n v="20"/>
    <n v="101"/>
    <n v="284"/>
    <n v="24739"/>
    <n v="2881"/>
    <n v="124"/>
    <n v="851"/>
    <n v="78"/>
    <n v="157"/>
    <n v="12"/>
    <m/>
    <n v="32035"/>
    <n v="744"/>
    <n v="29146"/>
    <n v="2145"/>
    <n v="1868"/>
    <n v="1454"/>
    <m/>
    <m/>
    <n v="36"/>
    <n v="197"/>
    <n v="250"/>
    <n v="433"/>
    <n v="738"/>
    <n v="592"/>
    <n v="475"/>
    <n v="597"/>
    <n v="2"/>
    <n v="2"/>
    <m/>
    <n v="577"/>
    <n v="993"/>
    <n v="395"/>
    <n v="72"/>
    <n v="9"/>
    <n v="1274"/>
    <n v="2"/>
    <n v="190"/>
    <n v="77"/>
    <n v="90"/>
    <n v="510"/>
    <n v="23"/>
    <n v="42"/>
    <n v="40"/>
    <n v="1804"/>
    <n v="546"/>
    <m/>
    <n v="0"/>
    <n v="0"/>
    <n v="0"/>
    <n v="0"/>
    <n v="0"/>
    <n v="767"/>
    <n v="1598"/>
    <n v="33"/>
    <n v="405"/>
    <n v="519"/>
    <n v="48"/>
    <n v="61"/>
    <n v="554"/>
    <n v="1"/>
    <n v="598"/>
    <n v="184"/>
    <n v="215"/>
    <n v="387"/>
    <n v="279"/>
    <n v="62"/>
    <n v="85"/>
    <n v="78"/>
    <n v="4"/>
    <n v="51"/>
    <n v="394"/>
    <n v="116"/>
    <n v="203"/>
    <m/>
    <n v="2"/>
    <m/>
    <n v="156"/>
    <n v="24"/>
    <n v="272"/>
    <n v="8"/>
    <n v="6"/>
    <n v="103"/>
    <n v="7"/>
    <n v="2672"/>
    <n v="35"/>
    <n v="4"/>
    <n v="6"/>
    <n v="16"/>
    <n v="5"/>
    <n v="8"/>
    <m/>
    <m/>
    <n v="3322"/>
    <n v="198"/>
    <n v="2965"/>
    <n v="159"/>
    <n v="2011"/>
  </r>
  <r>
    <n v="106481357"/>
    <s v="481357"/>
    <x v="298"/>
    <s v="1200 B. GALE WILSON BLVD."/>
    <s v="FAIRFIELD"/>
    <n v="94533"/>
    <x v="4"/>
    <x v="0"/>
    <x v="77"/>
    <x v="37"/>
    <s v="202b"/>
    <m/>
    <s v="03 - North Bay"/>
    <x v="45"/>
    <s v="General Acute Care"/>
    <s v="Non-Profit Corporation (incl. Church-related)"/>
    <s v="General Medical / Surgical"/>
    <n v="130"/>
    <x v="0"/>
    <n v="19396"/>
    <n v="14799"/>
    <m/>
    <n v="1"/>
    <n v="4539"/>
    <n v="3311"/>
    <n v="6736"/>
    <n v="5232"/>
    <n v="5141"/>
    <n v="3948"/>
    <n v="1912"/>
    <n v="1172"/>
    <n v="1055"/>
    <n v="1150"/>
    <m/>
    <n v="1824"/>
    <n v="10335"/>
    <n v="7894"/>
    <n v="113"/>
    <n v="943"/>
    <n v="43"/>
    <n v="13044"/>
    <n v="542"/>
    <n v="524"/>
    <n v="38"/>
    <n v="74"/>
    <n v="14"/>
    <n v="2"/>
    <n v="2"/>
    <n v="70"/>
    <n v="326"/>
    <n v="234"/>
    <n v="8"/>
    <n v="32235"/>
    <n v="124"/>
    <n v="3"/>
    <m/>
    <n v="17438"/>
    <n v="5221"/>
    <n v="809"/>
    <n v="4660"/>
    <n v="6068"/>
    <n v="827"/>
    <n v="202"/>
    <n v="799"/>
    <n v="6"/>
    <n v="1775"/>
    <n v="568"/>
    <n v="1887"/>
    <n v="806"/>
    <n v="6572"/>
    <n v="2550"/>
    <n v="61"/>
    <n v="2113"/>
    <n v="795"/>
    <n v="57"/>
    <n v="1295"/>
    <n v="4183"/>
    <n v="1548"/>
    <n v="8150"/>
    <n v="2"/>
    <m/>
    <n v="1826"/>
    <n v="108"/>
    <n v="232"/>
    <n v="15"/>
    <n v="521"/>
    <n v="16"/>
    <n v="157"/>
    <n v="297"/>
    <n v="26906"/>
    <n v="2902"/>
    <n v="142"/>
    <n v="787"/>
    <n v="84"/>
    <n v="167"/>
    <n v="36"/>
    <m/>
    <n v="34196"/>
    <n v="721"/>
    <n v="29870"/>
    <n v="3605"/>
    <n v="1967"/>
    <n v="1647"/>
    <m/>
    <m/>
    <n v="71"/>
    <n v="237"/>
    <n v="261"/>
    <n v="405"/>
    <n v="615"/>
    <n v="584"/>
    <n v="595"/>
    <n v="792"/>
    <n v="17"/>
    <n v="37"/>
    <m/>
    <n v="403"/>
    <n v="766"/>
    <n v="529"/>
    <n v="107"/>
    <n v="5"/>
    <n v="1783"/>
    <n v="21"/>
    <n v="115"/>
    <n v="70"/>
    <n v="136"/>
    <n v="360"/>
    <n v="16"/>
    <n v="2"/>
    <n v="10"/>
    <n v="2388"/>
    <n v="493"/>
    <n v="24"/>
    <n v="0"/>
    <n v="0"/>
    <n v="0"/>
    <n v="0"/>
    <n v="0"/>
    <n v="770"/>
    <n v="1912"/>
    <n v="63"/>
    <n v="425"/>
    <n v="444"/>
    <n v="61"/>
    <n v="66"/>
    <n v="779"/>
    <n v="4"/>
    <n v="580"/>
    <n v="182"/>
    <n v="297"/>
    <n v="327"/>
    <n v="325"/>
    <n v="52"/>
    <n v="65"/>
    <n v="43"/>
    <n v="14"/>
    <n v="34"/>
    <n v="488"/>
    <n v="94"/>
    <n v="195"/>
    <n v="2"/>
    <n v="6"/>
    <m/>
    <n v="132"/>
    <n v="41"/>
    <n v="296"/>
    <n v="18"/>
    <n v="12"/>
    <n v="232"/>
    <n v="10"/>
    <n v="2758"/>
    <n v="35"/>
    <n v="7"/>
    <n v="31"/>
    <n v="25"/>
    <n v="6"/>
    <n v="11"/>
    <m/>
    <m/>
    <n v="3614"/>
    <n v="219"/>
    <n v="3104"/>
    <n v="291"/>
    <n v="2011"/>
  </r>
  <r>
    <n v="106484001"/>
    <s v="484001"/>
    <x v="299"/>
    <s v="1000 NUT TREE ROAD"/>
    <s v="VACAVILLE"/>
    <n v="95687"/>
    <x v="0"/>
    <x v="0"/>
    <x v="77"/>
    <x v="37"/>
    <s v="202a"/>
    <m/>
    <s v="03 - North Bay"/>
    <x v="45"/>
    <s v="General Acute Care"/>
    <s v="Non-Profit Corporation (incl. Church-related)"/>
    <s v="General Medical / Surgical"/>
    <n v="50"/>
    <x v="0"/>
    <n v="10742"/>
    <n v="8170"/>
    <m/>
    <n v="2"/>
    <n v="2063"/>
    <n v="1818"/>
    <n v="3571"/>
    <n v="2821"/>
    <n v="2925"/>
    <n v="2303"/>
    <n v="1200"/>
    <n v="883"/>
    <n v="930"/>
    <n v="400"/>
    <m/>
    <n v="519"/>
    <n v="2543"/>
    <n v="3908"/>
    <n v="72"/>
    <n v="283"/>
    <n v="34"/>
    <n v="11555"/>
    <n v="407"/>
    <n v="228"/>
    <n v="17"/>
    <n v="25"/>
    <n v="14"/>
    <n v="1"/>
    <n v="2"/>
    <n v="117"/>
    <n v="168"/>
    <n v="123"/>
    <n v="10"/>
    <n v="17721"/>
    <n v="80"/>
    <n v="1"/>
    <m/>
    <n v="7509"/>
    <n v="3630"/>
    <n v="942"/>
    <n v="4019"/>
    <n v="2814"/>
    <n v="343"/>
    <n v="56"/>
    <n v="436"/>
    <n v="3"/>
    <n v="1018"/>
    <n v="320"/>
    <n v="1124"/>
    <n v="358"/>
    <n v="4049"/>
    <n v="1524"/>
    <n v="28"/>
    <n v="1177"/>
    <n v="327"/>
    <n v="11"/>
    <n v="729"/>
    <n v="1829"/>
    <n v="826"/>
    <n v="4756"/>
    <m/>
    <m/>
    <n v="1236"/>
    <n v="80"/>
    <n v="140"/>
    <n v="6"/>
    <n v="220"/>
    <n v="8"/>
    <n v="114"/>
    <n v="153"/>
    <n v="14430"/>
    <n v="1836"/>
    <n v="98"/>
    <n v="403"/>
    <n v="73"/>
    <n v="96"/>
    <n v="21"/>
    <m/>
    <n v="18914"/>
    <n v="166"/>
    <n v="17743"/>
    <n v="1005"/>
    <n v="1170"/>
    <n v="981"/>
    <m/>
    <n v="1"/>
    <n v="23"/>
    <n v="89"/>
    <n v="136"/>
    <n v="256"/>
    <n v="353"/>
    <n v="332"/>
    <n v="385"/>
    <n v="578"/>
    <m/>
    <m/>
    <m/>
    <n v="91"/>
    <n v="208"/>
    <n v="237"/>
    <n v="23"/>
    <n v="6"/>
    <n v="1577"/>
    <n v="10"/>
    <n v="81"/>
    <n v="28"/>
    <n v="81"/>
    <n v="280"/>
    <n v="8"/>
    <m/>
    <n v="8"/>
    <n v="1298"/>
    <n v="319"/>
    <n v="49"/>
    <n v="0"/>
    <n v="0"/>
    <n v="0"/>
    <n v="0"/>
    <n v="0"/>
    <n v="230"/>
    <n v="1300"/>
    <n v="97"/>
    <n v="302"/>
    <n v="223"/>
    <n v="1"/>
    <n v="39"/>
    <n v="353"/>
    <n v="1"/>
    <n v="381"/>
    <n v="136"/>
    <n v="203"/>
    <n v="207"/>
    <n v="170"/>
    <n v="58"/>
    <n v="29"/>
    <n v="42"/>
    <n v="2"/>
    <n v="26"/>
    <n v="313"/>
    <n v="70"/>
    <n v="121"/>
    <m/>
    <m/>
    <m/>
    <n v="100"/>
    <n v="20"/>
    <n v="207"/>
    <n v="4"/>
    <n v="6"/>
    <n v="121"/>
    <n v="7"/>
    <n v="1621"/>
    <n v="17"/>
    <n v="4"/>
    <n v="8"/>
    <n v="19"/>
    <n v="9"/>
    <n v="9"/>
    <m/>
    <m/>
    <n v="2152"/>
    <n v="38"/>
    <n v="2023"/>
    <n v="91"/>
    <n v="2011"/>
  </r>
  <r>
    <n v="106484044"/>
    <s v="484044"/>
    <x v="300"/>
    <s v="1 QUALITY DRIVE"/>
    <s v="VACAVILLE"/>
    <n v="95688"/>
    <x v="4"/>
    <x v="0"/>
    <x v="77"/>
    <x v="37"/>
    <s v="202a"/>
    <m/>
    <s v="03 - North Bay"/>
    <x v="45"/>
    <s v="General Acute Care"/>
    <s v="Non-Profit Corporation (incl. Church-related)"/>
    <s v="General Medical / Surgical"/>
    <n v="64"/>
    <x v="0"/>
    <n v="16203"/>
    <n v="12421"/>
    <n v="2"/>
    <m/>
    <n v="3408"/>
    <n v="3879"/>
    <n v="3780"/>
    <n v="3424"/>
    <n v="3635"/>
    <n v="3491"/>
    <n v="2615"/>
    <n v="2009"/>
    <n v="1937"/>
    <n v="448"/>
    <m/>
    <n v="2050"/>
    <n v="3873"/>
    <n v="5324"/>
    <n v="108"/>
    <n v="429"/>
    <n v="96"/>
    <n v="16746"/>
    <n v="209"/>
    <n v="147"/>
    <n v="8"/>
    <n v="19"/>
    <n v="24"/>
    <n v="15"/>
    <n v="14"/>
    <m/>
    <n v="9"/>
    <n v="165"/>
    <n v="4"/>
    <n v="27727"/>
    <n v="66"/>
    <n v="196"/>
    <n v="23"/>
    <n v="3015"/>
    <n v="5064"/>
    <n v="125"/>
    <n v="18886"/>
    <n v="1536"/>
    <n v="409"/>
    <n v="100"/>
    <n v="888"/>
    <n v="11"/>
    <n v="1459"/>
    <n v="699"/>
    <n v="1325"/>
    <n v="404"/>
    <n v="7547"/>
    <n v="1671"/>
    <n v="46"/>
    <n v="1912"/>
    <n v="582"/>
    <n v="30"/>
    <n v="841"/>
    <n v="2869"/>
    <n v="1094"/>
    <n v="6735"/>
    <n v="1"/>
    <n v="3"/>
    <n v="2136"/>
    <n v="105"/>
    <n v="252"/>
    <n v="14"/>
    <n v="132"/>
    <n v="18"/>
    <n v="125"/>
    <n v="367"/>
    <n v="20412"/>
    <n v="3930"/>
    <n v="166"/>
    <n v="698"/>
    <n v="84"/>
    <n v="159"/>
    <n v="28"/>
    <m/>
    <n v="28626"/>
    <n v="129"/>
    <n v="27584"/>
    <n v="913"/>
    <n v="1456"/>
    <n v="1221"/>
    <m/>
    <m/>
    <n v="42"/>
    <n v="122"/>
    <n v="107"/>
    <n v="264"/>
    <n v="402"/>
    <n v="554"/>
    <n v="527"/>
    <n v="659"/>
    <m/>
    <m/>
    <m/>
    <n v="189"/>
    <n v="304"/>
    <n v="263"/>
    <n v="25"/>
    <n v="3"/>
    <n v="1886"/>
    <n v="7"/>
    <n v="138"/>
    <n v="11"/>
    <n v="115"/>
    <n v="295"/>
    <n v="40"/>
    <n v="3"/>
    <n v="66"/>
    <n v="1706"/>
    <n v="298"/>
    <n v="5"/>
    <n v="0"/>
    <n v="0"/>
    <n v="0"/>
    <n v="0"/>
    <n v="0"/>
    <n v="101"/>
    <n v="1520"/>
    <n v="13"/>
    <n v="1011"/>
    <n v="32"/>
    <n v="16"/>
    <n v="54"/>
    <n v="474"/>
    <n v="3"/>
    <n v="500"/>
    <n v="113"/>
    <n v="183"/>
    <n v="310"/>
    <n v="283"/>
    <n v="34"/>
    <n v="55"/>
    <n v="27"/>
    <n v="2"/>
    <n v="29"/>
    <n v="390"/>
    <n v="67"/>
    <n v="137"/>
    <m/>
    <m/>
    <m/>
    <n v="163"/>
    <n v="19"/>
    <n v="245"/>
    <n v="1"/>
    <n v="15"/>
    <n v="84"/>
    <n v="7"/>
    <n v="2059"/>
    <n v="44"/>
    <n v="5"/>
    <n v="18"/>
    <n v="12"/>
    <n v="4"/>
    <n v="1"/>
    <m/>
    <m/>
    <n v="2677"/>
    <n v="25"/>
    <n v="2597"/>
    <n v="55"/>
    <n v="2011"/>
  </r>
  <r>
    <n v="106490919"/>
    <s v="490919"/>
    <x v="301"/>
    <s v="3325 CHANATE ROAD"/>
    <s v="SANTA ROSA"/>
    <n v="95404"/>
    <x v="0"/>
    <x v="0"/>
    <x v="46"/>
    <x v="7"/>
    <s v="210.1"/>
    <m/>
    <s v="03 - North Bay"/>
    <x v="46"/>
    <s v="General Acute Care"/>
    <s v="Non-Profit Corporation (incl. Church-related)"/>
    <s v="General Medical / Surgical"/>
    <n v="135"/>
    <x v="0"/>
    <n v="12067"/>
    <n v="10393"/>
    <n v="1"/>
    <m/>
    <n v="2753"/>
    <n v="2153"/>
    <n v="4293"/>
    <n v="3219"/>
    <n v="3084"/>
    <n v="3016"/>
    <n v="1621"/>
    <n v="737"/>
    <n v="731"/>
    <n v="854"/>
    <m/>
    <n v="632"/>
    <n v="800"/>
    <n v="7177"/>
    <n v="476"/>
    <n v="166"/>
    <n v="162"/>
    <n v="13048"/>
    <n v="229"/>
    <n v="169"/>
    <m/>
    <n v="18"/>
    <n v="6"/>
    <n v="1"/>
    <m/>
    <n v="25"/>
    <n v="453"/>
    <n v="269"/>
    <m/>
    <n v="21291"/>
    <m/>
    <m/>
    <m/>
    <n v="10090"/>
    <n v="3091"/>
    <n v="910"/>
    <n v="3806"/>
    <n v="4564"/>
    <n v="921"/>
    <n v="50"/>
    <n v="504"/>
    <n v="4"/>
    <n v="1666"/>
    <n v="248"/>
    <n v="1248"/>
    <n v="478"/>
    <n v="4579"/>
    <n v="1063"/>
    <n v="80"/>
    <n v="1730"/>
    <n v="1087"/>
    <n v="55"/>
    <n v="1656"/>
    <n v="2649"/>
    <n v="1112"/>
    <n v="3331"/>
    <m/>
    <m/>
    <n v="1408"/>
    <n v="71"/>
    <n v="249"/>
    <n v="7"/>
    <n v="333"/>
    <n v="4"/>
    <n v="127"/>
    <n v="195"/>
    <n v="17388"/>
    <n v="1882"/>
    <n v="116"/>
    <n v="328"/>
    <n v="181"/>
    <n v="141"/>
    <n v="31"/>
    <m/>
    <n v="22461"/>
    <n v="333"/>
    <n v="17980"/>
    <n v="4148"/>
    <n v="1047"/>
    <n v="894"/>
    <n v="1"/>
    <m/>
    <n v="33"/>
    <n v="138"/>
    <n v="149"/>
    <n v="236"/>
    <n v="412"/>
    <n v="368"/>
    <n v="234"/>
    <n v="356"/>
    <n v="12"/>
    <n v="4"/>
    <m/>
    <n v="64"/>
    <n v="43"/>
    <n v="292"/>
    <n v="15"/>
    <n v="12"/>
    <n v="1451"/>
    <n v="65"/>
    <n v="71"/>
    <n v="27"/>
    <n v="37"/>
    <n v="352"/>
    <n v="5"/>
    <n v="8"/>
    <n v="2"/>
    <n v="1208"/>
    <n v="221"/>
    <n v="11"/>
    <n v="0"/>
    <n v="0"/>
    <n v="0"/>
    <n v="0"/>
    <n v="0"/>
    <n v="393"/>
    <n v="912"/>
    <n v="70"/>
    <n v="291"/>
    <n v="276"/>
    <n v="38"/>
    <n v="23"/>
    <n v="344"/>
    <n v="1"/>
    <n v="395"/>
    <n v="96"/>
    <n v="133"/>
    <n v="154"/>
    <n v="245"/>
    <n v="30"/>
    <n v="62"/>
    <n v="27"/>
    <n v="3"/>
    <n v="39"/>
    <n v="188"/>
    <n v="83"/>
    <n v="71"/>
    <m/>
    <n v="10"/>
    <m/>
    <n v="121"/>
    <n v="45"/>
    <n v="152"/>
    <n v="4"/>
    <n v="18"/>
    <n v="122"/>
    <n v="5"/>
    <n v="1419"/>
    <n v="27"/>
    <n v="1"/>
    <n v="2"/>
    <n v="21"/>
    <m/>
    <n v="4"/>
    <n v="1"/>
    <m/>
    <n v="1942"/>
    <n v="34"/>
    <n v="1728"/>
    <n v="180"/>
    <n v="2011"/>
  </r>
  <r>
    <n v="106490964"/>
    <s v="490964"/>
    <x v="302"/>
    <s v="1375 UNIVERSITY STREET"/>
    <s v="HEALDSBURG"/>
    <n v="95448"/>
    <x v="0"/>
    <x v="0"/>
    <x v="10"/>
    <x v="7"/>
    <s v="205.1"/>
    <m/>
    <s v="03 - North Bay"/>
    <x v="46"/>
    <s v="General Acute Care"/>
    <s v="District"/>
    <s v="General Medical / Surgical"/>
    <n v="26"/>
    <x v="2"/>
    <n v="4544"/>
    <n v="4405"/>
    <n v="3"/>
    <m/>
    <n v="1126"/>
    <n v="884"/>
    <n v="1400"/>
    <n v="1104"/>
    <n v="1105"/>
    <n v="1053"/>
    <n v="777"/>
    <n v="538"/>
    <n v="731"/>
    <n v="234"/>
    <m/>
    <n v="40"/>
    <n v="60"/>
    <n v="3032"/>
    <n v="69"/>
    <n v="116"/>
    <n v="68"/>
    <n v="5567"/>
    <n v="200"/>
    <n v="34"/>
    <m/>
    <n v="11"/>
    <m/>
    <m/>
    <m/>
    <m/>
    <m/>
    <n v="8"/>
    <m/>
    <n v="8681"/>
    <n v="7"/>
    <n v="11"/>
    <m/>
    <n v="2641"/>
    <n v="2186"/>
    <n v="831"/>
    <n v="2115"/>
    <n v="1179"/>
    <n v="77"/>
    <n v="32"/>
    <n v="198"/>
    <n v="1"/>
    <n v="580"/>
    <n v="123"/>
    <n v="407"/>
    <n v="208"/>
    <n v="2807"/>
    <n v="528"/>
    <n v="20"/>
    <n v="626"/>
    <n v="107"/>
    <n v="3"/>
    <n v="252"/>
    <n v="850"/>
    <n v="436"/>
    <n v="1697"/>
    <m/>
    <m/>
    <n v="726"/>
    <n v="26"/>
    <n v="64"/>
    <n v="4"/>
    <n v="38"/>
    <n v="2"/>
    <n v="46"/>
    <n v="130"/>
    <n v="5951"/>
    <n v="1646"/>
    <n v="78"/>
    <n v="181"/>
    <n v="3"/>
    <n v="50"/>
    <n v="7"/>
    <m/>
    <n v="8952"/>
    <n v="3"/>
    <n v="7016"/>
    <n v="1933"/>
    <n v="399"/>
    <n v="336"/>
    <m/>
    <m/>
    <n v="12"/>
    <n v="24"/>
    <n v="51"/>
    <n v="58"/>
    <n v="71"/>
    <n v="113"/>
    <n v="107"/>
    <n v="297"/>
    <m/>
    <n v="2"/>
    <m/>
    <n v="6"/>
    <n v="11"/>
    <n v="102"/>
    <n v="7"/>
    <n v="1"/>
    <n v="607"/>
    <n v="1"/>
    <n v="52"/>
    <n v="11"/>
    <n v="20"/>
    <n v="71"/>
    <n v="1"/>
    <n v="2"/>
    <n v="69"/>
    <n v="389"/>
    <n v="120"/>
    <m/>
    <n v="0"/>
    <n v="0"/>
    <n v="0"/>
    <n v="0"/>
    <n v="0"/>
    <n v="78"/>
    <n v="478"/>
    <n v="14"/>
    <n v="119"/>
    <n v="46"/>
    <n v="1"/>
    <n v="10"/>
    <n v="126"/>
    <m/>
    <n v="126"/>
    <n v="44"/>
    <n v="36"/>
    <n v="50"/>
    <n v="87"/>
    <n v="20"/>
    <n v="14"/>
    <n v="20"/>
    <n v="2"/>
    <n v="29"/>
    <n v="101"/>
    <n v="20"/>
    <n v="49"/>
    <m/>
    <m/>
    <m/>
    <n v="60"/>
    <n v="7"/>
    <n v="24"/>
    <m/>
    <m/>
    <n v="23"/>
    <n v="3"/>
    <n v="597"/>
    <n v="12"/>
    <n v="3"/>
    <n v="1"/>
    <n v="3"/>
    <n v="1"/>
    <n v="1"/>
    <m/>
    <m/>
    <n v="735"/>
    <m/>
    <n v="684"/>
    <n v="51"/>
    <n v="2011"/>
  </r>
  <r>
    <n v="106491001"/>
    <s v="491001"/>
    <x v="303"/>
    <s v="400 NORTH MC DOWELL BOULEVARD"/>
    <s v="PETALUMA"/>
    <n v="94954"/>
    <x v="0"/>
    <x v="0"/>
    <x v="42"/>
    <x v="25"/>
    <s v="209.1"/>
    <m/>
    <s v="03 - North Bay"/>
    <x v="46"/>
    <s v="General Acute Care"/>
    <s v="Non-Profit Corporation (incl. Church-related)"/>
    <s v="General Medical / Surgical"/>
    <n v="80"/>
    <x v="0"/>
    <n v="6373"/>
    <n v="5994"/>
    <m/>
    <m/>
    <n v="1877"/>
    <n v="1294"/>
    <n v="1817"/>
    <n v="1455"/>
    <n v="1643"/>
    <n v="1496"/>
    <n v="993"/>
    <n v="639"/>
    <n v="788"/>
    <n v="365"/>
    <m/>
    <n v="201"/>
    <n v="214"/>
    <n v="2385"/>
    <n v="15"/>
    <n v="159"/>
    <n v="75"/>
    <n v="9318"/>
    <n v="381"/>
    <n v="90"/>
    <m/>
    <n v="22"/>
    <n v="1"/>
    <m/>
    <m/>
    <m/>
    <n v="42"/>
    <n v="31"/>
    <m/>
    <n v="11742"/>
    <n v="58"/>
    <m/>
    <m/>
    <n v="2916"/>
    <n v="2223"/>
    <n v="1444"/>
    <n v="4066"/>
    <n v="1718"/>
    <n v="160"/>
    <n v="20"/>
    <n v="278"/>
    <m/>
    <n v="506"/>
    <n v="135"/>
    <n v="375"/>
    <n v="326"/>
    <n v="4030"/>
    <n v="599"/>
    <n v="13"/>
    <n v="842"/>
    <n v="264"/>
    <n v="15"/>
    <n v="400"/>
    <n v="1226"/>
    <n v="606"/>
    <n v="2572"/>
    <m/>
    <m/>
    <n v="1365"/>
    <n v="83"/>
    <n v="97"/>
    <n v="17"/>
    <n v="125"/>
    <n v="28"/>
    <n v="92"/>
    <n v="221"/>
    <n v="8024"/>
    <n v="1694"/>
    <n v="120"/>
    <n v="332"/>
    <n v="45"/>
    <n v="106"/>
    <n v="18"/>
    <m/>
    <n v="12367"/>
    <n v="92"/>
    <n v="10552"/>
    <n v="1723"/>
    <n v="1074"/>
    <n v="912"/>
    <m/>
    <m/>
    <n v="30"/>
    <n v="97"/>
    <n v="88"/>
    <n v="184"/>
    <n v="351"/>
    <n v="304"/>
    <n v="334"/>
    <n v="579"/>
    <n v="4"/>
    <n v="15"/>
    <m/>
    <n v="36"/>
    <n v="26"/>
    <n v="191"/>
    <n v="16"/>
    <n v="14"/>
    <n v="1703"/>
    <m/>
    <n v="147"/>
    <n v="24"/>
    <n v="96"/>
    <n v="146"/>
    <n v="24"/>
    <m/>
    <n v="7"/>
    <n v="1180"/>
    <n v="361"/>
    <n v="1"/>
    <n v="0"/>
    <n v="0"/>
    <n v="0"/>
    <n v="0"/>
    <n v="0"/>
    <n v="256"/>
    <n v="1152"/>
    <n v="60"/>
    <n v="279"/>
    <n v="239"/>
    <n v="21"/>
    <n v="42"/>
    <n v="336"/>
    <m/>
    <n v="377"/>
    <n v="114"/>
    <n v="132"/>
    <n v="183"/>
    <n v="212"/>
    <n v="33"/>
    <n v="45"/>
    <n v="27"/>
    <n v="2"/>
    <n v="23"/>
    <n v="265"/>
    <n v="58"/>
    <n v="116"/>
    <m/>
    <m/>
    <m/>
    <n v="160"/>
    <n v="29"/>
    <n v="297"/>
    <n v="1"/>
    <n v="7"/>
    <n v="114"/>
    <n v="9"/>
    <n v="1304"/>
    <n v="34"/>
    <n v="3"/>
    <n v="7"/>
    <n v="13"/>
    <n v="5"/>
    <n v="2"/>
    <n v="1"/>
    <m/>
    <n v="1986"/>
    <n v="25"/>
    <n v="1816"/>
    <n v="145"/>
    <n v="2011"/>
  </r>
  <r>
    <n v="106491064"/>
    <s v="491064"/>
    <x v="304"/>
    <s v="1165 MONTGOMERY DRIVE"/>
    <s v="SANTA ROSA"/>
    <n v="95405"/>
    <x v="2"/>
    <x v="0"/>
    <x v="46"/>
    <x v="7"/>
    <s v="210.1"/>
    <m/>
    <s v="03 - North Bay"/>
    <x v="46"/>
    <s v="General Acute Care"/>
    <s v="Non-Profit Corporation (incl. Church-related)"/>
    <s v="General Medical / Surgical"/>
    <n v="278"/>
    <x v="0"/>
    <n v="13943"/>
    <n v="12860"/>
    <m/>
    <m/>
    <n v="2479"/>
    <n v="2218"/>
    <n v="4344"/>
    <n v="3057"/>
    <n v="3490"/>
    <n v="3691"/>
    <n v="2472"/>
    <n v="1688"/>
    <n v="2668"/>
    <n v="696"/>
    <m/>
    <n v="492"/>
    <n v="961"/>
    <n v="4912"/>
    <n v="82"/>
    <n v="30"/>
    <n v="28"/>
    <n v="20298"/>
    <n v="267"/>
    <n v="309"/>
    <m/>
    <n v="60"/>
    <n v="2"/>
    <n v="2"/>
    <m/>
    <m/>
    <n v="53"/>
    <n v="165"/>
    <m/>
    <n v="25882"/>
    <n v="63"/>
    <m/>
    <m/>
    <n v="6866"/>
    <n v="6878"/>
    <n v="3305"/>
    <n v="6006"/>
    <n v="3748"/>
    <n v="412"/>
    <n v="76"/>
    <n v="753"/>
    <n v="6"/>
    <n v="1536"/>
    <n v="390"/>
    <n v="1462"/>
    <n v="545"/>
    <n v="6731"/>
    <n v="1620"/>
    <n v="49"/>
    <n v="1655"/>
    <n v="529"/>
    <n v="25"/>
    <n v="1366"/>
    <n v="2332"/>
    <n v="1082"/>
    <n v="6234"/>
    <m/>
    <m/>
    <n v="2421"/>
    <n v="149"/>
    <n v="209"/>
    <n v="20"/>
    <n v="389"/>
    <n v="49"/>
    <n v="157"/>
    <n v="246"/>
    <n v="19252"/>
    <n v="2486"/>
    <n v="202"/>
    <n v="953"/>
    <n v="98"/>
    <n v="144"/>
    <n v="27"/>
    <n v="1"/>
    <n v="26803"/>
    <n v="218"/>
    <n v="23155"/>
    <n v="3430"/>
    <n v="3472"/>
    <n v="3448"/>
    <m/>
    <m/>
    <n v="179"/>
    <n v="395"/>
    <n v="394"/>
    <n v="664"/>
    <n v="1039"/>
    <n v="1106"/>
    <n v="1040"/>
    <n v="1875"/>
    <n v="81"/>
    <n v="147"/>
    <m/>
    <n v="148"/>
    <n v="166"/>
    <n v="687"/>
    <n v="7"/>
    <n v="8"/>
    <n v="5886"/>
    <n v="18"/>
    <n v="296"/>
    <n v="96"/>
    <n v="321"/>
    <n v="671"/>
    <n v="200"/>
    <m/>
    <n v="61"/>
    <n v="4082"/>
    <n v="1181"/>
    <n v="12"/>
    <n v="0"/>
    <n v="0"/>
    <n v="0"/>
    <n v="0"/>
    <n v="0"/>
    <n v="949"/>
    <n v="3793"/>
    <n v="206"/>
    <n v="1219"/>
    <n v="753"/>
    <n v="47"/>
    <n v="86"/>
    <n v="1179"/>
    <n v="5"/>
    <n v="1010"/>
    <n v="203"/>
    <n v="297"/>
    <n v="554"/>
    <n v="1698"/>
    <n v="152"/>
    <n v="165"/>
    <n v="176"/>
    <n v="7"/>
    <n v="116"/>
    <n v="794"/>
    <n v="146"/>
    <n v="271"/>
    <m/>
    <n v="14"/>
    <m/>
    <n v="654"/>
    <n v="77"/>
    <n v="754"/>
    <n v="65"/>
    <n v="49"/>
    <n v="479"/>
    <n v="21"/>
    <n v="4123"/>
    <n v="138"/>
    <n v="61"/>
    <n v="374"/>
    <n v="71"/>
    <n v="24"/>
    <n v="29"/>
    <n v="1"/>
    <m/>
    <n v="6920"/>
    <n v="80"/>
    <n v="6335"/>
    <n v="505"/>
    <n v="2011"/>
  </r>
  <r>
    <n v="106491076"/>
    <s v="491076"/>
    <x v="305"/>
    <s v="347 ANDRIEUX STREET"/>
    <s v="SONOMA"/>
    <n v="95476"/>
    <x v="0"/>
    <x v="0"/>
    <x v="42"/>
    <x v="7"/>
    <s v="208"/>
    <m/>
    <s v="03 - North Bay"/>
    <x v="46"/>
    <s v="General Acute Care"/>
    <s v="District"/>
    <s v="General Medical / Surgical"/>
    <n v="56"/>
    <x v="0"/>
    <n v="4410"/>
    <n v="3764"/>
    <n v="1"/>
    <m/>
    <n v="904"/>
    <n v="692"/>
    <n v="1029"/>
    <n v="832"/>
    <n v="888"/>
    <n v="1045"/>
    <n v="970"/>
    <n v="652"/>
    <n v="1000"/>
    <n v="163"/>
    <m/>
    <n v="106"/>
    <n v="103"/>
    <n v="1784"/>
    <n v="14"/>
    <n v="29"/>
    <n v="177"/>
    <n v="5962"/>
    <n v="477"/>
    <n v="34"/>
    <n v="86"/>
    <n v="22"/>
    <n v="5"/>
    <n v="1"/>
    <n v="1"/>
    <n v="57"/>
    <m/>
    <n v="7"/>
    <n v="16"/>
    <n v="7414"/>
    <n v="54"/>
    <m/>
    <n v="1"/>
    <n v="1707"/>
    <n v="2230"/>
    <n v="380"/>
    <n v="2775"/>
    <n v="1083"/>
    <n v="228"/>
    <n v="14"/>
    <n v="283"/>
    <n v="2"/>
    <n v="364"/>
    <n v="131"/>
    <n v="378"/>
    <n v="147"/>
    <n v="2228"/>
    <n v="503"/>
    <n v="21"/>
    <n v="466"/>
    <n v="258"/>
    <n v="15"/>
    <n v="229"/>
    <n v="653"/>
    <n v="348"/>
    <n v="1907"/>
    <m/>
    <m/>
    <n v="893"/>
    <n v="28"/>
    <n v="67"/>
    <n v="3"/>
    <n v="60"/>
    <n v="2"/>
    <n v="35"/>
    <n v="147"/>
    <n v="5725"/>
    <n v="912"/>
    <n v="72"/>
    <n v="152"/>
    <n v="16"/>
    <n v="60"/>
    <n v="3"/>
    <m/>
    <n v="8175"/>
    <n v="57"/>
    <n v="6994"/>
    <n v="1124"/>
    <n v="621"/>
    <n v="539"/>
    <m/>
    <m/>
    <n v="18"/>
    <n v="80"/>
    <n v="55"/>
    <n v="99"/>
    <n v="117"/>
    <n v="174"/>
    <n v="181"/>
    <n v="434"/>
    <m/>
    <n v="2"/>
    <m/>
    <n v="8"/>
    <n v="24"/>
    <n v="135"/>
    <n v="1"/>
    <n v="5"/>
    <n v="986"/>
    <n v="1"/>
    <n v="71"/>
    <n v="5"/>
    <n v="33"/>
    <n v="88"/>
    <n v="7"/>
    <n v="5"/>
    <n v="63"/>
    <n v="519"/>
    <n v="369"/>
    <m/>
    <n v="0"/>
    <n v="0"/>
    <n v="0"/>
    <n v="0"/>
    <n v="0"/>
    <n v="124"/>
    <n v="706"/>
    <n v="37"/>
    <n v="225"/>
    <n v="68"/>
    <n v="14"/>
    <n v="21"/>
    <n v="179"/>
    <m/>
    <n v="192"/>
    <n v="32"/>
    <n v="65"/>
    <n v="190"/>
    <n v="197"/>
    <n v="24"/>
    <n v="14"/>
    <n v="30"/>
    <n v="4"/>
    <n v="12"/>
    <n v="101"/>
    <n v="28"/>
    <n v="57"/>
    <m/>
    <m/>
    <m/>
    <n v="151"/>
    <n v="17"/>
    <n v="109"/>
    <n v="2"/>
    <n v="2"/>
    <n v="37"/>
    <n v="6"/>
    <n v="794"/>
    <n v="22"/>
    <n v="1"/>
    <n v="3"/>
    <n v="7"/>
    <n v="9"/>
    <m/>
    <m/>
    <m/>
    <n v="1160"/>
    <n v="5"/>
    <n v="1059"/>
    <n v="96"/>
    <n v="2011"/>
  </r>
  <r>
    <n v="106491338"/>
    <s v="491338"/>
    <x v="306"/>
    <s v="501 PETALUMA AVENUE"/>
    <s v="SEBASTOPOL"/>
    <n v="95472"/>
    <x v="0"/>
    <x v="0"/>
    <x v="10"/>
    <x v="7"/>
    <s v="210.2"/>
    <m/>
    <s v="03 - North Bay"/>
    <x v="46"/>
    <s v="General Acute Care"/>
    <s v="District"/>
    <s v="General Medical / Surgical"/>
    <n v="37"/>
    <x v="2"/>
    <n v="3664"/>
    <n v="3423"/>
    <m/>
    <m/>
    <n v="479"/>
    <n v="736"/>
    <n v="969"/>
    <n v="860"/>
    <n v="1002"/>
    <n v="1100"/>
    <n v="943"/>
    <n v="460"/>
    <n v="481"/>
    <n v="57"/>
    <m/>
    <n v="69"/>
    <n v="121"/>
    <n v="463"/>
    <n v="20"/>
    <n v="74"/>
    <n v="68"/>
    <n v="6272"/>
    <n v="196"/>
    <n v="37"/>
    <n v="18"/>
    <n v="15"/>
    <m/>
    <m/>
    <m/>
    <m/>
    <n v="4"/>
    <m/>
    <m/>
    <n v="6789"/>
    <n v="28"/>
    <m/>
    <m/>
    <n v="1729"/>
    <n v="1648"/>
    <n v="320"/>
    <n v="2018"/>
    <n v="1372"/>
    <n v="40"/>
    <n v="12"/>
    <n v="207"/>
    <m/>
    <n v="424"/>
    <n v="134"/>
    <n v="332"/>
    <n v="93"/>
    <n v="2308"/>
    <n v="228"/>
    <n v="2"/>
    <n v="854"/>
    <n v="285"/>
    <m/>
    <n v="251"/>
    <n v="567"/>
    <n v="356"/>
    <n v="994"/>
    <m/>
    <m/>
    <n v="787"/>
    <n v="27"/>
    <n v="103"/>
    <n v="10"/>
    <n v="48"/>
    <n v="14"/>
    <n v="98"/>
    <n v="201"/>
    <n v="4416"/>
    <n v="1071"/>
    <n v="99"/>
    <n v="149"/>
    <n v="12"/>
    <n v="48"/>
    <n v="4"/>
    <m/>
    <n v="7087"/>
    <n v="29"/>
    <n v="6760"/>
    <n v="298"/>
    <n v="382"/>
    <n v="375"/>
    <m/>
    <m/>
    <n v="9"/>
    <n v="14"/>
    <n v="36"/>
    <n v="62"/>
    <n v="121"/>
    <n v="182"/>
    <n v="124"/>
    <n v="209"/>
    <m/>
    <m/>
    <m/>
    <n v="6"/>
    <n v="9"/>
    <n v="20"/>
    <n v="2"/>
    <n v="1"/>
    <n v="719"/>
    <m/>
    <n v="33"/>
    <n v="7"/>
    <n v="13"/>
    <n v="43"/>
    <m/>
    <n v="3"/>
    <m/>
    <n v="516"/>
    <n v="142"/>
    <m/>
    <n v="0"/>
    <n v="0"/>
    <n v="0"/>
    <n v="0"/>
    <n v="0"/>
    <n v="59"/>
    <n v="449"/>
    <n v="23"/>
    <n v="135"/>
    <n v="91"/>
    <n v="1"/>
    <n v="4"/>
    <n v="132"/>
    <m/>
    <n v="146"/>
    <n v="37"/>
    <n v="33"/>
    <n v="73"/>
    <n v="109"/>
    <n v="17"/>
    <n v="13"/>
    <n v="37"/>
    <m/>
    <n v="21"/>
    <n v="89"/>
    <n v="21"/>
    <n v="24"/>
    <m/>
    <m/>
    <m/>
    <n v="68"/>
    <n v="12"/>
    <n v="62"/>
    <n v="1"/>
    <n v="9"/>
    <n v="40"/>
    <n v="1"/>
    <n v="532"/>
    <n v="12"/>
    <n v="2"/>
    <n v="2"/>
    <n v="10"/>
    <n v="3"/>
    <n v="3"/>
    <m/>
    <m/>
    <n v="757"/>
    <n v="5"/>
    <n v="741"/>
    <n v="11"/>
    <n v="2011"/>
  </r>
  <r>
    <n v="106494019"/>
    <s v="494019"/>
    <x v="307"/>
    <s v="401 BICENTENNIAL WAY"/>
    <s v="SANTA ROSA"/>
    <n v="95403"/>
    <x v="0"/>
    <x v="1"/>
    <x v="46"/>
    <x v="7"/>
    <s v="210.1"/>
    <m/>
    <s v="03 - North Bay"/>
    <x v="46"/>
    <s v="General Acute Care"/>
    <s v="Non-Profit Corporation (incl. Church-related)"/>
    <s v="General Medical / Surgical"/>
    <n v="173"/>
    <x v="0"/>
    <n v="21277"/>
    <n v="17976"/>
    <n v="2"/>
    <m/>
    <n v="4473"/>
    <n v="4779"/>
    <n v="5017"/>
    <n v="4135"/>
    <n v="4555"/>
    <n v="4882"/>
    <n v="4114"/>
    <n v="2931"/>
    <n v="3632"/>
    <n v="737"/>
    <m/>
    <n v="998"/>
    <n v="1203"/>
    <n v="7563"/>
    <n v="158"/>
    <n v="762"/>
    <n v="477"/>
    <n v="28094"/>
    <n v="229"/>
    <n v="198"/>
    <n v="9"/>
    <n v="36"/>
    <n v="33"/>
    <n v="40"/>
    <n v="25"/>
    <n v="1"/>
    <n v="26"/>
    <n v="394"/>
    <n v="8"/>
    <n v="37954"/>
    <n v="130"/>
    <n v="149"/>
    <n v="23"/>
    <n v="4487"/>
    <n v="9198"/>
    <n v="738"/>
    <n v="22434"/>
    <n v="2398"/>
    <n v="580"/>
    <n v="136"/>
    <n v="1407"/>
    <n v="4"/>
    <n v="1981"/>
    <n v="665"/>
    <n v="2049"/>
    <n v="656"/>
    <n v="11082"/>
    <n v="2112"/>
    <n v="80"/>
    <n v="2452"/>
    <n v="715"/>
    <n v="56"/>
    <n v="1695"/>
    <n v="3130"/>
    <n v="1328"/>
    <n v="9127"/>
    <m/>
    <m/>
    <n v="3571"/>
    <n v="247"/>
    <n v="408"/>
    <n v="18"/>
    <n v="231"/>
    <n v="113"/>
    <n v="194"/>
    <n v="504"/>
    <n v="26644"/>
    <n v="5693"/>
    <n v="304"/>
    <n v="853"/>
    <n v="129"/>
    <n v="311"/>
    <n v="35"/>
    <m/>
    <n v="39255"/>
    <n v="230"/>
    <n v="35812"/>
    <n v="3213"/>
    <n v="2401"/>
    <n v="2118"/>
    <m/>
    <m/>
    <n v="138"/>
    <n v="182"/>
    <n v="230"/>
    <n v="362"/>
    <n v="617"/>
    <n v="798"/>
    <n v="781"/>
    <n v="1275"/>
    <n v="38"/>
    <n v="98"/>
    <m/>
    <n v="144"/>
    <n v="84"/>
    <n v="492"/>
    <n v="23"/>
    <n v="8"/>
    <n v="3742"/>
    <n v="26"/>
    <n v="188"/>
    <n v="27"/>
    <n v="120"/>
    <n v="570"/>
    <n v="44"/>
    <n v="1"/>
    <n v="53"/>
    <n v="2817"/>
    <n v="698"/>
    <n v="1"/>
    <n v="0"/>
    <n v="0"/>
    <n v="0"/>
    <n v="0"/>
    <n v="0"/>
    <n v="219"/>
    <n v="2665"/>
    <n v="13"/>
    <n v="1534"/>
    <n v="88"/>
    <n v="40"/>
    <n v="65"/>
    <n v="799"/>
    <n v="3"/>
    <n v="899"/>
    <n v="231"/>
    <n v="220"/>
    <n v="573"/>
    <n v="514"/>
    <n v="76"/>
    <n v="134"/>
    <n v="133"/>
    <n v="6"/>
    <n v="73"/>
    <n v="484"/>
    <n v="82"/>
    <n v="182"/>
    <m/>
    <n v="5"/>
    <m/>
    <n v="324"/>
    <n v="45"/>
    <n v="435"/>
    <n v="10"/>
    <n v="20"/>
    <n v="305"/>
    <n v="17"/>
    <n v="3218"/>
    <n v="74"/>
    <n v="11"/>
    <n v="12"/>
    <n v="34"/>
    <n v="9"/>
    <n v="2"/>
    <n v="3"/>
    <m/>
    <n v="4519"/>
    <n v="30"/>
    <n v="4293"/>
    <n v="196"/>
    <n v="2011"/>
  </r>
  <r>
    <n v="106500852"/>
    <s v="500852"/>
    <x v="308"/>
    <s v="1441 FLORIDA AVENUE"/>
    <s v="MODESTO"/>
    <n v="95350"/>
    <x v="2"/>
    <x v="0"/>
    <x v="6"/>
    <x v="24"/>
    <s v="215a"/>
    <m/>
    <s v="06 - North San Joaquin"/>
    <x v="47"/>
    <s v="General Acute Care"/>
    <s v="Investor - Corporation"/>
    <s v="General Medical / Surgical"/>
    <n v="394"/>
    <x v="0"/>
    <n v="34102"/>
    <n v="30762"/>
    <m/>
    <m/>
    <n v="9219"/>
    <n v="6469"/>
    <n v="12803"/>
    <n v="9300"/>
    <n v="9516"/>
    <n v="7844"/>
    <n v="3583"/>
    <n v="1928"/>
    <n v="1602"/>
    <n v="2600"/>
    <m/>
    <n v="986"/>
    <n v="3332"/>
    <n v="19869"/>
    <n v="113"/>
    <n v="2822"/>
    <n v="2481"/>
    <n v="35261"/>
    <n v="264"/>
    <n v="1057"/>
    <n v="3"/>
    <n v="129"/>
    <n v="32"/>
    <n v="5"/>
    <n v="7"/>
    <m/>
    <m/>
    <n v="1058"/>
    <n v="40"/>
    <n v="62011"/>
    <n v="258"/>
    <m/>
    <m/>
    <n v="9544"/>
    <n v="7828"/>
    <n v="10525"/>
    <n v="28302"/>
    <n v="8665"/>
    <n v="1959"/>
    <n v="194"/>
    <n v="1390"/>
    <n v="25"/>
    <n v="4180"/>
    <n v="968"/>
    <n v="3735"/>
    <n v="1574"/>
    <n v="12381"/>
    <n v="3777"/>
    <n v="79"/>
    <n v="4746"/>
    <n v="3601"/>
    <n v="118"/>
    <n v="2448"/>
    <n v="7744"/>
    <n v="3212"/>
    <n v="12730"/>
    <n v="1"/>
    <n v="2"/>
    <n v="3712"/>
    <n v="259"/>
    <n v="484"/>
    <n v="22"/>
    <n v="1085"/>
    <n v="234"/>
    <n v="335"/>
    <n v="659"/>
    <n v="51019"/>
    <n v="4333"/>
    <n v="327"/>
    <n v="1617"/>
    <n v="430"/>
    <n v="275"/>
    <n v="73"/>
    <m/>
    <n v="64864"/>
    <n v="306"/>
    <n v="60055"/>
    <n v="4503"/>
    <n v="4430"/>
    <n v="4798"/>
    <m/>
    <m/>
    <n v="273"/>
    <n v="654"/>
    <n v="722"/>
    <n v="1157"/>
    <n v="1740"/>
    <n v="1612"/>
    <n v="1283"/>
    <n v="1320"/>
    <n v="214"/>
    <n v="253"/>
    <m/>
    <n v="204"/>
    <n v="341"/>
    <n v="2136"/>
    <n v="587"/>
    <n v="85"/>
    <n v="5867"/>
    <n v="8"/>
    <n v="225"/>
    <n v="184"/>
    <n v="425"/>
    <n v="608"/>
    <n v="204"/>
    <n v="80"/>
    <n v="84"/>
    <n v="6316"/>
    <n v="1059"/>
    <n v="43"/>
    <n v="0"/>
    <n v="0"/>
    <n v="0"/>
    <n v="0"/>
    <n v="0"/>
    <n v="2084"/>
    <n v="3294"/>
    <n v="903"/>
    <n v="2094"/>
    <n v="853"/>
    <n v="98"/>
    <n v="110"/>
    <n v="1972"/>
    <n v="4"/>
    <n v="1217"/>
    <n v="490"/>
    <n v="509"/>
    <n v="630"/>
    <n v="1523"/>
    <n v="141"/>
    <n v="237"/>
    <n v="184"/>
    <n v="11"/>
    <n v="120"/>
    <n v="1274"/>
    <n v="250"/>
    <n v="400"/>
    <n v="1"/>
    <n v="57"/>
    <m/>
    <n v="565"/>
    <n v="92"/>
    <n v="811"/>
    <n v="158"/>
    <n v="50"/>
    <n v="589"/>
    <n v="29"/>
    <n v="6306"/>
    <n v="142"/>
    <n v="40"/>
    <n v="301"/>
    <n v="96"/>
    <n v="21"/>
    <n v="27"/>
    <n v="1"/>
    <m/>
    <n v="9228"/>
    <n v="60"/>
    <n v="8593"/>
    <n v="575"/>
    <n v="2011"/>
  </r>
  <r>
    <n v="106500867"/>
    <s v="500867"/>
    <x v="309"/>
    <s v="825 DELBON AVENUE"/>
    <s v="TURLOCK"/>
    <n v="95380"/>
    <x v="0"/>
    <x v="0"/>
    <x v="69"/>
    <x v="24"/>
    <s v="212.1"/>
    <m/>
    <s v="06 - North San Joaquin"/>
    <x v="47"/>
    <s v="General Acute Care"/>
    <s v="Non-Profit Corporation (incl. Church-related)"/>
    <s v="General Medical / Surgical"/>
    <n v="209"/>
    <x v="0"/>
    <n v="28819"/>
    <n v="22014"/>
    <n v="2"/>
    <m/>
    <n v="10988"/>
    <n v="7283"/>
    <n v="8723"/>
    <n v="6697"/>
    <n v="5371"/>
    <n v="3895"/>
    <n v="2327"/>
    <n v="1669"/>
    <n v="1550"/>
    <n v="2332"/>
    <m/>
    <n v="367"/>
    <n v="1132"/>
    <n v="23957"/>
    <n v="28"/>
    <n v="3126"/>
    <n v="62"/>
    <n v="22163"/>
    <n v="584"/>
    <n v="1768"/>
    <m/>
    <n v="92"/>
    <n v="5"/>
    <n v="7"/>
    <m/>
    <n v="2"/>
    <n v="1"/>
    <n v="109"/>
    <m/>
    <n v="48231"/>
    <n v="36"/>
    <m/>
    <m/>
    <n v="26153"/>
    <n v="5765"/>
    <n v="1108"/>
    <n v="10222"/>
    <n v="7587"/>
    <n v="1135"/>
    <n v="108"/>
    <n v="693"/>
    <n v="10"/>
    <n v="2303"/>
    <n v="559"/>
    <n v="2771"/>
    <n v="1628"/>
    <n v="9985"/>
    <n v="3103"/>
    <n v="36"/>
    <n v="4651"/>
    <n v="1255"/>
    <n v="31"/>
    <n v="1148"/>
    <n v="9005"/>
    <n v="2143"/>
    <n v="10271"/>
    <m/>
    <m/>
    <n v="3163"/>
    <n v="157"/>
    <n v="117"/>
    <n v="15"/>
    <n v="344"/>
    <n v="6"/>
    <n v="25"/>
    <n v="667"/>
    <n v="40615"/>
    <n v="4148"/>
    <n v="187"/>
    <n v="992"/>
    <n v="76"/>
    <n v="298"/>
    <n v="24"/>
    <n v="1"/>
    <n v="50835"/>
    <n v="1613"/>
    <n v="41829"/>
    <n v="7393"/>
    <n v="4113"/>
    <n v="3246"/>
    <m/>
    <m/>
    <n v="213"/>
    <n v="460"/>
    <n v="541"/>
    <n v="802"/>
    <n v="1134"/>
    <n v="1144"/>
    <n v="1246"/>
    <n v="1541"/>
    <n v="90"/>
    <n v="188"/>
    <m/>
    <n v="97"/>
    <n v="150"/>
    <n v="2123"/>
    <n v="849"/>
    <n v="10"/>
    <n v="4123"/>
    <n v="7"/>
    <n v="260"/>
    <n v="157"/>
    <n v="217"/>
    <n v="504"/>
    <n v="40"/>
    <m/>
    <n v="61"/>
    <n v="5119"/>
    <n v="998"/>
    <n v="3"/>
    <n v="0"/>
    <n v="0"/>
    <n v="0"/>
    <n v="0"/>
    <n v="0"/>
    <n v="1741"/>
    <n v="3679"/>
    <n v="98"/>
    <n v="1253"/>
    <n v="588"/>
    <n v="129"/>
    <n v="110"/>
    <n v="1403"/>
    <n v="2"/>
    <n v="1203"/>
    <n v="363"/>
    <n v="414"/>
    <n v="551"/>
    <n v="540"/>
    <n v="155"/>
    <n v="108"/>
    <n v="180"/>
    <n v="15"/>
    <n v="101"/>
    <n v="961"/>
    <n v="207"/>
    <n v="898"/>
    <n v="2"/>
    <n v="17"/>
    <m/>
    <n v="285"/>
    <n v="44"/>
    <n v="309"/>
    <n v="17"/>
    <n v="22"/>
    <n v="268"/>
    <n v="21"/>
    <n v="6191"/>
    <n v="91"/>
    <n v="6"/>
    <n v="21"/>
    <n v="52"/>
    <n v="17"/>
    <n v="11"/>
    <n v="4"/>
    <m/>
    <n v="7359"/>
    <n v="689"/>
    <n v="5753"/>
    <n v="917"/>
    <n v="2011"/>
  </r>
  <r>
    <n v="106500939"/>
    <s v="500939"/>
    <x v="310"/>
    <s v="1700 COFFEE ROAD"/>
    <s v="MODESTO"/>
    <n v="95355"/>
    <x v="2"/>
    <x v="0"/>
    <x v="6"/>
    <x v="24"/>
    <s v="215b"/>
    <m/>
    <s v="06 - North San Joaquin"/>
    <x v="47"/>
    <s v="General Acute Care"/>
    <s v="Non-Profit Corporation (incl. Church-related)"/>
    <s v="General Medical / Surgical"/>
    <n v="423"/>
    <x v="0"/>
    <n v="30564"/>
    <n v="22333"/>
    <m/>
    <m/>
    <n v="6880"/>
    <n v="5939"/>
    <n v="8916"/>
    <n v="7047"/>
    <n v="6600"/>
    <n v="5552"/>
    <n v="3832"/>
    <n v="3196"/>
    <n v="3454"/>
    <n v="1481"/>
    <m/>
    <n v="1312"/>
    <n v="3256"/>
    <n v="16381"/>
    <n v="86"/>
    <n v="1624"/>
    <n v="221"/>
    <n v="30017"/>
    <n v="558"/>
    <n v="528"/>
    <n v="35"/>
    <n v="122"/>
    <n v="183"/>
    <n v="36"/>
    <n v="1"/>
    <n v="174"/>
    <n v="6"/>
    <n v="181"/>
    <n v="32"/>
    <n v="50433"/>
    <n v="542"/>
    <n v="63"/>
    <n v="3"/>
    <n v="20156"/>
    <n v="12586"/>
    <n v="1750"/>
    <n v="10805"/>
    <n v="7600"/>
    <n v="1474"/>
    <n v="245"/>
    <n v="1384"/>
    <n v="17"/>
    <n v="2870"/>
    <n v="902"/>
    <n v="2827"/>
    <n v="1294"/>
    <n v="11566"/>
    <n v="3174"/>
    <n v="73"/>
    <n v="4077"/>
    <n v="1404"/>
    <n v="62"/>
    <n v="896"/>
    <n v="5866"/>
    <n v="2320"/>
    <n v="12446"/>
    <m/>
    <m/>
    <n v="3900"/>
    <n v="237"/>
    <n v="297"/>
    <n v="31"/>
    <n v="624"/>
    <n v="25"/>
    <n v="322"/>
    <n v="495"/>
    <n v="40290"/>
    <n v="4541"/>
    <n v="258"/>
    <n v="1492"/>
    <n v="102"/>
    <n v="259"/>
    <n v="24"/>
    <m/>
    <n v="52897"/>
    <n v="797"/>
    <n v="49111"/>
    <n v="2989"/>
    <n v="7381"/>
    <n v="6472"/>
    <m/>
    <m/>
    <n v="343"/>
    <n v="696"/>
    <n v="807"/>
    <n v="1437"/>
    <n v="2165"/>
    <n v="2407"/>
    <n v="2509"/>
    <n v="3234"/>
    <n v="79"/>
    <n v="176"/>
    <m/>
    <n v="424"/>
    <n v="474"/>
    <n v="2808"/>
    <n v="355"/>
    <n v="48"/>
    <n v="9733"/>
    <n v="11"/>
    <n v="514"/>
    <n v="196"/>
    <n v="443"/>
    <n v="2203"/>
    <n v="251"/>
    <n v="48"/>
    <n v="75"/>
    <n v="8346"/>
    <n v="1765"/>
    <n v="12"/>
    <n v="0"/>
    <n v="0"/>
    <n v="0"/>
    <n v="0"/>
    <n v="0"/>
    <n v="2141"/>
    <n v="8110"/>
    <n v="398"/>
    <n v="2165"/>
    <n v="1039"/>
    <n v="79"/>
    <n v="172"/>
    <n v="2913"/>
    <n v="5"/>
    <n v="1852"/>
    <n v="602"/>
    <n v="892"/>
    <n v="1321"/>
    <n v="1859"/>
    <n v="245"/>
    <n v="307"/>
    <n v="299"/>
    <n v="7"/>
    <n v="98"/>
    <n v="1758"/>
    <n v="414"/>
    <n v="1016"/>
    <n v="5"/>
    <n v="9"/>
    <m/>
    <n v="923"/>
    <n v="114"/>
    <n v="1207"/>
    <n v="158"/>
    <n v="61"/>
    <n v="744"/>
    <n v="47"/>
    <n v="9871"/>
    <n v="217"/>
    <n v="41"/>
    <n v="373"/>
    <n v="61"/>
    <n v="23"/>
    <n v="12"/>
    <n v="1"/>
    <m/>
    <n v="13853"/>
    <n v="373"/>
    <n v="12635"/>
    <n v="845"/>
    <n v="2011"/>
  </r>
  <r>
    <n v="106500967"/>
    <s v="500967"/>
    <x v="311"/>
    <s v="350 SOUTH OAK STREET"/>
    <s v="OAKDALE"/>
    <n v="95361"/>
    <x v="0"/>
    <x v="0"/>
    <x v="6"/>
    <x v="5"/>
    <s v="211"/>
    <m/>
    <s v="06 - North San Joaquin"/>
    <x v="47"/>
    <s v="General Acute Care"/>
    <s v="District"/>
    <s v="General Medical / Surgical"/>
    <n v="35"/>
    <x v="0"/>
    <n v="9270"/>
    <n v="6959"/>
    <m/>
    <m/>
    <n v="2749"/>
    <n v="2190"/>
    <n v="2611"/>
    <n v="2431"/>
    <n v="1975"/>
    <n v="1378"/>
    <n v="914"/>
    <n v="704"/>
    <n v="708"/>
    <n v="569"/>
    <m/>
    <n v="52"/>
    <n v="214"/>
    <n v="4117"/>
    <n v="14"/>
    <n v="215"/>
    <n v="184"/>
    <n v="11433"/>
    <n v="300"/>
    <n v="79"/>
    <n v="28"/>
    <n v="33"/>
    <m/>
    <m/>
    <m/>
    <n v="7"/>
    <m/>
    <n v="50"/>
    <m/>
    <n v="15671"/>
    <n v="61"/>
    <m/>
    <m/>
    <n v="7081"/>
    <n v="2527"/>
    <n v="371"/>
    <n v="3300"/>
    <n v="2950"/>
    <n v="335"/>
    <n v="27"/>
    <n v="336"/>
    <n v="6"/>
    <n v="1167"/>
    <n v="198"/>
    <n v="862"/>
    <n v="497"/>
    <n v="3993"/>
    <n v="687"/>
    <n v="22"/>
    <n v="1631"/>
    <n v="259"/>
    <n v="7"/>
    <n v="334"/>
    <n v="2164"/>
    <n v="993"/>
    <n v="2711"/>
    <m/>
    <m/>
    <n v="1131"/>
    <n v="53"/>
    <n v="75"/>
    <n v="17"/>
    <n v="107"/>
    <n v="4"/>
    <m/>
    <n v="275"/>
    <n v="12023"/>
    <n v="1908"/>
    <n v="115"/>
    <n v="376"/>
    <n v="42"/>
    <n v="89"/>
    <n v="14"/>
    <m/>
    <n v="16229"/>
    <n v="7"/>
    <n v="16042"/>
    <n v="180"/>
    <n v="501"/>
    <n v="355"/>
    <m/>
    <m/>
    <n v="27"/>
    <n v="46"/>
    <n v="66"/>
    <n v="75"/>
    <n v="116"/>
    <n v="148"/>
    <n v="135"/>
    <n v="199"/>
    <n v="16"/>
    <n v="28"/>
    <m/>
    <n v="3"/>
    <n v="4"/>
    <n v="85"/>
    <n v="12"/>
    <n v="6"/>
    <n v="744"/>
    <n v="2"/>
    <n v="57"/>
    <n v="7"/>
    <n v="30"/>
    <n v="64"/>
    <n v="11"/>
    <n v="5"/>
    <m/>
    <n v="501"/>
    <n v="181"/>
    <m/>
    <n v="0"/>
    <n v="0"/>
    <n v="0"/>
    <n v="0"/>
    <n v="0"/>
    <n v="188"/>
    <n v="474"/>
    <n v="6"/>
    <n v="137"/>
    <n v="51"/>
    <n v="6"/>
    <n v="23"/>
    <n v="123"/>
    <m/>
    <n v="197"/>
    <n v="31"/>
    <n v="49"/>
    <n v="78"/>
    <n v="72"/>
    <n v="4"/>
    <n v="7"/>
    <n v="6"/>
    <m/>
    <n v="9"/>
    <n v="187"/>
    <n v="23"/>
    <n v="38"/>
    <m/>
    <n v="3"/>
    <m/>
    <n v="34"/>
    <n v="9"/>
    <n v="33"/>
    <n v="2"/>
    <n v="2"/>
    <n v="18"/>
    <n v="5"/>
    <n v="732"/>
    <n v="5"/>
    <m/>
    <n v="4"/>
    <n v="10"/>
    <n v="1"/>
    <m/>
    <n v="1"/>
    <m/>
    <n v="856"/>
    <n v="1"/>
    <n v="841"/>
    <n v="14"/>
    <n v="2011"/>
  </r>
  <r>
    <n v="106521041"/>
    <s v="521041"/>
    <x v="312"/>
    <s v="2550 SISTER MARY COLUMBA DRIVE"/>
    <s v="RED BLUFF"/>
    <n v="96080"/>
    <x v="4"/>
    <x v="0"/>
    <x v="7"/>
    <x v="3"/>
    <s v="221"/>
    <m/>
    <s v="01 - Northern California"/>
    <x v="48"/>
    <s v="General Acute Care"/>
    <s v="Non-Profit Corporation (incl. Church-related)"/>
    <s v="General Medical / Surgical"/>
    <n v="76"/>
    <x v="0"/>
    <n v="16099"/>
    <n v="12718"/>
    <m/>
    <m/>
    <n v="3673"/>
    <n v="3249"/>
    <n v="5191"/>
    <n v="3787"/>
    <n v="3716"/>
    <n v="3257"/>
    <n v="2087"/>
    <n v="1604"/>
    <n v="1479"/>
    <n v="774"/>
    <m/>
    <n v="256"/>
    <n v="226"/>
    <n v="3163"/>
    <n v="75"/>
    <n v="1023"/>
    <m/>
    <n v="24074"/>
    <n v="547"/>
    <n v="358"/>
    <n v="1"/>
    <n v="28"/>
    <n v="82"/>
    <n v="13"/>
    <n v="2"/>
    <n v="1"/>
    <n v="539"/>
    <n v="1"/>
    <n v="53"/>
    <n v="26767"/>
    <n v="43"/>
    <n v="382"/>
    <m/>
    <n v="12793"/>
    <n v="5871"/>
    <n v="606"/>
    <n v="5056"/>
    <n v="4491"/>
    <n v="760"/>
    <n v="55"/>
    <n v="683"/>
    <n v="3"/>
    <n v="2154"/>
    <n v="443"/>
    <n v="1480"/>
    <n v="723"/>
    <n v="6273"/>
    <n v="1947"/>
    <n v="30"/>
    <n v="1906"/>
    <n v="1114"/>
    <n v="21"/>
    <n v="764"/>
    <n v="3266"/>
    <n v="1660"/>
    <n v="5535"/>
    <m/>
    <m/>
    <n v="1913"/>
    <n v="236"/>
    <n v="342"/>
    <n v="34"/>
    <n v="292"/>
    <n v="16"/>
    <n v="204"/>
    <n v="392"/>
    <n v="21681"/>
    <n v="2785"/>
    <n v="180"/>
    <n v="444"/>
    <n v="123"/>
    <n v="167"/>
    <n v="8"/>
    <m/>
    <n v="28817"/>
    <n v="87"/>
    <n v="27019"/>
    <n v="1711"/>
    <n v="1066"/>
    <n v="771"/>
    <m/>
    <m/>
    <n v="47"/>
    <n v="91"/>
    <n v="100"/>
    <n v="179"/>
    <n v="293"/>
    <n v="304"/>
    <n v="300"/>
    <n v="403"/>
    <n v="44"/>
    <n v="76"/>
    <m/>
    <n v="11"/>
    <n v="7"/>
    <n v="94"/>
    <n v="44"/>
    <n v="29"/>
    <n v="1648"/>
    <n v="4"/>
    <n v="97"/>
    <n v="32"/>
    <n v="36"/>
    <n v="239"/>
    <n v="39"/>
    <n v="2"/>
    <n v="13"/>
    <n v="1170"/>
    <n v="206"/>
    <n v="3"/>
    <n v="0"/>
    <n v="0"/>
    <n v="0"/>
    <n v="0"/>
    <n v="0"/>
    <n v="392"/>
    <n v="1009"/>
    <n v="20"/>
    <n v="229"/>
    <n v="187"/>
    <n v="12"/>
    <n v="23"/>
    <n v="281"/>
    <m/>
    <n v="320"/>
    <n v="121"/>
    <n v="105"/>
    <n v="157"/>
    <n v="179"/>
    <n v="18"/>
    <n v="26"/>
    <n v="19"/>
    <m/>
    <n v="23"/>
    <n v="432"/>
    <n v="62"/>
    <n v="54"/>
    <m/>
    <n v="5"/>
    <m/>
    <n v="120"/>
    <n v="40"/>
    <n v="154"/>
    <n v="5"/>
    <n v="4"/>
    <n v="52"/>
    <n v="11"/>
    <n v="1346"/>
    <n v="68"/>
    <n v="5"/>
    <n v="4"/>
    <n v="20"/>
    <n v="6"/>
    <n v="2"/>
    <m/>
    <m/>
    <n v="1837"/>
    <n v="3"/>
    <n v="1775"/>
    <n v="59"/>
    <n v="2011"/>
  </r>
  <r>
    <n v="106531059"/>
    <s v="531059"/>
    <x v="313"/>
    <s v="60 B EASTER AVENUE"/>
    <s v="WEAVERVILLE"/>
    <n v="96093"/>
    <x v="0"/>
    <x v="0"/>
    <x v="10"/>
    <x v="3"/>
    <s v="224"/>
    <m/>
    <s v="01 - Northern California"/>
    <x v="49"/>
    <s v="General Acute Care"/>
    <s v="District"/>
    <s v="General Medical / Surgical"/>
    <n v="25"/>
    <x v="2"/>
    <n v="2041"/>
    <n v="1825"/>
    <m/>
    <m/>
    <n v="319"/>
    <n v="441"/>
    <n v="494"/>
    <n v="431"/>
    <n v="492"/>
    <n v="586"/>
    <n v="440"/>
    <n v="331"/>
    <n v="269"/>
    <n v="63"/>
    <m/>
    <m/>
    <m/>
    <n v="110"/>
    <m/>
    <n v="7"/>
    <n v="133"/>
    <n v="3616"/>
    <n v="168"/>
    <n v="39"/>
    <n v="81"/>
    <n v="10"/>
    <m/>
    <m/>
    <m/>
    <m/>
    <m/>
    <n v="13"/>
    <m/>
    <n v="3439"/>
    <n v="5"/>
    <m/>
    <n v="111"/>
    <n v="1392"/>
    <n v="1127"/>
    <n v="176"/>
    <n v="1170"/>
    <n v="1"/>
    <n v="89"/>
    <n v="8"/>
    <n v="119"/>
    <m/>
    <n v="274"/>
    <n v="94"/>
    <n v="168"/>
    <n v="126"/>
    <n v="1058"/>
    <n v="163"/>
    <n v="11"/>
    <n v="323"/>
    <n v="109"/>
    <m/>
    <n v="125"/>
    <n v="361"/>
    <n v="261"/>
    <n v="575"/>
    <m/>
    <n v="2"/>
    <n v="317"/>
    <n v="15"/>
    <n v="27"/>
    <n v="3"/>
    <n v="37"/>
    <m/>
    <n v="1"/>
    <n v="93"/>
    <n v="2693"/>
    <n v="502"/>
    <n v="27"/>
    <n v="65"/>
    <n v="14"/>
    <n v="65"/>
    <n v="7"/>
    <m/>
    <n v="3866"/>
    <n v="5"/>
    <n v="3854"/>
    <n v="7"/>
    <n v="185"/>
    <n v="178"/>
    <m/>
    <m/>
    <n v="4"/>
    <n v="18"/>
    <n v="30"/>
    <n v="26"/>
    <n v="48"/>
    <n v="93"/>
    <n v="57"/>
    <n v="86"/>
    <m/>
    <n v="1"/>
    <m/>
    <n v="2"/>
    <m/>
    <m/>
    <n v="1"/>
    <n v="1"/>
    <n v="354"/>
    <n v="5"/>
    <n v="26"/>
    <n v="7"/>
    <n v="6"/>
    <m/>
    <m/>
    <m/>
    <m/>
    <n v="281"/>
    <n v="43"/>
    <m/>
    <n v="0"/>
    <n v="0"/>
    <n v="0"/>
    <n v="0"/>
    <n v="0"/>
    <n v="54"/>
    <n v="224"/>
    <n v="53"/>
    <m/>
    <n v="32"/>
    <n v="1"/>
    <n v="3"/>
    <n v="60"/>
    <m/>
    <n v="76"/>
    <n v="25"/>
    <n v="28"/>
    <n v="13"/>
    <n v="12"/>
    <n v="8"/>
    <n v="11"/>
    <n v="16"/>
    <m/>
    <n v="4"/>
    <n v="68"/>
    <n v="13"/>
    <n v="25"/>
    <m/>
    <m/>
    <m/>
    <n v="15"/>
    <n v="2"/>
    <n v="2"/>
    <n v="1"/>
    <m/>
    <m/>
    <n v="2"/>
    <n v="333"/>
    <n v="4"/>
    <n v="1"/>
    <m/>
    <m/>
    <m/>
    <n v="3"/>
    <m/>
    <m/>
    <n v="363"/>
    <m/>
    <n v="363"/>
    <m/>
    <n v="2011"/>
  </r>
  <r>
    <n v="106540734"/>
    <s v="540734"/>
    <x v="314"/>
    <s v="400 WEST MINERAL KING"/>
    <s v="VISALIA"/>
    <n v="93291"/>
    <x v="4"/>
    <x v="0"/>
    <x v="16"/>
    <x v="9"/>
    <s v="233"/>
    <m/>
    <s v="09 - Central"/>
    <x v="50"/>
    <s v="General Acute Care"/>
    <s v="District"/>
    <s v="General Medical / Surgical"/>
    <n v="448"/>
    <x v="0"/>
    <n v="36079"/>
    <n v="29515"/>
    <m/>
    <m/>
    <n v="10701"/>
    <n v="8650"/>
    <n v="11415"/>
    <n v="9172"/>
    <n v="7498"/>
    <n v="6038"/>
    <n v="3874"/>
    <n v="2676"/>
    <n v="2493"/>
    <n v="3077"/>
    <m/>
    <n v="717"/>
    <n v="949"/>
    <n v="18874"/>
    <n v="30"/>
    <n v="1688"/>
    <n v="32500"/>
    <n v="10836"/>
    <n v="630"/>
    <n v="478"/>
    <n v="211"/>
    <n v="139"/>
    <n v="1"/>
    <n v="1"/>
    <n v="6"/>
    <n v="1"/>
    <n v="9"/>
    <n v="512"/>
    <m/>
    <n v="63073"/>
    <n v="316"/>
    <n v="217"/>
    <m/>
    <n v="7603"/>
    <n v="8652"/>
    <n v="1271"/>
    <n v="48068"/>
    <m/>
    <n v="2192"/>
    <n v="246"/>
    <n v="1302"/>
    <n v="14"/>
    <n v="3827"/>
    <n v="701"/>
    <n v="3533"/>
    <n v="1730"/>
    <n v="14001"/>
    <n v="2605"/>
    <n v="120"/>
    <n v="3241"/>
    <n v="2121"/>
    <n v="114"/>
    <n v="3108"/>
    <n v="7460"/>
    <n v="2928"/>
    <n v="16351"/>
    <m/>
    <m/>
    <n v="3817"/>
    <n v="276"/>
    <n v="460"/>
    <n v="45"/>
    <n v="882"/>
    <n v="13"/>
    <n v="5"/>
    <n v="599"/>
    <n v="51031"/>
    <n v="5932"/>
    <n v="282"/>
    <n v="1553"/>
    <n v="288"/>
    <n v="366"/>
    <n v="45"/>
    <m/>
    <n v="65594"/>
    <n v="429"/>
    <n v="57750"/>
    <n v="7415"/>
    <n v="6217"/>
    <n v="5950"/>
    <m/>
    <m/>
    <n v="331"/>
    <n v="785"/>
    <n v="885"/>
    <n v="1350"/>
    <n v="2055"/>
    <n v="2175"/>
    <n v="1858"/>
    <n v="2304"/>
    <n v="183"/>
    <n v="241"/>
    <m/>
    <n v="264"/>
    <n v="230"/>
    <n v="4796"/>
    <n v="530"/>
    <n v="16"/>
    <n v="6315"/>
    <n v="16"/>
    <n v="240"/>
    <n v="125"/>
    <n v="437"/>
    <n v="1082"/>
    <n v="284"/>
    <n v="1"/>
    <n v="106"/>
    <n v="8494"/>
    <n v="1351"/>
    <n v="47"/>
    <n v="0"/>
    <n v="0"/>
    <n v="0"/>
    <n v="0"/>
    <n v="0"/>
    <n v="2722"/>
    <n v="6237"/>
    <n v="50"/>
    <n v="2139"/>
    <n v="1019"/>
    <n v="151"/>
    <n v="135"/>
    <n v="2556"/>
    <n v="5"/>
    <n v="2042"/>
    <n v="614"/>
    <n v="751"/>
    <n v="718"/>
    <n v="1272"/>
    <n v="208"/>
    <n v="216"/>
    <n v="185"/>
    <n v="30"/>
    <n v="246"/>
    <n v="1616"/>
    <n v="346"/>
    <n v="1033"/>
    <n v="3"/>
    <n v="40"/>
    <m/>
    <n v="603"/>
    <n v="77"/>
    <n v="869"/>
    <n v="68"/>
    <n v="48"/>
    <n v="51"/>
    <n v="32"/>
    <n v="10026"/>
    <n v="122"/>
    <n v="14"/>
    <n v="145"/>
    <n v="76"/>
    <n v="13"/>
    <n v="19"/>
    <n v="4"/>
    <m/>
    <n v="12167"/>
    <n v="129"/>
    <n v="10640"/>
    <n v="1398"/>
    <n v="2011"/>
  </r>
  <r>
    <n v="106540798"/>
    <s v="540798"/>
    <x v="315"/>
    <s v="465 WEST PUTNAM AVENUE"/>
    <s v="PORTERVILLE"/>
    <n v="93257"/>
    <x v="0"/>
    <x v="0"/>
    <x v="16"/>
    <x v="9"/>
    <s v="231"/>
    <m/>
    <s v="09 - Central"/>
    <x v="50"/>
    <s v="General Acute Care"/>
    <s v="District"/>
    <s v="General Medical / Surgical"/>
    <n v="132"/>
    <x v="0"/>
    <n v="19961"/>
    <n v="16322"/>
    <m/>
    <m/>
    <n v="7496"/>
    <n v="5066"/>
    <n v="5935"/>
    <n v="4541"/>
    <n v="4126"/>
    <n v="3039"/>
    <n v="1966"/>
    <n v="1174"/>
    <n v="1017"/>
    <n v="1923"/>
    <m/>
    <n v="542"/>
    <n v="351"/>
    <n v="20851"/>
    <n v="559"/>
    <n v="780"/>
    <n v="90"/>
    <n v="13110"/>
    <n v="452"/>
    <n v="2243"/>
    <n v="46"/>
    <n v="65"/>
    <n v="1"/>
    <n v="2"/>
    <n v="1"/>
    <n v="4"/>
    <n v="298"/>
    <n v="97"/>
    <n v="4"/>
    <n v="32975"/>
    <n v="90"/>
    <n v="5"/>
    <m/>
    <n v="19102"/>
    <n v="4536"/>
    <n v="1869"/>
    <n v="5441"/>
    <n v="5335"/>
    <n v="1149"/>
    <n v="95"/>
    <n v="569"/>
    <n v="8"/>
    <n v="2157"/>
    <n v="489"/>
    <n v="2151"/>
    <n v="1070"/>
    <n v="7949"/>
    <n v="1694"/>
    <n v="40"/>
    <n v="2188"/>
    <n v="1612"/>
    <n v="49"/>
    <n v="1081"/>
    <n v="4921"/>
    <n v="1533"/>
    <n v="7528"/>
    <m/>
    <m/>
    <n v="2305"/>
    <n v="133"/>
    <n v="332"/>
    <n v="30"/>
    <n v="253"/>
    <n v="13"/>
    <n v="167"/>
    <n v="462"/>
    <n v="27875"/>
    <n v="3484"/>
    <n v="154"/>
    <n v="664"/>
    <n v="96"/>
    <n v="256"/>
    <n v="59"/>
    <m/>
    <n v="36283"/>
    <n v="161"/>
    <n v="30250"/>
    <n v="5872"/>
    <n v="2364"/>
    <n v="2284"/>
    <m/>
    <m/>
    <n v="146"/>
    <n v="280"/>
    <n v="302"/>
    <n v="479"/>
    <n v="712"/>
    <n v="808"/>
    <n v="739"/>
    <n v="921"/>
    <n v="107"/>
    <n v="154"/>
    <m/>
    <n v="103"/>
    <n v="47"/>
    <n v="1893"/>
    <n v="33"/>
    <n v="2"/>
    <n v="2485"/>
    <n v="85"/>
    <n v="144"/>
    <n v="68"/>
    <n v="202"/>
    <n v="198"/>
    <n v="20"/>
    <n v="15"/>
    <n v="51"/>
    <n v="3248"/>
    <n v="700"/>
    <n v="2"/>
    <n v="0"/>
    <n v="0"/>
    <n v="0"/>
    <n v="0"/>
    <n v="0"/>
    <n v="1217"/>
    <n v="2458"/>
    <n v="45"/>
    <n v="583"/>
    <n v="345"/>
    <n v="71"/>
    <n v="57"/>
    <n v="919"/>
    <n v="2"/>
    <n v="786"/>
    <n v="308"/>
    <n v="444"/>
    <n v="167"/>
    <n v="290"/>
    <n v="57"/>
    <n v="102"/>
    <n v="80"/>
    <n v="11"/>
    <n v="38"/>
    <n v="912"/>
    <n v="173"/>
    <n v="207"/>
    <n v="3"/>
    <n v="21"/>
    <m/>
    <n v="239"/>
    <n v="15"/>
    <n v="197"/>
    <n v="6"/>
    <n v="23"/>
    <n v="179"/>
    <n v="21"/>
    <n v="3861"/>
    <n v="49"/>
    <n v="3"/>
    <n v="15"/>
    <n v="18"/>
    <n v="6"/>
    <n v="16"/>
    <m/>
    <m/>
    <n v="4648"/>
    <n v="28"/>
    <n v="3938"/>
    <n v="682"/>
    <n v="2011"/>
  </r>
  <r>
    <n v="106540816"/>
    <s v="540816"/>
    <x v="316"/>
    <s v="869 CHERRY AVENUE"/>
    <s v="TULARE"/>
    <n v="93274"/>
    <x v="0"/>
    <x v="0"/>
    <x v="16"/>
    <x v="9"/>
    <s v="230"/>
    <m/>
    <s v="09 - Central"/>
    <x v="50"/>
    <s v="General Acute Care"/>
    <s v="District"/>
    <s v="General Medical / Surgical"/>
    <n v="112"/>
    <x v="0"/>
    <n v="14686"/>
    <n v="11245"/>
    <n v="1"/>
    <m/>
    <n v="4871"/>
    <n v="3815"/>
    <n v="4414"/>
    <n v="3962"/>
    <n v="3167"/>
    <n v="2190"/>
    <n v="1128"/>
    <n v="690"/>
    <n v="564"/>
    <n v="1131"/>
    <m/>
    <n v="367"/>
    <n v="1363"/>
    <n v="15007"/>
    <n v="496"/>
    <n v="269"/>
    <n v="2"/>
    <n v="8428"/>
    <n v="210"/>
    <n v="911"/>
    <m/>
    <n v="33"/>
    <n v="3"/>
    <n v="1"/>
    <n v="3"/>
    <n v="35"/>
    <m/>
    <n v="47"/>
    <n v="3"/>
    <n v="24500"/>
    <n v="106"/>
    <n v="80"/>
    <m/>
    <n v="13635"/>
    <n v="2861"/>
    <n v="997"/>
    <n v="4016"/>
    <n v="4423"/>
    <n v="749"/>
    <n v="43"/>
    <n v="243"/>
    <n v="2"/>
    <n v="1170"/>
    <n v="274"/>
    <n v="1419"/>
    <n v="695"/>
    <n v="5065"/>
    <n v="1880"/>
    <n v="19"/>
    <n v="1816"/>
    <n v="1428"/>
    <n v="54"/>
    <n v="718"/>
    <n v="3023"/>
    <n v="1237"/>
    <n v="6097"/>
    <m/>
    <m/>
    <n v="1558"/>
    <n v="75"/>
    <n v="222"/>
    <n v="13"/>
    <n v="281"/>
    <n v="5"/>
    <n v="83"/>
    <n v="322"/>
    <n v="20189"/>
    <n v="2399"/>
    <n v="118"/>
    <n v="471"/>
    <n v="62"/>
    <n v="130"/>
    <n v="4"/>
    <m/>
    <n v="25932"/>
    <n v="216"/>
    <n v="22492"/>
    <n v="3224"/>
    <n v="1863"/>
    <n v="1524"/>
    <m/>
    <m/>
    <n v="100"/>
    <n v="236"/>
    <n v="310"/>
    <n v="459"/>
    <n v="613"/>
    <n v="524"/>
    <n v="464"/>
    <n v="590"/>
    <n v="38"/>
    <n v="53"/>
    <m/>
    <n v="38"/>
    <n v="185"/>
    <n v="1438"/>
    <n v="60"/>
    <n v="1"/>
    <n v="1618"/>
    <n v="47"/>
    <n v="83"/>
    <n v="35"/>
    <n v="112"/>
    <n v="180"/>
    <n v="19"/>
    <m/>
    <m/>
    <n v="2537"/>
    <n v="421"/>
    <m/>
    <n v="0"/>
    <n v="0"/>
    <n v="0"/>
    <n v="0"/>
    <n v="0"/>
    <n v="1035"/>
    <n v="1573"/>
    <n v="33"/>
    <n v="420"/>
    <n v="326"/>
    <n v="87"/>
    <n v="62"/>
    <n v="581"/>
    <n v="2"/>
    <n v="634"/>
    <n v="178"/>
    <n v="260"/>
    <n v="195"/>
    <n v="182"/>
    <n v="50"/>
    <n v="73"/>
    <n v="42"/>
    <n v="2"/>
    <n v="26"/>
    <n v="513"/>
    <n v="79"/>
    <n v="411"/>
    <m/>
    <n v="10"/>
    <m/>
    <n v="116"/>
    <n v="23"/>
    <n v="45"/>
    <n v="3"/>
    <n v="4"/>
    <n v="103"/>
    <n v="10"/>
    <n v="3028"/>
    <n v="22"/>
    <n v="1"/>
    <n v="13"/>
    <n v="11"/>
    <n v="4"/>
    <n v="3"/>
    <n v="1"/>
    <m/>
    <n v="3387"/>
    <n v="88"/>
    <n v="2871"/>
    <n v="428"/>
    <n v="2011"/>
  </r>
  <r>
    <n v="106554011"/>
    <s v="554011"/>
    <x v="317"/>
    <s v="1000 Greenley Road"/>
    <s v="Sonora"/>
    <n v="95370"/>
    <x v="0"/>
    <x v="0"/>
    <x v="6"/>
    <x v="5"/>
    <s v="234.2"/>
    <m/>
    <s v="06 - North San Joaquin"/>
    <x v="51"/>
    <s v="General Acute Care"/>
    <s v="Non-Profit Corporation (incl. Church-related)"/>
    <s v="General Medical / Surgical"/>
    <n v="72"/>
    <x v="0"/>
    <n v="11909"/>
    <n v="10126"/>
    <m/>
    <m/>
    <n v="2008"/>
    <n v="2303"/>
    <n v="3242"/>
    <n v="2565"/>
    <n v="2575"/>
    <n v="2941"/>
    <n v="2241"/>
    <n v="1941"/>
    <n v="1813"/>
    <n v="406"/>
    <m/>
    <n v="147"/>
    <n v="151"/>
    <n v="902"/>
    <n v="136"/>
    <n v="84"/>
    <n v="5"/>
    <n v="20610"/>
    <n v="614"/>
    <n v="261"/>
    <n v="1"/>
    <n v="31"/>
    <n v="167"/>
    <n v="6"/>
    <m/>
    <m/>
    <n v="129"/>
    <n v="185"/>
    <n v="5"/>
    <n v="20614"/>
    <n v="22"/>
    <m/>
    <m/>
    <n v="7365"/>
    <n v="5679"/>
    <n v="1017"/>
    <n v="6397"/>
    <n v="1577"/>
    <n v="431"/>
    <n v="51"/>
    <n v="828"/>
    <n v="2"/>
    <n v="1231"/>
    <n v="311"/>
    <n v="1074"/>
    <n v="356"/>
    <n v="5569"/>
    <n v="1147"/>
    <n v="29"/>
    <n v="1522"/>
    <n v="914"/>
    <n v="25"/>
    <n v="805"/>
    <n v="1778"/>
    <n v="985"/>
    <n v="4977"/>
    <m/>
    <m/>
    <n v="2108"/>
    <n v="159"/>
    <n v="213"/>
    <n v="32"/>
    <n v="171"/>
    <n v="50"/>
    <n v="185"/>
    <n v="388"/>
    <n v="15597"/>
    <n v="2199"/>
    <n v="168"/>
    <n v="545"/>
    <n v="87"/>
    <n v="125"/>
    <n v="8"/>
    <m/>
    <n v="22035"/>
    <n v="30"/>
    <n v="21915"/>
    <n v="90"/>
    <n v="1870"/>
    <n v="1745"/>
    <m/>
    <m/>
    <n v="76"/>
    <n v="170"/>
    <n v="173"/>
    <n v="342"/>
    <n v="541"/>
    <n v="642"/>
    <n v="703"/>
    <n v="916"/>
    <n v="10"/>
    <n v="42"/>
    <m/>
    <n v="14"/>
    <n v="13"/>
    <n v="81"/>
    <n v="6"/>
    <n v="1"/>
    <n v="3482"/>
    <n v="18"/>
    <n v="172"/>
    <n v="41"/>
    <n v="114"/>
    <n v="691"/>
    <n v="18"/>
    <n v="1"/>
    <n v="7"/>
    <n v="2129"/>
    <n v="428"/>
    <n v="14"/>
    <n v="0"/>
    <n v="0"/>
    <n v="0"/>
    <n v="0"/>
    <n v="0"/>
    <n v="616"/>
    <n v="2062"/>
    <n v="109"/>
    <n v="723"/>
    <n v="105"/>
    <n v="30"/>
    <n v="38"/>
    <n v="604"/>
    <n v="2"/>
    <n v="645"/>
    <n v="121"/>
    <n v="126"/>
    <n v="367"/>
    <n v="477"/>
    <n v="115"/>
    <n v="60"/>
    <n v="85"/>
    <n v="5"/>
    <n v="24"/>
    <n v="506"/>
    <n v="85"/>
    <n v="325"/>
    <m/>
    <m/>
    <m/>
    <n v="285"/>
    <n v="65"/>
    <n v="317"/>
    <n v="9"/>
    <n v="7"/>
    <n v="97"/>
    <n v="18"/>
    <n v="2676"/>
    <n v="69"/>
    <n v="3"/>
    <n v="26"/>
    <n v="33"/>
    <n v="2"/>
    <n v="5"/>
    <n v="3"/>
    <m/>
    <n v="3615"/>
    <n v="8"/>
    <n v="3599"/>
    <n v="8"/>
    <n v="2011"/>
  </r>
  <r>
    <n v="106560473"/>
    <s v="560473"/>
    <x v="318"/>
    <s v="147 N. BRENT STREET"/>
    <s v="VENTURA"/>
    <n v="93003"/>
    <x v="0"/>
    <x v="0"/>
    <x v="73"/>
    <x v="23"/>
    <s v="241c"/>
    <m/>
    <s v="10 - Santa Barbara/Ventura"/>
    <x v="52"/>
    <s v="General Acute Care"/>
    <s v="Non-Profit Corporation (incl. Church-related)"/>
    <s v="General Medical / Surgical"/>
    <n v="242"/>
    <x v="0"/>
    <n v="18957"/>
    <n v="13517"/>
    <m/>
    <m/>
    <n v="4312"/>
    <n v="3317"/>
    <n v="4939"/>
    <n v="4118"/>
    <n v="3755"/>
    <n v="3640"/>
    <n v="2518"/>
    <n v="2033"/>
    <n v="2665"/>
    <n v="1177"/>
    <m/>
    <n v="483"/>
    <n v="949"/>
    <n v="9486"/>
    <n v="16"/>
    <n v="80"/>
    <n v="26"/>
    <n v="21434"/>
    <n v="92"/>
    <n v="788"/>
    <n v="4"/>
    <n v="31"/>
    <n v="16"/>
    <n v="1"/>
    <m/>
    <n v="4"/>
    <m/>
    <n v="45"/>
    <m/>
    <n v="31460"/>
    <n v="33"/>
    <m/>
    <m/>
    <n v="7593"/>
    <n v="6902"/>
    <n v="1512"/>
    <n v="14064"/>
    <n v="2403"/>
    <n v="1048"/>
    <n v="98"/>
    <n v="780"/>
    <n v="4"/>
    <n v="1942"/>
    <n v="289"/>
    <n v="1850"/>
    <n v="662"/>
    <n v="7497"/>
    <n v="1859"/>
    <n v="47"/>
    <n v="2205"/>
    <n v="580"/>
    <n v="46"/>
    <n v="681"/>
    <n v="3434"/>
    <n v="1647"/>
    <n v="7805"/>
    <m/>
    <m/>
    <n v="2881"/>
    <n v="122"/>
    <n v="368"/>
    <n v="8"/>
    <n v="160"/>
    <n v="274"/>
    <n v="269"/>
    <n v="279"/>
    <n v="23999"/>
    <n v="3082"/>
    <n v="195"/>
    <n v="630"/>
    <n v="38"/>
    <n v="156"/>
    <n v="13"/>
    <m/>
    <n v="32474"/>
    <n v="27"/>
    <n v="30521"/>
    <n v="1926"/>
    <n v="3028"/>
    <n v="2662"/>
    <m/>
    <m/>
    <n v="138"/>
    <n v="217"/>
    <n v="310"/>
    <n v="415"/>
    <n v="721"/>
    <n v="924"/>
    <n v="996"/>
    <n v="1741"/>
    <n v="80"/>
    <n v="148"/>
    <m/>
    <n v="113"/>
    <n v="107"/>
    <n v="1095"/>
    <n v="6"/>
    <n v="1"/>
    <n v="4361"/>
    <n v="7"/>
    <n v="70"/>
    <n v="59"/>
    <n v="199"/>
    <n v="1033"/>
    <n v="259"/>
    <m/>
    <n v="35"/>
    <n v="3290"/>
    <n v="742"/>
    <n v="3"/>
    <n v="0"/>
    <n v="0"/>
    <n v="0"/>
    <n v="0"/>
    <n v="0"/>
    <n v="427"/>
    <n v="3440"/>
    <n v="34"/>
    <n v="1686"/>
    <n v="103"/>
    <n v="80"/>
    <n v="80"/>
    <n v="1212"/>
    <n v="7"/>
    <n v="1042"/>
    <n v="231"/>
    <n v="410"/>
    <n v="543"/>
    <n v="558"/>
    <n v="136"/>
    <n v="140"/>
    <n v="120"/>
    <n v="7"/>
    <n v="47"/>
    <n v="678"/>
    <n v="148"/>
    <n v="234"/>
    <n v="2"/>
    <n v="15"/>
    <m/>
    <n v="355"/>
    <n v="34"/>
    <n v="481"/>
    <n v="2"/>
    <n v="32"/>
    <n v="76"/>
    <n v="9"/>
    <n v="4596"/>
    <n v="65"/>
    <n v="4"/>
    <n v="10"/>
    <n v="12"/>
    <n v="6"/>
    <n v="8"/>
    <m/>
    <m/>
    <n v="5690"/>
    <n v="8"/>
    <n v="5388"/>
    <n v="294"/>
    <n v="2011"/>
  </r>
  <r>
    <n v="106560481"/>
    <s v="560481"/>
    <x v="319"/>
    <s v="3291 LOMA VISTA ROAD"/>
    <s v="VENTURA"/>
    <n v="93003"/>
    <x v="2"/>
    <x v="0"/>
    <x v="73"/>
    <x v="23"/>
    <s v="241c"/>
    <m/>
    <s v="10 - Santa Barbara/Ventura"/>
    <x v="52"/>
    <s v="General Acute Care"/>
    <s v="City and/or County"/>
    <s v="General Medical / Surgical"/>
    <n v="180"/>
    <x v="0"/>
    <n v="20778"/>
    <n v="20283"/>
    <m/>
    <m/>
    <n v="5048"/>
    <n v="4536"/>
    <n v="7512"/>
    <n v="6187"/>
    <n v="5994"/>
    <n v="5385"/>
    <n v="2610"/>
    <n v="1204"/>
    <n v="1105"/>
    <n v="1480"/>
    <m/>
    <n v="468"/>
    <n v="930"/>
    <n v="23382"/>
    <n v="42"/>
    <n v="2098"/>
    <n v="146"/>
    <n v="13995"/>
    <n v="172"/>
    <n v="237"/>
    <n v="802"/>
    <n v="33"/>
    <n v="14"/>
    <m/>
    <m/>
    <n v="4"/>
    <m/>
    <m/>
    <n v="23"/>
    <n v="39744"/>
    <n v="32"/>
    <m/>
    <m/>
    <n v="12519"/>
    <n v="4215"/>
    <n v="2272"/>
    <n v="7570"/>
    <n v="14485"/>
    <n v="1075"/>
    <n v="125"/>
    <n v="891"/>
    <n v="9"/>
    <n v="2606"/>
    <n v="843"/>
    <n v="2173"/>
    <n v="607"/>
    <n v="8108"/>
    <n v="2503"/>
    <n v="67"/>
    <n v="1974"/>
    <n v="2229"/>
    <n v="60"/>
    <n v="2062"/>
    <n v="3831"/>
    <n v="2147"/>
    <n v="9751"/>
    <m/>
    <m/>
    <n v="2273"/>
    <n v="92"/>
    <n v="141"/>
    <n v="33"/>
    <n v="697"/>
    <n v="20"/>
    <n v="262"/>
    <n v="314"/>
    <n v="32717"/>
    <n v="2859"/>
    <n v="222"/>
    <n v="950"/>
    <n v="216"/>
    <n v="180"/>
    <n v="85"/>
    <m/>
    <n v="41061"/>
    <n v="273"/>
    <n v="31648"/>
    <n v="9140"/>
    <n v="2366"/>
    <n v="2844"/>
    <m/>
    <m/>
    <n v="293"/>
    <n v="552"/>
    <n v="562"/>
    <n v="771"/>
    <n v="1008"/>
    <n v="713"/>
    <n v="431"/>
    <n v="469"/>
    <n v="157"/>
    <n v="254"/>
    <m/>
    <n v="97"/>
    <n v="159"/>
    <n v="2636"/>
    <n v="275"/>
    <n v="16"/>
    <n v="2020"/>
    <n v="7"/>
    <n v="161"/>
    <n v="86"/>
    <n v="131"/>
    <n v="180"/>
    <n v="103"/>
    <m/>
    <n v="71"/>
    <n v="4051"/>
    <n v="392"/>
    <n v="35"/>
    <n v="0"/>
    <n v="0"/>
    <n v="0"/>
    <n v="0"/>
    <n v="0"/>
    <n v="1559"/>
    <n v="1209"/>
    <n v="171"/>
    <n v="929"/>
    <n v="1342"/>
    <n v="83"/>
    <n v="111"/>
    <n v="561"/>
    <n v="11"/>
    <n v="1021"/>
    <n v="309"/>
    <n v="303"/>
    <n v="384"/>
    <n v="836"/>
    <n v="118"/>
    <n v="126"/>
    <n v="103"/>
    <n v="9"/>
    <n v="257"/>
    <n v="494"/>
    <n v="177"/>
    <n v="257"/>
    <n v="1"/>
    <n v="49"/>
    <m/>
    <n v="282"/>
    <n v="31"/>
    <n v="353"/>
    <n v="113"/>
    <n v="26"/>
    <n v="270"/>
    <n v="26"/>
    <n v="3702"/>
    <n v="93"/>
    <n v="32"/>
    <n v="199"/>
    <n v="57"/>
    <n v="12"/>
    <n v="9"/>
    <n v="5"/>
    <m/>
    <n v="5210"/>
    <n v="70"/>
    <n v="3913"/>
    <n v="1227"/>
    <n v="2011"/>
  </r>
  <r>
    <n v="106560492"/>
    <s v="560492"/>
    <x v="320"/>
    <s v="215 WEST JANSS ROAD"/>
    <s v="THOUSAND OAKS"/>
    <n v="91360"/>
    <x v="2"/>
    <x v="0"/>
    <x v="78"/>
    <x v="23"/>
    <s v="240b"/>
    <m/>
    <s v="10 - Santa Barbara/Ventura"/>
    <x v="52"/>
    <s v="General Acute Care"/>
    <s v="Investor - Corporation"/>
    <s v="General Medical / Surgical"/>
    <n v="290"/>
    <x v="0"/>
    <n v="16912"/>
    <n v="14055"/>
    <m/>
    <m/>
    <n v="3691"/>
    <n v="3710"/>
    <n v="4432"/>
    <n v="3509"/>
    <n v="3836"/>
    <n v="3558"/>
    <n v="2649"/>
    <n v="2016"/>
    <n v="2885"/>
    <n v="681"/>
    <m/>
    <n v="1109"/>
    <n v="571"/>
    <n v="5249"/>
    <n v="20"/>
    <n v="686"/>
    <n v="268"/>
    <n v="23064"/>
    <n v="810"/>
    <n v="382"/>
    <n v="4"/>
    <n v="78"/>
    <n v="29"/>
    <n v="4"/>
    <n v="2"/>
    <n v="4"/>
    <n v="570"/>
    <n v="94"/>
    <n v="48"/>
    <n v="28899"/>
    <n v="37"/>
    <n v="6"/>
    <m/>
    <n v="2285"/>
    <n v="6540"/>
    <n v="3274"/>
    <n v="15091"/>
    <n v="3777"/>
    <n v="642"/>
    <n v="52"/>
    <n v="738"/>
    <n v="3"/>
    <n v="1286"/>
    <n v="236"/>
    <n v="1335"/>
    <n v="274"/>
    <n v="9362"/>
    <n v="1417"/>
    <n v="14"/>
    <n v="1804"/>
    <n v="1546"/>
    <n v="47"/>
    <n v="773"/>
    <n v="2267"/>
    <n v="954"/>
    <n v="8217"/>
    <m/>
    <m/>
    <n v="3424"/>
    <n v="183"/>
    <n v="246"/>
    <n v="31"/>
    <n v="171"/>
    <n v="180"/>
    <n v="71"/>
    <n v="428"/>
    <n v="20846"/>
    <n v="3776"/>
    <n v="282"/>
    <n v="1003"/>
    <n v="132"/>
    <n v="133"/>
    <n v="61"/>
    <m/>
    <n v="30967"/>
    <n v="112"/>
    <n v="29771"/>
    <n v="1084"/>
    <n v="4471"/>
    <n v="3617"/>
    <m/>
    <m/>
    <n v="218"/>
    <n v="378"/>
    <n v="383"/>
    <n v="684"/>
    <n v="1039"/>
    <n v="1175"/>
    <n v="1420"/>
    <n v="2628"/>
    <n v="56"/>
    <n v="107"/>
    <m/>
    <n v="274"/>
    <n v="88"/>
    <n v="626"/>
    <n v="339"/>
    <n v="59"/>
    <n v="6697"/>
    <n v="5"/>
    <n v="244"/>
    <n v="95"/>
    <n v="272"/>
    <n v="1104"/>
    <n v="218"/>
    <n v="10"/>
    <n v="75"/>
    <n v="5017"/>
    <n v="1051"/>
    <n v="2"/>
    <n v="0"/>
    <n v="0"/>
    <n v="0"/>
    <n v="0"/>
    <n v="0"/>
    <n v="380"/>
    <n v="4824"/>
    <n v="124"/>
    <n v="2351"/>
    <n v="409"/>
    <n v="104"/>
    <n v="114"/>
    <n v="1785"/>
    <n v="9"/>
    <n v="1180"/>
    <n v="246"/>
    <n v="442"/>
    <n v="546"/>
    <n v="1218"/>
    <n v="197"/>
    <n v="156"/>
    <n v="208"/>
    <n v="12"/>
    <n v="114"/>
    <n v="868"/>
    <n v="194"/>
    <n v="683"/>
    <n v="2"/>
    <n v="10"/>
    <m/>
    <n v="733"/>
    <n v="67"/>
    <n v="446"/>
    <n v="14"/>
    <n v="45"/>
    <n v="35"/>
    <n v="23"/>
    <n v="6236"/>
    <n v="115"/>
    <n v="58"/>
    <n v="198"/>
    <n v="77"/>
    <n v="19"/>
    <n v="21"/>
    <n v="1"/>
    <m/>
    <n v="8088"/>
    <n v="60"/>
    <n v="7835"/>
    <n v="193"/>
    <n v="2011"/>
  </r>
  <r>
    <n v="106560501"/>
    <s v="560501"/>
    <x v="321"/>
    <s v="1306 MARICOPA HIGHWAY"/>
    <s v="OJAI"/>
    <n v="93023"/>
    <x v="0"/>
    <x v="0"/>
    <x v="78"/>
    <x v="23"/>
    <s v="238"/>
    <m/>
    <s v="10 - Santa Barbara/Ventura"/>
    <x v="52"/>
    <s v="General Acute Care"/>
    <s v="Non-Profit Corporation (incl. Church-related)"/>
    <s v="General Medical / Surgical"/>
    <n v="37"/>
    <x v="2"/>
    <n v="3826"/>
    <n v="3205"/>
    <m/>
    <m/>
    <n v="702"/>
    <n v="750"/>
    <n v="755"/>
    <n v="633"/>
    <n v="1036"/>
    <n v="893"/>
    <n v="768"/>
    <n v="594"/>
    <n v="813"/>
    <n v="87"/>
    <m/>
    <n v="48"/>
    <n v="77"/>
    <n v="721"/>
    <n v="9"/>
    <n v="142"/>
    <n v="4"/>
    <n v="6030"/>
    <n v="212"/>
    <n v="121"/>
    <m/>
    <n v="16"/>
    <n v="2"/>
    <n v="1"/>
    <m/>
    <n v="3"/>
    <m/>
    <n v="11"/>
    <n v="3"/>
    <n v="6600"/>
    <n v="62"/>
    <m/>
    <m/>
    <n v="1348"/>
    <n v="2107"/>
    <n v="216"/>
    <n v="2374"/>
    <n v="986"/>
    <n v="37"/>
    <n v="12"/>
    <n v="251"/>
    <n v="2"/>
    <n v="397"/>
    <n v="74"/>
    <n v="394"/>
    <n v="124"/>
    <n v="2157"/>
    <n v="352"/>
    <n v="11"/>
    <n v="636"/>
    <n v="117"/>
    <n v="1"/>
    <n v="291"/>
    <n v="594"/>
    <n v="369"/>
    <n v="1212"/>
    <m/>
    <m/>
    <n v="705"/>
    <n v="66"/>
    <n v="66"/>
    <n v="10"/>
    <n v="58"/>
    <n v="15"/>
    <n v="56"/>
    <n v="147"/>
    <n v="4675"/>
    <n v="933"/>
    <n v="88"/>
    <n v="156"/>
    <n v="14"/>
    <n v="30"/>
    <n v="12"/>
    <m/>
    <n v="7031"/>
    <n v="14"/>
    <n v="6729"/>
    <n v="288"/>
    <n v="324"/>
    <n v="222"/>
    <m/>
    <m/>
    <n v="15"/>
    <n v="16"/>
    <n v="23"/>
    <n v="51"/>
    <n v="71"/>
    <n v="86"/>
    <n v="94"/>
    <n v="184"/>
    <m/>
    <n v="6"/>
    <m/>
    <n v="2"/>
    <n v="1"/>
    <n v="28"/>
    <n v="10"/>
    <m/>
    <n v="503"/>
    <n v="2"/>
    <n v="57"/>
    <m/>
    <n v="9"/>
    <n v="40"/>
    <n v="18"/>
    <m/>
    <n v="4"/>
    <n v="280"/>
    <n v="138"/>
    <m/>
    <n v="0"/>
    <n v="0"/>
    <n v="0"/>
    <n v="0"/>
    <n v="0"/>
    <n v="57"/>
    <n v="338"/>
    <n v="2"/>
    <n v="122"/>
    <n v="27"/>
    <n v="1"/>
    <n v="5"/>
    <n v="70"/>
    <m/>
    <n v="110"/>
    <n v="22"/>
    <n v="34"/>
    <n v="60"/>
    <n v="97"/>
    <n v="10"/>
    <n v="4"/>
    <n v="15"/>
    <m/>
    <n v="3"/>
    <n v="93"/>
    <n v="6"/>
    <n v="16"/>
    <m/>
    <m/>
    <m/>
    <n v="64"/>
    <n v="10"/>
    <n v="41"/>
    <m/>
    <n v="6"/>
    <n v="5"/>
    <n v="3"/>
    <n v="378"/>
    <n v="13"/>
    <n v="3"/>
    <n v="5"/>
    <n v="14"/>
    <m/>
    <n v="4"/>
    <m/>
    <m/>
    <n v="546"/>
    <n v="2"/>
    <n v="533"/>
    <n v="11"/>
    <n v="2011"/>
  </r>
  <r>
    <n v="106560508"/>
    <s v="560508"/>
    <x v="322"/>
    <s v="2309 ANTONIO AVENUE"/>
    <s v="CAMARILLO"/>
    <n v="93010"/>
    <x v="0"/>
    <x v="0"/>
    <x v="78"/>
    <x v="23"/>
    <s v="239"/>
    <m/>
    <s v="10 - Santa Barbara/Ventura"/>
    <x v="52"/>
    <s v="General Acute Care"/>
    <s v="Non-Profit Corporation (incl. Church-related)"/>
    <s v="General Medical / Surgical"/>
    <n v="81"/>
    <x v="0"/>
    <n v="7897"/>
    <n v="6163"/>
    <m/>
    <m/>
    <n v="1622"/>
    <n v="1594"/>
    <n v="1986"/>
    <n v="1494"/>
    <n v="1514"/>
    <n v="1423"/>
    <n v="1104"/>
    <n v="1103"/>
    <n v="1957"/>
    <n v="263"/>
    <m/>
    <n v="434"/>
    <n v="398"/>
    <n v="3148"/>
    <n v="12"/>
    <n v="1036"/>
    <m/>
    <n v="9032"/>
    <n v="287"/>
    <n v="295"/>
    <n v="6"/>
    <n v="11"/>
    <n v="14"/>
    <n v="3"/>
    <m/>
    <n v="2"/>
    <n v="6"/>
    <n v="46"/>
    <n v="22"/>
    <n v="13328"/>
    <n v="14"/>
    <n v="26"/>
    <m/>
    <n v="1756"/>
    <n v="3770"/>
    <n v="1474"/>
    <n v="5349"/>
    <n v="1711"/>
    <n v="203"/>
    <n v="31"/>
    <n v="407"/>
    <n v="1"/>
    <n v="609"/>
    <n v="165"/>
    <n v="714"/>
    <n v="233"/>
    <n v="3923"/>
    <n v="916"/>
    <n v="15"/>
    <n v="799"/>
    <n v="756"/>
    <n v="7"/>
    <n v="392"/>
    <n v="1132"/>
    <n v="536"/>
    <n v="3221"/>
    <m/>
    <m/>
    <n v="1435"/>
    <n v="68"/>
    <n v="158"/>
    <n v="9"/>
    <n v="93"/>
    <n v="6"/>
    <n v="100"/>
    <n v="158"/>
    <n v="9821"/>
    <n v="1610"/>
    <n v="91"/>
    <n v="370"/>
    <n v="55"/>
    <n v="76"/>
    <n v="10"/>
    <m/>
    <n v="14060"/>
    <n v="63"/>
    <n v="13618"/>
    <n v="379"/>
    <n v="1581"/>
    <n v="1226"/>
    <m/>
    <m/>
    <n v="53"/>
    <n v="105"/>
    <n v="97"/>
    <n v="183"/>
    <n v="239"/>
    <n v="358"/>
    <n v="539"/>
    <n v="1226"/>
    <n v="1"/>
    <n v="6"/>
    <m/>
    <n v="110"/>
    <n v="48"/>
    <n v="369"/>
    <n v="92"/>
    <m/>
    <n v="2188"/>
    <m/>
    <n v="160"/>
    <n v="48"/>
    <n v="97"/>
    <n v="602"/>
    <n v="63"/>
    <n v="14"/>
    <n v="68"/>
    <n v="1272"/>
    <n v="482"/>
    <n v="1"/>
    <n v="0"/>
    <n v="0"/>
    <n v="0"/>
    <n v="0"/>
    <n v="0"/>
    <n v="135"/>
    <n v="2008"/>
    <n v="50"/>
    <n v="519"/>
    <n v="95"/>
    <n v="17"/>
    <n v="32"/>
    <n v="583"/>
    <n v="1"/>
    <n v="455"/>
    <n v="119"/>
    <n v="140"/>
    <n v="221"/>
    <n v="306"/>
    <n v="56"/>
    <n v="37"/>
    <n v="80"/>
    <n v="1"/>
    <n v="36"/>
    <n v="368"/>
    <n v="62"/>
    <n v="292"/>
    <m/>
    <n v="1"/>
    <m/>
    <n v="225"/>
    <n v="7"/>
    <n v="190"/>
    <m/>
    <m/>
    <n v="145"/>
    <n v="8"/>
    <n v="2145"/>
    <n v="34"/>
    <n v="2"/>
    <n v="6"/>
    <n v="21"/>
    <n v="9"/>
    <n v="15"/>
    <m/>
    <m/>
    <n v="2807"/>
    <n v="26"/>
    <n v="2706"/>
    <n v="75"/>
    <n v="2011"/>
  </r>
  <r>
    <n v="106560525"/>
    <s v="560525"/>
    <x v="323"/>
    <s v="2975 NORTH SYCAMORE DRIVE"/>
    <s v="SIMI VALLEY"/>
    <n v="93065"/>
    <x v="0"/>
    <x v="0"/>
    <x v="41"/>
    <x v="23"/>
    <s v="240a"/>
    <m/>
    <s v="10 - Santa Barbara/Ventura"/>
    <x v="52"/>
    <s v="General Acute Care"/>
    <s v="Non-Profit Corporation (incl. Church-related)"/>
    <s v="General Medical / Surgical"/>
    <n v="144"/>
    <x v="0"/>
    <n v="13132"/>
    <n v="11177"/>
    <m/>
    <m/>
    <n v="3493"/>
    <n v="3292"/>
    <n v="3740"/>
    <n v="2969"/>
    <n v="3255"/>
    <n v="2591"/>
    <n v="1711"/>
    <n v="1237"/>
    <n v="1304"/>
    <n v="717"/>
    <m/>
    <n v="666"/>
    <n v="469"/>
    <n v="5336"/>
    <n v="7"/>
    <m/>
    <n v="4"/>
    <n v="17827"/>
    <n v="601"/>
    <n v="304"/>
    <n v="102"/>
    <n v="24"/>
    <n v="149"/>
    <m/>
    <m/>
    <n v="120"/>
    <n v="191"/>
    <m/>
    <n v="4"/>
    <n v="22770"/>
    <n v="44"/>
    <m/>
    <m/>
    <n v="6009"/>
    <n v="2871"/>
    <n v="458"/>
    <n v="10955"/>
    <n v="4016"/>
    <n v="486"/>
    <n v="61"/>
    <n v="552"/>
    <n v="3"/>
    <n v="1292"/>
    <n v="289"/>
    <n v="1285"/>
    <n v="328"/>
    <n v="6529"/>
    <n v="1312"/>
    <n v="23"/>
    <n v="1503"/>
    <n v="987"/>
    <n v="10"/>
    <n v="857"/>
    <n v="2449"/>
    <n v="827"/>
    <n v="5516"/>
    <m/>
    <m/>
    <n v="2156"/>
    <n v="117"/>
    <n v="340"/>
    <n v="14"/>
    <n v="213"/>
    <n v="18"/>
    <n v="99"/>
    <n v="305"/>
    <n v="16978"/>
    <n v="2903"/>
    <n v="176"/>
    <n v="724"/>
    <n v="94"/>
    <n v="124"/>
    <n v="48"/>
    <m/>
    <n v="24309"/>
    <n v="102"/>
    <n v="22986"/>
    <n v="1221"/>
    <n v="2158"/>
    <n v="1730"/>
    <m/>
    <m/>
    <n v="103"/>
    <n v="255"/>
    <n v="251"/>
    <n v="438"/>
    <n v="515"/>
    <n v="587"/>
    <n v="664"/>
    <n v="994"/>
    <n v="24"/>
    <n v="57"/>
    <m/>
    <n v="198"/>
    <n v="63"/>
    <n v="582"/>
    <m/>
    <n v="2"/>
    <n v="3043"/>
    <m/>
    <n v="249"/>
    <n v="67"/>
    <n v="103"/>
    <n v="424"/>
    <n v="70"/>
    <n v="16"/>
    <n v="45"/>
    <n v="2457"/>
    <n v="457"/>
    <m/>
    <n v="0"/>
    <n v="0"/>
    <n v="0"/>
    <n v="0"/>
    <n v="0"/>
    <n v="425"/>
    <n v="1726"/>
    <n v="25"/>
    <n v="1458"/>
    <n v="254"/>
    <n v="40"/>
    <n v="48"/>
    <n v="677"/>
    <n v="2"/>
    <n v="781"/>
    <n v="181"/>
    <n v="240"/>
    <n v="271"/>
    <n v="418"/>
    <n v="93"/>
    <n v="88"/>
    <n v="107"/>
    <m/>
    <n v="75"/>
    <n v="470"/>
    <n v="95"/>
    <n v="288"/>
    <n v="4"/>
    <n v="10"/>
    <m/>
    <n v="273"/>
    <n v="43"/>
    <n v="395"/>
    <n v="7"/>
    <n v="31"/>
    <n v="195"/>
    <n v="10"/>
    <n v="2785"/>
    <n v="65"/>
    <n v="8"/>
    <n v="19"/>
    <n v="29"/>
    <n v="15"/>
    <n v="12"/>
    <n v="1"/>
    <m/>
    <n v="3888"/>
    <n v="47"/>
    <n v="3663"/>
    <n v="178"/>
    <n v="2011"/>
  </r>
  <r>
    <n v="106560529"/>
    <s v="560529"/>
    <x v="324"/>
    <s v="1600 NORTH ROSE AVENUE"/>
    <s v="OXNARD"/>
    <n v="93030"/>
    <x v="0"/>
    <x v="0"/>
    <x v="73"/>
    <x v="17"/>
    <s v="241b"/>
    <m/>
    <s v="10 - Santa Barbara/Ventura"/>
    <x v="52"/>
    <s v="General Acute Care"/>
    <s v="Non-Profit Corporation (incl. Church-related)"/>
    <s v="General Medical / Surgical"/>
    <n v="265"/>
    <x v="0"/>
    <n v="21181"/>
    <n v="17704"/>
    <m/>
    <m/>
    <n v="6900"/>
    <n v="4600"/>
    <n v="6738"/>
    <n v="5165"/>
    <n v="4202"/>
    <n v="3342"/>
    <n v="2237"/>
    <n v="1902"/>
    <n v="1789"/>
    <n v="2010"/>
    <m/>
    <n v="1361"/>
    <n v="1684"/>
    <n v="26102"/>
    <n v="11"/>
    <n v="306"/>
    <m/>
    <n v="9421"/>
    <n v="294"/>
    <n v="1207"/>
    <n v="20"/>
    <n v="67"/>
    <n v="19"/>
    <n v="1"/>
    <m/>
    <m/>
    <n v="178"/>
    <n v="147"/>
    <m/>
    <n v="36926"/>
    <n v="14"/>
    <n v="12"/>
    <m/>
    <n v="13077"/>
    <n v="6074"/>
    <n v="4277"/>
    <n v="7722"/>
    <n v="7735"/>
    <n v="1412"/>
    <n v="122"/>
    <n v="679"/>
    <n v="11"/>
    <n v="2361"/>
    <n v="684"/>
    <n v="1964"/>
    <n v="1264"/>
    <n v="8195"/>
    <n v="2013"/>
    <n v="39"/>
    <n v="2245"/>
    <n v="2966"/>
    <n v="99"/>
    <n v="1595"/>
    <n v="4090"/>
    <n v="1496"/>
    <n v="7649"/>
    <n v="1"/>
    <m/>
    <n v="2525"/>
    <n v="147"/>
    <n v="279"/>
    <n v="21"/>
    <n v="526"/>
    <n v="8"/>
    <n v="260"/>
    <n v="279"/>
    <n v="29581"/>
    <n v="3624"/>
    <n v="143"/>
    <n v="1078"/>
    <n v="162"/>
    <n v="194"/>
    <n v="58"/>
    <m/>
    <n v="38885"/>
    <n v="69"/>
    <n v="31848"/>
    <n v="6968"/>
    <n v="3467"/>
    <n v="3284"/>
    <m/>
    <m/>
    <n v="184"/>
    <n v="328"/>
    <n v="371"/>
    <n v="589"/>
    <n v="916"/>
    <n v="1037"/>
    <n v="1313"/>
    <n v="1747"/>
    <n v="125"/>
    <n v="141"/>
    <m/>
    <n v="487"/>
    <n v="342"/>
    <n v="3384"/>
    <n v="47"/>
    <m/>
    <n v="2489"/>
    <n v="2"/>
    <n v="148"/>
    <n v="86"/>
    <n v="248"/>
    <n v="1546"/>
    <n v="158"/>
    <n v="48"/>
    <n v="22"/>
    <n v="3656"/>
    <n v="837"/>
    <n v="2"/>
    <n v="0"/>
    <n v="0"/>
    <n v="0"/>
    <n v="0"/>
    <n v="0"/>
    <n v="1048"/>
    <n v="4038"/>
    <n v="230"/>
    <n v="1103"/>
    <n v="332"/>
    <n v="88"/>
    <n v="79"/>
    <n v="1513"/>
    <n v="5"/>
    <n v="1049"/>
    <n v="389"/>
    <n v="397"/>
    <n v="583"/>
    <n v="573"/>
    <n v="131"/>
    <n v="126"/>
    <n v="176"/>
    <n v="3"/>
    <n v="70"/>
    <n v="862"/>
    <n v="143"/>
    <n v="526"/>
    <n v="3"/>
    <n v="35"/>
    <m/>
    <n v="368"/>
    <n v="70"/>
    <n v="345"/>
    <n v="9"/>
    <n v="20"/>
    <n v="356"/>
    <n v="3"/>
    <n v="5408"/>
    <n v="73"/>
    <n v="4"/>
    <n v="22"/>
    <n v="44"/>
    <n v="19"/>
    <n v="10"/>
    <m/>
    <m/>
    <n v="6751"/>
    <n v="55"/>
    <n v="5422"/>
    <n v="1274"/>
    <n v="2011"/>
  </r>
  <r>
    <n v="106571086"/>
    <s v="571086"/>
    <x v="325"/>
    <s v="1325 COTTONWOOD STREET"/>
    <s v="WOODLAND"/>
    <n v="95695"/>
    <x v="0"/>
    <x v="0"/>
    <x v="77"/>
    <x v="37"/>
    <s v="246.1"/>
    <m/>
    <s v="02 - Golden Empire"/>
    <x v="53"/>
    <s v="General Acute Care"/>
    <s v="Non-Profit Corporation (incl. Church-related)"/>
    <s v="General Medical / Surgical"/>
    <n v="88"/>
    <x v="0"/>
    <n v="9944"/>
    <n v="8300"/>
    <n v="1"/>
    <m/>
    <n v="2534"/>
    <n v="2206"/>
    <n v="2925"/>
    <n v="2284"/>
    <n v="2156"/>
    <n v="2262"/>
    <n v="1209"/>
    <n v="960"/>
    <n v="1137"/>
    <n v="572"/>
    <m/>
    <n v="212"/>
    <n v="673"/>
    <n v="6986"/>
    <n v="18"/>
    <n v="509"/>
    <n v="28"/>
    <n v="9819"/>
    <n v="186"/>
    <m/>
    <n v="85"/>
    <n v="27"/>
    <n v="39"/>
    <n v="2"/>
    <m/>
    <n v="1"/>
    <n v="362"/>
    <n v="272"/>
    <m/>
    <n v="17108"/>
    <n v="163"/>
    <m/>
    <m/>
    <n v="6346"/>
    <n v="3292"/>
    <n v="1626"/>
    <n v="4363"/>
    <n v="2618"/>
    <n v="441"/>
    <n v="47"/>
    <n v="480"/>
    <n v="1"/>
    <n v="1058"/>
    <n v="282"/>
    <n v="1038"/>
    <n v="389"/>
    <n v="3758"/>
    <n v="1203"/>
    <n v="20"/>
    <n v="1258"/>
    <n v="700"/>
    <n v="26"/>
    <n v="1099"/>
    <n v="1858"/>
    <n v="572"/>
    <n v="4015"/>
    <m/>
    <m/>
    <n v="1092"/>
    <n v="134"/>
    <n v="135"/>
    <n v="6"/>
    <n v="200"/>
    <n v="12"/>
    <n v="75"/>
    <n v="255"/>
    <n v="13922"/>
    <n v="1769"/>
    <n v="99"/>
    <n v="302"/>
    <n v="91"/>
    <n v="121"/>
    <n v="32"/>
    <m/>
    <n v="18245"/>
    <n v="204"/>
    <n v="15918"/>
    <n v="2123"/>
    <n v="1061"/>
    <n v="983"/>
    <m/>
    <m/>
    <n v="60"/>
    <n v="116"/>
    <n v="158"/>
    <n v="195"/>
    <n v="352"/>
    <n v="295"/>
    <n v="333"/>
    <n v="488"/>
    <n v="17"/>
    <n v="30"/>
    <m/>
    <n v="31"/>
    <n v="54"/>
    <n v="512"/>
    <n v="45"/>
    <n v="1"/>
    <n v="1400"/>
    <n v="1"/>
    <n v="74"/>
    <n v="18"/>
    <n v="102"/>
    <n v="133"/>
    <n v="35"/>
    <m/>
    <n v="75"/>
    <n v="1229"/>
    <n v="370"/>
    <n v="8"/>
    <n v="0"/>
    <n v="0"/>
    <n v="0"/>
    <n v="0"/>
    <n v="0"/>
    <n v="331"/>
    <n v="1103"/>
    <n v="55"/>
    <n v="346"/>
    <n v="209"/>
    <n v="27"/>
    <n v="36"/>
    <n v="308"/>
    <m/>
    <n v="350"/>
    <n v="88"/>
    <n v="126"/>
    <n v="218"/>
    <n v="207"/>
    <n v="26"/>
    <n v="36"/>
    <n v="41"/>
    <m/>
    <n v="188"/>
    <n v="318"/>
    <n v="33"/>
    <n v="39"/>
    <n v="1"/>
    <n v="2"/>
    <m/>
    <n v="112"/>
    <n v="25"/>
    <n v="92"/>
    <n v="5"/>
    <n v="12"/>
    <n v="74"/>
    <n v="6"/>
    <n v="1659"/>
    <n v="14"/>
    <n v="3"/>
    <n v="2"/>
    <n v="38"/>
    <n v="1"/>
    <m/>
    <n v="1"/>
    <m/>
    <n v="2044"/>
    <n v="24"/>
    <n v="1789"/>
    <n v="231"/>
    <n v="2011"/>
  </r>
  <r>
    <n v="106574010"/>
    <s v="574010"/>
    <x v="326"/>
    <s v="2000 SUTTER PLACE"/>
    <s v="DAVIS"/>
    <n v="95616"/>
    <x v="0"/>
    <x v="0"/>
    <x v="77"/>
    <x v="37"/>
    <s v="244"/>
    <m/>
    <s v="02 - Golden Empire"/>
    <x v="53"/>
    <s v="General Acute Care"/>
    <s v="Non-Profit Corporation (incl. Church-related)"/>
    <s v="General Medical / Surgical"/>
    <n v="48"/>
    <x v="0"/>
    <n v="10394"/>
    <n v="8487"/>
    <n v="2"/>
    <m/>
    <n v="2369"/>
    <n v="2218"/>
    <n v="4136"/>
    <n v="2296"/>
    <n v="1994"/>
    <n v="1850"/>
    <n v="1284"/>
    <n v="981"/>
    <n v="1230"/>
    <n v="525"/>
    <m/>
    <n v="1184"/>
    <n v="838"/>
    <n v="4838"/>
    <n v="44"/>
    <n v="97"/>
    <n v="40"/>
    <n v="11842"/>
    <n v="397"/>
    <n v="26"/>
    <m/>
    <n v="16"/>
    <n v="1"/>
    <m/>
    <n v="1"/>
    <n v="57"/>
    <n v="62"/>
    <n v="138"/>
    <m/>
    <n v="17921"/>
    <n v="264"/>
    <m/>
    <m/>
    <n v="5100"/>
    <n v="3239"/>
    <n v="648"/>
    <n v="7637"/>
    <n v="2259"/>
    <n v="431"/>
    <n v="56"/>
    <n v="554"/>
    <n v="3"/>
    <n v="1375"/>
    <n v="326"/>
    <n v="1248"/>
    <n v="277"/>
    <n v="4929"/>
    <n v="756"/>
    <n v="39"/>
    <n v="1547"/>
    <n v="246"/>
    <n v="19"/>
    <n v="929"/>
    <n v="2028"/>
    <n v="660"/>
    <n v="3460"/>
    <m/>
    <m/>
    <n v="1493"/>
    <n v="88"/>
    <n v="143"/>
    <n v="11"/>
    <n v="175"/>
    <n v="1"/>
    <n v="57"/>
    <n v="251"/>
    <n v="13550"/>
    <n v="2231"/>
    <n v="303"/>
    <n v="366"/>
    <n v="43"/>
    <n v="119"/>
    <n v="52"/>
    <m/>
    <n v="18883"/>
    <n v="552"/>
    <n v="16199"/>
    <n v="2132"/>
    <n v="854"/>
    <n v="694"/>
    <m/>
    <m/>
    <n v="35"/>
    <n v="117"/>
    <n v="91"/>
    <n v="122"/>
    <n v="232"/>
    <n v="252"/>
    <n v="274"/>
    <n v="420"/>
    <m/>
    <n v="5"/>
    <m/>
    <n v="50"/>
    <n v="40"/>
    <n v="316"/>
    <n v="2"/>
    <n v="3"/>
    <n v="1130"/>
    <n v="7"/>
    <n v="70"/>
    <n v="9"/>
    <n v="40"/>
    <n v="154"/>
    <n v="3"/>
    <n v="12"/>
    <n v="6"/>
    <n v="954"/>
    <n v="300"/>
    <m/>
    <n v="0"/>
    <n v="0"/>
    <n v="0"/>
    <n v="0"/>
    <n v="0"/>
    <n v="197"/>
    <n v="876"/>
    <n v="21"/>
    <n v="336"/>
    <n v="118"/>
    <n v="17"/>
    <n v="29"/>
    <n v="195"/>
    <n v="1"/>
    <n v="391"/>
    <n v="46"/>
    <n v="108"/>
    <n v="217"/>
    <n v="176"/>
    <n v="15"/>
    <n v="47"/>
    <n v="24"/>
    <n v="1"/>
    <n v="13"/>
    <n v="193"/>
    <n v="26"/>
    <n v="49"/>
    <m/>
    <m/>
    <m/>
    <n v="92"/>
    <n v="19"/>
    <n v="186"/>
    <n v="2"/>
    <n v="2"/>
    <n v="77"/>
    <n v="1"/>
    <n v="1125"/>
    <n v="15"/>
    <n v="10"/>
    <n v="3"/>
    <n v="11"/>
    <n v="5"/>
    <m/>
    <m/>
    <m/>
    <n v="1548"/>
    <n v="54"/>
    <n v="1325"/>
    <n v="169"/>
    <n v="2011"/>
  </r>
  <r>
    <n v="106580996"/>
    <s v="580996"/>
    <x v="327"/>
    <s v="726 FOURTH ST"/>
    <s v="MARYSVILLE"/>
    <n v="95901"/>
    <x v="4"/>
    <x v="0"/>
    <x v="5"/>
    <x v="3"/>
    <s v="249"/>
    <m/>
    <s v="02 - Golden Empire"/>
    <x v="54"/>
    <s v="General Acute Care"/>
    <s v="Non-Profit Corporation (incl. Church-related)"/>
    <s v="General Medical / Surgical"/>
    <n v="173"/>
    <x v="0"/>
    <n v="23903"/>
    <n v="19200"/>
    <m/>
    <m/>
    <n v="5221"/>
    <n v="4703"/>
    <n v="8616"/>
    <n v="6128"/>
    <n v="5554"/>
    <n v="4963"/>
    <n v="2843"/>
    <n v="1841"/>
    <n v="1677"/>
    <n v="1554"/>
    <n v="3"/>
    <n v="2501"/>
    <n v="1623"/>
    <n v="8934"/>
    <n v="250"/>
    <n v="331"/>
    <n v="32"/>
    <n v="29432"/>
    <n v="310"/>
    <n v="2224"/>
    <n v="10"/>
    <n v="80"/>
    <n v="68"/>
    <n v="4"/>
    <n v="2"/>
    <m/>
    <n v="80"/>
    <n v="316"/>
    <n v="120"/>
    <n v="39736"/>
    <n v="153"/>
    <m/>
    <m/>
    <n v="20602"/>
    <n v="6418"/>
    <n v="1552"/>
    <n v="5266"/>
    <n v="9265"/>
    <n v="1160"/>
    <n v="151"/>
    <n v="788"/>
    <n v="11"/>
    <n v="2262"/>
    <n v="482"/>
    <n v="2565"/>
    <n v="456"/>
    <n v="8996"/>
    <n v="3348"/>
    <n v="46"/>
    <n v="2045"/>
    <n v="2262"/>
    <n v="51"/>
    <n v="1139"/>
    <n v="3429"/>
    <n v="1711"/>
    <n v="12201"/>
    <m/>
    <m/>
    <n v="2615"/>
    <n v="239"/>
    <n v="248"/>
    <n v="37"/>
    <n v="437"/>
    <n v="11"/>
    <n v="87"/>
    <n v="361"/>
    <n v="32796"/>
    <n v="4320"/>
    <n v="189"/>
    <n v="1172"/>
    <n v="160"/>
    <n v="211"/>
    <n v="220"/>
    <m/>
    <n v="43103"/>
    <n v="585"/>
    <n v="40909"/>
    <n v="1609"/>
    <n v="4347"/>
    <n v="3983"/>
    <m/>
    <m/>
    <n v="166"/>
    <n v="497"/>
    <n v="529"/>
    <n v="886"/>
    <n v="1463"/>
    <n v="1543"/>
    <n v="1457"/>
    <n v="1626"/>
    <n v="69"/>
    <n v="93"/>
    <n v="1"/>
    <n v="679"/>
    <n v="243"/>
    <n v="1097"/>
    <n v="145"/>
    <n v="8"/>
    <n v="6113"/>
    <n v="45"/>
    <n v="95"/>
    <n v="239"/>
    <n v="287"/>
    <n v="1123"/>
    <n v="141"/>
    <m/>
    <m/>
    <n v="5190"/>
    <n v="1245"/>
    <n v="10"/>
    <n v="0"/>
    <n v="0"/>
    <n v="0"/>
    <n v="0"/>
    <n v="0"/>
    <n v="1840"/>
    <n v="4409"/>
    <n v="211"/>
    <n v="965"/>
    <n v="905"/>
    <n v="84"/>
    <n v="104"/>
    <n v="1552"/>
    <n v="3"/>
    <n v="1358"/>
    <n v="414"/>
    <n v="602"/>
    <n v="516"/>
    <n v="876"/>
    <n v="157"/>
    <n v="165"/>
    <n v="208"/>
    <m/>
    <n v="121"/>
    <n v="1235"/>
    <n v="349"/>
    <n v="579"/>
    <m/>
    <n v="7"/>
    <m/>
    <n v="500"/>
    <n v="106"/>
    <n v="584"/>
    <n v="38"/>
    <n v="37"/>
    <n v="374"/>
    <n v="30"/>
    <n v="6359"/>
    <n v="127"/>
    <n v="14"/>
    <n v="89"/>
    <n v="43"/>
    <n v="10"/>
    <n v="15"/>
    <n v="4"/>
    <m/>
    <n v="8330"/>
    <n v="422"/>
    <n v="7549"/>
    <n v="359"/>
    <n v="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FE6E2-278A-46B6-8771-950B4DA630B1}" name="PivotTable1" cacheId="1" dataOnRows="1" applyNumberFormats="0" applyBorderFormats="0" applyFontFormats="0" applyPatternFormats="0" applyAlignmentFormats="0" applyWidthHeightFormats="1" dataCaption="Values" updatedVersion="6" minRefreshableVersion="3" rowGrandTotals="0" colGrandTotals="0" itemPrintTitles="1" createdVersion="4" indent="0" compact="0" compactData="0" multipleFieldFilters="0">
  <location ref="A10:B174" firstHeaderRow="1" firstDataRow="1" firstDataCol="1" rowPageCount="7" colPageCount="1"/>
  <pivotFields count="184">
    <pivotField dataField="1" compact="0" outline="0" showAll="0"/>
    <pivotField dataField="1" compact="0" outline="0" showAll="0" defaultSubtotal="0"/>
    <pivotField name="FACILITY NAME" axis="axisPage" compact="0" outline="0" showAll="0">
      <items count="329">
        <item x="56"/>
        <item x="161"/>
        <item x="5"/>
        <item x="0"/>
        <item x="60"/>
        <item x="1"/>
        <item x="4"/>
        <item x="8"/>
        <item x="231"/>
        <item x="160"/>
        <item x="61"/>
        <item x="230"/>
        <item x="263"/>
        <item x="54"/>
        <item x="47"/>
        <item x="59"/>
        <item x="214"/>
        <item x="29"/>
        <item x="215"/>
        <item x="64"/>
        <item x="65"/>
        <item x="14"/>
        <item x="66"/>
        <item x="67"/>
        <item x="249"/>
        <item x="252"/>
        <item x="62"/>
        <item x="104"/>
        <item x="68"/>
        <item x="163"/>
        <item x="2"/>
        <item x="181"/>
        <item x="137"/>
        <item x="70"/>
        <item x="158"/>
        <item x="255"/>
        <item x="216"/>
        <item x="87"/>
        <item x="110"/>
        <item x="31"/>
        <item x="32"/>
        <item x="120"/>
        <item x="170"/>
        <item x="227"/>
        <item x="19"/>
        <item x="150"/>
        <item x="71"/>
        <item x="94"/>
        <item x="223"/>
        <item x="318"/>
        <item x="33"/>
        <item x="21"/>
        <item x="55"/>
        <item x="189"/>
        <item x="256"/>
        <item x="46"/>
        <item x="190"/>
        <item x="229"/>
        <item x="261"/>
        <item x="308"/>
        <item x="20"/>
        <item x="289"/>
        <item x="75"/>
        <item x="76"/>
        <item x="81"/>
        <item x="186"/>
        <item x="3"/>
        <item x="191"/>
        <item x="280"/>
        <item x="42"/>
        <item x="309"/>
        <item x="77"/>
        <item x="17"/>
        <item x="295"/>
        <item x="235"/>
        <item x="15"/>
        <item x="78"/>
        <item x="164"/>
        <item x="142"/>
        <item x="264"/>
        <item x="173"/>
        <item x="79"/>
        <item x="151"/>
        <item x="80"/>
        <item x="98"/>
        <item x="37"/>
        <item x="274"/>
        <item x="85"/>
        <item x="281"/>
        <item x="82"/>
        <item x="236"/>
        <item x="213"/>
        <item x="302"/>
        <item x="192"/>
        <item x="128"/>
        <item x="228"/>
        <item x="166"/>
        <item x="182"/>
        <item x="83"/>
        <item x="167"/>
        <item x="86"/>
        <item x="39"/>
        <item x="141"/>
        <item x="193"/>
        <item x="25"/>
        <item x="23"/>
        <item x="162"/>
        <item x="133"/>
        <item x="218"/>
        <item x="36"/>
        <item x="7"/>
        <item x="89"/>
        <item x="6"/>
        <item x="91"/>
        <item x="268"/>
        <item x="296"/>
        <item x="199"/>
        <item x="185"/>
        <item x="204"/>
        <item x="237"/>
        <item x="248"/>
        <item x="285"/>
        <item x="138"/>
        <item x="287"/>
        <item x="307"/>
        <item x="90"/>
        <item x="211"/>
        <item x="269"/>
        <item x="24"/>
        <item x="92"/>
        <item x="132"/>
        <item x="200"/>
        <item x="262"/>
        <item x="27"/>
        <item x="134"/>
        <item x="300"/>
        <item x="288"/>
        <item x="314"/>
        <item x="48"/>
        <item x="49"/>
        <item x="168"/>
        <item x="129"/>
        <item x="130"/>
        <item x="74"/>
        <item x="257"/>
        <item x="219"/>
        <item x="203"/>
        <item x="275"/>
        <item x="100"/>
        <item x="169"/>
        <item x="72"/>
        <item x="131"/>
        <item x="124"/>
        <item x="320"/>
        <item x="38"/>
        <item x="136"/>
        <item x="149"/>
        <item x="276"/>
        <item x="139"/>
        <item x="95"/>
        <item x="18"/>
        <item x="30"/>
        <item x="291"/>
        <item x="145"/>
        <item x="310"/>
        <item x="97"/>
        <item x="143"/>
        <item x="198"/>
        <item x="205"/>
        <item x="50"/>
        <item x="212"/>
        <item x="146"/>
        <item x="293"/>
        <item x="294"/>
        <item x="206"/>
        <item x="207"/>
        <item x="101"/>
        <item x="272"/>
        <item x="99"/>
        <item x="176"/>
        <item x="171"/>
        <item x="148"/>
        <item x="217"/>
        <item x="103"/>
        <item x="220"/>
        <item x="153"/>
        <item x="298"/>
        <item x="299"/>
        <item x="44"/>
        <item x="105"/>
        <item x="106"/>
        <item x="140"/>
        <item x="311"/>
        <item x="282"/>
        <item x="321"/>
        <item x="102"/>
        <item x="159"/>
        <item x="16"/>
        <item x="107"/>
        <item x="114"/>
        <item x="306"/>
        <item x="135"/>
        <item x="194"/>
        <item x="240"/>
        <item x="241"/>
        <item x="195"/>
        <item x="303"/>
        <item x="43"/>
        <item x="174"/>
        <item x="187"/>
        <item x="246"/>
        <item x="108"/>
        <item x="109"/>
        <item x="84"/>
        <item x="112"/>
        <item x="93"/>
        <item x="118"/>
        <item x="96"/>
        <item x="154"/>
        <item x="232"/>
        <item x="221"/>
        <item x="40"/>
        <item x="279"/>
        <item x="327"/>
        <item x="51"/>
        <item x="196"/>
        <item x="202"/>
        <item x="121"/>
        <item x="175"/>
        <item x="152"/>
        <item x="222"/>
        <item x="111"/>
        <item x="250"/>
        <item x="73"/>
        <item x="197"/>
        <item x="52"/>
        <item x="258"/>
        <item x="11"/>
        <item x="267"/>
        <item x="26"/>
        <item x="277"/>
        <item x="283"/>
        <item x="113"/>
        <item x="304"/>
        <item x="278"/>
        <item x="247"/>
        <item x="242"/>
        <item x="238"/>
        <item x="188"/>
        <item x="273"/>
        <item x="270"/>
        <item x="271"/>
        <item x="245"/>
        <item x="233"/>
        <item x="234"/>
        <item x="239"/>
        <item x="292"/>
        <item x="115"/>
        <item x="34"/>
        <item x="156"/>
        <item x="315"/>
        <item x="265"/>
        <item x="323"/>
        <item x="305"/>
        <item x="317"/>
        <item x="45"/>
        <item x="201"/>
        <item x="35"/>
        <item x="224"/>
        <item x="312"/>
        <item x="116"/>
        <item x="251"/>
        <item x="155"/>
        <item x="57"/>
        <item x="117"/>
        <item x="322"/>
        <item x="324"/>
        <item x="41"/>
        <item x="177"/>
        <item x="259"/>
        <item x="178"/>
        <item x="286"/>
        <item x="63"/>
        <item x="225"/>
        <item x="253"/>
        <item x="9"/>
        <item x="119"/>
        <item x="284"/>
        <item x="147"/>
        <item x="13"/>
        <item x="183"/>
        <item x="28"/>
        <item x="326"/>
        <item x="22"/>
        <item x="209"/>
        <item x="58"/>
        <item x="301"/>
        <item x="210"/>
        <item x="184"/>
        <item x="297"/>
        <item x="260"/>
        <item x="157"/>
        <item x="53"/>
        <item x="88"/>
        <item x="243"/>
        <item x="69"/>
        <item x="313"/>
        <item x="316"/>
        <item x="266"/>
        <item x="254"/>
        <item x="144"/>
        <item x="208"/>
        <item x="172"/>
        <item x="244"/>
        <item x="122"/>
        <item x="12"/>
        <item x="319"/>
        <item x="123"/>
        <item x="226"/>
        <item x="10"/>
        <item x="290"/>
        <item x="179"/>
        <item x="125"/>
        <item x="180"/>
        <item x="165"/>
        <item x="126"/>
        <item x="127"/>
        <item x="325"/>
        <item t="default"/>
      </items>
    </pivotField>
    <pivotField compact="0" outline="0" showAll="0"/>
    <pivotField compact="0" outline="0" showAll="0"/>
    <pivotField compact="0" outline="0" showAll="0"/>
    <pivotField name="TRAUMA CENTER LEVEL" axis="axisPage" compact="0" outline="0" showAll="0">
      <items count="11">
        <item x="5"/>
        <item x="1"/>
        <item x="8"/>
        <item x="7"/>
        <item x="2"/>
        <item x="9"/>
        <item x="6"/>
        <item x="4"/>
        <item x="3"/>
        <item x="0"/>
        <item t="default"/>
      </items>
    </pivotField>
    <pivotField name="TEACHING HOSPITAL" axis="axisPage" compact="0" outline="0" showAll="0">
      <items count="3">
        <item x="0"/>
        <item x="1"/>
        <item t="default"/>
      </items>
    </pivotField>
    <pivotField name="ASSEMBLY DISTRICT" axis="axisPage" compact="0" outline="0" showAll="0">
      <items count="80">
        <item x="10"/>
        <item x="7"/>
        <item x="5"/>
        <item x="11"/>
        <item x="57"/>
        <item x="42"/>
        <item x="46"/>
        <item x="77"/>
        <item x="58"/>
        <item x="4"/>
        <item x="8"/>
        <item x="67"/>
        <item x="68"/>
        <item x="1"/>
        <item x="9"/>
        <item x="0"/>
        <item x="43"/>
        <item x="2"/>
        <item x="71"/>
        <item x="3"/>
        <item x="72"/>
        <item x="75"/>
        <item x="74"/>
        <item x="76"/>
        <item x="6"/>
        <item x="69"/>
        <item x="44"/>
        <item x="45"/>
        <item x="12"/>
        <item x="13"/>
        <item x="14"/>
        <item x="17"/>
        <item x="70"/>
        <item x="16"/>
        <item x="73"/>
        <item x="19"/>
        <item x="78"/>
        <item x="41"/>
        <item x="32"/>
        <item x="37"/>
        <item x="29"/>
        <item x="36"/>
        <item x="31"/>
        <item x="33"/>
        <item x="28"/>
        <item x="25"/>
        <item x="24"/>
        <item x="39"/>
        <item x="18"/>
        <item x="22"/>
        <item x="26"/>
        <item x="35"/>
        <item x="20"/>
        <item x="21"/>
        <item x="27"/>
        <item x="34"/>
        <item x="23"/>
        <item x="30"/>
        <item x="40"/>
        <item x="38"/>
        <item x="59"/>
        <item x="60"/>
        <item x="54"/>
        <item x="55"/>
        <item x="56"/>
        <item x="49"/>
        <item x="48"/>
        <item x="51"/>
        <item x="53"/>
        <item x="50"/>
        <item x="47"/>
        <item x="52"/>
        <item x="66"/>
        <item x="65"/>
        <item x="62"/>
        <item x="64"/>
        <item x="61"/>
        <item x="63"/>
        <item x="15"/>
        <item t="default"/>
      </items>
    </pivotField>
    <pivotField name="SENATE DISTRICT" axis="axisPage" compact="0" outline="0" showAll="0">
      <items count="41">
        <item x="2"/>
        <item x="7"/>
        <item x="25"/>
        <item x="3"/>
        <item x="37"/>
        <item x="33"/>
        <item x="4"/>
        <item x="36"/>
        <item x="0"/>
        <item x="1"/>
        <item x="38"/>
        <item x="24"/>
        <item x="39"/>
        <item x="5"/>
        <item x="26"/>
        <item x="6"/>
        <item x="11"/>
        <item x="9"/>
        <item x="23"/>
        <item x="20"/>
        <item x="16"/>
        <item x="10"/>
        <item x="17"/>
        <item x="19"/>
        <item x="15"/>
        <item x="14"/>
        <item x="12"/>
        <item x="21"/>
        <item x="18"/>
        <item x="13"/>
        <item x="31"/>
        <item x="22"/>
        <item x="27"/>
        <item x="29"/>
        <item x="28"/>
        <item x="32"/>
        <item x="30"/>
        <item x="35"/>
        <item x="34"/>
        <item x="8"/>
        <item t="default"/>
      </items>
    </pivotField>
    <pivotField compact="0" outline="0" showAll="0"/>
    <pivotField compact="0" outline="0" showAll="0"/>
    <pivotField compact="0" outline="0" showAll="0"/>
    <pivotField name="FACILITY COUNTY" axis="axisPage" compact="0" outline="0"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compact="0" outline="0" showAll="0"/>
    <pivotField compact="0" outline="0" showAll="0"/>
    <pivotField compact="0" outline="0" showAll="0"/>
    <pivotField compact="0" outline="0" showAll="0"/>
    <pivotField name="ED LEVEL" axis="axisPage" compact="0" outline="0" showAll="0">
      <items count="5">
        <item x="1"/>
        <item x="0"/>
        <item x="3"/>
        <item x="2"/>
        <item t="default"/>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s>
  <rowFields count="1">
    <field x="-2"/>
  </rowFields>
  <rowItems count="16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i i="125">
      <x v="125"/>
    </i>
    <i i="126">
      <x v="126"/>
    </i>
    <i i="127">
      <x v="127"/>
    </i>
    <i i="128">
      <x v="128"/>
    </i>
    <i i="129">
      <x v="129"/>
    </i>
    <i i="130">
      <x v="130"/>
    </i>
    <i i="131">
      <x v="131"/>
    </i>
    <i i="132">
      <x v="132"/>
    </i>
    <i i="133">
      <x v="133"/>
    </i>
    <i i="134">
      <x v="134"/>
    </i>
    <i i="135">
      <x v="135"/>
    </i>
    <i i="136">
      <x v="136"/>
    </i>
    <i i="137">
      <x v="137"/>
    </i>
    <i i="138">
      <x v="138"/>
    </i>
    <i i="139">
      <x v="139"/>
    </i>
    <i i="140">
      <x v="140"/>
    </i>
    <i i="141">
      <x v="141"/>
    </i>
    <i i="142">
      <x v="142"/>
    </i>
    <i i="143">
      <x v="143"/>
    </i>
    <i i="144">
      <x v="144"/>
    </i>
    <i i="145">
      <x v="145"/>
    </i>
    <i i="146">
      <x v="146"/>
    </i>
    <i i="147">
      <x v="147"/>
    </i>
    <i i="148">
      <x v="148"/>
    </i>
    <i i="149">
      <x v="149"/>
    </i>
    <i i="150">
      <x v="150"/>
    </i>
    <i i="151">
      <x v="151"/>
    </i>
    <i i="152">
      <x v="152"/>
    </i>
    <i i="153">
      <x v="153"/>
    </i>
    <i i="154">
      <x v="154"/>
    </i>
    <i i="155">
      <x v="155"/>
    </i>
    <i i="156">
      <x v="156"/>
    </i>
    <i i="157">
      <x v="157"/>
    </i>
    <i i="158">
      <x v="158"/>
    </i>
    <i i="159">
      <x v="159"/>
    </i>
    <i i="160">
      <x v="160"/>
    </i>
    <i i="161">
      <x v="161"/>
    </i>
    <i i="162">
      <x v="162"/>
    </i>
    <i i="163">
      <x v="163"/>
    </i>
  </rowItems>
  <colItems count="1">
    <i/>
  </colItems>
  <pageFields count="7">
    <pageField fld="2" hier="-1"/>
    <pageField fld="13" hier="-1"/>
    <pageField fld="18" hier="-1"/>
    <pageField fld="6" hier="-1"/>
    <pageField fld="7" hier="-1"/>
    <pageField fld="9" hier="-1"/>
    <pageField fld="8" hier="-1"/>
  </pageFields>
  <dataFields count="164">
    <dataField name="Count of Facilities Selected" fld="1" subtotal="count" baseField="0" baseItem="0" numFmtId="3"/>
    <dataField name="Sum of oshpd_id9" fld="0" baseField="0" baseItem="0"/>
    <dataField name="Sum of Sex_Female" fld="19" baseField="0" baseItem="3338200" numFmtId="3"/>
    <dataField name="Sum of a_Sex_Female" fld="101" baseField="0" baseItem="3338200" numFmtId="3"/>
    <dataField name="Sum of Sex_Male" fld="20" baseField="0" baseItem="3338200" numFmtId="3"/>
    <dataField name="Sum of a_Sex_Male" fld="102" baseField="0" baseItem="2682264" numFmtId="3"/>
    <dataField name="Sum of Sex_Other" fld="22" baseField="0" baseItem="3798056"/>
    <dataField name="Sum of a_Sex_Other" fld="104" baseField="0" baseItem="3798056"/>
    <dataField name="Sum of Sex_Unknown" fld="21" baseField="0" baseItem="3797312" numFmtId="3"/>
    <dataField name="Sum of a_Sex_Unknown" fld="103" baseField="0" baseItem="0" numFmtId="3"/>
    <dataField name="Sum of Age_Under_1" fld="32" baseField="0" baseItem="0" numFmtId="3"/>
    <dataField name="Sum of a_Age_Under_1" fld="113" baseField="0" baseItem="0" numFmtId="3"/>
    <dataField name="Sum of Age_01_09" fld="23" baseField="0" baseItem="0" numFmtId="3"/>
    <dataField name="Sum of a_Age_01_09" fld="114" baseField="0" baseItem="0" numFmtId="3"/>
    <dataField name="Sum of Age_10_19" fld="24" baseField="0" baseItem="0" numFmtId="3"/>
    <dataField name="Sum of a_Age_10_19" fld="105" baseField="0" baseItem="0" numFmtId="3"/>
    <dataField name="Sum of Age_20_29" fld="25" baseField="0" baseItem="0" numFmtId="3"/>
    <dataField name="Sum of a_Age_20_29" fld="106" baseField="0" baseItem="0" numFmtId="3"/>
    <dataField name="Sum of Age_30_39" fld="26" baseField="0" baseItem="0" numFmtId="3"/>
    <dataField name="Sum of a_Age_30_39" fld="107" baseField="0" baseItem="0" numFmtId="3"/>
    <dataField name="Sum of Age_40_49" fld="27" baseField="0" baseItem="0" numFmtId="3"/>
    <dataField name="Sum of a_Age_40_49" fld="108" baseField="0" baseItem="0" numFmtId="3"/>
    <dataField name="Sum of Age_50_59" fld="28" baseField="0" baseItem="0" numFmtId="3"/>
    <dataField name="Sum of a_Age_50_59" fld="109" baseField="0" baseItem="0" numFmtId="3"/>
    <dataField name="Sum of Age_60_69" fld="29" baseField="0" baseItem="0" numFmtId="3"/>
    <dataField name="Sum of a_Age_60_69" fld="110" baseField="0" baseItem="0" numFmtId="3"/>
    <dataField name="Sum of Age_70_79" fld="30" baseField="0" baseItem="0" numFmtId="3"/>
    <dataField name="Sum of a_Age_70_79" fld="111" baseField="0" baseItem="0" numFmtId="3"/>
    <dataField name="Sum of Age_80_" fld="31" baseField="0" baseItem="0" numFmtId="3"/>
    <dataField name="Sum of a_Age_80_" fld="112" baseField="0" baseItem="0" numFmtId="3"/>
    <dataField name="Sum of Age_Unknown" fld="33" baseField="0" baseItem="0" numFmtId="3"/>
    <dataField name="Sum of a_Age_Unknown" fld="115" baseField="0" baseItem="0" numFmtId="3"/>
    <dataField name="Sum of Asian_Pacific_Island" fld="34" baseField="0" baseItem="3731560"/>
    <dataField name="Sum of a_Asian_Pacific_Isla" fld="116" baseField="0" baseItem="3731560"/>
    <dataField name="Sum of Black" fld="35" baseField="0" baseItem="0" numFmtId="3"/>
    <dataField name="Sum of a_Black" fld="117" baseField="0" baseItem="0" numFmtId="3"/>
    <dataField name="Sum of Unknown_Race" fld="39" baseField="0" baseItem="3731560"/>
    <dataField name="Sum of a_Unknown_Race" fld="120" baseField="0" baseItem="3731560"/>
    <dataField name="Sum of Other_Race" fld="38" baseField="0" baseItem="3731560"/>
    <dataField name="Sum of a_Other_Race" fld="119" baseField="0" baseItem="3731560"/>
    <dataField name="Sum of Native_American_Eski" fld="37" baseField="0" baseItem="3731560"/>
    <dataField name="Sum of a_Native_American_Es" fld="122" baseField="0" baseItem="3731560"/>
    <dataField name="Sum of Hispanic" fld="36" baseField="0" baseItem="0" numFmtId="3"/>
    <dataField name="Sum of a_Hispanic" fld="118" baseField="0" baseItem="0" numFmtId="3"/>
    <dataField name="Sum of White" fld="40" baseField="0" baseItem="0" numFmtId="3"/>
    <dataField name="Sum of a_White" fld="121" baseField="0" baseItem="0" numFmtId="3"/>
    <dataField name="Sum of Hospice_Care" fld="46" baseField="0" baseItem="3731560"/>
    <dataField name="Sum of a_Hospice_Care" fld="133" baseField="0" baseItem="3731560"/>
    <dataField name="Sum of Other_Unknown" fld="48" baseField="0" baseItem="3731560"/>
    <dataField name="Sum of a_Other_Unknown" fld="128" baseField="0" baseItem="3731560"/>
    <dataField name="Sum of Residential_Care_Facility" fld="51" baseField="0" baseItem="3731560"/>
    <dataField name="Sum of a_Residential_Care_Facility" fld="129" baseField="0" baseItem="3731560"/>
    <dataField name="Sum of Psychiatric_Care" fld="50" baseField="0" baseItem="3731560"/>
    <dataField name="Sum of a_Psychiatric_Care" fld="134" baseField="0" baseItem="3731560"/>
    <dataField name="Sum of Not_Defined_Elsewhere" fld="54" baseField="0" baseItem="3731560"/>
    <dataField name="Sum of a_Not_Defined_Elsewhere" fld="137" baseField="0" baseItem="3731560"/>
    <dataField name="Sum of Critical_Access_Hospital" fld="55" baseField="0" baseItem="3731560"/>
    <dataField name="Sum of a_Critical_Access_Hospital" fld="136" baseField="0" baseItem="3731560"/>
    <dataField name="Sum of Childrens_or_Cancer_Center" fld="43" baseField="0" baseItem="3731560"/>
    <dataField name="Sum of a_Childrens_or_Cancer_Center" fld="135" baseField="0" baseItem="3731560"/>
    <dataField name="Sum of Prison_Jail" fld="49" baseField="0" baseItem="3731560"/>
    <dataField name="Sum of a_Prison_Jail" fld="132" baseField="0" baseItem="3731560"/>
    <dataField name="Sum of SN_IC_Care" fld="53" baseField="0" baseItem="3731560"/>
    <dataField name="Sum of a_SN_IC_Care" fld="131" baseField="0" baseItem="3731560"/>
    <dataField name="Sum of Other_Care" fld="47" baseField="0" baseItem="3731560"/>
    <dataField name="Sum of a_Other_Care" fld="127" baseField="0" baseItem="3731560"/>
    <dataField name="Sum of Home_Health_Service" fld="45" baseField="0" baseItem="3731560"/>
    <dataField name="Sum of a_Home_Health_Service" fld="126" baseField="0" baseItem="3731560"/>
    <dataField name="Sum of Against_Medical_Advice" fld="42" baseField="0" baseItem="3731560"/>
    <dataField name="Sum of a_Against_Medical_Advice" fld="124" baseField="0" baseItem="3731560"/>
    <dataField name="Sum of Died" fld="44" baseField="0" baseItem="0" numFmtId="3"/>
    <dataField name="Sum of a_Died" fld="125" baseField="0" baseItem="0" numFmtId="3"/>
    <dataField name="Sum of Routine" fld="52" baseField="0" baseItem="3731560"/>
    <dataField name="Sum of a_Routine" fld="130" baseField="0" baseItem="3731560"/>
    <dataField name="Sum of Acute_Care" fld="41" baseField="0" baseItem="3731560"/>
    <dataField name="Sum of a_Acute_Care" fld="123" baseField="0" baseItem="3731560"/>
    <dataField name="Sum of Medicare" fld="57" baseField="0" baseItem="0" numFmtId="3"/>
    <dataField name="Sum of a_Medicare" fld="139" baseField="0" baseItem="0" numFmtId="3"/>
    <dataField name="Sum of Other_Payer" fld="58" baseField="0" baseItem="3731560"/>
    <dataField name="Sum of a_Other_Payer" fld="140" baseField="0" baseItem="3731560"/>
    <dataField name="Sum of Private_Coverage" fld="59" baseField="0" baseItem="3731560"/>
    <dataField name="Sum of a_Private_Coverage" fld="141" baseField="0" baseItem="3731560"/>
    <dataField name="Sum of Medi_Cal" fld="56" baseField="0" baseItem="3731560"/>
    <dataField name="Sum of a_Medi_Cal" fld="138" baseField="0" baseItem="3731560"/>
    <dataField name="Sum of Uninsured" fld="60" baseField="0" baseItem="0" numFmtId="3"/>
    <dataField name="Sum of a_Uninsured" fld="142" baseField="0" baseItem="0" numFmtId="3"/>
    <dataField name="Sum of Dx_All_Pregnancies" fld="61" baseField="0" baseItem="0" numFmtId="3"/>
    <dataField name="Sum of a_Dx_All_Pregnancies" fld="143" baseField="0" baseItem="0" numFmtId="3"/>
    <dataField name="Sum of Dx_Blood_Bloodforming_organs" fld="62" baseField="0" baseItem="0" numFmtId="3"/>
    <dataField name="Sum of a_Dx_Blood_Bloodforming_organs" fld="144" baseField="0" baseItem="0" numFmtId="3"/>
    <dataField name="Sum of Dx_Circulatory" fld="63" baseField="0" baseItem="0" numFmtId="3"/>
    <dataField name="Sum of a_Dx_Circulatory" fld="145" baseField="0" baseItem="0" numFmtId="3"/>
    <dataField name="Sum of Dx_Congenital_anomalies" fld="64" baseField="0" baseItem="0" numFmtId="3"/>
    <dataField name="Sum of a_Dx_Congenital_anomalies" fld="146" baseField="0" baseItem="0" numFmtId="3"/>
    <dataField name="Sum of Dx_Digestive" fld="65" baseField="0" baseItem="0" numFmtId="3"/>
    <dataField name="Sum of a_Dx_Digestive" fld="147" baseField="0" baseItem="0" numFmtId="3"/>
    <dataField name="Sum of Dx_Endocrine_Metabolism" fld="66" baseField="0" baseItem="0" numFmtId="3"/>
    <dataField name="Sum of a_dx_invalid" fld="162" baseField="0" baseItem="3404376"/>
    <dataField name="Sum of a_Dx_Endocrine_Metabolism" fld="148" baseField="0" baseItem="0" numFmtId="3"/>
    <dataField name="Sum of Dx_Genitourinary" fld="67" baseField="0" baseItem="0" numFmtId="3"/>
    <dataField name="Sum of a_Dx_Genitourinary" fld="149" baseField="0" baseItem="0" numFmtId="3"/>
    <dataField name="Sum of Dx_Infections" fld="68" baseField="0" baseItem="0" numFmtId="3"/>
    <dataField name="Sum of a_Dx_Infections" fld="150" baseField="0" baseItem="0" numFmtId="3"/>
    <dataField name="Sum of Dx_Injuries_Drugs_Complications" fld="69" baseField="0" baseItem="0" numFmtId="3"/>
    <dataField name="Sum of a_Dx_Injuries_Drugs_Complication" fld="151" baseField="0" baseItem="0" numFmtId="3"/>
    <dataField name="Sum of Dx_Musculoskeletal" fld="70" baseField="0" baseItem="0" numFmtId="3"/>
    <dataField name="Sum of a_Dx_Musculoskeletal" fld="152" baseField="0" baseItem="0" numFmtId="3"/>
    <dataField name="Sum of Dx_Neoplasms" fld="71" baseField="0" baseItem="0" numFmtId="3"/>
    <dataField name="Sum of a_Dx_Neoplasms" fld="153" baseField="0" baseItem="0" numFmtId="3"/>
    <dataField name="Sum of Dx_Nervous_Sensory_Systems" fld="72" baseField="0" baseItem="0" numFmtId="3"/>
    <dataField name="Sum of a_Dx_Nervous_Sensory_Systems" fld="154" baseField="0" baseItem="0" numFmtId="3"/>
    <dataField name="Sum of Dx_Other_Reasons" fld="73" baseField="0" baseItem="0" numFmtId="3"/>
    <dataField name="Sum of a_Dx_Other_Reasons" fld="155" baseField="0" baseItem="0" numFmtId="3"/>
    <dataField name="Sum of Dx_Perinatal_disorders" fld="74" baseField="0" baseItem="0" numFmtId="3"/>
    <dataField name="Sum of a_Dx_Perinatal_disorders" fld="161" baseField="0" baseItem="0" numFmtId="3"/>
    <dataField name="Sum of Dx_Psychoses_Neuroses" fld="75" baseField="0" baseItem="0" numFmtId="3"/>
    <dataField name="Sum of a_Dx_Psychoses_Neuroses" fld="156" baseField="0" baseItem="0" numFmtId="3"/>
    <dataField name="Sum of Dx_Respiratory" fld="76" baseField="0" baseItem="0" numFmtId="3"/>
    <dataField name="Sum of a_Dx_Respiratory" fld="157" baseField="0" baseItem="0" numFmtId="3"/>
    <dataField name="Sum of Dx_Skin_disorders" fld="77" baseField="0" baseItem="0" numFmtId="3"/>
    <dataField name="Sum of a_Dx_Skin_disorders" fld="158" baseField="0" baseItem="0" numFmtId="3"/>
    <dataField name="Sum of Dx_Symptoms" fld="78" baseField="0" baseItem="0" numFmtId="3"/>
    <dataField name="Sum of a_Dx_Symptoms" fld="159" baseField="0" baseItem="0" numFmtId="3"/>
    <dataField name="Sum of Dx_Births" fld="80" baseField="0" baseItem="0" numFmtId="3"/>
    <dataField name="Sum of a_Dx_Births" fld="160" baseField="0" baseItem="0" numFmtId="3"/>
    <dataField name="Sum of Dx_Invalid" fld="79" baseField="0" baseItem="0" numFmtId="3"/>
    <dataField name="Sum of EC_Accidental_Falls" fld="81" baseField="0" baseItem="0" numFmtId="3"/>
    <dataField name="Sum of a_EC_Accidental_Falls" fld="163" baseField="0" baseItem="0" numFmtId="3"/>
    <dataField name="Sum of EC_Accidental_Poisoning" fld="82" baseField="0" baseItem="0" numFmtId="3"/>
    <dataField name="Sum of a_EC_Accidental_Poisoning" fld="164" baseField="0" baseItem="0" numFmtId="3"/>
    <dataField name="Sum of EC_Adverse_Effects_of_Drugs" fld="83" baseField="0" baseItem="0" numFmtId="3"/>
    <dataField name="Sum of a_EC_Adverse_Effects_of_Drugs" fld="165" baseField="0" baseItem="0" numFmtId="3"/>
    <dataField name="Sum of EC_Fire_Accidents" fld="84" baseField="0" baseItem="0" numFmtId="3"/>
    <dataField name="Sum of a_EC_Fire_Accidents" fld="177" baseField="0" baseItem="0" numFmtId="3"/>
    <dataField name="Sum of EC_Inflicted_by_Others" fld="85" baseField="0" baseItem="0" numFmtId="3"/>
    <dataField name="Sum of a_EC_Inflicted_by_Others" fld="166" baseField="0" baseItem="0" numFmtId="3"/>
    <dataField name="Sum of EC_Late_Effects_of_Injury" fld="86" baseField="0" baseItem="0" numFmtId="3"/>
    <dataField name="Sum of a_EC_Late_Effects_of_Injury" fld="167" baseField="0" baseItem="0" numFmtId="3"/>
    <dataField name="Sum of EC_Misadventures_Complication" fld="87" baseField="0" baseItem="0" numFmtId="3"/>
    <dataField name="Sum of a_EC_Misadventures_Complication" fld="168" baseField="0" baseItem="0" numFmtId="3"/>
    <dataField name="Sum of EC_Natural_Environment" fld="88" baseField="0" baseItem="0" numFmtId="3"/>
    <dataField name="Sum of a_EC_Natural_Environment" fld="169" baseField="0" baseItem="0" numFmtId="3"/>
    <dataField name="Sum of EC_None" fld="89" baseField="0" baseItem="0" numFmtId="3"/>
    <dataField name="Sum of a_EC_None" fld="170" baseField="0" baseItem="0" numFmtId="3"/>
    <dataField name="Sum of EC_Other_Accidents" fld="90" baseField="0" baseItem="0" numFmtId="3"/>
    <dataField name="Sum of a_EC_Other_Accidents" fld="171" baseField="0" baseItem="0" numFmtId="3"/>
    <dataField name="Sum of EC_Other_Vehicle_Transport" fld="91" baseField="0" baseItem="0" numFmtId="3"/>
    <dataField name="Sum of a_EC_Other_Vehicle_Transport" fld="172" baseField="0" baseItem="0" numFmtId="3"/>
    <dataField name="Sum of EC_Rail_Motor_Vehicle" fld="92" baseField="0" baseItem="0" numFmtId="3"/>
    <dataField name="Sum of a_EC_Rail_Motor_Vehicle" fld="173" baseField="0" baseItem="0" numFmtId="3"/>
    <dataField name="Sum of EC_Self_Inflicted" fld="93" baseField="0" baseItem="0" numFmtId="3"/>
    <dataField name="Sum of a_EC_Self_Inflicted" fld="174" baseField="0" baseItem="0" numFmtId="3"/>
    <dataField name="Sum of EC_Submersion_Suffocation_Foreig" fld="94" baseField="0" baseItem="0" numFmtId="3"/>
    <dataField name="Sum of a_EC_Submersion_Suffocation_Fore" fld="175" baseField="0" baseItem="0" numFmtId="3"/>
    <dataField name="Sum of EC_Undetermined" fld="95" baseField="0" baseItem="0" numFmtId="3"/>
    <dataField name="Sum of a_EC_Undetermined" fld="176" baseField="0" baseItem="0" numFmtId="3"/>
    <dataField name="Sum of EC_War" fld="96" baseField="0" baseItem="0" numFmtId="3"/>
    <dataField name="Sum of a_EC_War" fld="178" baseField="0" baseItem="0" numFmtId="3"/>
    <dataField name="Sum of All_Other" fld="98" baseField="0" baseItem="2945672"/>
    <dataField name="Sum of English" fld="99" baseField="0" baseItem="2945672"/>
    <dataField name="Sum of Spanish" fld="100" baseField="0" baseItem="2945672"/>
    <dataField name="Sum of a_All_Other" fld="180" baseField="0" baseItem="2945672"/>
    <dataField name="Sum of a_English" fld="181" baseField="0" baseItem="2945672"/>
    <dataField name="Sum of a_Spanish" fld="182" baseField="0" baseItem="29456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O2502"/>
  <sheetViews>
    <sheetView tabSelected="1" zoomScaleNormal="100" workbookViewId="0"/>
  </sheetViews>
  <sheetFormatPr defaultColWidth="8.88671875" defaultRowHeight="14.4" x14ac:dyDescent="0.3"/>
  <cols>
    <col min="1" max="1" width="33.109375" style="9" customWidth="1"/>
    <col min="2" max="2" width="13.6640625" style="9" bestFit="1" customWidth="1"/>
    <col min="3" max="3" width="8.88671875" style="9"/>
    <col min="4" max="4" width="12.5546875" style="9" bestFit="1" customWidth="1"/>
    <col min="5" max="5" width="8.88671875" style="9"/>
    <col min="6" max="6" width="13.6640625" style="9" bestFit="1" customWidth="1"/>
    <col min="7" max="7" width="8.88671875" style="9"/>
    <col min="8" max="8" width="4.6640625" style="9" customWidth="1"/>
    <col min="9" max="9" width="34" style="9" bestFit="1" customWidth="1"/>
    <col min="10" max="10" width="13.6640625" style="9" bestFit="1" customWidth="1"/>
    <col min="11" max="11" width="8.88671875" style="9"/>
    <col min="12" max="12" width="12.5546875" style="9" bestFit="1" customWidth="1"/>
    <col min="13" max="13" width="8.88671875" style="9"/>
    <col min="14" max="14" width="13.6640625" style="9" bestFit="1" customWidth="1"/>
    <col min="15" max="16384" width="8.88671875" style="9"/>
  </cols>
  <sheetData>
    <row r="1" spans="1:15" ht="9" customHeight="1" x14ac:dyDescent="0.3"/>
    <row r="2" spans="1:15" ht="15.6" x14ac:dyDescent="0.3">
      <c r="A2" s="67" t="s">
        <v>1645</v>
      </c>
      <c r="B2" s="67"/>
      <c r="C2" s="67"/>
      <c r="D2" s="67"/>
      <c r="E2" s="67"/>
      <c r="F2" s="67"/>
      <c r="G2" s="67"/>
      <c r="H2" s="67"/>
      <c r="I2" s="15"/>
      <c r="J2" s="15"/>
      <c r="K2" s="15"/>
      <c r="L2" s="15"/>
      <c r="M2" s="15"/>
      <c r="N2" s="15"/>
      <c r="O2" s="15"/>
    </row>
    <row r="4" spans="1:15" x14ac:dyDescent="0.3">
      <c r="A4" s="8" t="s">
        <v>1330</v>
      </c>
    </row>
    <row r="6" spans="1:15" x14ac:dyDescent="0.3">
      <c r="A6" s="7" t="s">
        <v>1331</v>
      </c>
      <c r="B6" s="14" t="str">
        <f>IF($H$18=1,Pivot!B12,"")</f>
        <v/>
      </c>
    </row>
    <row r="7" spans="1:15" x14ac:dyDescent="0.3">
      <c r="A7" s="7" t="s">
        <v>1332</v>
      </c>
      <c r="B7" s="9">
        <f>IF($H$18=1,VLOOKUP($B$6,Data!$A$1:$GB$331,3,FALSE),IF(Pivot!B1="(All)","",Pivot!B1))</f>
        <v>0</v>
      </c>
    </row>
    <row r="8" spans="1:15" x14ac:dyDescent="0.3">
      <c r="A8" s="7" t="s">
        <v>1333</v>
      </c>
      <c r="B8" s="9">
        <f>IF($H$18=1,VLOOKUP($B$6,Data!$A$1:$GB$331,14,FALSE),IF(Pivot!B1="(All)","",Pivot!B1))</f>
        <v>0</v>
      </c>
    </row>
    <row r="9" spans="1:15" x14ac:dyDescent="0.3">
      <c r="A9" s="7" t="s">
        <v>1334</v>
      </c>
      <c r="B9" s="9">
        <f>IF($H$18=1,VLOOKUP($B$6,Data!$A$1:$GB$331,4,FALSE),IF(Pivot!B1="(All)","",Pivot!B1))</f>
        <v>0</v>
      </c>
    </row>
    <row r="10" spans="1:15" x14ac:dyDescent="0.3">
      <c r="A10" s="7" t="s">
        <v>1335</v>
      </c>
      <c r="B10" s="9">
        <f>IF($H$18=1,VLOOKUP($B$6,Data!$A$1:$GB$331,5,FALSE),IF(Pivot!B1="(All)","",Pivot!B1))</f>
        <v>0</v>
      </c>
      <c r="H10" s="16" t="s">
        <v>1646</v>
      </c>
    </row>
    <row r="11" spans="1:15" x14ac:dyDescent="0.3">
      <c r="A11" s="7" t="s">
        <v>1336</v>
      </c>
      <c r="B11" s="14">
        <f>IF($H$18=1,VLOOKUP($B$6,Data!$A$1:$GB$331,6,FALSE),IF(Pivot!B1="(All)","",Pivot!B1))</f>
        <v>0</v>
      </c>
      <c r="H11" s="16" t="s">
        <v>1647</v>
      </c>
    </row>
    <row r="12" spans="1:15" x14ac:dyDescent="0.3">
      <c r="A12" s="7" t="s">
        <v>1341</v>
      </c>
      <c r="B12" s="9">
        <f>IF($H$18=1,VLOOKUP($B$6,Data!$A$1:$GB$331,19,FALSE),IF(Pivot!B1="(All)","",Pivot!B1))</f>
        <v>0</v>
      </c>
    </row>
    <row r="13" spans="1:15" x14ac:dyDescent="0.3">
      <c r="A13" s="6" t="s">
        <v>2140</v>
      </c>
      <c r="B13" s="9">
        <f>IF($H$18=1,VLOOKUP($B$6,Data!$A$1:$GB$331,7,FALSE),IF(Pivot!B1="(All)","",Pivot!B1))</f>
        <v>0</v>
      </c>
    </row>
    <row r="14" spans="1:15" x14ac:dyDescent="0.3">
      <c r="A14" s="7" t="s">
        <v>1337</v>
      </c>
      <c r="B14" s="9">
        <f>IF($H$18=1,VLOOKUP($B$6,Data!$A$1:$GB$331,16,FALSE),IF(Pivot!B1="(All)","",Pivot!B1))</f>
        <v>0</v>
      </c>
    </row>
    <row r="15" spans="1:15" x14ac:dyDescent="0.3">
      <c r="A15" s="7" t="s">
        <v>144</v>
      </c>
      <c r="B15" s="46">
        <f>IF($H$18=1,VLOOKUP($B$6,Data!$A$1:$GB$331,8,FALSE),IF(Pivot!B1="(All)"," ",Pivot!B1))</f>
        <v>0</v>
      </c>
    </row>
    <row r="16" spans="1:15" x14ac:dyDescent="0.3">
      <c r="A16" s="7" t="s">
        <v>1338</v>
      </c>
      <c r="B16" s="14" t="str">
        <f>IF($H$18=1,VLOOKUP($B$6,Data!$A$1:$GB$331,18,FALSE),IF(Pivot!B1="(All)","",""))</f>
        <v/>
      </c>
    </row>
    <row r="17" spans="1:8" x14ac:dyDescent="0.3">
      <c r="A17" s="7" t="s">
        <v>1339</v>
      </c>
      <c r="B17" s="14" t="str">
        <f>IF($H$18=1,VLOOKUP($B$6,Data!$A$1:$GB$331,10,FALSE),IF(Pivot!B1="(All)","",""))</f>
        <v/>
      </c>
    </row>
    <row r="18" spans="1:8" x14ac:dyDescent="0.3">
      <c r="A18" s="7" t="s">
        <v>1340</v>
      </c>
      <c r="B18" s="14" t="str">
        <f>IF($H$18=1,VLOOKUP($B$6,Data!$A$1:$GB$331,9,FALSE),IF(Pivot!B1="(All)","",""))</f>
        <v/>
      </c>
      <c r="F18" s="9" t="s">
        <v>1484</v>
      </c>
      <c r="H18" s="9">
        <f>GETPIVOTDATA("Count of Facilities Selected",Pivot!$A$10)</f>
        <v>328</v>
      </c>
    </row>
    <row r="20" spans="1:8" x14ac:dyDescent="0.3">
      <c r="A20" s="66" t="s">
        <v>1430</v>
      </c>
      <c r="B20" s="66"/>
      <c r="C20" s="66"/>
      <c r="D20" s="66"/>
      <c r="E20" s="66"/>
      <c r="F20" s="66"/>
      <c r="G20" s="66"/>
      <c r="H20" s="66"/>
    </row>
    <row r="21" spans="1:8" x14ac:dyDescent="0.3">
      <c r="B21" s="68" t="s">
        <v>73</v>
      </c>
      <c r="C21" s="68"/>
      <c r="D21" s="68" t="s">
        <v>1342</v>
      </c>
      <c r="E21" s="68"/>
      <c r="F21" s="68" t="s">
        <v>1343</v>
      </c>
      <c r="G21" s="68"/>
    </row>
    <row r="22" spans="1:8" x14ac:dyDescent="0.3">
      <c r="A22" s="6" t="s">
        <v>29</v>
      </c>
      <c r="B22" s="62">
        <f>GETPIVOTDATA("Sum of Routine",Pivot!$A$5)</f>
        <v>9524873</v>
      </c>
      <c r="C22" s="5">
        <f t="shared" ref="C22:C36" si="0">B22/$F$37</f>
        <v>0.79636396684673794</v>
      </c>
      <c r="D22" s="62">
        <f>GETPIVOTDATA("Sum of a_Routine",Pivot!$A$5)</f>
        <v>1192572</v>
      </c>
      <c r="E22" s="5">
        <f t="shared" ref="E22:E36" si="1">D22/$F$37</f>
        <v>9.970960963682643E-2</v>
      </c>
      <c r="F22" s="62">
        <f t="shared" ref="F22:F36" si="2">B22+D22</f>
        <v>10717445</v>
      </c>
      <c r="G22" s="5">
        <f t="shared" ref="G22:G36" si="3">F22/$F$37</f>
        <v>0.89607357648356434</v>
      </c>
    </row>
    <row r="23" spans="1:8" x14ac:dyDescent="0.3">
      <c r="A23" s="6" t="s">
        <v>22</v>
      </c>
      <c r="B23" s="62">
        <f>GETPIVOTDATA("Sum of Home_Health_Service",Pivot!$A$5)</f>
        <v>12374</v>
      </c>
      <c r="C23" s="5">
        <f t="shared" si="0"/>
        <v>1.0345762852440694E-3</v>
      </c>
      <c r="D23" s="62">
        <f>GETPIVOTDATA("Sum of a_Home_Health_Service",Pivot!$A$5)</f>
        <v>185150</v>
      </c>
      <c r="E23" s="5">
        <f t="shared" si="1"/>
        <v>1.548018419370773E-2</v>
      </c>
      <c r="F23" s="62">
        <f t="shared" si="2"/>
        <v>197524</v>
      </c>
      <c r="G23" s="5">
        <f t="shared" si="3"/>
        <v>1.6514760478951798E-2</v>
      </c>
    </row>
    <row r="24" spans="1:8" x14ac:dyDescent="0.3">
      <c r="A24" s="6" t="s">
        <v>19</v>
      </c>
      <c r="B24" s="62">
        <f>GETPIVOTDATA("Sum of Acute_Care",Pivot!$A$5)</f>
        <v>149860</v>
      </c>
      <c r="C24" s="5">
        <f t="shared" si="0"/>
        <v>1.2529626806746099E-2</v>
      </c>
      <c r="D24" s="62">
        <f>GETPIVOTDATA("Sum of a_Acute_Care",Pivot!$A$5)</f>
        <v>54441</v>
      </c>
      <c r="E24" s="5">
        <f t="shared" si="1"/>
        <v>4.5517510542243721E-3</v>
      </c>
      <c r="F24" s="62">
        <f t="shared" si="2"/>
        <v>204301</v>
      </c>
      <c r="G24" s="5">
        <f t="shared" si="3"/>
        <v>1.708137786097047E-2</v>
      </c>
    </row>
    <row r="25" spans="1:8" x14ac:dyDescent="0.3">
      <c r="A25" s="6" t="s">
        <v>30</v>
      </c>
      <c r="B25" s="62">
        <f>GETPIVOTDATA("Sum of SN_IC_Care",Pivot!$A$5)</f>
        <v>40065</v>
      </c>
      <c r="C25" s="5">
        <f t="shared" si="0"/>
        <v>3.3497897905530659E-3</v>
      </c>
      <c r="D25" s="62">
        <f>GETPIVOTDATA("Sum of a_SN_IC_Care",Pivot!$A$5)</f>
        <v>247812</v>
      </c>
      <c r="E25" s="5">
        <f t="shared" si="1"/>
        <v>2.0719283853152037E-2</v>
      </c>
      <c r="F25" s="62">
        <f t="shared" si="2"/>
        <v>287877</v>
      </c>
      <c r="G25" s="5">
        <f t="shared" si="3"/>
        <v>2.4069073643705103E-2</v>
      </c>
    </row>
    <row r="26" spans="1:8" x14ac:dyDescent="0.3">
      <c r="A26" s="6" t="s">
        <v>28</v>
      </c>
      <c r="B26" s="62">
        <f>GETPIVOTDATA("Sum of Residential_Care_Facility",Pivot!$A$5)</f>
        <v>5594</v>
      </c>
      <c r="C26" s="5">
        <f t="shared" si="0"/>
        <v>4.6770807658439665E-4</v>
      </c>
      <c r="D26" s="62">
        <f>GETPIVOTDATA("Sum of a_Residential_Care_Facility",Pivot!$A$5)</f>
        <v>19996</v>
      </c>
      <c r="E26" s="5">
        <f t="shared" si="1"/>
        <v>1.6718431711443681E-3</v>
      </c>
      <c r="F26" s="62">
        <f t="shared" si="2"/>
        <v>25590</v>
      </c>
      <c r="G26" s="5">
        <f t="shared" si="3"/>
        <v>2.139551247728765E-3</v>
      </c>
    </row>
    <row r="27" spans="1:8" x14ac:dyDescent="0.3">
      <c r="A27" s="6" t="s">
        <v>26</v>
      </c>
      <c r="B27" s="62">
        <f>GETPIVOTDATA("Sum of Prison_Jail",Pivot!$A$5)</f>
        <v>26211</v>
      </c>
      <c r="C27" s="5">
        <f t="shared" si="0"/>
        <v>2.1914723624157349E-3</v>
      </c>
      <c r="D27" s="62">
        <f>GETPIVOTDATA("Sum of a_Prison_Jail",Pivot!$A$5)</f>
        <v>10425</v>
      </c>
      <c r="E27" s="5">
        <f t="shared" si="1"/>
        <v>8.7162257747449678E-4</v>
      </c>
      <c r="F27" s="62">
        <f t="shared" si="2"/>
        <v>36636</v>
      </c>
      <c r="G27" s="5">
        <f t="shared" si="3"/>
        <v>3.0630949398902318E-3</v>
      </c>
    </row>
    <row r="28" spans="1:8" x14ac:dyDescent="0.3">
      <c r="A28" s="6" t="s">
        <v>20</v>
      </c>
      <c r="B28" s="62">
        <f>GETPIVOTDATA("Sum of Against_Medical_Advice",Pivot!$A$5)</f>
        <v>211711</v>
      </c>
      <c r="C28" s="5">
        <f t="shared" si="0"/>
        <v>1.7700919664240113E-2</v>
      </c>
      <c r="D28" s="62">
        <f>GETPIVOTDATA("Sum of a_Against_Medical_Advice",Pivot!$A$5)</f>
        <v>34249</v>
      </c>
      <c r="E28" s="5">
        <f t="shared" si="1"/>
        <v>2.86352054253468E-3</v>
      </c>
      <c r="F28" s="62">
        <f t="shared" si="2"/>
        <v>245960</v>
      </c>
      <c r="G28" s="5">
        <f t="shared" si="3"/>
        <v>2.0564440206774795E-2</v>
      </c>
    </row>
    <row r="29" spans="1:8" x14ac:dyDescent="0.3">
      <c r="A29" s="6" t="s">
        <v>2141</v>
      </c>
      <c r="B29" s="62">
        <f>GETPIVOTDATA("Sum of Childrens_or_Cancer_Center",Pivot!$A$5)</f>
        <v>19292</v>
      </c>
      <c r="C29" s="5">
        <f t="shared" si="0"/>
        <v>1.6129825193897354E-3</v>
      </c>
      <c r="D29" s="62">
        <f>GETPIVOTDATA("Sum of a_Childrens_or_Cancer_Center",Pivot!$A$5)</f>
        <v>0</v>
      </c>
      <c r="E29" s="5">
        <f t="shared" si="1"/>
        <v>0</v>
      </c>
      <c r="F29" s="62">
        <f t="shared" si="2"/>
        <v>19292</v>
      </c>
      <c r="G29" s="5">
        <f t="shared" si="3"/>
        <v>1.6129825193897354E-3</v>
      </c>
    </row>
    <row r="30" spans="1:8" x14ac:dyDescent="0.3">
      <c r="A30" s="6" t="s">
        <v>2142</v>
      </c>
      <c r="B30" s="62">
        <f>GETPIVOTDATA("Sum of Hospice_Care",Pivot!$A$5)</f>
        <v>2936</v>
      </c>
      <c r="C30" s="5">
        <f t="shared" si="0"/>
        <v>2.4547567265852495E-4</v>
      </c>
      <c r="D30" s="62">
        <f>GETPIVOTDATA("Sum of a_Hospice_Care",Pivot!$A$5)</f>
        <v>0</v>
      </c>
      <c r="E30" s="5">
        <f t="shared" si="1"/>
        <v>0</v>
      </c>
      <c r="F30" s="62">
        <f t="shared" si="2"/>
        <v>2936</v>
      </c>
      <c r="G30" s="5">
        <f t="shared" si="3"/>
        <v>2.4547567265852495E-4</v>
      </c>
    </row>
    <row r="31" spans="1:8" x14ac:dyDescent="0.3">
      <c r="A31" s="6" t="s">
        <v>2143</v>
      </c>
      <c r="B31" s="62">
        <f>GETPIVOTDATA("Sum of Psychiatric_Care",Pivot!$A$5)</f>
        <v>76874</v>
      </c>
      <c r="C31" s="5">
        <f t="shared" si="0"/>
        <v>6.4273490667409562E-3</v>
      </c>
      <c r="D31" s="62">
        <f>GETPIVOTDATA("Sum of a_Psychiatric_Care",Pivot!$A$5)</f>
        <v>0</v>
      </c>
      <c r="E31" s="5">
        <f t="shared" si="1"/>
        <v>0</v>
      </c>
      <c r="F31" s="62">
        <f t="shared" si="2"/>
        <v>76874</v>
      </c>
      <c r="G31" s="5">
        <f t="shared" si="3"/>
        <v>6.4273490667409562E-3</v>
      </c>
    </row>
    <row r="32" spans="1:8" x14ac:dyDescent="0.3">
      <c r="A32" s="6" t="s">
        <v>2144</v>
      </c>
      <c r="B32" s="62">
        <f>GETPIVOTDATA("Sum of Critical_Access_Hospital",Pivot!$A$5)</f>
        <v>1817</v>
      </c>
      <c r="C32" s="5">
        <f t="shared" si="0"/>
        <v>1.5191733556557896E-4</v>
      </c>
      <c r="D32" s="62">
        <f>GETPIVOTDATA("Sum of a_Critical_Access_Hospital",Pivot!$A$5)</f>
        <v>0</v>
      </c>
      <c r="E32" s="5">
        <f t="shared" si="1"/>
        <v>0</v>
      </c>
      <c r="F32" s="62">
        <f t="shared" si="2"/>
        <v>1817</v>
      </c>
      <c r="G32" s="5">
        <f t="shared" si="3"/>
        <v>1.5191733556557896E-4</v>
      </c>
    </row>
    <row r="33" spans="1:8" x14ac:dyDescent="0.3">
      <c r="A33" s="6" t="s">
        <v>21</v>
      </c>
      <c r="B33" s="62">
        <f>GETPIVOTDATA("Sum of Died",Pivot!$A$5)</f>
        <v>16379</v>
      </c>
      <c r="C33" s="5">
        <f t="shared" si="0"/>
        <v>1.369429850978876E-3</v>
      </c>
      <c r="D33" s="62">
        <f>GETPIVOTDATA("Sum of a_Died",Pivot!$A$5)</f>
        <v>57969</v>
      </c>
      <c r="E33" s="5">
        <f t="shared" si="1"/>
        <v>4.8467231840402022E-3</v>
      </c>
      <c r="F33" s="62">
        <f t="shared" si="2"/>
        <v>74348</v>
      </c>
      <c r="G33" s="5">
        <f t="shared" si="3"/>
        <v>6.2161530350190782E-3</v>
      </c>
    </row>
    <row r="34" spans="1:8" x14ac:dyDescent="0.3">
      <c r="A34" s="6" t="s">
        <v>24</v>
      </c>
      <c r="B34" s="62">
        <f>GETPIVOTDATA("Sum of Other_Care",Pivot!$A$5)</f>
        <v>2220</v>
      </c>
      <c r="C34" s="5">
        <f t="shared" si="0"/>
        <v>1.8561171433989284E-4</v>
      </c>
      <c r="D34" s="62">
        <f>GETPIVOTDATA("Sum of a_Other_Care",Pivot!$A$5)</f>
        <v>35901</v>
      </c>
      <c r="E34" s="5">
        <f t="shared" si="1"/>
        <v>3.0016424128452672E-3</v>
      </c>
      <c r="F34" s="62">
        <f t="shared" si="2"/>
        <v>38121</v>
      </c>
      <c r="G34" s="5">
        <f t="shared" si="3"/>
        <v>3.18725412718516E-3</v>
      </c>
    </row>
    <row r="35" spans="1:8" x14ac:dyDescent="0.3">
      <c r="A35" s="6" t="s">
        <v>25</v>
      </c>
      <c r="B35" s="62">
        <f>GETPIVOTDATA("Sum of Other_Unknown",Pivot!$A$5)</f>
        <v>8801</v>
      </c>
      <c r="C35" s="5">
        <f t="shared" si="0"/>
        <v>7.3584175581324184E-4</v>
      </c>
      <c r="D35" s="62">
        <f>GETPIVOTDATA("Sum of a_Other_Unknown",Pivot!$A$5)</f>
        <v>6289</v>
      </c>
      <c r="E35" s="5">
        <f t="shared" si="1"/>
        <v>5.2581624841602974E-4</v>
      </c>
      <c r="F35" s="62">
        <f t="shared" si="2"/>
        <v>15090</v>
      </c>
      <c r="G35" s="5">
        <f t="shared" si="3"/>
        <v>1.2616580042292716E-3</v>
      </c>
    </row>
    <row r="36" spans="1:8" x14ac:dyDescent="0.3">
      <c r="A36" s="6" t="s">
        <v>2145</v>
      </c>
      <c r="B36" s="63">
        <f>GETPIVOTDATA("Sum of Not_Defined_Elsewhere",Pivot!$A$5)</f>
        <v>16641</v>
      </c>
      <c r="C36" s="4">
        <f t="shared" si="0"/>
        <v>1.3913353776261966E-3</v>
      </c>
      <c r="D36" s="63">
        <f>GETPIVOTDATA("Sum of a_Not_Defined_Elsewhere",Pivot!$A$5)</f>
        <v>0</v>
      </c>
      <c r="E36" s="4">
        <f t="shared" si="1"/>
        <v>0</v>
      </c>
      <c r="F36" s="63">
        <f t="shared" si="2"/>
        <v>16641</v>
      </c>
      <c r="G36" s="4">
        <f t="shared" si="3"/>
        <v>1.3913353776261966E-3</v>
      </c>
    </row>
    <row r="37" spans="1:8" x14ac:dyDescent="0.3">
      <c r="B37" s="10">
        <f t="shared" ref="B37:G37" si="4">SUM(B22:B36)</f>
        <v>10115648</v>
      </c>
      <c r="C37" s="3">
        <f t="shared" si="4"/>
        <v>0.84575800312563421</v>
      </c>
      <c r="D37" s="10">
        <f t="shared" si="4"/>
        <v>1844804</v>
      </c>
      <c r="E37" s="5">
        <f t="shared" si="4"/>
        <v>0.15424199687436557</v>
      </c>
      <c r="F37" s="10">
        <f t="shared" si="4"/>
        <v>11960452</v>
      </c>
      <c r="G37" s="5">
        <f t="shared" si="4"/>
        <v>1.0000000000000002</v>
      </c>
    </row>
    <row r="38" spans="1:8" ht="10.199999999999999" customHeight="1" x14ac:dyDescent="0.3">
      <c r="B38" s="10"/>
      <c r="C38" s="3"/>
      <c r="D38" s="10"/>
      <c r="E38" s="5"/>
      <c r="F38" s="10"/>
      <c r="G38" s="5"/>
    </row>
    <row r="39" spans="1:8" x14ac:dyDescent="0.3">
      <c r="A39" s="69" t="s">
        <v>2147</v>
      </c>
      <c r="B39" s="69"/>
      <c r="C39" s="69"/>
      <c r="D39" s="69"/>
      <c r="E39" s="69"/>
      <c r="F39" s="69"/>
      <c r="G39" s="69"/>
      <c r="H39" s="69"/>
    </row>
    <row r="40" spans="1:8" ht="6" customHeight="1" x14ac:dyDescent="0.3"/>
    <row r="41" spans="1:8" x14ac:dyDescent="0.3">
      <c r="A41" s="66" t="s">
        <v>1432</v>
      </c>
      <c r="B41" s="66"/>
      <c r="C41" s="66"/>
      <c r="D41" s="66"/>
      <c r="E41" s="66"/>
      <c r="F41" s="66"/>
      <c r="G41" s="66"/>
      <c r="H41" s="66"/>
    </row>
    <row r="42" spans="1:8" x14ac:dyDescent="0.3">
      <c r="B42" s="68" t="s">
        <v>73</v>
      </c>
      <c r="C42" s="68"/>
      <c r="D42" s="68" t="s">
        <v>1342</v>
      </c>
      <c r="E42" s="68"/>
      <c r="F42" s="68" t="s">
        <v>1343</v>
      </c>
      <c r="G42" s="68"/>
    </row>
    <row r="43" spans="1:8" x14ac:dyDescent="0.3">
      <c r="A43" s="13" t="s">
        <v>1433</v>
      </c>
      <c r="B43" s="62">
        <f>GETPIVOTDATA("Sum of Age_Under_1",Pivot!$A$5)</f>
        <v>343168</v>
      </c>
      <c r="C43" s="5">
        <f>B43/$F$54</f>
        <v>2.8691892246212769E-2</v>
      </c>
      <c r="D43" s="62">
        <f>GETPIVOTDATA("Sum of a_Age_Under_1",Pivot!$A$5)</f>
        <v>26030</v>
      </c>
      <c r="E43" s="5">
        <f>D43/$F$54</f>
        <v>2.1763391550754102E-3</v>
      </c>
      <c r="F43" s="62">
        <f>B43+D43</f>
        <v>369198</v>
      </c>
      <c r="G43" s="5">
        <f>F43/$F$54</f>
        <v>3.0868231401288179E-2</v>
      </c>
    </row>
    <row r="44" spans="1:8" x14ac:dyDescent="0.3">
      <c r="A44" s="13" t="s">
        <v>1434</v>
      </c>
      <c r="B44" s="62">
        <f>GETPIVOTDATA("Sum of Age_01_09",Pivot!$A$5)</f>
        <v>1432386</v>
      </c>
      <c r="C44" s="5">
        <f t="shared" ref="C44:E53" si="5">B44/$F$54</f>
        <v>0.11976018966507286</v>
      </c>
      <c r="D44" s="62">
        <f>GETPIVOTDATA("Sum of a_Age_01_09",Pivot!$A$5)</f>
        <v>45422</v>
      </c>
      <c r="E44" s="5">
        <f t="shared" si="5"/>
        <v>3.7976825624984742E-3</v>
      </c>
      <c r="F44" s="62">
        <f t="shared" ref="F44:F53" si="6">B44+D44</f>
        <v>1477808</v>
      </c>
      <c r="G44" s="5">
        <f t="shared" ref="G44" si="7">F44/$F$54</f>
        <v>0.12355787222757134</v>
      </c>
    </row>
    <row r="45" spans="1:8" x14ac:dyDescent="0.3">
      <c r="A45" s="13" t="s">
        <v>1435</v>
      </c>
      <c r="B45" s="62">
        <f>GETPIVOTDATA("Sum of Age_10_19",Pivot!$A$5)</f>
        <v>1140673</v>
      </c>
      <c r="C45" s="5">
        <f t="shared" si="5"/>
        <v>9.5370392356409275E-2</v>
      </c>
      <c r="D45" s="62">
        <f>GETPIVOTDATA("Sum of a_Age_10_19",Pivot!$A$5)</f>
        <v>54024</v>
      </c>
      <c r="E45" s="5">
        <f t="shared" si="5"/>
        <v>4.5168861511253921E-3</v>
      </c>
      <c r="F45" s="62">
        <f t="shared" si="6"/>
        <v>1194697</v>
      </c>
      <c r="G45" s="5">
        <f t="shared" ref="G45" si="8">F45/$F$54</f>
        <v>9.9887278507534663E-2</v>
      </c>
    </row>
    <row r="46" spans="1:8" x14ac:dyDescent="0.3">
      <c r="A46" s="13" t="s">
        <v>1436</v>
      </c>
      <c r="B46" s="62">
        <f>GETPIVOTDATA("Sum of Age_20_29",Pivot!$A$5)</f>
        <v>1671963</v>
      </c>
      <c r="C46" s="5">
        <f t="shared" si="5"/>
        <v>0.13979095438868031</v>
      </c>
      <c r="D46" s="62">
        <f>GETPIVOTDATA("Sum of a_Age_20_29",Pivot!$A$5)</f>
        <v>119586</v>
      </c>
      <c r="E46" s="5">
        <f t="shared" si="5"/>
        <v>9.9984515635362283E-3</v>
      </c>
      <c r="F46" s="62">
        <f t="shared" si="6"/>
        <v>1791549</v>
      </c>
      <c r="G46" s="5">
        <f t="shared" ref="G46" si="9">F46/$F$54</f>
        <v>0.14978940595221651</v>
      </c>
    </row>
    <row r="47" spans="1:8" x14ac:dyDescent="0.3">
      <c r="A47" s="13" t="s">
        <v>1437</v>
      </c>
      <c r="B47" s="62">
        <f>GETPIVOTDATA("Sum of Age_30_39",Pivot!$A$5)</f>
        <v>1332678</v>
      </c>
      <c r="C47" s="5">
        <f t="shared" si="5"/>
        <v>0.11142371542480167</v>
      </c>
      <c r="D47" s="62">
        <f>GETPIVOTDATA("Sum of a_Age_30_39",Pivot!$A$5)</f>
        <v>131247</v>
      </c>
      <c r="E47" s="5">
        <f t="shared" si="5"/>
        <v>1.0973414717102664E-2</v>
      </c>
      <c r="F47" s="62">
        <f t="shared" si="6"/>
        <v>1463925</v>
      </c>
      <c r="G47" s="5">
        <f t="shared" ref="G47" si="10">F47/$F$54</f>
        <v>0.12239713014190434</v>
      </c>
    </row>
    <row r="48" spans="1:8" x14ac:dyDescent="0.3">
      <c r="A48" s="13" t="s">
        <v>1438</v>
      </c>
      <c r="B48" s="62">
        <f>GETPIVOTDATA("Sum of Age_40_49",Pivot!$A$5)</f>
        <v>1303103</v>
      </c>
      <c r="C48" s="5">
        <f t="shared" si="5"/>
        <v>0.10895098278894477</v>
      </c>
      <c r="D48" s="62">
        <f>GETPIVOTDATA("Sum of a_Age_40_49",Pivot!$A$5)</f>
        <v>203783</v>
      </c>
      <c r="E48" s="5">
        <f t="shared" si="5"/>
        <v>1.7038068460957831E-2</v>
      </c>
      <c r="F48" s="62">
        <f t="shared" si="6"/>
        <v>1506886</v>
      </c>
      <c r="G48" s="5">
        <f t="shared" ref="G48" si="11">F48/$F$54</f>
        <v>0.12598905124990259</v>
      </c>
    </row>
    <row r="49" spans="1:8" x14ac:dyDescent="0.3">
      <c r="A49" s="13" t="s">
        <v>1439</v>
      </c>
      <c r="B49" s="62">
        <f>GETPIVOTDATA("Sum of Age_50_59",Pivot!$A$5)</f>
        <v>1162328</v>
      </c>
      <c r="C49" s="5">
        <f t="shared" si="5"/>
        <v>9.7180942660026567E-2</v>
      </c>
      <c r="D49" s="62">
        <f>GETPIVOTDATA("Sum of a_Age_50_59",Pivot!$A$5)</f>
        <v>291596</v>
      </c>
      <c r="E49" s="5">
        <f t="shared" si="5"/>
        <v>2.4380015069664591E-2</v>
      </c>
      <c r="F49" s="62">
        <f t="shared" si="6"/>
        <v>1453924</v>
      </c>
      <c r="G49" s="5">
        <f t="shared" ref="G49" si="12">F49/$F$54</f>
        <v>0.12156095772969115</v>
      </c>
    </row>
    <row r="50" spans="1:8" x14ac:dyDescent="0.3">
      <c r="A50" s="13" t="s">
        <v>1440</v>
      </c>
      <c r="B50" s="62">
        <f>GETPIVOTDATA("Sum of Age_60_69",Pivot!$A$5)</f>
        <v>721472</v>
      </c>
      <c r="C50" s="5">
        <f t="shared" si="5"/>
        <v>6.0321466111815839E-2</v>
      </c>
      <c r="D50" s="62">
        <f>GETPIVOTDATA("Sum of a_Age_60_69",Pivot!$A$5)</f>
        <v>288780</v>
      </c>
      <c r="E50" s="5">
        <f t="shared" si="5"/>
        <v>2.414457246264606E-2</v>
      </c>
      <c r="F50" s="62">
        <f t="shared" si="6"/>
        <v>1010252</v>
      </c>
      <c r="G50" s="5">
        <f t="shared" ref="G50" si="13">F50/$F$54</f>
        <v>8.4466038574461902E-2</v>
      </c>
    </row>
    <row r="51" spans="1:8" x14ac:dyDescent="0.3">
      <c r="A51" s="13" t="s">
        <v>1441</v>
      </c>
      <c r="B51" s="62">
        <f>GETPIVOTDATA("Sum of Age_70_79",Pivot!$A$5)</f>
        <v>490892</v>
      </c>
      <c r="C51" s="5">
        <f t="shared" si="5"/>
        <v>4.1042930484566968E-2</v>
      </c>
      <c r="D51" s="62">
        <f>GETPIVOTDATA("Sum of a_Age_70_79",Pivot!$A$5)</f>
        <v>285037</v>
      </c>
      <c r="E51" s="5">
        <f t="shared" si="5"/>
        <v>2.3831624423558576E-2</v>
      </c>
      <c r="F51" s="62">
        <f t="shared" si="6"/>
        <v>775929</v>
      </c>
      <c r="G51" s="5">
        <f t="shared" ref="G51" si="14">F51/$F$54</f>
        <v>6.4874554908125548E-2</v>
      </c>
    </row>
    <row r="52" spans="1:8" x14ac:dyDescent="0.3">
      <c r="A52" s="13" t="s">
        <v>1442</v>
      </c>
      <c r="B52" s="62">
        <f>GETPIVOTDATA("Sum of Age_80_",Pivot!$A$5)</f>
        <v>516716</v>
      </c>
      <c r="C52" s="5">
        <f t="shared" si="5"/>
        <v>4.3202046210293728E-2</v>
      </c>
      <c r="D52" s="62">
        <f>GETPIVOTDATA("Sum of a_Age_80_",Pivot!$A$5)</f>
        <v>399287</v>
      </c>
      <c r="E52" s="5">
        <f t="shared" si="5"/>
        <v>3.3383939001636394E-2</v>
      </c>
      <c r="F52" s="62">
        <f t="shared" si="6"/>
        <v>916003</v>
      </c>
      <c r="G52" s="5">
        <f t="shared" ref="G52" si="15">F52/$F$54</f>
        <v>7.6585985211930122E-2</v>
      </c>
    </row>
    <row r="53" spans="1:8" x14ac:dyDescent="0.3">
      <c r="A53" s="13" t="s">
        <v>1443</v>
      </c>
      <c r="B53" s="63">
        <f>GETPIVOTDATA("Sum of Age_Unknown",Pivot!$A$5)</f>
        <v>269</v>
      </c>
      <c r="C53" s="4">
        <f t="shared" si="5"/>
        <v>2.2490788809653684E-5</v>
      </c>
      <c r="D53" s="63">
        <f>GETPIVOTDATA("Sum of a_Age_Unknown",Pivot!$A$5)</f>
        <v>12</v>
      </c>
      <c r="E53" s="4">
        <f t="shared" si="5"/>
        <v>1.0033065639994207E-6</v>
      </c>
      <c r="F53" s="63">
        <f t="shared" si="6"/>
        <v>281</v>
      </c>
      <c r="G53" s="4">
        <f t="shared" ref="G53" si="16">F53/$F$54</f>
        <v>2.3494095373653103E-5</v>
      </c>
    </row>
    <row r="54" spans="1:8" x14ac:dyDescent="0.3">
      <c r="B54" s="10">
        <f t="shared" ref="B54:G54" si="17">SUM(B43:B53)</f>
        <v>10115648</v>
      </c>
      <c r="C54" s="5">
        <f t="shared" si="17"/>
        <v>0.84575800312563443</v>
      </c>
      <c r="D54" s="12">
        <f t="shared" si="17"/>
        <v>1844804</v>
      </c>
      <c r="E54" s="5">
        <f t="shared" si="17"/>
        <v>0.1542419968743656</v>
      </c>
      <c r="F54" s="12">
        <f t="shared" si="17"/>
        <v>11960452</v>
      </c>
      <c r="G54" s="5">
        <f t="shared" si="17"/>
        <v>0.99999999999999989</v>
      </c>
    </row>
    <row r="55" spans="1:8" x14ac:dyDescent="0.3">
      <c r="B55" s="10"/>
      <c r="C55" s="5"/>
      <c r="D55" s="12"/>
      <c r="E55" s="5"/>
      <c r="F55" s="12"/>
      <c r="G55" s="5"/>
    </row>
    <row r="56" spans="1:8" x14ac:dyDescent="0.3">
      <c r="A56" s="66" t="s">
        <v>1344</v>
      </c>
      <c r="B56" s="66"/>
      <c r="C56" s="66"/>
      <c r="D56" s="66"/>
      <c r="E56" s="66"/>
      <c r="F56" s="66"/>
      <c r="G56" s="66"/>
      <c r="H56" s="66"/>
    </row>
    <row r="57" spans="1:8" x14ac:dyDescent="0.3">
      <c r="B57" s="68" t="s">
        <v>73</v>
      </c>
      <c r="C57" s="68"/>
      <c r="D57" s="68" t="s">
        <v>1342</v>
      </c>
      <c r="E57" s="68"/>
      <c r="F57" s="68" t="s">
        <v>1343</v>
      </c>
      <c r="G57" s="68"/>
    </row>
    <row r="58" spans="1:8" x14ac:dyDescent="0.3">
      <c r="A58" s="6" t="s">
        <v>34</v>
      </c>
      <c r="B58" s="62">
        <f>GETPIVOTDATA("Sum of Medicare",Pivot!$A$5)</f>
        <v>1599993</v>
      </c>
      <c r="C58" s="5">
        <f>B58/$F$63</f>
        <v>0.13377362327109377</v>
      </c>
      <c r="D58" s="62">
        <f>GETPIVOTDATA("Sum of a_Medicare",Pivot!$A$5)</f>
        <v>869579</v>
      </c>
      <c r="E58" s="5">
        <f>D58/$F$63</f>
        <v>7.2704526551337689E-2</v>
      </c>
      <c r="F58" s="62">
        <f>B58+D58</f>
        <v>2469572</v>
      </c>
      <c r="G58" s="5">
        <f>F58/$F$63</f>
        <v>0.20647814982243146</v>
      </c>
    </row>
    <row r="59" spans="1:8" x14ac:dyDescent="0.3">
      <c r="A59" s="6" t="s">
        <v>33</v>
      </c>
      <c r="B59" s="62">
        <f>GETPIVOTDATA("Sum of Medi_Cal",Pivot!$A$5)</f>
        <v>2858132</v>
      </c>
      <c r="C59" s="5">
        <f>B59/$F$63</f>
        <v>0.2389652163647327</v>
      </c>
      <c r="D59" s="62">
        <f>GETPIVOTDATA("Sum of a_Medi_Cal",Pivot!$A$5)</f>
        <v>372085</v>
      </c>
      <c r="E59" s="5">
        <f>D59/$F$63</f>
        <v>3.1109610238810374E-2</v>
      </c>
      <c r="F59" s="62">
        <f t="shared" ref="F59:F62" si="18">B59+D59</f>
        <v>3230217</v>
      </c>
      <c r="G59" s="5">
        <f>F59/$F$63</f>
        <v>0.27007482660354309</v>
      </c>
    </row>
    <row r="60" spans="1:8" x14ac:dyDescent="0.3">
      <c r="A60" s="6" t="s">
        <v>35</v>
      </c>
      <c r="B60" s="62">
        <f>GETPIVOTDATA("Sum of Private_Coverage",Pivot!$A$5)</f>
        <v>3293434</v>
      </c>
      <c r="C60" s="5">
        <f>B60/$F$63</f>
        <v>0.27536032919157238</v>
      </c>
      <c r="D60" s="62">
        <f>GETPIVOTDATA("Sum of a_Private_Coverage",Pivot!$A$5)</f>
        <v>388655</v>
      </c>
      <c r="E60" s="5">
        <f>D60/$F$63</f>
        <v>3.2495009385932909E-2</v>
      </c>
      <c r="F60" s="62">
        <f t="shared" si="18"/>
        <v>3682089</v>
      </c>
      <c r="G60" s="5">
        <f>F60/$F$63</f>
        <v>0.30785533857750524</v>
      </c>
    </row>
    <row r="61" spans="1:8" x14ac:dyDescent="0.3">
      <c r="A61" s="6" t="s">
        <v>36</v>
      </c>
      <c r="B61" s="62">
        <f>GETPIVOTDATA("Sum of Uninsured",Pivot!$A$5)</f>
        <v>1712660</v>
      </c>
      <c r="C61" s="5">
        <f>B61/$F$63</f>
        <v>0.14319358499160401</v>
      </c>
      <c r="D61" s="62">
        <f>GETPIVOTDATA("Sum of a_Uninsured",Pivot!$A$5)</f>
        <v>169412</v>
      </c>
      <c r="E61" s="5">
        <f>D61/$F$63</f>
        <v>1.4164347635022488E-2</v>
      </c>
      <c r="F61" s="62">
        <f t="shared" si="18"/>
        <v>1882072</v>
      </c>
      <c r="G61" s="5">
        <f>F61/$F$63</f>
        <v>0.15735793262662648</v>
      </c>
    </row>
    <row r="62" spans="1:8" x14ac:dyDescent="0.3">
      <c r="A62" s="6" t="s">
        <v>17</v>
      </c>
      <c r="B62" s="63">
        <f>GETPIVOTDATA("Sum of Other_Payer",Pivot!$A$5)</f>
        <v>651429</v>
      </c>
      <c r="C62" s="4">
        <f>B62/$F$63</f>
        <v>5.4465249306631554E-2</v>
      </c>
      <c r="D62" s="63">
        <f>GETPIVOTDATA("Sum of a_Other_Payer",Pivot!$A$5)</f>
        <v>45073</v>
      </c>
      <c r="E62" s="4">
        <f>D62/$F$63</f>
        <v>3.7685030632621575E-3</v>
      </c>
      <c r="F62" s="63">
        <f t="shared" si="18"/>
        <v>696502</v>
      </c>
      <c r="G62" s="4">
        <f>F62/$F$63</f>
        <v>5.8233752369893713E-2</v>
      </c>
    </row>
    <row r="63" spans="1:8" x14ac:dyDescent="0.3">
      <c r="B63" s="10">
        <f t="shared" ref="B63:G63" si="19">SUM(B58:B62)</f>
        <v>10115648</v>
      </c>
      <c r="C63" s="5">
        <f t="shared" si="19"/>
        <v>0.84575800312563443</v>
      </c>
      <c r="D63" s="10">
        <f t="shared" si="19"/>
        <v>1844804</v>
      </c>
      <c r="E63" s="5">
        <f t="shared" si="19"/>
        <v>0.15424199687436563</v>
      </c>
      <c r="F63" s="10">
        <f t="shared" si="19"/>
        <v>11960452</v>
      </c>
      <c r="G63" s="5">
        <f t="shared" si="19"/>
        <v>0.99999999999999989</v>
      </c>
    </row>
    <row r="64" spans="1:8" ht="8.4" customHeight="1" x14ac:dyDescent="0.3">
      <c r="C64" s="5"/>
      <c r="E64" s="5"/>
      <c r="G64" s="5"/>
    </row>
    <row r="65" spans="1:8" x14ac:dyDescent="0.3">
      <c r="A65" s="66" t="s">
        <v>1431</v>
      </c>
      <c r="B65" s="66"/>
      <c r="C65" s="66"/>
      <c r="D65" s="66"/>
      <c r="E65" s="66"/>
      <c r="F65" s="66"/>
      <c r="G65" s="66"/>
      <c r="H65" s="66"/>
    </row>
    <row r="66" spans="1:8" x14ac:dyDescent="0.3">
      <c r="B66" s="68" t="s">
        <v>73</v>
      </c>
      <c r="C66" s="68"/>
      <c r="D66" s="68" t="s">
        <v>1342</v>
      </c>
      <c r="E66" s="68"/>
      <c r="F66" s="68" t="s">
        <v>1343</v>
      </c>
      <c r="G66" s="68"/>
    </row>
    <row r="67" spans="1:8" x14ac:dyDescent="0.3">
      <c r="A67" s="6" t="s">
        <v>1543</v>
      </c>
      <c r="B67" s="62">
        <f>GETPIVOTDATA("Sum of Asian_Pacific_Island",Pivot!$A$5)</f>
        <v>510942</v>
      </c>
      <c r="C67" s="5">
        <f t="shared" ref="C67:C73" si="20">B67/$F$73</f>
        <v>4.2719288535249339E-2</v>
      </c>
      <c r="D67" s="62">
        <f>GETPIVOTDATA("Sum of a_Asian_Pacific_Isla",Pivot!$A$5)</f>
        <v>142244</v>
      </c>
      <c r="E67" s="5">
        <f t="shared" ref="E67:E73" si="21">D67/$F$73</f>
        <v>1.18928615741278E-2</v>
      </c>
      <c r="F67" s="62">
        <f>B67+D67</f>
        <v>653186</v>
      </c>
      <c r="G67" s="5">
        <f t="shared" ref="G67:G73" si="22">F67/$F$73</f>
        <v>5.4612150109377137E-2</v>
      </c>
    </row>
    <row r="68" spans="1:8" x14ac:dyDescent="0.3">
      <c r="A68" s="6" t="s">
        <v>15</v>
      </c>
      <c r="B68" s="62">
        <f>GETPIVOTDATA("Sum of Black",Pivot!$A$5)</f>
        <v>1156199</v>
      </c>
      <c r="C68" s="5">
        <f t="shared" si="20"/>
        <v>9.6668503832463851E-2</v>
      </c>
      <c r="D68" s="62">
        <f>GETPIVOTDATA("Sum of a_Black",Pivot!$A$5)</f>
        <v>193418</v>
      </c>
      <c r="E68" s="5">
        <f t="shared" si="21"/>
        <v>1.617146241630333E-2</v>
      </c>
      <c r="F68" s="62">
        <f t="shared" ref="F68:F72" si="23">B68+D68</f>
        <v>1349617</v>
      </c>
      <c r="G68" s="5">
        <f t="shared" si="22"/>
        <v>0.11283996624876719</v>
      </c>
    </row>
    <row r="69" spans="1:8" x14ac:dyDescent="0.3">
      <c r="A69" s="6" t="s">
        <v>16</v>
      </c>
      <c r="B69" s="62">
        <f>GETPIVOTDATA("Sum of Hispanic",Pivot!$A$5)</f>
        <v>3633299</v>
      </c>
      <c r="C69" s="5">
        <f t="shared" si="20"/>
        <v>0.30377606130604429</v>
      </c>
      <c r="D69" s="62">
        <f>GETPIVOTDATA("Sum of a_Hispanic",Pivot!$A$5)</f>
        <v>486562</v>
      </c>
      <c r="E69" s="5">
        <f t="shared" si="21"/>
        <v>4.0680904032723848E-2</v>
      </c>
      <c r="F69" s="62">
        <f t="shared" si="23"/>
        <v>4119861</v>
      </c>
      <c r="G69" s="5">
        <f t="shared" si="22"/>
        <v>0.34445696533876813</v>
      </c>
    </row>
    <row r="70" spans="1:8" x14ac:dyDescent="0.3">
      <c r="A70" s="6" t="s">
        <v>1429</v>
      </c>
      <c r="B70" s="62">
        <f>GETPIVOTDATA("Sum of Native_American_Eski",Pivot!$A$5)</f>
        <v>33674</v>
      </c>
      <c r="C70" s="5">
        <f t="shared" si="20"/>
        <v>2.8154454363430413E-3</v>
      </c>
      <c r="D70" s="62">
        <f>GETPIVOTDATA("Sum of a_Native_American_Es",Pivot!$A$5)</f>
        <v>5107</v>
      </c>
      <c r="E70" s="5">
        <f t="shared" si="21"/>
        <v>4.2699055186208682E-4</v>
      </c>
      <c r="F70" s="62">
        <f t="shared" si="23"/>
        <v>38781</v>
      </c>
      <c r="G70" s="5">
        <f t="shared" si="22"/>
        <v>3.2424359882051281E-3</v>
      </c>
    </row>
    <row r="71" spans="1:8" x14ac:dyDescent="0.3">
      <c r="A71" s="6" t="s">
        <v>18</v>
      </c>
      <c r="B71" s="62">
        <f>GETPIVOTDATA("Sum of White",Pivot!$A$5)</f>
        <v>4260122</v>
      </c>
      <c r="C71" s="5">
        <f t="shared" si="20"/>
        <v>0.35618403050319503</v>
      </c>
      <c r="D71" s="62">
        <f>GETPIVOTDATA("Sum of a_White",Pivot!$A$5)</f>
        <v>955099</v>
      </c>
      <c r="E71" s="5">
        <f t="shared" si="21"/>
        <v>7.9854757997440226E-2</v>
      </c>
      <c r="F71" s="62">
        <f t="shared" si="23"/>
        <v>5215221</v>
      </c>
      <c r="G71" s="5">
        <f t="shared" si="22"/>
        <v>0.43603878850063527</v>
      </c>
    </row>
    <row r="72" spans="1:8" x14ac:dyDescent="0.3">
      <c r="A72" s="6" t="s">
        <v>25</v>
      </c>
      <c r="B72" s="63">
        <f>GETPIVOTDATA("Sum of Unknown_Race",Pivot!$A$5)+GETPIVOTDATA("Sum of Other_Race",Pivot!$A$5)</f>
        <v>521412</v>
      </c>
      <c r="C72" s="4">
        <f t="shared" si="20"/>
        <v>4.3594673512338832E-2</v>
      </c>
      <c r="D72" s="63">
        <f>GETPIVOTDATA("Sum of a_Unknown_Race",Pivot!$A$5)+GETPIVOTDATA("Sum of a_Other_Race",Pivot!$A$5)</f>
        <v>62374</v>
      </c>
      <c r="E72" s="4">
        <f t="shared" si="21"/>
        <v>5.2150203019083229E-3</v>
      </c>
      <c r="F72" s="63">
        <f t="shared" si="23"/>
        <v>583786</v>
      </c>
      <c r="G72" s="4">
        <f t="shared" si="22"/>
        <v>4.8809693814247157E-2</v>
      </c>
    </row>
    <row r="73" spans="1:8" x14ac:dyDescent="0.3">
      <c r="B73" s="10">
        <f>SUM(B67:B72)</f>
        <v>10115648</v>
      </c>
      <c r="C73" s="5">
        <f t="shared" si="20"/>
        <v>0.84575800312563443</v>
      </c>
      <c r="D73" s="12">
        <f>SUM(D67:D72)</f>
        <v>1844804</v>
      </c>
      <c r="E73" s="5">
        <f t="shared" si="21"/>
        <v>0.15424199687436563</v>
      </c>
      <c r="F73" s="12">
        <f>SUM(F67:F72)</f>
        <v>11960452</v>
      </c>
      <c r="G73" s="5">
        <f t="shared" si="22"/>
        <v>1</v>
      </c>
    </row>
    <row r="74" spans="1:8" ht="8.4" customHeight="1" x14ac:dyDescent="0.3">
      <c r="B74" s="10"/>
      <c r="C74" s="5"/>
      <c r="D74" s="12"/>
      <c r="E74" s="5"/>
      <c r="F74" s="12"/>
      <c r="G74" s="5"/>
    </row>
    <row r="75" spans="1:8" x14ac:dyDescent="0.3">
      <c r="A75" s="66" t="s">
        <v>1608</v>
      </c>
      <c r="B75" s="66"/>
      <c r="C75" s="66"/>
      <c r="D75" s="66"/>
      <c r="E75" s="66"/>
      <c r="F75" s="66"/>
      <c r="G75" s="66"/>
      <c r="H75" s="66"/>
    </row>
    <row r="76" spans="1:8" x14ac:dyDescent="0.3">
      <c r="B76" s="68" t="s">
        <v>73</v>
      </c>
      <c r="C76" s="68"/>
      <c r="D76" s="68" t="s">
        <v>1342</v>
      </c>
      <c r="E76" s="68"/>
      <c r="F76" s="68" t="s">
        <v>1343</v>
      </c>
      <c r="G76" s="68"/>
    </row>
    <row r="77" spans="1:8" x14ac:dyDescent="0.3">
      <c r="A77" s="9" t="s">
        <v>1597</v>
      </c>
      <c r="B77" s="62">
        <f>GETPIVOTDATA("Sum of English",Pivot!$A$5)</f>
        <v>8728516</v>
      </c>
      <c r="C77" s="5">
        <f>B77/$F$80</f>
        <v>0.72978144973116399</v>
      </c>
      <c r="D77" s="62">
        <f>GETPIVOTDATA("Sum of a_English",Pivot!$A$5)</f>
        <v>1557991</v>
      </c>
      <c r="E77" s="5">
        <f>D77/$F$80</f>
        <v>0.13026188307933512</v>
      </c>
      <c r="F77" s="62">
        <f>B77+D77</f>
        <v>10286507</v>
      </c>
      <c r="G77" s="5">
        <f>F77/$F$80</f>
        <v>0.86004333281049916</v>
      </c>
    </row>
    <row r="78" spans="1:8" x14ac:dyDescent="0.3">
      <c r="A78" s="9" t="s">
        <v>1598</v>
      </c>
      <c r="B78" s="62">
        <f>GETPIVOTDATA("Sum of Spanish",Pivot!$A$5)</f>
        <v>1212877</v>
      </c>
      <c r="C78" s="5">
        <f t="shared" ref="C78:E79" si="24">B78/$F$80</f>
        <v>0.10140728795199379</v>
      </c>
      <c r="D78" s="62">
        <f>GETPIVOTDATA("Sum of a_Spanish",Pivot!$A$5)</f>
        <v>207803</v>
      </c>
      <c r="E78" s="5">
        <f t="shared" si="24"/>
        <v>1.7374176159897635E-2</v>
      </c>
      <c r="F78" s="62">
        <f t="shared" ref="F78:F79" si="25">B78+D78</f>
        <v>1420680</v>
      </c>
      <c r="G78" s="5">
        <f t="shared" ref="G78" si="26">F78/$F$80</f>
        <v>0.11878146411189143</v>
      </c>
    </row>
    <row r="79" spans="1:8" x14ac:dyDescent="0.3">
      <c r="A79" s="9" t="s">
        <v>1609</v>
      </c>
      <c r="B79" s="63">
        <f>GETPIVOTDATA("Sum of All_Other",Pivot!$A$5)</f>
        <v>174255</v>
      </c>
      <c r="C79" s="4">
        <f t="shared" si="24"/>
        <v>1.4569265442476588E-2</v>
      </c>
      <c r="D79" s="63">
        <f>GETPIVOTDATA("Sum of a_All_Other",Pivot!$A$5)</f>
        <v>79010</v>
      </c>
      <c r="E79" s="4">
        <f t="shared" si="24"/>
        <v>6.6059376351328527E-3</v>
      </c>
      <c r="F79" s="63">
        <f t="shared" si="25"/>
        <v>253265</v>
      </c>
      <c r="G79" s="4">
        <f t="shared" ref="G79" si="27">F79/$F$80</f>
        <v>2.117520307760944E-2</v>
      </c>
    </row>
    <row r="80" spans="1:8" x14ac:dyDescent="0.3">
      <c r="B80" s="10">
        <f>SUM(B77:B79)</f>
        <v>10115648</v>
      </c>
      <c r="C80" s="5">
        <f t="shared" ref="C80:G80" si="28">SUM(C77:C79)</f>
        <v>0.84575800312563443</v>
      </c>
      <c r="D80" s="10">
        <f t="shared" si="28"/>
        <v>1844804</v>
      </c>
      <c r="E80" s="5">
        <f t="shared" si="28"/>
        <v>0.1542419968743656</v>
      </c>
      <c r="F80" s="10">
        <f t="shared" si="28"/>
        <v>11960452</v>
      </c>
      <c r="G80" s="5">
        <f t="shared" si="28"/>
        <v>1</v>
      </c>
    </row>
    <row r="81" spans="1:8" ht="8.4" customHeight="1" x14ac:dyDescent="0.3"/>
    <row r="82" spans="1:8" x14ac:dyDescent="0.3">
      <c r="A82" s="66" t="s">
        <v>1595</v>
      </c>
      <c r="B82" s="66"/>
      <c r="C82" s="66"/>
      <c r="D82" s="66"/>
      <c r="E82" s="66"/>
      <c r="F82" s="66"/>
      <c r="G82" s="66"/>
      <c r="H82" s="66"/>
    </row>
    <row r="83" spans="1:8" x14ac:dyDescent="0.3">
      <c r="B83" s="68" t="s">
        <v>73</v>
      </c>
      <c r="C83" s="68"/>
      <c r="D83" s="68" t="s">
        <v>1342</v>
      </c>
      <c r="E83" s="68"/>
      <c r="F83" s="68" t="s">
        <v>1343</v>
      </c>
      <c r="G83" s="68"/>
    </row>
    <row r="84" spans="1:8" x14ac:dyDescent="0.3">
      <c r="A84" s="6" t="s">
        <v>1444</v>
      </c>
      <c r="B84" s="62">
        <f>GETPIVOTDATA("Sum of Sex_Male",Pivot!$A$5)</f>
        <v>4593778</v>
      </c>
      <c r="C84" s="5">
        <f>B84/$F$87</f>
        <v>0.3840806350796776</v>
      </c>
      <c r="D84" s="62">
        <f>GETPIVOTDATA("Sum of a_Sex_Male",Pivot!$A$5)</f>
        <v>884449</v>
      </c>
      <c r="E84" s="5">
        <f>D84/$F$87</f>
        <v>7.3947790601893645E-2</v>
      </c>
      <c r="F84" s="62">
        <f>B84+D84</f>
        <v>5478227</v>
      </c>
      <c r="G84" s="5">
        <f>F84/$F$87</f>
        <v>0.45802842568157121</v>
      </c>
    </row>
    <row r="85" spans="1:8" x14ac:dyDescent="0.3">
      <c r="A85" s="6" t="s">
        <v>1445</v>
      </c>
      <c r="B85" s="62">
        <f>GETPIVOTDATA("Sum of Sex_Female",Pivot!$A$5)</f>
        <v>5521645</v>
      </c>
      <c r="C85" s="5">
        <f>B85/$F$87</f>
        <v>0.46165855604788181</v>
      </c>
      <c r="D85" s="62">
        <f>GETPIVOTDATA("Sum of a_Sex_Female",Pivot!$A$5)</f>
        <v>960327</v>
      </c>
      <c r="E85" s="5">
        <f>D85/$F$87</f>
        <v>8.0291865223822645E-2</v>
      </c>
      <c r="F85" s="62">
        <f t="shared" ref="F85" si="29">B85+D85</f>
        <v>6481972</v>
      </c>
      <c r="G85" s="5">
        <f>F85/$F$87</f>
        <v>0.54195042127170445</v>
      </c>
    </row>
    <row r="86" spans="1:8" x14ac:dyDescent="0.3">
      <c r="A86" s="6" t="s">
        <v>1648</v>
      </c>
      <c r="B86" s="63">
        <f>GETPIVOTDATA("Sum of Sex_Other",Pivot!$A$5)+GETPIVOTDATA("Sum of Sex_Unknown",Pivot!$A$10)</f>
        <v>225</v>
      </c>
      <c r="C86" s="4">
        <f>B86/$F$87</f>
        <v>1.8811998074989138E-5</v>
      </c>
      <c r="D86" s="63">
        <f>GETPIVOTDATA("Sum of a_Sex_Other",Pivot!$A$5)+GETPIVOTDATA("Sum of a_Sex_Unknown",Pivot!$A$10)</f>
        <v>28</v>
      </c>
      <c r="E86" s="4">
        <f>D86/$F$87</f>
        <v>2.3410486493319817E-6</v>
      </c>
      <c r="F86" s="63">
        <f t="shared" ref="F86" si="30">B86+D86</f>
        <v>253</v>
      </c>
      <c r="G86" s="4">
        <f>F86/$F$87</f>
        <v>2.1153046724321121E-5</v>
      </c>
    </row>
    <row r="87" spans="1:8" x14ac:dyDescent="0.3">
      <c r="B87" s="10">
        <f t="shared" ref="B87:G87" si="31">SUM(B84:B86)</f>
        <v>10115648</v>
      </c>
      <c r="C87" s="3">
        <f t="shared" si="31"/>
        <v>0.84575800312563432</v>
      </c>
      <c r="D87" s="10">
        <f t="shared" si="31"/>
        <v>1844804</v>
      </c>
      <c r="E87" s="3">
        <f t="shared" si="31"/>
        <v>0.15424199687436563</v>
      </c>
      <c r="F87" s="10">
        <f t="shared" si="31"/>
        <v>11960452</v>
      </c>
      <c r="G87" s="3">
        <f t="shared" si="31"/>
        <v>1</v>
      </c>
    </row>
    <row r="89" spans="1:8" x14ac:dyDescent="0.3">
      <c r="A89" s="66" t="s">
        <v>1446</v>
      </c>
      <c r="B89" s="66"/>
      <c r="C89" s="66"/>
      <c r="D89" s="66"/>
      <c r="E89" s="66"/>
      <c r="F89" s="66"/>
      <c r="G89" s="66"/>
      <c r="H89" s="66"/>
    </row>
    <row r="90" spans="1:8" x14ac:dyDescent="0.3">
      <c r="B90" s="68" t="s">
        <v>73</v>
      </c>
      <c r="C90" s="68"/>
      <c r="D90" s="68" t="s">
        <v>1342</v>
      </c>
      <c r="E90" s="68"/>
      <c r="F90" s="68" t="s">
        <v>1343</v>
      </c>
      <c r="G90" s="68"/>
    </row>
    <row r="91" spans="1:8" x14ac:dyDescent="0.3">
      <c r="A91" s="6" t="s">
        <v>1447</v>
      </c>
      <c r="B91" s="62">
        <f>GETPIVOTDATA("Sum of Dx_Infections",Pivot!$A$5)</f>
        <v>218347</v>
      </c>
      <c r="C91" s="5">
        <f>B91/$F$111</f>
        <v>1.8255748194131793E-2</v>
      </c>
      <c r="D91" s="62">
        <f>GETPIVOTDATA("Sum of a_Dx_Infections",Pivot!$A$5)</f>
        <v>159315</v>
      </c>
      <c r="E91" s="5">
        <f>D91/$F$111</f>
        <v>1.3320148770297309E-2</v>
      </c>
      <c r="F91" s="62">
        <f>B91+D91</f>
        <v>377662</v>
      </c>
      <c r="G91" s="5">
        <f>F91/$F$111</f>
        <v>3.1575896964429105E-2</v>
      </c>
    </row>
    <row r="92" spans="1:8" x14ac:dyDescent="0.3">
      <c r="A92" s="6" t="s">
        <v>1448</v>
      </c>
      <c r="B92" s="62">
        <f>GETPIVOTDATA("Sum of Dx_Neoplasms",Pivot!$A$5)</f>
        <v>17694</v>
      </c>
      <c r="C92" s="5">
        <f t="shared" ref="C92:C110" si="32">B92/$F$111</f>
        <v>1.4793755286171459E-3</v>
      </c>
      <c r="D92" s="62">
        <f>GETPIVOTDATA("Sum of a_Dx_Neoplasms",Pivot!$A$5)</f>
        <v>46952</v>
      </c>
      <c r="E92" s="5">
        <f t="shared" ref="E92:G110" si="33">D92/$F$111</f>
        <v>3.9256041494084007E-3</v>
      </c>
      <c r="F92" s="62">
        <f t="shared" ref="F92:F110" si="34">B92+D92</f>
        <v>64646</v>
      </c>
      <c r="G92" s="5">
        <f t="shared" si="33"/>
        <v>5.4049796780255462E-3</v>
      </c>
    </row>
    <row r="93" spans="1:8" x14ac:dyDescent="0.3">
      <c r="A93" s="6" t="s">
        <v>1449</v>
      </c>
      <c r="B93" s="62">
        <f>GETPIVOTDATA("Sum of Dx_Endocrine_Metabolism",Pivot!$A$5)</f>
        <v>150745</v>
      </c>
      <c r="C93" s="5">
        <f t="shared" si="32"/>
        <v>1.2603620665841057E-2</v>
      </c>
      <c r="D93" s="62">
        <f>GETPIVOTDATA("Sum of a_Dx_Endocrine_Metabolism",Pivot!$A$5)</f>
        <v>86730</v>
      </c>
      <c r="E93" s="5">
        <f t="shared" si="33"/>
        <v>7.2513981913058132E-3</v>
      </c>
      <c r="F93" s="62">
        <f t="shared" si="34"/>
        <v>237475</v>
      </c>
      <c r="G93" s="5">
        <f t="shared" si="33"/>
        <v>1.9855018857146869E-2</v>
      </c>
    </row>
    <row r="94" spans="1:8" x14ac:dyDescent="0.3">
      <c r="A94" s="6" t="s">
        <v>1450</v>
      </c>
      <c r="B94" s="62">
        <f>GETPIVOTDATA("Sum of Dx_Blood_Bloodforming_organs",Pivot!$A$5)</f>
        <v>36789</v>
      </c>
      <c r="C94" s="5">
        <f t="shared" si="32"/>
        <v>3.0758870985812242E-3</v>
      </c>
      <c r="D94" s="62">
        <f>GETPIVOTDATA("Sum of a_Dx_Blood_Bloodforming_organs",Pivot!$A$5)</f>
        <v>31623</v>
      </c>
      <c r="E94" s="5">
        <f t="shared" si="33"/>
        <v>2.6439636227794734E-3</v>
      </c>
      <c r="F94" s="62">
        <f t="shared" si="34"/>
        <v>68412</v>
      </c>
      <c r="G94" s="5">
        <f t="shared" si="33"/>
        <v>5.719850721360698E-3</v>
      </c>
    </row>
    <row r="95" spans="1:8" x14ac:dyDescent="0.3">
      <c r="A95" s="6" t="s">
        <v>1451</v>
      </c>
      <c r="B95" s="62">
        <f>GETPIVOTDATA("Sum of Dx_Psychoses_Neuroses",Pivot!$A$5)</f>
        <v>403780</v>
      </c>
      <c r="C95" s="5">
        <f t="shared" si="32"/>
        <v>3.3759593700973846E-2</v>
      </c>
      <c r="D95" s="62">
        <f>GETPIVOTDATA("Sum of a_Dx_Psychoses_Neuroses",Pivot!$A$5)</f>
        <v>74511</v>
      </c>
      <c r="E95" s="5">
        <f t="shared" si="33"/>
        <v>6.2297812825134035E-3</v>
      </c>
      <c r="F95" s="62">
        <f t="shared" si="34"/>
        <v>478291</v>
      </c>
      <c r="G95" s="5">
        <f t="shared" si="33"/>
        <v>3.9989374983487244E-2</v>
      </c>
    </row>
    <row r="96" spans="1:8" x14ac:dyDescent="0.3">
      <c r="A96" s="6" t="s">
        <v>1452</v>
      </c>
      <c r="B96" s="62">
        <f>GETPIVOTDATA("Sum of Dx_Nervous_Sensory_Systems",Pivot!$A$5)</f>
        <v>636358</v>
      </c>
      <c r="C96" s="5">
        <f t="shared" si="32"/>
        <v>5.3205179871128619E-2</v>
      </c>
      <c r="D96" s="62">
        <f>GETPIVOTDATA("Sum of a_Dx_Nervous_Sensory_Systems",Pivot!$A$5)</f>
        <v>48220</v>
      </c>
      <c r="E96" s="5">
        <f t="shared" si="33"/>
        <v>4.0316202096710059E-3</v>
      </c>
      <c r="F96" s="62">
        <f t="shared" si="34"/>
        <v>684578</v>
      </c>
      <c r="G96" s="5">
        <f t="shared" si="33"/>
        <v>5.7236800080799621E-2</v>
      </c>
    </row>
    <row r="97" spans="1:7" x14ac:dyDescent="0.3">
      <c r="A97" s="6" t="s">
        <v>1453</v>
      </c>
      <c r="B97" s="62">
        <f>GETPIVOTDATA("Sum of Dx_Circulatory",Pivot!$A$5)</f>
        <v>239573</v>
      </c>
      <c r="C97" s="5">
        <f t="shared" si="32"/>
        <v>2.0030430288086102E-2</v>
      </c>
      <c r="D97" s="62">
        <f>GETPIVOTDATA("Sum of a_Dx_Circulatory",Pivot!$A$5)</f>
        <v>329130</v>
      </c>
      <c r="E97" s="5">
        <f t="shared" si="33"/>
        <v>2.7518190784094114E-2</v>
      </c>
      <c r="F97" s="62">
        <f t="shared" si="34"/>
        <v>568703</v>
      </c>
      <c r="G97" s="5">
        <f t="shared" si="33"/>
        <v>4.7548621072180212E-2</v>
      </c>
    </row>
    <row r="98" spans="1:7" x14ac:dyDescent="0.3">
      <c r="A98" s="6" t="s">
        <v>1454</v>
      </c>
      <c r="B98" s="62">
        <f>GETPIVOTDATA("Sum of Dx_Respiratory",Pivot!$A$5)</f>
        <v>1067339</v>
      </c>
      <c r="C98" s="5">
        <f t="shared" si="32"/>
        <v>8.9239018726048142E-2</v>
      </c>
      <c r="D98" s="62">
        <f>GETPIVOTDATA("Sum of a_Dx_Respiratory",Pivot!$A$5)</f>
        <v>216650</v>
      </c>
      <c r="E98" s="5">
        <f t="shared" si="33"/>
        <v>1.8113863924206209E-2</v>
      </c>
      <c r="F98" s="62">
        <f t="shared" si="34"/>
        <v>1283989</v>
      </c>
      <c r="G98" s="5">
        <f t="shared" si="33"/>
        <v>0.10735288265025436</v>
      </c>
    </row>
    <row r="99" spans="1:7" x14ac:dyDescent="0.3">
      <c r="A99" s="6" t="s">
        <v>1455</v>
      </c>
      <c r="B99" s="62">
        <f>GETPIVOTDATA("Sum of Dx_Digestive",Pivot!$A$5)</f>
        <v>548680</v>
      </c>
      <c r="C99" s="5">
        <f t="shared" si="32"/>
        <v>4.5874520461266846E-2</v>
      </c>
      <c r="D99" s="62">
        <f>GETPIVOTDATA("Sum of a_Dx_Digestive",Pivot!$A$5)</f>
        <v>287319</v>
      </c>
      <c r="E99" s="5">
        <f t="shared" si="33"/>
        <v>2.402241988847913E-2</v>
      </c>
      <c r="F99" s="62">
        <f t="shared" si="34"/>
        <v>835999</v>
      </c>
      <c r="G99" s="5">
        <f t="shared" si="33"/>
        <v>6.9896940349745973E-2</v>
      </c>
    </row>
    <row r="100" spans="1:7" x14ac:dyDescent="0.3">
      <c r="A100" s="6" t="s">
        <v>1456</v>
      </c>
      <c r="B100" s="62">
        <f>GETPIVOTDATA("Sum of Dx_Genitourinary",Pivot!$A$5)</f>
        <v>554553</v>
      </c>
      <c r="C100" s="5">
        <f t="shared" si="32"/>
        <v>4.6365555415464228E-2</v>
      </c>
      <c r="D100" s="62">
        <f>GETPIVOTDATA("Sum of a_Dx_Genitourinary",Pivot!$A$5)</f>
        <v>103399</v>
      </c>
      <c r="E100" s="5">
        <f t="shared" si="33"/>
        <v>8.6450746175813428E-3</v>
      </c>
      <c r="F100" s="62">
        <f t="shared" si="34"/>
        <v>657952</v>
      </c>
      <c r="G100" s="5">
        <f t="shared" si="33"/>
        <v>5.5010630033045571E-2</v>
      </c>
    </row>
    <row r="101" spans="1:7" x14ac:dyDescent="0.3">
      <c r="A101" s="6" t="s">
        <v>1457</v>
      </c>
      <c r="B101" s="62">
        <f>GETPIVOTDATA("Sum of Dx_All_Pregnancies",Pivot!$A$5)</f>
        <v>277474</v>
      </c>
      <c r="C101" s="5">
        <f t="shared" si="32"/>
        <v>2.3199290461597941E-2</v>
      </c>
      <c r="D101" s="62">
        <f>GETPIVOTDATA("Sum of a_Dx_All_Pregnancies",Pivot!$A$5)</f>
        <v>30427</v>
      </c>
      <c r="E101" s="5">
        <f t="shared" si="33"/>
        <v>2.5439674019008644E-3</v>
      </c>
      <c r="F101" s="62">
        <f t="shared" si="34"/>
        <v>307901</v>
      </c>
      <c r="G101" s="5">
        <f t="shared" si="33"/>
        <v>2.5743257863498806E-2</v>
      </c>
    </row>
    <row r="102" spans="1:7" x14ac:dyDescent="0.3">
      <c r="A102" s="6" t="s">
        <v>1458</v>
      </c>
      <c r="B102" s="62">
        <f>GETPIVOTDATA("Sum of Dx_Skin_disorders",Pivot!$A$5)</f>
        <v>422608</v>
      </c>
      <c r="C102" s="5">
        <f t="shared" si="32"/>
        <v>3.5333781699888933E-2</v>
      </c>
      <c r="D102" s="62">
        <f>GETPIVOTDATA("Sum of a_Dx_Skin_disorders",Pivot!$A$5)</f>
        <v>49652</v>
      </c>
      <c r="E102" s="5">
        <f t="shared" si="33"/>
        <v>4.1513481263082703E-3</v>
      </c>
      <c r="F102" s="62">
        <f t="shared" si="34"/>
        <v>472260</v>
      </c>
      <c r="G102" s="5">
        <f t="shared" si="33"/>
        <v>3.9485129826197202E-2</v>
      </c>
    </row>
    <row r="103" spans="1:7" x14ac:dyDescent="0.3">
      <c r="A103" s="6" t="s">
        <v>1459</v>
      </c>
      <c r="B103" s="62">
        <f>GETPIVOTDATA("Sum of Dx_Musculoskeletal",Pivot!$A$5)</f>
        <v>607551</v>
      </c>
      <c r="C103" s="5">
        <f t="shared" si="32"/>
        <v>5.0796658855367674E-2</v>
      </c>
      <c r="D103" s="62">
        <f>GETPIVOTDATA("Sum of a_Dx_Musculoskeletal",Pivot!$A$5)</f>
        <v>36656</v>
      </c>
      <c r="E103" s="5">
        <f t="shared" si="33"/>
        <v>3.0647671174968971E-3</v>
      </c>
      <c r="F103" s="62">
        <f t="shared" si="34"/>
        <v>644207</v>
      </c>
      <c r="G103" s="5">
        <f t="shared" si="33"/>
        <v>5.3861425972864571E-2</v>
      </c>
    </row>
    <row r="104" spans="1:7" x14ac:dyDescent="0.3">
      <c r="A104" s="6" t="s">
        <v>1482</v>
      </c>
      <c r="B104" s="62">
        <f>GETPIVOTDATA("Sum of Dx_Congenital_anomalies",Pivot!$A$5)</f>
        <v>3197</v>
      </c>
      <c r="C104" s="5">
        <f t="shared" si="32"/>
        <v>2.6729759042551235E-4</v>
      </c>
      <c r="D104" s="62">
        <f>GETPIVOTDATA("Sum of a_Dx_Congenital_anomalies",Pivot!$A$5)</f>
        <v>2164</v>
      </c>
      <c r="E104" s="5">
        <f t="shared" si="33"/>
        <v>1.8092961704122888E-4</v>
      </c>
      <c r="F104" s="62">
        <f t="shared" si="34"/>
        <v>5361</v>
      </c>
      <c r="G104" s="5">
        <f t="shared" si="33"/>
        <v>4.482272074667412E-4</v>
      </c>
    </row>
    <row r="105" spans="1:7" x14ac:dyDescent="0.3">
      <c r="A105" s="6" t="s">
        <v>1460</v>
      </c>
      <c r="B105" s="62">
        <f>GETPIVOTDATA("Sum of Dx_Perinatal_disorders",Pivot!$A$5)</f>
        <v>16706</v>
      </c>
      <c r="C105" s="5">
        <f t="shared" si="32"/>
        <v>1.3967699548478602E-3</v>
      </c>
      <c r="D105" s="62">
        <f>GETPIVOTDATA("Sum of a_Dx_Perinatal_disorders",Pivot!$A$5)</f>
        <v>4761</v>
      </c>
      <c r="E105" s="5">
        <f t="shared" si="33"/>
        <v>3.9806187926677019E-4</v>
      </c>
      <c r="F105" s="62">
        <f t="shared" si="34"/>
        <v>21467</v>
      </c>
      <c r="G105" s="5">
        <f t="shared" si="33"/>
        <v>1.7948318341146304E-3</v>
      </c>
    </row>
    <row r="106" spans="1:7" x14ac:dyDescent="0.3">
      <c r="A106" s="6" t="s">
        <v>1461</v>
      </c>
      <c r="B106" s="62">
        <f>GETPIVOTDATA("Sum of Dx_Symptoms",Pivot!$A$5)</f>
        <v>2294437</v>
      </c>
      <c r="C106" s="5">
        <f t="shared" si="32"/>
        <v>0.19183530856526157</v>
      </c>
      <c r="D106" s="62">
        <f>GETPIVOTDATA("Sum of a_Dx_Symptoms",Pivot!$A$5)</f>
        <v>128967</v>
      </c>
      <c r="E106" s="5">
        <f t="shared" si="33"/>
        <v>1.0782786469942775E-2</v>
      </c>
      <c r="F106" s="62">
        <f t="shared" si="34"/>
        <v>2423404</v>
      </c>
      <c r="G106" s="5">
        <f t="shared" si="33"/>
        <v>0.20261809503520437</v>
      </c>
    </row>
    <row r="107" spans="1:7" x14ac:dyDescent="0.3">
      <c r="A107" s="6" t="s">
        <v>1462</v>
      </c>
      <c r="B107" s="62">
        <f>GETPIVOTDATA("Sum of Dx_Injuries_Drugs_Complications",Pivot!$A$5)</f>
        <v>2228087</v>
      </c>
      <c r="C107" s="5">
        <f t="shared" si="32"/>
        <v>0.18628785935514811</v>
      </c>
      <c r="D107" s="62">
        <f>GETPIVOTDATA("Sum of a_Dx_Injuries_Drugs_Complication",Pivot!$A$5)</f>
        <v>204634</v>
      </c>
      <c r="E107" s="5">
        <f t="shared" si="33"/>
        <v>1.7109219618121455E-2</v>
      </c>
      <c r="F107" s="62">
        <f t="shared" si="34"/>
        <v>2432721</v>
      </c>
      <c r="G107" s="5">
        <f t="shared" si="33"/>
        <v>0.20339707897326958</v>
      </c>
    </row>
    <row r="108" spans="1:7" x14ac:dyDescent="0.3">
      <c r="A108" s="6" t="s">
        <v>1463</v>
      </c>
      <c r="B108" s="62">
        <f>GETPIVOTDATA("Sum of Dx_Other_Reasons",Pivot!$A$5)</f>
        <v>391530</v>
      </c>
      <c r="C108" s="5">
        <f t="shared" si="32"/>
        <v>3.2735384916891104E-2</v>
      </c>
      <c r="D108" s="62">
        <f>GETPIVOTDATA("Sum of a_Dx_Other_Reasons",Pivot!$A$5)</f>
        <v>3360</v>
      </c>
      <c r="E108" s="5">
        <f t="shared" si="33"/>
        <v>2.809258379198378E-4</v>
      </c>
      <c r="F108" s="62">
        <f t="shared" si="34"/>
        <v>394890</v>
      </c>
      <c r="G108" s="5">
        <f t="shared" si="33"/>
        <v>3.3016310754810936E-2</v>
      </c>
    </row>
    <row r="109" spans="1:7" x14ac:dyDescent="0.3">
      <c r="A109" s="6" t="s">
        <v>1464</v>
      </c>
      <c r="B109" s="62">
        <f>GETPIVOTDATA("Sum of Dx_Births",Pivot!$A$5)</f>
        <v>108</v>
      </c>
      <c r="C109" s="5">
        <f t="shared" si="32"/>
        <v>9.0297590759947871E-6</v>
      </c>
      <c r="D109" s="62">
        <f>GETPIVOTDATA("Sum of a_Dx_Births",Pivot!$A$5)</f>
        <v>333</v>
      </c>
      <c r="E109" s="5">
        <f t="shared" si="33"/>
        <v>2.7841757150983925E-5</v>
      </c>
      <c r="F109" s="62">
        <f t="shared" si="34"/>
        <v>441</v>
      </c>
      <c r="G109" s="5">
        <f t="shared" si="33"/>
        <v>3.6871516226978712E-5</v>
      </c>
    </row>
    <row r="110" spans="1:7" x14ac:dyDescent="0.3">
      <c r="A110" s="6" t="s">
        <v>1465</v>
      </c>
      <c r="B110" s="63">
        <f>GETPIVOTDATA("Sum of Dx_Invalid",Pivot!$A$5)</f>
        <v>92</v>
      </c>
      <c r="C110" s="4">
        <f t="shared" si="32"/>
        <v>7.6920169906622258E-6</v>
      </c>
      <c r="D110" s="63">
        <f>GETPIVOTDATA("Sum of a_Dx_invalid",Pivot!$A$5)</f>
        <v>1</v>
      </c>
      <c r="E110" s="4">
        <f t="shared" si="33"/>
        <v>8.3608880333285064E-8</v>
      </c>
      <c r="F110" s="63">
        <f t="shared" si="34"/>
        <v>93</v>
      </c>
      <c r="G110" s="4">
        <f t="shared" si="33"/>
        <v>7.7756258709955116E-6</v>
      </c>
    </row>
    <row r="111" spans="1:7" x14ac:dyDescent="0.3">
      <c r="B111" s="12">
        <f t="shared" ref="B111:G111" si="35">SUM(B91:B110)</f>
        <v>10115648</v>
      </c>
      <c r="C111" s="3">
        <f t="shared" si="35"/>
        <v>0.84575800312563443</v>
      </c>
      <c r="D111" s="12">
        <f t="shared" si="35"/>
        <v>1844804</v>
      </c>
      <c r="E111" s="3">
        <f t="shared" si="35"/>
        <v>0.1542419968743656</v>
      </c>
      <c r="F111" s="12">
        <f t="shared" si="35"/>
        <v>11960452</v>
      </c>
      <c r="G111" s="3">
        <f t="shared" si="35"/>
        <v>0.99999999999999989</v>
      </c>
    </row>
    <row r="113" spans="1:8" x14ac:dyDescent="0.3">
      <c r="A113" s="66" t="s">
        <v>1483</v>
      </c>
      <c r="B113" s="66"/>
      <c r="C113" s="66"/>
      <c r="D113" s="66"/>
      <c r="E113" s="66"/>
      <c r="F113" s="66"/>
      <c r="G113" s="66"/>
      <c r="H113" s="66"/>
    </row>
    <row r="114" spans="1:8" x14ac:dyDescent="0.3">
      <c r="B114" s="68" t="s">
        <v>73</v>
      </c>
      <c r="C114" s="68"/>
      <c r="D114" s="68" t="s">
        <v>1342</v>
      </c>
      <c r="E114" s="68"/>
      <c r="F114" s="68" t="s">
        <v>1343</v>
      </c>
      <c r="G114" s="68"/>
    </row>
    <row r="115" spans="1:8" x14ac:dyDescent="0.3">
      <c r="A115" s="6" t="s">
        <v>1466</v>
      </c>
      <c r="B115" s="62">
        <f>GETPIVOTDATA("Sum of EC_Rail_Motor_Vehicle",Pivot!$A$5)</f>
        <v>248963</v>
      </c>
      <c r="C115" s="5">
        <f t="shared" ref="C115:C130" si="36">B115/$F$131</f>
        <v>2.081551767441565E-2</v>
      </c>
      <c r="D115" s="62">
        <f>GETPIVOTDATA("Sum of a_EC_Rail_Motor_Vehicle",Pivot!$A$5)</f>
        <v>24352</v>
      </c>
      <c r="E115" s="5">
        <f t="shared" ref="E115:E130" si="37">D115/$F$131</f>
        <v>2.036043453876158E-3</v>
      </c>
      <c r="F115" s="62">
        <f>B115+D115</f>
        <v>273315</v>
      </c>
      <c r="G115" s="5">
        <f t="shared" ref="G115:G130" si="38">F115/$F$131</f>
        <v>2.2851561128291807E-2</v>
      </c>
    </row>
    <row r="116" spans="1:8" x14ac:dyDescent="0.3">
      <c r="A116" s="6" t="s">
        <v>1467</v>
      </c>
      <c r="B116" s="62">
        <f>GETPIVOTDATA("Sum of EC_Other_Vehicle_Transport",Pivot!$A$5)</f>
        <v>54377</v>
      </c>
      <c r="C116" s="5">
        <f t="shared" si="36"/>
        <v>4.5464000858830419E-3</v>
      </c>
      <c r="D116" s="62">
        <f>GETPIVOTDATA("Sum of a_EC_Other_Vehicle_Transport",Pivot!$A$5)</f>
        <v>4361</v>
      </c>
      <c r="E116" s="5">
        <f t="shared" si="37"/>
        <v>3.6461832713345616E-4</v>
      </c>
      <c r="F116" s="62">
        <f t="shared" ref="F116:F130" si="39">B116+D116</f>
        <v>58738</v>
      </c>
      <c r="G116" s="5">
        <f t="shared" si="38"/>
        <v>4.9110184130164982E-3</v>
      </c>
    </row>
    <row r="117" spans="1:8" x14ac:dyDescent="0.3">
      <c r="A117" s="6" t="s">
        <v>1468</v>
      </c>
      <c r="B117" s="62">
        <f>GETPIVOTDATA("Sum of EC_Accidental_Poisoning",Pivot!$A$5)</f>
        <v>38107</v>
      </c>
      <c r="C117" s="5">
        <f t="shared" si="36"/>
        <v>3.1860836028604939E-3</v>
      </c>
      <c r="D117" s="62">
        <f>GETPIVOTDATA("Sum of a_EC_Accidental_Poisoning",Pivot!$A$5)</f>
        <v>13091</v>
      </c>
      <c r="E117" s="5">
        <f t="shared" si="37"/>
        <v>1.0945238524430348E-3</v>
      </c>
      <c r="F117" s="62">
        <f t="shared" si="39"/>
        <v>51198</v>
      </c>
      <c r="G117" s="5">
        <f t="shared" si="38"/>
        <v>4.2806074553035289E-3</v>
      </c>
    </row>
    <row r="118" spans="1:8" x14ac:dyDescent="0.3">
      <c r="A118" s="6" t="s">
        <v>1469</v>
      </c>
      <c r="B118" s="62">
        <f>GETPIVOTDATA("Sum of EC_Misadventures_Complication",Pivot!$A$5)</f>
        <v>47683</v>
      </c>
      <c r="C118" s="5">
        <f t="shared" si="36"/>
        <v>3.986722240932032E-3</v>
      </c>
      <c r="D118" s="62">
        <f>GETPIVOTDATA("Sum of a_EC_Misadventures_Complication",Pivot!$A$5)</f>
        <v>75095</v>
      </c>
      <c r="E118" s="5">
        <f t="shared" si="37"/>
        <v>6.2786088686280416E-3</v>
      </c>
      <c r="F118" s="62">
        <f t="shared" si="39"/>
        <v>122778</v>
      </c>
      <c r="G118" s="5">
        <f t="shared" si="38"/>
        <v>1.0265331109560074E-2</v>
      </c>
    </row>
    <row r="119" spans="1:8" x14ac:dyDescent="0.3">
      <c r="A119" s="6" t="s">
        <v>1470</v>
      </c>
      <c r="B119" s="62">
        <f>GETPIVOTDATA("Sum of EC_Accidental_Falls",Pivot!$A$5)</f>
        <v>721715</v>
      </c>
      <c r="C119" s="5">
        <f t="shared" si="36"/>
        <v>6.034178306973683E-2</v>
      </c>
      <c r="D119" s="62">
        <f>GETPIVOTDATA("Sum of a_EC_Accidental_Falls",Pivot!$A$5)</f>
        <v>101607</v>
      </c>
      <c r="E119" s="5">
        <f t="shared" si="37"/>
        <v>8.4952475040240959E-3</v>
      </c>
      <c r="F119" s="62">
        <f t="shared" si="39"/>
        <v>823322</v>
      </c>
      <c r="G119" s="5">
        <f t="shared" si="38"/>
        <v>6.8837030573760921E-2</v>
      </c>
    </row>
    <row r="120" spans="1:8" x14ac:dyDescent="0.3">
      <c r="A120" s="6" t="s">
        <v>1471</v>
      </c>
      <c r="B120" s="62">
        <f>GETPIVOTDATA("Sum of EC_Fire_Accidents",Pivot!$A$5)</f>
        <v>5237</v>
      </c>
      <c r="C120" s="5">
        <f t="shared" si="36"/>
        <v>4.3785970630541386E-4</v>
      </c>
      <c r="D120" s="62">
        <f>GETPIVOTDATA("Sum of a_EC_Fire_Accidents",Pivot!$A$5)</f>
        <v>705</v>
      </c>
      <c r="E120" s="5">
        <f t="shared" si="37"/>
        <v>5.8944260634965972E-5</v>
      </c>
      <c r="F120" s="62">
        <f t="shared" si="39"/>
        <v>5942</v>
      </c>
      <c r="G120" s="5">
        <f t="shared" si="38"/>
        <v>4.9680396694037985E-4</v>
      </c>
    </row>
    <row r="121" spans="1:8" x14ac:dyDescent="0.3">
      <c r="A121" s="6" t="s">
        <v>1472</v>
      </c>
      <c r="B121" s="62">
        <f>GETPIVOTDATA("Sum of EC_Natural_Environment",Pivot!$A$5)</f>
        <v>105564</v>
      </c>
      <c r="C121" s="5">
        <f t="shared" si="36"/>
        <v>8.8260878435029045E-3</v>
      </c>
      <c r="D121" s="62">
        <f>GETPIVOTDATA("Sum of a_EC_Natural_Environment",Pivot!$A$5)</f>
        <v>4961</v>
      </c>
      <c r="E121" s="5">
        <f t="shared" si="37"/>
        <v>4.1478365533342718E-4</v>
      </c>
      <c r="F121" s="62">
        <f t="shared" si="39"/>
        <v>110525</v>
      </c>
      <c r="G121" s="5">
        <f t="shared" si="38"/>
        <v>9.2408714988363311E-3</v>
      </c>
    </row>
    <row r="122" spans="1:8" x14ac:dyDescent="0.3">
      <c r="A122" s="6" t="s">
        <v>1473</v>
      </c>
      <c r="B122" s="62">
        <f>GETPIVOTDATA("Sum of EC_Submersion_Suffocation_Foreig",Pivot!$A$5)</f>
        <v>54319</v>
      </c>
      <c r="C122" s="5">
        <f t="shared" si="36"/>
        <v>4.5415507708237114E-3</v>
      </c>
      <c r="D122" s="62">
        <f>GETPIVOTDATA("Sum of a_EC_Submersion_Suffocation_Fore",Pivot!$A$5)</f>
        <v>5023</v>
      </c>
      <c r="E122" s="5">
        <f t="shared" si="37"/>
        <v>4.1996740591409085E-4</v>
      </c>
      <c r="F122" s="62">
        <f t="shared" si="39"/>
        <v>59342</v>
      </c>
      <c r="G122" s="5">
        <f t="shared" si="38"/>
        <v>4.9615181767378022E-3</v>
      </c>
    </row>
    <row r="123" spans="1:8" x14ac:dyDescent="0.3">
      <c r="A123" s="6" t="s">
        <v>1474</v>
      </c>
      <c r="B123" s="62">
        <f>GETPIVOTDATA("Sum of EC_Other_Accidents",Pivot!$A$5)</f>
        <v>936603</v>
      </c>
      <c r="C123" s="5">
        <f t="shared" si="36"/>
        <v>7.8308328146795794E-2</v>
      </c>
      <c r="D123" s="62">
        <f>GETPIVOTDATA("Sum of a_EC_Other_Accidents",Pivot!$A$5)</f>
        <v>27402</v>
      </c>
      <c r="E123" s="5">
        <f t="shared" si="37"/>
        <v>2.2910505388926772E-3</v>
      </c>
      <c r="F123" s="62">
        <f t="shared" si="39"/>
        <v>964005</v>
      </c>
      <c r="G123" s="5">
        <f t="shared" si="38"/>
        <v>8.0599378685688464E-2</v>
      </c>
    </row>
    <row r="124" spans="1:8" x14ac:dyDescent="0.3">
      <c r="A124" s="6" t="s">
        <v>1475</v>
      </c>
      <c r="B124" s="62">
        <f>GETPIVOTDATA("Sum of EC_Adverse_Effects_of_Drugs",Pivot!$A$5)</f>
        <v>79741</v>
      </c>
      <c r="C124" s="5">
        <f t="shared" si="36"/>
        <v>6.667055726656484E-3</v>
      </c>
      <c r="D124" s="62">
        <f>GETPIVOTDATA("Sum of a_EC_Adverse_Effects_of_Drugs",Pivot!$A$5)</f>
        <v>120053</v>
      </c>
      <c r="E124" s="5">
        <f t="shared" si="37"/>
        <v>1.0037496910651872E-2</v>
      </c>
      <c r="F124" s="62">
        <f t="shared" si="39"/>
        <v>199794</v>
      </c>
      <c r="G124" s="5">
        <f t="shared" si="38"/>
        <v>1.6704552637308356E-2</v>
      </c>
    </row>
    <row r="125" spans="1:8" x14ac:dyDescent="0.3">
      <c r="A125" s="6" t="s">
        <v>1476</v>
      </c>
      <c r="B125" s="62">
        <f>GETPIVOTDATA("Sum of EC_Self_Inflicted",Pivot!$A$5)</f>
        <v>30111</v>
      </c>
      <c r="C125" s="5">
        <f t="shared" si="36"/>
        <v>2.5175469957155463E-3</v>
      </c>
      <c r="D125" s="62">
        <f>GETPIVOTDATA("Sum of a_EC_Self_Inflicted",Pivot!$A$5)</f>
        <v>12703</v>
      </c>
      <c r="E125" s="5">
        <f t="shared" si="37"/>
        <v>1.0620836068737202E-3</v>
      </c>
      <c r="F125" s="62">
        <f t="shared" si="39"/>
        <v>42814</v>
      </c>
      <c r="G125" s="5">
        <f t="shared" si="38"/>
        <v>3.5796306025892666E-3</v>
      </c>
    </row>
    <row r="126" spans="1:8" x14ac:dyDescent="0.3">
      <c r="A126" s="6" t="s">
        <v>1477</v>
      </c>
      <c r="B126" s="62">
        <f>GETPIVOTDATA("Sum of EC_Inflicted_by_Others",Pivot!$A$5)</f>
        <v>121208</v>
      </c>
      <c r="C126" s="5">
        <f t="shared" si="36"/>
        <v>1.0134065167436816E-2</v>
      </c>
      <c r="D126" s="62">
        <f>GETPIVOTDATA("Sum of a_EC_Inflicted_by_Others",Pivot!$A$5)</f>
        <v>11548</v>
      </c>
      <c r="E126" s="5">
        <f t="shared" si="37"/>
        <v>9.6551535008877591E-4</v>
      </c>
      <c r="F126" s="62">
        <f t="shared" si="39"/>
        <v>132756</v>
      </c>
      <c r="G126" s="5">
        <f t="shared" si="38"/>
        <v>1.1099580517525591E-2</v>
      </c>
    </row>
    <row r="127" spans="1:8" x14ac:dyDescent="0.3">
      <c r="A127" s="6" t="s">
        <v>1478</v>
      </c>
      <c r="B127" s="62">
        <f>GETPIVOTDATA("Sum of EC_Undetermined",Pivot!$A$5)</f>
        <v>13423</v>
      </c>
      <c r="C127" s="5">
        <f t="shared" si="36"/>
        <v>1.1222820007136855E-3</v>
      </c>
      <c r="D127" s="62">
        <f>GETPIVOTDATA("Sum of a_EC_Undetermined",Pivot!$A$5)</f>
        <v>3617</v>
      </c>
      <c r="E127" s="5">
        <f t="shared" si="37"/>
        <v>3.0241332016549207E-4</v>
      </c>
      <c r="F127" s="62">
        <f t="shared" si="39"/>
        <v>17040</v>
      </c>
      <c r="G127" s="5">
        <f t="shared" si="38"/>
        <v>1.4246953208791775E-3</v>
      </c>
    </row>
    <row r="128" spans="1:8" x14ac:dyDescent="0.3">
      <c r="A128" s="6" t="s">
        <v>1479</v>
      </c>
      <c r="B128" s="62">
        <f>GETPIVOTDATA("Sum of EC_War",Pivot!$A$5)</f>
        <v>25</v>
      </c>
      <c r="C128" s="5">
        <f t="shared" si="36"/>
        <v>2.0902220083321264E-6</v>
      </c>
      <c r="D128" s="62">
        <f>GETPIVOTDATA("Sum of a_EC_War",Pivot!$A$5)</f>
        <v>13</v>
      </c>
      <c r="E128" s="5">
        <f t="shared" si="37"/>
        <v>1.0869154443327059E-6</v>
      </c>
      <c r="F128" s="62">
        <f t="shared" si="39"/>
        <v>38</v>
      </c>
      <c r="G128" s="5">
        <f t="shared" si="38"/>
        <v>3.1771374526648323E-6</v>
      </c>
    </row>
    <row r="129" spans="1:7" x14ac:dyDescent="0.3">
      <c r="A129" s="6" t="s">
        <v>1480</v>
      </c>
      <c r="B129" s="62">
        <f>GETPIVOTDATA("Sum of EC_Late_Effects_of_Injury",Pivot!$A$5)</f>
        <v>12794</v>
      </c>
      <c r="C129" s="5">
        <f t="shared" si="36"/>
        <v>1.0696920149840491E-3</v>
      </c>
      <c r="D129" s="62">
        <f>GETPIVOTDATA("Sum of a_EC_Late_Effects_of_Injury",Pivot!$A$5)</f>
        <v>7014</v>
      </c>
      <c r="E129" s="5">
        <f t="shared" si="37"/>
        <v>5.8643268665766141E-4</v>
      </c>
      <c r="F129" s="62">
        <f t="shared" si="39"/>
        <v>19808</v>
      </c>
      <c r="G129" s="5">
        <f t="shared" si="38"/>
        <v>1.6561247016417106E-3</v>
      </c>
    </row>
    <row r="130" spans="1:7" x14ac:dyDescent="0.3">
      <c r="A130" s="6" t="s">
        <v>1481</v>
      </c>
      <c r="B130" s="63">
        <f>GETPIVOTDATA("Sum of EC_None",Pivot!$A$5)</f>
        <v>7645778</v>
      </c>
      <c r="C130" s="4">
        <f t="shared" si="36"/>
        <v>0.6392549378568636</v>
      </c>
      <c r="D130" s="63">
        <f>GETPIVOTDATA("Sum of a_EC_None",Pivot!$A$5)</f>
        <v>1433259</v>
      </c>
      <c r="E130" s="4">
        <f t="shared" si="37"/>
        <v>0.11983318021760382</v>
      </c>
      <c r="F130" s="63">
        <f t="shared" si="39"/>
        <v>9079037</v>
      </c>
      <c r="G130" s="4">
        <f t="shared" si="38"/>
        <v>0.75908811807446741</v>
      </c>
    </row>
    <row r="131" spans="1:7" x14ac:dyDescent="0.3">
      <c r="B131" s="62">
        <f t="shared" ref="B131:G131" si="40">SUM(B115:B130)</f>
        <v>10115648</v>
      </c>
      <c r="C131" s="5">
        <f t="shared" si="40"/>
        <v>0.84575800312563443</v>
      </c>
      <c r="D131" s="62">
        <f t="shared" si="40"/>
        <v>1844804</v>
      </c>
      <c r="E131" s="5">
        <f t="shared" si="40"/>
        <v>0.15424199687436563</v>
      </c>
      <c r="F131" s="62">
        <f t="shared" si="40"/>
        <v>11960452</v>
      </c>
      <c r="G131" s="5">
        <f t="shared" si="40"/>
        <v>1</v>
      </c>
    </row>
    <row r="132" spans="1:7" x14ac:dyDescent="0.3">
      <c r="B132" s="62"/>
      <c r="D132" s="62"/>
      <c r="F132" s="62"/>
    </row>
    <row r="133" spans="1:7" x14ac:dyDescent="0.3">
      <c r="B133" s="62"/>
      <c r="D133" s="62"/>
      <c r="F133" s="62"/>
    </row>
    <row r="134" spans="1:7" x14ac:dyDescent="0.3">
      <c r="A134" s="43"/>
      <c r="B134" s="64"/>
      <c r="C134" s="65"/>
      <c r="D134" s="64"/>
      <c r="E134" s="65"/>
      <c r="F134" s="64"/>
    </row>
    <row r="135" spans="1:7" x14ac:dyDescent="0.3">
      <c r="A135" s="43"/>
    </row>
    <row r="136" spans="1:7" x14ac:dyDescent="0.3">
      <c r="A136" s="43"/>
    </row>
    <row r="137" spans="1:7" x14ac:dyDescent="0.3">
      <c r="A137" s="43"/>
    </row>
    <row r="138" spans="1:7" x14ac:dyDescent="0.3">
      <c r="A138" s="43"/>
    </row>
    <row r="139" spans="1:7" x14ac:dyDescent="0.3">
      <c r="A139" s="43"/>
      <c r="E139" s="42"/>
    </row>
    <row r="140" spans="1:7" x14ac:dyDescent="0.3">
      <c r="A140" s="43"/>
      <c r="E140" s="45"/>
    </row>
    <row r="141" spans="1:7" x14ac:dyDescent="0.3">
      <c r="A141" s="43"/>
      <c r="E141" s="45"/>
    </row>
    <row r="142" spans="1:7" x14ac:dyDescent="0.3">
      <c r="A142" s="43"/>
      <c r="E142" s="45"/>
    </row>
    <row r="143" spans="1:7" x14ac:dyDescent="0.3">
      <c r="A143" s="43"/>
      <c r="E143" s="45"/>
    </row>
    <row r="144" spans="1:7" x14ac:dyDescent="0.3">
      <c r="A144" s="43"/>
      <c r="E144" s="45"/>
    </row>
    <row r="145" spans="1:5" x14ac:dyDescent="0.3">
      <c r="A145" s="43"/>
      <c r="E145" s="45"/>
    </row>
    <row r="146" spans="1:5" x14ac:dyDescent="0.3">
      <c r="A146" s="43"/>
      <c r="E146" s="45"/>
    </row>
    <row r="147" spans="1:5" x14ac:dyDescent="0.3">
      <c r="A147" s="43"/>
      <c r="E147" s="45"/>
    </row>
    <row r="148" spans="1:5" x14ac:dyDescent="0.3">
      <c r="A148" s="43"/>
      <c r="E148" s="45"/>
    </row>
    <row r="149" spans="1:5" x14ac:dyDescent="0.3">
      <c r="A149" s="43"/>
      <c r="E149" s="45"/>
    </row>
    <row r="150" spans="1:5" x14ac:dyDescent="0.3">
      <c r="A150" s="43"/>
      <c r="E150" s="45"/>
    </row>
    <row r="151" spans="1:5" x14ac:dyDescent="0.3">
      <c r="A151" s="43"/>
    </row>
    <row r="152" spans="1:5" x14ac:dyDescent="0.3">
      <c r="A152" s="43"/>
    </row>
    <row r="153" spans="1:5" x14ac:dyDescent="0.3">
      <c r="A153" s="43"/>
    </row>
    <row r="154" spans="1:5" x14ac:dyDescent="0.3">
      <c r="A154" s="43"/>
    </row>
    <row r="155" spans="1:5" x14ac:dyDescent="0.3">
      <c r="A155" s="43"/>
    </row>
    <row r="156" spans="1:5" x14ac:dyDescent="0.3">
      <c r="A156" s="43"/>
    </row>
    <row r="157" spans="1:5" x14ac:dyDescent="0.3">
      <c r="A157" s="43"/>
    </row>
    <row r="158" spans="1:5" x14ac:dyDescent="0.3">
      <c r="A158" s="43"/>
    </row>
    <row r="159" spans="1:5" x14ac:dyDescent="0.3">
      <c r="A159" s="43"/>
    </row>
    <row r="160" spans="1:5" x14ac:dyDescent="0.3">
      <c r="A160" s="43"/>
    </row>
    <row r="161" spans="1:1" x14ac:dyDescent="0.3">
      <c r="A161" s="43"/>
    </row>
    <row r="162" spans="1:1" x14ac:dyDescent="0.3">
      <c r="A162" s="43"/>
    </row>
    <row r="163" spans="1:1" x14ac:dyDescent="0.3">
      <c r="A163" s="43"/>
    </row>
    <row r="164" spans="1:1" x14ac:dyDescent="0.3">
      <c r="A164" s="43"/>
    </row>
    <row r="165" spans="1:1" x14ac:dyDescent="0.3">
      <c r="A165" s="43"/>
    </row>
    <row r="166" spans="1:1" x14ac:dyDescent="0.3">
      <c r="A166" s="43"/>
    </row>
    <row r="167" spans="1:1" x14ac:dyDescent="0.3">
      <c r="A167" s="43"/>
    </row>
    <row r="168" spans="1:1" x14ac:dyDescent="0.3">
      <c r="A168" s="43"/>
    </row>
    <row r="169" spans="1:1" x14ac:dyDescent="0.3">
      <c r="A169" s="43"/>
    </row>
    <row r="170" spans="1:1" x14ac:dyDescent="0.3">
      <c r="A170" s="43"/>
    </row>
    <row r="171" spans="1:1" x14ac:dyDescent="0.3">
      <c r="A171" s="43"/>
    </row>
    <row r="172" spans="1:1" x14ac:dyDescent="0.3">
      <c r="A172" s="43"/>
    </row>
    <row r="173" spans="1:1" x14ac:dyDescent="0.3">
      <c r="A173" s="43"/>
    </row>
    <row r="174" spans="1:1" x14ac:dyDescent="0.3">
      <c r="A174" s="43"/>
    </row>
    <row r="175" spans="1:1" x14ac:dyDescent="0.3">
      <c r="A175" s="43"/>
    </row>
    <row r="176" spans="1:1" x14ac:dyDescent="0.3">
      <c r="A176" s="43"/>
    </row>
    <row r="177" spans="1:1" x14ac:dyDescent="0.3">
      <c r="A177" s="43"/>
    </row>
    <row r="178" spans="1:1" x14ac:dyDescent="0.3">
      <c r="A178" s="43"/>
    </row>
    <row r="179" spans="1:1" x14ac:dyDescent="0.3">
      <c r="A179" s="43"/>
    </row>
    <row r="180" spans="1:1" x14ac:dyDescent="0.3">
      <c r="A180" s="43"/>
    </row>
    <row r="181" spans="1:1" x14ac:dyDescent="0.3">
      <c r="A181" s="43"/>
    </row>
    <row r="182" spans="1:1" x14ac:dyDescent="0.3">
      <c r="A182" s="43"/>
    </row>
    <row r="183" spans="1:1" x14ac:dyDescent="0.3">
      <c r="A183" s="43"/>
    </row>
    <row r="184" spans="1:1" x14ac:dyDescent="0.3">
      <c r="A184" s="43"/>
    </row>
    <row r="185" spans="1:1" x14ac:dyDescent="0.3">
      <c r="A185" s="43"/>
    </row>
    <row r="186" spans="1:1" x14ac:dyDescent="0.3">
      <c r="A186" s="43"/>
    </row>
    <row r="187" spans="1:1" x14ac:dyDescent="0.3">
      <c r="A187" s="43"/>
    </row>
    <row r="188" spans="1:1" x14ac:dyDescent="0.3">
      <c r="A188" s="43"/>
    </row>
    <row r="189" spans="1:1" x14ac:dyDescent="0.3">
      <c r="A189" s="43"/>
    </row>
    <row r="190" spans="1:1" x14ac:dyDescent="0.3">
      <c r="A190" s="43"/>
    </row>
    <row r="191" spans="1:1" x14ac:dyDescent="0.3">
      <c r="A191" s="43"/>
    </row>
    <row r="192" spans="1:1" x14ac:dyDescent="0.3">
      <c r="A192" s="43"/>
    </row>
    <row r="193" spans="1:1" x14ac:dyDescent="0.3">
      <c r="A193" s="43"/>
    </row>
    <row r="194" spans="1:1" x14ac:dyDescent="0.3">
      <c r="A194" s="43"/>
    </row>
    <row r="195" spans="1:1" x14ac:dyDescent="0.3">
      <c r="A195" s="43"/>
    </row>
    <row r="196" spans="1:1" x14ac:dyDescent="0.3">
      <c r="A196" s="43"/>
    </row>
    <row r="197" spans="1:1" x14ac:dyDescent="0.3">
      <c r="A197" s="43"/>
    </row>
    <row r="198" spans="1:1" x14ac:dyDescent="0.3">
      <c r="A198" s="43"/>
    </row>
    <row r="199" spans="1:1" x14ac:dyDescent="0.3">
      <c r="A199" s="43"/>
    </row>
    <row r="200" spans="1:1" x14ac:dyDescent="0.3">
      <c r="A200" s="43"/>
    </row>
    <row r="201" spans="1:1" x14ac:dyDescent="0.3">
      <c r="A201" s="43"/>
    </row>
    <row r="202" spans="1:1" x14ac:dyDescent="0.3">
      <c r="A202" s="43"/>
    </row>
    <row r="203" spans="1:1" x14ac:dyDescent="0.3">
      <c r="A203" s="43"/>
    </row>
    <row r="204" spans="1:1" x14ac:dyDescent="0.3">
      <c r="A204" s="43"/>
    </row>
    <row r="205" spans="1:1" x14ac:dyDescent="0.3">
      <c r="A205" s="43"/>
    </row>
    <row r="206" spans="1:1" x14ac:dyDescent="0.3">
      <c r="A206" s="43"/>
    </row>
    <row r="207" spans="1:1" x14ac:dyDescent="0.3">
      <c r="A207" s="43"/>
    </row>
    <row r="208" spans="1:1" x14ac:dyDescent="0.3">
      <c r="A208" s="43"/>
    </row>
    <row r="209" spans="1:1" x14ac:dyDescent="0.3">
      <c r="A209" s="43"/>
    </row>
    <row r="210" spans="1:1" x14ac:dyDescent="0.3">
      <c r="A210" s="43"/>
    </row>
    <row r="211" spans="1:1" x14ac:dyDescent="0.3">
      <c r="A211" s="43"/>
    </row>
    <row r="212" spans="1:1" x14ac:dyDescent="0.3">
      <c r="A212" s="43"/>
    </row>
    <row r="213" spans="1:1" x14ac:dyDescent="0.3">
      <c r="A213" s="43"/>
    </row>
    <row r="214" spans="1:1" x14ac:dyDescent="0.3">
      <c r="A214" s="43"/>
    </row>
    <row r="215" spans="1:1" x14ac:dyDescent="0.3">
      <c r="A215" s="43"/>
    </row>
    <row r="216" spans="1:1" x14ac:dyDescent="0.3">
      <c r="A216" s="43"/>
    </row>
    <row r="217" spans="1:1" x14ac:dyDescent="0.3">
      <c r="A217" s="43"/>
    </row>
    <row r="218" spans="1:1" x14ac:dyDescent="0.3">
      <c r="A218" s="43"/>
    </row>
    <row r="219" spans="1:1" x14ac:dyDescent="0.3">
      <c r="A219" s="43"/>
    </row>
    <row r="220" spans="1:1" x14ac:dyDescent="0.3">
      <c r="A220" s="43"/>
    </row>
    <row r="221" spans="1:1" x14ac:dyDescent="0.3">
      <c r="A221" s="43"/>
    </row>
    <row r="222" spans="1:1" x14ac:dyDescent="0.3">
      <c r="A222" s="43"/>
    </row>
    <row r="223" spans="1:1" x14ac:dyDescent="0.3">
      <c r="A223" s="43"/>
    </row>
    <row r="224" spans="1:1" x14ac:dyDescent="0.3">
      <c r="A224" s="43"/>
    </row>
    <row r="225" spans="1:1" x14ac:dyDescent="0.3">
      <c r="A225" s="43"/>
    </row>
    <row r="226" spans="1:1" x14ac:dyDescent="0.3">
      <c r="A226" s="43"/>
    </row>
    <row r="227" spans="1:1" x14ac:dyDescent="0.3">
      <c r="A227" s="43"/>
    </row>
    <row r="228" spans="1:1" x14ac:dyDescent="0.3">
      <c r="A228" s="43"/>
    </row>
    <row r="229" spans="1:1" x14ac:dyDescent="0.3">
      <c r="A229" s="43"/>
    </row>
    <row r="230" spans="1:1" x14ac:dyDescent="0.3">
      <c r="A230" s="43"/>
    </row>
    <row r="231" spans="1:1" x14ac:dyDescent="0.3">
      <c r="A231" s="43"/>
    </row>
    <row r="232" spans="1:1" x14ac:dyDescent="0.3">
      <c r="A232" s="43"/>
    </row>
    <row r="233" spans="1:1" x14ac:dyDescent="0.3">
      <c r="A233" s="43"/>
    </row>
    <row r="234" spans="1:1" x14ac:dyDescent="0.3">
      <c r="A234" s="43"/>
    </row>
    <row r="235" spans="1:1" x14ac:dyDescent="0.3">
      <c r="A235" s="43"/>
    </row>
    <row r="236" spans="1:1" x14ac:dyDescent="0.3">
      <c r="A236" s="43"/>
    </row>
    <row r="237" spans="1:1" x14ac:dyDescent="0.3">
      <c r="A237" s="43"/>
    </row>
    <row r="238" spans="1:1" x14ac:dyDescent="0.3">
      <c r="A238" s="43"/>
    </row>
    <row r="239" spans="1:1" x14ac:dyDescent="0.3">
      <c r="A239" s="43"/>
    </row>
    <row r="240" spans="1:1" x14ac:dyDescent="0.3">
      <c r="A240" s="43"/>
    </row>
    <row r="241" spans="1:1" x14ac:dyDescent="0.3">
      <c r="A241" s="43"/>
    </row>
    <row r="242" spans="1:1" x14ac:dyDescent="0.3">
      <c r="A242" s="43"/>
    </row>
    <row r="243" spans="1:1" x14ac:dyDescent="0.3">
      <c r="A243" s="43"/>
    </row>
    <row r="244" spans="1:1" x14ac:dyDescent="0.3">
      <c r="A244" s="43"/>
    </row>
    <row r="245" spans="1:1" x14ac:dyDescent="0.3">
      <c r="A245" s="43"/>
    </row>
    <row r="246" spans="1:1" x14ac:dyDescent="0.3">
      <c r="A246" s="43"/>
    </row>
    <row r="247" spans="1:1" x14ac:dyDescent="0.3">
      <c r="A247" s="43"/>
    </row>
    <row r="248" spans="1:1" x14ac:dyDescent="0.3">
      <c r="A248" s="43"/>
    </row>
    <row r="249" spans="1:1" x14ac:dyDescent="0.3">
      <c r="A249" s="43"/>
    </row>
    <row r="250" spans="1:1" x14ac:dyDescent="0.3">
      <c r="A250" s="43"/>
    </row>
    <row r="251" spans="1:1" x14ac:dyDescent="0.3">
      <c r="A251" s="43"/>
    </row>
    <row r="252" spans="1:1" x14ac:dyDescent="0.3">
      <c r="A252" s="43"/>
    </row>
    <row r="253" spans="1:1" x14ac:dyDescent="0.3">
      <c r="A253" s="43"/>
    </row>
    <row r="254" spans="1:1" x14ac:dyDescent="0.3">
      <c r="A254" s="43"/>
    </row>
    <row r="255" spans="1:1" x14ac:dyDescent="0.3">
      <c r="A255" s="43"/>
    </row>
    <row r="256" spans="1:1" x14ac:dyDescent="0.3">
      <c r="A256" s="43"/>
    </row>
    <row r="257" spans="1:1" x14ac:dyDescent="0.3">
      <c r="A257" s="43"/>
    </row>
    <row r="258" spans="1:1" x14ac:dyDescent="0.3">
      <c r="A258" s="43"/>
    </row>
    <row r="259" spans="1:1" x14ac:dyDescent="0.3">
      <c r="A259" s="43"/>
    </row>
    <row r="260" spans="1:1" x14ac:dyDescent="0.3">
      <c r="A260" s="43"/>
    </row>
    <row r="261" spans="1:1" x14ac:dyDescent="0.3">
      <c r="A261" s="43"/>
    </row>
    <row r="262" spans="1:1" x14ac:dyDescent="0.3">
      <c r="A262" s="43"/>
    </row>
    <row r="263" spans="1:1" x14ac:dyDescent="0.3">
      <c r="A263" s="43"/>
    </row>
    <row r="264" spans="1:1" x14ac:dyDescent="0.3">
      <c r="A264" s="43"/>
    </row>
    <row r="265" spans="1:1" x14ac:dyDescent="0.3">
      <c r="A265" s="43"/>
    </row>
    <row r="266" spans="1:1" x14ac:dyDescent="0.3">
      <c r="A266" s="43"/>
    </row>
    <row r="267" spans="1:1" x14ac:dyDescent="0.3">
      <c r="A267" s="43"/>
    </row>
    <row r="268" spans="1:1" x14ac:dyDescent="0.3">
      <c r="A268" s="43"/>
    </row>
    <row r="269" spans="1:1" x14ac:dyDescent="0.3">
      <c r="A269" s="43"/>
    </row>
    <row r="270" spans="1:1" x14ac:dyDescent="0.3">
      <c r="A270" s="43"/>
    </row>
    <row r="271" spans="1:1" x14ac:dyDescent="0.3">
      <c r="A271" s="43"/>
    </row>
    <row r="272" spans="1:1" x14ac:dyDescent="0.3">
      <c r="A272" s="43"/>
    </row>
    <row r="273" spans="1:1" x14ac:dyDescent="0.3">
      <c r="A273" s="43"/>
    </row>
    <row r="274" spans="1:1" x14ac:dyDescent="0.3">
      <c r="A274" s="43"/>
    </row>
    <row r="275" spans="1:1" x14ac:dyDescent="0.3">
      <c r="A275" s="43"/>
    </row>
    <row r="276" spans="1:1" x14ac:dyDescent="0.3">
      <c r="A276" s="43"/>
    </row>
    <row r="277" spans="1:1" x14ac:dyDescent="0.3">
      <c r="A277" s="43"/>
    </row>
    <row r="278" spans="1:1" x14ac:dyDescent="0.3">
      <c r="A278" s="43"/>
    </row>
    <row r="279" spans="1:1" x14ac:dyDescent="0.3">
      <c r="A279" s="43"/>
    </row>
    <row r="280" spans="1:1" x14ac:dyDescent="0.3">
      <c r="A280" s="43"/>
    </row>
    <row r="281" spans="1:1" x14ac:dyDescent="0.3">
      <c r="A281" s="43"/>
    </row>
    <row r="282" spans="1:1" x14ac:dyDescent="0.3">
      <c r="A282" s="43"/>
    </row>
    <row r="283" spans="1:1" x14ac:dyDescent="0.3">
      <c r="A283" s="43"/>
    </row>
    <row r="284" spans="1:1" x14ac:dyDescent="0.3">
      <c r="A284" s="43"/>
    </row>
    <row r="285" spans="1:1" x14ac:dyDescent="0.3">
      <c r="A285" s="43"/>
    </row>
    <row r="286" spans="1:1" x14ac:dyDescent="0.3">
      <c r="A286" s="43"/>
    </row>
    <row r="287" spans="1:1" x14ac:dyDescent="0.3">
      <c r="A287" s="43"/>
    </row>
    <row r="288" spans="1:1" x14ac:dyDescent="0.3">
      <c r="A288" s="43"/>
    </row>
    <row r="289" spans="1:1" x14ac:dyDescent="0.3">
      <c r="A289" s="43"/>
    </row>
    <row r="290" spans="1:1" x14ac:dyDescent="0.3">
      <c r="A290" s="43"/>
    </row>
    <row r="291" spans="1:1" x14ac:dyDescent="0.3">
      <c r="A291" s="43"/>
    </row>
    <row r="292" spans="1:1" x14ac:dyDescent="0.3">
      <c r="A292" s="43"/>
    </row>
    <row r="293" spans="1:1" x14ac:dyDescent="0.3">
      <c r="A293" s="43"/>
    </row>
    <row r="294" spans="1:1" x14ac:dyDescent="0.3">
      <c r="A294" s="43"/>
    </row>
    <row r="295" spans="1:1" x14ac:dyDescent="0.3">
      <c r="A295" s="43"/>
    </row>
    <row r="296" spans="1:1" x14ac:dyDescent="0.3">
      <c r="A296" s="43"/>
    </row>
    <row r="297" spans="1:1" x14ac:dyDescent="0.3">
      <c r="A297" s="43"/>
    </row>
    <row r="298" spans="1:1" x14ac:dyDescent="0.3">
      <c r="A298" s="43"/>
    </row>
    <row r="299" spans="1:1" x14ac:dyDescent="0.3">
      <c r="A299" s="43"/>
    </row>
    <row r="300" spans="1:1" x14ac:dyDescent="0.3">
      <c r="A300" s="43"/>
    </row>
    <row r="301" spans="1:1" x14ac:dyDescent="0.3">
      <c r="A301" s="43"/>
    </row>
    <row r="302" spans="1:1" x14ac:dyDescent="0.3">
      <c r="A302" s="43"/>
    </row>
    <row r="303" spans="1:1" x14ac:dyDescent="0.3">
      <c r="A303" s="43"/>
    </row>
    <row r="304" spans="1:1" x14ac:dyDescent="0.3">
      <c r="A304" s="43"/>
    </row>
    <row r="305" spans="1:1" x14ac:dyDescent="0.3">
      <c r="A305" s="43"/>
    </row>
    <row r="306" spans="1:1" x14ac:dyDescent="0.3">
      <c r="A306" s="43"/>
    </row>
    <row r="307" spans="1:1" x14ac:dyDescent="0.3">
      <c r="A307" s="43"/>
    </row>
    <row r="308" spans="1:1" x14ac:dyDescent="0.3">
      <c r="A308" s="43"/>
    </row>
    <row r="309" spans="1:1" x14ac:dyDescent="0.3">
      <c r="A309" s="43"/>
    </row>
    <row r="310" spans="1:1" x14ac:dyDescent="0.3">
      <c r="A310" s="43"/>
    </row>
    <row r="311" spans="1:1" x14ac:dyDescent="0.3">
      <c r="A311" s="43"/>
    </row>
    <row r="312" spans="1:1" x14ac:dyDescent="0.3">
      <c r="A312" s="43"/>
    </row>
    <row r="313" spans="1:1" x14ac:dyDescent="0.3">
      <c r="A313" s="43"/>
    </row>
    <row r="314" spans="1:1" x14ac:dyDescent="0.3">
      <c r="A314" s="43"/>
    </row>
    <row r="315" spans="1:1" x14ac:dyDescent="0.3">
      <c r="A315" s="43"/>
    </row>
    <row r="316" spans="1:1" x14ac:dyDescent="0.3">
      <c r="A316" s="43"/>
    </row>
    <row r="317" spans="1:1" x14ac:dyDescent="0.3">
      <c r="A317" s="43"/>
    </row>
    <row r="318" spans="1:1" x14ac:dyDescent="0.3">
      <c r="A318" s="43"/>
    </row>
    <row r="319" spans="1:1" x14ac:dyDescent="0.3">
      <c r="A319" s="43"/>
    </row>
    <row r="320" spans="1:1" x14ac:dyDescent="0.3">
      <c r="A320" s="43"/>
    </row>
    <row r="321" spans="1:1" x14ac:dyDescent="0.3">
      <c r="A321" s="43"/>
    </row>
    <row r="322" spans="1:1" x14ac:dyDescent="0.3">
      <c r="A322" s="43"/>
    </row>
    <row r="323" spans="1:1" x14ac:dyDescent="0.3">
      <c r="A323" s="43"/>
    </row>
    <row r="324" spans="1:1" x14ac:dyDescent="0.3">
      <c r="A324" s="43"/>
    </row>
    <row r="325" spans="1:1" x14ac:dyDescent="0.3">
      <c r="A325" s="43"/>
    </row>
    <row r="326" spans="1:1" x14ac:dyDescent="0.3">
      <c r="A326" s="43"/>
    </row>
    <row r="327" spans="1:1" x14ac:dyDescent="0.3">
      <c r="A327" s="43"/>
    </row>
    <row r="328" spans="1:1" x14ac:dyDescent="0.3">
      <c r="A328" s="43"/>
    </row>
    <row r="329" spans="1:1" x14ac:dyDescent="0.3">
      <c r="A329" s="43"/>
    </row>
    <row r="330" spans="1:1" x14ac:dyDescent="0.3">
      <c r="A330" s="43"/>
    </row>
    <row r="331" spans="1:1" x14ac:dyDescent="0.3">
      <c r="A331" s="43"/>
    </row>
    <row r="332" spans="1:1" x14ac:dyDescent="0.3">
      <c r="A332" s="43"/>
    </row>
    <row r="333" spans="1:1" x14ac:dyDescent="0.3">
      <c r="A333" s="43"/>
    </row>
    <row r="334" spans="1:1" x14ac:dyDescent="0.3">
      <c r="A334" s="43"/>
    </row>
    <row r="335" spans="1:1" x14ac:dyDescent="0.3">
      <c r="A335" s="43"/>
    </row>
    <row r="336" spans="1:1" x14ac:dyDescent="0.3">
      <c r="A336" s="43"/>
    </row>
    <row r="337" spans="1:1" x14ac:dyDescent="0.3">
      <c r="A337" s="43"/>
    </row>
    <row r="338" spans="1:1" x14ac:dyDescent="0.3">
      <c r="A338" s="43"/>
    </row>
    <row r="339" spans="1:1" x14ac:dyDescent="0.3">
      <c r="A339" s="43"/>
    </row>
    <row r="340" spans="1:1" x14ac:dyDescent="0.3">
      <c r="A340" s="43"/>
    </row>
    <row r="341" spans="1:1" x14ac:dyDescent="0.3">
      <c r="A341" s="43"/>
    </row>
    <row r="342" spans="1:1" x14ac:dyDescent="0.3">
      <c r="A342" s="43"/>
    </row>
    <row r="343" spans="1:1" x14ac:dyDescent="0.3">
      <c r="A343" s="43"/>
    </row>
    <row r="344" spans="1:1" x14ac:dyDescent="0.3">
      <c r="A344" s="43"/>
    </row>
    <row r="345" spans="1:1" x14ac:dyDescent="0.3">
      <c r="A345" s="43"/>
    </row>
    <row r="346" spans="1:1" x14ac:dyDescent="0.3">
      <c r="A346" s="43"/>
    </row>
    <row r="347" spans="1:1" x14ac:dyDescent="0.3">
      <c r="A347" s="43"/>
    </row>
    <row r="348" spans="1:1" x14ac:dyDescent="0.3">
      <c r="A348" s="43"/>
    </row>
    <row r="349" spans="1:1" x14ac:dyDescent="0.3">
      <c r="A349" s="43"/>
    </row>
    <row r="350" spans="1:1" x14ac:dyDescent="0.3">
      <c r="A350" s="43"/>
    </row>
    <row r="351" spans="1:1" x14ac:dyDescent="0.3">
      <c r="A351" s="43"/>
    </row>
    <row r="352" spans="1:1" x14ac:dyDescent="0.3">
      <c r="A352" s="43"/>
    </row>
    <row r="353" spans="1:1" x14ac:dyDescent="0.3">
      <c r="A353" s="43"/>
    </row>
    <row r="354" spans="1:1" x14ac:dyDescent="0.3">
      <c r="A354" s="43"/>
    </row>
    <row r="355" spans="1:1" x14ac:dyDescent="0.3">
      <c r="A355" s="43"/>
    </row>
    <row r="356" spans="1:1" x14ac:dyDescent="0.3">
      <c r="A356" s="43"/>
    </row>
    <row r="357" spans="1:1" x14ac:dyDescent="0.3">
      <c r="A357" s="43"/>
    </row>
    <row r="358" spans="1:1" x14ac:dyDescent="0.3">
      <c r="A358" s="43"/>
    </row>
    <row r="359" spans="1:1" x14ac:dyDescent="0.3">
      <c r="A359" s="43"/>
    </row>
    <row r="360" spans="1:1" x14ac:dyDescent="0.3">
      <c r="A360" s="43"/>
    </row>
    <row r="361" spans="1:1" x14ac:dyDescent="0.3">
      <c r="A361" s="43"/>
    </row>
    <row r="362" spans="1:1" x14ac:dyDescent="0.3">
      <c r="A362" s="43"/>
    </row>
    <row r="363" spans="1:1" x14ac:dyDescent="0.3">
      <c r="A363" s="43"/>
    </row>
    <row r="364" spans="1:1" x14ac:dyDescent="0.3">
      <c r="A364" s="43"/>
    </row>
    <row r="365" spans="1:1" x14ac:dyDescent="0.3">
      <c r="A365" s="43"/>
    </row>
    <row r="366" spans="1:1" x14ac:dyDescent="0.3">
      <c r="A366" s="43"/>
    </row>
    <row r="367" spans="1:1" x14ac:dyDescent="0.3">
      <c r="A367" s="43"/>
    </row>
    <row r="368" spans="1:1" x14ac:dyDescent="0.3">
      <c r="A368" s="43"/>
    </row>
    <row r="369" spans="1:1" x14ac:dyDescent="0.3">
      <c r="A369" s="43"/>
    </row>
    <row r="370" spans="1:1" x14ac:dyDescent="0.3">
      <c r="A370" s="43"/>
    </row>
    <row r="371" spans="1:1" x14ac:dyDescent="0.3">
      <c r="A371" s="43"/>
    </row>
    <row r="372" spans="1:1" x14ac:dyDescent="0.3">
      <c r="A372" s="43"/>
    </row>
    <row r="373" spans="1:1" x14ac:dyDescent="0.3">
      <c r="A373" s="43"/>
    </row>
    <row r="374" spans="1:1" x14ac:dyDescent="0.3">
      <c r="A374" s="43"/>
    </row>
    <row r="375" spans="1:1" x14ac:dyDescent="0.3">
      <c r="A375" s="43"/>
    </row>
    <row r="376" spans="1:1" x14ac:dyDescent="0.3">
      <c r="A376" s="43"/>
    </row>
    <row r="377" spans="1:1" x14ac:dyDescent="0.3">
      <c r="A377" s="43"/>
    </row>
    <row r="378" spans="1:1" x14ac:dyDescent="0.3">
      <c r="A378" s="43"/>
    </row>
    <row r="379" spans="1:1" x14ac:dyDescent="0.3">
      <c r="A379" s="43"/>
    </row>
    <row r="380" spans="1:1" x14ac:dyDescent="0.3">
      <c r="A380" s="43"/>
    </row>
    <row r="381" spans="1:1" x14ac:dyDescent="0.3">
      <c r="A381" s="43"/>
    </row>
    <row r="382" spans="1:1" x14ac:dyDescent="0.3">
      <c r="A382" s="43"/>
    </row>
    <row r="383" spans="1:1" x14ac:dyDescent="0.3">
      <c r="A383" s="43"/>
    </row>
    <row r="384" spans="1:1" x14ac:dyDescent="0.3">
      <c r="A384" s="43"/>
    </row>
    <row r="385" spans="1:1" x14ac:dyDescent="0.3">
      <c r="A385" s="43"/>
    </row>
    <row r="386" spans="1:1" x14ac:dyDescent="0.3">
      <c r="A386" s="43"/>
    </row>
    <row r="387" spans="1:1" x14ac:dyDescent="0.3">
      <c r="A387" s="43"/>
    </row>
    <row r="388" spans="1:1" x14ac:dyDescent="0.3">
      <c r="A388" s="43"/>
    </row>
    <row r="389" spans="1:1" x14ac:dyDescent="0.3">
      <c r="A389" s="43"/>
    </row>
    <row r="390" spans="1:1" x14ac:dyDescent="0.3">
      <c r="A390" s="43"/>
    </row>
    <row r="391" spans="1:1" x14ac:dyDescent="0.3">
      <c r="A391" s="43"/>
    </row>
    <row r="392" spans="1:1" x14ac:dyDescent="0.3">
      <c r="A392" s="43"/>
    </row>
    <row r="393" spans="1:1" x14ac:dyDescent="0.3">
      <c r="A393" s="43"/>
    </row>
    <row r="394" spans="1:1" x14ac:dyDescent="0.3">
      <c r="A394" s="43"/>
    </row>
    <row r="395" spans="1:1" x14ac:dyDescent="0.3">
      <c r="A395" s="43"/>
    </row>
    <row r="396" spans="1:1" x14ac:dyDescent="0.3">
      <c r="A396" s="43"/>
    </row>
    <row r="397" spans="1:1" x14ac:dyDescent="0.3">
      <c r="A397" s="43"/>
    </row>
    <row r="398" spans="1:1" x14ac:dyDescent="0.3">
      <c r="A398" s="43"/>
    </row>
    <row r="399" spans="1:1" x14ac:dyDescent="0.3">
      <c r="A399" s="43"/>
    </row>
    <row r="400" spans="1:1" x14ac:dyDescent="0.3">
      <c r="A400" s="43"/>
    </row>
    <row r="401" spans="1:1" x14ac:dyDescent="0.3">
      <c r="A401" s="43"/>
    </row>
    <row r="402" spans="1:1" x14ac:dyDescent="0.3">
      <c r="A402" s="43"/>
    </row>
    <row r="403" spans="1:1" x14ac:dyDescent="0.3">
      <c r="A403" s="43"/>
    </row>
    <row r="404" spans="1:1" x14ac:dyDescent="0.3">
      <c r="A404" s="43"/>
    </row>
    <row r="405" spans="1:1" x14ac:dyDescent="0.3">
      <c r="A405" s="43"/>
    </row>
    <row r="406" spans="1:1" x14ac:dyDescent="0.3">
      <c r="A406" s="43"/>
    </row>
    <row r="407" spans="1:1" x14ac:dyDescent="0.3">
      <c r="A407" s="43"/>
    </row>
    <row r="408" spans="1:1" x14ac:dyDescent="0.3">
      <c r="A408" s="43"/>
    </row>
    <row r="409" spans="1:1" x14ac:dyDescent="0.3">
      <c r="A409" s="43"/>
    </row>
    <row r="410" spans="1:1" x14ac:dyDescent="0.3">
      <c r="A410" s="43"/>
    </row>
    <row r="411" spans="1:1" x14ac:dyDescent="0.3">
      <c r="A411" s="43"/>
    </row>
    <row r="412" spans="1:1" x14ac:dyDescent="0.3">
      <c r="A412" s="43"/>
    </row>
    <row r="413" spans="1:1" x14ac:dyDescent="0.3">
      <c r="A413" s="43"/>
    </row>
    <row r="414" spans="1:1" x14ac:dyDescent="0.3">
      <c r="A414" s="43"/>
    </row>
    <row r="415" spans="1:1" x14ac:dyDescent="0.3">
      <c r="A415" s="43"/>
    </row>
    <row r="416" spans="1:1" x14ac:dyDescent="0.3">
      <c r="A416" s="43"/>
    </row>
    <row r="417" spans="1:1" x14ac:dyDescent="0.3">
      <c r="A417" s="43"/>
    </row>
    <row r="418" spans="1:1" x14ac:dyDescent="0.3">
      <c r="A418" s="43"/>
    </row>
    <row r="419" spans="1:1" x14ac:dyDescent="0.3">
      <c r="A419" s="43"/>
    </row>
    <row r="420" spans="1:1" x14ac:dyDescent="0.3">
      <c r="A420" s="43"/>
    </row>
    <row r="421" spans="1:1" x14ac:dyDescent="0.3">
      <c r="A421" s="43"/>
    </row>
    <row r="422" spans="1:1" x14ac:dyDescent="0.3">
      <c r="A422" s="43"/>
    </row>
    <row r="423" spans="1:1" x14ac:dyDescent="0.3">
      <c r="A423" s="43"/>
    </row>
    <row r="424" spans="1:1" x14ac:dyDescent="0.3">
      <c r="A424" s="44"/>
    </row>
    <row r="425" spans="1:1" x14ac:dyDescent="0.3">
      <c r="A425" s="44"/>
    </row>
    <row r="426" spans="1:1" x14ac:dyDescent="0.3">
      <c r="A426" s="44"/>
    </row>
    <row r="427" spans="1:1" x14ac:dyDescent="0.3">
      <c r="A427" s="44"/>
    </row>
    <row r="428" spans="1:1" x14ac:dyDescent="0.3">
      <c r="A428" s="44"/>
    </row>
    <row r="429" spans="1:1" x14ac:dyDescent="0.3">
      <c r="A429" s="44"/>
    </row>
    <row r="430" spans="1:1" x14ac:dyDescent="0.3">
      <c r="A430" s="44"/>
    </row>
    <row r="431" spans="1:1" x14ac:dyDescent="0.3">
      <c r="A431" s="44"/>
    </row>
    <row r="432" spans="1:1" x14ac:dyDescent="0.3">
      <c r="A432" s="44"/>
    </row>
    <row r="433" spans="1:1" x14ac:dyDescent="0.3">
      <c r="A433" s="44"/>
    </row>
    <row r="434" spans="1:1" x14ac:dyDescent="0.3">
      <c r="A434" s="44"/>
    </row>
    <row r="435" spans="1:1" x14ac:dyDescent="0.3">
      <c r="A435" s="44"/>
    </row>
    <row r="436" spans="1:1" x14ac:dyDescent="0.3">
      <c r="A436" s="44"/>
    </row>
    <row r="437" spans="1:1" x14ac:dyDescent="0.3">
      <c r="A437" s="44"/>
    </row>
    <row r="438" spans="1:1" x14ac:dyDescent="0.3">
      <c r="A438" s="44"/>
    </row>
    <row r="439" spans="1:1" x14ac:dyDescent="0.3">
      <c r="A439" s="44"/>
    </row>
    <row r="440" spans="1:1" x14ac:dyDescent="0.3">
      <c r="A440" s="44"/>
    </row>
    <row r="441" spans="1:1" x14ac:dyDescent="0.3">
      <c r="A441" s="44"/>
    </row>
    <row r="442" spans="1:1" x14ac:dyDescent="0.3">
      <c r="A442" s="44"/>
    </row>
    <row r="443" spans="1:1" x14ac:dyDescent="0.3">
      <c r="A443" s="44"/>
    </row>
    <row r="444" spans="1:1" x14ac:dyDescent="0.3">
      <c r="A444" s="44"/>
    </row>
    <row r="445" spans="1:1" x14ac:dyDescent="0.3">
      <c r="A445" s="44"/>
    </row>
    <row r="446" spans="1:1" x14ac:dyDescent="0.3">
      <c r="A446" s="44"/>
    </row>
    <row r="447" spans="1:1" x14ac:dyDescent="0.3">
      <c r="A447" s="44"/>
    </row>
    <row r="448" spans="1:1" x14ac:dyDescent="0.3">
      <c r="A448" s="44"/>
    </row>
    <row r="449" spans="1:1" x14ac:dyDescent="0.3">
      <c r="A449" s="44"/>
    </row>
    <row r="450" spans="1:1" x14ac:dyDescent="0.3">
      <c r="A450" s="44"/>
    </row>
    <row r="451" spans="1:1" x14ac:dyDescent="0.3">
      <c r="A451" s="44"/>
    </row>
    <row r="452" spans="1:1" x14ac:dyDescent="0.3">
      <c r="A452" s="44"/>
    </row>
    <row r="453" spans="1:1" x14ac:dyDescent="0.3">
      <c r="A453" s="44"/>
    </row>
    <row r="454" spans="1:1" x14ac:dyDescent="0.3">
      <c r="A454" s="44"/>
    </row>
    <row r="455" spans="1:1" x14ac:dyDescent="0.3">
      <c r="A455" s="44"/>
    </row>
    <row r="456" spans="1:1" x14ac:dyDescent="0.3">
      <c r="A456" s="44"/>
    </row>
    <row r="457" spans="1:1" x14ac:dyDescent="0.3">
      <c r="A457" s="44"/>
    </row>
    <row r="458" spans="1:1" x14ac:dyDescent="0.3">
      <c r="A458" s="44"/>
    </row>
    <row r="459" spans="1:1" x14ac:dyDescent="0.3">
      <c r="A459" s="44"/>
    </row>
    <row r="460" spans="1:1" x14ac:dyDescent="0.3">
      <c r="A460" s="44"/>
    </row>
    <row r="461" spans="1:1" x14ac:dyDescent="0.3">
      <c r="A461" s="44"/>
    </row>
    <row r="462" spans="1:1" x14ac:dyDescent="0.3">
      <c r="A462" s="44"/>
    </row>
    <row r="463" spans="1:1" x14ac:dyDescent="0.3">
      <c r="A463" s="44"/>
    </row>
    <row r="464" spans="1:1" x14ac:dyDescent="0.3">
      <c r="A464" s="44"/>
    </row>
    <row r="465" spans="1:1" x14ac:dyDescent="0.3">
      <c r="A465" s="44"/>
    </row>
    <row r="466" spans="1:1" x14ac:dyDescent="0.3">
      <c r="A466" s="44"/>
    </row>
    <row r="467" spans="1:1" x14ac:dyDescent="0.3">
      <c r="A467" s="44"/>
    </row>
    <row r="468" spans="1:1" x14ac:dyDescent="0.3">
      <c r="A468" s="44"/>
    </row>
    <row r="469" spans="1:1" x14ac:dyDescent="0.3">
      <c r="A469" s="44"/>
    </row>
    <row r="470" spans="1:1" x14ac:dyDescent="0.3">
      <c r="A470" s="44"/>
    </row>
    <row r="471" spans="1:1" x14ac:dyDescent="0.3">
      <c r="A471" s="44"/>
    </row>
    <row r="472" spans="1:1" x14ac:dyDescent="0.3">
      <c r="A472" s="44"/>
    </row>
    <row r="473" spans="1:1" x14ac:dyDescent="0.3">
      <c r="A473" s="44"/>
    </row>
    <row r="474" spans="1:1" x14ac:dyDescent="0.3">
      <c r="A474" s="44"/>
    </row>
    <row r="475" spans="1:1" x14ac:dyDescent="0.3">
      <c r="A475" s="44"/>
    </row>
    <row r="476" spans="1:1" x14ac:dyDescent="0.3">
      <c r="A476" s="44"/>
    </row>
    <row r="477" spans="1:1" x14ac:dyDescent="0.3">
      <c r="A477" s="44"/>
    </row>
    <row r="478" spans="1:1" x14ac:dyDescent="0.3">
      <c r="A478" s="44"/>
    </row>
    <row r="479" spans="1:1" x14ac:dyDescent="0.3">
      <c r="A479" s="44"/>
    </row>
    <row r="480" spans="1:1" x14ac:dyDescent="0.3">
      <c r="A480" s="44"/>
    </row>
    <row r="481" spans="1:1" x14ac:dyDescent="0.3">
      <c r="A481" s="44"/>
    </row>
    <row r="482" spans="1:1" x14ac:dyDescent="0.3">
      <c r="A482" s="44"/>
    </row>
    <row r="483" spans="1:1" x14ac:dyDescent="0.3">
      <c r="A483" s="44"/>
    </row>
    <row r="484" spans="1:1" x14ac:dyDescent="0.3">
      <c r="A484" s="44"/>
    </row>
    <row r="485" spans="1:1" x14ac:dyDescent="0.3">
      <c r="A485" s="44"/>
    </row>
    <row r="486" spans="1:1" x14ac:dyDescent="0.3">
      <c r="A486" s="44"/>
    </row>
    <row r="487" spans="1:1" x14ac:dyDescent="0.3">
      <c r="A487" s="44"/>
    </row>
    <row r="488" spans="1:1" x14ac:dyDescent="0.3">
      <c r="A488" s="44"/>
    </row>
    <row r="489" spans="1:1" x14ac:dyDescent="0.3">
      <c r="A489" s="44"/>
    </row>
    <row r="490" spans="1:1" x14ac:dyDescent="0.3">
      <c r="A490" s="44"/>
    </row>
    <row r="491" spans="1:1" x14ac:dyDescent="0.3">
      <c r="A491" s="44"/>
    </row>
    <row r="492" spans="1:1" x14ac:dyDescent="0.3">
      <c r="A492" s="44"/>
    </row>
    <row r="493" spans="1:1" x14ac:dyDescent="0.3">
      <c r="A493" s="44"/>
    </row>
    <row r="494" spans="1:1" x14ac:dyDescent="0.3">
      <c r="A494" s="44"/>
    </row>
    <row r="495" spans="1:1" x14ac:dyDescent="0.3">
      <c r="A495" s="44"/>
    </row>
    <row r="496" spans="1:1" x14ac:dyDescent="0.3">
      <c r="A496" s="44"/>
    </row>
    <row r="497" spans="1:1" x14ac:dyDescent="0.3">
      <c r="A497" s="44"/>
    </row>
    <row r="498" spans="1:1" x14ac:dyDescent="0.3">
      <c r="A498" s="44"/>
    </row>
    <row r="499" spans="1:1" x14ac:dyDescent="0.3">
      <c r="A499" s="44"/>
    </row>
    <row r="500" spans="1:1" x14ac:dyDescent="0.3">
      <c r="A500" s="44"/>
    </row>
    <row r="501" spans="1:1" x14ac:dyDescent="0.3">
      <c r="A501" s="44"/>
    </row>
    <row r="502" spans="1:1" x14ac:dyDescent="0.3">
      <c r="A502" s="44"/>
    </row>
    <row r="503" spans="1:1" x14ac:dyDescent="0.3">
      <c r="A503" s="44"/>
    </row>
    <row r="504" spans="1:1" x14ac:dyDescent="0.3">
      <c r="A504" s="44"/>
    </row>
    <row r="505" spans="1:1" x14ac:dyDescent="0.3">
      <c r="A505" s="44"/>
    </row>
    <row r="506" spans="1:1" x14ac:dyDescent="0.3">
      <c r="A506" s="44"/>
    </row>
    <row r="507" spans="1:1" x14ac:dyDescent="0.3">
      <c r="A507" s="44"/>
    </row>
    <row r="508" spans="1:1" x14ac:dyDescent="0.3">
      <c r="A508" s="44"/>
    </row>
    <row r="509" spans="1:1" x14ac:dyDescent="0.3">
      <c r="A509" s="44"/>
    </row>
    <row r="510" spans="1:1" x14ac:dyDescent="0.3">
      <c r="A510" s="44"/>
    </row>
    <row r="511" spans="1:1" x14ac:dyDescent="0.3">
      <c r="A511" s="44"/>
    </row>
    <row r="512" spans="1:1" x14ac:dyDescent="0.3">
      <c r="A512" s="44"/>
    </row>
    <row r="513" spans="1:1" x14ac:dyDescent="0.3">
      <c r="A513" s="44"/>
    </row>
    <row r="514" spans="1:1" x14ac:dyDescent="0.3">
      <c r="A514" s="44"/>
    </row>
    <row r="515" spans="1:1" x14ac:dyDescent="0.3">
      <c r="A515" s="44"/>
    </row>
    <row r="516" spans="1:1" x14ac:dyDescent="0.3">
      <c r="A516" s="44"/>
    </row>
    <row r="517" spans="1:1" x14ac:dyDescent="0.3">
      <c r="A517" s="44"/>
    </row>
    <row r="518" spans="1:1" x14ac:dyDescent="0.3">
      <c r="A518" s="44"/>
    </row>
    <row r="519" spans="1:1" x14ac:dyDescent="0.3">
      <c r="A519" s="44"/>
    </row>
    <row r="520" spans="1:1" x14ac:dyDescent="0.3">
      <c r="A520" s="44"/>
    </row>
    <row r="521" spans="1:1" x14ac:dyDescent="0.3">
      <c r="A521" s="44"/>
    </row>
    <row r="522" spans="1:1" x14ac:dyDescent="0.3">
      <c r="A522" s="44"/>
    </row>
    <row r="523" spans="1:1" x14ac:dyDescent="0.3">
      <c r="A523" s="44"/>
    </row>
    <row r="524" spans="1:1" x14ac:dyDescent="0.3">
      <c r="A524" s="44"/>
    </row>
    <row r="525" spans="1:1" x14ac:dyDescent="0.3">
      <c r="A525" s="44"/>
    </row>
    <row r="526" spans="1:1" x14ac:dyDescent="0.3">
      <c r="A526" s="44"/>
    </row>
    <row r="527" spans="1:1" x14ac:dyDescent="0.3">
      <c r="A527" s="44"/>
    </row>
    <row r="528" spans="1:1" x14ac:dyDescent="0.3">
      <c r="A528" s="44"/>
    </row>
    <row r="529" spans="1:1" x14ac:dyDescent="0.3">
      <c r="A529" s="44"/>
    </row>
    <row r="530" spans="1:1" x14ac:dyDescent="0.3">
      <c r="A530" s="44"/>
    </row>
    <row r="531" spans="1:1" x14ac:dyDescent="0.3">
      <c r="A531" s="44"/>
    </row>
    <row r="532" spans="1:1" x14ac:dyDescent="0.3">
      <c r="A532" s="44"/>
    </row>
    <row r="533" spans="1:1" x14ac:dyDescent="0.3">
      <c r="A533" s="44"/>
    </row>
    <row r="534" spans="1:1" x14ac:dyDescent="0.3">
      <c r="A534" s="44"/>
    </row>
    <row r="535" spans="1:1" x14ac:dyDescent="0.3">
      <c r="A535" s="44"/>
    </row>
    <row r="536" spans="1:1" x14ac:dyDescent="0.3">
      <c r="A536" s="44"/>
    </row>
    <row r="537" spans="1:1" x14ac:dyDescent="0.3">
      <c r="A537" s="44"/>
    </row>
    <row r="538" spans="1:1" x14ac:dyDescent="0.3">
      <c r="A538" s="44"/>
    </row>
    <row r="539" spans="1:1" x14ac:dyDescent="0.3">
      <c r="A539" s="44"/>
    </row>
    <row r="540" spans="1:1" x14ac:dyDescent="0.3">
      <c r="A540" s="44"/>
    </row>
    <row r="541" spans="1:1" x14ac:dyDescent="0.3">
      <c r="A541" s="44"/>
    </row>
    <row r="542" spans="1:1" x14ac:dyDescent="0.3">
      <c r="A542" s="44"/>
    </row>
    <row r="543" spans="1:1" x14ac:dyDescent="0.3">
      <c r="A543" s="44"/>
    </row>
    <row r="544" spans="1:1" x14ac:dyDescent="0.3">
      <c r="A544" s="44"/>
    </row>
    <row r="545" spans="1:1" x14ac:dyDescent="0.3">
      <c r="A545" s="44"/>
    </row>
    <row r="546" spans="1:1" x14ac:dyDescent="0.3">
      <c r="A546" s="44"/>
    </row>
    <row r="547" spans="1:1" x14ac:dyDescent="0.3">
      <c r="A547" s="44"/>
    </row>
    <row r="548" spans="1:1" x14ac:dyDescent="0.3">
      <c r="A548" s="44"/>
    </row>
    <row r="549" spans="1:1" x14ac:dyDescent="0.3">
      <c r="A549" s="44"/>
    </row>
    <row r="550" spans="1:1" x14ac:dyDescent="0.3">
      <c r="A550" s="44"/>
    </row>
    <row r="551" spans="1:1" x14ac:dyDescent="0.3">
      <c r="A551" s="44"/>
    </row>
    <row r="552" spans="1:1" x14ac:dyDescent="0.3">
      <c r="A552" s="44"/>
    </row>
    <row r="553" spans="1:1" x14ac:dyDescent="0.3">
      <c r="A553" s="44"/>
    </row>
    <row r="554" spans="1:1" x14ac:dyDescent="0.3">
      <c r="A554" s="44"/>
    </row>
    <row r="555" spans="1:1" x14ac:dyDescent="0.3">
      <c r="A555" s="44"/>
    </row>
    <row r="556" spans="1:1" x14ac:dyDescent="0.3">
      <c r="A556" s="44"/>
    </row>
    <row r="557" spans="1:1" x14ac:dyDescent="0.3">
      <c r="A557" s="44"/>
    </row>
    <row r="558" spans="1:1" x14ac:dyDescent="0.3">
      <c r="A558" s="44"/>
    </row>
    <row r="559" spans="1:1" x14ac:dyDescent="0.3">
      <c r="A559" s="44"/>
    </row>
    <row r="560" spans="1:1" x14ac:dyDescent="0.3">
      <c r="A560" s="44"/>
    </row>
    <row r="561" spans="1:1" x14ac:dyDescent="0.3">
      <c r="A561" s="44"/>
    </row>
    <row r="562" spans="1:1" x14ac:dyDescent="0.3">
      <c r="A562" s="44"/>
    </row>
    <row r="563" spans="1:1" x14ac:dyDescent="0.3">
      <c r="A563" s="44"/>
    </row>
    <row r="564" spans="1:1" x14ac:dyDescent="0.3">
      <c r="A564" s="44"/>
    </row>
    <row r="565" spans="1:1" x14ac:dyDescent="0.3">
      <c r="A565" s="44"/>
    </row>
    <row r="566" spans="1:1" x14ac:dyDescent="0.3">
      <c r="A566" s="44"/>
    </row>
    <row r="567" spans="1:1" x14ac:dyDescent="0.3">
      <c r="A567" s="44"/>
    </row>
    <row r="568" spans="1:1" x14ac:dyDescent="0.3">
      <c r="A568" s="44"/>
    </row>
    <row r="569" spans="1:1" x14ac:dyDescent="0.3">
      <c r="A569" s="44"/>
    </row>
    <row r="570" spans="1:1" x14ac:dyDescent="0.3">
      <c r="A570" s="44"/>
    </row>
    <row r="571" spans="1:1" x14ac:dyDescent="0.3">
      <c r="A571" s="44"/>
    </row>
    <row r="572" spans="1:1" x14ac:dyDescent="0.3">
      <c r="A572" s="44"/>
    </row>
    <row r="573" spans="1:1" x14ac:dyDescent="0.3">
      <c r="A573" s="44"/>
    </row>
    <row r="574" spans="1:1" x14ac:dyDescent="0.3">
      <c r="A574" s="44"/>
    </row>
    <row r="575" spans="1:1" x14ac:dyDescent="0.3">
      <c r="A575" s="44"/>
    </row>
    <row r="576" spans="1:1" x14ac:dyDescent="0.3">
      <c r="A576" s="44"/>
    </row>
    <row r="577" spans="1:1" x14ac:dyDescent="0.3">
      <c r="A577" s="44"/>
    </row>
    <row r="578" spans="1:1" x14ac:dyDescent="0.3">
      <c r="A578" s="44"/>
    </row>
    <row r="579" spans="1:1" x14ac:dyDescent="0.3">
      <c r="A579" s="44"/>
    </row>
    <row r="580" spans="1:1" x14ac:dyDescent="0.3">
      <c r="A580" s="44"/>
    </row>
    <row r="581" spans="1:1" x14ac:dyDescent="0.3">
      <c r="A581" s="44"/>
    </row>
    <row r="582" spans="1:1" x14ac:dyDescent="0.3">
      <c r="A582" s="44"/>
    </row>
    <row r="583" spans="1:1" x14ac:dyDescent="0.3">
      <c r="A583" s="44"/>
    </row>
    <row r="584" spans="1:1" x14ac:dyDescent="0.3">
      <c r="A584" s="44"/>
    </row>
    <row r="585" spans="1:1" x14ac:dyDescent="0.3">
      <c r="A585" s="44"/>
    </row>
    <row r="586" spans="1:1" x14ac:dyDescent="0.3">
      <c r="A586" s="44"/>
    </row>
    <row r="587" spans="1:1" x14ac:dyDescent="0.3">
      <c r="A587" s="44"/>
    </row>
    <row r="588" spans="1:1" x14ac:dyDescent="0.3">
      <c r="A588" s="44"/>
    </row>
    <row r="589" spans="1:1" x14ac:dyDescent="0.3">
      <c r="A589" s="44"/>
    </row>
    <row r="590" spans="1:1" x14ac:dyDescent="0.3">
      <c r="A590" s="44"/>
    </row>
    <row r="591" spans="1:1" x14ac:dyDescent="0.3">
      <c r="A591" s="44"/>
    </row>
    <row r="592" spans="1:1" x14ac:dyDescent="0.3">
      <c r="A592" s="44"/>
    </row>
    <row r="593" spans="1:1" x14ac:dyDescent="0.3">
      <c r="A593" s="44"/>
    </row>
    <row r="594" spans="1:1" x14ac:dyDescent="0.3">
      <c r="A594" s="44"/>
    </row>
    <row r="595" spans="1:1" x14ac:dyDescent="0.3">
      <c r="A595" s="44"/>
    </row>
    <row r="596" spans="1:1" x14ac:dyDescent="0.3">
      <c r="A596" s="44"/>
    </row>
    <row r="597" spans="1:1" x14ac:dyDescent="0.3">
      <c r="A597" s="44"/>
    </row>
    <row r="598" spans="1:1" x14ac:dyDescent="0.3">
      <c r="A598" s="44"/>
    </row>
    <row r="599" spans="1:1" x14ac:dyDescent="0.3">
      <c r="A599" s="44"/>
    </row>
    <row r="600" spans="1:1" x14ac:dyDescent="0.3">
      <c r="A600" s="44"/>
    </row>
    <row r="601" spans="1:1" x14ac:dyDescent="0.3">
      <c r="A601" s="44"/>
    </row>
    <row r="602" spans="1:1" x14ac:dyDescent="0.3">
      <c r="A602" s="44"/>
    </row>
    <row r="603" spans="1:1" x14ac:dyDescent="0.3">
      <c r="A603" s="44"/>
    </row>
    <row r="604" spans="1:1" x14ac:dyDescent="0.3">
      <c r="A604" s="44"/>
    </row>
    <row r="605" spans="1:1" x14ac:dyDescent="0.3">
      <c r="A605" s="44"/>
    </row>
    <row r="606" spans="1:1" x14ac:dyDescent="0.3">
      <c r="A606" s="44"/>
    </row>
    <row r="607" spans="1:1" x14ac:dyDescent="0.3">
      <c r="A607" s="44"/>
    </row>
    <row r="608" spans="1:1" x14ac:dyDescent="0.3">
      <c r="A608" s="44"/>
    </row>
    <row r="609" spans="1:1" x14ac:dyDescent="0.3">
      <c r="A609" s="44"/>
    </row>
    <row r="610" spans="1:1" x14ac:dyDescent="0.3">
      <c r="A610" s="44"/>
    </row>
    <row r="611" spans="1:1" x14ac:dyDescent="0.3">
      <c r="A611" s="44"/>
    </row>
    <row r="612" spans="1:1" x14ac:dyDescent="0.3">
      <c r="A612" s="44"/>
    </row>
    <row r="613" spans="1:1" x14ac:dyDescent="0.3">
      <c r="A613" s="44"/>
    </row>
    <row r="614" spans="1:1" x14ac:dyDescent="0.3">
      <c r="A614" s="44"/>
    </row>
    <row r="615" spans="1:1" x14ac:dyDescent="0.3">
      <c r="A615" s="44"/>
    </row>
    <row r="616" spans="1:1" x14ac:dyDescent="0.3">
      <c r="A616" s="44"/>
    </row>
    <row r="617" spans="1:1" x14ac:dyDescent="0.3">
      <c r="A617" s="44"/>
    </row>
    <row r="618" spans="1:1" x14ac:dyDescent="0.3">
      <c r="A618" s="44"/>
    </row>
    <row r="619" spans="1:1" x14ac:dyDescent="0.3">
      <c r="A619" s="44"/>
    </row>
    <row r="620" spans="1:1" x14ac:dyDescent="0.3">
      <c r="A620" s="44"/>
    </row>
    <row r="621" spans="1:1" x14ac:dyDescent="0.3">
      <c r="A621" s="44"/>
    </row>
    <row r="622" spans="1:1" x14ac:dyDescent="0.3">
      <c r="A622" s="44"/>
    </row>
    <row r="623" spans="1:1" x14ac:dyDescent="0.3">
      <c r="A623" s="44"/>
    </row>
    <row r="624" spans="1:1" x14ac:dyDescent="0.3">
      <c r="A624" s="44"/>
    </row>
    <row r="625" spans="1:1" x14ac:dyDescent="0.3">
      <c r="A625" s="44"/>
    </row>
    <row r="626" spans="1:1" x14ac:dyDescent="0.3">
      <c r="A626" s="44"/>
    </row>
    <row r="627" spans="1:1" x14ac:dyDescent="0.3">
      <c r="A627" s="44"/>
    </row>
    <row r="628" spans="1:1" x14ac:dyDescent="0.3">
      <c r="A628" s="44"/>
    </row>
    <row r="629" spans="1:1" x14ac:dyDescent="0.3">
      <c r="A629" s="44"/>
    </row>
    <row r="630" spans="1:1" x14ac:dyDescent="0.3">
      <c r="A630" s="44"/>
    </row>
    <row r="631" spans="1:1" x14ac:dyDescent="0.3">
      <c r="A631" s="44"/>
    </row>
    <row r="632" spans="1:1" x14ac:dyDescent="0.3">
      <c r="A632" s="44"/>
    </row>
    <row r="633" spans="1:1" x14ac:dyDescent="0.3">
      <c r="A633" s="44"/>
    </row>
    <row r="634" spans="1:1" x14ac:dyDescent="0.3">
      <c r="A634" s="44"/>
    </row>
    <row r="635" spans="1:1" x14ac:dyDescent="0.3">
      <c r="A635" s="44"/>
    </row>
    <row r="636" spans="1:1" x14ac:dyDescent="0.3">
      <c r="A636" s="44"/>
    </row>
    <row r="637" spans="1:1" x14ac:dyDescent="0.3">
      <c r="A637" s="44"/>
    </row>
    <row r="638" spans="1:1" x14ac:dyDescent="0.3">
      <c r="A638" s="44"/>
    </row>
    <row r="639" spans="1:1" x14ac:dyDescent="0.3">
      <c r="A639" s="44"/>
    </row>
    <row r="640" spans="1:1" x14ac:dyDescent="0.3">
      <c r="A640" s="44"/>
    </row>
    <row r="641" spans="1:1" x14ac:dyDescent="0.3">
      <c r="A641" s="44"/>
    </row>
    <row r="642" spans="1:1" x14ac:dyDescent="0.3">
      <c r="A642" s="44"/>
    </row>
    <row r="643" spans="1:1" x14ac:dyDescent="0.3">
      <c r="A643" s="44"/>
    </row>
    <row r="644" spans="1:1" x14ac:dyDescent="0.3">
      <c r="A644" s="44"/>
    </row>
    <row r="645" spans="1:1" x14ac:dyDescent="0.3">
      <c r="A645" s="44"/>
    </row>
    <row r="646" spans="1:1" x14ac:dyDescent="0.3">
      <c r="A646" s="44"/>
    </row>
    <row r="647" spans="1:1" x14ac:dyDescent="0.3">
      <c r="A647" s="44"/>
    </row>
    <row r="648" spans="1:1" x14ac:dyDescent="0.3">
      <c r="A648" s="44"/>
    </row>
    <row r="649" spans="1:1" x14ac:dyDescent="0.3">
      <c r="A649" s="44"/>
    </row>
    <row r="650" spans="1:1" x14ac:dyDescent="0.3">
      <c r="A650" s="44"/>
    </row>
    <row r="651" spans="1:1" x14ac:dyDescent="0.3">
      <c r="A651" s="44"/>
    </row>
    <row r="652" spans="1:1" x14ac:dyDescent="0.3">
      <c r="A652" s="44"/>
    </row>
    <row r="653" spans="1:1" x14ac:dyDescent="0.3">
      <c r="A653" s="44"/>
    </row>
    <row r="654" spans="1:1" x14ac:dyDescent="0.3">
      <c r="A654" s="44"/>
    </row>
    <row r="655" spans="1:1" x14ac:dyDescent="0.3">
      <c r="A655" s="44"/>
    </row>
    <row r="656" spans="1:1" x14ac:dyDescent="0.3">
      <c r="A656" s="44"/>
    </row>
    <row r="657" spans="1:1" x14ac:dyDescent="0.3">
      <c r="A657" s="44"/>
    </row>
    <row r="658" spans="1:1" x14ac:dyDescent="0.3">
      <c r="A658" s="44"/>
    </row>
    <row r="659" spans="1:1" x14ac:dyDescent="0.3">
      <c r="A659" s="44"/>
    </row>
    <row r="660" spans="1:1" x14ac:dyDescent="0.3">
      <c r="A660" s="44"/>
    </row>
    <row r="661" spans="1:1" x14ac:dyDescent="0.3">
      <c r="A661" s="44"/>
    </row>
    <row r="662" spans="1:1" x14ac:dyDescent="0.3">
      <c r="A662" s="44"/>
    </row>
    <row r="663" spans="1:1" x14ac:dyDescent="0.3">
      <c r="A663" s="44"/>
    </row>
    <row r="664" spans="1:1" x14ac:dyDescent="0.3">
      <c r="A664" s="44"/>
    </row>
    <row r="665" spans="1:1" x14ac:dyDescent="0.3">
      <c r="A665" s="44"/>
    </row>
    <row r="666" spans="1:1" x14ac:dyDescent="0.3">
      <c r="A666" s="44"/>
    </row>
    <row r="667" spans="1:1" x14ac:dyDescent="0.3">
      <c r="A667" s="44"/>
    </row>
    <row r="668" spans="1:1" x14ac:dyDescent="0.3">
      <c r="A668" s="44"/>
    </row>
    <row r="669" spans="1:1" x14ac:dyDescent="0.3">
      <c r="A669" s="44"/>
    </row>
    <row r="670" spans="1:1" x14ac:dyDescent="0.3">
      <c r="A670" s="44"/>
    </row>
    <row r="671" spans="1:1" x14ac:dyDescent="0.3">
      <c r="A671" s="44"/>
    </row>
    <row r="672" spans="1:1" x14ac:dyDescent="0.3">
      <c r="A672" s="44"/>
    </row>
    <row r="673" spans="1:1" x14ac:dyDescent="0.3">
      <c r="A673" s="44"/>
    </row>
    <row r="674" spans="1:1" x14ac:dyDescent="0.3">
      <c r="A674" s="44"/>
    </row>
    <row r="675" spans="1:1" x14ac:dyDescent="0.3">
      <c r="A675" s="44"/>
    </row>
    <row r="676" spans="1:1" x14ac:dyDescent="0.3">
      <c r="A676" s="44"/>
    </row>
    <row r="677" spans="1:1" x14ac:dyDescent="0.3">
      <c r="A677" s="44"/>
    </row>
    <row r="678" spans="1:1" x14ac:dyDescent="0.3">
      <c r="A678" s="44"/>
    </row>
    <row r="679" spans="1:1" x14ac:dyDescent="0.3">
      <c r="A679" s="44"/>
    </row>
    <row r="680" spans="1:1" x14ac:dyDescent="0.3">
      <c r="A680" s="44"/>
    </row>
    <row r="681" spans="1:1" x14ac:dyDescent="0.3">
      <c r="A681" s="44"/>
    </row>
    <row r="682" spans="1:1" x14ac:dyDescent="0.3">
      <c r="A682" s="44"/>
    </row>
    <row r="683" spans="1:1" x14ac:dyDescent="0.3">
      <c r="A683" s="44"/>
    </row>
    <row r="684" spans="1:1" x14ac:dyDescent="0.3">
      <c r="A684" s="44"/>
    </row>
    <row r="685" spans="1:1" x14ac:dyDescent="0.3">
      <c r="A685" s="44"/>
    </row>
    <row r="686" spans="1:1" x14ac:dyDescent="0.3">
      <c r="A686" s="44"/>
    </row>
    <row r="687" spans="1:1" x14ac:dyDescent="0.3">
      <c r="A687" s="44"/>
    </row>
    <row r="688" spans="1:1" x14ac:dyDescent="0.3">
      <c r="A688" s="44"/>
    </row>
    <row r="689" spans="1:1" x14ac:dyDescent="0.3">
      <c r="A689" s="44"/>
    </row>
    <row r="690" spans="1:1" x14ac:dyDescent="0.3">
      <c r="A690" s="44"/>
    </row>
    <row r="691" spans="1:1" x14ac:dyDescent="0.3">
      <c r="A691" s="44"/>
    </row>
    <row r="692" spans="1:1" x14ac:dyDescent="0.3">
      <c r="A692" s="44"/>
    </row>
    <row r="693" spans="1:1" x14ac:dyDescent="0.3">
      <c r="A693" s="44"/>
    </row>
    <row r="694" spans="1:1" x14ac:dyDescent="0.3">
      <c r="A694" s="44"/>
    </row>
    <row r="695" spans="1:1" x14ac:dyDescent="0.3">
      <c r="A695" s="44"/>
    </row>
    <row r="696" spans="1:1" x14ac:dyDescent="0.3">
      <c r="A696" s="44"/>
    </row>
    <row r="697" spans="1:1" x14ac:dyDescent="0.3">
      <c r="A697" s="44"/>
    </row>
    <row r="698" spans="1:1" x14ac:dyDescent="0.3">
      <c r="A698" s="44"/>
    </row>
    <row r="699" spans="1:1" x14ac:dyDescent="0.3">
      <c r="A699" s="44"/>
    </row>
    <row r="700" spans="1:1" x14ac:dyDescent="0.3">
      <c r="A700" s="44"/>
    </row>
    <row r="701" spans="1:1" x14ac:dyDescent="0.3">
      <c r="A701" s="44"/>
    </row>
    <row r="702" spans="1:1" x14ac:dyDescent="0.3">
      <c r="A702" s="44"/>
    </row>
    <row r="703" spans="1:1" x14ac:dyDescent="0.3">
      <c r="A703" s="44"/>
    </row>
    <row r="704" spans="1:1" x14ac:dyDescent="0.3">
      <c r="A704" s="44"/>
    </row>
    <row r="705" spans="1:1" x14ac:dyDescent="0.3">
      <c r="A705" s="44"/>
    </row>
    <row r="706" spans="1:1" x14ac:dyDescent="0.3">
      <c r="A706" s="44"/>
    </row>
    <row r="707" spans="1:1" x14ac:dyDescent="0.3">
      <c r="A707" s="44"/>
    </row>
    <row r="708" spans="1:1" x14ac:dyDescent="0.3">
      <c r="A708" s="44"/>
    </row>
    <row r="709" spans="1:1" x14ac:dyDescent="0.3">
      <c r="A709" s="44"/>
    </row>
    <row r="710" spans="1:1" x14ac:dyDescent="0.3">
      <c r="A710" s="44"/>
    </row>
    <row r="711" spans="1:1" x14ac:dyDescent="0.3">
      <c r="A711" s="44"/>
    </row>
    <row r="712" spans="1:1" x14ac:dyDescent="0.3">
      <c r="A712" s="44"/>
    </row>
    <row r="713" spans="1:1" x14ac:dyDescent="0.3">
      <c r="A713" s="44"/>
    </row>
    <row r="714" spans="1:1" x14ac:dyDescent="0.3">
      <c r="A714" s="44"/>
    </row>
    <row r="715" spans="1:1" x14ac:dyDescent="0.3">
      <c r="A715" s="44"/>
    </row>
    <row r="716" spans="1:1" x14ac:dyDescent="0.3">
      <c r="A716" s="44"/>
    </row>
    <row r="717" spans="1:1" x14ac:dyDescent="0.3">
      <c r="A717" s="44"/>
    </row>
    <row r="718" spans="1:1" x14ac:dyDescent="0.3">
      <c r="A718" s="44"/>
    </row>
    <row r="719" spans="1:1" x14ac:dyDescent="0.3">
      <c r="A719" s="44"/>
    </row>
    <row r="720" spans="1:1" x14ac:dyDescent="0.3">
      <c r="A720" s="44"/>
    </row>
    <row r="721" spans="1:1" x14ac:dyDescent="0.3">
      <c r="A721" s="44"/>
    </row>
    <row r="722" spans="1:1" x14ac:dyDescent="0.3">
      <c r="A722" s="44"/>
    </row>
    <row r="723" spans="1:1" x14ac:dyDescent="0.3">
      <c r="A723" s="44"/>
    </row>
    <row r="724" spans="1:1" x14ac:dyDescent="0.3">
      <c r="A724" s="44"/>
    </row>
    <row r="725" spans="1:1" x14ac:dyDescent="0.3">
      <c r="A725" s="44"/>
    </row>
    <row r="726" spans="1:1" x14ac:dyDescent="0.3">
      <c r="A726" s="44"/>
    </row>
    <row r="727" spans="1:1" x14ac:dyDescent="0.3">
      <c r="A727" s="44"/>
    </row>
    <row r="728" spans="1:1" x14ac:dyDescent="0.3">
      <c r="A728" s="44"/>
    </row>
    <row r="729" spans="1:1" x14ac:dyDescent="0.3">
      <c r="A729" s="44"/>
    </row>
    <row r="730" spans="1:1" x14ac:dyDescent="0.3">
      <c r="A730" s="44"/>
    </row>
    <row r="731" spans="1:1" x14ac:dyDescent="0.3">
      <c r="A731" s="44"/>
    </row>
    <row r="732" spans="1:1" x14ac:dyDescent="0.3">
      <c r="A732" s="44"/>
    </row>
    <row r="733" spans="1:1" x14ac:dyDescent="0.3">
      <c r="A733" s="44"/>
    </row>
    <row r="734" spans="1:1" x14ac:dyDescent="0.3">
      <c r="A734" s="44"/>
    </row>
    <row r="735" spans="1:1" x14ac:dyDescent="0.3">
      <c r="A735" s="44"/>
    </row>
    <row r="736" spans="1:1" x14ac:dyDescent="0.3">
      <c r="A736" s="44"/>
    </row>
    <row r="737" spans="1:1" x14ac:dyDescent="0.3">
      <c r="A737" s="44"/>
    </row>
    <row r="738" spans="1:1" x14ac:dyDescent="0.3">
      <c r="A738" s="44"/>
    </row>
    <row r="739" spans="1:1" x14ac:dyDescent="0.3">
      <c r="A739" s="44"/>
    </row>
    <row r="740" spans="1:1" x14ac:dyDescent="0.3">
      <c r="A740" s="44"/>
    </row>
    <row r="741" spans="1:1" x14ac:dyDescent="0.3">
      <c r="A741" s="44"/>
    </row>
    <row r="742" spans="1:1" x14ac:dyDescent="0.3">
      <c r="A742" s="44"/>
    </row>
    <row r="743" spans="1:1" x14ac:dyDescent="0.3">
      <c r="A743" s="44"/>
    </row>
    <row r="744" spans="1:1" x14ac:dyDescent="0.3">
      <c r="A744" s="44"/>
    </row>
    <row r="745" spans="1:1" x14ac:dyDescent="0.3">
      <c r="A745" s="44"/>
    </row>
    <row r="746" spans="1:1" x14ac:dyDescent="0.3">
      <c r="A746" s="44"/>
    </row>
    <row r="747" spans="1:1" x14ac:dyDescent="0.3">
      <c r="A747" s="44"/>
    </row>
    <row r="748" spans="1:1" x14ac:dyDescent="0.3">
      <c r="A748" s="44"/>
    </row>
    <row r="749" spans="1:1" x14ac:dyDescent="0.3">
      <c r="A749" s="44"/>
    </row>
    <row r="750" spans="1:1" x14ac:dyDescent="0.3">
      <c r="A750" s="44"/>
    </row>
    <row r="751" spans="1:1" x14ac:dyDescent="0.3">
      <c r="A751" s="44"/>
    </row>
    <row r="752" spans="1:1" x14ac:dyDescent="0.3">
      <c r="A752" s="44"/>
    </row>
    <row r="753" spans="1:1" x14ac:dyDescent="0.3">
      <c r="A753" s="44"/>
    </row>
    <row r="754" spans="1:1" x14ac:dyDescent="0.3">
      <c r="A754" s="44"/>
    </row>
    <row r="755" spans="1:1" x14ac:dyDescent="0.3">
      <c r="A755" s="44"/>
    </row>
    <row r="756" spans="1:1" x14ac:dyDescent="0.3">
      <c r="A756" s="44"/>
    </row>
    <row r="757" spans="1:1" x14ac:dyDescent="0.3">
      <c r="A757" s="44"/>
    </row>
    <row r="758" spans="1:1" x14ac:dyDescent="0.3">
      <c r="A758" s="44"/>
    </row>
    <row r="759" spans="1:1" x14ac:dyDescent="0.3">
      <c r="A759" s="44"/>
    </row>
    <row r="760" spans="1:1" x14ac:dyDescent="0.3">
      <c r="A760" s="44"/>
    </row>
    <row r="761" spans="1:1" x14ac:dyDescent="0.3">
      <c r="A761" s="44"/>
    </row>
    <row r="762" spans="1:1" x14ac:dyDescent="0.3">
      <c r="A762" s="44"/>
    </row>
    <row r="763" spans="1:1" x14ac:dyDescent="0.3">
      <c r="A763" s="44"/>
    </row>
    <row r="764" spans="1:1" x14ac:dyDescent="0.3">
      <c r="A764" s="44"/>
    </row>
    <row r="765" spans="1:1" x14ac:dyDescent="0.3">
      <c r="A765" s="44"/>
    </row>
    <row r="766" spans="1:1" x14ac:dyDescent="0.3">
      <c r="A766" s="44"/>
    </row>
    <row r="767" spans="1:1" x14ac:dyDescent="0.3">
      <c r="A767" s="44"/>
    </row>
    <row r="768" spans="1:1" x14ac:dyDescent="0.3">
      <c r="A768" s="44"/>
    </row>
    <row r="769" spans="1:1" x14ac:dyDescent="0.3">
      <c r="A769" s="44"/>
    </row>
    <row r="770" spans="1:1" x14ac:dyDescent="0.3">
      <c r="A770" s="44"/>
    </row>
    <row r="771" spans="1:1" x14ac:dyDescent="0.3">
      <c r="A771" s="44"/>
    </row>
    <row r="772" spans="1:1" x14ac:dyDescent="0.3">
      <c r="A772" s="44"/>
    </row>
    <row r="773" spans="1:1" x14ac:dyDescent="0.3">
      <c r="A773" s="44"/>
    </row>
    <row r="774" spans="1:1" x14ac:dyDescent="0.3">
      <c r="A774" s="44"/>
    </row>
    <row r="775" spans="1:1" x14ac:dyDescent="0.3">
      <c r="A775" s="44"/>
    </row>
    <row r="776" spans="1:1" x14ac:dyDescent="0.3">
      <c r="A776" s="44"/>
    </row>
    <row r="777" spans="1:1" x14ac:dyDescent="0.3">
      <c r="A777" s="44"/>
    </row>
    <row r="778" spans="1:1" x14ac:dyDescent="0.3">
      <c r="A778" s="44"/>
    </row>
    <row r="779" spans="1:1" x14ac:dyDescent="0.3">
      <c r="A779" s="44"/>
    </row>
    <row r="780" spans="1:1" x14ac:dyDescent="0.3">
      <c r="A780" s="44"/>
    </row>
    <row r="781" spans="1:1" x14ac:dyDescent="0.3">
      <c r="A781" s="44"/>
    </row>
    <row r="782" spans="1:1" x14ac:dyDescent="0.3">
      <c r="A782" s="44"/>
    </row>
    <row r="783" spans="1:1" x14ac:dyDescent="0.3">
      <c r="A783" s="44"/>
    </row>
    <row r="784" spans="1:1" x14ac:dyDescent="0.3">
      <c r="A784" s="44"/>
    </row>
    <row r="785" spans="1:1" x14ac:dyDescent="0.3">
      <c r="A785" s="44"/>
    </row>
    <row r="786" spans="1:1" x14ac:dyDescent="0.3">
      <c r="A786" s="44"/>
    </row>
    <row r="787" spans="1:1" x14ac:dyDescent="0.3">
      <c r="A787" s="44"/>
    </row>
    <row r="788" spans="1:1" x14ac:dyDescent="0.3">
      <c r="A788" s="44"/>
    </row>
    <row r="789" spans="1:1" x14ac:dyDescent="0.3">
      <c r="A789" s="44"/>
    </row>
    <row r="790" spans="1:1" x14ac:dyDescent="0.3">
      <c r="A790" s="44"/>
    </row>
    <row r="791" spans="1:1" x14ac:dyDescent="0.3">
      <c r="A791" s="44"/>
    </row>
    <row r="792" spans="1:1" x14ac:dyDescent="0.3">
      <c r="A792" s="44"/>
    </row>
    <row r="793" spans="1:1" x14ac:dyDescent="0.3">
      <c r="A793" s="44"/>
    </row>
    <row r="794" spans="1:1" x14ac:dyDescent="0.3">
      <c r="A794" s="44"/>
    </row>
    <row r="795" spans="1:1" x14ac:dyDescent="0.3">
      <c r="A795" s="44"/>
    </row>
    <row r="796" spans="1:1" x14ac:dyDescent="0.3">
      <c r="A796" s="44"/>
    </row>
    <row r="797" spans="1:1" x14ac:dyDescent="0.3">
      <c r="A797" s="44"/>
    </row>
    <row r="798" spans="1:1" x14ac:dyDescent="0.3">
      <c r="A798" s="44"/>
    </row>
    <row r="799" spans="1:1" x14ac:dyDescent="0.3">
      <c r="A799" s="44"/>
    </row>
    <row r="800" spans="1:1" x14ac:dyDescent="0.3">
      <c r="A800" s="44"/>
    </row>
    <row r="801" spans="1:1" x14ac:dyDescent="0.3">
      <c r="A801" s="44"/>
    </row>
    <row r="802" spans="1:1" x14ac:dyDescent="0.3">
      <c r="A802" s="44"/>
    </row>
    <row r="803" spans="1:1" x14ac:dyDescent="0.3">
      <c r="A803" s="44"/>
    </row>
    <row r="804" spans="1:1" x14ac:dyDescent="0.3">
      <c r="A804" s="44"/>
    </row>
    <row r="805" spans="1:1" x14ac:dyDescent="0.3">
      <c r="A805" s="44"/>
    </row>
    <row r="806" spans="1:1" x14ac:dyDescent="0.3">
      <c r="A806" s="44"/>
    </row>
    <row r="807" spans="1:1" x14ac:dyDescent="0.3">
      <c r="A807" s="44"/>
    </row>
    <row r="808" spans="1:1" x14ac:dyDescent="0.3">
      <c r="A808" s="44"/>
    </row>
    <row r="809" spans="1:1" x14ac:dyDescent="0.3">
      <c r="A809" s="44"/>
    </row>
    <row r="810" spans="1:1" x14ac:dyDescent="0.3">
      <c r="A810" s="44"/>
    </row>
    <row r="811" spans="1:1" x14ac:dyDescent="0.3">
      <c r="A811" s="44"/>
    </row>
    <row r="812" spans="1:1" x14ac:dyDescent="0.3">
      <c r="A812" s="44"/>
    </row>
    <row r="813" spans="1:1" x14ac:dyDescent="0.3">
      <c r="A813" s="44"/>
    </row>
    <row r="814" spans="1:1" x14ac:dyDescent="0.3">
      <c r="A814" s="44"/>
    </row>
    <row r="815" spans="1:1" x14ac:dyDescent="0.3">
      <c r="A815" s="44"/>
    </row>
    <row r="816" spans="1:1" x14ac:dyDescent="0.3">
      <c r="A816" s="44"/>
    </row>
    <row r="817" spans="1:1" x14ac:dyDescent="0.3">
      <c r="A817" s="44"/>
    </row>
    <row r="818" spans="1:1" x14ac:dyDescent="0.3">
      <c r="A818" s="44"/>
    </row>
    <row r="819" spans="1:1" x14ac:dyDescent="0.3">
      <c r="A819" s="44"/>
    </row>
    <row r="820" spans="1:1" x14ac:dyDescent="0.3">
      <c r="A820" s="44"/>
    </row>
    <row r="821" spans="1:1" x14ac:dyDescent="0.3">
      <c r="A821" s="44"/>
    </row>
    <row r="822" spans="1:1" x14ac:dyDescent="0.3">
      <c r="A822" s="44"/>
    </row>
    <row r="823" spans="1:1" x14ac:dyDescent="0.3">
      <c r="A823" s="44"/>
    </row>
    <row r="824" spans="1:1" x14ac:dyDescent="0.3">
      <c r="A824" s="44"/>
    </row>
    <row r="825" spans="1:1" x14ac:dyDescent="0.3">
      <c r="A825" s="44"/>
    </row>
    <row r="826" spans="1:1" x14ac:dyDescent="0.3">
      <c r="A826" s="44"/>
    </row>
    <row r="827" spans="1:1" x14ac:dyDescent="0.3">
      <c r="A827" s="44"/>
    </row>
    <row r="828" spans="1:1" x14ac:dyDescent="0.3">
      <c r="A828" s="44"/>
    </row>
    <row r="829" spans="1:1" x14ac:dyDescent="0.3">
      <c r="A829" s="44"/>
    </row>
    <row r="830" spans="1:1" x14ac:dyDescent="0.3">
      <c r="A830" s="44"/>
    </row>
    <row r="831" spans="1:1" x14ac:dyDescent="0.3">
      <c r="A831" s="44"/>
    </row>
    <row r="832" spans="1:1" x14ac:dyDescent="0.3">
      <c r="A832" s="44"/>
    </row>
    <row r="833" spans="1:1" x14ac:dyDescent="0.3">
      <c r="A833" s="44"/>
    </row>
    <row r="834" spans="1:1" x14ac:dyDescent="0.3">
      <c r="A834" s="44"/>
    </row>
    <row r="835" spans="1:1" x14ac:dyDescent="0.3">
      <c r="A835" s="44"/>
    </row>
    <row r="836" spans="1:1" x14ac:dyDescent="0.3">
      <c r="A836" s="44"/>
    </row>
    <row r="837" spans="1:1" x14ac:dyDescent="0.3">
      <c r="A837" s="44"/>
    </row>
    <row r="838" spans="1:1" x14ac:dyDescent="0.3">
      <c r="A838" s="44"/>
    </row>
    <row r="839" spans="1:1" x14ac:dyDescent="0.3">
      <c r="A839" s="44"/>
    </row>
    <row r="840" spans="1:1" x14ac:dyDescent="0.3">
      <c r="A840" s="44"/>
    </row>
    <row r="841" spans="1:1" x14ac:dyDescent="0.3">
      <c r="A841" s="44"/>
    </row>
    <row r="842" spans="1:1" x14ac:dyDescent="0.3">
      <c r="A842" s="44"/>
    </row>
    <row r="843" spans="1:1" x14ac:dyDescent="0.3">
      <c r="A843" s="44"/>
    </row>
    <row r="844" spans="1:1" x14ac:dyDescent="0.3">
      <c r="A844" s="44"/>
    </row>
    <row r="845" spans="1:1" x14ac:dyDescent="0.3">
      <c r="A845" s="44"/>
    </row>
    <row r="846" spans="1:1" x14ac:dyDescent="0.3">
      <c r="A846" s="44"/>
    </row>
    <row r="847" spans="1:1" x14ac:dyDescent="0.3">
      <c r="A847" s="44"/>
    </row>
    <row r="848" spans="1:1" x14ac:dyDescent="0.3">
      <c r="A848" s="44"/>
    </row>
    <row r="849" spans="1:1" x14ac:dyDescent="0.3">
      <c r="A849" s="44"/>
    </row>
    <row r="850" spans="1:1" x14ac:dyDescent="0.3">
      <c r="A850" s="44"/>
    </row>
    <row r="851" spans="1:1" x14ac:dyDescent="0.3">
      <c r="A851" s="44"/>
    </row>
    <row r="852" spans="1:1" x14ac:dyDescent="0.3">
      <c r="A852" s="44"/>
    </row>
    <row r="853" spans="1:1" x14ac:dyDescent="0.3">
      <c r="A853" s="44"/>
    </row>
    <row r="854" spans="1:1" x14ac:dyDescent="0.3">
      <c r="A854" s="44"/>
    </row>
    <row r="855" spans="1:1" x14ac:dyDescent="0.3">
      <c r="A855" s="44"/>
    </row>
    <row r="856" spans="1:1" x14ac:dyDescent="0.3">
      <c r="A856" s="44"/>
    </row>
    <row r="857" spans="1:1" x14ac:dyDescent="0.3">
      <c r="A857" s="44"/>
    </row>
    <row r="858" spans="1:1" x14ac:dyDescent="0.3">
      <c r="A858" s="44"/>
    </row>
    <row r="859" spans="1:1" x14ac:dyDescent="0.3">
      <c r="A859" s="44"/>
    </row>
    <row r="860" spans="1:1" x14ac:dyDescent="0.3">
      <c r="A860" s="44"/>
    </row>
    <row r="861" spans="1:1" x14ac:dyDescent="0.3">
      <c r="A861" s="44"/>
    </row>
    <row r="862" spans="1:1" x14ac:dyDescent="0.3">
      <c r="A862" s="44"/>
    </row>
    <row r="863" spans="1:1" x14ac:dyDescent="0.3">
      <c r="A863" s="44"/>
    </row>
    <row r="864" spans="1:1" x14ac:dyDescent="0.3">
      <c r="A864" s="44"/>
    </row>
    <row r="865" spans="1:1" x14ac:dyDescent="0.3">
      <c r="A865" s="44"/>
    </row>
    <row r="866" spans="1:1" x14ac:dyDescent="0.3">
      <c r="A866" s="44"/>
    </row>
    <row r="867" spans="1:1" x14ac:dyDescent="0.3">
      <c r="A867" s="44"/>
    </row>
    <row r="868" spans="1:1" x14ac:dyDescent="0.3">
      <c r="A868" s="44"/>
    </row>
    <row r="869" spans="1:1" x14ac:dyDescent="0.3">
      <c r="A869" s="44"/>
    </row>
    <row r="870" spans="1:1" x14ac:dyDescent="0.3">
      <c r="A870" s="44"/>
    </row>
    <row r="871" spans="1:1" x14ac:dyDescent="0.3">
      <c r="A871" s="44"/>
    </row>
    <row r="872" spans="1:1" x14ac:dyDescent="0.3">
      <c r="A872" s="44"/>
    </row>
    <row r="873" spans="1:1" x14ac:dyDescent="0.3">
      <c r="A873" s="44"/>
    </row>
    <row r="874" spans="1:1" x14ac:dyDescent="0.3">
      <c r="A874" s="44"/>
    </row>
    <row r="875" spans="1:1" x14ac:dyDescent="0.3">
      <c r="A875" s="44"/>
    </row>
    <row r="876" spans="1:1" x14ac:dyDescent="0.3">
      <c r="A876" s="44"/>
    </row>
    <row r="877" spans="1:1" x14ac:dyDescent="0.3">
      <c r="A877" s="44"/>
    </row>
    <row r="878" spans="1:1" x14ac:dyDescent="0.3">
      <c r="A878" s="44"/>
    </row>
    <row r="879" spans="1:1" x14ac:dyDescent="0.3">
      <c r="A879" s="44"/>
    </row>
    <row r="880" spans="1:1" x14ac:dyDescent="0.3">
      <c r="A880" s="44"/>
    </row>
    <row r="881" spans="1:1" x14ac:dyDescent="0.3">
      <c r="A881" s="44"/>
    </row>
    <row r="882" spans="1:1" x14ac:dyDescent="0.3">
      <c r="A882" s="44"/>
    </row>
    <row r="883" spans="1:1" x14ac:dyDescent="0.3">
      <c r="A883" s="44"/>
    </row>
    <row r="884" spans="1:1" x14ac:dyDescent="0.3">
      <c r="A884" s="44"/>
    </row>
    <row r="885" spans="1:1" x14ac:dyDescent="0.3">
      <c r="A885" s="44"/>
    </row>
    <row r="886" spans="1:1" x14ac:dyDescent="0.3">
      <c r="A886" s="44"/>
    </row>
    <row r="887" spans="1:1" x14ac:dyDescent="0.3">
      <c r="A887" s="44"/>
    </row>
    <row r="888" spans="1:1" x14ac:dyDescent="0.3">
      <c r="A888" s="44"/>
    </row>
    <row r="889" spans="1:1" x14ac:dyDescent="0.3">
      <c r="A889" s="44"/>
    </row>
    <row r="890" spans="1:1" x14ac:dyDescent="0.3">
      <c r="A890" s="44"/>
    </row>
    <row r="891" spans="1:1" x14ac:dyDescent="0.3">
      <c r="A891" s="44"/>
    </row>
    <row r="892" spans="1:1" x14ac:dyDescent="0.3">
      <c r="A892" s="44"/>
    </row>
    <row r="893" spans="1:1" x14ac:dyDescent="0.3">
      <c r="A893" s="44"/>
    </row>
    <row r="894" spans="1:1" x14ac:dyDescent="0.3">
      <c r="A894" s="44"/>
    </row>
    <row r="895" spans="1:1" x14ac:dyDescent="0.3">
      <c r="A895" s="44"/>
    </row>
    <row r="896" spans="1:1" x14ac:dyDescent="0.3">
      <c r="A896" s="44"/>
    </row>
    <row r="897" spans="1:1" x14ac:dyDescent="0.3">
      <c r="A897" s="44"/>
    </row>
    <row r="898" spans="1:1" x14ac:dyDescent="0.3">
      <c r="A898" s="44"/>
    </row>
    <row r="899" spans="1:1" x14ac:dyDescent="0.3">
      <c r="A899" s="44"/>
    </row>
    <row r="900" spans="1:1" x14ac:dyDescent="0.3">
      <c r="A900" s="44"/>
    </row>
    <row r="901" spans="1:1" x14ac:dyDescent="0.3">
      <c r="A901" s="44"/>
    </row>
    <row r="902" spans="1:1" x14ac:dyDescent="0.3">
      <c r="A902" s="44"/>
    </row>
    <row r="903" spans="1:1" x14ac:dyDescent="0.3">
      <c r="A903" s="44"/>
    </row>
    <row r="904" spans="1:1" x14ac:dyDescent="0.3">
      <c r="A904" s="44"/>
    </row>
    <row r="905" spans="1:1" x14ac:dyDescent="0.3">
      <c r="A905" s="44"/>
    </row>
    <row r="906" spans="1:1" x14ac:dyDescent="0.3">
      <c r="A906" s="44"/>
    </row>
    <row r="907" spans="1:1" x14ac:dyDescent="0.3">
      <c r="A907" s="44"/>
    </row>
    <row r="908" spans="1:1" x14ac:dyDescent="0.3">
      <c r="A908" s="44"/>
    </row>
    <row r="909" spans="1:1" x14ac:dyDescent="0.3">
      <c r="A909" s="44"/>
    </row>
    <row r="910" spans="1:1" x14ac:dyDescent="0.3">
      <c r="A910" s="44"/>
    </row>
    <row r="911" spans="1:1" x14ac:dyDescent="0.3">
      <c r="A911" s="44"/>
    </row>
    <row r="912" spans="1:1" x14ac:dyDescent="0.3">
      <c r="A912" s="44"/>
    </row>
    <row r="913" spans="1:1" x14ac:dyDescent="0.3">
      <c r="A913" s="44"/>
    </row>
    <row r="914" spans="1:1" x14ac:dyDescent="0.3">
      <c r="A914" s="44"/>
    </row>
    <row r="915" spans="1:1" x14ac:dyDescent="0.3">
      <c r="A915" s="44"/>
    </row>
    <row r="916" spans="1:1" x14ac:dyDescent="0.3">
      <c r="A916" s="44"/>
    </row>
    <row r="917" spans="1:1" x14ac:dyDescent="0.3">
      <c r="A917" s="44"/>
    </row>
    <row r="918" spans="1:1" x14ac:dyDescent="0.3">
      <c r="A918" s="44"/>
    </row>
    <row r="919" spans="1:1" x14ac:dyDescent="0.3">
      <c r="A919" s="44"/>
    </row>
    <row r="920" spans="1:1" x14ac:dyDescent="0.3">
      <c r="A920" s="44"/>
    </row>
    <row r="921" spans="1:1" x14ac:dyDescent="0.3">
      <c r="A921" s="44"/>
    </row>
    <row r="922" spans="1:1" x14ac:dyDescent="0.3">
      <c r="A922" s="44"/>
    </row>
    <row r="923" spans="1:1" x14ac:dyDescent="0.3">
      <c r="A923" s="44"/>
    </row>
    <row r="924" spans="1:1" x14ac:dyDescent="0.3">
      <c r="A924" s="44"/>
    </row>
    <row r="925" spans="1:1" x14ac:dyDescent="0.3">
      <c r="A925" s="44"/>
    </row>
    <row r="926" spans="1:1" x14ac:dyDescent="0.3">
      <c r="A926" s="44"/>
    </row>
    <row r="927" spans="1:1" x14ac:dyDescent="0.3">
      <c r="A927" s="44"/>
    </row>
    <row r="928" spans="1:1" x14ac:dyDescent="0.3">
      <c r="A928" s="44"/>
    </row>
    <row r="929" spans="1:1" x14ac:dyDescent="0.3">
      <c r="A929" s="44"/>
    </row>
    <row r="930" spans="1:1" x14ac:dyDescent="0.3">
      <c r="A930" s="44"/>
    </row>
    <row r="931" spans="1:1" x14ac:dyDescent="0.3">
      <c r="A931" s="44"/>
    </row>
    <row r="932" spans="1:1" x14ac:dyDescent="0.3">
      <c r="A932" s="44"/>
    </row>
    <row r="933" spans="1:1" x14ac:dyDescent="0.3">
      <c r="A933" s="44"/>
    </row>
    <row r="934" spans="1:1" x14ac:dyDescent="0.3">
      <c r="A934" s="44"/>
    </row>
    <row r="935" spans="1:1" x14ac:dyDescent="0.3">
      <c r="A935" s="44"/>
    </row>
    <row r="936" spans="1:1" x14ac:dyDescent="0.3">
      <c r="A936" s="44"/>
    </row>
    <row r="937" spans="1:1" x14ac:dyDescent="0.3">
      <c r="A937" s="44"/>
    </row>
    <row r="938" spans="1:1" x14ac:dyDescent="0.3">
      <c r="A938" s="44"/>
    </row>
    <row r="939" spans="1:1" x14ac:dyDescent="0.3">
      <c r="A939" s="44"/>
    </row>
    <row r="940" spans="1:1" x14ac:dyDescent="0.3">
      <c r="A940" s="44"/>
    </row>
    <row r="941" spans="1:1" x14ac:dyDescent="0.3">
      <c r="A941" s="44"/>
    </row>
    <row r="942" spans="1:1" x14ac:dyDescent="0.3">
      <c r="A942" s="44"/>
    </row>
    <row r="943" spans="1:1" x14ac:dyDescent="0.3">
      <c r="A943" s="44"/>
    </row>
    <row r="944" spans="1:1" x14ac:dyDescent="0.3">
      <c r="A944" s="44"/>
    </row>
    <row r="945" spans="1:1" x14ac:dyDescent="0.3">
      <c r="A945" s="44"/>
    </row>
    <row r="946" spans="1:1" x14ac:dyDescent="0.3">
      <c r="A946" s="44"/>
    </row>
    <row r="947" spans="1:1" x14ac:dyDescent="0.3">
      <c r="A947" s="44"/>
    </row>
    <row r="948" spans="1:1" x14ac:dyDescent="0.3">
      <c r="A948" s="44"/>
    </row>
    <row r="949" spans="1:1" x14ac:dyDescent="0.3">
      <c r="A949" s="44"/>
    </row>
    <row r="950" spans="1:1" x14ac:dyDescent="0.3">
      <c r="A950" s="44"/>
    </row>
    <row r="951" spans="1:1" x14ac:dyDescent="0.3">
      <c r="A951" s="44"/>
    </row>
    <row r="952" spans="1:1" x14ac:dyDescent="0.3">
      <c r="A952" s="44"/>
    </row>
    <row r="953" spans="1:1" x14ac:dyDescent="0.3">
      <c r="A953" s="44"/>
    </row>
    <row r="954" spans="1:1" x14ac:dyDescent="0.3">
      <c r="A954" s="44"/>
    </row>
    <row r="955" spans="1:1" x14ac:dyDescent="0.3">
      <c r="A955" s="44"/>
    </row>
    <row r="956" spans="1:1" x14ac:dyDescent="0.3">
      <c r="A956" s="44"/>
    </row>
    <row r="957" spans="1:1" x14ac:dyDescent="0.3">
      <c r="A957" s="44"/>
    </row>
    <row r="958" spans="1:1" x14ac:dyDescent="0.3">
      <c r="A958" s="44"/>
    </row>
    <row r="959" spans="1:1" x14ac:dyDescent="0.3">
      <c r="A959" s="44"/>
    </row>
    <row r="960" spans="1:1" x14ac:dyDescent="0.3">
      <c r="A960" s="44"/>
    </row>
    <row r="961" spans="1:1" x14ac:dyDescent="0.3">
      <c r="A961" s="44"/>
    </row>
    <row r="962" spans="1:1" x14ac:dyDescent="0.3">
      <c r="A962" s="44"/>
    </row>
    <row r="963" spans="1:1" x14ac:dyDescent="0.3">
      <c r="A963" s="44"/>
    </row>
    <row r="964" spans="1:1" x14ac:dyDescent="0.3">
      <c r="A964" s="44"/>
    </row>
    <row r="965" spans="1:1" x14ac:dyDescent="0.3">
      <c r="A965" s="44"/>
    </row>
    <row r="966" spans="1:1" x14ac:dyDescent="0.3">
      <c r="A966" s="44"/>
    </row>
    <row r="967" spans="1:1" x14ac:dyDescent="0.3">
      <c r="A967" s="44"/>
    </row>
    <row r="968" spans="1:1" x14ac:dyDescent="0.3">
      <c r="A968" s="44"/>
    </row>
    <row r="969" spans="1:1" x14ac:dyDescent="0.3">
      <c r="A969" s="44"/>
    </row>
    <row r="970" spans="1:1" x14ac:dyDescent="0.3">
      <c r="A970" s="44"/>
    </row>
    <row r="971" spans="1:1" x14ac:dyDescent="0.3">
      <c r="A971" s="44"/>
    </row>
    <row r="972" spans="1:1" x14ac:dyDescent="0.3">
      <c r="A972" s="44"/>
    </row>
    <row r="973" spans="1:1" x14ac:dyDescent="0.3">
      <c r="A973" s="44"/>
    </row>
    <row r="974" spans="1:1" x14ac:dyDescent="0.3">
      <c r="A974" s="44"/>
    </row>
    <row r="975" spans="1:1" x14ac:dyDescent="0.3">
      <c r="A975" s="44"/>
    </row>
    <row r="976" spans="1:1" x14ac:dyDescent="0.3">
      <c r="A976" s="44"/>
    </row>
    <row r="977" spans="1:1" x14ac:dyDescent="0.3">
      <c r="A977" s="44"/>
    </row>
    <row r="978" spans="1:1" x14ac:dyDescent="0.3">
      <c r="A978" s="44"/>
    </row>
    <row r="979" spans="1:1" x14ac:dyDescent="0.3">
      <c r="A979" s="44"/>
    </row>
    <row r="980" spans="1:1" x14ac:dyDescent="0.3">
      <c r="A980" s="44"/>
    </row>
    <row r="981" spans="1:1" x14ac:dyDescent="0.3">
      <c r="A981" s="44"/>
    </row>
    <row r="982" spans="1:1" x14ac:dyDescent="0.3">
      <c r="A982" s="44"/>
    </row>
    <row r="983" spans="1:1" x14ac:dyDescent="0.3">
      <c r="A983" s="44"/>
    </row>
    <row r="984" spans="1:1" x14ac:dyDescent="0.3">
      <c r="A984" s="44"/>
    </row>
    <row r="985" spans="1:1" x14ac:dyDescent="0.3">
      <c r="A985" s="44"/>
    </row>
    <row r="986" spans="1:1" x14ac:dyDescent="0.3">
      <c r="A986" s="44"/>
    </row>
    <row r="987" spans="1:1" x14ac:dyDescent="0.3">
      <c r="A987" s="44"/>
    </row>
    <row r="988" spans="1:1" x14ac:dyDescent="0.3">
      <c r="A988" s="44"/>
    </row>
    <row r="989" spans="1:1" x14ac:dyDescent="0.3">
      <c r="A989" s="44"/>
    </row>
    <row r="990" spans="1:1" x14ac:dyDescent="0.3">
      <c r="A990" s="44"/>
    </row>
    <row r="991" spans="1:1" x14ac:dyDescent="0.3">
      <c r="A991" s="44"/>
    </row>
    <row r="992" spans="1:1" x14ac:dyDescent="0.3">
      <c r="A992" s="44"/>
    </row>
    <row r="993" spans="1:1" x14ac:dyDescent="0.3">
      <c r="A993" s="44"/>
    </row>
    <row r="994" spans="1:1" x14ac:dyDescent="0.3">
      <c r="A994" s="44"/>
    </row>
    <row r="995" spans="1:1" x14ac:dyDescent="0.3">
      <c r="A995" s="44"/>
    </row>
    <row r="996" spans="1:1" x14ac:dyDescent="0.3">
      <c r="A996" s="44"/>
    </row>
    <row r="997" spans="1:1" x14ac:dyDescent="0.3">
      <c r="A997" s="44"/>
    </row>
    <row r="998" spans="1:1" x14ac:dyDescent="0.3">
      <c r="A998" s="44"/>
    </row>
    <row r="999" spans="1:1" x14ac:dyDescent="0.3">
      <c r="A999" s="44"/>
    </row>
    <row r="1000" spans="1:1" x14ac:dyDescent="0.3">
      <c r="A1000" s="44"/>
    </row>
    <row r="1001" spans="1:1" x14ac:dyDescent="0.3">
      <c r="A1001" s="44"/>
    </row>
    <row r="1002" spans="1:1" x14ac:dyDescent="0.3">
      <c r="A1002" s="44"/>
    </row>
    <row r="1003" spans="1:1" x14ac:dyDescent="0.3">
      <c r="A1003" s="44"/>
    </row>
    <row r="1004" spans="1:1" x14ac:dyDescent="0.3">
      <c r="A1004" s="44"/>
    </row>
    <row r="1005" spans="1:1" x14ac:dyDescent="0.3">
      <c r="A1005" s="44"/>
    </row>
    <row r="1006" spans="1:1" x14ac:dyDescent="0.3">
      <c r="A1006" s="44"/>
    </row>
    <row r="1007" spans="1:1" x14ac:dyDescent="0.3">
      <c r="A1007" s="44"/>
    </row>
    <row r="1008" spans="1:1" x14ac:dyDescent="0.3">
      <c r="A1008" s="44"/>
    </row>
    <row r="1009" spans="1:1" x14ac:dyDescent="0.3">
      <c r="A1009" s="44"/>
    </row>
    <row r="1010" spans="1:1" x14ac:dyDescent="0.3">
      <c r="A1010" s="44"/>
    </row>
    <row r="1011" spans="1:1" x14ac:dyDescent="0.3">
      <c r="A1011" s="44"/>
    </row>
    <row r="1012" spans="1:1" x14ac:dyDescent="0.3">
      <c r="A1012" s="44"/>
    </row>
    <row r="1013" spans="1:1" x14ac:dyDescent="0.3">
      <c r="A1013" s="44"/>
    </row>
    <row r="1014" spans="1:1" x14ac:dyDescent="0.3">
      <c r="A1014" s="44"/>
    </row>
    <row r="1015" spans="1:1" x14ac:dyDescent="0.3">
      <c r="A1015" s="44"/>
    </row>
    <row r="1016" spans="1:1" x14ac:dyDescent="0.3">
      <c r="A1016" s="44"/>
    </row>
    <row r="1017" spans="1:1" x14ac:dyDescent="0.3">
      <c r="A1017" s="44"/>
    </row>
    <row r="1018" spans="1:1" x14ac:dyDescent="0.3">
      <c r="A1018" s="44"/>
    </row>
    <row r="1019" spans="1:1" x14ac:dyDescent="0.3">
      <c r="A1019" s="44"/>
    </row>
    <row r="1020" spans="1:1" x14ac:dyDescent="0.3">
      <c r="A1020" s="44"/>
    </row>
    <row r="1021" spans="1:1" x14ac:dyDescent="0.3">
      <c r="A1021" s="44"/>
    </row>
    <row r="1022" spans="1:1" x14ac:dyDescent="0.3">
      <c r="A1022" s="44"/>
    </row>
    <row r="1023" spans="1:1" x14ac:dyDescent="0.3">
      <c r="A1023" s="44"/>
    </row>
    <row r="1024" spans="1:1" x14ac:dyDescent="0.3">
      <c r="A1024" s="44"/>
    </row>
    <row r="1025" spans="1:1" x14ac:dyDescent="0.3">
      <c r="A1025" s="44"/>
    </row>
    <row r="1026" spans="1:1" x14ac:dyDescent="0.3">
      <c r="A1026" s="44"/>
    </row>
    <row r="1027" spans="1:1" x14ac:dyDescent="0.3">
      <c r="A1027" s="44"/>
    </row>
    <row r="1028" spans="1:1" x14ac:dyDescent="0.3">
      <c r="A1028" s="44"/>
    </row>
    <row r="1029" spans="1:1" x14ac:dyDescent="0.3">
      <c r="A1029" s="44"/>
    </row>
    <row r="1030" spans="1:1" x14ac:dyDescent="0.3">
      <c r="A1030" s="44"/>
    </row>
    <row r="1031" spans="1:1" x14ac:dyDescent="0.3">
      <c r="A1031" s="44"/>
    </row>
    <row r="1032" spans="1:1" x14ac:dyDescent="0.3">
      <c r="A1032" s="44"/>
    </row>
    <row r="1033" spans="1:1" x14ac:dyDescent="0.3">
      <c r="A1033" s="44"/>
    </row>
    <row r="1034" spans="1:1" x14ac:dyDescent="0.3">
      <c r="A1034" s="44"/>
    </row>
    <row r="1035" spans="1:1" x14ac:dyDescent="0.3">
      <c r="A1035" s="44"/>
    </row>
    <row r="1036" spans="1:1" x14ac:dyDescent="0.3">
      <c r="A1036" s="44"/>
    </row>
    <row r="1037" spans="1:1" x14ac:dyDescent="0.3">
      <c r="A1037" s="44"/>
    </row>
    <row r="1038" spans="1:1" x14ac:dyDescent="0.3">
      <c r="A1038" s="44"/>
    </row>
    <row r="1039" spans="1:1" x14ac:dyDescent="0.3">
      <c r="A1039" s="44"/>
    </row>
    <row r="1040" spans="1:1" x14ac:dyDescent="0.3">
      <c r="A1040" s="44"/>
    </row>
    <row r="1041" spans="1:1" x14ac:dyDescent="0.3">
      <c r="A1041" s="44"/>
    </row>
    <row r="1042" spans="1:1" x14ac:dyDescent="0.3">
      <c r="A1042" s="44"/>
    </row>
    <row r="1043" spans="1:1" x14ac:dyDescent="0.3">
      <c r="A1043" s="44"/>
    </row>
    <row r="1044" spans="1:1" x14ac:dyDescent="0.3">
      <c r="A1044" s="44"/>
    </row>
    <row r="1045" spans="1:1" x14ac:dyDescent="0.3">
      <c r="A1045" s="44"/>
    </row>
    <row r="1046" spans="1:1" x14ac:dyDescent="0.3">
      <c r="A1046" s="44"/>
    </row>
    <row r="1047" spans="1:1" x14ac:dyDescent="0.3">
      <c r="A1047" s="44"/>
    </row>
    <row r="1048" spans="1:1" x14ac:dyDescent="0.3">
      <c r="A1048" s="44"/>
    </row>
    <row r="1049" spans="1:1" x14ac:dyDescent="0.3">
      <c r="A1049" s="44"/>
    </row>
    <row r="1050" spans="1:1" x14ac:dyDescent="0.3">
      <c r="A1050" s="44"/>
    </row>
    <row r="1051" spans="1:1" x14ac:dyDescent="0.3">
      <c r="A1051" s="44"/>
    </row>
    <row r="1052" spans="1:1" x14ac:dyDescent="0.3">
      <c r="A1052" s="44"/>
    </row>
    <row r="1053" spans="1:1" x14ac:dyDescent="0.3">
      <c r="A1053" s="44"/>
    </row>
    <row r="1054" spans="1:1" x14ac:dyDescent="0.3">
      <c r="A1054" s="44"/>
    </row>
    <row r="1055" spans="1:1" x14ac:dyDescent="0.3">
      <c r="A1055" s="44"/>
    </row>
    <row r="1056" spans="1:1" x14ac:dyDescent="0.3">
      <c r="A1056" s="44"/>
    </row>
    <row r="1057" spans="1:1" x14ac:dyDescent="0.3">
      <c r="A1057" s="44"/>
    </row>
    <row r="1058" spans="1:1" x14ac:dyDescent="0.3">
      <c r="A1058" s="44"/>
    </row>
    <row r="1059" spans="1:1" x14ac:dyDescent="0.3">
      <c r="A1059" s="44"/>
    </row>
    <row r="1060" spans="1:1" x14ac:dyDescent="0.3">
      <c r="A1060" s="44"/>
    </row>
    <row r="1061" spans="1:1" x14ac:dyDescent="0.3">
      <c r="A1061" s="44"/>
    </row>
    <row r="1062" spans="1:1" x14ac:dyDescent="0.3">
      <c r="A1062" s="44"/>
    </row>
    <row r="1063" spans="1:1" x14ac:dyDescent="0.3">
      <c r="A1063" s="44"/>
    </row>
    <row r="1064" spans="1:1" x14ac:dyDescent="0.3">
      <c r="A1064" s="44"/>
    </row>
    <row r="1065" spans="1:1" x14ac:dyDescent="0.3">
      <c r="A1065" s="44"/>
    </row>
    <row r="1066" spans="1:1" x14ac:dyDescent="0.3">
      <c r="A1066" s="44"/>
    </row>
    <row r="1067" spans="1:1" x14ac:dyDescent="0.3">
      <c r="A1067" s="44"/>
    </row>
    <row r="1068" spans="1:1" x14ac:dyDescent="0.3">
      <c r="A1068" s="44"/>
    </row>
    <row r="1069" spans="1:1" x14ac:dyDescent="0.3">
      <c r="A1069" s="44"/>
    </row>
    <row r="1070" spans="1:1" x14ac:dyDescent="0.3">
      <c r="A1070" s="44"/>
    </row>
    <row r="1071" spans="1:1" x14ac:dyDescent="0.3">
      <c r="A1071" s="44"/>
    </row>
    <row r="1072" spans="1:1" x14ac:dyDescent="0.3">
      <c r="A1072" s="44"/>
    </row>
    <row r="1073" spans="1:1" x14ac:dyDescent="0.3">
      <c r="A1073" s="44"/>
    </row>
    <row r="1074" spans="1:1" x14ac:dyDescent="0.3">
      <c r="A1074" s="44"/>
    </row>
    <row r="1075" spans="1:1" x14ac:dyDescent="0.3">
      <c r="A1075" s="44"/>
    </row>
    <row r="1076" spans="1:1" x14ac:dyDescent="0.3">
      <c r="A1076" s="44"/>
    </row>
    <row r="1077" spans="1:1" x14ac:dyDescent="0.3">
      <c r="A1077" s="44"/>
    </row>
    <row r="1078" spans="1:1" x14ac:dyDescent="0.3">
      <c r="A1078" s="44"/>
    </row>
    <row r="1079" spans="1:1" x14ac:dyDescent="0.3">
      <c r="A1079" s="44"/>
    </row>
    <row r="1080" spans="1:1" x14ac:dyDescent="0.3">
      <c r="A1080" s="44"/>
    </row>
    <row r="1081" spans="1:1" x14ac:dyDescent="0.3">
      <c r="A1081" s="44"/>
    </row>
    <row r="1082" spans="1:1" x14ac:dyDescent="0.3">
      <c r="A1082" s="44"/>
    </row>
    <row r="1083" spans="1:1" x14ac:dyDescent="0.3">
      <c r="A1083" s="44"/>
    </row>
    <row r="1084" spans="1:1" x14ac:dyDescent="0.3">
      <c r="A1084" s="44"/>
    </row>
    <row r="1085" spans="1:1" x14ac:dyDescent="0.3">
      <c r="A1085" s="44"/>
    </row>
    <row r="1086" spans="1:1" x14ac:dyDescent="0.3">
      <c r="A1086" s="44"/>
    </row>
    <row r="1087" spans="1:1" x14ac:dyDescent="0.3">
      <c r="A1087" s="44"/>
    </row>
    <row r="1088" spans="1:1" x14ac:dyDescent="0.3">
      <c r="A1088" s="44"/>
    </row>
    <row r="1089" spans="1:1" x14ac:dyDescent="0.3">
      <c r="A1089" s="44"/>
    </row>
    <row r="1090" spans="1:1" x14ac:dyDescent="0.3">
      <c r="A1090" s="44"/>
    </row>
    <row r="1091" spans="1:1" x14ac:dyDescent="0.3">
      <c r="A1091" s="44"/>
    </row>
    <row r="1092" spans="1:1" x14ac:dyDescent="0.3">
      <c r="A1092" s="44"/>
    </row>
    <row r="1093" spans="1:1" x14ac:dyDescent="0.3">
      <c r="A1093" s="44"/>
    </row>
    <row r="1094" spans="1:1" x14ac:dyDescent="0.3">
      <c r="A1094" s="44"/>
    </row>
    <row r="1095" spans="1:1" x14ac:dyDescent="0.3">
      <c r="A1095" s="44"/>
    </row>
    <row r="1096" spans="1:1" x14ac:dyDescent="0.3">
      <c r="A1096" s="44"/>
    </row>
    <row r="1097" spans="1:1" x14ac:dyDescent="0.3">
      <c r="A1097" s="44"/>
    </row>
    <row r="1098" spans="1:1" x14ac:dyDescent="0.3">
      <c r="A1098" s="44"/>
    </row>
    <row r="1099" spans="1:1" x14ac:dyDescent="0.3">
      <c r="A1099" s="44"/>
    </row>
    <row r="1100" spans="1:1" x14ac:dyDescent="0.3">
      <c r="A1100" s="44"/>
    </row>
    <row r="1101" spans="1:1" x14ac:dyDescent="0.3">
      <c r="A1101" s="44"/>
    </row>
    <row r="1102" spans="1:1" x14ac:dyDescent="0.3">
      <c r="A1102" s="44"/>
    </row>
    <row r="1103" spans="1:1" x14ac:dyDescent="0.3">
      <c r="A1103" s="44"/>
    </row>
    <row r="1104" spans="1:1" x14ac:dyDescent="0.3">
      <c r="A1104" s="44"/>
    </row>
    <row r="1105" spans="1:1" x14ac:dyDescent="0.3">
      <c r="A1105" s="44"/>
    </row>
    <row r="1106" spans="1:1" x14ac:dyDescent="0.3">
      <c r="A1106" s="44"/>
    </row>
    <row r="1107" spans="1:1" x14ac:dyDescent="0.3">
      <c r="A1107" s="44"/>
    </row>
    <row r="1108" spans="1:1" x14ac:dyDescent="0.3">
      <c r="A1108" s="44"/>
    </row>
    <row r="1109" spans="1:1" x14ac:dyDescent="0.3">
      <c r="A1109" s="44"/>
    </row>
    <row r="1110" spans="1:1" x14ac:dyDescent="0.3">
      <c r="A1110" s="44"/>
    </row>
    <row r="1111" spans="1:1" x14ac:dyDescent="0.3">
      <c r="A1111" s="44"/>
    </row>
    <row r="1112" spans="1:1" x14ac:dyDescent="0.3">
      <c r="A1112" s="44"/>
    </row>
    <row r="1113" spans="1:1" x14ac:dyDescent="0.3">
      <c r="A1113" s="44"/>
    </row>
    <row r="1114" spans="1:1" x14ac:dyDescent="0.3">
      <c r="A1114" s="44"/>
    </row>
    <row r="1115" spans="1:1" x14ac:dyDescent="0.3">
      <c r="A1115" s="44"/>
    </row>
    <row r="1116" spans="1:1" x14ac:dyDescent="0.3">
      <c r="A1116" s="44"/>
    </row>
    <row r="1117" spans="1:1" x14ac:dyDescent="0.3">
      <c r="A1117" s="44"/>
    </row>
    <row r="1118" spans="1:1" x14ac:dyDescent="0.3">
      <c r="A1118" s="44"/>
    </row>
    <row r="1119" spans="1:1" x14ac:dyDescent="0.3">
      <c r="A1119" s="44"/>
    </row>
    <row r="1120" spans="1:1" x14ac:dyDescent="0.3">
      <c r="A1120" s="44"/>
    </row>
    <row r="1121" spans="1:1" x14ac:dyDescent="0.3">
      <c r="A1121" s="44"/>
    </row>
    <row r="1122" spans="1:1" x14ac:dyDescent="0.3">
      <c r="A1122" s="44"/>
    </row>
    <row r="1123" spans="1:1" x14ac:dyDescent="0.3">
      <c r="A1123" s="44"/>
    </row>
    <row r="1124" spans="1:1" x14ac:dyDescent="0.3">
      <c r="A1124" s="44"/>
    </row>
    <row r="1125" spans="1:1" x14ac:dyDescent="0.3">
      <c r="A1125" s="44"/>
    </row>
    <row r="1126" spans="1:1" x14ac:dyDescent="0.3">
      <c r="A1126" s="44"/>
    </row>
    <row r="1127" spans="1:1" x14ac:dyDescent="0.3">
      <c r="A1127" s="44"/>
    </row>
    <row r="1128" spans="1:1" x14ac:dyDescent="0.3">
      <c r="A1128" s="44"/>
    </row>
    <row r="1129" spans="1:1" x14ac:dyDescent="0.3">
      <c r="A1129" s="44"/>
    </row>
    <row r="1130" spans="1:1" x14ac:dyDescent="0.3">
      <c r="A1130" s="44"/>
    </row>
    <row r="1131" spans="1:1" x14ac:dyDescent="0.3">
      <c r="A1131" s="44"/>
    </row>
    <row r="1132" spans="1:1" x14ac:dyDescent="0.3">
      <c r="A1132" s="44"/>
    </row>
    <row r="1133" spans="1:1" x14ac:dyDescent="0.3">
      <c r="A1133" s="44"/>
    </row>
    <row r="1134" spans="1:1" x14ac:dyDescent="0.3">
      <c r="A1134" s="44"/>
    </row>
    <row r="1135" spans="1:1" x14ac:dyDescent="0.3">
      <c r="A1135" s="44"/>
    </row>
    <row r="1136" spans="1:1" x14ac:dyDescent="0.3">
      <c r="A1136" s="44"/>
    </row>
    <row r="1137" spans="1:1" x14ac:dyDescent="0.3">
      <c r="A1137" s="44"/>
    </row>
    <row r="1138" spans="1:1" x14ac:dyDescent="0.3">
      <c r="A1138" s="44"/>
    </row>
    <row r="1139" spans="1:1" x14ac:dyDescent="0.3">
      <c r="A1139" s="44"/>
    </row>
    <row r="1140" spans="1:1" x14ac:dyDescent="0.3">
      <c r="A1140" s="44"/>
    </row>
    <row r="1141" spans="1:1" x14ac:dyDescent="0.3">
      <c r="A1141" s="44"/>
    </row>
    <row r="1142" spans="1:1" x14ac:dyDescent="0.3">
      <c r="A1142" s="44"/>
    </row>
    <row r="1143" spans="1:1" x14ac:dyDescent="0.3">
      <c r="A1143" s="44"/>
    </row>
    <row r="1144" spans="1:1" x14ac:dyDescent="0.3">
      <c r="A1144" s="44"/>
    </row>
    <row r="1145" spans="1:1" x14ac:dyDescent="0.3">
      <c r="A1145" s="44"/>
    </row>
    <row r="1146" spans="1:1" x14ac:dyDescent="0.3">
      <c r="A1146" s="44"/>
    </row>
    <row r="1147" spans="1:1" x14ac:dyDescent="0.3">
      <c r="A1147" s="44"/>
    </row>
    <row r="1148" spans="1:1" x14ac:dyDescent="0.3">
      <c r="A1148" s="44"/>
    </row>
    <row r="1149" spans="1:1" x14ac:dyDescent="0.3">
      <c r="A1149" s="44"/>
    </row>
    <row r="1150" spans="1:1" x14ac:dyDescent="0.3">
      <c r="A1150" s="44"/>
    </row>
    <row r="1151" spans="1:1" x14ac:dyDescent="0.3">
      <c r="A1151" s="44"/>
    </row>
    <row r="1152" spans="1:1" x14ac:dyDescent="0.3">
      <c r="A1152" s="44"/>
    </row>
    <row r="1153" spans="1:1" x14ac:dyDescent="0.3">
      <c r="A1153" s="44"/>
    </row>
    <row r="1154" spans="1:1" x14ac:dyDescent="0.3">
      <c r="A1154" s="44"/>
    </row>
    <row r="1155" spans="1:1" x14ac:dyDescent="0.3">
      <c r="A1155" s="44"/>
    </row>
    <row r="1156" spans="1:1" x14ac:dyDescent="0.3">
      <c r="A1156" s="44"/>
    </row>
    <row r="1157" spans="1:1" x14ac:dyDescent="0.3">
      <c r="A1157" s="44"/>
    </row>
    <row r="1158" spans="1:1" x14ac:dyDescent="0.3">
      <c r="A1158" s="44"/>
    </row>
    <row r="1159" spans="1:1" x14ac:dyDescent="0.3">
      <c r="A1159" s="44"/>
    </row>
    <row r="1160" spans="1:1" x14ac:dyDescent="0.3">
      <c r="A1160" s="44"/>
    </row>
    <row r="1161" spans="1:1" x14ac:dyDescent="0.3">
      <c r="A1161" s="44"/>
    </row>
    <row r="1162" spans="1:1" x14ac:dyDescent="0.3">
      <c r="A1162" s="44"/>
    </row>
    <row r="1163" spans="1:1" x14ac:dyDescent="0.3">
      <c r="A1163" s="44"/>
    </row>
    <row r="1164" spans="1:1" x14ac:dyDescent="0.3">
      <c r="A1164" s="44"/>
    </row>
    <row r="1165" spans="1:1" x14ac:dyDescent="0.3">
      <c r="A1165" s="44"/>
    </row>
    <row r="1166" spans="1:1" x14ac:dyDescent="0.3">
      <c r="A1166" s="44"/>
    </row>
    <row r="1167" spans="1:1" x14ac:dyDescent="0.3">
      <c r="A1167" s="44"/>
    </row>
    <row r="1168" spans="1:1" x14ac:dyDescent="0.3">
      <c r="A1168" s="44"/>
    </row>
    <row r="1169" spans="1:1" x14ac:dyDescent="0.3">
      <c r="A1169" s="44"/>
    </row>
    <row r="1170" spans="1:1" x14ac:dyDescent="0.3">
      <c r="A1170" s="44"/>
    </row>
    <row r="1171" spans="1:1" x14ac:dyDescent="0.3">
      <c r="A1171" s="44"/>
    </row>
    <row r="1172" spans="1:1" x14ac:dyDescent="0.3">
      <c r="A1172" s="44"/>
    </row>
    <row r="1173" spans="1:1" x14ac:dyDescent="0.3">
      <c r="A1173" s="44"/>
    </row>
    <row r="1174" spans="1:1" x14ac:dyDescent="0.3">
      <c r="A1174" s="44"/>
    </row>
    <row r="1175" spans="1:1" x14ac:dyDescent="0.3">
      <c r="A1175" s="44"/>
    </row>
    <row r="1176" spans="1:1" x14ac:dyDescent="0.3">
      <c r="A1176" s="44"/>
    </row>
    <row r="1177" spans="1:1" x14ac:dyDescent="0.3">
      <c r="A1177" s="44"/>
    </row>
    <row r="1178" spans="1:1" x14ac:dyDescent="0.3">
      <c r="A1178" s="44"/>
    </row>
    <row r="1179" spans="1:1" x14ac:dyDescent="0.3">
      <c r="A1179" s="44"/>
    </row>
    <row r="1180" spans="1:1" x14ac:dyDescent="0.3">
      <c r="A1180" s="44"/>
    </row>
    <row r="1181" spans="1:1" x14ac:dyDescent="0.3">
      <c r="A1181" s="44"/>
    </row>
    <row r="1182" spans="1:1" x14ac:dyDescent="0.3">
      <c r="A1182" s="44"/>
    </row>
    <row r="1183" spans="1:1" x14ac:dyDescent="0.3">
      <c r="A1183" s="44"/>
    </row>
    <row r="1184" spans="1:1" x14ac:dyDescent="0.3">
      <c r="A1184" s="44"/>
    </row>
    <row r="1185" spans="1:1" x14ac:dyDescent="0.3">
      <c r="A1185" s="44"/>
    </row>
    <row r="1186" spans="1:1" x14ac:dyDescent="0.3">
      <c r="A1186" s="44"/>
    </row>
    <row r="1187" spans="1:1" x14ac:dyDescent="0.3">
      <c r="A1187" s="44"/>
    </row>
    <row r="1188" spans="1:1" x14ac:dyDescent="0.3">
      <c r="A1188" s="44"/>
    </row>
    <row r="1189" spans="1:1" x14ac:dyDescent="0.3">
      <c r="A1189" s="44"/>
    </row>
    <row r="1190" spans="1:1" x14ac:dyDescent="0.3">
      <c r="A1190" s="44"/>
    </row>
    <row r="1191" spans="1:1" x14ac:dyDescent="0.3">
      <c r="A1191" s="44"/>
    </row>
    <row r="1192" spans="1:1" x14ac:dyDescent="0.3">
      <c r="A1192" s="44"/>
    </row>
    <row r="1193" spans="1:1" x14ac:dyDescent="0.3">
      <c r="A1193" s="44"/>
    </row>
    <row r="1194" spans="1:1" x14ac:dyDescent="0.3">
      <c r="A1194" s="44"/>
    </row>
    <row r="1195" spans="1:1" x14ac:dyDescent="0.3">
      <c r="A1195" s="44"/>
    </row>
    <row r="1196" spans="1:1" x14ac:dyDescent="0.3">
      <c r="A1196" s="44"/>
    </row>
    <row r="1197" spans="1:1" x14ac:dyDescent="0.3">
      <c r="A1197" s="44"/>
    </row>
    <row r="1198" spans="1:1" x14ac:dyDescent="0.3">
      <c r="A1198" s="44"/>
    </row>
    <row r="1199" spans="1:1" x14ac:dyDescent="0.3">
      <c r="A1199" s="44"/>
    </row>
    <row r="1200" spans="1:1" x14ac:dyDescent="0.3">
      <c r="A1200" s="44"/>
    </row>
    <row r="1201" spans="1:1" x14ac:dyDescent="0.3">
      <c r="A1201" s="44"/>
    </row>
    <row r="1202" spans="1:1" x14ac:dyDescent="0.3">
      <c r="A1202" s="44"/>
    </row>
    <row r="1203" spans="1:1" x14ac:dyDescent="0.3">
      <c r="A1203" s="44"/>
    </row>
    <row r="1204" spans="1:1" x14ac:dyDescent="0.3">
      <c r="A1204" s="44"/>
    </row>
    <row r="1205" spans="1:1" x14ac:dyDescent="0.3">
      <c r="A1205" s="44"/>
    </row>
    <row r="1206" spans="1:1" x14ac:dyDescent="0.3">
      <c r="A1206" s="44"/>
    </row>
    <row r="1207" spans="1:1" x14ac:dyDescent="0.3">
      <c r="A1207" s="44"/>
    </row>
    <row r="1208" spans="1:1" x14ac:dyDescent="0.3">
      <c r="A1208" s="44"/>
    </row>
    <row r="1209" spans="1:1" x14ac:dyDescent="0.3">
      <c r="A1209" s="44"/>
    </row>
    <row r="1210" spans="1:1" x14ac:dyDescent="0.3">
      <c r="A1210" s="44"/>
    </row>
    <row r="1211" spans="1:1" x14ac:dyDescent="0.3">
      <c r="A1211" s="44"/>
    </row>
    <row r="1212" spans="1:1" x14ac:dyDescent="0.3">
      <c r="A1212" s="44"/>
    </row>
    <row r="1213" spans="1:1" x14ac:dyDescent="0.3">
      <c r="A1213" s="44"/>
    </row>
    <row r="1214" spans="1:1" x14ac:dyDescent="0.3">
      <c r="A1214" s="44"/>
    </row>
    <row r="1215" spans="1:1" x14ac:dyDescent="0.3">
      <c r="A1215" s="44"/>
    </row>
    <row r="1216" spans="1:1" x14ac:dyDescent="0.3">
      <c r="A1216" s="44"/>
    </row>
    <row r="1217" spans="1:1" x14ac:dyDescent="0.3">
      <c r="A1217" s="44"/>
    </row>
    <row r="1218" spans="1:1" x14ac:dyDescent="0.3">
      <c r="A1218" s="44"/>
    </row>
    <row r="1219" spans="1:1" x14ac:dyDescent="0.3">
      <c r="A1219" s="44"/>
    </row>
    <row r="1220" spans="1:1" x14ac:dyDescent="0.3">
      <c r="A1220" s="44"/>
    </row>
    <row r="1221" spans="1:1" x14ac:dyDescent="0.3">
      <c r="A1221" s="44"/>
    </row>
    <row r="1222" spans="1:1" x14ac:dyDescent="0.3">
      <c r="A1222" s="44"/>
    </row>
    <row r="1223" spans="1:1" x14ac:dyDescent="0.3">
      <c r="A1223" s="44"/>
    </row>
    <row r="1224" spans="1:1" x14ac:dyDescent="0.3">
      <c r="A1224" s="44"/>
    </row>
    <row r="1225" spans="1:1" x14ac:dyDescent="0.3">
      <c r="A1225" s="44"/>
    </row>
    <row r="1226" spans="1:1" x14ac:dyDescent="0.3">
      <c r="A1226" s="44"/>
    </row>
    <row r="1227" spans="1:1" x14ac:dyDescent="0.3">
      <c r="A1227" s="44"/>
    </row>
    <row r="1228" spans="1:1" x14ac:dyDescent="0.3">
      <c r="A1228" s="44"/>
    </row>
    <row r="1229" spans="1:1" x14ac:dyDescent="0.3">
      <c r="A1229" s="44"/>
    </row>
    <row r="1230" spans="1:1" x14ac:dyDescent="0.3">
      <c r="A1230" s="44"/>
    </row>
    <row r="1231" spans="1:1" x14ac:dyDescent="0.3">
      <c r="A1231" s="44"/>
    </row>
    <row r="1232" spans="1:1" x14ac:dyDescent="0.3">
      <c r="A1232" s="44"/>
    </row>
    <row r="1233" spans="1:1" x14ac:dyDescent="0.3">
      <c r="A1233" s="44"/>
    </row>
    <row r="1234" spans="1:1" x14ac:dyDescent="0.3">
      <c r="A1234" s="44"/>
    </row>
    <row r="1235" spans="1:1" x14ac:dyDescent="0.3">
      <c r="A1235" s="44"/>
    </row>
    <row r="1236" spans="1:1" x14ac:dyDescent="0.3">
      <c r="A1236" s="44"/>
    </row>
    <row r="1237" spans="1:1" x14ac:dyDescent="0.3">
      <c r="A1237" s="44"/>
    </row>
    <row r="1238" spans="1:1" x14ac:dyDescent="0.3">
      <c r="A1238" s="44"/>
    </row>
    <row r="1239" spans="1:1" x14ac:dyDescent="0.3">
      <c r="A1239" s="44"/>
    </row>
    <row r="1240" spans="1:1" x14ac:dyDescent="0.3">
      <c r="A1240" s="44"/>
    </row>
    <row r="1241" spans="1:1" x14ac:dyDescent="0.3">
      <c r="A1241" s="44"/>
    </row>
    <row r="1242" spans="1:1" x14ac:dyDescent="0.3">
      <c r="A1242" s="44"/>
    </row>
    <row r="1243" spans="1:1" x14ac:dyDescent="0.3">
      <c r="A1243" s="44"/>
    </row>
    <row r="1244" spans="1:1" x14ac:dyDescent="0.3">
      <c r="A1244" s="44"/>
    </row>
    <row r="1245" spans="1:1" x14ac:dyDescent="0.3">
      <c r="A1245" s="44"/>
    </row>
    <row r="1246" spans="1:1" x14ac:dyDescent="0.3">
      <c r="A1246" s="44"/>
    </row>
    <row r="1247" spans="1:1" x14ac:dyDescent="0.3">
      <c r="A1247" s="44"/>
    </row>
    <row r="1248" spans="1:1" x14ac:dyDescent="0.3">
      <c r="A1248" s="44"/>
    </row>
    <row r="1249" spans="1:1" x14ac:dyDescent="0.3">
      <c r="A1249" s="44"/>
    </row>
    <row r="1250" spans="1:1" x14ac:dyDescent="0.3">
      <c r="A1250" s="44"/>
    </row>
    <row r="1251" spans="1:1" x14ac:dyDescent="0.3">
      <c r="A1251" s="44"/>
    </row>
    <row r="1252" spans="1:1" x14ac:dyDescent="0.3">
      <c r="A1252" s="44"/>
    </row>
    <row r="1253" spans="1:1" x14ac:dyDescent="0.3">
      <c r="A1253" s="44"/>
    </row>
    <row r="1254" spans="1:1" x14ac:dyDescent="0.3">
      <c r="A1254" s="44"/>
    </row>
    <row r="1255" spans="1:1" x14ac:dyDescent="0.3">
      <c r="A1255" s="44"/>
    </row>
    <row r="1256" spans="1:1" x14ac:dyDescent="0.3">
      <c r="A1256" s="44"/>
    </row>
    <row r="1257" spans="1:1" x14ac:dyDescent="0.3">
      <c r="A1257" s="44"/>
    </row>
    <row r="1258" spans="1:1" x14ac:dyDescent="0.3">
      <c r="A1258" s="44"/>
    </row>
    <row r="1259" spans="1:1" x14ac:dyDescent="0.3">
      <c r="A1259" s="44"/>
    </row>
    <row r="1260" spans="1:1" x14ac:dyDescent="0.3">
      <c r="A1260" s="44"/>
    </row>
    <row r="1261" spans="1:1" x14ac:dyDescent="0.3">
      <c r="A1261" s="44"/>
    </row>
    <row r="1262" spans="1:1" x14ac:dyDescent="0.3">
      <c r="A1262" s="44"/>
    </row>
    <row r="1263" spans="1:1" x14ac:dyDescent="0.3">
      <c r="A1263" s="44"/>
    </row>
    <row r="1264" spans="1:1" x14ac:dyDescent="0.3">
      <c r="A1264" s="44"/>
    </row>
    <row r="1265" spans="1:1" x14ac:dyDescent="0.3">
      <c r="A1265" s="44"/>
    </row>
    <row r="1266" spans="1:1" x14ac:dyDescent="0.3">
      <c r="A1266" s="44"/>
    </row>
    <row r="1267" spans="1:1" x14ac:dyDescent="0.3">
      <c r="A1267" s="44"/>
    </row>
    <row r="1268" spans="1:1" x14ac:dyDescent="0.3">
      <c r="A1268" s="44"/>
    </row>
    <row r="1269" spans="1:1" x14ac:dyDescent="0.3">
      <c r="A1269" s="44"/>
    </row>
    <row r="1270" spans="1:1" x14ac:dyDescent="0.3">
      <c r="A1270" s="44"/>
    </row>
    <row r="1271" spans="1:1" x14ac:dyDescent="0.3">
      <c r="A1271" s="44"/>
    </row>
    <row r="1272" spans="1:1" x14ac:dyDescent="0.3">
      <c r="A1272" s="44"/>
    </row>
    <row r="1273" spans="1:1" x14ac:dyDescent="0.3">
      <c r="A1273" s="44"/>
    </row>
    <row r="1274" spans="1:1" x14ac:dyDescent="0.3">
      <c r="A1274" s="44"/>
    </row>
    <row r="1275" spans="1:1" x14ac:dyDescent="0.3">
      <c r="A1275" s="44"/>
    </row>
    <row r="1276" spans="1:1" x14ac:dyDescent="0.3">
      <c r="A1276" s="44"/>
    </row>
    <row r="1277" spans="1:1" x14ac:dyDescent="0.3">
      <c r="A1277" s="44"/>
    </row>
    <row r="1278" spans="1:1" x14ac:dyDescent="0.3">
      <c r="A1278" s="44"/>
    </row>
    <row r="1279" spans="1:1" x14ac:dyDescent="0.3">
      <c r="A1279" s="44"/>
    </row>
    <row r="1280" spans="1:1" x14ac:dyDescent="0.3">
      <c r="A1280" s="44"/>
    </row>
    <row r="1281" spans="1:1" x14ac:dyDescent="0.3">
      <c r="A1281" s="44"/>
    </row>
    <row r="1282" spans="1:1" x14ac:dyDescent="0.3">
      <c r="A1282" s="44"/>
    </row>
    <row r="1283" spans="1:1" x14ac:dyDescent="0.3">
      <c r="A1283" s="44"/>
    </row>
    <row r="1284" spans="1:1" x14ac:dyDescent="0.3">
      <c r="A1284" s="44"/>
    </row>
    <row r="1285" spans="1:1" x14ac:dyDescent="0.3">
      <c r="A1285" s="44"/>
    </row>
    <row r="1286" spans="1:1" x14ac:dyDescent="0.3">
      <c r="A1286" s="44"/>
    </row>
    <row r="1287" spans="1:1" x14ac:dyDescent="0.3">
      <c r="A1287" s="44"/>
    </row>
    <row r="1288" spans="1:1" x14ac:dyDescent="0.3">
      <c r="A1288" s="44"/>
    </row>
    <row r="1289" spans="1:1" x14ac:dyDescent="0.3">
      <c r="A1289" s="44"/>
    </row>
    <row r="1290" spans="1:1" x14ac:dyDescent="0.3">
      <c r="A1290" s="44"/>
    </row>
    <row r="1291" spans="1:1" x14ac:dyDescent="0.3">
      <c r="A1291" s="44"/>
    </row>
    <row r="1292" spans="1:1" x14ac:dyDescent="0.3">
      <c r="A1292" s="44"/>
    </row>
    <row r="1293" spans="1:1" x14ac:dyDescent="0.3">
      <c r="A1293" s="44"/>
    </row>
    <row r="1294" spans="1:1" x14ac:dyDescent="0.3">
      <c r="A1294" s="44"/>
    </row>
    <row r="1295" spans="1:1" x14ac:dyDescent="0.3">
      <c r="A1295" s="44"/>
    </row>
    <row r="1296" spans="1:1" x14ac:dyDescent="0.3">
      <c r="A1296" s="44"/>
    </row>
    <row r="1297" spans="1:1" x14ac:dyDescent="0.3">
      <c r="A1297" s="44"/>
    </row>
    <row r="1298" spans="1:1" x14ac:dyDescent="0.3">
      <c r="A1298" s="44"/>
    </row>
    <row r="1299" spans="1:1" x14ac:dyDescent="0.3">
      <c r="A1299" s="44"/>
    </row>
    <row r="1300" spans="1:1" x14ac:dyDescent="0.3">
      <c r="A1300" s="44"/>
    </row>
    <row r="1301" spans="1:1" x14ac:dyDescent="0.3">
      <c r="A1301" s="44"/>
    </row>
    <row r="1302" spans="1:1" x14ac:dyDescent="0.3">
      <c r="A1302" s="44"/>
    </row>
    <row r="1303" spans="1:1" x14ac:dyDescent="0.3">
      <c r="A1303" s="44"/>
    </row>
    <row r="1304" spans="1:1" x14ac:dyDescent="0.3">
      <c r="A1304" s="44"/>
    </row>
    <row r="1305" spans="1:1" x14ac:dyDescent="0.3">
      <c r="A1305" s="44"/>
    </row>
    <row r="1306" spans="1:1" x14ac:dyDescent="0.3">
      <c r="A1306" s="44"/>
    </row>
    <row r="1307" spans="1:1" x14ac:dyDescent="0.3">
      <c r="A1307" s="44"/>
    </row>
    <row r="1308" spans="1:1" x14ac:dyDescent="0.3">
      <c r="A1308" s="44"/>
    </row>
    <row r="1309" spans="1:1" x14ac:dyDescent="0.3">
      <c r="A1309" s="44"/>
    </row>
    <row r="1310" spans="1:1" x14ac:dyDescent="0.3">
      <c r="A1310" s="44"/>
    </row>
    <row r="1311" spans="1:1" x14ac:dyDescent="0.3">
      <c r="A1311" s="44"/>
    </row>
    <row r="1312" spans="1:1" x14ac:dyDescent="0.3">
      <c r="A1312" s="44"/>
    </row>
    <row r="1313" spans="1:1" x14ac:dyDescent="0.3">
      <c r="A1313" s="44"/>
    </row>
    <row r="1314" spans="1:1" x14ac:dyDescent="0.3">
      <c r="A1314" s="44"/>
    </row>
    <row r="1315" spans="1:1" x14ac:dyDescent="0.3">
      <c r="A1315" s="44"/>
    </row>
    <row r="1316" spans="1:1" x14ac:dyDescent="0.3">
      <c r="A1316" s="44"/>
    </row>
    <row r="1317" spans="1:1" x14ac:dyDescent="0.3">
      <c r="A1317" s="44"/>
    </row>
    <row r="1318" spans="1:1" x14ac:dyDescent="0.3">
      <c r="A1318" s="44"/>
    </row>
    <row r="1319" spans="1:1" x14ac:dyDescent="0.3">
      <c r="A1319" s="44"/>
    </row>
    <row r="1320" spans="1:1" x14ac:dyDescent="0.3">
      <c r="A1320" s="44"/>
    </row>
    <row r="1321" spans="1:1" x14ac:dyDescent="0.3">
      <c r="A1321" s="44"/>
    </row>
    <row r="1322" spans="1:1" x14ac:dyDescent="0.3">
      <c r="A1322" s="44"/>
    </row>
    <row r="1323" spans="1:1" x14ac:dyDescent="0.3">
      <c r="A1323" s="44"/>
    </row>
    <row r="1324" spans="1:1" x14ac:dyDescent="0.3">
      <c r="A1324" s="44"/>
    </row>
    <row r="1325" spans="1:1" x14ac:dyDescent="0.3">
      <c r="A1325" s="44"/>
    </row>
    <row r="1326" spans="1:1" x14ac:dyDescent="0.3">
      <c r="A1326" s="44"/>
    </row>
    <row r="1327" spans="1:1" x14ac:dyDescent="0.3">
      <c r="A1327" s="44"/>
    </row>
    <row r="1328" spans="1:1" x14ac:dyDescent="0.3">
      <c r="A1328" s="44"/>
    </row>
    <row r="1329" spans="1:1" x14ac:dyDescent="0.3">
      <c r="A1329" s="44"/>
    </row>
    <row r="1330" spans="1:1" x14ac:dyDescent="0.3">
      <c r="A1330" s="44"/>
    </row>
    <row r="1331" spans="1:1" x14ac:dyDescent="0.3">
      <c r="A1331" s="44"/>
    </row>
    <row r="1332" spans="1:1" x14ac:dyDescent="0.3">
      <c r="A1332" s="44"/>
    </row>
    <row r="1333" spans="1:1" x14ac:dyDescent="0.3">
      <c r="A1333" s="44"/>
    </row>
    <row r="1334" spans="1:1" x14ac:dyDescent="0.3">
      <c r="A1334" s="44"/>
    </row>
    <row r="1335" spans="1:1" x14ac:dyDescent="0.3">
      <c r="A1335" s="44"/>
    </row>
    <row r="1336" spans="1:1" x14ac:dyDescent="0.3">
      <c r="A1336" s="44"/>
    </row>
    <row r="1337" spans="1:1" x14ac:dyDescent="0.3">
      <c r="A1337" s="44"/>
    </row>
    <row r="1338" spans="1:1" x14ac:dyDescent="0.3">
      <c r="A1338" s="44"/>
    </row>
    <row r="1339" spans="1:1" x14ac:dyDescent="0.3">
      <c r="A1339" s="44"/>
    </row>
    <row r="1340" spans="1:1" x14ac:dyDescent="0.3">
      <c r="A1340" s="44"/>
    </row>
    <row r="1341" spans="1:1" x14ac:dyDescent="0.3">
      <c r="A1341" s="44"/>
    </row>
    <row r="1342" spans="1:1" x14ac:dyDescent="0.3">
      <c r="A1342" s="44"/>
    </row>
    <row r="1343" spans="1:1" x14ac:dyDescent="0.3">
      <c r="A1343" s="44"/>
    </row>
    <row r="1344" spans="1:1" x14ac:dyDescent="0.3">
      <c r="A1344" s="44"/>
    </row>
    <row r="1345" spans="1:1" x14ac:dyDescent="0.3">
      <c r="A1345" s="44"/>
    </row>
    <row r="1346" spans="1:1" x14ac:dyDescent="0.3">
      <c r="A1346" s="44"/>
    </row>
    <row r="1347" spans="1:1" x14ac:dyDescent="0.3">
      <c r="A1347" s="44"/>
    </row>
    <row r="1348" spans="1:1" x14ac:dyDescent="0.3">
      <c r="A1348" s="44"/>
    </row>
    <row r="1349" spans="1:1" x14ac:dyDescent="0.3">
      <c r="A1349" s="44"/>
    </row>
    <row r="1350" spans="1:1" x14ac:dyDescent="0.3">
      <c r="A1350" s="44"/>
    </row>
    <row r="1351" spans="1:1" x14ac:dyDescent="0.3">
      <c r="A1351" s="44"/>
    </row>
    <row r="1352" spans="1:1" x14ac:dyDescent="0.3">
      <c r="A1352" s="44"/>
    </row>
    <row r="1353" spans="1:1" x14ac:dyDescent="0.3">
      <c r="A1353" s="44"/>
    </row>
    <row r="1354" spans="1:1" x14ac:dyDescent="0.3">
      <c r="A1354" s="44"/>
    </row>
    <row r="1355" spans="1:1" x14ac:dyDescent="0.3">
      <c r="A1355" s="44"/>
    </row>
    <row r="1356" spans="1:1" x14ac:dyDescent="0.3">
      <c r="A1356" s="44"/>
    </row>
    <row r="1357" spans="1:1" x14ac:dyDescent="0.3">
      <c r="A1357" s="44"/>
    </row>
    <row r="1358" spans="1:1" x14ac:dyDescent="0.3">
      <c r="A1358" s="44"/>
    </row>
    <row r="1359" spans="1:1" x14ac:dyDescent="0.3">
      <c r="A1359" s="44"/>
    </row>
    <row r="1360" spans="1:1" x14ac:dyDescent="0.3">
      <c r="A1360" s="44"/>
    </row>
    <row r="1361" spans="1:1" x14ac:dyDescent="0.3">
      <c r="A1361" s="44"/>
    </row>
    <row r="1362" spans="1:1" x14ac:dyDescent="0.3">
      <c r="A1362" s="44"/>
    </row>
    <row r="1363" spans="1:1" x14ac:dyDescent="0.3">
      <c r="A1363" s="44"/>
    </row>
    <row r="1364" spans="1:1" x14ac:dyDescent="0.3">
      <c r="A1364" s="44"/>
    </row>
    <row r="1365" spans="1:1" x14ac:dyDescent="0.3">
      <c r="A1365" s="44"/>
    </row>
    <row r="1366" spans="1:1" x14ac:dyDescent="0.3">
      <c r="A1366" s="44"/>
    </row>
    <row r="1367" spans="1:1" x14ac:dyDescent="0.3">
      <c r="A1367" s="44"/>
    </row>
    <row r="1368" spans="1:1" x14ac:dyDescent="0.3">
      <c r="A1368" s="44"/>
    </row>
    <row r="1369" spans="1:1" x14ac:dyDescent="0.3">
      <c r="A1369" s="44"/>
    </row>
    <row r="1370" spans="1:1" x14ac:dyDescent="0.3">
      <c r="A1370" s="44"/>
    </row>
    <row r="1371" spans="1:1" x14ac:dyDescent="0.3">
      <c r="A1371" s="44"/>
    </row>
    <row r="1372" spans="1:1" x14ac:dyDescent="0.3">
      <c r="A1372" s="44"/>
    </row>
    <row r="1373" spans="1:1" x14ac:dyDescent="0.3">
      <c r="A1373" s="44"/>
    </row>
    <row r="1374" spans="1:1" x14ac:dyDescent="0.3">
      <c r="A1374" s="44"/>
    </row>
    <row r="1375" spans="1:1" x14ac:dyDescent="0.3">
      <c r="A1375" s="44"/>
    </row>
    <row r="1376" spans="1:1" x14ac:dyDescent="0.3">
      <c r="A1376" s="44"/>
    </row>
    <row r="1377" spans="1:1" x14ac:dyDescent="0.3">
      <c r="A1377" s="44"/>
    </row>
    <row r="1378" spans="1:1" x14ac:dyDescent="0.3">
      <c r="A1378" s="44"/>
    </row>
    <row r="1379" spans="1:1" x14ac:dyDescent="0.3">
      <c r="A1379" s="44"/>
    </row>
    <row r="1380" spans="1:1" x14ac:dyDescent="0.3">
      <c r="A1380" s="44"/>
    </row>
    <row r="1381" spans="1:1" x14ac:dyDescent="0.3">
      <c r="A1381" s="44"/>
    </row>
    <row r="1382" spans="1:1" x14ac:dyDescent="0.3">
      <c r="A1382" s="44"/>
    </row>
    <row r="1383" spans="1:1" x14ac:dyDescent="0.3">
      <c r="A1383" s="44"/>
    </row>
    <row r="1384" spans="1:1" x14ac:dyDescent="0.3">
      <c r="A1384" s="44"/>
    </row>
    <row r="1385" spans="1:1" x14ac:dyDescent="0.3">
      <c r="A1385" s="44"/>
    </row>
    <row r="1386" spans="1:1" x14ac:dyDescent="0.3">
      <c r="A1386" s="44"/>
    </row>
    <row r="1387" spans="1:1" x14ac:dyDescent="0.3">
      <c r="A1387" s="44"/>
    </row>
    <row r="1388" spans="1:1" x14ac:dyDescent="0.3">
      <c r="A1388" s="44"/>
    </row>
    <row r="1389" spans="1:1" x14ac:dyDescent="0.3">
      <c r="A1389" s="44"/>
    </row>
    <row r="1390" spans="1:1" x14ac:dyDescent="0.3">
      <c r="A1390" s="44"/>
    </row>
    <row r="1391" spans="1:1" x14ac:dyDescent="0.3">
      <c r="A1391" s="44"/>
    </row>
    <row r="1392" spans="1:1" x14ac:dyDescent="0.3">
      <c r="A1392" s="44"/>
    </row>
    <row r="1393" spans="1:1" x14ac:dyDescent="0.3">
      <c r="A1393" s="44"/>
    </row>
    <row r="1394" spans="1:1" x14ac:dyDescent="0.3">
      <c r="A1394" s="44"/>
    </row>
    <row r="1395" spans="1:1" x14ac:dyDescent="0.3">
      <c r="A1395" s="44"/>
    </row>
    <row r="1396" spans="1:1" x14ac:dyDescent="0.3">
      <c r="A1396" s="44"/>
    </row>
    <row r="1397" spans="1:1" x14ac:dyDescent="0.3">
      <c r="A1397" s="44"/>
    </row>
    <row r="1398" spans="1:1" x14ac:dyDescent="0.3">
      <c r="A1398" s="44"/>
    </row>
    <row r="1399" spans="1:1" x14ac:dyDescent="0.3">
      <c r="A1399" s="44"/>
    </row>
    <row r="1400" spans="1:1" x14ac:dyDescent="0.3">
      <c r="A1400" s="44"/>
    </row>
    <row r="1401" spans="1:1" x14ac:dyDescent="0.3">
      <c r="A1401" s="44"/>
    </row>
    <row r="1402" spans="1:1" x14ac:dyDescent="0.3">
      <c r="A1402" s="44"/>
    </row>
    <row r="1403" spans="1:1" x14ac:dyDescent="0.3">
      <c r="A1403" s="44"/>
    </row>
    <row r="1404" spans="1:1" x14ac:dyDescent="0.3">
      <c r="A1404" s="44"/>
    </row>
    <row r="1405" spans="1:1" x14ac:dyDescent="0.3">
      <c r="A1405" s="44"/>
    </row>
    <row r="1406" spans="1:1" x14ac:dyDescent="0.3">
      <c r="A1406" s="44"/>
    </row>
    <row r="1407" spans="1:1" x14ac:dyDescent="0.3">
      <c r="A1407" s="44"/>
    </row>
    <row r="1408" spans="1:1" x14ac:dyDescent="0.3">
      <c r="A1408" s="44"/>
    </row>
    <row r="1409" spans="1:1" x14ac:dyDescent="0.3">
      <c r="A1409" s="44"/>
    </row>
    <row r="1410" spans="1:1" x14ac:dyDescent="0.3">
      <c r="A1410" s="44"/>
    </row>
    <row r="1411" spans="1:1" x14ac:dyDescent="0.3">
      <c r="A1411" s="44"/>
    </row>
    <row r="1412" spans="1:1" x14ac:dyDescent="0.3">
      <c r="A1412" s="44"/>
    </row>
    <row r="1413" spans="1:1" x14ac:dyDescent="0.3">
      <c r="A1413" s="44"/>
    </row>
    <row r="1414" spans="1:1" x14ac:dyDescent="0.3">
      <c r="A1414" s="44"/>
    </row>
    <row r="1415" spans="1:1" x14ac:dyDescent="0.3">
      <c r="A1415" s="44"/>
    </row>
    <row r="1416" spans="1:1" x14ac:dyDescent="0.3">
      <c r="A1416" s="44"/>
    </row>
    <row r="1417" spans="1:1" x14ac:dyDescent="0.3">
      <c r="A1417" s="44"/>
    </row>
    <row r="1418" spans="1:1" x14ac:dyDescent="0.3">
      <c r="A1418" s="44"/>
    </row>
    <row r="1419" spans="1:1" x14ac:dyDescent="0.3">
      <c r="A1419" s="44"/>
    </row>
    <row r="1420" spans="1:1" x14ac:dyDescent="0.3">
      <c r="A1420" s="44"/>
    </row>
    <row r="1421" spans="1:1" x14ac:dyDescent="0.3">
      <c r="A1421" s="44"/>
    </row>
    <row r="1422" spans="1:1" x14ac:dyDescent="0.3">
      <c r="A1422" s="44"/>
    </row>
    <row r="1423" spans="1:1" x14ac:dyDescent="0.3">
      <c r="A1423" s="44"/>
    </row>
    <row r="1424" spans="1:1" x14ac:dyDescent="0.3">
      <c r="A1424" s="44"/>
    </row>
    <row r="1425" spans="1:1" x14ac:dyDescent="0.3">
      <c r="A1425" s="44"/>
    </row>
    <row r="1426" spans="1:1" x14ac:dyDescent="0.3">
      <c r="A1426" s="44"/>
    </row>
    <row r="1427" spans="1:1" x14ac:dyDescent="0.3">
      <c r="A1427" s="44"/>
    </row>
    <row r="1428" spans="1:1" x14ac:dyDescent="0.3">
      <c r="A1428" s="44"/>
    </row>
    <row r="1429" spans="1:1" x14ac:dyDescent="0.3">
      <c r="A1429" s="44"/>
    </row>
    <row r="1430" spans="1:1" x14ac:dyDescent="0.3">
      <c r="A1430" s="44"/>
    </row>
    <row r="1431" spans="1:1" x14ac:dyDescent="0.3">
      <c r="A1431" s="44"/>
    </row>
    <row r="1432" spans="1:1" x14ac:dyDescent="0.3">
      <c r="A1432" s="44"/>
    </row>
    <row r="1433" spans="1:1" x14ac:dyDescent="0.3">
      <c r="A1433" s="44"/>
    </row>
    <row r="1434" spans="1:1" x14ac:dyDescent="0.3">
      <c r="A1434" s="44"/>
    </row>
    <row r="1435" spans="1:1" x14ac:dyDescent="0.3">
      <c r="A1435" s="44"/>
    </row>
    <row r="1436" spans="1:1" x14ac:dyDescent="0.3">
      <c r="A1436" s="44"/>
    </row>
    <row r="1437" spans="1:1" x14ac:dyDescent="0.3">
      <c r="A1437" s="44"/>
    </row>
    <row r="1438" spans="1:1" x14ac:dyDescent="0.3">
      <c r="A1438" s="44"/>
    </row>
    <row r="1439" spans="1:1" x14ac:dyDescent="0.3">
      <c r="A1439" s="44"/>
    </row>
    <row r="1440" spans="1:1" x14ac:dyDescent="0.3">
      <c r="A1440" s="44"/>
    </row>
    <row r="1441" spans="1:1" x14ac:dyDescent="0.3">
      <c r="A1441" s="44"/>
    </row>
    <row r="1442" spans="1:1" x14ac:dyDescent="0.3">
      <c r="A1442" s="44"/>
    </row>
    <row r="1443" spans="1:1" x14ac:dyDescent="0.3">
      <c r="A1443" s="44"/>
    </row>
    <row r="1444" spans="1:1" x14ac:dyDescent="0.3">
      <c r="A1444" s="44"/>
    </row>
    <row r="1445" spans="1:1" x14ac:dyDescent="0.3">
      <c r="A1445" s="44"/>
    </row>
    <row r="1446" spans="1:1" x14ac:dyDescent="0.3">
      <c r="A1446" s="44"/>
    </row>
    <row r="1447" spans="1:1" x14ac:dyDescent="0.3">
      <c r="A1447" s="44"/>
    </row>
    <row r="1448" spans="1:1" x14ac:dyDescent="0.3">
      <c r="A1448" s="44"/>
    </row>
    <row r="1449" spans="1:1" x14ac:dyDescent="0.3">
      <c r="A1449" s="44"/>
    </row>
    <row r="1450" spans="1:1" x14ac:dyDescent="0.3">
      <c r="A1450" s="44"/>
    </row>
    <row r="1451" spans="1:1" x14ac:dyDescent="0.3">
      <c r="A1451" s="44"/>
    </row>
    <row r="1452" spans="1:1" x14ac:dyDescent="0.3">
      <c r="A1452" s="44"/>
    </row>
    <row r="1453" spans="1:1" x14ac:dyDescent="0.3">
      <c r="A1453" s="44"/>
    </row>
    <row r="1454" spans="1:1" x14ac:dyDescent="0.3">
      <c r="A1454" s="44"/>
    </row>
    <row r="1455" spans="1:1" x14ac:dyDescent="0.3">
      <c r="A1455" s="44"/>
    </row>
    <row r="1456" spans="1:1" x14ac:dyDescent="0.3">
      <c r="A1456" s="44"/>
    </row>
    <row r="1457" spans="1:1" x14ac:dyDescent="0.3">
      <c r="A1457" s="44"/>
    </row>
    <row r="1458" spans="1:1" x14ac:dyDescent="0.3">
      <c r="A1458" s="44"/>
    </row>
    <row r="1459" spans="1:1" x14ac:dyDescent="0.3">
      <c r="A1459" s="44"/>
    </row>
    <row r="1460" spans="1:1" x14ac:dyDescent="0.3">
      <c r="A1460" s="44"/>
    </row>
    <row r="1461" spans="1:1" x14ac:dyDescent="0.3">
      <c r="A1461" s="44"/>
    </row>
    <row r="1462" spans="1:1" x14ac:dyDescent="0.3">
      <c r="A1462" s="44"/>
    </row>
    <row r="1463" spans="1:1" x14ac:dyDescent="0.3">
      <c r="A1463" s="44"/>
    </row>
    <row r="1464" spans="1:1" x14ac:dyDescent="0.3">
      <c r="A1464" s="44"/>
    </row>
    <row r="1465" spans="1:1" x14ac:dyDescent="0.3">
      <c r="A1465" s="44"/>
    </row>
    <row r="1466" spans="1:1" x14ac:dyDescent="0.3">
      <c r="A1466" s="44"/>
    </row>
    <row r="1467" spans="1:1" x14ac:dyDescent="0.3">
      <c r="A1467" s="44"/>
    </row>
    <row r="1468" spans="1:1" x14ac:dyDescent="0.3">
      <c r="A1468" s="44"/>
    </row>
    <row r="1469" spans="1:1" x14ac:dyDescent="0.3">
      <c r="A1469" s="44"/>
    </row>
    <row r="1470" spans="1:1" x14ac:dyDescent="0.3">
      <c r="A1470" s="44"/>
    </row>
    <row r="1471" spans="1:1" x14ac:dyDescent="0.3">
      <c r="A1471" s="44"/>
    </row>
    <row r="1472" spans="1:1" x14ac:dyDescent="0.3">
      <c r="A1472" s="44"/>
    </row>
    <row r="1473" spans="1:1" x14ac:dyDescent="0.3">
      <c r="A1473" s="44"/>
    </row>
    <row r="1474" spans="1:1" x14ac:dyDescent="0.3">
      <c r="A1474" s="44"/>
    </row>
    <row r="1475" spans="1:1" x14ac:dyDescent="0.3">
      <c r="A1475" s="44"/>
    </row>
    <row r="1476" spans="1:1" x14ac:dyDescent="0.3">
      <c r="A1476" s="44"/>
    </row>
    <row r="1477" spans="1:1" x14ac:dyDescent="0.3">
      <c r="A1477" s="44"/>
    </row>
    <row r="1478" spans="1:1" x14ac:dyDescent="0.3">
      <c r="A1478" s="44"/>
    </row>
    <row r="1479" spans="1:1" x14ac:dyDescent="0.3">
      <c r="A1479" s="44"/>
    </row>
    <row r="1480" spans="1:1" x14ac:dyDescent="0.3">
      <c r="A1480" s="44"/>
    </row>
    <row r="1481" spans="1:1" x14ac:dyDescent="0.3">
      <c r="A1481" s="44"/>
    </row>
    <row r="1482" spans="1:1" x14ac:dyDescent="0.3">
      <c r="A1482" s="44"/>
    </row>
    <row r="1483" spans="1:1" x14ac:dyDescent="0.3">
      <c r="A1483" s="44"/>
    </row>
    <row r="1484" spans="1:1" x14ac:dyDescent="0.3">
      <c r="A1484" s="44"/>
    </row>
    <row r="1485" spans="1:1" x14ac:dyDescent="0.3">
      <c r="A1485" s="44"/>
    </row>
    <row r="1486" spans="1:1" x14ac:dyDescent="0.3">
      <c r="A1486" s="44"/>
    </row>
    <row r="1487" spans="1:1" x14ac:dyDescent="0.3">
      <c r="A1487" s="44"/>
    </row>
    <row r="1488" spans="1:1" x14ac:dyDescent="0.3">
      <c r="A1488" s="44"/>
    </row>
    <row r="1489" spans="1:1" x14ac:dyDescent="0.3">
      <c r="A1489" s="44"/>
    </row>
    <row r="1490" spans="1:1" x14ac:dyDescent="0.3">
      <c r="A1490" s="44"/>
    </row>
    <row r="1491" spans="1:1" x14ac:dyDescent="0.3">
      <c r="A1491" s="44"/>
    </row>
    <row r="1492" spans="1:1" x14ac:dyDescent="0.3">
      <c r="A1492" s="44"/>
    </row>
    <row r="1493" spans="1:1" x14ac:dyDescent="0.3">
      <c r="A1493" s="44"/>
    </row>
    <row r="1494" spans="1:1" x14ac:dyDescent="0.3">
      <c r="A1494" s="44"/>
    </row>
    <row r="1495" spans="1:1" x14ac:dyDescent="0.3">
      <c r="A1495" s="44"/>
    </row>
    <row r="1496" spans="1:1" x14ac:dyDescent="0.3">
      <c r="A1496" s="44"/>
    </row>
    <row r="1497" spans="1:1" x14ac:dyDescent="0.3">
      <c r="A1497" s="44"/>
    </row>
    <row r="1498" spans="1:1" x14ac:dyDescent="0.3">
      <c r="A1498" s="44"/>
    </row>
    <row r="1499" spans="1:1" x14ac:dyDescent="0.3">
      <c r="A1499" s="44"/>
    </row>
    <row r="1500" spans="1:1" x14ac:dyDescent="0.3">
      <c r="A1500" s="44"/>
    </row>
    <row r="1501" spans="1:1" x14ac:dyDescent="0.3">
      <c r="A1501" s="44"/>
    </row>
    <row r="1502" spans="1:1" x14ac:dyDescent="0.3">
      <c r="A1502" s="44"/>
    </row>
    <row r="1503" spans="1:1" x14ac:dyDescent="0.3">
      <c r="A1503" s="44"/>
    </row>
    <row r="1504" spans="1:1" x14ac:dyDescent="0.3">
      <c r="A1504" s="44"/>
    </row>
    <row r="1505" spans="1:1" x14ac:dyDescent="0.3">
      <c r="A1505" s="44"/>
    </row>
    <row r="1506" spans="1:1" x14ac:dyDescent="0.3">
      <c r="A1506" s="44"/>
    </row>
    <row r="1507" spans="1:1" x14ac:dyDescent="0.3">
      <c r="A1507" s="44"/>
    </row>
    <row r="1508" spans="1:1" x14ac:dyDescent="0.3">
      <c r="A1508" s="44"/>
    </row>
    <row r="1509" spans="1:1" x14ac:dyDescent="0.3">
      <c r="A1509" s="44"/>
    </row>
    <row r="1510" spans="1:1" x14ac:dyDescent="0.3">
      <c r="A1510" s="44"/>
    </row>
    <row r="1511" spans="1:1" x14ac:dyDescent="0.3">
      <c r="A1511" s="44"/>
    </row>
    <row r="1512" spans="1:1" x14ac:dyDescent="0.3">
      <c r="A1512" s="44"/>
    </row>
    <row r="1513" spans="1:1" x14ac:dyDescent="0.3">
      <c r="A1513" s="44"/>
    </row>
    <row r="1514" spans="1:1" x14ac:dyDescent="0.3">
      <c r="A1514" s="44"/>
    </row>
    <row r="1515" spans="1:1" x14ac:dyDescent="0.3">
      <c r="A1515" s="44"/>
    </row>
    <row r="1516" spans="1:1" x14ac:dyDescent="0.3">
      <c r="A1516" s="44"/>
    </row>
    <row r="1517" spans="1:1" x14ac:dyDescent="0.3">
      <c r="A1517" s="44"/>
    </row>
    <row r="1518" spans="1:1" x14ac:dyDescent="0.3">
      <c r="A1518" s="44"/>
    </row>
    <row r="1519" spans="1:1" x14ac:dyDescent="0.3">
      <c r="A1519" s="44"/>
    </row>
    <row r="1520" spans="1:1" x14ac:dyDescent="0.3">
      <c r="A1520" s="44"/>
    </row>
    <row r="1521" spans="1:1" x14ac:dyDescent="0.3">
      <c r="A1521" s="44"/>
    </row>
    <row r="1522" spans="1:1" x14ac:dyDescent="0.3">
      <c r="A1522" s="44"/>
    </row>
    <row r="1523" spans="1:1" x14ac:dyDescent="0.3">
      <c r="A1523" s="44"/>
    </row>
    <row r="1524" spans="1:1" x14ac:dyDescent="0.3">
      <c r="A1524" s="44"/>
    </row>
    <row r="1525" spans="1:1" x14ac:dyDescent="0.3">
      <c r="A1525" s="44"/>
    </row>
    <row r="1526" spans="1:1" x14ac:dyDescent="0.3">
      <c r="A1526" s="44"/>
    </row>
    <row r="1527" spans="1:1" x14ac:dyDescent="0.3">
      <c r="A1527" s="44"/>
    </row>
    <row r="1528" spans="1:1" x14ac:dyDescent="0.3">
      <c r="A1528" s="44"/>
    </row>
    <row r="1529" spans="1:1" x14ac:dyDescent="0.3">
      <c r="A1529" s="44"/>
    </row>
    <row r="1530" spans="1:1" x14ac:dyDescent="0.3">
      <c r="A1530" s="44"/>
    </row>
    <row r="1531" spans="1:1" x14ac:dyDescent="0.3">
      <c r="A1531" s="44"/>
    </row>
    <row r="1532" spans="1:1" x14ac:dyDescent="0.3">
      <c r="A1532" s="44"/>
    </row>
    <row r="1533" spans="1:1" x14ac:dyDescent="0.3">
      <c r="A1533" s="44"/>
    </row>
    <row r="1534" spans="1:1" x14ac:dyDescent="0.3">
      <c r="A1534" s="44"/>
    </row>
    <row r="1535" spans="1:1" x14ac:dyDescent="0.3">
      <c r="A1535" s="44"/>
    </row>
    <row r="1536" spans="1:1" x14ac:dyDescent="0.3">
      <c r="A1536" s="44"/>
    </row>
    <row r="1537" spans="1:1" x14ac:dyDescent="0.3">
      <c r="A1537" s="44"/>
    </row>
    <row r="1538" spans="1:1" x14ac:dyDescent="0.3">
      <c r="A1538" s="44"/>
    </row>
    <row r="1539" spans="1:1" x14ac:dyDescent="0.3">
      <c r="A1539" s="44"/>
    </row>
    <row r="1540" spans="1:1" x14ac:dyDescent="0.3">
      <c r="A1540" s="44"/>
    </row>
    <row r="1541" spans="1:1" x14ac:dyDescent="0.3">
      <c r="A1541" s="44"/>
    </row>
    <row r="1542" spans="1:1" x14ac:dyDescent="0.3">
      <c r="A1542" s="44"/>
    </row>
    <row r="1543" spans="1:1" x14ac:dyDescent="0.3">
      <c r="A1543" s="44"/>
    </row>
    <row r="1544" spans="1:1" x14ac:dyDescent="0.3">
      <c r="A1544" s="44"/>
    </row>
    <row r="1545" spans="1:1" x14ac:dyDescent="0.3">
      <c r="A1545" s="44"/>
    </row>
    <row r="1546" spans="1:1" x14ac:dyDescent="0.3">
      <c r="A1546" s="44"/>
    </row>
    <row r="1547" spans="1:1" x14ac:dyDescent="0.3">
      <c r="A1547" s="44"/>
    </row>
    <row r="1548" spans="1:1" x14ac:dyDescent="0.3">
      <c r="A1548" s="44"/>
    </row>
    <row r="1549" spans="1:1" x14ac:dyDescent="0.3">
      <c r="A1549" s="44"/>
    </row>
    <row r="1550" spans="1:1" x14ac:dyDescent="0.3">
      <c r="A1550" s="44"/>
    </row>
    <row r="1551" spans="1:1" x14ac:dyDescent="0.3">
      <c r="A1551" s="44"/>
    </row>
    <row r="1552" spans="1:1" x14ac:dyDescent="0.3">
      <c r="A1552" s="44"/>
    </row>
    <row r="1553" spans="1:1" x14ac:dyDescent="0.3">
      <c r="A1553" s="44"/>
    </row>
    <row r="1554" spans="1:1" x14ac:dyDescent="0.3">
      <c r="A1554" s="44"/>
    </row>
    <row r="1555" spans="1:1" x14ac:dyDescent="0.3">
      <c r="A1555" s="44"/>
    </row>
    <row r="1556" spans="1:1" x14ac:dyDescent="0.3">
      <c r="A1556" s="44"/>
    </row>
    <row r="1557" spans="1:1" x14ac:dyDescent="0.3">
      <c r="A1557" s="44"/>
    </row>
    <row r="1558" spans="1:1" x14ac:dyDescent="0.3">
      <c r="A1558" s="44"/>
    </row>
    <row r="1559" spans="1:1" x14ac:dyDescent="0.3">
      <c r="A1559" s="44"/>
    </row>
    <row r="1560" spans="1:1" x14ac:dyDescent="0.3">
      <c r="A1560" s="44"/>
    </row>
    <row r="1561" spans="1:1" x14ac:dyDescent="0.3">
      <c r="A1561" s="44"/>
    </row>
    <row r="1562" spans="1:1" x14ac:dyDescent="0.3">
      <c r="A1562" s="44"/>
    </row>
    <row r="1563" spans="1:1" x14ac:dyDescent="0.3">
      <c r="A1563" s="44"/>
    </row>
    <row r="1564" spans="1:1" x14ac:dyDescent="0.3">
      <c r="A1564" s="44"/>
    </row>
    <row r="1565" spans="1:1" x14ac:dyDescent="0.3">
      <c r="A1565" s="44"/>
    </row>
    <row r="1566" spans="1:1" x14ac:dyDescent="0.3">
      <c r="A1566" s="44"/>
    </row>
    <row r="1567" spans="1:1" x14ac:dyDescent="0.3">
      <c r="A1567" s="44"/>
    </row>
    <row r="1568" spans="1:1" x14ac:dyDescent="0.3">
      <c r="A1568" s="44"/>
    </row>
    <row r="1569" spans="1:1" x14ac:dyDescent="0.3">
      <c r="A1569" s="44"/>
    </row>
    <row r="1570" spans="1:1" x14ac:dyDescent="0.3">
      <c r="A1570" s="44"/>
    </row>
    <row r="1571" spans="1:1" x14ac:dyDescent="0.3">
      <c r="A1571" s="44"/>
    </row>
    <row r="1572" spans="1:1" x14ac:dyDescent="0.3">
      <c r="A1572" s="44"/>
    </row>
    <row r="1573" spans="1:1" x14ac:dyDescent="0.3">
      <c r="A1573" s="44"/>
    </row>
    <row r="1574" spans="1:1" x14ac:dyDescent="0.3">
      <c r="A1574" s="44"/>
    </row>
    <row r="1575" spans="1:1" x14ac:dyDescent="0.3">
      <c r="A1575" s="44"/>
    </row>
    <row r="1576" spans="1:1" x14ac:dyDescent="0.3">
      <c r="A1576" s="44"/>
    </row>
    <row r="1577" spans="1:1" x14ac:dyDescent="0.3">
      <c r="A1577" s="44"/>
    </row>
    <row r="1578" spans="1:1" x14ac:dyDescent="0.3">
      <c r="A1578" s="44"/>
    </row>
    <row r="1579" spans="1:1" x14ac:dyDescent="0.3">
      <c r="A1579" s="44"/>
    </row>
    <row r="1580" spans="1:1" x14ac:dyDescent="0.3">
      <c r="A1580" s="44"/>
    </row>
    <row r="1581" spans="1:1" x14ac:dyDescent="0.3">
      <c r="A1581" s="44"/>
    </row>
    <row r="1582" spans="1:1" x14ac:dyDescent="0.3">
      <c r="A1582" s="44"/>
    </row>
    <row r="1583" spans="1:1" x14ac:dyDescent="0.3">
      <c r="A1583" s="44"/>
    </row>
    <row r="1584" spans="1:1" x14ac:dyDescent="0.3">
      <c r="A1584" s="44"/>
    </row>
    <row r="1585" spans="1:1" x14ac:dyDescent="0.3">
      <c r="A1585" s="44"/>
    </row>
    <row r="1586" spans="1:1" x14ac:dyDescent="0.3">
      <c r="A1586" s="44"/>
    </row>
    <row r="1587" spans="1:1" x14ac:dyDescent="0.3">
      <c r="A1587" s="44"/>
    </row>
    <row r="1588" spans="1:1" x14ac:dyDescent="0.3">
      <c r="A1588" s="44"/>
    </row>
    <row r="1589" spans="1:1" x14ac:dyDescent="0.3">
      <c r="A1589" s="44"/>
    </row>
    <row r="1590" spans="1:1" x14ac:dyDescent="0.3">
      <c r="A1590" s="44"/>
    </row>
    <row r="1591" spans="1:1" x14ac:dyDescent="0.3">
      <c r="A1591" s="44"/>
    </row>
    <row r="1592" spans="1:1" x14ac:dyDescent="0.3">
      <c r="A1592" s="44"/>
    </row>
    <row r="1593" spans="1:1" x14ac:dyDescent="0.3">
      <c r="A1593" s="44"/>
    </row>
    <row r="1594" spans="1:1" x14ac:dyDescent="0.3">
      <c r="A1594" s="44"/>
    </row>
    <row r="1595" spans="1:1" x14ac:dyDescent="0.3">
      <c r="A1595" s="44"/>
    </row>
    <row r="1596" spans="1:1" x14ac:dyDescent="0.3">
      <c r="A1596" s="44"/>
    </row>
    <row r="1597" spans="1:1" x14ac:dyDescent="0.3">
      <c r="A1597" s="44"/>
    </row>
    <row r="1598" spans="1:1" x14ac:dyDescent="0.3">
      <c r="A1598" s="44"/>
    </row>
    <row r="1599" spans="1:1" x14ac:dyDescent="0.3">
      <c r="A1599" s="44"/>
    </row>
    <row r="1600" spans="1:1" x14ac:dyDescent="0.3">
      <c r="A1600" s="44"/>
    </row>
    <row r="1601" spans="1:1" x14ac:dyDescent="0.3">
      <c r="A1601" s="44"/>
    </row>
    <row r="1602" spans="1:1" x14ac:dyDescent="0.3">
      <c r="A1602" s="44"/>
    </row>
    <row r="1603" spans="1:1" x14ac:dyDescent="0.3">
      <c r="A1603" s="44"/>
    </row>
    <row r="1604" spans="1:1" x14ac:dyDescent="0.3">
      <c r="A1604" s="44"/>
    </row>
    <row r="1605" spans="1:1" x14ac:dyDescent="0.3">
      <c r="A1605" s="44"/>
    </row>
    <row r="1606" spans="1:1" x14ac:dyDescent="0.3">
      <c r="A1606" s="44"/>
    </row>
    <row r="1607" spans="1:1" x14ac:dyDescent="0.3">
      <c r="A1607" s="44"/>
    </row>
    <row r="1608" spans="1:1" x14ac:dyDescent="0.3">
      <c r="A1608" s="44"/>
    </row>
    <row r="1609" spans="1:1" x14ac:dyDescent="0.3">
      <c r="A1609" s="44"/>
    </row>
    <row r="1610" spans="1:1" x14ac:dyDescent="0.3">
      <c r="A1610" s="44"/>
    </row>
    <row r="1611" spans="1:1" x14ac:dyDescent="0.3">
      <c r="A1611" s="44"/>
    </row>
    <row r="1612" spans="1:1" x14ac:dyDescent="0.3">
      <c r="A1612" s="44"/>
    </row>
    <row r="1613" spans="1:1" x14ac:dyDescent="0.3">
      <c r="A1613" s="44"/>
    </row>
    <row r="1614" spans="1:1" x14ac:dyDescent="0.3">
      <c r="A1614" s="44"/>
    </row>
    <row r="1615" spans="1:1" x14ac:dyDescent="0.3">
      <c r="A1615" s="44"/>
    </row>
    <row r="1616" spans="1:1" x14ac:dyDescent="0.3">
      <c r="A1616" s="44"/>
    </row>
    <row r="1617" spans="1:1" x14ac:dyDescent="0.3">
      <c r="A1617" s="44"/>
    </row>
    <row r="1618" spans="1:1" x14ac:dyDescent="0.3">
      <c r="A1618" s="44"/>
    </row>
    <row r="1619" spans="1:1" x14ac:dyDescent="0.3">
      <c r="A1619" s="44"/>
    </row>
    <row r="1620" spans="1:1" x14ac:dyDescent="0.3">
      <c r="A1620" s="44"/>
    </row>
    <row r="1621" spans="1:1" x14ac:dyDescent="0.3">
      <c r="A1621" s="44"/>
    </row>
    <row r="1622" spans="1:1" x14ac:dyDescent="0.3">
      <c r="A1622" s="44"/>
    </row>
    <row r="1623" spans="1:1" x14ac:dyDescent="0.3">
      <c r="A1623" s="44"/>
    </row>
    <row r="1624" spans="1:1" x14ac:dyDescent="0.3">
      <c r="A1624" s="44"/>
    </row>
    <row r="1625" spans="1:1" x14ac:dyDescent="0.3">
      <c r="A1625" s="44"/>
    </row>
    <row r="1626" spans="1:1" x14ac:dyDescent="0.3">
      <c r="A1626" s="44"/>
    </row>
    <row r="1627" spans="1:1" x14ac:dyDescent="0.3">
      <c r="A1627" s="44"/>
    </row>
    <row r="1628" spans="1:1" x14ac:dyDescent="0.3">
      <c r="A1628" s="44"/>
    </row>
    <row r="1629" spans="1:1" x14ac:dyDescent="0.3">
      <c r="A1629" s="44"/>
    </row>
    <row r="1630" spans="1:1" x14ac:dyDescent="0.3">
      <c r="A1630" s="44"/>
    </row>
    <row r="1631" spans="1:1" x14ac:dyDescent="0.3">
      <c r="A1631" s="44"/>
    </row>
    <row r="1632" spans="1:1" x14ac:dyDescent="0.3">
      <c r="A1632" s="44"/>
    </row>
    <row r="1633" spans="1:1" x14ac:dyDescent="0.3">
      <c r="A1633" s="44"/>
    </row>
    <row r="1634" spans="1:1" x14ac:dyDescent="0.3">
      <c r="A1634" s="44"/>
    </row>
    <row r="1635" spans="1:1" x14ac:dyDescent="0.3">
      <c r="A1635" s="44"/>
    </row>
    <row r="1636" spans="1:1" x14ac:dyDescent="0.3">
      <c r="A1636" s="44"/>
    </row>
    <row r="1637" spans="1:1" x14ac:dyDescent="0.3">
      <c r="A1637" s="44"/>
    </row>
    <row r="1638" spans="1:1" x14ac:dyDescent="0.3">
      <c r="A1638" s="44"/>
    </row>
    <row r="1639" spans="1:1" x14ac:dyDescent="0.3">
      <c r="A1639" s="44"/>
    </row>
    <row r="1640" spans="1:1" x14ac:dyDescent="0.3">
      <c r="A1640" s="44"/>
    </row>
    <row r="1641" spans="1:1" x14ac:dyDescent="0.3">
      <c r="A1641" s="44"/>
    </row>
    <row r="1642" spans="1:1" x14ac:dyDescent="0.3">
      <c r="A1642" s="44"/>
    </row>
    <row r="1643" spans="1:1" x14ac:dyDescent="0.3">
      <c r="A1643" s="44"/>
    </row>
    <row r="1644" spans="1:1" x14ac:dyDescent="0.3">
      <c r="A1644" s="44"/>
    </row>
    <row r="1645" spans="1:1" x14ac:dyDescent="0.3">
      <c r="A1645" s="44"/>
    </row>
    <row r="1646" spans="1:1" x14ac:dyDescent="0.3">
      <c r="A1646" s="44"/>
    </row>
    <row r="1647" spans="1:1" x14ac:dyDescent="0.3">
      <c r="A1647" s="44"/>
    </row>
    <row r="1648" spans="1:1" x14ac:dyDescent="0.3">
      <c r="A1648" s="44"/>
    </row>
    <row r="1649" spans="1:1" x14ac:dyDescent="0.3">
      <c r="A1649" s="44"/>
    </row>
    <row r="1650" spans="1:1" x14ac:dyDescent="0.3">
      <c r="A1650" s="44"/>
    </row>
    <row r="1651" spans="1:1" x14ac:dyDescent="0.3">
      <c r="A1651" s="44"/>
    </row>
    <row r="1652" spans="1:1" x14ac:dyDescent="0.3">
      <c r="A1652" s="44"/>
    </row>
    <row r="1653" spans="1:1" x14ac:dyDescent="0.3">
      <c r="A1653" s="44"/>
    </row>
    <row r="1654" spans="1:1" x14ac:dyDescent="0.3">
      <c r="A1654" s="44"/>
    </row>
    <row r="1655" spans="1:1" x14ac:dyDescent="0.3">
      <c r="A1655" s="44"/>
    </row>
    <row r="1656" spans="1:1" x14ac:dyDescent="0.3">
      <c r="A1656" s="44"/>
    </row>
    <row r="1657" spans="1:1" x14ac:dyDescent="0.3">
      <c r="A1657" s="44"/>
    </row>
    <row r="1658" spans="1:1" x14ac:dyDescent="0.3">
      <c r="A1658" s="44"/>
    </row>
    <row r="1659" spans="1:1" x14ac:dyDescent="0.3">
      <c r="A1659" s="44"/>
    </row>
    <row r="1660" spans="1:1" x14ac:dyDescent="0.3">
      <c r="A1660" s="44"/>
    </row>
    <row r="1661" spans="1:1" x14ac:dyDescent="0.3">
      <c r="A1661" s="44"/>
    </row>
    <row r="1662" spans="1:1" x14ac:dyDescent="0.3">
      <c r="A1662" s="44"/>
    </row>
    <row r="1663" spans="1:1" x14ac:dyDescent="0.3">
      <c r="A1663" s="44"/>
    </row>
    <row r="1664" spans="1:1" x14ac:dyDescent="0.3">
      <c r="A1664" s="44"/>
    </row>
    <row r="1665" spans="1:1" x14ac:dyDescent="0.3">
      <c r="A1665" s="44"/>
    </row>
    <row r="1666" spans="1:1" x14ac:dyDescent="0.3">
      <c r="A1666" s="44"/>
    </row>
    <row r="1667" spans="1:1" x14ac:dyDescent="0.3">
      <c r="A1667" s="44"/>
    </row>
    <row r="1668" spans="1:1" x14ac:dyDescent="0.3">
      <c r="A1668" s="44"/>
    </row>
    <row r="1669" spans="1:1" x14ac:dyDescent="0.3">
      <c r="A1669" s="44"/>
    </row>
    <row r="1670" spans="1:1" x14ac:dyDescent="0.3">
      <c r="A1670" s="44"/>
    </row>
    <row r="1671" spans="1:1" x14ac:dyDescent="0.3">
      <c r="A1671" s="44"/>
    </row>
    <row r="1672" spans="1:1" x14ac:dyDescent="0.3">
      <c r="A1672" s="44"/>
    </row>
    <row r="1673" spans="1:1" x14ac:dyDescent="0.3">
      <c r="A1673" s="44"/>
    </row>
    <row r="1674" spans="1:1" x14ac:dyDescent="0.3">
      <c r="A1674" s="44"/>
    </row>
    <row r="1675" spans="1:1" x14ac:dyDescent="0.3">
      <c r="A1675" s="44"/>
    </row>
    <row r="1676" spans="1:1" x14ac:dyDescent="0.3">
      <c r="A1676" s="44"/>
    </row>
    <row r="1677" spans="1:1" x14ac:dyDescent="0.3">
      <c r="A1677" s="44"/>
    </row>
    <row r="1678" spans="1:1" x14ac:dyDescent="0.3">
      <c r="A1678" s="44"/>
    </row>
    <row r="1679" spans="1:1" x14ac:dyDescent="0.3">
      <c r="A1679" s="44"/>
    </row>
    <row r="1680" spans="1:1" x14ac:dyDescent="0.3">
      <c r="A1680" s="44"/>
    </row>
    <row r="1681" spans="1:1" x14ac:dyDescent="0.3">
      <c r="A1681" s="44"/>
    </row>
    <row r="1682" spans="1:1" x14ac:dyDescent="0.3">
      <c r="A1682" s="44"/>
    </row>
    <row r="1683" spans="1:1" x14ac:dyDescent="0.3">
      <c r="A1683" s="44"/>
    </row>
    <row r="1684" spans="1:1" x14ac:dyDescent="0.3">
      <c r="A1684" s="44"/>
    </row>
    <row r="1685" spans="1:1" x14ac:dyDescent="0.3">
      <c r="A1685" s="44"/>
    </row>
    <row r="1686" spans="1:1" x14ac:dyDescent="0.3">
      <c r="A1686" s="44"/>
    </row>
    <row r="1687" spans="1:1" x14ac:dyDescent="0.3">
      <c r="A1687" s="44"/>
    </row>
    <row r="1688" spans="1:1" x14ac:dyDescent="0.3">
      <c r="A1688" s="44"/>
    </row>
    <row r="1689" spans="1:1" x14ac:dyDescent="0.3">
      <c r="A1689" s="44"/>
    </row>
    <row r="1690" spans="1:1" x14ac:dyDescent="0.3">
      <c r="A1690" s="44"/>
    </row>
    <row r="1691" spans="1:1" x14ac:dyDescent="0.3">
      <c r="A1691" s="44"/>
    </row>
    <row r="1692" spans="1:1" x14ac:dyDescent="0.3">
      <c r="A1692" s="44"/>
    </row>
    <row r="1693" spans="1:1" x14ac:dyDescent="0.3">
      <c r="A1693" s="44"/>
    </row>
    <row r="1694" spans="1:1" x14ac:dyDescent="0.3">
      <c r="A1694" s="44"/>
    </row>
    <row r="1695" spans="1:1" x14ac:dyDescent="0.3">
      <c r="A1695" s="44"/>
    </row>
    <row r="1696" spans="1:1" x14ac:dyDescent="0.3">
      <c r="A1696" s="44"/>
    </row>
    <row r="1697" spans="1:1" x14ac:dyDescent="0.3">
      <c r="A1697" s="44"/>
    </row>
    <row r="1698" spans="1:1" x14ac:dyDescent="0.3">
      <c r="A1698" s="44"/>
    </row>
    <row r="1699" spans="1:1" x14ac:dyDescent="0.3">
      <c r="A1699" s="44"/>
    </row>
    <row r="1700" spans="1:1" x14ac:dyDescent="0.3">
      <c r="A1700" s="44"/>
    </row>
    <row r="1701" spans="1:1" x14ac:dyDescent="0.3">
      <c r="A1701" s="44"/>
    </row>
    <row r="1702" spans="1:1" x14ac:dyDescent="0.3">
      <c r="A1702" s="44"/>
    </row>
    <row r="1703" spans="1:1" x14ac:dyDescent="0.3">
      <c r="A1703" s="44"/>
    </row>
    <row r="1704" spans="1:1" x14ac:dyDescent="0.3">
      <c r="A1704" s="44"/>
    </row>
    <row r="1705" spans="1:1" x14ac:dyDescent="0.3">
      <c r="A1705" s="44"/>
    </row>
    <row r="1706" spans="1:1" x14ac:dyDescent="0.3">
      <c r="A1706" s="44"/>
    </row>
    <row r="1707" spans="1:1" x14ac:dyDescent="0.3">
      <c r="A1707" s="44"/>
    </row>
    <row r="1708" spans="1:1" x14ac:dyDescent="0.3">
      <c r="A1708" s="44"/>
    </row>
    <row r="1709" spans="1:1" x14ac:dyDescent="0.3">
      <c r="A1709" s="44"/>
    </row>
    <row r="1710" spans="1:1" x14ac:dyDescent="0.3">
      <c r="A1710" s="44"/>
    </row>
    <row r="1711" spans="1:1" x14ac:dyDescent="0.3">
      <c r="A1711" s="44"/>
    </row>
    <row r="1712" spans="1:1" x14ac:dyDescent="0.3">
      <c r="A1712" s="44"/>
    </row>
    <row r="1713" spans="1:1" x14ac:dyDescent="0.3">
      <c r="A1713" s="44"/>
    </row>
    <row r="1714" spans="1:1" x14ac:dyDescent="0.3">
      <c r="A1714" s="44"/>
    </row>
    <row r="1715" spans="1:1" x14ac:dyDescent="0.3">
      <c r="A1715" s="44"/>
    </row>
    <row r="1716" spans="1:1" x14ac:dyDescent="0.3">
      <c r="A1716" s="44"/>
    </row>
    <row r="1717" spans="1:1" x14ac:dyDescent="0.3">
      <c r="A1717" s="44"/>
    </row>
    <row r="1718" spans="1:1" x14ac:dyDescent="0.3">
      <c r="A1718" s="44"/>
    </row>
    <row r="1719" spans="1:1" x14ac:dyDescent="0.3">
      <c r="A1719" s="44"/>
    </row>
    <row r="1720" spans="1:1" x14ac:dyDescent="0.3">
      <c r="A1720" s="44"/>
    </row>
    <row r="1721" spans="1:1" x14ac:dyDescent="0.3">
      <c r="A1721" s="44"/>
    </row>
    <row r="1722" spans="1:1" x14ac:dyDescent="0.3">
      <c r="A1722" s="44"/>
    </row>
    <row r="1723" spans="1:1" x14ac:dyDescent="0.3">
      <c r="A1723" s="44"/>
    </row>
    <row r="1724" spans="1:1" x14ac:dyDescent="0.3">
      <c r="A1724" s="44"/>
    </row>
    <row r="1725" spans="1:1" x14ac:dyDescent="0.3">
      <c r="A1725" s="44"/>
    </row>
    <row r="1726" spans="1:1" x14ac:dyDescent="0.3">
      <c r="A1726" s="44"/>
    </row>
    <row r="1727" spans="1:1" x14ac:dyDescent="0.3">
      <c r="A1727" s="44"/>
    </row>
    <row r="1728" spans="1:1" x14ac:dyDescent="0.3">
      <c r="A1728" s="44"/>
    </row>
    <row r="1729" spans="1:1" x14ac:dyDescent="0.3">
      <c r="A1729" s="44"/>
    </row>
    <row r="1730" spans="1:1" x14ac:dyDescent="0.3">
      <c r="A1730" s="44"/>
    </row>
    <row r="1731" spans="1:1" x14ac:dyDescent="0.3">
      <c r="A1731" s="44"/>
    </row>
    <row r="1732" spans="1:1" x14ac:dyDescent="0.3">
      <c r="A1732" s="44"/>
    </row>
    <row r="1733" spans="1:1" x14ac:dyDescent="0.3">
      <c r="A1733" s="44"/>
    </row>
    <row r="1734" spans="1:1" x14ac:dyDescent="0.3">
      <c r="A1734" s="44"/>
    </row>
    <row r="1735" spans="1:1" x14ac:dyDescent="0.3">
      <c r="A1735" s="44"/>
    </row>
    <row r="1736" spans="1:1" x14ac:dyDescent="0.3">
      <c r="A1736" s="44"/>
    </row>
    <row r="1737" spans="1:1" x14ac:dyDescent="0.3">
      <c r="A1737" s="44"/>
    </row>
    <row r="1738" spans="1:1" x14ac:dyDescent="0.3">
      <c r="A1738" s="44"/>
    </row>
    <row r="1739" spans="1:1" x14ac:dyDescent="0.3">
      <c r="A1739" s="44"/>
    </row>
    <row r="1740" spans="1:1" x14ac:dyDescent="0.3">
      <c r="A1740" s="44"/>
    </row>
    <row r="1741" spans="1:1" x14ac:dyDescent="0.3">
      <c r="A1741" s="44"/>
    </row>
    <row r="1742" spans="1:1" x14ac:dyDescent="0.3">
      <c r="A1742" s="44"/>
    </row>
    <row r="1743" spans="1:1" x14ac:dyDescent="0.3">
      <c r="A1743" s="44"/>
    </row>
    <row r="1744" spans="1:1" x14ac:dyDescent="0.3">
      <c r="A1744" s="44"/>
    </row>
    <row r="1745" spans="1:1" x14ac:dyDescent="0.3">
      <c r="A1745" s="44"/>
    </row>
    <row r="1746" spans="1:1" x14ac:dyDescent="0.3">
      <c r="A1746" s="44"/>
    </row>
    <row r="1747" spans="1:1" x14ac:dyDescent="0.3">
      <c r="A1747" s="44"/>
    </row>
    <row r="1748" spans="1:1" x14ac:dyDescent="0.3">
      <c r="A1748" s="44"/>
    </row>
    <row r="1749" spans="1:1" x14ac:dyDescent="0.3">
      <c r="A1749" s="44"/>
    </row>
    <row r="1750" spans="1:1" x14ac:dyDescent="0.3">
      <c r="A1750" s="44"/>
    </row>
    <row r="1751" spans="1:1" x14ac:dyDescent="0.3">
      <c r="A1751" s="44"/>
    </row>
    <row r="1752" spans="1:1" x14ac:dyDescent="0.3">
      <c r="A1752" s="44"/>
    </row>
    <row r="1753" spans="1:1" x14ac:dyDescent="0.3">
      <c r="A1753" s="44"/>
    </row>
    <row r="1754" spans="1:1" x14ac:dyDescent="0.3">
      <c r="A1754" s="44"/>
    </row>
    <row r="1755" spans="1:1" x14ac:dyDescent="0.3">
      <c r="A1755" s="44"/>
    </row>
    <row r="1756" spans="1:1" x14ac:dyDescent="0.3">
      <c r="A1756" s="44"/>
    </row>
    <row r="1757" spans="1:1" x14ac:dyDescent="0.3">
      <c r="A1757" s="44"/>
    </row>
    <row r="1758" spans="1:1" x14ac:dyDescent="0.3">
      <c r="A1758" s="44"/>
    </row>
    <row r="1759" spans="1:1" x14ac:dyDescent="0.3">
      <c r="A1759" s="44"/>
    </row>
    <row r="1760" spans="1:1" x14ac:dyDescent="0.3">
      <c r="A1760" s="44"/>
    </row>
    <row r="1761" spans="1:1" x14ac:dyDescent="0.3">
      <c r="A1761" s="44"/>
    </row>
    <row r="1762" spans="1:1" x14ac:dyDescent="0.3">
      <c r="A1762" s="44"/>
    </row>
    <row r="1763" spans="1:1" x14ac:dyDescent="0.3">
      <c r="A1763" s="44"/>
    </row>
    <row r="1764" spans="1:1" x14ac:dyDescent="0.3">
      <c r="A1764" s="44"/>
    </row>
    <row r="1765" spans="1:1" x14ac:dyDescent="0.3">
      <c r="A1765" s="44"/>
    </row>
    <row r="1766" spans="1:1" x14ac:dyDescent="0.3">
      <c r="A1766" s="44"/>
    </row>
    <row r="1767" spans="1:1" x14ac:dyDescent="0.3">
      <c r="A1767" s="44"/>
    </row>
    <row r="1768" spans="1:1" x14ac:dyDescent="0.3">
      <c r="A1768" s="44"/>
    </row>
    <row r="1769" spans="1:1" x14ac:dyDescent="0.3">
      <c r="A1769" s="44"/>
    </row>
    <row r="1770" spans="1:1" x14ac:dyDescent="0.3">
      <c r="A1770" s="44"/>
    </row>
    <row r="1771" spans="1:1" x14ac:dyDescent="0.3">
      <c r="A1771" s="44"/>
    </row>
    <row r="1772" spans="1:1" x14ac:dyDescent="0.3">
      <c r="A1772" s="44"/>
    </row>
    <row r="1773" spans="1:1" x14ac:dyDescent="0.3">
      <c r="A1773" s="44"/>
    </row>
    <row r="1774" spans="1:1" x14ac:dyDescent="0.3">
      <c r="A1774" s="44"/>
    </row>
    <row r="1775" spans="1:1" x14ac:dyDescent="0.3">
      <c r="A1775" s="44"/>
    </row>
    <row r="1776" spans="1:1" x14ac:dyDescent="0.3">
      <c r="A1776" s="44"/>
    </row>
    <row r="1777" spans="1:1" x14ac:dyDescent="0.3">
      <c r="A1777" s="44"/>
    </row>
    <row r="1778" spans="1:1" x14ac:dyDescent="0.3">
      <c r="A1778" s="44"/>
    </row>
    <row r="1779" spans="1:1" x14ac:dyDescent="0.3">
      <c r="A1779" s="44"/>
    </row>
    <row r="1780" spans="1:1" x14ac:dyDescent="0.3">
      <c r="A1780" s="44"/>
    </row>
    <row r="1781" spans="1:1" x14ac:dyDescent="0.3">
      <c r="A1781" s="44"/>
    </row>
    <row r="1782" spans="1:1" x14ac:dyDescent="0.3">
      <c r="A1782" s="44"/>
    </row>
    <row r="1783" spans="1:1" x14ac:dyDescent="0.3">
      <c r="A1783" s="44"/>
    </row>
    <row r="1784" spans="1:1" x14ac:dyDescent="0.3">
      <c r="A1784" s="44"/>
    </row>
    <row r="1785" spans="1:1" x14ac:dyDescent="0.3">
      <c r="A1785" s="44"/>
    </row>
    <row r="1786" spans="1:1" x14ac:dyDescent="0.3">
      <c r="A1786" s="44"/>
    </row>
    <row r="1787" spans="1:1" x14ac:dyDescent="0.3">
      <c r="A1787" s="44"/>
    </row>
    <row r="1788" spans="1:1" x14ac:dyDescent="0.3">
      <c r="A1788" s="44"/>
    </row>
    <row r="1789" spans="1:1" x14ac:dyDescent="0.3">
      <c r="A1789" s="44"/>
    </row>
    <row r="1790" spans="1:1" x14ac:dyDescent="0.3">
      <c r="A1790" s="44"/>
    </row>
    <row r="1791" spans="1:1" x14ac:dyDescent="0.3">
      <c r="A1791" s="44"/>
    </row>
    <row r="1792" spans="1:1" x14ac:dyDescent="0.3">
      <c r="A1792" s="44"/>
    </row>
    <row r="1793" spans="1:1" x14ac:dyDescent="0.3">
      <c r="A1793" s="44"/>
    </row>
    <row r="1794" spans="1:1" x14ac:dyDescent="0.3">
      <c r="A1794" s="44"/>
    </row>
    <row r="1795" spans="1:1" x14ac:dyDescent="0.3">
      <c r="A1795" s="44"/>
    </row>
    <row r="1796" spans="1:1" x14ac:dyDescent="0.3">
      <c r="A1796" s="44"/>
    </row>
    <row r="1797" spans="1:1" x14ac:dyDescent="0.3">
      <c r="A1797" s="44"/>
    </row>
    <row r="1798" spans="1:1" x14ac:dyDescent="0.3">
      <c r="A1798" s="44"/>
    </row>
    <row r="1799" spans="1:1" x14ac:dyDescent="0.3">
      <c r="A1799" s="44"/>
    </row>
    <row r="1800" spans="1:1" x14ac:dyDescent="0.3">
      <c r="A1800" s="44"/>
    </row>
    <row r="1801" spans="1:1" x14ac:dyDescent="0.3">
      <c r="A1801" s="44"/>
    </row>
    <row r="1802" spans="1:1" x14ac:dyDescent="0.3">
      <c r="A1802" s="44"/>
    </row>
    <row r="1803" spans="1:1" x14ac:dyDescent="0.3">
      <c r="A1803" s="44"/>
    </row>
    <row r="1804" spans="1:1" x14ac:dyDescent="0.3">
      <c r="A1804" s="44"/>
    </row>
    <row r="1805" spans="1:1" x14ac:dyDescent="0.3">
      <c r="A1805" s="44"/>
    </row>
    <row r="1806" spans="1:1" x14ac:dyDescent="0.3">
      <c r="A1806" s="44"/>
    </row>
    <row r="1807" spans="1:1" x14ac:dyDescent="0.3">
      <c r="A1807" s="44"/>
    </row>
    <row r="1808" spans="1:1" x14ac:dyDescent="0.3">
      <c r="A1808" s="44"/>
    </row>
    <row r="1809" spans="1:1" x14ac:dyDescent="0.3">
      <c r="A1809" s="44"/>
    </row>
    <row r="1810" spans="1:1" x14ac:dyDescent="0.3">
      <c r="A1810" s="44"/>
    </row>
    <row r="1811" spans="1:1" x14ac:dyDescent="0.3">
      <c r="A1811" s="44"/>
    </row>
    <row r="1812" spans="1:1" x14ac:dyDescent="0.3">
      <c r="A1812" s="44"/>
    </row>
    <row r="1813" spans="1:1" x14ac:dyDescent="0.3">
      <c r="A1813" s="44"/>
    </row>
    <row r="1814" spans="1:1" x14ac:dyDescent="0.3">
      <c r="A1814" s="44"/>
    </row>
    <row r="1815" spans="1:1" x14ac:dyDescent="0.3">
      <c r="A1815" s="44"/>
    </row>
    <row r="1816" spans="1:1" x14ac:dyDescent="0.3">
      <c r="A1816" s="44"/>
    </row>
    <row r="1817" spans="1:1" x14ac:dyDescent="0.3">
      <c r="A1817" s="44"/>
    </row>
    <row r="1818" spans="1:1" x14ac:dyDescent="0.3">
      <c r="A1818" s="44"/>
    </row>
    <row r="1819" spans="1:1" x14ac:dyDescent="0.3">
      <c r="A1819" s="44"/>
    </row>
    <row r="1820" spans="1:1" x14ac:dyDescent="0.3">
      <c r="A1820" s="44"/>
    </row>
    <row r="1821" spans="1:1" x14ac:dyDescent="0.3">
      <c r="A1821" s="44"/>
    </row>
    <row r="1822" spans="1:1" x14ac:dyDescent="0.3">
      <c r="A1822" s="44"/>
    </row>
    <row r="1823" spans="1:1" x14ac:dyDescent="0.3">
      <c r="A1823" s="44"/>
    </row>
    <row r="1824" spans="1:1" x14ac:dyDescent="0.3">
      <c r="A1824" s="44"/>
    </row>
    <row r="1825" spans="1:1" x14ac:dyDescent="0.3">
      <c r="A1825" s="44"/>
    </row>
    <row r="1826" spans="1:1" x14ac:dyDescent="0.3">
      <c r="A1826" s="44"/>
    </row>
    <row r="1827" spans="1:1" x14ac:dyDescent="0.3">
      <c r="A1827" s="44"/>
    </row>
    <row r="1828" spans="1:1" x14ac:dyDescent="0.3">
      <c r="A1828" s="44"/>
    </row>
    <row r="1829" spans="1:1" x14ac:dyDescent="0.3">
      <c r="A1829" s="44"/>
    </row>
    <row r="1830" spans="1:1" x14ac:dyDescent="0.3">
      <c r="A1830" s="44"/>
    </row>
    <row r="1831" spans="1:1" x14ac:dyDescent="0.3">
      <c r="A1831" s="44"/>
    </row>
    <row r="1832" spans="1:1" x14ac:dyDescent="0.3">
      <c r="A1832" s="44"/>
    </row>
    <row r="1833" spans="1:1" x14ac:dyDescent="0.3">
      <c r="A1833" s="44"/>
    </row>
    <row r="1834" spans="1:1" x14ac:dyDescent="0.3">
      <c r="A1834" s="44"/>
    </row>
    <row r="1835" spans="1:1" x14ac:dyDescent="0.3">
      <c r="A1835" s="44"/>
    </row>
    <row r="1836" spans="1:1" x14ac:dyDescent="0.3">
      <c r="A1836" s="44"/>
    </row>
    <row r="1837" spans="1:1" x14ac:dyDescent="0.3">
      <c r="A1837" s="44"/>
    </row>
    <row r="1838" spans="1:1" x14ac:dyDescent="0.3">
      <c r="A1838" s="44"/>
    </row>
    <row r="1839" spans="1:1" x14ac:dyDescent="0.3">
      <c r="A1839" s="44"/>
    </row>
    <row r="1840" spans="1:1" x14ac:dyDescent="0.3">
      <c r="A1840" s="44"/>
    </row>
    <row r="1841" spans="1:1" x14ac:dyDescent="0.3">
      <c r="A1841" s="44"/>
    </row>
    <row r="1842" spans="1:1" x14ac:dyDescent="0.3">
      <c r="A1842" s="44"/>
    </row>
    <row r="1843" spans="1:1" x14ac:dyDescent="0.3">
      <c r="A1843" s="44"/>
    </row>
    <row r="1844" spans="1:1" x14ac:dyDescent="0.3">
      <c r="A1844" s="44"/>
    </row>
    <row r="1845" spans="1:1" x14ac:dyDescent="0.3">
      <c r="A1845" s="44"/>
    </row>
    <row r="1846" spans="1:1" x14ac:dyDescent="0.3">
      <c r="A1846" s="44"/>
    </row>
    <row r="1847" spans="1:1" x14ac:dyDescent="0.3">
      <c r="A1847" s="44"/>
    </row>
    <row r="1848" spans="1:1" x14ac:dyDescent="0.3">
      <c r="A1848" s="44"/>
    </row>
    <row r="1849" spans="1:1" x14ac:dyDescent="0.3">
      <c r="A1849" s="44"/>
    </row>
    <row r="1850" spans="1:1" x14ac:dyDescent="0.3">
      <c r="A1850" s="44"/>
    </row>
    <row r="1851" spans="1:1" x14ac:dyDescent="0.3">
      <c r="A1851" s="44"/>
    </row>
    <row r="1852" spans="1:1" x14ac:dyDescent="0.3">
      <c r="A1852" s="44"/>
    </row>
    <row r="1853" spans="1:1" x14ac:dyDescent="0.3">
      <c r="A1853" s="44"/>
    </row>
    <row r="1854" spans="1:1" x14ac:dyDescent="0.3">
      <c r="A1854" s="44"/>
    </row>
    <row r="1855" spans="1:1" x14ac:dyDescent="0.3">
      <c r="A1855" s="44"/>
    </row>
    <row r="1856" spans="1:1" x14ac:dyDescent="0.3">
      <c r="A1856" s="44"/>
    </row>
    <row r="1857" spans="1:1" x14ac:dyDescent="0.3">
      <c r="A1857" s="44"/>
    </row>
    <row r="1858" spans="1:1" x14ac:dyDescent="0.3">
      <c r="A1858" s="44"/>
    </row>
    <row r="1859" spans="1:1" x14ac:dyDescent="0.3">
      <c r="A1859" s="44"/>
    </row>
    <row r="1860" spans="1:1" x14ac:dyDescent="0.3">
      <c r="A1860" s="44"/>
    </row>
    <row r="1861" spans="1:1" x14ac:dyDescent="0.3">
      <c r="A1861" s="44"/>
    </row>
    <row r="1862" spans="1:1" x14ac:dyDescent="0.3">
      <c r="A1862" s="44"/>
    </row>
    <row r="1863" spans="1:1" x14ac:dyDescent="0.3">
      <c r="A1863" s="44"/>
    </row>
    <row r="1864" spans="1:1" x14ac:dyDescent="0.3">
      <c r="A1864" s="44"/>
    </row>
    <row r="1865" spans="1:1" x14ac:dyDescent="0.3">
      <c r="A1865" s="44"/>
    </row>
    <row r="1866" spans="1:1" x14ac:dyDescent="0.3">
      <c r="A1866" s="44"/>
    </row>
    <row r="1867" spans="1:1" x14ac:dyDescent="0.3">
      <c r="A1867" s="44"/>
    </row>
    <row r="1868" spans="1:1" x14ac:dyDescent="0.3">
      <c r="A1868" s="44"/>
    </row>
    <row r="1869" spans="1:1" x14ac:dyDescent="0.3">
      <c r="A1869" s="44"/>
    </row>
    <row r="1870" spans="1:1" x14ac:dyDescent="0.3">
      <c r="A1870" s="44"/>
    </row>
    <row r="1871" spans="1:1" x14ac:dyDescent="0.3">
      <c r="A1871" s="44"/>
    </row>
    <row r="1872" spans="1:1" x14ac:dyDescent="0.3">
      <c r="A1872" s="44"/>
    </row>
    <row r="1873" spans="1:1" x14ac:dyDescent="0.3">
      <c r="A1873" s="44"/>
    </row>
    <row r="1874" spans="1:1" x14ac:dyDescent="0.3">
      <c r="A1874" s="44"/>
    </row>
    <row r="1875" spans="1:1" x14ac:dyDescent="0.3">
      <c r="A1875" s="44"/>
    </row>
    <row r="1876" spans="1:1" x14ac:dyDescent="0.3">
      <c r="A1876" s="44"/>
    </row>
    <row r="1877" spans="1:1" x14ac:dyDescent="0.3">
      <c r="A1877" s="44"/>
    </row>
    <row r="1878" spans="1:1" x14ac:dyDescent="0.3">
      <c r="A1878" s="44"/>
    </row>
    <row r="1879" spans="1:1" x14ac:dyDescent="0.3">
      <c r="A1879" s="44"/>
    </row>
    <row r="1880" spans="1:1" x14ac:dyDescent="0.3">
      <c r="A1880" s="44"/>
    </row>
    <row r="1881" spans="1:1" x14ac:dyDescent="0.3">
      <c r="A1881" s="44"/>
    </row>
    <row r="1882" spans="1:1" x14ac:dyDescent="0.3">
      <c r="A1882" s="44"/>
    </row>
    <row r="1883" spans="1:1" x14ac:dyDescent="0.3">
      <c r="A1883" s="44"/>
    </row>
    <row r="1884" spans="1:1" x14ac:dyDescent="0.3">
      <c r="A1884" s="44"/>
    </row>
    <row r="1885" spans="1:1" x14ac:dyDescent="0.3">
      <c r="A1885" s="44"/>
    </row>
    <row r="1886" spans="1:1" x14ac:dyDescent="0.3">
      <c r="A1886" s="44"/>
    </row>
    <row r="1887" spans="1:1" x14ac:dyDescent="0.3">
      <c r="A1887" s="44"/>
    </row>
    <row r="1888" spans="1:1" x14ac:dyDescent="0.3">
      <c r="A1888" s="44"/>
    </row>
    <row r="1889" spans="1:1" x14ac:dyDescent="0.3">
      <c r="A1889" s="44"/>
    </row>
    <row r="1890" spans="1:1" x14ac:dyDescent="0.3">
      <c r="A1890" s="44"/>
    </row>
    <row r="1891" spans="1:1" x14ac:dyDescent="0.3">
      <c r="A1891" s="44"/>
    </row>
    <row r="1892" spans="1:1" x14ac:dyDescent="0.3">
      <c r="A1892" s="44"/>
    </row>
    <row r="1893" spans="1:1" x14ac:dyDescent="0.3">
      <c r="A1893" s="44"/>
    </row>
    <row r="1894" spans="1:1" x14ac:dyDescent="0.3">
      <c r="A1894" s="44"/>
    </row>
    <row r="1895" spans="1:1" x14ac:dyDescent="0.3">
      <c r="A1895" s="44"/>
    </row>
    <row r="1896" spans="1:1" x14ac:dyDescent="0.3">
      <c r="A1896" s="44"/>
    </row>
    <row r="1897" spans="1:1" x14ac:dyDescent="0.3">
      <c r="A1897" s="44"/>
    </row>
    <row r="1898" spans="1:1" x14ac:dyDescent="0.3">
      <c r="A1898" s="44"/>
    </row>
    <row r="1899" spans="1:1" x14ac:dyDescent="0.3">
      <c r="A1899" s="44"/>
    </row>
    <row r="1900" spans="1:1" x14ac:dyDescent="0.3">
      <c r="A1900" s="44"/>
    </row>
    <row r="1901" spans="1:1" x14ac:dyDescent="0.3">
      <c r="A1901" s="44"/>
    </row>
    <row r="1902" spans="1:1" x14ac:dyDescent="0.3">
      <c r="A1902" s="44"/>
    </row>
    <row r="1903" spans="1:1" x14ac:dyDescent="0.3">
      <c r="A1903" s="44"/>
    </row>
    <row r="1904" spans="1:1" x14ac:dyDescent="0.3">
      <c r="A1904" s="44"/>
    </row>
    <row r="1905" spans="1:1" x14ac:dyDescent="0.3">
      <c r="A1905" s="44"/>
    </row>
    <row r="1906" spans="1:1" x14ac:dyDescent="0.3">
      <c r="A1906" s="44"/>
    </row>
    <row r="1907" spans="1:1" x14ac:dyDescent="0.3">
      <c r="A1907" s="44"/>
    </row>
    <row r="1908" spans="1:1" x14ac:dyDescent="0.3">
      <c r="A1908" s="44"/>
    </row>
    <row r="1909" spans="1:1" x14ac:dyDescent="0.3">
      <c r="A1909" s="44"/>
    </row>
    <row r="1910" spans="1:1" x14ac:dyDescent="0.3">
      <c r="A1910" s="44"/>
    </row>
    <row r="1911" spans="1:1" x14ac:dyDescent="0.3">
      <c r="A1911" s="44"/>
    </row>
    <row r="1912" spans="1:1" x14ac:dyDescent="0.3">
      <c r="A1912" s="44"/>
    </row>
    <row r="1913" spans="1:1" x14ac:dyDescent="0.3">
      <c r="A1913" s="44"/>
    </row>
    <row r="1914" spans="1:1" x14ac:dyDescent="0.3">
      <c r="A1914" s="44"/>
    </row>
    <row r="1915" spans="1:1" x14ac:dyDescent="0.3">
      <c r="A1915" s="44"/>
    </row>
    <row r="1916" spans="1:1" x14ac:dyDescent="0.3">
      <c r="A1916" s="44"/>
    </row>
    <row r="1917" spans="1:1" x14ac:dyDescent="0.3">
      <c r="A1917" s="44"/>
    </row>
    <row r="1918" spans="1:1" x14ac:dyDescent="0.3">
      <c r="A1918" s="44"/>
    </row>
    <row r="1919" spans="1:1" x14ac:dyDescent="0.3">
      <c r="A1919" s="44"/>
    </row>
    <row r="1920" spans="1:1" x14ac:dyDescent="0.3">
      <c r="A1920" s="44"/>
    </row>
    <row r="1921" spans="1:1" x14ac:dyDescent="0.3">
      <c r="A1921" s="44"/>
    </row>
    <row r="1922" spans="1:1" x14ac:dyDescent="0.3">
      <c r="A1922" s="44"/>
    </row>
    <row r="1923" spans="1:1" x14ac:dyDescent="0.3">
      <c r="A1923" s="44"/>
    </row>
    <row r="1924" spans="1:1" x14ac:dyDescent="0.3">
      <c r="A1924" s="44"/>
    </row>
    <row r="1925" spans="1:1" x14ac:dyDescent="0.3">
      <c r="A1925" s="44"/>
    </row>
    <row r="1926" spans="1:1" x14ac:dyDescent="0.3">
      <c r="A1926" s="44"/>
    </row>
    <row r="1927" spans="1:1" x14ac:dyDescent="0.3">
      <c r="A1927" s="44"/>
    </row>
    <row r="1928" spans="1:1" x14ac:dyDescent="0.3">
      <c r="A1928" s="44"/>
    </row>
    <row r="1929" spans="1:1" x14ac:dyDescent="0.3">
      <c r="A1929" s="44"/>
    </row>
    <row r="1930" spans="1:1" x14ac:dyDescent="0.3">
      <c r="A1930" s="44"/>
    </row>
    <row r="1931" spans="1:1" x14ac:dyDescent="0.3">
      <c r="A1931" s="44"/>
    </row>
    <row r="1932" spans="1:1" x14ac:dyDescent="0.3">
      <c r="A1932" s="44"/>
    </row>
    <row r="1933" spans="1:1" x14ac:dyDescent="0.3">
      <c r="A1933" s="44"/>
    </row>
    <row r="1934" spans="1:1" x14ac:dyDescent="0.3">
      <c r="A1934" s="44"/>
    </row>
    <row r="1935" spans="1:1" x14ac:dyDescent="0.3">
      <c r="A1935" s="44"/>
    </row>
    <row r="1936" spans="1:1" x14ac:dyDescent="0.3">
      <c r="A1936" s="44"/>
    </row>
    <row r="1937" spans="1:1" x14ac:dyDescent="0.3">
      <c r="A1937" s="44"/>
    </row>
    <row r="1938" spans="1:1" x14ac:dyDescent="0.3">
      <c r="A1938" s="44"/>
    </row>
    <row r="1939" spans="1:1" x14ac:dyDescent="0.3">
      <c r="A1939" s="44"/>
    </row>
    <row r="1940" spans="1:1" x14ac:dyDescent="0.3">
      <c r="A1940" s="44"/>
    </row>
    <row r="1941" spans="1:1" x14ac:dyDescent="0.3">
      <c r="A1941" s="44"/>
    </row>
    <row r="1942" spans="1:1" x14ac:dyDescent="0.3">
      <c r="A1942" s="44"/>
    </row>
    <row r="1943" spans="1:1" x14ac:dyDescent="0.3">
      <c r="A1943" s="44"/>
    </row>
    <row r="1944" spans="1:1" x14ac:dyDescent="0.3">
      <c r="A1944" s="44"/>
    </row>
    <row r="1945" spans="1:1" x14ac:dyDescent="0.3">
      <c r="A1945" s="44"/>
    </row>
    <row r="1946" spans="1:1" x14ac:dyDescent="0.3">
      <c r="A1946" s="44"/>
    </row>
    <row r="1947" spans="1:1" x14ac:dyDescent="0.3">
      <c r="A1947" s="44"/>
    </row>
    <row r="1948" spans="1:1" x14ac:dyDescent="0.3">
      <c r="A1948" s="44"/>
    </row>
    <row r="1949" spans="1:1" x14ac:dyDescent="0.3">
      <c r="A1949" s="44"/>
    </row>
    <row r="1950" spans="1:1" x14ac:dyDescent="0.3">
      <c r="A1950" s="44"/>
    </row>
    <row r="1951" spans="1:1" x14ac:dyDescent="0.3">
      <c r="A1951" s="44"/>
    </row>
    <row r="1952" spans="1:1" x14ac:dyDescent="0.3">
      <c r="A1952" s="44"/>
    </row>
    <row r="1953" spans="1:1" x14ac:dyDescent="0.3">
      <c r="A1953" s="44"/>
    </row>
    <row r="1954" spans="1:1" x14ac:dyDescent="0.3">
      <c r="A1954" s="44"/>
    </row>
    <row r="1955" spans="1:1" x14ac:dyDescent="0.3">
      <c r="A1955" s="44"/>
    </row>
    <row r="1956" spans="1:1" x14ac:dyDescent="0.3">
      <c r="A1956" s="44"/>
    </row>
    <row r="1957" spans="1:1" x14ac:dyDescent="0.3">
      <c r="A1957" s="44"/>
    </row>
    <row r="1958" spans="1:1" x14ac:dyDescent="0.3">
      <c r="A1958" s="44"/>
    </row>
    <row r="1959" spans="1:1" x14ac:dyDescent="0.3">
      <c r="A1959" s="44"/>
    </row>
    <row r="1960" spans="1:1" x14ac:dyDescent="0.3">
      <c r="A1960" s="44"/>
    </row>
    <row r="1961" spans="1:1" x14ac:dyDescent="0.3">
      <c r="A1961" s="44"/>
    </row>
    <row r="1962" spans="1:1" x14ac:dyDescent="0.3">
      <c r="A1962" s="44"/>
    </row>
    <row r="1963" spans="1:1" x14ac:dyDescent="0.3">
      <c r="A1963" s="44"/>
    </row>
    <row r="1964" spans="1:1" x14ac:dyDescent="0.3">
      <c r="A1964" s="44"/>
    </row>
    <row r="1965" spans="1:1" x14ac:dyDescent="0.3">
      <c r="A1965" s="44"/>
    </row>
    <row r="1966" spans="1:1" x14ac:dyDescent="0.3">
      <c r="A1966" s="44"/>
    </row>
    <row r="1967" spans="1:1" x14ac:dyDescent="0.3">
      <c r="A1967" s="44"/>
    </row>
    <row r="1968" spans="1:1" x14ac:dyDescent="0.3">
      <c r="A1968" s="44"/>
    </row>
    <row r="1969" spans="1:1" x14ac:dyDescent="0.3">
      <c r="A1969" s="44"/>
    </row>
    <row r="1970" spans="1:1" x14ac:dyDescent="0.3">
      <c r="A1970" s="44"/>
    </row>
    <row r="1971" spans="1:1" x14ac:dyDescent="0.3">
      <c r="A1971" s="44"/>
    </row>
    <row r="1972" spans="1:1" x14ac:dyDescent="0.3">
      <c r="A1972" s="44"/>
    </row>
    <row r="1973" spans="1:1" x14ac:dyDescent="0.3">
      <c r="A1973" s="44"/>
    </row>
    <row r="1974" spans="1:1" x14ac:dyDescent="0.3">
      <c r="A1974" s="44"/>
    </row>
    <row r="1975" spans="1:1" x14ac:dyDescent="0.3">
      <c r="A1975" s="44"/>
    </row>
    <row r="1976" spans="1:1" x14ac:dyDescent="0.3">
      <c r="A1976" s="44"/>
    </row>
    <row r="1977" spans="1:1" x14ac:dyDescent="0.3">
      <c r="A1977" s="44"/>
    </row>
    <row r="1978" spans="1:1" x14ac:dyDescent="0.3">
      <c r="A1978" s="44"/>
    </row>
    <row r="1979" spans="1:1" x14ac:dyDescent="0.3">
      <c r="A1979" s="44"/>
    </row>
    <row r="1980" spans="1:1" x14ac:dyDescent="0.3">
      <c r="A1980" s="44"/>
    </row>
    <row r="1981" spans="1:1" x14ac:dyDescent="0.3">
      <c r="A1981" s="44"/>
    </row>
    <row r="1982" spans="1:1" x14ac:dyDescent="0.3">
      <c r="A1982" s="44"/>
    </row>
    <row r="1983" spans="1:1" x14ac:dyDescent="0.3">
      <c r="A1983" s="44"/>
    </row>
    <row r="1984" spans="1:1" x14ac:dyDescent="0.3">
      <c r="A1984" s="44"/>
    </row>
    <row r="1985" spans="1:1" x14ac:dyDescent="0.3">
      <c r="A1985" s="44"/>
    </row>
    <row r="1986" spans="1:1" x14ac:dyDescent="0.3">
      <c r="A1986" s="44"/>
    </row>
    <row r="1987" spans="1:1" x14ac:dyDescent="0.3">
      <c r="A1987" s="44"/>
    </row>
    <row r="1988" spans="1:1" x14ac:dyDescent="0.3">
      <c r="A1988" s="44"/>
    </row>
    <row r="1989" spans="1:1" x14ac:dyDescent="0.3">
      <c r="A1989" s="44"/>
    </row>
    <row r="1990" spans="1:1" x14ac:dyDescent="0.3">
      <c r="A1990" s="44"/>
    </row>
    <row r="1991" spans="1:1" x14ac:dyDescent="0.3">
      <c r="A1991" s="44"/>
    </row>
    <row r="1992" spans="1:1" x14ac:dyDescent="0.3">
      <c r="A1992" s="44"/>
    </row>
    <row r="1993" spans="1:1" x14ac:dyDescent="0.3">
      <c r="A1993" s="44"/>
    </row>
    <row r="1994" spans="1:1" x14ac:dyDescent="0.3">
      <c r="A1994" s="44"/>
    </row>
    <row r="1995" spans="1:1" x14ac:dyDescent="0.3">
      <c r="A1995" s="44"/>
    </row>
    <row r="1996" spans="1:1" x14ac:dyDescent="0.3">
      <c r="A1996" s="44"/>
    </row>
    <row r="1997" spans="1:1" x14ac:dyDescent="0.3">
      <c r="A1997" s="44"/>
    </row>
    <row r="1998" spans="1:1" x14ac:dyDescent="0.3">
      <c r="A1998" s="44"/>
    </row>
    <row r="1999" spans="1:1" x14ac:dyDescent="0.3">
      <c r="A1999" s="44"/>
    </row>
    <row r="2000" spans="1:1" x14ac:dyDescent="0.3">
      <c r="A2000" s="44"/>
    </row>
    <row r="2001" spans="1:1" x14ac:dyDescent="0.3">
      <c r="A2001" s="44"/>
    </row>
    <row r="2002" spans="1:1" x14ac:dyDescent="0.3">
      <c r="A2002" s="44"/>
    </row>
    <row r="2003" spans="1:1" x14ac:dyDescent="0.3">
      <c r="A2003" s="44"/>
    </row>
    <row r="2004" spans="1:1" x14ac:dyDescent="0.3">
      <c r="A2004" s="44"/>
    </row>
    <row r="2005" spans="1:1" x14ac:dyDescent="0.3">
      <c r="A2005" s="44"/>
    </row>
    <row r="2006" spans="1:1" x14ac:dyDescent="0.3">
      <c r="A2006" s="44"/>
    </row>
    <row r="2007" spans="1:1" x14ac:dyDescent="0.3">
      <c r="A2007" s="44"/>
    </row>
    <row r="2008" spans="1:1" x14ac:dyDescent="0.3">
      <c r="A2008" s="44"/>
    </row>
    <row r="2009" spans="1:1" x14ac:dyDescent="0.3">
      <c r="A2009" s="44"/>
    </row>
    <row r="2010" spans="1:1" x14ac:dyDescent="0.3">
      <c r="A2010" s="44"/>
    </row>
    <row r="2011" spans="1:1" x14ac:dyDescent="0.3">
      <c r="A2011" s="44"/>
    </row>
    <row r="2012" spans="1:1" x14ac:dyDescent="0.3">
      <c r="A2012" s="44"/>
    </row>
    <row r="2013" spans="1:1" x14ac:dyDescent="0.3">
      <c r="A2013" s="44"/>
    </row>
    <row r="2014" spans="1:1" x14ac:dyDescent="0.3">
      <c r="A2014" s="44"/>
    </row>
    <row r="2015" spans="1:1" x14ac:dyDescent="0.3">
      <c r="A2015" s="44"/>
    </row>
    <row r="2016" spans="1:1" x14ac:dyDescent="0.3">
      <c r="A2016" s="44"/>
    </row>
    <row r="2017" spans="1:1" x14ac:dyDescent="0.3">
      <c r="A2017" s="44"/>
    </row>
    <row r="2018" spans="1:1" x14ac:dyDescent="0.3">
      <c r="A2018" s="44"/>
    </row>
    <row r="2019" spans="1:1" x14ac:dyDescent="0.3">
      <c r="A2019" s="44"/>
    </row>
    <row r="2020" spans="1:1" x14ac:dyDescent="0.3">
      <c r="A2020" s="44"/>
    </row>
    <row r="2021" spans="1:1" x14ac:dyDescent="0.3">
      <c r="A2021" s="44"/>
    </row>
    <row r="2022" spans="1:1" x14ac:dyDescent="0.3">
      <c r="A2022" s="44"/>
    </row>
    <row r="2023" spans="1:1" x14ac:dyDescent="0.3">
      <c r="A2023" s="44"/>
    </row>
    <row r="2024" spans="1:1" x14ac:dyDescent="0.3">
      <c r="A2024" s="44"/>
    </row>
    <row r="2025" spans="1:1" x14ac:dyDescent="0.3">
      <c r="A2025" s="44"/>
    </row>
    <row r="2026" spans="1:1" x14ac:dyDescent="0.3">
      <c r="A2026" s="44"/>
    </row>
    <row r="2027" spans="1:1" x14ac:dyDescent="0.3">
      <c r="A2027" s="44"/>
    </row>
    <row r="2028" spans="1:1" x14ac:dyDescent="0.3">
      <c r="A2028" s="44"/>
    </row>
    <row r="2029" spans="1:1" x14ac:dyDescent="0.3">
      <c r="A2029" s="44"/>
    </row>
    <row r="2030" spans="1:1" x14ac:dyDescent="0.3">
      <c r="A2030" s="44"/>
    </row>
    <row r="2031" spans="1:1" x14ac:dyDescent="0.3">
      <c r="A2031" s="44"/>
    </row>
    <row r="2032" spans="1:1" x14ac:dyDescent="0.3">
      <c r="A2032" s="44"/>
    </row>
    <row r="2033" spans="1:1" x14ac:dyDescent="0.3">
      <c r="A2033" s="44"/>
    </row>
    <row r="2034" spans="1:1" x14ac:dyDescent="0.3">
      <c r="A2034" s="44"/>
    </row>
    <row r="2035" spans="1:1" x14ac:dyDescent="0.3">
      <c r="A2035" s="44"/>
    </row>
    <row r="2036" spans="1:1" x14ac:dyDescent="0.3">
      <c r="A2036" s="44"/>
    </row>
    <row r="2037" spans="1:1" x14ac:dyDescent="0.3">
      <c r="A2037" s="44"/>
    </row>
    <row r="2038" spans="1:1" x14ac:dyDescent="0.3">
      <c r="A2038" s="44"/>
    </row>
    <row r="2039" spans="1:1" x14ac:dyDescent="0.3">
      <c r="A2039" s="44"/>
    </row>
    <row r="2040" spans="1:1" x14ac:dyDescent="0.3">
      <c r="A2040" s="44"/>
    </row>
    <row r="2041" spans="1:1" x14ac:dyDescent="0.3">
      <c r="A2041" s="44"/>
    </row>
    <row r="2042" spans="1:1" x14ac:dyDescent="0.3">
      <c r="A2042" s="44"/>
    </row>
    <row r="2043" spans="1:1" x14ac:dyDescent="0.3">
      <c r="A2043" s="44"/>
    </row>
    <row r="2044" spans="1:1" x14ac:dyDescent="0.3">
      <c r="A2044" s="44"/>
    </row>
    <row r="2045" spans="1:1" x14ac:dyDescent="0.3">
      <c r="A2045" s="44"/>
    </row>
    <row r="2046" spans="1:1" x14ac:dyDescent="0.3">
      <c r="A2046" s="44"/>
    </row>
    <row r="2047" spans="1:1" x14ac:dyDescent="0.3">
      <c r="A2047" s="44"/>
    </row>
    <row r="2048" spans="1:1" x14ac:dyDescent="0.3">
      <c r="A2048" s="44"/>
    </row>
    <row r="2049" spans="1:1" x14ac:dyDescent="0.3">
      <c r="A2049" s="44"/>
    </row>
    <row r="2050" spans="1:1" x14ac:dyDescent="0.3">
      <c r="A2050" s="44"/>
    </row>
    <row r="2051" spans="1:1" x14ac:dyDescent="0.3">
      <c r="A2051" s="44"/>
    </row>
    <row r="2052" spans="1:1" x14ac:dyDescent="0.3">
      <c r="A2052" s="44"/>
    </row>
    <row r="2053" spans="1:1" x14ac:dyDescent="0.3">
      <c r="A2053" s="44"/>
    </row>
    <row r="2054" spans="1:1" x14ac:dyDescent="0.3">
      <c r="A2054" s="44"/>
    </row>
    <row r="2055" spans="1:1" x14ac:dyDescent="0.3">
      <c r="A2055" s="44"/>
    </row>
    <row r="2056" spans="1:1" x14ac:dyDescent="0.3">
      <c r="A2056" s="44"/>
    </row>
    <row r="2057" spans="1:1" x14ac:dyDescent="0.3">
      <c r="A2057" s="44"/>
    </row>
    <row r="2058" spans="1:1" x14ac:dyDescent="0.3">
      <c r="A2058" s="44"/>
    </row>
    <row r="2059" spans="1:1" x14ac:dyDescent="0.3">
      <c r="A2059" s="44"/>
    </row>
    <row r="2060" spans="1:1" x14ac:dyDescent="0.3">
      <c r="A2060" s="44"/>
    </row>
    <row r="2061" spans="1:1" x14ac:dyDescent="0.3">
      <c r="A2061" s="44"/>
    </row>
    <row r="2062" spans="1:1" x14ac:dyDescent="0.3">
      <c r="A2062" s="44"/>
    </row>
    <row r="2063" spans="1:1" x14ac:dyDescent="0.3">
      <c r="A2063" s="44"/>
    </row>
    <row r="2064" spans="1:1" x14ac:dyDescent="0.3">
      <c r="A2064" s="44"/>
    </row>
    <row r="2065" spans="1:1" x14ac:dyDescent="0.3">
      <c r="A2065" s="44"/>
    </row>
    <row r="2066" spans="1:1" x14ac:dyDescent="0.3">
      <c r="A2066" s="44"/>
    </row>
    <row r="2067" spans="1:1" x14ac:dyDescent="0.3">
      <c r="A2067" s="44"/>
    </row>
    <row r="2068" spans="1:1" x14ac:dyDescent="0.3">
      <c r="A2068" s="44"/>
    </row>
    <row r="2069" spans="1:1" x14ac:dyDescent="0.3">
      <c r="A2069" s="44"/>
    </row>
    <row r="2070" spans="1:1" x14ac:dyDescent="0.3">
      <c r="A2070" s="44"/>
    </row>
    <row r="2071" spans="1:1" x14ac:dyDescent="0.3">
      <c r="A2071" s="44"/>
    </row>
    <row r="2072" spans="1:1" x14ac:dyDescent="0.3">
      <c r="A2072" s="44"/>
    </row>
    <row r="2073" spans="1:1" x14ac:dyDescent="0.3">
      <c r="A2073" s="44"/>
    </row>
    <row r="2074" spans="1:1" x14ac:dyDescent="0.3">
      <c r="A2074" s="44"/>
    </row>
    <row r="2075" spans="1:1" x14ac:dyDescent="0.3">
      <c r="A2075" s="44"/>
    </row>
    <row r="2076" spans="1:1" x14ac:dyDescent="0.3">
      <c r="A2076" s="44"/>
    </row>
    <row r="2077" spans="1:1" x14ac:dyDescent="0.3">
      <c r="A2077" s="44"/>
    </row>
    <row r="2078" spans="1:1" x14ac:dyDescent="0.3">
      <c r="A2078" s="44"/>
    </row>
    <row r="2079" spans="1:1" x14ac:dyDescent="0.3">
      <c r="A2079" s="44"/>
    </row>
    <row r="2080" spans="1:1" x14ac:dyDescent="0.3">
      <c r="A2080" s="44"/>
    </row>
    <row r="2081" spans="1:1" x14ac:dyDescent="0.3">
      <c r="A2081" s="44"/>
    </row>
    <row r="2082" spans="1:1" x14ac:dyDescent="0.3">
      <c r="A2082" s="44"/>
    </row>
    <row r="2083" spans="1:1" x14ac:dyDescent="0.3">
      <c r="A2083" s="44"/>
    </row>
    <row r="2084" spans="1:1" x14ac:dyDescent="0.3">
      <c r="A2084" s="44"/>
    </row>
    <row r="2085" spans="1:1" x14ac:dyDescent="0.3">
      <c r="A2085" s="44"/>
    </row>
    <row r="2086" spans="1:1" x14ac:dyDescent="0.3">
      <c r="A2086" s="44"/>
    </row>
    <row r="2087" spans="1:1" x14ac:dyDescent="0.3">
      <c r="A2087" s="44"/>
    </row>
    <row r="2088" spans="1:1" x14ac:dyDescent="0.3">
      <c r="A2088" s="44"/>
    </row>
    <row r="2089" spans="1:1" x14ac:dyDescent="0.3">
      <c r="A2089" s="44"/>
    </row>
    <row r="2090" spans="1:1" x14ac:dyDescent="0.3">
      <c r="A2090" s="44"/>
    </row>
    <row r="2091" spans="1:1" x14ac:dyDescent="0.3">
      <c r="A2091" s="44"/>
    </row>
    <row r="2092" spans="1:1" x14ac:dyDescent="0.3">
      <c r="A2092" s="44"/>
    </row>
    <row r="2093" spans="1:1" x14ac:dyDescent="0.3">
      <c r="A2093" s="44"/>
    </row>
    <row r="2094" spans="1:1" x14ac:dyDescent="0.3">
      <c r="A2094" s="44"/>
    </row>
    <row r="2095" spans="1:1" x14ac:dyDescent="0.3">
      <c r="A2095" s="44"/>
    </row>
    <row r="2096" spans="1:1" x14ac:dyDescent="0.3">
      <c r="A2096" s="44"/>
    </row>
    <row r="2097" spans="1:1" x14ac:dyDescent="0.3">
      <c r="A2097" s="44"/>
    </row>
    <row r="2098" spans="1:1" x14ac:dyDescent="0.3">
      <c r="A2098" s="44"/>
    </row>
    <row r="2099" spans="1:1" x14ac:dyDescent="0.3">
      <c r="A2099" s="44"/>
    </row>
    <row r="2100" spans="1:1" x14ac:dyDescent="0.3">
      <c r="A2100" s="44"/>
    </row>
    <row r="2101" spans="1:1" x14ac:dyDescent="0.3">
      <c r="A2101" s="44"/>
    </row>
    <row r="2102" spans="1:1" x14ac:dyDescent="0.3">
      <c r="A2102" s="44"/>
    </row>
    <row r="2103" spans="1:1" x14ac:dyDescent="0.3">
      <c r="A2103" s="44"/>
    </row>
    <row r="2104" spans="1:1" x14ac:dyDescent="0.3">
      <c r="A2104" s="44"/>
    </row>
    <row r="2105" spans="1:1" x14ac:dyDescent="0.3">
      <c r="A2105" s="44"/>
    </row>
    <row r="2106" spans="1:1" x14ac:dyDescent="0.3">
      <c r="A2106" s="44"/>
    </row>
    <row r="2107" spans="1:1" x14ac:dyDescent="0.3">
      <c r="A2107" s="44"/>
    </row>
    <row r="2108" spans="1:1" x14ac:dyDescent="0.3">
      <c r="A2108" s="44"/>
    </row>
    <row r="2109" spans="1:1" x14ac:dyDescent="0.3">
      <c r="A2109" s="44"/>
    </row>
    <row r="2110" spans="1:1" x14ac:dyDescent="0.3">
      <c r="A2110" s="44"/>
    </row>
    <row r="2111" spans="1:1" x14ac:dyDescent="0.3">
      <c r="A2111" s="44"/>
    </row>
    <row r="2112" spans="1:1" x14ac:dyDescent="0.3">
      <c r="A2112" s="44"/>
    </row>
    <row r="2113" spans="1:1" x14ac:dyDescent="0.3">
      <c r="A2113" s="44"/>
    </row>
    <row r="2114" spans="1:1" x14ac:dyDescent="0.3">
      <c r="A2114" s="44"/>
    </row>
    <row r="2115" spans="1:1" x14ac:dyDescent="0.3">
      <c r="A2115" s="44"/>
    </row>
    <row r="2116" spans="1:1" x14ac:dyDescent="0.3">
      <c r="A2116" s="44"/>
    </row>
    <row r="2117" spans="1:1" x14ac:dyDescent="0.3">
      <c r="A2117" s="44"/>
    </row>
    <row r="2118" spans="1:1" x14ac:dyDescent="0.3">
      <c r="A2118" s="44"/>
    </row>
    <row r="2119" spans="1:1" x14ac:dyDescent="0.3">
      <c r="A2119" s="44"/>
    </row>
    <row r="2120" spans="1:1" x14ac:dyDescent="0.3">
      <c r="A2120" s="44"/>
    </row>
    <row r="2121" spans="1:1" x14ac:dyDescent="0.3">
      <c r="A2121" s="44"/>
    </row>
    <row r="2122" spans="1:1" x14ac:dyDescent="0.3">
      <c r="A2122" s="44"/>
    </row>
    <row r="2123" spans="1:1" x14ac:dyDescent="0.3">
      <c r="A2123" s="44"/>
    </row>
    <row r="2124" spans="1:1" x14ac:dyDescent="0.3">
      <c r="A2124" s="44"/>
    </row>
    <row r="2125" spans="1:1" x14ac:dyDescent="0.3">
      <c r="A2125" s="44"/>
    </row>
    <row r="2126" spans="1:1" x14ac:dyDescent="0.3">
      <c r="A2126" s="44"/>
    </row>
    <row r="2127" spans="1:1" x14ac:dyDescent="0.3">
      <c r="A2127" s="44"/>
    </row>
    <row r="2128" spans="1:1" x14ac:dyDescent="0.3">
      <c r="A2128" s="44"/>
    </row>
    <row r="2129" spans="1:1" x14ac:dyDescent="0.3">
      <c r="A2129" s="44"/>
    </row>
    <row r="2130" spans="1:1" x14ac:dyDescent="0.3">
      <c r="A2130" s="44"/>
    </row>
    <row r="2131" spans="1:1" x14ac:dyDescent="0.3">
      <c r="A2131" s="44"/>
    </row>
    <row r="2132" spans="1:1" x14ac:dyDescent="0.3">
      <c r="A2132" s="44"/>
    </row>
    <row r="2133" spans="1:1" x14ac:dyDescent="0.3">
      <c r="A2133" s="44"/>
    </row>
    <row r="2134" spans="1:1" x14ac:dyDescent="0.3">
      <c r="A2134" s="44"/>
    </row>
    <row r="2135" spans="1:1" x14ac:dyDescent="0.3">
      <c r="A2135" s="44"/>
    </row>
    <row r="2136" spans="1:1" x14ac:dyDescent="0.3">
      <c r="A2136" s="44"/>
    </row>
    <row r="2137" spans="1:1" x14ac:dyDescent="0.3">
      <c r="A2137" s="44"/>
    </row>
    <row r="2138" spans="1:1" x14ac:dyDescent="0.3">
      <c r="A2138" s="44"/>
    </row>
    <row r="2139" spans="1:1" x14ac:dyDescent="0.3">
      <c r="A2139" s="44"/>
    </row>
    <row r="2140" spans="1:1" x14ac:dyDescent="0.3">
      <c r="A2140" s="44"/>
    </row>
    <row r="2141" spans="1:1" x14ac:dyDescent="0.3">
      <c r="A2141" s="44"/>
    </row>
    <row r="2142" spans="1:1" x14ac:dyDescent="0.3">
      <c r="A2142" s="44"/>
    </row>
    <row r="2143" spans="1:1" x14ac:dyDescent="0.3">
      <c r="A2143" s="44"/>
    </row>
    <row r="2144" spans="1:1" x14ac:dyDescent="0.3">
      <c r="A2144" s="44"/>
    </row>
    <row r="2145" spans="1:1" x14ac:dyDescent="0.3">
      <c r="A2145" s="44"/>
    </row>
    <row r="2146" spans="1:1" x14ac:dyDescent="0.3">
      <c r="A2146" s="44"/>
    </row>
    <row r="2147" spans="1:1" x14ac:dyDescent="0.3">
      <c r="A2147" s="44"/>
    </row>
    <row r="2148" spans="1:1" x14ac:dyDescent="0.3">
      <c r="A2148" s="44"/>
    </row>
    <row r="2149" spans="1:1" x14ac:dyDescent="0.3">
      <c r="A2149" s="44"/>
    </row>
    <row r="2150" spans="1:1" x14ac:dyDescent="0.3">
      <c r="A2150" s="44"/>
    </row>
    <row r="2151" spans="1:1" x14ac:dyDescent="0.3">
      <c r="A2151" s="44"/>
    </row>
    <row r="2152" spans="1:1" x14ac:dyDescent="0.3">
      <c r="A2152" s="44"/>
    </row>
    <row r="2153" spans="1:1" x14ac:dyDescent="0.3">
      <c r="A2153" s="44"/>
    </row>
    <row r="2154" spans="1:1" x14ac:dyDescent="0.3">
      <c r="A2154" s="44"/>
    </row>
    <row r="2155" spans="1:1" x14ac:dyDescent="0.3">
      <c r="A2155" s="44"/>
    </row>
    <row r="2156" spans="1:1" x14ac:dyDescent="0.3">
      <c r="A2156" s="44"/>
    </row>
    <row r="2157" spans="1:1" x14ac:dyDescent="0.3">
      <c r="A2157" s="44"/>
    </row>
    <row r="2158" spans="1:1" x14ac:dyDescent="0.3">
      <c r="A2158" s="44"/>
    </row>
    <row r="2159" spans="1:1" x14ac:dyDescent="0.3">
      <c r="A2159" s="44"/>
    </row>
    <row r="2160" spans="1:1" x14ac:dyDescent="0.3">
      <c r="A2160" s="44"/>
    </row>
    <row r="2161" spans="1:1" x14ac:dyDescent="0.3">
      <c r="A2161" s="44"/>
    </row>
    <row r="2162" spans="1:1" x14ac:dyDescent="0.3">
      <c r="A2162" s="44"/>
    </row>
    <row r="2163" spans="1:1" x14ac:dyDescent="0.3">
      <c r="A2163" s="44"/>
    </row>
    <row r="2164" spans="1:1" x14ac:dyDescent="0.3">
      <c r="A2164" s="44"/>
    </row>
    <row r="2165" spans="1:1" x14ac:dyDescent="0.3">
      <c r="A2165" s="44"/>
    </row>
    <row r="2166" spans="1:1" x14ac:dyDescent="0.3">
      <c r="A2166" s="44"/>
    </row>
    <row r="2167" spans="1:1" x14ac:dyDescent="0.3">
      <c r="A2167" s="44"/>
    </row>
    <row r="2168" spans="1:1" x14ac:dyDescent="0.3">
      <c r="A2168" s="44"/>
    </row>
    <row r="2169" spans="1:1" x14ac:dyDescent="0.3">
      <c r="A2169" s="44"/>
    </row>
    <row r="2170" spans="1:1" x14ac:dyDescent="0.3">
      <c r="A2170" s="44"/>
    </row>
    <row r="2171" spans="1:1" x14ac:dyDescent="0.3">
      <c r="A2171" s="44"/>
    </row>
    <row r="2172" spans="1:1" x14ac:dyDescent="0.3">
      <c r="A2172" s="44"/>
    </row>
    <row r="2173" spans="1:1" x14ac:dyDescent="0.3">
      <c r="A2173" s="44"/>
    </row>
    <row r="2174" spans="1:1" x14ac:dyDescent="0.3">
      <c r="A2174" s="44"/>
    </row>
    <row r="2175" spans="1:1" x14ac:dyDescent="0.3">
      <c r="A2175" s="44"/>
    </row>
    <row r="2176" spans="1:1" x14ac:dyDescent="0.3">
      <c r="A2176" s="44"/>
    </row>
    <row r="2177" spans="1:1" x14ac:dyDescent="0.3">
      <c r="A2177" s="44"/>
    </row>
    <row r="2178" spans="1:1" x14ac:dyDescent="0.3">
      <c r="A2178" s="44"/>
    </row>
    <row r="2179" spans="1:1" x14ac:dyDescent="0.3">
      <c r="A2179" s="44"/>
    </row>
    <row r="2180" spans="1:1" x14ac:dyDescent="0.3">
      <c r="A2180" s="44"/>
    </row>
    <row r="2181" spans="1:1" x14ac:dyDescent="0.3">
      <c r="A2181" s="44"/>
    </row>
    <row r="2182" spans="1:1" x14ac:dyDescent="0.3">
      <c r="A2182" s="44"/>
    </row>
    <row r="2183" spans="1:1" x14ac:dyDescent="0.3">
      <c r="A2183" s="44"/>
    </row>
    <row r="2184" spans="1:1" x14ac:dyDescent="0.3">
      <c r="A2184" s="44"/>
    </row>
    <row r="2185" spans="1:1" x14ac:dyDescent="0.3">
      <c r="A2185" s="44"/>
    </row>
    <row r="2186" spans="1:1" x14ac:dyDescent="0.3">
      <c r="A2186" s="44"/>
    </row>
    <row r="2187" spans="1:1" x14ac:dyDescent="0.3">
      <c r="A2187" s="44"/>
    </row>
    <row r="2188" spans="1:1" x14ac:dyDescent="0.3">
      <c r="A2188" s="44"/>
    </row>
    <row r="2189" spans="1:1" x14ac:dyDescent="0.3">
      <c r="A2189" s="44"/>
    </row>
    <row r="2190" spans="1:1" x14ac:dyDescent="0.3">
      <c r="A2190" s="44"/>
    </row>
    <row r="2191" spans="1:1" x14ac:dyDescent="0.3">
      <c r="A2191" s="44"/>
    </row>
    <row r="2192" spans="1:1" x14ac:dyDescent="0.3">
      <c r="A2192" s="44"/>
    </row>
    <row r="2193" spans="1:1" x14ac:dyDescent="0.3">
      <c r="A2193" s="44"/>
    </row>
    <row r="2194" spans="1:1" x14ac:dyDescent="0.3">
      <c r="A2194" s="44"/>
    </row>
    <row r="2195" spans="1:1" x14ac:dyDescent="0.3">
      <c r="A2195" s="44"/>
    </row>
    <row r="2196" spans="1:1" x14ac:dyDescent="0.3">
      <c r="A2196" s="44"/>
    </row>
    <row r="2197" spans="1:1" x14ac:dyDescent="0.3">
      <c r="A2197" s="44"/>
    </row>
    <row r="2198" spans="1:1" x14ac:dyDescent="0.3">
      <c r="A2198" s="44"/>
    </row>
    <row r="2199" spans="1:1" x14ac:dyDescent="0.3">
      <c r="A2199" s="44"/>
    </row>
    <row r="2200" spans="1:1" x14ac:dyDescent="0.3">
      <c r="A2200" s="44"/>
    </row>
    <row r="2201" spans="1:1" x14ac:dyDescent="0.3">
      <c r="A2201" s="44"/>
    </row>
    <row r="2202" spans="1:1" x14ac:dyDescent="0.3">
      <c r="A2202" s="44"/>
    </row>
    <row r="2203" spans="1:1" x14ac:dyDescent="0.3">
      <c r="A2203" s="44"/>
    </row>
    <row r="2204" spans="1:1" x14ac:dyDescent="0.3">
      <c r="A2204" s="44"/>
    </row>
    <row r="2205" spans="1:1" x14ac:dyDescent="0.3">
      <c r="A2205" s="44"/>
    </row>
    <row r="2206" spans="1:1" x14ac:dyDescent="0.3">
      <c r="A2206" s="44"/>
    </row>
    <row r="2207" spans="1:1" x14ac:dyDescent="0.3">
      <c r="A2207" s="44"/>
    </row>
    <row r="2208" spans="1:1" x14ac:dyDescent="0.3">
      <c r="A2208" s="44"/>
    </row>
    <row r="2209" spans="1:1" x14ac:dyDescent="0.3">
      <c r="A2209" s="44"/>
    </row>
    <row r="2210" spans="1:1" x14ac:dyDescent="0.3">
      <c r="A2210" s="44"/>
    </row>
    <row r="2211" spans="1:1" x14ac:dyDescent="0.3">
      <c r="A2211" s="44"/>
    </row>
    <row r="2212" spans="1:1" x14ac:dyDescent="0.3">
      <c r="A2212" s="44"/>
    </row>
    <row r="2213" spans="1:1" x14ac:dyDescent="0.3">
      <c r="A2213" s="44"/>
    </row>
    <row r="2214" spans="1:1" x14ac:dyDescent="0.3">
      <c r="A2214" s="44"/>
    </row>
    <row r="2215" spans="1:1" x14ac:dyDescent="0.3">
      <c r="A2215" s="44"/>
    </row>
    <row r="2216" spans="1:1" x14ac:dyDescent="0.3">
      <c r="A2216" s="44"/>
    </row>
    <row r="2217" spans="1:1" x14ac:dyDescent="0.3">
      <c r="A2217" s="44"/>
    </row>
    <row r="2218" spans="1:1" x14ac:dyDescent="0.3">
      <c r="A2218" s="44"/>
    </row>
    <row r="2219" spans="1:1" x14ac:dyDescent="0.3">
      <c r="A2219" s="44"/>
    </row>
    <row r="2220" spans="1:1" x14ac:dyDescent="0.3">
      <c r="A2220" s="44"/>
    </row>
    <row r="2221" spans="1:1" x14ac:dyDescent="0.3">
      <c r="A2221" s="44"/>
    </row>
    <row r="2222" spans="1:1" x14ac:dyDescent="0.3">
      <c r="A2222" s="44"/>
    </row>
    <row r="2223" spans="1:1" x14ac:dyDescent="0.3">
      <c r="A2223" s="44"/>
    </row>
    <row r="2224" spans="1:1" x14ac:dyDescent="0.3">
      <c r="A2224" s="44"/>
    </row>
    <row r="2225" spans="1:1" x14ac:dyDescent="0.3">
      <c r="A2225" s="44"/>
    </row>
    <row r="2226" spans="1:1" x14ac:dyDescent="0.3">
      <c r="A2226" s="44"/>
    </row>
    <row r="2227" spans="1:1" x14ac:dyDescent="0.3">
      <c r="A2227" s="44"/>
    </row>
    <row r="2228" spans="1:1" x14ac:dyDescent="0.3">
      <c r="A2228" s="44"/>
    </row>
    <row r="2229" spans="1:1" x14ac:dyDescent="0.3">
      <c r="A2229" s="44"/>
    </row>
    <row r="2230" spans="1:1" x14ac:dyDescent="0.3">
      <c r="A2230" s="44"/>
    </row>
    <row r="2231" spans="1:1" x14ac:dyDescent="0.3">
      <c r="A2231" s="44"/>
    </row>
    <row r="2232" spans="1:1" x14ac:dyDescent="0.3">
      <c r="A2232" s="44"/>
    </row>
    <row r="2233" spans="1:1" x14ac:dyDescent="0.3">
      <c r="A2233" s="44"/>
    </row>
    <row r="2234" spans="1:1" x14ac:dyDescent="0.3">
      <c r="A2234" s="44"/>
    </row>
    <row r="2235" spans="1:1" x14ac:dyDescent="0.3">
      <c r="A2235" s="44"/>
    </row>
    <row r="2236" spans="1:1" x14ac:dyDescent="0.3">
      <c r="A2236" s="44"/>
    </row>
    <row r="2237" spans="1:1" x14ac:dyDescent="0.3">
      <c r="A2237" s="44"/>
    </row>
    <row r="2238" spans="1:1" x14ac:dyDescent="0.3">
      <c r="A2238" s="44"/>
    </row>
    <row r="2239" spans="1:1" x14ac:dyDescent="0.3">
      <c r="A2239" s="44"/>
    </row>
    <row r="2240" spans="1:1" x14ac:dyDescent="0.3">
      <c r="A2240" s="44"/>
    </row>
    <row r="2241" spans="1:1" x14ac:dyDescent="0.3">
      <c r="A2241" s="44"/>
    </row>
    <row r="2242" spans="1:1" x14ac:dyDescent="0.3">
      <c r="A2242" s="44"/>
    </row>
    <row r="2243" spans="1:1" x14ac:dyDescent="0.3">
      <c r="A2243" s="44"/>
    </row>
    <row r="2244" spans="1:1" x14ac:dyDescent="0.3">
      <c r="A2244" s="44"/>
    </row>
    <row r="2245" spans="1:1" x14ac:dyDescent="0.3">
      <c r="A2245" s="44"/>
    </row>
    <row r="2246" spans="1:1" x14ac:dyDescent="0.3">
      <c r="A2246" s="44"/>
    </row>
    <row r="2247" spans="1:1" x14ac:dyDescent="0.3">
      <c r="A2247" s="44"/>
    </row>
    <row r="2248" spans="1:1" x14ac:dyDescent="0.3">
      <c r="A2248" s="44"/>
    </row>
    <row r="2249" spans="1:1" x14ac:dyDescent="0.3">
      <c r="A2249" s="44"/>
    </row>
    <row r="2250" spans="1:1" x14ac:dyDescent="0.3">
      <c r="A2250" s="44"/>
    </row>
    <row r="2251" spans="1:1" x14ac:dyDescent="0.3">
      <c r="A2251" s="44"/>
    </row>
    <row r="2252" spans="1:1" x14ac:dyDescent="0.3">
      <c r="A2252" s="44"/>
    </row>
    <row r="2253" spans="1:1" x14ac:dyDescent="0.3">
      <c r="A2253" s="44"/>
    </row>
    <row r="2254" spans="1:1" x14ac:dyDescent="0.3">
      <c r="A2254" s="44"/>
    </row>
    <row r="2255" spans="1:1" x14ac:dyDescent="0.3">
      <c r="A2255" s="44"/>
    </row>
    <row r="2256" spans="1:1" x14ac:dyDescent="0.3">
      <c r="A2256" s="44"/>
    </row>
    <row r="2257" spans="1:1" x14ac:dyDescent="0.3">
      <c r="A2257" s="44"/>
    </row>
    <row r="2258" spans="1:1" x14ac:dyDescent="0.3">
      <c r="A2258" s="44"/>
    </row>
    <row r="2259" spans="1:1" x14ac:dyDescent="0.3">
      <c r="A2259" s="44"/>
    </row>
    <row r="2260" spans="1:1" x14ac:dyDescent="0.3">
      <c r="A2260" s="44"/>
    </row>
    <row r="2261" spans="1:1" x14ac:dyDescent="0.3">
      <c r="A2261" s="44"/>
    </row>
    <row r="2262" spans="1:1" x14ac:dyDescent="0.3">
      <c r="A2262" s="44"/>
    </row>
    <row r="2263" spans="1:1" x14ac:dyDescent="0.3">
      <c r="A2263" s="44"/>
    </row>
    <row r="2264" spans="1:1" x14ac:dyDescent="0.3">
      <c r="A2264" s="44"/>
    </row>
    <row r="2265" spans="1:1" x14ac:dyDescent="0.3">
      <c r="A2265" s="44"/>
    </row>
    <row r="2266" spans="1:1" x14ac:dyDescent="0.3">
      <c r="A2266" s="44"/>
    </row>
    <row r="2267" spans="1:1" x14ac:dyDescent="0.3">
      <c r="A2267" s="44"/>
    </row>
    <row r="2268" spans="1:1" x14ac:dyDescent="0.3">
      <c r="A2268" s="44"/>
    </row>
    <row r="2269" spans="1:1" x14ac:dyDescent="0.3">
      <c r="A2269" s="44"/>
    </row>
    <row r="2270" spans="1:1" x14ac:dyDescent="0.3">
      <c r="A2270" s="44"/>
    </row>
    <row r="2271" spans="1:1" x14ac:dyDescent="0.3">
      <c r="A2271" s="44"/>
    </row>
    <row r="2272" spans="1:1" x14ac:dyDescent="0.3">
      <c r="A2272" s="44"/>
    </row>
    <row r="2273" spans="1:1" x14ac:dyDescent="0.3">
      <c r="A2273" s="44"/>
    </row>
    <row r="2274" spans="1:1" x14ac:dyDescent="0.3">
      <c r="A2274" s="44"/>
    </row>
    <row r="2275" spans="1:1" x14ac:dyDescent="0.3">
      <c r="A2275" s="44"/>
    </row>
    <row r="2276" spans="1:1" x14ac:dyDescent="0.3">
      <c r="A2276" s="44"/>
    </row>
    <row r="2277" spans="1:1" x14ac:dyDescent="0.3">
      <c r="A2277" s="44"/>
    </row>
    <row r="2278" spans="1:1" x14ac:dyDescent="0.3">
      <c r="A2278" s="44"/>
    </row>
    <row r="2279" spans="1:1" x14ac:dyDescent="0.3">
      <c r="A2279" s="44"/>
    </row>
    <row r="2280" spans="1:1" x14ac:dyDescent="0.3">
      <c r="A2280" s="44"/>
    </row>
    <row r="2281" spans="1:1" x14ac:dyDescent="0.3">
      <c r="A2281" s="44"/>
    </row>
    <row r="2282" spans="1:1" x14ac:dyDescent="0.3">
      <c r="A2282" s="44"/>
    </row>
    <row r="2283" spans="1:1" x14ac:dyDescent="0.3">
      <c r="A2283" s="44"/>
    </row>
    <row r="2284" spans="1:1" x14ac:dyDescent="0.3">
      <c r="A2284" s="44"/>
    </row>
    <row r="2285" spans="1:1" x14ac:dyDescent="0.3">
      <c r="A2285" s="44"/>
    </row>
    <row r="2286" spans="1:1" x14ac:dyDescent="0.3">
      <c r="A2286" s="44"/>
    </row>
    <row r="2287" spans="1:1" x14ac:dyDescent="0.3">
      <c r="A2287" s="44"/>
    </row>
    <row r="2288" spans="1:1" x14ac:dyDescent="0.3">
      <c r="A2288" s="44"/>
    </row>
    <row r="2289" spans="1:1" x14ac:dyDescent="0.3">
      <c r="A2289" s="44"/>
    </row>
    <row r="2290" spans="1:1" x14ac:dyDescent="0.3">
      <c r="A2290" s="44"/>
    </row>
    <row r="2291" spans="1:1" x14ac:dyDescent="0.3">
      <c r="A2291" s="44"/>
    </row>
    <row r="2292" spans="1:1" x14ac:dyDescent="0.3">
      <c r="A2292" s="44"/>
    </row>
    <row r="2293" spans="1:1" x14ac:dyDescent="0.3">
      <c r="A2293" s="44"/>
    </row>
    <row r="2294" spans="1:1" x14ac:dyDescent="0.3">
      <c r="A2294" s="44"/>
    </row>
    <row r="2295" spans="1:1" x14ac:dyDescent="0.3">
      <c r="A2295" s="44"/>
    </row>
    <row r="2296" spans="1:1" x14ac:dyDescent="0.3">
      <c r="A2296" s="44"/>
    </row>
    <row r="2297" spans="1:1" x14ac:dyDescent="0.3">
      <c r="A2297" s="44"/>
    </row>
    <row r="2298" spans="1:1" x14ac:dyDescent="0.3">
      <c r="A2298" s="44"/>
    </row>
    <row r="2299" spans="1:1" x14ac:dyDescent="0.3">
      <c r="A2299" s="44"/>
    </row>
    <row r="2300" spans="1:1" x14ac:dyDescent="0.3">
      <c r="A2300" s="44"/>
    </row>
    <row r="2301" spans="1:1" x14ac:dyDescent="0.3">
      <c r="A2301" s="44"/>
    </row>
    <row r="2302" spans="1:1" x14ac:dyDescent="0.3">
      <c r="A2302" s="44"/>
    </row>
    <row r="2303" spans="1:1" x14ac:dyDescent="0.3">
      <c r="A2303" s="44"/>
    </row>
    <row r="2304" spans="1:1" x14ac:dyDescent="0.3">
      <c r="A2304" s="44"/>
    </row>
    <row r="2305" spans="1:1" x14ac:dyDescent="0.3">
      <c r="A2305" s="44"/>
    </row>
    <row r="2306" spans="1:1" x14ac:dyDescent="0.3">
      <c r="A2306" s="44"/>
    </row>
    <row r="2307" spans="1:1" x14ac:dyDescent="0.3">
      <c r="A2307" s="44"/>
    </row>
    <row r="2308" spans="1:1" x14ac:dyDescent="0.3">
      <c r="A2308" s="44"/>
    </row>
    <row r="2309" spans="1:1" x14ac:dyDescent="0.3">
      <c r="A2309" s="44"/>
    </row>
    <row r="2310" spans="1:1" x14ac:dyDescent="0.3">
      <c r="A2310" s="44"/>
    </row>
    <row r="2311" spans="1:1" x14ac:dyDescent="0.3">
      <c r="A2311" s="44"/>
    </row>
    <row r="2312" spans="1:1" x14ac:dyDescent="0.3">
      <c r="A2312" s="44"/>
    </row>
    <row r="2313" spans="1:1" x14ac:dyDescent="0.3">
      <c r="A2313" s="44"/>
    </row>
    <row r="2314" spans="1:1" x14ac:dyDescent="0.3">
      <c r="A2314" s="44"/>
    </row>
    <row r="2315" spans="1:1" x14ac:dyDescent="0.3">
      <c r="A2315" s="44"/>
    </row>
    <row r="2316" spans="1:1" x14ac:dyDescent="0.3">
      <c r="A2316" s="44"/>
    </row>
    <row r="2317" spans="1:1" x14ac:dyDescent="0.3">
      <c r="A2317" s="44"/>
    </row>
    <row r="2318" spans="1:1" x14ac:dyDescent="0.3">
      <c r="A2318" s="44"/>
    </row>
    <row r="2319" spans="1:1" x14ac:dyDescent="0.3">
      <c r="A2319" s="44"/>
    </row>
    <row r="2320" spans="1:1" x14ac:dyDescent="0.3">
      <c r="A2320" s="44"/>
    </row>
    <row r="2321" spans="1:1" x14ac:dyDescent="0.3">
      <c r="A2321" s="44"/>
    </row>
    <row r="2322" spans="1:1" x14ac:dyDescent="0.3">
      <c r="A2322" s="44"/>
    </row>
    <row r="2323" spans="1:1" x14ac:dyDescent="0.3">
      <c r="A2323" s="44"/>
    </row>
    <row r="2324" spans="1:1" x14ac:dyDescent="0.3">
      <c r="A2324" s="44"/>
    </row>
    <row r="2325" spans="1:1" x14ac:dyDescent="0.3">
      <c r="A2325" s="44"/>
    </row>
    <row r="2326" spans="1:1" x14ac:dyDescent="0.3">
      <c r="A2326" s="44"/>
    </row>
    <row r="2327" spans="1:1" x14ac:dyDescent="0.3">
      <c r="A2327" s="44"/>
    </row>
    <row r="2328" spans="1:1" x14ac:dyDescent="0.3">
      <c r="A2328" s="44"/>
    </row>
    <row r="2329" spans="1:1" x14ac:dyDescent="0.3">
      <c r="A2329" s="44"/>
    </row>
    <row r="2330" spans="1:1" x14ac:dyDescent="0.3">
      <c r="A2330" s="44"/>
    </row>
    <row r="2331" spans="1:1" x14ac:dyDescent="0.3">
      <c r="A2331" s="44"/>
    </row>
    <row r="2332" spans="1:1" x14ac:dyDescent="0.3">
      <c r="A2332" s="44"/>
    </row>
    <row r="2333" spans="1:1" x14ac:dyDescent="0.3">
      <c r="A2333" s="44"/>
    </row>
    <row r="2334" spans="1:1" x14ac:dyDescent="0.3">
      <c r="A2334" s="44"/>
    </row>
    <row r="2335" spans="1:1" x14ac:dyDescent="0.3">
      <c r="A2335" s="44"/>
    </row>
    <row r="2336" spans="1:1" x14ac:dyDescent="0.3">
      <c r="A2336" s="44"/>
    </row>
    <row r="2337" spans="1:1" x14ac:dyDescent="0.3">
      <c r="A2337" s="44"/>
    </row>
    <row r="2338" spans="1:1" x14ac:dyDescent="0.3">
      <c r="A2338" s="44"/>
    </row>
    <row r="2339" spans="1:1" x14ac:dyDescent="0.3">
      <c r="A2339" s="44"/>
    </row>
    <row r="2340" spans="1:1" x14ac:dyDescent="0.3">
      <c r="A2340" s="44"/>
    </row>
    <row r="2341" spans="1:1" x14ac:dyDescent="0.3">
      <c r="A2341" s="44"/>
    </row>
    <row r="2342" spans="1:1" x14ac:dyDescent="0.3">
      <c r="A2342" s="44"/>
    </row>
    <row r="2343" spans="1:1" x14ac:dyDescent="0.3">
      <c r="A2343" s="44"/>
    </row>
    <row r="2344" spans="1:1" x14ac:dyDescent="0.3">
      <c r="A2344" s="44"/>
    </row>
    <row r="2345" spans="1:1" x14ac:dyDescent="0.3">
      <c r="A2345" s="44"/>
    </row>
    <row r="2346" spans="1:1" x14ac:dyDescent="0.3">
      <c r="A2346" s="44"/>
    </row>
    <row r="2347" spans="1:1" x14ac:dyDescent="0.3">
      <c r="A2347" s="44"/>
    </row>
    <row r="2348" spans="1:1" x14ac:dyDescent="0.3">
      <c r="A2348" s="44"/>
    </row>
    <row r="2349" spans="1:1" x14ac:dyDescent="0.3">
      <c r="A2349" s="44"/>
    </row>
    <row r="2350" spans="1:1" x14ac:dyDescent="0.3">
      <c r="A2350" s="44"/>
    </row>
    <row r="2351" spans="1:1" x14ac:dyDescent="0.3">
      <c r="A2351" s="44"/>
    </row>
    <row r="2352" spans="1:1" x14ac:dyDescent="0.3">
      <c r="A2352" s="44"/>
    </row>
    <row r="2353" spans="1:1" x14ac:dyDescent="0.3">
      <c r="A2353" s="44"/>
    </row>
    <row r="2354" spans="1:1" x14ac:dyDescent="0.3">
      <c r="A2354" s="44"/>
    </row>
    <row r="2355" spans="1:1" x14ac:dyDescent="0.3">
      <c r="A2355" s="44"/>
    </row>
    <row r="2356" spans="1:1" x14ac:dyDescent="0.3">
      <c r="A2356" s="44"/>
    </row>
    <row r="2357" spans="1:1" x14ac:dyDescent="0.3">
      <c r="A2357" s="44"/>
    </row>
    <row r="2358" spans="1:1" x14ac:dyDescent="0.3">
      <c r="A2358" s="44"/>
    </row>
    <row r="2359" spans="1:1" x14ac:dyDescent="0.3">
      <c r="A2359" s="44"/>
    </row>
    <row r="2360" spans="1:1" x14ac:dyDescent="0.3">
      <c r="A2360" s="44"/>
    </row>
    <row r="2361" spans="1:1" x14ac:dyDescent="0.3">
      <c r="A2361" s="44"/>
    </row>
    <row r="2362" spans="1:1" x14ac:dyDescent="0.3">
      <c r="A2362" s="44"/>
    </row>
    <row r="2363" spans="1:1" x14ac:dyDescent="0.3">
      <c r="A2363" s="44"/>
    </row>
    <row r="2364" spans="1:1" x14ac:dyDescent="0.3">
      <c r="A2364" s="44"/>
    </row>
    <row r="2365" spans="1:1" x14ac:dyDescent="0.3">
      <c r="A2365" s="44"/>
    </row>
    <row r="2366" spans="1:1" x14ac:dyDescent="0.3">
      <c r="A2366" s="44"/>
    </row>
    <row r="2367" spans="1:1" x14ac:dyDescent="0.3">
      <c r="A2367" s="44"/>
    </row>
    <row r="2368" spans="1:1" x14ac:dyDescent="0.3">
      <c r="A2368" s="44"/>
    </row>
    <row r="2369" spans="1:1" x14ac:dyDescent="0.3">
      <c r="A2369" s="44"/>
    </row>
    <row r="2370" spans="1:1" x14ac:dyDescent="0.3">
      <c r="A2370" s="44"/>
    </row>
    <row r="2371" spans="1:1" x14ac:dyDescent="0.3">
      <c r="A2371" s="44"/>
    </row>
    <row r="2372" spans="1:1" x14ac:dyDescent="0.3">
      <c r="A2372" s="44"/>
    </row>
    <row r="2373" spans="1:1" x14ac:dyDescent="0.3">
      <c r="A2373" s="44"/>
    </row>
    <row r="2374" spans="1:1" x14ac:dyDescent="0.3">
      <c r="A2374" s="44"/>
    </row>
    <row r="2375" spans="1:1" x14ac:dyDescent="0.3">
      <c r="A2375" s="44"/>
    </row>
    <row r="2376" spans="1:1" x14ac:dyDescent="0.3">
      <c r="A2376" s="44"/>
    </row>
    <row r="2377" spans="1:1" x14ac:dyDescent="0.3">
      <c r="A2377" s="44"/>
    </row>
    <row r="2378" spans="1:1" x14ac:dyDescent="0.3">
      <c r="A2378" s="44"/>
    </row>
    <row r="2379" spans="1:1" x14ac:dyDescent="0.3">
      <c r="A2379" s="44"/>
    </row>
    <row r="2380" spans="1:1" x14ac:dyDescent="0.3">
      <c r="A2380" s="44"/>
    </row>
    <row r="2381" spans="1:1" x14ac:dyDescent="0.3">
      <c r="A2381" s="44"/>
    </row>
    <row r="2382" spans="1:1" x14ac:dyDescent="0.3">
      <c r="A2382" s="44"/>
    </row>
    <row r="2383" spans="1:1" x14ac:dyDescent="0.3">
      <c r="A2383" s="44"/>
    </row>
    <row r="2384" spans="1:1" x14ac:dyDescent="0.3">
      <c r="A2384" s="44"/>
    </row>
    <row r="2385" spans="1:1" x14ac:dyDescent="0.3">
      <c r="A2385" s="44"/>
    </row>
    <row r="2386" spans="1:1" x14ac:dyDescent="0.3">
      <c r="A2386" s="44"/>
    </row>
    <row r="2387" spans="1:1" x14ac:dyDescent="0.3">
      <c r="A2387" s="44"/>
    </row>
    <row r="2388" spans="1:1" x14ac:dyDescent="0.3">
      <c r="A2388" s="44"/>
    </row>
    <row r="2389" spans="1:1" x14ac:dyDescent="0.3">
      <c r="A2389" s="44"/>
    </row>
    <row r="2390" spans="1:1" x14ac:dyDescent="0.3">
      <c r="A2390" s="44"/>
    </row>
    <row r="2391" spans="1:1" x14ac:dyDescent="0.3">
      <c r="A2391" s="44"/>
    </row>
    <row r="2392" spans="1:1" x14ac:dyDescent="0.3">
      <c r="A2392" s="44"/>
    </row>
    <row r="2393" spans="1:1" x14ac:dyDescent="0.3">
      <c r="A2393" s="44"/>
    </row>
    <row r="2394" spans="1:1" x14ac:dyDescent="0.3">
      <c r="A2394" s="44"/>
    </row>
    <row r="2395" spans="1:1" x14ac:dyDescent="0.3">
      <c r="A2395" s="44"/>
    </row>
    <row r="2396" spans="1:1" x14ac:dyDescent="0.3">
      <c r="A2396" s="44"/>
    </row>
    <row r="2397" spans="1:1" x14ac:dyDescent="0.3">
      <c r="A2397" s="44"/>
    </row>
    <row r="2398" spans="1:1" x14ac:dyDescent="0.3">
      <c r="A2398" s="44"/>
    </row>
    <row r="2399" spans="1:1" x14ac:dyDescent="0.3">
      <c r="A2399" s="44"/>
    </row>
    <row r="2400" spans="1:1" x14ac:dyDescent="0.3">
      <c r="A2400" s="44"/>
    </row>
    <row r="2401" spans="1:1" x14ac:dyDescent="0.3">
      <c r="A2401" s="44"/>
    </row>
    <row r="2402" spans="1:1" x14ac:dyDescent="0.3">
      <c r="A2402" s="44"/>
    </row>
    <row r="2403" spans="1:1" x14ac:dyDescent="0.3">
      <c r="A2403" s="44"/>
    </row>
    <row r="2404" spans="1:1" x14ac:dyDescent="0.3">
      <c r="A2404" s="44"/>
    </row>
    <row r="2405" spans="1:1" x14ac:dyDescent="0.3">
      <c r="A2405" s="44"/>
    </row>
    <row r="2406" spans="1:1" x14ac:dyDescent="0.3">
      <c r="A2406" s="44"/>
    </row>
    <row r="2407" spans="1:1" x14ac:dyDescent="0.3">
      <c r="A2407" s="44"/>
    </row>
    <row r="2408" spans="1:1" x14ac:dyDescent="0.3">
      <c r="A2408" s="44"/>
    </row>
    <row r="2409" spans="1:1" x14ac:dyDescent="0.3">
      <c r="A2409" s="44"/>
    </row>
    <row r="2410" spans="1:1" x14ac:dyDescent="0.3">
      <c r="A2410" s="44"/>
    </row>
    <row r="2411" spans="1:1" x14ac:dyDescent="0.3">
      <c r="A2411" s="44"/>
    </row>
    <row r="2412" spans="1:1" x14ac:dyDescent="0.3">
      <c r="A2412" s="44"/>
    </row>
    <row r="2413" spans="1:1" x14ac:dyDescent="0.3">
      <c r="A2413" s="44"/>
    </row>
    <row r="2414" spans="1:1" x14ac:dyDescent="0.3">
      <c r="A2414" s="44"/>
    </row>
    <row r="2415" spans="1:1" x14ac:dyDescent="0.3">
      <c r="A2415" s="44"/>
    </row>
    <row r="2416" spans="1:1" x14ac:dyDescent="0.3">
      <c r="A2416" s="44"/>
    </row>
    <row r="2417" spans="1:1" x14ac:dyDescent="0.3">
      <c r="A2417" s="44"/>
    </row>
    <row r="2418" spans="1:1" x14ac:dyDescent="0.3">
      <c r="A2418" s="44"/>
    </row>
    <row r="2419" spans="1:1" x14ac:dyDescent="0.3">
      <c r="A2419" s="44"/>
    </row>
    <row r="2420" spans="1:1" x14ac:dyDescent="0.3">
      <c r="A2420" s="44"/>
    </row>
    <row r="2421" spans="1:1" x14ac:dyDescent="0.3">
      <c r="A2421" s="44"/>
    </row>
    <row r="2422" spans="1:1" x14ac:dyDescent="0.3">
      <c r="A2422" s="44"/>
    </row>
    <row r="2423" spans="1:1" x14ac:dyDescent="0.3">
      <c r="A2423" s="44"/>
    </row>
    <row r="2424" spans="1:1" x14ac:dyDescent="0.3">
      <c r="A2424" s="44"/>
    </row>
    <row r="2425" spans="1:1" x14ac:dyDescent="0.3">
      <c r="A2425" s="44"/>
    </row>
    <row r="2426" spans="1:1" x14ac:dyDescent="0.3">
      <c r="A2426" s="44"/>
    </row>
    <row r="2427" spans="1:1" x14ac:dyDescent="0.3">
      <c r="A2427" s="44"/>
    </row>
    <row r="2428" spans="1:1" x14ac:dyDescent="0.3">
      <c r="A2428" s="44"/>
    </row>
    <row r="2429" spans="1:1" x14ac:dyDescent="0.3">
      <c r="A2429" s="44"/>
    </row>
    <row r="2430" spans="1:1" x14ac:dyDescent="0.3">
      <c r="A2430" s="44"/>
    </row>
    <row r="2431" spans="1:1" x14ac:dyDescent="0.3">
      <c r="A2431" s="44"/>
    </row>
    <row r="2432" spans="1:1" x14ac:dyDescent="0.3">
      <c r="A2432" s="44"/>
    </row>
    <row r="2433" spans="1:1" x14ac:dyDescent="0.3">
      <c r="A2433" s="44"/>
    </row>
    <row r="2434" spans="1:1" x14ac:dyDescent="0.3">
      <c r="A2434" s="44"/>
    </row>
    <row r="2435" spans="1:1" x14ac:dyDescent="0.3">
      <c r="A2435" s="44"/>
    </row>
    <row r="2436" spans="1:1" x14ac:dyDescent="0.3">
      <c r="A2436" s="44"/>
    </row>
    <row r="2437" spans="1:1" x14ac:dyDescent="0.3">
      <c r="A2437" s="44"/>
    </row>
    <row r="2438" spans="1:1" x14ac:dyDescent="0.3">
      <c r="A2438" s="44"/>
    </row>
    <row r="2439" spans="1:1" x14ac:dyDescent="0.3">
      <c r="A2439" s="44"/>
    </row>
    <row r="2440" spans="1:1" x14ac:dyDescent="0.3">
      <c r="A2440" s="44"/>
    </row>
    <row r="2441" spans="1:1" x14ac:dyDescent="0.3">
      <c r="A2441" s="44"/>
    </row>
    <row r="2442" spans="1:1" x14ac:dyDescent="0.3">
      <c r="A2442" s="44"/>
    </row>
    <row r="2443" spans="1:1" x14ac:dyDescent="0.3">
      <c r="A2443" s="44"/>
    </row>
    <row r="2444" spans="1:1" x14ac:dyDescent="0.3">
      <c r="A2444" s="44"/>
    </row>
    <row r="2445" spans="1:1" x14ac:dyDescent="0.3">
      <c r="A2445" s="44"/>
    </row>
    <row r="2446" spans="1:1" x14ac:dyDescent="0.3">
      <c r="A2446" s="44"/>
    </row>
    <row r="2447" spans="1:1" x14ac:dyDescent="0.3">
      <c r="A2447" s="44"/>
    </row>
    <row r="2448" spans="1:1" x14ac:dyDescent="0.3">
      <c r="A2448" s="44"/>
    </row>
    <row r="2449" spans="1:1" x14ac:dyDescent="0.3">
      <c r="A2449" s="44"/>
    </row>
    <row r="2450" spans="1:1" x14ac:dyDescent="0.3">
      <c r="A2450" s="44"/>
    </row>
    <row r="2451" spans="1:1" x14ac:dyDescent="0.3">
      <c r="A2451" s="44"/>
    </row>
    <row r="2452" spans="1:1" x14ac:dyDescent="0.3">
      <c r="A2452" s="44"/>
    </row>
    <row r="2453" spans="1:1" x14ac:dyDescent="0.3">
      <c r="A2453" s="44"/>
    </row>
    <row r="2454" spans="1:1" x14ac:dyDescent="0.3">
      <c r="A2454" s="44"/>
    </row>
    <row r="2455" spans="1:1" x14ac:dyDescent="0.3">
      <c r="A2455" s="44"/>
    </row>
    <row r="2456" spans="1:1" x14ac:dyDescent="0.3">
      <c r="A2456" s="44"/>
    </row>
    <row r="2457" spans="1:1" x14ac:dyDescent="0.3">
      <c r="A2457" s="44"/>
    </row>
    <row r="2458" spans="1:1" x14ac:dyDescent="0.3">
      <c r="A2458" s="44"/>
    </row>
    <row r="2459" spans="1:1" x14ac:dyDescent="0.3">
      <c r="A2459" s="44"/>
    </row>
    <row r="2460" spans="1:1" x14ac:dyDescent="0.3">
      <c r="A2460" s="44"/>
    </row>
    <row r="2461" spans="1:1" x14ac:dyDescent="0.3">
      <c r="A2461" s="44"/>
    </row>
    <row r="2462" spans="1:1" x14ac:dyDescent="0.3">
      <c r="A2462" s="44"/>
    </row>
    <row r="2463" spans="1:1" x14ac:dyDescent="0.3">
      <c r="A2463" s="44"/>
    </row>
    <row r="2464" spans="1:1" x14ac:dyDescent="0.3">
      <c r="A2464" s="44"/>
    </row>
    <row r="2465" spans="1:1" x14ac:dyDescent="0.3">
      <c r="A2465" s="44"/>
    </row>
    <row r="2466" spans="1:1" x14ac:dyDescent="0.3">
      <c r="A2466" s="44"/>
    </row>
    <row r="2467" spans="1:1" x14ac:dyDescent="0.3">
      <c r="A2467" s="44"/>
    </row>
    <row r="2468" spans="1:1" x14ac:dyDescent="0.3">
      <c r="A2468" s="44"/>
    </row>
    <row r="2469" spans="1:1" x14ac:dyDescent="0.3">
      <c r="A2469" s="44"/>
    </row>
    <row r="2470" spans="1:1" x14ac:dyDescent="0.3">
      <c r="A2470" s="44"/>
    </row>
    <row r="2471" spans="1:1" x14ac:dyDescent="0.3">
      <c r="A2471" s="44"/>
    </row>
    <row r="2472" spans="1:1" x14ac:dyDescent="0.3">
      <c r="A2472" s="44"/>
    </row>
    <row r="2473" spans="1:1" x14ac:dyDescent="0.3">
      <c r="A2473" s="44"/>
    </row>
    <row r="2474" spans="1:1" x14ac:dyDescent="0.3">
      <c r="A2474" s="44"/>
    </row>
    <row r="2475" spans="1:1" x14ac:dyDescent="0.3">
      <c r="A2475" s="44"/>
    </row>
    <row r="2476" spans="1:1" x14ac:dyDescent="0.3">
      <c r="A2476" s="44"/>
    </row>
    <row r="2477" spans="1:1" x14ac:dyDescent="0.3">
      <c r="A2477" s="44"/>
    </row>
    <row r="2478" spans="1:1" x14ac:dyDescent="0.3">
      <c r="A2478" s="44"/>
    </row>
    <row r="2479" spans="1:1" x14ac:dyDescent="0.3">
      <c r="A2479" s="44"/>
    </row>
    <row r="2480" spans="1:1" x14ac:dyDescent="0.3">
      <c r="A2480" s="44"/>
    </row>
    <row r="2481" spans="1:1" x14ac:dyDescent="0.3">
      <c r="A2481" s="44"/>
    </row>
    <row r="2482" spans="1:1" x14ac:dyDescent="0.3">
      <c r="A2482" s="44"/>
    </row>
    <row r="2483" spans="1:1" x14ac:dyDescent="0.3">
      <c r="A2483" s="44"/>
    </row>
    <row r="2484" spans="1:1" x14ac:dyDescent="0.3">
      <c r="A2484" s="44"/>
    </row>
    <row r="2485" spans="1:1" x14ac:dyDescent="0.3">
      <c r="A2485" s="44"/>
    </row>
    <row r="2486" spans="1:1" x14ac:dyDescent="0.3">
      <c r="A2486" s="44"/>
    </row>
    <row r="2487" spans="1:1" x14ac:dyDescent="0.3">
      <c r="A2487" s="44"/>
    </row>
    <row r="2488" spans="1:1" x14ac:dyDescent="0.3">
      <c r="A2488" s="44"/>
    </row>
    <row r="2489" spans="1:1" x14ac:dyDescent="0.3">
      <c r="A2489" s="44"/>
    </row>
    <row r="2490" spans="1:1" x14ac:dyDescent="0.3">
      <c r="A2490" s="44"/>
    </row>
    <row r="2491" spans="1:1" x14ac:dyDescent="0.3">
      <c r="A2491" s="44"/>
    </row>
    <row r="2492" spans="1:1" x14ac:dyDescent="0.3">
      <c r="A2492" s="44"/>
    </row>
    <row r="2493" spans="1:1" x14ac:dyDescent="0.3">
      <c r="A2493" s="44"/>
    </row>
    <row r="2494" spans="1:1" x14ac:dyDescent="0.3">
      <c r="A2494" s="44"/>
    </row>
    <row r="2495" spans="1:1" x14ac:dyDescent="0.3">
      <c r="A2495" s="44"/>
    </row>
    <row r="2496" spans="1:1" x14ac:dyDescent="0.3">
      <c r="A2496" s="44"/>
    </row>
    <row r="2497" spans="1:1" x14ac:dyDescent="0.3">
      <c r="A2497" s="44"/>
    </row>
    <row r="2498" spans="1:1" x14ac:dyDescent="0.3">
      <c r="A2498" s="44"/>
    </row>
    <row r="2499" spans="1:1" x14ac:dyDescent="0.3">
      <c r="A2499" s="44"/>
    </row>
    <row r="2500" spans="1:1" x14ac:dyDescent="0.3">
      <c r="A2500" s="44"/>
    </row>
    <row r="2501" spans="1:1" x14ac:dyDescent="0.3">
      <c r="A2501" s="44"/>
    </row>
    <row r="2502" spans="1:1" x14ac:dyDescent="0.3">
      <c r="A2502" s="44"/>
    </row>
  </sheetData>
  <sortState xmlns:xlrd2="http://schemas.microsoft.com/office/spreadsheetml/2017/richdata2" ref="E139:E150">
    <sortCondition ref="E139"/>
  </sortState>
  <mergeCells count="34">
    <mergeCell ref="A75:H75"/>
    <mergeCell ref="A82:H82"/>
    <mergeCell ref="A89:H89"/>
    <mergeCell ref="B114:C114"/>
    <mergeCell ref="D114:E114"/>
    <mergeCell ref="F114:G114"/>
    <mergeCell ref="B83:C83"/>
    <mergeCell ref="D83:E83"/>
    <mergeCell ref="F83:G83"/>
    <mergeCell ref="A113:H113"/>
    <mergeCell ref="B76:C76"/>
    <mergeCell ref="D76:E76"/>
    <mergeCell ref="F76:G76"/>
    <mergeCell ref="B90:C90"/>
    <mergeCell ref="D90:E90"/>
    <mergeCell ref="F90:G90"/>
    <mergeCell ref="B66:C66"/>
    <mergeCell ref="D66:E66"/>
    <mergeCell ref="F66:G66"/>
    <mergeCell ref="B42:C42"/>
    <mergeCell ref="D42:E42"/>
    <mergeCell ref="F42:G42"/>
    <mergeCell ref="B57:C57"/>
    <mergeCell ref="D57:E57"/>
    <mergeCell ref="F57:G57"/>
    <mergeCell ref="A41:H41"/>
    <mergeCell ref="A56:H56"/>
    <mergeCell ref="A65:H65"/>
    <mergeCell ref="A2:H2"/>
    <mergeCell ref="B21:C21"/>
    <mergeCell ref="D21:E21"/>
    <mergeCell ref="F21:G21"/>
    <mergeCell ref="A20:H20"/>
    <mergeCell ref="A39:H39"/>
  </mergeCells>
  <conditionalFormatting sqref="B6:B12 B14:B18">
    <cfRule type="cellIs" dxfId="1" priority="2" operator="equal">
      <formula>0</formula>
    </cfRule>
  </conditionalFormatting>
  <conditionalFormatting sqref="B13">
    <cfRule type="cellIs" dxfId="0" priority="1" operator="equal">
      <formula>0</formula>
    </cfRule>
  </conditionalFormatting>
  <pageMargins left="0.25" right="0.25" top="0.75" bottom="0.75" header="0.3" footer="0.3"/>
  <pageSetup scale="97" fitToHeight="0" orientation="portrait" r:id="rId1"/>
  <headerFooter>
    <oddFooter>Page &amp;P of &amp;N</oddFooter>
  </headerFooter>
  <rowBreaks count="2" manualBreakCount="2">
    <brk id="39" max="7" man="1"/>
    <brk id="87"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B174"/>
  <sheetViews>
    <sheetView workbookViewId="0">
      <selection activeCell="B1" sqref="B1"/>
    </sheetView>
  </sheetViews>
  <sheetFormatPr defaultRowHeight="14.4" x14ac:dyDescent="0.3"/>
  <cols>
    <col min="1" max="1" width="37.44140625" customWidth="1"/>
    <col min="2" max="2" width="60.5546875" customWidth="1"/>
  </cols>
  <sheetData>
    <row r="2" spans="1:2" x14ac:dyDescent="0.3">
      <c r="A2" s="1" t="s">
        <v>2135</v>
      </c>
      <c r="B2" s="59" t="s">
        <v>1216</v>
      </c>
    </row>
    <row r="3" spans="1:2" x14ac:dyDescent="0.3">
      <c r="A3" s="1" t="s">
        <v>1224</v>
      </c>
      <c r="B3" s="59" t="s">
        <v>1216</v>
      </c>
    </row>
    <row r="4" spans="1:2" x14ac:dyDescent="0.3">
      <c r="A4" s="1" t="s">
        <v>2136</v>
      </c>
      <c r="B4" s="59" t="s">
        <v>1216</v>
      </c>
    </row>
    <row r="5" spans="1:2" x14ac:dyDescent="0.3">
      <c r="A5" s="1" t="s">
        <v>2137</v>
      </c>
      <c r="B5" s="59" t="s">
        <v>1216</v>
      </c>
    </row>
    <row r="6" spans="1:2" x14ac:dyDescent="0.3">
      <c r="A6" s="1" t="s">
        <v>1611</v>
      </c>
      <c r="B6" s="59" t="s">
        <v>1216</v>
      </c>
    </row>
    <row r="7" spans="1:2" x14ac:dyDescent="0.3">
      <c r="A7" s="1" t="s">
        <v>1613</v>
      </c>
      <c r="B7" s="59" t="s">
        <v>1216</v>
      </c>
    </row>
    <row r="8" spans="1:2" x14ac:dyDescent="0.3">
      <c r="A8" s="1" t="s">
        <v>1612</v>
      </c>
      <c r="B8" s="59" t="s">
        <v>1216</v>
      </c>
    </row>
    <row r="10" spans="1:2" x14ac:dyDescent="0.3">
      <c r="A10" s="1" t="s">
        <v>1217</v>
      </c>
    </row>
    <row r="11" spans="1:2" x14ac:dyDescent="0.3">
      <c r="A11" s="59" t="s">
        <v>2146</v>
      </c>
      <c r="B11" s="2">
        <v>328</v>
      </c>
    </row>
    <row r="12" spans="1:2" hidden="1" x14ac:dyDescent="0.3">
      <c r="A12" s="59" t="s">
        <v>2134</v>
      </c>
      <c r="B12" s="60">
        <v>34860081447</v>
      </c>
    </row>
    <row r="13" spans="1:2" hidden="1" x14ac:dyDescent="0.3">
      <c r="A13" s="59" t="s">
        <v>1218</v>
      </c>
      <c r="B13" s="2">
        <v>5521645</v>
      </c>
    </row>
    <row r="14" spans="1:2" hidden="1" x14ac:dyDescent="0.3">
      <c r="A14" s="59" t="s">
        <v>1219</v>
      </c>
      <c r="B14" s="2">
        <v>960327</v>
      </c>
    </row>
    <row r="15" spans="1:2" hidden="1" x14ac:dyDescent="0.3">
      <c r="A15" s="59" t="s">
        <v>1220</v>
      </c>
      <c r="B15" s="2">
        <v>4593778</v>
      </c>
    </row>
    <row r="16" spans="1:2" hidden="1" x14ac:dyDescent="0.3">
      <c r="A16" s="59" t="s">
        <v>1221</v>
      </c>
      <c r="B16" s="2">
        <v>884449</v>
      </c>
    </row>
    <row r="17" spans="1:2" hidden="1" x14ac:dyDescent="0.3">
      <c r="A17" s="59" t="s">
        <v>1621</v>
      </c>
      <c r="B17" s="60">
        <v>14</v>
      </c>
    </row>
    <row r="18" spans="1:2" hidden="1" x14ac:dyDescent="0.3">
      <c r="A18" s="59" t="s">
        <v>1620</v>
      </c>
      <c r="B18" s="60">
        <v>6</v>
      </c>
    </row>
    <row r="19" spans="1:2" hidden="1" x14ac:dyDescent="0.3">
      <c r="A19" s="59" t="s">
        <v>1226</v>
      </c>
      <c r="B19" s="2">
        <v>211</v>
      </c>
    </row>
    <row r="20" spans="1:2" hidden="1" x14ac:dyDescent="0.3">
      <c r="A20" s="59" t="s">
        <v>1227</v>
      </c>
      <c r="B20" s="2">
        <v>22</v>
      </c>
    </row>
    <row r="21" spans="1:2" hidden="1" x14ac:dyDescent="0.3">
      <c r="A21" s="59" t="s">
        <v>1228</v>
      </c>
      <c r="B21" s="2">
        <v>343168</v>
      </c>
    </row>
    <row r="22" spans="1:2" hidden="1" x14ac:dyDescent="0.3">
      <c r="A22" s="59" t="s">
        <v>1225</v>
      </c>
      <c r="B22" s="2">
        <v>26030</v>
      </c>
    </row>
    <row r="23" spans="1:2" hidden="1" x14ac:dyDescent="0.3">
      <c r="A23" s="59" t="s">
        <v>1229</v>
      </c>
      <c r="B23" s="2">
        <v>1432386</v>
      </c>
    </row>
    <row r="24" spans="1:2" hidden="1" x14ac:dyDescent="0.3">
      <c r="A24" s="59" t="s">
        <v>1230</v>
      </c>
      <c r="B24" s="2">
        <v>45422</v>
      </c>
    </row>
    <row r="25" spans="1:2" hidden="1" x14ac:dyDescent="0.3">
      <c r="A25" s="59" t="s">
        <v>1231</v>
      </c>
      <c r="B25" s="2">
        <v>1140673</v>
      </c>
    </row>
    <row r="26" spans="1:2" hidden="1" x14ac:dyDescent="0.3">
      <c r="A26" s="59" t="s">
        <v>1232</v>
      </c>
      <c r="B26" s="2">
        <v>54024</v>
      </c>
    </row>
    <row r="27" spans="1:2" hidden="1" x14ac:dyDescent="0.3">
      <c r="A27" s="59" t="s">
        <v>1233</v>
      </c>
      <c r="B27" s="2">
        <v>1671963</v>
      </c>
    </row>
    <row r="28" spans="1:2" hidden="1" x14ac:dyDescent="0.3">
      <c r="A28" s="59" t="s">
        <v>1234</v>
      </c>
      <c r="B28" s="2">
        <v>119586</v>
      </c>
    </row>
    <row r="29" spans="1:2" hidden="1" x14ac:dyDescent="0.3">
      <c r="A29" s="59" t="s">
        <v>1235</v>
      </c>
      <c r="B29" s="2">
        <v>1332678</v>
      </c>
    </row>
    <row r="30" spans="1:2" hidden="1" x14ac:dyDescent="0.3">
      <c r="A30" s="59" t="s">
        <v>1236</v>
      </c>
      <c r="B30" s="2">
        <v>131247</v>
      </c>
    </row>
    <row r="31" spans="1:2" hidden="1" x14ac:dyDescent="0.3">
      <c r="A31" s="59" t="s">
        <v>1237</v>
      </c>
      <c r="B31" s="2">
        <v>1303103</v>
      </c>
    </row>
    <row r="32" spans="1:2" hidden="1" x14ac:dyDescent="0.3">
      <c r="A32" s="59" t="s">
        <v>1238</v>
      </c>
      <c r="B32" s="2">
        <v>203783</v>
      </c>
    </row>
    <row r="33" spans="1:2" hidden="1" x14ac:dyDescent="0.3">
      <c r="A33" s="59" t="s">
        <v>1239</v>
      </c>
      <c r="B33" s="2">
        <v>1162328</v>
      </c>
    </row>
    <row r="34" spans="1:2" hidden="1" x14ac:dyDescent="0.3">
      <c r="A34" s="59" t="s">
        <v>1240</v>
      </c>
      <c r="B34" s="2">
        <v>291596</v>
      </c>
    </row>
    <row r="35" spans="1:2" hidden="1" x14ac:dyDescent="0.3">
      <c r="A35" s="59" t="s">
        <v>1241</v>
      </c>
      <c r="B35" s="2">
        <v>721472</v>
      </c>
    </row>
    <row r="36" spans="1:2" hidden="1" x14ac:dyDescent="0.3">
      <c r="A36" s="59" t="s">
        <v>1242</v>
      </c>
      <c r="B36" s="2">
        <v>288780</v>
      </c>
    </row>
    <row r="37" spans="1:2" hidden="1" x14ac:dyDescent="0.3">
      <c r="A37" s="59" t="s">
        <v>1243</v>
      </c>
      <c r="B37" s="2">
        <v>490892</v>
      </c>
    </row>
    <row r="38" spans="1:2" hidden="1" x14ac:dyDescent="0.3">
      <c r="A38" s="59" t="s">
        <v>1244</v>
      </c>
      <c r="B38" s="2">
        <v>285037</v>
      </c>
    </row>
    <row r="39" spans="1:2" hidden="1" x14ac:dyDescent="0.3">
      <c r="A39" s="59" t="s">
        <v>1245</v>
      </c>
      <c r="B39" s="2">
        <v>516716</v>
      </c>
    </row>
    <row r="40" spans="1:2" hidden="1" x14ac:dyDescent="0.3">
      <c r="A40" s="59" t="s">
        <v>1246</v>
      </c>
      <c r="B40" s="2">
        <v>399287</v>
      </c>
    </row>
    <row r="41" spans="1:2" hidden="1" x14ac:dyDescent="0.3">
      <c r="A41" s="59" t="s">
        <v>1247</v>
      </c>
      <c r="B41" s="2">
        <v>269</v>
      </c>
    </row>
    <row r="42" spans="1:2" hidden="1" x14ac:dyDescent="0.3">
      <c r="A42" s="59" t="s">
        <v>1248</v>
      </c>
      <c r="B42" s="2">
        <v>12</v>
      </c>
    </row>
    <row r="43" spans="1:2" hidden="1" x14ac:dyDescent="0.3">
      <c r="A43" s="59" t="s">
        <v>1387</v>
      </c>
      <c r="B43" s="60">
        <v>510942</v>
      </c>
    </row>
    <row r="44" spans="1:2" hidden="1" x14ac:dyDescent="0.3">
      <c r="A44" s="59" t="s">
        <v>1388</v>
      </c>
      <c r="B44" s="60">
        <v>142244</v>
      </c>
    </row>
    <row r="45" spans="1:2" hidden="1" x14ac:dyDescent="0.3">
      <c r="A45" s="59" t="s">
        <v>1249</v>
      </c>
      <c r="B45" s="2">
        <v>1156199</v>
      </c>
    </row>
    <row r="46" spans="1:2" hidden="1" x14ac:dyDescent="0.3">
      <c r="A46" s="59" t="s">
        <v>1250</v>
      </c>
      <c r="B46" s="2">
        <v>193418</v>
      </c>
    </row>
    <row r="47" spans="1:2" hidden="1" x14ac:dyDescent="0.3">
      <c r="A47" s="59" t="s">
        <v>1393</v>
      </c>
      <c r="B47" s="60">
        <v>143710</v>
      </c>
    </row>
    <row r="48" spans="1:2" hidden="1" x14ac:dyDescent="0.3">
      <c r="A48" s="59" t="s">
        <v>1394</v>
      </c>
      <c r="B48" s="60">
        <v>8701</v>
      </c>
    </row>
    <row r="49" spans="1:2" hidden="1" x14ac:dyDescent="0.3">
      <c r="A49" s="59" t="s">
        <v>1391</v>
      </c>
      <c r="B49" s="60">
        <v>377702</v>
      </c>
    </row>
    <row r="50" spans="1:2" hidden="1" x14ac:dyDescent="0.3">
      <c r="A50" s="59" t="s">
        <v>1392</v>
      </c>
      <c r="B50" s="60">
        <v>53673</v>
      </c>
    </row>
    <row r="51" spans="1:2" hidden="1" x14ac:dyDescent="0.3">
      <c r="A51" s="59" t="s">
        <v>1389</v>
      </c>
      <c r="B51" s="60">
        <v>33674</v>
      </c>
    </row>
    <row r="52" spans="1:2" hidden="1" x14ac:dyDescent="0.3">
      <c r="A52" s="59" t="s">
        <v>1390</v>
      </c>
      <c r="B52" s="60">
        <v>5107</v>
      </c>
    </row>
    <row r="53" spans="1:2" hidden="1" x14ac:dyDescent="0.3">
      <c r="A53" s="59" t="s">
        <v>1251</v>
      </c>
      <c r="B53" s="2">
        <v>3633299</v>
      </c>
    </row>
    <row r="54" spans="1:2" hidden="1" x14ac:dyDescent="0.3">
      <c r="A54" s="59" t="s">
        <v>1252</v>
      </c>
      <c r="B54" s="2">
        <v>486562</v>
      </c>
    </row>
    <row r="55" spans="1:2" hidden="1" x14ac:dyDescent="0.3">
      <c r="A55" s="59" t="s">
        <v>1253</v>
      </c>
      <c r="B55" s="2">
        <v>4260122</v>
      </c>
    </row>
    <row r="56" spans="1:2" hidden="1" x14ac:dyDescent="0.3">
      <c r="A56" s="59" t="s">
        <v>1254</v>
      </c>
      <c r="B56" s="2">
        <v>955099</v>
      </c>
    </row>
    <row r="57" spans="1:2" hidden="1" x14ac:dyDescent="0.3">
      <c r="A57" s="59" t="s">
        <v>1401</v>
      </c>
      <c r="B57" s="60">
        <v>2936</v>
      </c>
    </row>
    <row r="58" spans="1:2" hidden="1" x14ac:dyDescent="0.3">
      <c r="A58" s="59" t="s">
        <v>1402</v>
      </c>
      <c r="B58" s="60">
        <v>0</v>
      </c>
    </row>
    <row r="59" spans="1:2" hidden="1" x14ac:dyDescent="0.3">
      <c r="A59" s="59" t="s">
        <v>1405</v>
      </c>
      <c r="B59" s="60">
        <v>8801</v>
      </c>
    </row>
    <row r="60" spans="1:2" hidden="1" x14ac:dyDescent="0.3">
      <c r="A60" s="59" t="s">
        <v>1406</v>
      </c>
      <c r="B60" s="60">
        <v>6289</v>
      </c>
    </row>
    <row r="61" spans="1:2" hidden="1" x14ac:dyDescent="0.3">
      <c r="A61" s="59" t="s">
        <v>1411</v>
      </c>
      <c r="B61" s="60">
        <v>5594</v>
      </c>
    </row>
    <row r="62" spans="1:2" hidden="1" x14ac:dyDescent="0.3">
      <c r="A62" s="59" t="s">
        <v>1412</v>
      </c>
      <c r="B62" s="60">
        <v>19996</v>
      </c>
    </row>
    <row r="63" spans="1:2" hidden="1" x14ac:dyDescent="0.3">
      <c r="A63" s="59" t="s">
        <v>1409</v>
      </c>
      <c r="B63" s="60">
        <v>76874</v>
      </c>
    </row>
    <row r="64" spans="1:2" hidden="1" x14ac:dyDescent="0.3">
      <c r="A64" s="59" t="s">
        <v>1410</v>
      </c>
      <c r="B64" s="60">
        <v>0</v>
      </c>
    </row>
    <row r="65" spans="1:2" hidden="1" x14ac:dyDescent="0.3">
      <c r="A65" s="59" t="s">
        <v>1421</v>
      </c>
      <c r="B65" s="60">
        <v>16641</v>
      </c>
    </row>
    <row r="66" spans="1:2" hidden="1" x14ac:dyDescent="0.3">
      <c r="A66" s="59" t="s">
        <v>1422</v>
      </c>
      <c r="B66" s="60">
        <v>0</v>
      </c>
    </row>
    <row r="67" spans="1:2" hidden="1" x14ac:dyDescent="0.3">
      <c r="A67" s="59" t="s">
        <v>1419</v>
      </c>
      <c r="B67" s="60">
        <v>1817</v>
      </c>
    </row>
    <row r="68" spans="1:2" hidden="1" x14ac:dyDescent="0.3">
      <c r="A68" s="59" t="s">
        <v>1420</v>
      </c>
      <c r="B68" s="60">
        <v>0</v>
      </c>
    </row>
    <row r="69" spans="1:2" hidden="1" x14ac:dyDescent="0.3">
      <c r="A69" s="59" t="s">
        <v>1417</v>
      </c>
      <c r="B69" s="60">
        <v>19292</v>
      </c>
    </row>
    <row r="70" spans="1:2" hidden="1" x14ac:dyDescent="0.3">
      <c r="A70" s="59" t="s">
        <v>1418</v>
      </c>
      <c r="B70" s="60">
        <v>0</v>
      </c>
    </row>
    <row r="71" spans="1:2" hidden="1" x14ac:dyDescent="0.3">
      <c r="A71" s="59" t="s">
        <v>1407</v>
      </c>
      <c r="B71" s="60">
        <v>26211</v>
      </c>
    </row>
    <row r="72" spans="1:2" hidden="1" x14ac:dyDescent="0.3">
      <c r="A72" s="59" t="s">
        <v>1408</v>
      </c>
      <c r="B72" s="60">
        <v>10425</v>
      </c>
    </row>
    <row r="73" spans="1:2" hidden="1" x14ac:dyDescent="0.3">
      <c r="A73" s="59" t="s">
        <v>1415</v>
      </c>
      <c r="B73" s="60">
        <v>40065</v>
      </c>
    </row>
    <row r="74" spans="1:2" hidden="1" x14ac:dyDescent="0.3">
      <c r="A74" s="59" t="s">
        <v>1416</v>
      </c>
      <c r="B74" s="60">
        <v>247812</v>
      </c>
    </row>
    <row r="75" spans="1:2" hidden="1" x14ac:dyDescent="0.3">
      <c r="A75" s="59" t="s">
        <v>1403</v>
      </c>
      <c r="B75" s="60">
        <v>2220</v>
      </c>
    </row>
    <row r="76" spans="1:2" hidden="1" x14ac:dyDescent="0.3">
      <c r="A76" s="59" t="s">
        <v>1404</v>
      </c>
      <c r="B76" s="60">
        <v>35901</v>
      </c>
    </row>
    <row r="77" spans="1:2" hidden="1" x14ac:dyDescent="0.3">
      <c r="A77" s="59" t="s">
        <v>1399</v>
      </c>
      <c r="B77" s="60">
        <v>12374</v>
      </c>
    </row>
    <row r="78" spans="1:2" hidden="1" x14ac:dyDescent="0.3">
      <c r="A78" s="59" t="s">
        <v>1400</v>
      </c>
      <c r="B78" s="60">
        <v>185150</v>
      </c>
    </row>
    <row r="79" spans="1:2" hidden="1" x14ac:dyDescent="0.3">
      <c r="A79" s="59" t="s">
        <v>1397</v>
      </c>
      <c r="B79" s="60">
        <v>211711</v>
      </c>
    </row>
    <row r="80" spans="1:2" hidden="1" x14ac:dyDescent="0.3">
      <c r="A80" s="59" t="s">
        <v>1398</v>
      </c>
      <c r="B80" s="60">
        <v>34249</v>
      </c>
    </row>
    <row r="81" spans="1:2" hidden="1" x14ac:dyDescent="0.3">
      <c r="A81" s="59" t="s">
        <v>1255</v>
      </c>
      <c r="B81" s="2">
        <v>16379</v>
      </c>
    </row>
    <row r="82" spans="1:2" hidden="1" x14ac:dyDescent="0.3">
      <c r="A82" s="59" t="s">
        <v>1256</v>
      </c>
      <c r="B82" s="2">
        <v>57969</v>
      </c>
    </row>
    <row r="83" spans="1:2" hidden="1" x14ac:dyDescent="0.3">
      <c r="A83" s="59" t="s">
        <v>1413</v>
      </c>
      <c r="B83" s="60">
        <v>9524873</v>
      </c>
    </row>
    <row r="84" spans="1:2" hidden="1" x14ac:dyDescent="0.3">
      <c r="A84" s="59" t="s">
        <v>1414</v>
      </c>
      <c r="B84" s="60">
        <v>1192572</v>
      </c>
    </row>
    <row r="85" spans="1:2" hidden="1" x14ac:dyDescent="0.3">
      <c r="A85" s="59" t="s">
        <v>1395</v>
      </c>
      <c r="B85" s="60">
        <v>149860</v>
      </c>
    </row>
    <row r="86" spans="1:2" hidden="1" x14ac:dyDescent="0.3">
      <c r="A86" s="59" t="s">
        <v>1396</v>
      </c>
      <c r="B86" s="60">
        <v>54441</v>
      </c>
    </row>
    <row r="87" spans="1:2" hidden="1" x14ac:dyDescent="0.3">
      <c r="A87" s="59" t="s">
        <v>1257</v>
      </c>
      <c r="B87" s="2">
        <v>1599993</v>
      </c>
    </row>
    <row r="88" spans="1:2" hidden="1" x14ac:dyDescent="0.3">
      <c r="A88" s="59" t="s">
        <v>1258</v>
      </c>
      <c r="B88" s="2">
        <v>869579</v>
      </c>
    </row>
    <row r="89" spans="1:2" hidden="1" x14ac:dyDescent="0.3">
      <c r="A89" s="59" t="s">
        <v>1425</v>
      </c>
      <c r="B89" s="60">
        <v>651429</v>
      </c>
    </row>
    <row r="90" spans="1:2" hidden="1" x14ac:dyDescent="0.3">
      <c r="A90" s="59" t="s">
        <v>1426</v>
      </c>
      <c r="B90" s="60">
        <v>45073</v>
      </c>
    </row>
    <row r="91" spans="1:2" hidden="1" x14ac:dyDescent="0.3">
      <c r="A91" s="59" t="s">
        <v>1427</v>
      </c>
      <c r="B91" s="60">
        <v>3293434</v>
      </c>
    </row>
    <row r="92" spans="1:2" hidden="1" x14ac:dyDescent="0.3">
      <c r="A92" s="59" t="s">
        <v>1428</v>
      </c>
      <c r="B92" s="60">
        <v>388655</v>
      </c>
    </row>
    <row r="93" spans="1:2" hidden="1" x14ac:dyDescent="0.3">
      <c r="A93" s="59" t="s">
        <v>1423</v>
      </c>
      <c r="B93" s="60">
        <v>2858132</v>
      </c>
    </row>
    <row r="94" spans="1:2" hidden="1" x14ac:dyDescent="0.3">
      <c r="A94" s="59" t="s">
        <v>1424</v>
      </c>
      <c r="B94" s="60">
        <v>372085</v>
      </c>
    </row>
    <row r="95" spans="1:2" hidden="1" x14ac:dyDescent="0.3">
      <c r="A95" s="59" t="s">
        <v>1259</v>
      </c>
      <c r="B95" s="2">
        <v>1712660</v>
      </c>
    </row>
    <row r="96" spans="1:2" hidden="1" x14ac:dyDescent="0.3">
      <c r="A96" s="59" t="s">
        <v>1260</v>
      </c>
      <c r="B96" s="2">
        <v>169412</v>
      </c>
    </row>
    <row r="97" spans="1:2" hidden="1" x14ac:dyDescent="0.3">
      <c r="A97" s="59" t="s">
        <v>1261</v>
      </c>
      <c r="B97" s="2">
        <v>277474</v>
      </c>
    </row>
    <row r="98" spans="1:2" hidden="1" x14ac:dyDescent="0.3">
      <c r="A98" s="59" t="s">
        <v>1262</v>
      </c>
      <c r="B98" s="2">
        <v>30427</v>
      </c>
    </row>
    <row r="99" spans="1:2" hidden="1" x14ac:dyDescent="0.3">
      <c r="A99" s="59" t="s">
        <v>1263</v>
      </c>
      <c r="B99" s="2">
        <v>36789</v>
      </c>
    </row>
    <row r="100" spans="1:2" hidden="1" x14ac:dyDescent="0.3">
      <c r="A100" s="59" t="s">
        <v>1264</v>
      </c>
      <c r="B100" s="2">
        <v>31623</v>
      </c>
    </row>
    <row r="101" spans="1:2" hidden="1" x14ac:dyDescent="0.3">
      <c r="A101" s="59" t="s">
        <v>1265</v>
      </c>
      <c r="B101" s="2">
        <v>239573</v>
      </c>
    </row>
    <row r="102" spans="1:2" hidden="1" x14ac:dyDescent="0.3">
      <c r="A102" s="59" t="s">
        <v>1266</v>
      </c>
      <c r="B102" s="2">
        <v>329130</v>
      </c>
    </row>
    <row r="103" spans="1:2" hidden="1" x14ac:dyDescent="0.3">
      <c r="A103" s="59" t="s">
        <v>1267</v>
      </c>
      <c r="B103" s="2">
        <v>3197</v>
      </c>
    </row>
    <row r="104" spans="1:2" hidden="1" x14ac:dyDescent="0.3">
      <c r="A104" s="59" t="s">
        <v>1222</v>
      </c>
      <c r="B104" s="2">
        <v>2164</v>
      </c>
    </row>
    <row r="105" spans="1:2" hidden="1" x14ac:dyDescent="0.3">
      <c r="A105" s="59" t="s">
        <v>1268</v>
      </c>
      <c r="B105" s="2">
        <v>548680</v>
      </c>
    </row>
    <row r="106" spans="1:2" hidden="1" x14ac:dyDescent="0.3">
      <c r="A106" s="59" t="s">
        <v>1269</v>
      </c>
      <c r="B106" s="2">
        <v>287319</v>
      </c>
    </row>
    <row r="107" spans="1:2" hidden="1" x14ac:dyDescent="0.3">
      <c r="A107" s="59" t="s">
        <v>1270</v>
      </c>
      <c r="B107" s="2">
        <v>150745</v>
      </c>
    </row>
    <row r="108" spans="1:2" hidden="1" x14ac:dyDescent="0.3">
      <c r="A108" s="59" t="s">
        <v>1623</v>
      </c>
      <c r="B108" s="60">
        <v>1</v>
      </c>
    </row>
    <row r="109" spans="1:2" hidden="1" x14ac:dyDescent="0.3">
      <c r="A109" s="59" t="s">
        <v>1271</v>
      </c>
      <c r="B109" s="2">
        <v>86730</v>
      </c>
    </row>
    <row r="110" spans="1:2" hidden="1" x14ac:dyDescent="0.3">
      <c r="A110" s="59" t="s">
        <v>1272</v>
      </c>
      <c r="B110" s="2">
        <v>554553</v>
      </c>
    </row>
    <row r="111" spans="1:2" hidden="1" x14ac:dyDescent="0.3">
      <c r="A111" s="59" t="s">
        <v>1273</v>
      </c>
      <c r="B111" s="2">
        <v>103399</v>
      </c>
    </row>
    <row r="112" spans="1:2" hidden="1" x14ac:dyDescent="0.3">
      <c r="A112" s="59" t="s">
        <v>1274</v>
      </c>
      <c r="B112" s="2">
        <v>218347</v>
      </c>
    </row>
    <row r="113" spans="1:2" hidden="1" x14ac:dyDescent="0.3">
      <c r="A113" s="59" t="s">
        <v>1275</v>
      </c>
      <c r="B113" s="2">
        <v>159315</v>
      </c>
    </row>
    <row r="114" spans="1:2" hidden="1" x14ac:dyDescent="0.3">
      <c r="A114" s="59" t="s">
        <v>1276</v>
      </c>
      <c r="B114" s="2">
        <v>2228087</v>
      </c>
    </row>
    <row r="115" spans="1:2" hidden="1" x14ac:dyDescent="0.3">
      <c r="A115" s="59" t="s">
        <v>1277</v>
      </c>
      <c r="B115" s="2">
        <v>204634</v>
      </c>
    </row>
    <row r="116" spans="1:2" hidden="1" x14ac:dyDescent="0.3">
      <c r="A116" s="59" t="s">
        <v>1278</v>
      </c>
      <c r="B116" s="2">
        <v>607551</v>
      </c>
    </row>
    <row r="117" spans="1:2" hidden="1" x14ac:dyDescent="0.3">
      <c r="A117" s="59" t="s">
        <v>1279</v>
      </c>
      <c r="B117" s="2">
        <v>36656</v>
      </c>
    </row>
    <row r="118" spans="1:2" hidden="1" x14ac:dyDescent="0.3">
      <c r="A118" s="59" t="s">
        <v>1280</v>
      </c>
      <c r="B118" s="2">
        <v>17694</v>
      </c>
    </row>
    <row r="119" spans="1:2" hidden="1" x14ac:dyDescent="0.3">
      <c r="A119" s="59" t="s">
        <v>1281</v>
      </c>
      <c r="B119" s="2">
        <v>46952</v>
      </c>
    </row>
    <row r="120" spans="1:2" hidden="1" x14ac:dyDescent="0.3">
      <c r="A120" s="59" t="s">
        <v>1282</v>
      </c>
      <c r="B120" s="2">
        <v>636358</v>
      </c>
    </row>
    <row r="121" spans="1:2" hidden="1" x14ac:dyDescent="0.3">
      <c r="A121" s="59" t="s">
        <v>1283</v>
      </c>
      <c r="B121" s="2">
        <v>48220</v>
      </c>
    </row>
    <row r="122" spans="1:2" hidden="1" x14ac:dyDescent="0.3">
      <c r="A122" s="59" t="s">
        <v>1284</v>
      </c>
      <c r="B122" s="2">
        <v>391530</v>
      </c>
    </row>
    <row r="123" spans="1:2" hidden="1" x14ac:dyDescent="0.3">
      <c r="A123" s="59" t="s">
        <v>1285</v>
      </c>
      <c r="B123" s="2">
        <v>3360</v>
      </c>
    </row>
    <row r="124" spans="1:2" hidden="1" x14ac:dyDescent="0.3">
      <c r="A124" s="59" t="s">
        <v>1286</v>
      </c>
      <c r="B124" s="2">
        <v>16706</v>
      </c>
    </row>
    <row r="125" spans="1:2" hidden="1" x14ac:dyDescent="0.3">
      <c r="A125" s="59" t="s">
        <v>1223</v>
      </c>
      <c r="B125" s="2">
        <v>4761</v>
      </c>
    </row>
    <row r="126" spans="1:2" hidden="1" x14ac:dyDescent="0.3">
      <c r="A126" s="59" t="s">
        <v>1287</v>
      </c>
      <c r="B126" s="2">
        <v>403780</v>
      </c>
    </row>
    <row r="127" spans="1:2" hidden="1" x14ac:dyDescent="0.3">
      <c r="A127" s="59" t="s">
        <v>1288</v>
      </c>
      <c r="B127" s="2">
        <v>74511</v>
      </c>
    </row>
    <row r="128" spans="1:2" hidden="1" x14ac:dyDescent="0.3">
      <c r="A128" s="59" t="s">
        <v>1289</v>
      </c>
      <c r="B128" s="2">
        <v>1067339</v>
      </c>
    </row>
    <row r="129" spans="1:2" hidden="1" x14ac:dyDescent="0.3">
      <c r="A129" s="59" t="s">
        <v>1290</v>
      </c>
      <c r="B129" s="2">
        <v>216650</v>
      </c>
    </row>
    <row r="130" spans="1:2" hidden="1" x14ac:dyDescent="0.3">
      <c r="A130" s="59" t="s">
        <v>1291</v>
      </c>
      <c r="B130" s="2">
        <v>422608</v>
      </c>
    </row>
    <row r="131" spans="1:2" hidden="1" x14ac:dyDescent="0.3">
      <c r="A131" s="59" t="s">
        <v>1292</v>
      </c>
      <c r="B131" s="2">
        <v>49652</v>
      </c>
    </row>
    <row r="132" spans="1:2" hidden="1" x14ac:dyDescent="0.3">
      <c r="A132" s="59" t="s">
        <v>1293</v>
      </c>
      <c r="B132" s="2">
        <v>2294437</v>
      </c>
    </row>
    <row r="133" spans="1:2" hidden="1" x14ac:dyDescent="0.3">
      <c r="A133" s="59" t="s">
        <v>1294</v>
      </c>
      <c r="B133" s="2">
        <v>128967</v>
      </c>
    </row>
    <row r="134" spans="1:2" hidden="1" x14ac:dyDescent="0.3">
      <c r="A134" s="59" t="s">
        <v>1295</v>
      </c>
      <c r="B134" s="2">
        <v>108</v>
      </c>
    </row>
    <row r="135" spans="1:2" hidden="1" x14ac:dyDescent="0.3">
      <c r="A135" s="59" t="s">
        <v>1296</v>
      </c>
      <c r="B135" s="2">
        <v>333</v>
      </c>
    </row>
    <row r="136" spans="1:2" hidden="1" x14ac:dyDescent="0.3">
      <c r="A136" s="59" t="s">
        <v>1297</v>
      </c>
      <c r="B136" s="2">
        <v>92</v>
      </c>
    </row>
    <row r="137" spans="1:2" hidden="1" x14ac:dyDescent="0.3">
      <c r="A137" s="59" t="s">
        <v>1298</v>
      </c>
      <c r="B137" s="2">
        <v>721715</v>
      </c>
    </row>
    <row r="138" spans="1:2" hidden="1" x14ac:dyDescent="0.3">
      <c r="A138" s="59" t="s">
        <v>1299</v>
      </c>
      <c r="B138" s="2">
        <v>101607</v>
      </c>
    </row>
    <row r="139" spans="1:2" hidden="1" x14ac:dyDescent="0.3">
      <c r="A139" s="59" t="s">
        <v>1300</v>
      </c>
      <c r="B139" s="2">
        <v>38107</v>
      </c>
    </row>
    <row r="140" spans="1:2" hidden="1" x14ac:dyDescent="0.3">
      <c r="A140" s="59" t="s">
        <v>1301</v>
      </c>
      <c r="B140" s="2">
        <v>13091</v>
      </c>
    </row>
    <row r="141" spans="1:2" hidden="1" x14ac:dyDescent="0.3">
      <c r="A141" s="59" t="s">
        <v>1302</v>
      </c>
      <c r="B141" s="2">
        <v>79741</v>
      </c>
    </row>
    <row r="142" spans="1:2" hidden="1" x14ac:dyDescent="0.3">
      <c r="A142" s="59" t="s">
        <v>1303</v>
      </c>
      <c r="B142" s="2">
        <v>120053</v>
      </c>
    </row>
    <row r="143" spans="1:2" hidden="1" x14ac:dyDescent="0.3">
      <c r="A143" s="59" t="s">
        <v>1304</v>
      </c>
      <c r="B143" s="2">
        <v>5237</v>
      </c>
    </row>
    <row r="144" spans="1:2" hidden="1" x14ac:dyDescent="0.3">
      <c r="A144" s="59" t="s">
        <v>1305</v>
      </c>
      <c r="B144" s="2">
        <v>705</v>
      </c>
    </row>
    <row r="145" spans="1:2" hidden="1" x14ac:dyDescent="0.3">
      <c r="A145" s="59" t="s">
        <v>1306</v>
      </c>
      <c r="B145" s="2">
        <v>121208</v>
      </c>
    </row>
    <row r="146" spans="1:2" hidden="1" x14ac:dyDescent="0.3">
      <c r="A146" s="59" t="s">
        <v>1307</v>
      </c>
      <c r="B146" s="2">
        <v>11548</v>
      </c>
    </row>
    <row r="147" spans="1:2" hidden="1" x14ac:dyDescent="0.3">
      <c r="A147" s="59" t="s">
        <v>1308</v>
      </c>
      <c r="B147" s="2">
        <v>12794</v>
      </c>
    </row>
    <row r="148" spans="1:2" hidden="1" x14ac:dyDescent="0.3">
      <c r="A148" s="59" t="s">
        <v>1309</v>
      </c>
      <c r="B148" s="2">
        <v>7014</v>
      </c>
    </row>
    <row r="149" spans="1:2" hidden="1" x14ac:dyDescent="0.3">
      <c r="A149" s="59" t="s">
        <v>1310</v>
      </c>
      <c r="B149" s="2">
        <v>47683</v>
      </c>
    </row>
    <row r="150" spans="1:2" hidden="1" x14ac:dyDescent="0.3">
      <c r="A150" s="59" t="s">
        <v>1311</v>
      </c>
      <c r="B150" s="2">
        <v>75095</v>
      </c>
    </row>
    <row r="151" spans="1:2" hidden="1" x14ac:dyDescent="0.3">
      <c r="A151" s="59" t="s">
        <v>1312</v>
      </c>
      <c r="B151" s="2">
        <v>105564</v>
      </c>
    </row>
    <row r="152" spans="1:2" hidden="1" x14ac:dyDescent="0.3">
      <c r="A152" s="59" t="s">
        <v>1313</v>
      </c>
      <c r="B152" s="2">
        <v>4961</v>
      </c>
    </row>
    <row r="153" spans="1:2" hidden="1" x14ac:dyDescent="0.3">
      <c r="A153" s="59" t="s">
        <v>1314</v>
      </c>
      <c r="B153" s="2">
        <v>7645778</v>
      </c>
    </row>
    <row r="154" spans="1:2" hidden="1" x14ac:dyDescent="0.3">
      <c r="A154" s="59" t="s">
        <v>1315</v>
      </c>
      <c r="B154" s="2">
        <v>1433259</v>
      </c>
    </row>
    <row r="155" spans="1:2" hidden="1" x14ac:dyDescent="0.3">
      <c r="A155" s="59" t="s">
        <v>1316</v>
      </c>
      <c r="B155" s="2">
        <v>936603</v>
      </c>
    </row>
    <row r="156" spans="1:2" hidden="1" x14ac:dyDescent="0.3">
      <c r="A156" s="59" t="s">
        <v>1317</v>
      </c>
      <c r="B156" s="2">
        <v>27402</v>
      </c>
    </row>
    <row r="157" spans="1:2" hidden="1" x14ac:dyDescent="0.3">
      <c r="A157" s="59" t="s">
        <v>1318</v>
      </c>
      <c r="B157" s="2">
        <v>54377</v>
      </c>
    </row>
    <row r="158" spans="1:2" hidden="1" x14ac:dyDescent="0.3">
      <c r="A158" s="59" t="s">
        <v>1319</v>
      </c>
      <c r="B158" s="2">
        <v>4361</v>
      </c>
    </row>
    <row r="159" spans="1:2" hidden="1" x14ac:dyDescent="0.3">
      <c r="A159" s="59" t="s">
        <v>1320</v>
      </c>
      <c r="B159" s="2">
        <v>248963</v>
      </c>
    </row>
    <row r="160" spans="1:2" hidden="1" x14ac:dyDescent="0.3">
      <c r="A160" s="59" t="s">
        <v>1321</v>
      </c>
      <c r="B160" s="2">
        <v>24352</v>
      </c>
    </row>
    <row r="161" spans="1:2" hidden="1" x14ac:dyDescent="0.3">
      <c r="A161" s="59" t="s">
        <v>1322</v>
      </c>
      <c r="B161" s="2">
        <v>30111</v>
      </c>
    </row>
    <row r="162" spans="1:2" hidden="1" x14ac:dyDescent="0.3">
      <c r="A162" s="59" t="s">
        <v>1323</v>
      </c>
      <c r="B162" s="2">
        <v>12703</v>
      </c>
    </row>
    <row r="163" spans="1:2" hidden="1" x14ac:dyDescent="0.3">
      <c r="A163" s="59" t="s">
        <v>1324</v>
      </c>
      <c r="B163" s="2">
        <v>54319</v>
      </c>
    </row>
    <row r="164" spans="1:2" hidden="1" x14ac:dyDescent="0.3">
      <c r="A164" s="59" t="s">
        <v>1325</v>
      </c>
      <c r="B164" s="2">
        <v>5023</v>
      </c>
    </row>
    <row r="165" spans="1:2" hidden="1" x14ac:dyDescent="0.3">
      <c r="A165" s="59" t="s">
        <v>1326</v>
      </c>
      <c r="B165" s="2">
        <v>13423</v>
      </c>
    </row>
    <row r="166" spans="1:2" hidden="1" x14ac:dyDescent="0.3">
      <c r="A166" s="59" t="s">
        <v>1327</v>
      </c>
      <c r="B166" s="2">
        <v>3617</v>
      </c>
    </row>
    <row r="167" spans="1:2" hidden="1" x14ac:dyDescent="0.3">
      <c r="A167" s="59" t="s">
        <v>1328</v>
      </c>
      <c r="B167" s="2">
        <v>25</v>
      </c>
    </row>
    <row r="168" spans="1:2" hidden="1" x14ac:dyDescent="0.3">
      <c r="A168" s="59" t="s">
        <v>1329</v>
      </c>
      <c r="B168" s="2">
        <v>13</v>
      </c>
    </row>
    <row r="169" spans="1:2" hidden="1" x14ac:dyDescent="0.3">
      <c r="A169" s="59" t="s">
        <v>1603</v>
      </c>
      <c r="B169" s="60">
        <v>174255</v>
      </c>
    </row>
    <row r="170" spans="1:2" hidden="1" x14ac:dyDescent="0.3">
      <c r="A170" s="59" t="s">
        <v>1604</v>
      </c>
      <c r="B170" s="60">
        <v>8728516</v>
      </c>
    </row>
    <row r="171" spans="1:2" hidden="1" x14ac:dyDescent="0.3">
      <c r="A171" s="59" t="s">
        <v>1605</v>
      </c>
      <c r="B171" s="60">
        <v>1212877</v>
      </c>
    </row>
    <row r="172" spans="1:2" hidden="1" x14ac:dyDescent="0.3">
      <c r="A172" s="59" t="s">
        <v>1606</v>
      </c>
      <c r="B172" s="60">
        <v>79010</v>
      </c>
    </row>
    <row r="173" spans="1:2" hidden="1" x14ac:dyDescent="0.3">
      <c r="A173" s="59" t="s">
        <v>1607</v>
      </c>
      <c r="B173" s="60">
        <v>1557991</v>
      </c>
    </row>
    <row r="174" spans="1:2" hidden="1" x14ac:dyDescent="0.3">
      <c r="A174" s="59" t="s">
        <v>1610</v>
      </c>
      <c r="B174" s="60">
        <v>207803</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GB333"/>
  <sheetViews>
    <sheetView workbookViewId="0"/>
  </sheetViews>
  <sheetFormatPr defaultColWidth="9.109375" defaultRowHeight="14.4" x14ac:dyDescent="0.3"/>
  <cols>
    <col min="1" max="1" width="10.109375" style="9" bestFit="1" customWidth="1"/>
    <col min="2" max="2" width="9.109375" style="9"/>
    <col min="3" max="3" width="46.88671875" style="9" customWidth="1"/>
    <col min="4" max="4" width="19.109375" style="9" customWidth="1"/>
    <col min="5" max="5" width="34.88671875" style="9" customWidth="1"/>
    <col min="6" max="6" width="33.44140625" style="9" customWidth="1"/>
    <col min="7" max="7" width="26.33203125" style="9" customWidth="1"/>
    <col min="8" max="8" width="33.5546875" style="9" customWidth="1"/>
    <col min="9" max="9" width="22.109375" style="9" customWidth="1"/>
    <col min="10" max="10" width="14.44140625" style="9" customWidth="1"/>
    <col min="11" max="11" width="18.5546875" style="9" customWidth="1"/>
    <col min="12" max="12" width="22.109375" style="9" customWidth="1"/>
    <col min="13" max="13" width="25.5546875" style="9" customWidth="1"/>
    <col min="14" max="14" width="22.33203125" style="9" customWidth="1"/>
    <col min="15" max="15" width="31" style="9" customWidth="1"/>
    <col min="16" max="16" width="24.5546875" style="9" customWidth="1"/>
    <col min="17" max="17" width="22.33203125" style="9" customWidth="1"/>
    <col min="18" max="18" width="21.6640625" style="9" customWidth="1"/>
    <col min="19" max="19" width="48" style="9" customWidth="1"/>
    <col min="20" max="20" width="19.5546875" style="9" customWidth="1"/>
    <col min="21" max="21" width="22.109375" style="9" customWidth="1"/>
    <col min="22" max="22" width="25.5546875" style="9" customWidth="1"/>
    <col min="23" max="23" width="32.33203125" style="9" customWidth="1"/>
    <col min="24" max="24" width="26.88671875" style="9" bestFit="1" customWidth="1"/>
    <col min="25" max="25" width="11.6640625" style="9" customWidth="1"/>
    <col min="26" max="26" width="9.5546875" style="9" customWidth="1"/>
    <col min="27" max="27" width="13.6640625" style="9" customWidth="1"/>
    <col min="28" max="35" width="10.44140625" style="9" customWidth="1"/>
    <col min="36" max="36" width="8.44140625" style="9" customWidth="1"/>
    <col min="37" max="37" width="12.88671875" style="9" customWidth="1"/>
    <col min="38" max="38" width="14" style="9" customWidth="1"/>
    <col min="39" max="39" width="19.109375" style="9" customWidth="1"/>
    <col min="40" max="40" width="6" style="9" customWidth="1"/>
    <col min="41" max="41" width="8.44140625" style="9" customWidth="1"/>
    <col min="42" max="42" width="21" style="9" customWidth="1"/>
    <col min="43" max="43" width="11.33203125" style="9" customWidth="1"/>
    <col min="44" max="44" width="14.6640625" style="9" customWidth="1"/>
    <col min="45" max="45" width="6.44140625" style="9" customWidth="1"/>
    <col min="46" max="46" width="11.109375" style="9" customWidth="1"/>
    <col min="47" max="47" width="23" style="9" customWidth="1"/>
    <col min="48" max="48" width="5.109375" style="9" customWidth="1"/>
    <col min="49" max="49" width="20.88671875" style="9" customWidth="1"/>
    <col min="50" max="50" width="13.109375" style="9" customWidth="1"/>
    <col min="51" max="51" width="11.109375" style="9" customWidth="1"/>
    <col min="52" max="52" width="15.6640625" style="9" customWidth="1"/>
    <col min="53" max="53" width="10.44140625" style="9" customWidth="1"/>
    <col min="54" max="54" width="15.5546875" style="9" customWidth="1"/>
    <col min="55" max="55" width="23.6640625" style="9" customWidth="1"/>
    <col min="56" max="56" width="8" style="9" customWidth="1"/>
    <col min="57" max="57" width="11.109375" style="9" customWidth="1"/>
    <col min="58" max="58" width="26.88671875" style="9" customWidth="1"/>
    <col min="59" max="59" width="22.6640625" style="9" customWidth="1"/>
    <col min="60" max="60" width="23.109375" style="9" customWidth="1"/>
    <col min="61" max="62" width="9.33203125" style="9" customWidth="1"/>
    <col min="63" max="63" width="12.109375" style="9" customWidth="1"/>
    <col min="64" max="64" width="16.6640625" style="9" customWidth="1"/>
    <col min="65" max="65" width="10.109375" style="9" customWidth="1"/>
    <col min="66" max="66" width="18.6640625" style="9" customWidth="1"/>
    <col min="67" max="67" width="30.109375" style="9" customWidth="1"/>
    <col min="68" max="68" width="14" style="9" customWidth="1"/>
    <col min="69" max="69" width="24.44140625" style="9" customWidth="1"/>
    <col min="70" max="70" width="12.5546875" style="9" customWidth="1"/>
    <col min="71" max="71" width="25.109375" style="9" customWidth="1"/>
    <col min="72" max="72" width="16.6640625" style="9" customWidth="1"/>
    <col min="73" max="73" width="13.33203125" style="9" customWidth="1"/>
    <col min="74" max="74" width="31.33203125" style="9" customWidth="1"/>
    <col min="75" max="75" width="19" style="9" customWidth="1"/>
    <col min="76" max="76" width="14.33203125" style="9" customWidth="1"/>
    <col min="77" max="77" width="28.5546875" style="9" customWidth="1"/>
    <col min="78" max="78" width="18" style="9" customWidth="1"/>
    <col min="79" max="79" width="22" style="9" customWidth="1"/>
    <col min="80" max="80" width="23.109375" style="9" customWidth="1"/>
    <col min="81" max="81" width="14.5546875" style="9" customWidth="1"/>
    <col min="82" max="82" width="17.5546875" style="9" customWidth="1"/>
    <col min="83" max="83" width="13.6640625" style="9" customWidth="1"/>
    <col min="84" max="84" width="9.44140625" style="9" customWidth="1"/>
    <col min="85" max="85" width="10.33203125" style="9" customWidth="1"/>
    <col min="86" max="86" width="18.6640625" style="9" customWidth="1"/>
    <col min="87" max="87" width="23.5546875" style="9" customWidth="1"/>
    <col min="88" max="88" width="27.88671875" style="9" customWidth="1"/>
    <col min="89" max="89" width="17.44140625" style="9" customWidth="1"/>
    <col min="90" max="90" width="22.109375" style="9" customWidth="1"/>
    <col min="91" max="91" width="24.33203125" style="9" customWidth="1"/>
    <col min="92" max="92" width="30.6640625" style="9" customWidth="1"/>
    <col min="93" max="93" width="23.5546875" style="9" customWidth="1"/>
    <col min="94" max="94" width="9" style="9" customWidth="1"/>
    <col min="95" max="95" width="19.109375" style="9" customWidth="1"/>
    <col min="96" max="96" width="27" style="9" customWidth="1"/>
    <col min="97" max="97" width="22" style="9" customWidth="1"/>
    <col min="98" max="98" width="16.109375" style="9" customWidth="1"/>
    <col min="99" max="99" width="33.109375" style="9" customWidth="1"/>
    <col min="100" max="100" width="17.44140625" style="9" customWidth="1"/>
    <col min="101" max="101" width="7.6640625" style="9" customWidth="1"/>
    <col min="102" max="102" width="8.33203125" style="9" customWidth="1"/>
    <col min="103" max="103" width="9.5546875" style="9" customWidth="1"/>
    <col min="104" max="104" width="7.33203125" style="9" customWidth="1"/>
    <col min="105" max="105" width="7.88671875" style="9" customWidth="1"/>
    <col min="106" max="106" width="13.88671875" style="9" customWidth="1"/>
    <col min="107" max="107" width="11.5546875" style="9" customWidth="1"/>
    <col min="108" max="108" width="15.6640625" style="9" customWidth="1"/>
    <col min="109" max="115" width="12.44140625" style="9" customWidth="1"/>
    <col min="116" max="116" width="10.44140625" style="9" customWidth="1"/>
    <col min="117" max="117" width="15" style="9" customWidth="1"/>
    <col min="118" max="118" width="12.44140625" style="9" customWidth="1"/>
    <col min="119" max="119" width="16" style="9" customWidth="1"/>
    <col min="120" max="120" width="18.88671875" style="9" customWidth="1"/>
    <col min="121" max="121" width="7.5546875" style="9" customWidth="1"/>
    <col min="122" max="122" width="10.44140625" style="9" customWidth="1"/>
    <col min="123" max="123" width="13.44140625" style="9" customWidth="1"/>
    <col min="124" max="124" width="16.6640625" style="9" customWidth="1"/>
    <col min="125" max="125" width="8.44140625" style="9" customWidth="1"/>
    <col min="126" max="126" width="21.5546875" style="9" customWidth="1"/>
    <col min="127" max="127" width="13.33203125" style="9" customWidth="1"/>
    <col min="128" max="128" width="25" style="9" customWidth="1"/>
    <col min="129" max="129" width="7.109375" style="9" customWidth="1"/>
    <col min="130" max="130" width="23" style="9" customWidth="1"/>
    <col min="131" max="131" width="13.33203125" style="9" customWidth="1"/>
    <col min="132" max="132" width="17.88671875" style="9" customWidth="1"/>
    <col min="133" max="133" width="25.88671875" style="9" customWidth="1"/>
    <col min="134" max="134" width="10" style="9" customWidth="1"/>
    <col min="135" max="135" width="13.33203125" style="9" customWidth="1"/>
    <col min="136" max="136" width="12.44140625" style="9" customWidth="1"/>
    <col min="137" max="137" width="15.109375" style="9" customWidth="1"/>
    <col min="138" max="138" width="17.6640625" style="9" customWidth="1"/>
    <col min="139" max="139" width="28.88671875" style="9" customWidth="1"/>
    <col min="140" max="140" width="24.6640625" style="9" customWidth="1"/>
    <col min="141" max="141" width="25.109375" style="9" customWidth="1"/>
    <col min="142" max="143" width="11.33203125" style="9" customWidth="1"/>
    <col min="144" max="144" width="14.33203125" style="9" customWidth="1"/>
    <col min="145" max="145" width="18.88671875" style="9" customWidth="1"/>
    <col min="146" max="146" width="12.109375" style="9" customWidth="1"/>
    <col min="147" max="147" width="20.6640625" style="9" customWidth="1"/>
    <col min="148" max="148" width="32.109375" style="9" customWidth="1"/>
    <col min="149" max="149" width="16" style="9" customWidth="1"/>
    <col min="150" max="150" width="14.6640625" style="9" customWidth="1"/>
    <col min="151" max="152" width="27.33203125" style="9" customWidth="1"/>
    <col min="153" max="153" width="18.88671875" style="9" customWidth="1"/>
    <col min="154" max="154" width="15.33203125" style="9" customWidth="1"/>
    <col min="155" max="155" width="32.44140625" style="9" customWidth="1"/>
    <col min="156" max="156" width="21" style="9" customWidth="1"/>
    <col min="157" max="157" width="16.33203125" style="9" customWidth="1"/>
    <col min="158" max="158" width="30.6640625" style="9" customWidth="1"/>
    <col min="159" max="159" width="20" style="9" customWidth="1"/>
    <col min="160" max="160" width="25.109375" style="9" customWidth="1"/>
    <col min="161" max="161" width="16.5546875" style="9" customWidth="1"/>
    <col min="162" max="162" width="19.5546875" style="9" customWidth="1"/>
    <col min="163" max="163" width="15.6640625" style="9" customWidth="1"/>
    <col min="164" max="164" width="11.44140625" style="9" customWidth="1"/>
    <col min="165" max="165" width="26.5546875" style="9" customWidth="1"/>
    <col min="166" max="166" width="24" style="9" customWidth="1"/>
    <col min="167" max="167" width="20.6640625" style="9" customWidth="1"/>
    <col min="168" max="168" width="25.6640625" style="9" customWidth="1"/>
    <col min="169" max="169" width="30" style="9" customWidth="1"/>
    <col min="170" max="170" width="24.109375" style="9" customWidth="1"/>
    <col min="171" max="171" width="26.44140625" style="9" customWidth="1"/>
    <col min="172" max="172" width="32.6640625" style="9" customWidth="1"/>
    <col min="173" max="173" width="11" style="9" customWidth="1"/>
    <col min="174" max="174" width="21.109375" style="9" customWidth="1"/>
    <col min="175" max="175" width="29" style="9" customWidth="1"/>
    <col min="176" max="176" width="24" style="9" customWidth="1"/>
    <col min="177" max="177" width="18.33203125" style="9" customWidth="1"/>
    <col min="178" max="178" width="33.5546875" style="9" customWidth="1"/>
    <col min="179" max="179" width="19.44140625" style="9" customWidth="1"/>
    <col min="180" max="180" width="25.6640625" style="9" customWidth="1"/>
    <col min="181" max="181" width="19.44140625" style="9" customWidth="1"/>
    <col min="182" max="182" width="9.6640625" style="9" customWidth="1"/>
    <col min="183" max="183" width="18" style="9" customWidth="1"/>
    <col min="184" max="184" width="11.5546875" style="9" customWidth="1"/>
    <col min="185" max="16384" width="9.109375" style="9"/>
  </cols>
  <sheetData>
    <row r="1" spans="1:184" s="57" customFormat="1" x14ac:dyDescent="0.3">
      <c r="A1" s="59" t="s">
        <v>1649</v>
      </c>
      <c r="B1" s="59" t="s">
        <v>0</v>
      </c>
      <c r="C1" s="59" t="s">
        <v>1650</v>
      </c>
      <c r="D1" s="59" t="s">
        <v>1651</v>
      </c>
      <c r="E1" s="59" t="s">
        <v>1652</v>
      </c>
      <c r="F1" s="59" t="s">
        <v>1653</v>
      </c>
      <c r="G1" s="59" t="s">
        <v>1654</v>
      </c>
      <c r="H1" s="59" t="s">
        <v>1655</v>
      </c>
      <c r="I1" s="59" t="s">
        <v>1656</v>
      </c>
      <c r="J1" s="59" t="s">
        <v>1657</v>
      </c>
      <c r="K1" s="59" t="s">
        <v>1658</v>
      </c>
      <c r="L1" s="59" t="s">
        <v>1659</v>
      </c>
      <c r="M1" s="59" t="s">
        <v>1660</v>
      </c>
      <c r="N1" s="59" t="s">
        <v>1661</v>
      </c>
      <c r="O1" s="59" t="s">
        <v>1662</v>
      </c>
      <c r="P1" s="59" t="s">
        <v>1663</v>
      </c>
      <c r="Q1" s="59" t="s">
        <v>1664</v>
      </c>
      <c r="R1" s="59" t="s">
        <v>1665</v>
      </c>
      <c r="S1" s="59" t="s">
        <v>1666</v>
      </c>
      <c r="T1" s="59" t="s">
        <v>1</v>
      </c>
      <c r="U1" s="59" t="s">
        <v>2</v>
      </c>
      <c r="V1" s="59" t="s">
        <v>3</v>
      </c>
      <c r="W1" s="59" t="s">
        <v>1618</v>
      </c>
      <c r="X1" s="59" t="s">
        <v>4</v>
      </c>
      <c r="Y1" s="59" t="s">
        <v>5</v>
      </c>
      <c r="Z1" s="59" t="s">
        <v>6</v>
      </c>
      <c r="AA1" s="59" t="s">
        <v>7</v>
      </c>
      <c r="AB1" s="59" t="s">
        <v>8</v>
      </c>
      <c r="AC1" s="59" t="s">
        <v>9</v>
      </c>
      <c r="AD1" s="59" t="s">
        <v>10</v>
      </c>
      <c r="AE1" s="59" t="s">
        <v>11</v>
      </c>
      <c r="AF1" s="59" t="s">
        <v>12</v>
      </c>
      <c r="AG1" s="59" t="s">
        <v>13</v>
      </c>
      <c r="AH1" s="59" t="s">
        <v>14</v>
      </c>
      <c r="AI1" s="59" t="s">
        <v>1386</v>
      </c>
      <c r="AJ1" s="59" t="s">
        <v>15</v>
      </c>
      <c r="AK1" s="59" t="s">
        <v>16</v>
      </c>
      <c r="AL1" s="59" t="s">
        <v>1345</v>
      </c>
      <c r="AM1" s="59" t="s">
        <v>1346</v>
      </c>
      <c r="AN1" s="59" t="s">
        <v>1347</v>
      </c>
      <c r="AO1" s="59" t="s">
        <v>18</v>
      </c>
      <c r="AP1" s="59" t="s">
        <v>1348</v>
      </c>
      <c r="AQ1" s="59" t="s">
        <v>1349</v>
      </c>
      <c r="AR1" s="59" t="s">
        <v>1359</v>
      </c>
      <c r="AS1" s="59" t="s">
        <v>21</v>
      </c>
      <c r="AT1" s="59" t="s">
        <v>1350</v>
      </c>
      <c r="AU1" s="59" t="s">
        <v>1351</v>
      </c>
      <c r="AV1" s="59" t="s">
        <v>1352</v>
      </c>
      <c r="AW1" s="59" t="s">
        <v>1353</v>
      </c>
      <c r="AX1" s="59" t="s">
        <v>1354</v>
      </c>
      <c r="AY1" s="59" t="s">
        <v>1355</v>
      </c>
      <c r="AZ1" s="59" t="s">
        <v>1356</v>
      </c>
      <c r="BA1" s="59" t="s">
        <v>1357</v>
      </c>
      <c r="BB1" s="59" t="s">
        <v>1358</v>
      </c>
      <c r="BC1" s="59" t="s">
        <v>1361</v>
      </c>
      <c r="BD1" s="59" t="s">
        <v>1360</v>
      </c>
      <c r="BE1" s="59" t="s">
        <v>1362</v>
      </c>
      <c r="BF1" s="59" t="s">
        <v>34</v>
      </c>
      <c r="BG1" s="59" t="s">
        <v>1363</v>
      </c>
      <c r="BH1" s="59" t="s">
        <v>1364</v>
      </c>
      <c r="BI1" s="59" t="s">
        <v>36</v>
      </c>
      <c r="BJ1" s="59" t="s">
        <v>37</v>
      </c>
      <c r="BK1" s="59" t="s">
        <v>38</v>
      </c>
      <c r="BL1" s="59" t="s">
        <v>39</v>
      </c>
      <c r="BM1" s="59" t="s">
        <v>40</v>
      </c>
      <c r="BN1" s="59" t="s">
        <v>41</v>
      </c>
      <c r="BO1" s="59" t="s">
        <v>42</v>
      </c>
      <c r="BP1" s="59" t="s">
        <v>43</v>
      </c>
      <c r="BQ1" s="59" t="s">
        <v>44</v>
      </c>
      <c r="BR1" s="59" t="s">
        <v>45</v>
      </c>
      <c r="BS1" s="59" t="s">
        <v>46</v>
      </c>
      <c r="BT1" s="59" t="s">
        <v>47</v>
      </c>
      <c r="BU1" s="59" t="s">
        <v>48</v>
      </c>
      <c r="BV1" s="59" t="s">
        <v>49</v>
      </c>
      <c r="BW1" s="59" t="s">
        <v>50</v>
      </c>
      <c r="BX1" s="59" t="s">
        <v>51</v>
      </c>
      <c r="BY1" s="59" t="s">
        <v>52</v>
      </c>
      <c r="BZ1" s="59" t="s">
        <v>53</v>
      </c>
      <c r="CA1" s="59" t="s">
        <v>54</v>
      </c>
      <c r="CB1" s="59" t="s">
        <v>56</v>
      </c>
      <c r="CC1" s="59" t="s">
        <v>55</v>
      </c>
      <c r="CD1" s="59" t="s">
        <v>57</v>
      </c>
      <c r="CE1" s="59" t="s">
        <v>58</v>
      </c>
      <c r="CF1" s="59" t="s">
        <v>59</v>
      </c>
      <c r="CG1" s="59" t="s">
        <v>60</v>
      </c>
      <c r="CH1" s="59" t="s">
        <v>61</v>
      </c>
      <c r="CI1" s="59" t="s">
        <v>62</v>
      </c>
      <c r="CJ1" s="59" t="s">
        <v>63</v>
      </c>
      <c r="CK1" s="59" t="s">
        <v>64</v>
      </c>
      <c r="CL1" s="59" t="s">
        <v>65</v>
      </c>
      <c r="CM1" s="59" t="s">
        <v>66</v>
      </c>
      <c r="CN1" s="59" t="s">
        <v>67</v>
      </c>
      <c r="CO1" s="59" t="s">
        <v>68</v>
      </c>
      <c r="CP1" s="59" t="s">
        <v>69</v>
      </c>
      <c r="CQ1" s="59" t="s">
        <v>70</v>
      </c>
      <c r="CR1" s="59" t="s">
        <v>71</v>
      </c>
      <c r="CS1" s="59" t="s">
        <v>72</v>
      </c>
      <c r="CT1" s="59" t="s">
        <v>1615</v>
      </c>
      <c r="CU1" s="59" t="s">
        <v>1596</v>
      </c>
      <c r="CV1" s="59" t="s">
        <v>1597</v>
      </c>
      <c r="CW1" s="59" t="s">
        <v>1598</v>
      </c>
      <c r="CX1" s="59" t="s">
        <v>74</v>
      </c>
      <c r="CY1" s="59" t="s">
        <v>75</v>
      </c>
      <c r="CZ1" s="59" t="s">
        <v>76</v>
      </c>
      <c r="DA1" s="59" t="s">
        <v>1667</v>
      </c>
      <c r="DB1" s="59" t="s">
        <v>77</v>
      </c>
      <c r="DC1" s="59" t="s">
        <v>78</v>
      </c>
      <c r="DD1" s="59" t="s">
        <v>79</v>
      </c>
      <c r="DE1" s="59" t="s">
        <v>80</v>
      </c>
      <c r="DF1" s="59" t="s">
        <v>81</v>
      </c>
      <c r="DG1" s="59" t="s">
        <v>82</v>
      </c>
      <c r="DH1" s="59" t="s">
        <v>83</v>
      </c>
      <c r="DI1" s="59" t="s">
        <v>84</v>
      </c>
      <c r="DJ1" s="59" t="s">
        <v>85</v>
      </c>
      <c r="DK1" s="59" t="s">
        <v>86</v>
      </c>
      <c r="DL1" s="59" t="s">
        <v>87</v>
      </c>
      <c r="DM1" s="59" t="s">
        <v>1365</v>
      </c>
      <c r="DN1" s="59" t="s">
        <v>88</v>
      </c>
      <c r="DO1" s="59" t="s">
        <v>89</v>
      </c>
      <c r="DP1" s="59" t="s">
        <v>1366</v>
      </c>
      <c r="DQ1" s="59" t="s">
        <v>1367</v>
      </c>
      <c r="DR1" s="59" t="s">
        <v>90</v>
      </c>
      <c r="DS1" s="59" t="s">
        <v>1368</v>
      </c>
      <c r="DT1" s="59" t="s">
        <v>1369</v>
      </c>
      <c r="DU1" s="59" t="s">
        <v>1370</v>
      </c>
      <c r="DV1" s="59" t="s">
        <v>91</v>
      </c>
      <c r="DW1" s="59" t="s">
        <v>1371</v>
      </c>
      <c r="DX1" s="59" t="s">
        <v>1372</v>
      </c>
      <c r="DY1" s="59" t="s">
        <v>1373</v>
      </c>
      <c r="DZ1" s="59" t="s">
        <v>1374</v>
      </c>
      <c r="EA1" s="59" t="s">
        <v>1375</v>
      </c>
      <c r="EB1" s="59" t="s">
        <v>1376</v>
      </c>
      <c r="EC1" s="59" t="s">
        <v>1377</v>
      </c>
      <c r="ED1" s="59" t="s">
        <v>1378</v>
      </c>
      <c r="EE1" s="59" t="s">
        <v>1379</v>
      </c>
      <c r="EF1" s="59" t="s">
        <v>1380</v>
      </c>
      <c r="EG1" s="59" t="s">
        <v>1381</v>
      </c>
      <c r="EH1" s="59" t="s">
        <v>1382</v>
      </c>
      <c r="EI1" s="59" t="s">
        <v>1383</v>
      </c>
      <c r="EJ1" s="59" t="s">
        <v>92</v>
      </c>
      <c r="EK1" s="59" t="s">
        <v>1384</v>
      </c>
      <c r="EL1" s="59" t="s">
        <v>1385</v>
      </c>
      <c r="EM1" s="59" t="s">
        <v>93</v>
      </c>
      <c r="EN1" s="59" t="s">
        <v>94</v>
      </c>
      <c r="EO1" s="59" t="s">
        <v>95</v>
      </c>
      <c r="EP1" s="59" t="s">
        <v>96</v>
      </c>
      <c r="EQ1" s="59" t="s">
        <v>111</v>
      </c>
      <c r="ER1" s="59" t="s">
        <v>97</v>
      </c>
      <c r="ES1" s="59" t="s">
        <v>98</v>
      </c>
      <c r="ET1" s="59" t="s">
        <v>99</v>
      </c>
      <c r="EU1" s="59" t="s">
        <v>100</v>
      </c>
      <c r="EV1" s="59" t="s">
        <v>101</v>
      </c>
      <c r="EW1" s="59" t="s">
        <v>102</v>
      </c>
      <c r="EX1" s="59" t="s">
        <v>103</v>
      </c>
      <c r="EY1" s="59" t="s">
        <v>104</v>
      </c>
      <c r="EZ1" s="59" t="s">
        <v>105</v>
      </c>
      <c r="FA1" s="59" t="s">
        <v>106</v>
      </c>
      <c r="FB1" s="59" t="s">
        <v>107</v>
      </c>
      <c r="FC1" s="59" t="s">
        <v>108</v>
      </c>
      <c r="FD1" s="59" t="s">
        <v>109</v>
      </c>
      <c r="FE1" s="59" t="s">
        <v>110</v>
      </c>
      <c r="FF1" s="59" t="s">
        <v>112</v>
      </c>
      <c r="FG1" s="59" t="s">
        <v>1668</v>
      </c>
      <c r="FH1" s="59" t="s">
        <v>113</v>
      </c>
      <c r="FI1" s="59" t="s">
        <v>114</v>
      </c>
      <c r="FJ1" s="59" t="s">
        <v>115</v>
      </c>
      <c r="FK1" s="59" t="s">
        <v>116</v>
      </c>
      <c r="FL1" s="59" t="s">
        <v>117</v>
      </c>
      <c r="FM1" s="59" t="s">
        <v>118</v>
      </c>
      <c r="FN1" s="59" t="s">
        <v>126</v>
      </c>
      <c r="FO1" s="59" t="s">
        <v>119</v>
      </c>
      <c r="FP1" s="59" t="s">
        <v>120</v>
      </c>
      <c r="FQ1" s="59" t="s">
        <v>121</v>
      </c>
      <c r="FR1" s="59" t="s">
        <v>122</v>
      </c>
      <c r="FS1" s="59" t="s">
        <v>123</v>
      </c>
      <c r="FT1" s="59" t="s">
        <v>124</v>
      </c>
      <c r="FU1" s="59" t="s">
        <v>127</v>
      </c>
      <c r="FV1" s="59" t="s">
        <v>125</v>
      </c>
      <c r="FW1" s="59" t="s">
        <v>128</v>
      </c>
      <c r="FX1" s="59" t="s">
        <v>1616</v>
      </c>
      <c r="FY1" s="59" t="s">
        <v>1599</v>
      </c>
      <c r="FZ1" s="59" t="s">
        <v>1600</v>
      </c>
      <c r="GA1" s="59" t="s">
        <v>1601</v>
      </c>
      <c r="GB1" s="59" t="s">
        <v>1602</v>
      </c>
    </row>
    <row r="2" spans="1:184" x14ac:dyDescent="0.3">
      <c r="A2" s="60">
        <v>106010735</v>
      </c>
      <c r="B2" s="61" t="s">
        <v>129</v>
      </c>
      <c r="C2" s="61" t="s">
        <v>130</v>
      </c>
      <c r="D2" s="61" t="s">
        <v>132</v>
      </c>
      <c r="E2" s="61" t="s">
        <v>131</v>
      </c>
      <c r="F2" s="60">
        <v>94501</v>
      </c>
      <c r="G2" s="61"/>
      <c r="H2" s="61" t="s">
        <v>1669</v>
      </c>
      <c r="I2" s="60">
        <v>16</v>
      </c>
      <c r="J2" s="60">
        <v>9</v>
      </c>
      <c r="K2" s="61" t="s">
        <v>1670</v>
      </c>
      <c r="L2" s="61"/>
      <c r="M2" s="61" t="s">
        <v>1671</v>
      </c>
      <c r="N2" s="61" t="s">
        <v>1672</v>
      </c>
      <c r="O2" s="61" t="s">
        <v>1673</v>
      </c>
      <c r="P2" s="61" t="s">
        <v>159</v>
      </c>
      <c r="Q2" s="61" t="s">
        <v>1674</v>
      </c>
      <c r="R2" s="60">
        <v>100</v>
      </c>
      <c r="S2" s="61" t="s">
        <v>1675</v>
      </c>
      <c r="T2" s="60">
        <v>7312</v>
      </c>
      <c r="U2" s="60">
        <v>5457</v>
      </c>
      <c r="V2" s="60"/>
      <c r="W2" s="60"/>
      <c r="X2" s="60">
        <v>759</v>
      </c>
      <c r="Y2" s="60">
        <v>1127</v>
      </c>
      <c r="Z2" s="60">
        <v>2418</v>
      </c>
      <c r="AA2" s="60">
        <v>1963</v>
      </c>
      <c r="AB2" s="60">
        <v>1904</v>
      </c>
      <c r="AC2" s="60">
        <v>1776</v>
      </c>
      <c r="AD2" s="60">
        <v>1203</v>
      </c>
      <c r="AE2" s="60">
        <v>654</v>
      </c>
      <c r="AF2" s="60">
        <v>891</v>
      </c>
      <c r="AG2" s="60">
        <v>74</v>
      </c>
      <c r="AH2" s="60"/>
      <c r="AI2" s="60">
        <v>1212</v>
      </c>
      <c r="AJ2" s="60">
        <v>2719</v>
      </c>
      <c r="AK2" s="60">
        <v>176</v>
      </c>
      <c r="AL2" s="60">
        <v>20</v>
      </c>
      <c r="AM2" s="60">
        <v>2923</v>
      </c>
      <c r="AN2" s="60">
        <v>331</v>
      </c>
      <c r="AO2" s="60">
        <v>5388</v>
      </c>
      <c r="AP2" s="60">
        <v>189</v>
      </c>
      <c r="AQ2" s="60">
        <v>267</v>
      </c>
      <c r="AR2" s="60">
        <v>2</v>
      </c>
      <c r="AS2" s="60">
        <v>27</v>
      </c>
      <c r="AT2" s="60">
        <v>33</v>
      </c>
      <c r="AU2" s="60">
        <v>9</v>
      </c>
      <c r="AV2" s="60">
        <v>6</v>
      </c>
      <c r="AW2" s="60">
        <v>4</v>
      </c>
      <c r="AX2" s="60">
        <v>91</v>
      </c>
      <c r="AY2" s="60">
        <v>166</v>
      </c>
      <c r="AZ2" s="60">
        <v>11</v>
      </c>
      <c r="BA2" s="60">
        <v>11769</v>
      </c>
      <c r="BB2" s="60">
        <v>195</v>
      </c>
      <c r="BC2" s="60"/>
      <c r="BD2" s="60"/>
      <c r="BE2" s="60">
        <v>1051</v>
      </c>
      <c r="BF2" s="60">
        <v>2554</v>
      </c>
      <c r="BG2" s="60">
        <v>2726</v>
      </c>
      <c r="BH2" s="60">
        <v>4100</v>
      </c>
      <c r="BI2" s="60">
        <v>2338</v>
      </c>
      <c r="BJ2" s="60">
        <v>261</v>
      </c>
      <c r="BK2" s="60">
        <v>42</v>
      </c>
      <c r="BL2" s="60">
        <v>207</v>
      </c>
      <c r="BM2" s="60">
        <v>2</v>
      </c>
      <c r="BN2" s="60">
        <v>646</v>
      </c>
      <c r="BO2" s="60">
        <v>145</v>
      </c>
      <c r="BP2" s="60">
        <v>634</v>
      </c>
      <c r="BQ2" s="60">
        <v>210</v>
      </c>
      <c r="BR2" s="60">
        <v>3242</v>
      </c>
      <c r="BS2" s="60">
        <v>871</v>
      </c>
      <c r="BT2" s="60">
        <v>10</v>
      </c>
      <c r="BU2" s="60">
        <v>760</v>
      </c>
      <c r="BV2" s="60">
        <v>603</v>
      </c>
      <c r="BW2" s="60">
        <v>3</v>
      </c>
      <c r="BX2" s="60">
        <v>476</v>
      </c>
      <c r="BY2" s="60">
        <v>1198</v>
      </c>
      <c r="BZ2" s="60">
        <v>650</v>
      </c>
      <c r="CA2" s="60">
        <v>2809</v>
      </c>
      <c r="CB2" s="60"/>
      <c r="CC2" s="60"/>
      <c r="CD2" s="60">
        <v>1019</v>
      </c>
      <c r="CE2" s="60">
        <v>71</v>
      </c>
      <c r="CF2" s="60">
        <v>68</v>
      </c>
      <c r="CG2" s="60">
        <v>3</v>
      </c>
      <c r="CH2" s="60">
        <v>172</v>
      </c>
      <c r="CI2" s="60">
        <v>13</v>
      </c>
      <c r="CJ2" s="60">
        <v>19</v>
      </c>
      <c r="CK2" s="60">
        <v>128</v>
      </c>
      <c r="CL2" s="60">
        <v>8985</v>
      </c>
      <c r="CM2" s="60">
        <v>1669</v>
      </c>
      <c r="CN2" s="60">
        <v>92</v>
      </c>
      <c r="CO2" s="60">
        <v>390</v>
      </c>
      <c r="CP2" s="60">
        <v>37</v>
      </c>
      <c r="CQ2" s="60">
        <v>101</v>
      </c>
      <c r="CR2" s="60">
        <v>2</v>
      </c>
      <c r="CS2" s="60"/>
      <c r="CT2" s="60">
        <v>12769</v>
      </c>
      <c r="CU2" s="60">
        <v>521</v>
      </c>
      <c r="CV2" s="60">
        <v>11921</v>
      </c>
      <c r="CW2" s="60">
        <v>327</v>
      </c>
      <c r="CX2" s="60">
        <v>1362</v>
      </c>
      <c r="CY2" s="60">
        <v>1096</v>
      </c>
      <c r="CZ2" s="60"/>
      <c r="DA2" s="60"/>
      <c r="DB2" s="60">
        <v>15</v>
      </c>
      <c r="DC2" s="60">
        <v>110</v>
      </c>
      <c r="DD2" s="60">
        <v>115</v>
      </c>
      <c r="DE2" s="60">
        <v>202</v>
      </c>
      <c r="DF2" s="60">
        <v>381</v>
      </c>
      <c r="DG2" s="60">
        <v>402</v>
      </c>
      <c r="DH2" s="60">
        <v>401</v>
      </c>
      <c r="DI2" s="60">
        <v>832</v>
      </c>
      <c r="DJ2" s="60"/>
      <c r="DK2" s="60"/>
      <c r="DL2" s="60"/>
      <c r="DM2" s="60">
        <v>419</v>
      </c>
      <c r="DN2" s="60">
        <v>363</v>
      </c>
      <c r="DO2" s="60">
        <v>152</v>
      </c>
      <c r="DP2" s="60">
        <v>241</v>
      </c>
      <c r="DQ2" s="60">
        <v>20</v>
      </c>
      <c r="DR2" s="60">
        <v>1263</v>
      </c>
      <c r="DS2" s="60"/>
      <c r="DT2" s="60">
        <v>103</v>
      </c>
      <c r="DU2" s="60">
        <v>31</v>
      </c>
      <c r="DV2" s="60">
        <v>80</v>
      </c>
      <c r="DW2" s="60">
        <v>146</v>
      </c>
      <c r="DX2" s="60">
        <v>21</v>
      </c>
      <c r="DY2" s="60">
        <v>11</v>
      </c>
      <c r="DZ2" s="60">
        <v>15</v>
      </c>
      <c r="EA2" s="60">
        <v>1291</v>
      </c>
      <c r="EB2" s="60">
        <v>760</v>
      </c>
      <c r="EC2" s="60"/>
      <c r="ED2" s="60">
        <v>0</v>
      </c>
      <c r="EE2" s="60">
        <v>0</v>
      </c>
      <c r="EF2" s="60">
        <v>0</v>
      </c>
      <c r="EG2" s="60">
        <v>0</v>
      </c>
      <c r="EH2" s="60">
        <v>0</v>
      </c>
      <c r="EI2" s="60">
        <v>372</v>
      </c>
      <c r="EJ2" s="60">
        <v>1519</v>
      </c>
      <c r="EK2" s="60">
        <v>11</v>
      </c>
      <c r="EL2" s="60">
        <v>399</v>
      </c>
      <c r="EM2" s="60">
        <v>157</v>
      </c>
      <c r="EN2" s="60">
        <v>15</v>
      </c>
      <c r="EO2" s="60">
        <v>53</v>
      </c>
      <c r="EP2" s="60">
        <v>417</v>
      </c>
      <c r="EQ2" s="60">
        <v>2</v>
      </c>
      <c r="ER2" s="60">
        <v>365</v>
      </c>
      <c r="ES2" s="60">
        <v>101</v>
      </c>
      <c r="ET2" s="60">
        <v>151</v>
      </c>
      <c r="EU2" s="60">
        <v>281</v>
      </c>
      <c r="EV2" s="60">
        <v>163</v>
      </c>
      <c r="EW2" s="60">
        <v>40</v>
      </c>
      <c r="EX2" s="60">
        <v>33</v>
      </c>
      <c r="EY2" s="60">
        <v>41</v>
      </c>
      <c r="EZ2" s="60">
        <v>4</v>
      </c>
      <c r="FA2" s="60">
        <v>38</v>
      </c>
      <c r="FB2" s="60">
        <v>426</v>
      </c>
      <c r="FC2" s="60">
        <v>107</v>
      </c>
      <c r="FD2" s="60">
        <v>221</v>
      </c>
      <c r="FE2" s="60"/>
      <c r="FF2" s="60"/>
      <c r="FG2" s="60"/>
      <c r="FH2" s="60">
        <v>123</v>
      </c>
      <c r="FI2" s="60">
        <v>10</v>
      </c>
      <c r="FJ2" s="60">
        <v>67</v>
      </c>
      <c r="FK2" s="60">
        <v>2</v>
      </c>
      <c r="FL2" s="60">
        <v>16</v>
      </c>
      <c r="FM2" s="60">
        <v>71</v>
      </c>
      <c r="FN2" s="60">
        <v>2</v>
      </c>
      <c r="FO2" s="60">
        <v>2131</v>
      </c>
      <c r="FP2" s="60">
        <v>8</v>
      </c>
      <c r="FQ2" s="60">
        <v>3</v>
      </c>
      <c r="FR2" s="60">
        <v>5</v>
      </c>
      <c r="FS2" s="60">
        <v>15</v>
      </c>
      <c r="FT2" s="60">
        <v>4</v>
      </c>
      <c r="FU2" s="60">
        <v>1</v>
      </c>
      <c r="FV2" s="60"/>
      <c r="FW2" s="60"/>
      <c r="FX2" s="60">
        <v>2458</v>
      </c>
      <c r="FY2" s="60">
        <v>272</v>
      </c>
      <c r="FZ2" s="60">
        <v>2115</v>
      </c>
      <c r="GA2" s="60">
        <v>71</v>
      </c>
      <c r="GB2" s="60">
        <v>2011</v>
      </c>
    </row>
    <row r="3" spans="1:184" x14ac:dyDescent="0.3">
      <c r="A3" s="60">
        <v>106010739</v>
      </c>
      <c r="B3" s="61" t="s">
        <v>133</v>
      </c>
      <c r="C3" s="61" t="s">
        <v>1676</v>
      </c>
      <c r="D3" s="61" t="s">
        <v>134</v>
      </c>
      <c r="E3" s="61" t="s">
        <v>135</v>
      </c>
      <c r="F3" s="60">
        <v>94705</v>
      </c>
      <c r="G3" s="61"/>
      <c r="H3" s="61" t="s">
        <v>1669</v>
      </c>
      <c r="I3" s="60">
        <v>14</v>
      </c>
      <c r="J3" s="60">
        <v>9</v>
      </c>
      <c r="K3" s="61" t="s">
        <v>1677</v>
      </c>
      <c r="L3" s="61"/>
      <c r="M3" s="61" t="s">
        <v>1671</v>
      </c>
      <c r="N3" s="61" t="s">
        <v>1672</v>
      </c>
      <c r="O3" s="61" t="s">
        <v>1673</v>
      </c>
      <c r="P3" s="61" t="s">
        <v>1678</v>
      </c>
      <c r="Q3" s="61" t="s">
        <v>1674</v>
      </c>
      <c r="R3" s="60">
        <v>347</v>
      </c>
      <c r="S3" s="61" t="s">
        <v>1675</v>
      </c>
      <c r="T3" s="60">
        <v>20915</v>
      </c>
      <c r="U3" s="60">
        <v>14610</v>
      </c>
      <c r="V3" s="60"/>
      <c r="W3" s="60"/>
      <c r="X3" s="60">
        <v>574</v>
      </c>
      <c r="Y3" s="60">
        <v>2360</v>
      </c>
      <c r="Z3" s="60">
        <v>8554</v>
      </c>
      <c r="AA3" s="60">
        <v>5744</v>
      </c>
      <c r="AB3" s="60">
        <v>5120</v>
      </c>
      <c r="AC3" s="60">
        <v>5391</v>
      </c>
      <c r="AD3" s="60">
        <v>3723</v>
      </c>
      <c r="AE3" s="60">
        <v>1855</v>
      </c>
      <c r="AF3" s="60">
        <v>1967</v>
      </c>
      <c r="AG3" s="60">
        <v>237</v>
      </c>
      <c r="AH3" s="60"/>
      <c r="AI3" s="60">
        <v>2406</v>
      </c>
      <c r="AJ3" s="60">
        <v>12898</v>
      </c>
      <c r="AK3" s="60">
        <v>3348</v>
      </c>
      <c r="AL3" s="60">
        <v>67</v>
      </c>
      <c r="AM3" s="60">
        <v>2560</v>
      </c>
      <c r="AN3" s="60">
        <v>252</v>
      </c>
      <c r="AO3" s="60">
        <v>13994</v>
      </c>
      <c r="AP3" s="60">
        <v>196</v>
      </c>
      <c r="AQ3" s="60">
        <v>302</v>
      </c>
      <c r="AR3" s="60">
        <v>22</v>
      </c>
      <c r="AS3" s="60">
        <v>31</v>
      </c>
      <c r="AT3" s="60">
        <v>9</v>
      </c>
      <c r="AU3" s="60"/>
      <c r="AV3" s="60">
        <v>6</v>
      </c>
      <c r="AW3" s="60">
        <v>4</v>
      </c>
      <c r="AX3" s="60"/>
      <c r="AY3" s="60">
        <v>1031</v>
      </c>
      <c r="AZ3" s="60">
        <v>52</v>
      </c>
      <c r="BA3" s="60">
        <v>33639</v>
      </c>
      <c r="BB3" s="60">
        <v>172</v>
      </c>
      <c r="BC3" s="60">
        <v>61</v>
      </c>
      <c r="BD3" s="60"/>
      <c r="BE3" s="60">
        <v>8302</v>
      </c>
      <c r="BF3" s="60">
        <v>5815</v>
      </c>
      <c r="BG3" s="60">
        <v>1498</v>
      </c>
      <c r="BH3" s="60">
        <v>13469</v>
      </c>
      <c r="BI3" s="60">
        <v>6441</v>
      </c>
      <c r="BJ3" s="60">
        <v>1879</v>
      </c>
      <c r="BK3" s="60">
        <v>222</v>
      </c>
      <c r="BL3" s="60">
        <v>744</v>
      </c>
      <c r="BM3" s="60">
        <v>3</v>
      </c>
      <c r="BN3" s="60">
        <v>1760</v>
      </c>
      <c r="BO3" s="60">
        <v>488</v>
      </c>
      <c r="BP3" s="60">
        <v>2020</v>
      </c>
      <c r="BQ3" s="60">
        <v>776</v>
      </c>
      <c r="BR3" s="60">
        <v>8326</v>
      </c>
      <c r="BS3" s="60">
        <v>1680</v>
      </c>
      <c r="BT3" s="60">
        <v>35</v>
      </c>
      <c r="BU3" s="60">
        <v>2515</v>
      </c>
      <c r="BV3" s="60">
        <v>1362</v>
      </c>
      <c r="BW3" s="60">
        <v>36</v>
      </c>
      <c r="BX3" s="60">
        <v>2261</v>
      </c>
      <c r="BY3" s="60">
        <v>2721</v>
      </c>
      <c r="BZ3" s="60">
        <v>1581</v>
      </c>
      <c r="CA3" s="60">
        <v>7115</v>
      </c>
      <c r="CB3" s="60">
        <v>1</v>
      </c>
      <c r="CC3" s="60"/>
      <c r="CD3" s="60">
        <v>2468</v>
      </c>
      <c r="CE3" s="60">
        <v>205</v>
      </c>
      <c r="CF3" s="60">
        <v>324</v>
      </c>
      <c r="CG3" s="60">
        <v>14</v>
      </c>
      <c r="CH3" s="60">
        <v>503</v>
      </c>
      <c r="CI3" s="60">
        <v>50</v>
      </c>
      <c r="CJ3" s="60">
        <v>181</v>
      </c>
      <c r="CK3" s="60">
        <v>326</v>
      </c>
      <c r="CL3" s="60">
        <v>26025</v>
      </c>
      <c r="CM3" s="60">
        <v>3759</v>
      </c>
      <c r="CN3" s="60">
        <v>313</v>
      </c>
      <c r="CO3" s="60">
        <v>1023</v>
      </c>
      <c r="CP3" s="60">
        <v>145</v>
      </c>
      <c r="CQ3" s="60">
        <v>170</v>
      </c>
      <c r="CR3" s="60">
        <v>19</v>
      </c>
      <c r="CS3" s="60"/>
      <c r="CT3" s="60">
        <v>35525</v>
      </c>
      <c r="CU3" s="60">
        <v>440</v>
      </c>
      <c r="CV3" s="60">
        <v>34072</v>
      </c>
      <c r="CW3" s="60">
        <v>1013</v>
      </c>
      <c r="CX3" s="60">
        <v>3754</v>
      </c>
      <c r="CY3" s="60">
        <v>2876</v>
      </c>
      <c r="CZ3" s="60"/>
      <c r="DA3" s="60"/>
      <c r="DB3" s="60">
        <v>84</v>
      </c>
      <c r="DC3" s="60">
        <v>502</v>
      </c>
      <c r="DD3" s="60">
        <v>532</v>
      </c>
      <c r="DE3" s="60">
        <v>593</v>
      </c>
      <c r="DF3" s="60">
        <v>1016</v>
      </c>
      <c r="DG3" s="60">
        <v>1272</v>
      </c>
      <c r="DH3" s="60">
        <v>954</v>
      </c>
      <c r="DI3" s="60">
        <v>1674</v>
      </c>
      <c r="DJ3" s="60">
        <v>3</v>
      </c>
      <c r="DK3" s="60"/>
      <c r="DL3" s="60"/>
      <c r="DM3" s="60">
        <v>543</v>
      </c>
      <c r="DN3" s="60">
        <v>2370</v>
      </c>
      <c r="DO3" s="60">
        <v>408</v>
      </c>
      <c r="DP3" s="60">
        <v>268</v>
      </c>
      <c r="DQ3" s="60">
        <v>26</v>
      </c>
      <c r="DR3" s="60">
        <v>3002</v>
      </c>
      <c r="DS3" s="60">
        <v>13</v>
      </c>
      <c r="DT3" s="60">
        <v>57</v>
      </c>
      <c r="DU3" s="60">
        <v>123</v>
      </c>
      <c r="DV3" s="60">
        <v>184</v>
      </c>
      <c r="DW3" s="60">
        <v>892</v>
      </c>
      <c r="DX3" s="60">
        <v>282</v>
      </c>
      <c r="DY3" s="60">
        <v>27</v>
      </c>
      <c r="DZ3" s="60">
        <v>45</v>
      </c>
      <c r="EA3" s="60">
        <v>3915</v>
      </c>
      <c r="EB3" s="60">
        <v>1104</v>
      </c>
      <c r="EC3" s="60">
        <v>1</v>
      </c>
      <c r="ED3" s="60">
        <v>0</v>
      </c>
      <c r="EE3" s="60">
        <v>0</v>
      </c>
      <c r="EF3" s="60">
        <v>0</v>
      </c>
      <c r="EG3" s="60">
        <v>0</v>
      </c>
      <c r="EH3" s="60">
        <v>0</v>
      </c>
      <c r="EI3" s="60">
        <v>865</v>
      </c>
      <c r="EJ3" s="60">
        <v>3022</v>
      </c>
      <c r="EK3" s="60">
        <v>49</v>
      </c>
      <c r="EL3" s="60">
        <v>2285</v>
      </c>
      <c r="EM3" s="60">
        <v>409</v>
      </c>
      <c r="EN3" s="60">
        <v>192</v>
      </c>
      <c r="EO3" s="60">
        <v>223</v>
      </c>
      <c r="EP3" s="60">
        <v>1103</v>
      </c>
      <c r="EQ3" s="60">
        <v>4</v>
      </c>
      <c r="ER3" s="60">
        <v>992</v>
      </c>
      <c r="ES3" s="60">
        <v>308</v>
      </c>
      <c r="ET3" s="60">
        <v>307</v>
      </c>
      <c r="EU3" s="60">
        <v>688</v>
      </c>
      <c r="EV3" s="60">
        <v>655</v>
      </c>
      <c r="EW3" s="60">
        <v>145</v>
      </c>
      <c r="EX3" s="60">
        <v>197</v>
      </c>
      <c r="EY3" s="60">
        <v>241</v>
      </c>
      <c r="EZ3" s="60">
        <v>4</v>
      </c>
      <c r="FA3" s="60">
        <v>105</v>
      </c>
      <c r="FB3" s="60">
        <v>724</v>
      </c>
      <c r="FC3" s="60">
        <v>229</v>
      </c>
      <c r="FD3" s="60">
        <v>510</v>
      </c>
      <c r="FE3" s="60">
        <v>2</v>
      </c>
      <c r="FF3" s="60">
        <v>1</v>
      </c>
      <c r="FG3" s="60"/>
      <c r="FH3" s="60">
        <v>343</v>
      </c>
      <c r="FI3" s="60">
        <v>67</v>
      </c>
      <c r="FJ3" s="60">
        <v>603</v>
      </c>
      <c r="FK3" s="60">
        <v>11</v>
      </c>
      <c r="FL3" s="60">
        <v>33</v>
      </c>
      <c r="FM3" s="60">
        <v>303</v>
      </c>
      <c r="FN3" s="60">
        <v>24</v>
      </c>
      <c r="FO3" s="60">
        <v>5071</v>
      </c>
      <c r="FP3" s="60">
        <v>83</v>
      </c>
      <c r="FQ3" s="60">
        <v>19</v>
      </c>
      <c r="FR3" s="60">
        <v>21</v>
      </c>
      <c r="FS3" s="60">
        <v>34</v>
      </c>
      <c r="FT3" s="60">
        <v>11</v>
      </c>
      <c r="FU3" s="60">
        <v>7</v>
      </c>
      <c r="FV3" s="60"/>
      <c r="FW3" s="60"/>
      <c r="FX3" s="60">
        <v>6630</v>
      </c>
      <c r="FY3" s="60">
        <v>144</v>
      </c>
      <c r="FZ3" s="60">
        <v>6320</v>
      </c>
      <c r="GA3" s="60">
        <v>166</v>
      </c>
      <c r="GB3" s="60">
        <v>2011</v>
      </c>
    </row>
    <row r="4" spans="1:184" x14ac:dyDescent="0.3">
      <c r="A4" s="60">
        <v>106010776</v>
      </c>
      <c r="B4" s="61" t="s">
        <v>136</v>
      </c>
      <c r="C4" s="61" t="s">
        <v>137</v>
      </c>
      <c r="D4" s="61" t="s">
        <v>138</v>
      </c>
      <c r="E4" s="61" t="s">
        <v>139</v>
      </c>
      <c r="F4" s="60">
        <v>94609</v>
      </c>
      <c r="G4" s="61" t="s">
        <v>140</v>
      </c>
      <c r="H4" s="61" t="s">
        <v>1669</v>
      </c>
      <c r="I4" s="60">
        <v>16</v>
      </c>
      <c r="J4" s="60">
        <v>9</v>
      </c>
      <c r="K4" s="61" t="s">
        <v>1679</v>
      </c>
      <c r="L4" s="61"/>
      <c r="M4" s="61" t="s">
        <v>1671</v>
      </c>
      <c r="N4" s="61" t="s">
        <v>1672</v>
      </c>
      <c r="O4" s="61" t="s">
        <v>1673</v>
      </c>
      <c r="P4" s="61" t="s">
        <v>1678</v>
      </c>
      <c r="Q4" s="61" t="s">
        <v>1680</v>
      </c>
      <c r="R4" s="60">
        <v>190</v>
      </c>
      <c r="S4" s="61" t="s">
        <v>1675</v>
      </c>
      <c r="T4" s="60">
        <v>19109</v>
      </c>
      <c r="U4" s="60">
        <v>21576</v>
      </c>
      <c r="V4" s="60">
        <v>1</v>
      </c>
      <c r="W4" s="60"/>
      <c r="X4" s="60">
        <v>24679</v>
      </c>
      <c r="Y4" s="60">
        <v>9368</v>
      </c>
      <c r="Z4" s="60">
        <v>273</v>
      </c>
      <c r="AA4" s="60">
        <v>70</v>
      </c>
      <c r="AB4" s="60">
        <v>47</v>
      </c>
      <c r="AC4" s="60">
        <v>34</v>
      </c>
      <c r="AD4" s="60">
        <v>14</v>
      </c>
      <c r="AE4" s="60">
        <v>5</v>
      </c>
      <c r="AF4" s="60"/>
      <c r="AG4" s="60">
        <v>6196</v>
      </c>
      <c r="AH4" s="60"/>
      <c r="AI4" s="60">
        <v>2200</v>
      </c>
      <c r="AJ4" s="60">
        <v>13041</v>
      </c>
      <c r="AK4" s="60">
        <v>15621</v>
      </c>
      <c r="AL4" s="60">
        <v>32</v>
      </c>
      <c r="AM4" s="60">
        <v>5948</v>
      </c>
      <c r="AN4" s="60">
        <v>172</v>
      </c>
      <c r="AO4" s="60">
        <v>3672</v>
      </c>
      <c r="AP4" s="60">
        <v>338</v>
      </c>
      <c r="AQ4" s="60">
        <v>774</v>
      </c>
      <c r="AR4" s="60"/>
      <c r="AS4" s="60">
        <v>11</v>
      </c>
      <c r="AT4" s="60"/>
      <c r="AU4" s="60"/>
      <c r="AV4" s="60"/>
      <c r="AW4" s="60">
        <v>13</v>
      </c>
      <c r="AX4" s="60"/>
      <c r="AY4" s="60"/>
      <c r="AZ4" s="60"/>
      <c r="BA4" s="60">
        <v>39550</v>
      </c>
      <c r="BB4" s="60"/>
      <c r="BC4" s="60"/>
      <c r="BD4" s="60"/>
      <c r="BE4" s="60">
        <v>29221</v>
      </c>
      <c r="BF4" s="60">
        <v>23</v>
      </c>
      <c r="BG4" s="60">
        <v>1768</v>
      </c>
      <c r="BH4" s="60">
        <v>6686</v>
      </c>
      <c r="BI4" s="60">
        <v>2988</v>
      </c>
      <c r="BJ4" s="60">
        <v>27</v>
      </c>
      <c r="BK4" s="60">
        <v>79</v>
      </c>
      <c r="BL4" s="60">
        <v>27</v>
      </c>
      <c r="BM4" s="60">
        <v>8</v>
      </c>
      <c r="BN4" s="60">
        <v>949</v>
      </c>
      <c r="BO4" s="60">
        <v>60</v>
      </c>
      <c r="BP4" s="60">
        <v>582</v>
      </c>
      <c r="BQ4" s="60">
        <v>182</v>
      </c>
      <c r="BR4" s="60">
        <v>6481</v>
      </c>
      <c r="BS4" s="60">
        <v>2465</v>
      </c>
      <c r="BT4" s="60">
        <v>11</v>
      </c>
      <c r="BU4" s="60">
        <v>2518</v>
      </c>
      <c r="BV4" s="60">
        <v>821</v>
      </c>
      <c r="BW4" s="60">
        <v>188</v>
      </c>
      <c r="BX4" s="60">
        <v>378</v>
      </c>
      <c r="BY4" s="60">
        <v>1915</v>
      </c>
      <c r="BZ4" s="60">
        <v>870</v>
      </c>
      <c r="CA4" s="60">
        <v>23125</v>
      </c>
      <c r="CB4" s="60"/>
      <c r="CC4" s="60"/>
      <c r="CD4" s="60">
        <v>3456</v>
      </c>
      <c r="CE4" s="60">
        <v>173</v>
      </c>
      <c r="CF4" s="60">
        <v>63</v>
      </c>
      <c r="CG4" s="60">
        <v>20</v>
      </c>
      <c r="CH4" s="60">
        <v>244</v>
      </c>
      <c r="CI4" s="60">
        <v>1</v>
      </c>
      <c r="CJ4" s="60">
        <v>25</v>
      </c>
      <c r="CK4" s="60">
        <v>556</v>
      </c>
      <c r="CL4" s="60">
        <v>31437</v>
      </c>
      <c r="CM4" s="60">
        <v>3583</v>
      </c>
      <c r="CN4" s="60">
        <v>193</v>
      </c>
      <c r="CO4" s="60">
        <v>401</v>
      </c>
      <c r="CP4" s="60">
        <v>26</v>
      </c>
      <c r="CQ4" s="60">
        <v>477</v>
      </c>
      <c r="CR4" s="60">
        <v>31</v>
      </c>
      <c r="CS4" s="60"/>
      <c r="CT4" s="60">
        <v>40686</v>
      </c>
      <c r="CU4" s="60">
        <v>1446</v>
      </c>
      <c r="CV4" s="60">
        <v>28459</v>
      </c>
      <c r="CW4" s="60">
        <v>10781</v>
      </c>
      <c r="CX4" s="60">
        <v>3064</v>
      </c>
      <c r="CY4" s="60">
        <v>3898</v>
      </c>
      <c r="CZ4" s="60"/>
      <c r="DA4" s="60"/>
      <c r="DB4" s="60">
        <v>1722</v>
      </c>
      <c r="DC4" s="60">
        <v>75</v>
      </c>
      <c r="DD4" s="60">
        <v>1</v>
      </c>
      <c r="DE4" s="60"/>
      <c r="DF4" s="60"/>
      <c r="DG4" s="60"/>
      <c r="DH4" s="60"/>
      <c r="DI4" s="60"/>
      <c r="DJ4" s="60">
        <v>1623</v>
      </c>
      <c r="DK4" s="60">
        <v>3541</v>
      </c>
      <c r="DL4" s="60"/>
      <c r="DM4" s="60">
        <v>453</v>
      </c>
      <c r="DN4" s="60">
        <v>1528</v>
      </c>
      <c r="DO4" s="60">
        <v>2508</v>
      </c>
      <c r="DP4" s="60">
        <v>1204</v>
      </c>
      <c r="DQ4" s="60">
        <v>38</v>
      </c>
      <c r="DR4" s="60">
        <v>1225</v>
      </c>
      <c r="DS4" s="60">
        <v>6</v>
      </c>
      <c r="DT4" s="60">
        <v>56</v>
      </c>
      <c r="DU4" s="60">
        <v>14</v>
      </c>
      <c r="DV4" s="60">
        <v>17</v>
      </c>
      <c r="DW4" s="60">
        <v>5</v>
      </c>
      <c r="DX4" s="60">
        <v>27</v>
      </c>
      <c r="DY4" s="60">
        <v>1</v>
      </c>
      <c r="DZ4" s="60">
        <v>5</v>
      </c>
      <c r="EA4" s="60">
        <v>6827</v>
      </c>
      <c r="EB4" s="60">
        <v>10</v>
      </c>
      <c r="EC4" s="60"/>
      <c r="ED4" s="60">
        <v>0</v>
      </c>
      <c r="EE4" s="60">
        <v>0</v>
      </c>
      <c r="EF4" s="60">
        <v>0</v>
      </c>
      <c r="EG4" s="60">
        <v>0</v>
      </c>
      <c r="EH4" s="60">
        <v>0</v>
      </c>
      <c r="EI4" s="60">
        <v>3768</v>
      </c>
      <c r="EJ4" s="60">
        <v>13</v>
      </c>
      <c r="EK4" s="60">
        <v>1397</v>
      </c>
      <c r="EL4" s="60">
        <v>1720</v>
      </c>
      <c r="EM4" s="60">
        <v>64</v>
      </c>
      <c r="EN4" s="60">
        <v>1</v>
      </c>
      <c r="EO4" s="60">
        <v>364</v>
      </c>
      <c r="EP4" s="60">
        <v>70</v>
      </c>
      <c r="EQ4" s="60">
        <v>82</v>
      </c>
      <c r="ER4" s="60">
        <v>735</v>
      </c>
      <c r="ES4" s="60">
        <v>276</v>
      </c>
      <c r="ET4" s="60">
        <v>328</v>
      </c>
      <c r="EU4" s="60">
        <v>357</v>
      </c>
      <c r="EV4" s="60">
        <v>1095</v>
      </c>
      <c r="EW4" s="60">
        <v>123</v>
      </c>
      <c r="EX4" s="60">
        <v>76</v>
      </c>
      <c r="EY4" s="60">
        <v>266</v>
      </c>
      <c r="EZ4" s="60">
        <v>31</v>
      </c>
      <c r="FA4" s="60">
        <v>16</v>
      </c>
      <c r="FB4" s="60">
        <v>2087</v>
      </c>
      <c r="FC4" s="60">
        <v>343</v>
      </c>
      <c r="FD4" s="60">
        <v>460</v>
      </c>
      <c r="FE4" s="60">
        <v>3</v>
      </c>
      <c r="FF4" s="60">
        <v>249</v>
      </c>
      <c r="FG4" s="60"/>
      <c r="FH4" s="60">
        <v>226</v>
      </c>
      <c r="FI4" s="60">
        <v>38</v>
      </c>
      <c r="FJ4" s="60">
        <v>186</v>
      </c>
      <c r="FK4" s="60">
        <v>31</v>
      </c>
      <c r="FL4" s="60">
        <v>9</v>
      </c>
      <c r="FM4" s="60">
        <v>222</v>
      </c>
      <c r="FN4" s="60">
        <v>24</v>
      </c>
      <c r="FO4" s="60">
        <v>5892</v>
      </c>
      <c r="FP4" s="60">
        <v>84</v>
      </c>
      <c r="FQ4" s="60">
        <v>31</v>
      </c>
      <c r="FR4" s="60">
        <v>106</v>
      </c>
      <c r="FS4" s="60">
        <v>10</v>
      </c>
      <c r="FT4" s="60">
        <v>90</v>
      </c>
      <c r="FU4" s="60">
        <v>13</v>
      </c>
      <c r="FV4" s="60"/>
      <c r="FW4" s="60"/>
      <c r="FX4" s="60">
        <v>6962</v>
      </c>
      <c r="FY4" s="60">
        <v>235</v>
      </c>
      <c r="FZ4" s="60">
        <v>5059</v>
      </c>
      <c r="GA4" s="60">
        <v>1668</v>
      </c>
      <c r="GB4" s="60">
        <v>2011</v>
      </c>
    </row>
    <row r="5" spans="1:184" x14ac:dyDescent="0.3">
      <c r="A5" s="60">
        <v>106010805</v>
      </c>
      <c r="B5" s="61" t="s">
        <v>1624</v>
      </c>
      <c r="C5" s="61" t="s">
        <v>168</v>
      </c>
      <c r="D5" s="61" t="s">
        <v>1625</v>
      </c>
      <c r="E5" s="61" t="s">
        <v>169</v>
      </c>
      <c r="F5" s="60">
        <v>94546</v>
      </c>
      <c r="G5" s="61" t="s">
        <v>143</v>
      </c>
      <c r="H5" s="61" t="s">
        <v>1669</v>
      </c>
      <c r="I5" s="60">
        <v>18</v>
      </c>
      <c r="J5" s="60">
        <v>10</v>
      </c>
      <c r="K5" s="61" t="s">
        <v>1681</v>
      </c>
      <c r="L5" s="61"/>
      <c r="M5" s="61" t="s">
        <v>1671</v>
      </c>
      <c r="N5" s="61" t="s">
        <v>1672</v>
      </c>
      <c r="O5" s="61" t="s">
        <v>1673</v>
      </c>
      <c r="P5" s="61" t="s">
        <v>1678</v>
      </c>
      <c r="Q5" s="61" t="s">
        <v>1674</v>
      </c>
      <c r="R5" s="60">
        <v>155</v>
      </c>
      <c r="S5" s="61" t="s">
        <v>1675</v>
      </c>
      <c r="T5" s="60">
        <v>16266</v>
      </c>
      <c r="U5" s="60">
        <v>12278</v>
      </c>
      <c r="V5" s="60"/>
      <c r="W5" s="60"/>
      <c r="X5" s="60">
        <v>2414</v>
      </c>
      <c r="Y5" s="60">
        <v>2633</v>
      </c>
      <c r="Z5" s="60">
        <v>5328</v>
      </c>
      <c r="AA5" s="60">
        <v>4304</v>
      </c>
      <c r="AB5" s="60">
        <v>4265</v>
      </c>
      <c r="AC5" s="60">
        <v>3891</v>
      </c>
      <c r="AD5" s="60">
        <v>2029</v>
      </c>
      <c r="AE5" s="60">
        <v>1249</v>
      </c>
      <c r="AF5" s="60">
        <v>1830</v>
      </c>
      <c r="AG5" s="60">
        <v>601</v>
      </c>
      <c r="AH5" s="60"/>
      <c r="AI5" s="60">
        <v>1923</v>
      </c>
      <c r="AJ5" s="60">
        <v>5893</v>
      </c>
      <c r="AK5" s="60">
        <v>5942</v>
      </c>
      <c r="AL5" s="60">
        <v>90</v>
      </c>
      <c r="AM5" s="60">
        <v>564</v>
      </c>
      <c r="AN5" s="60">
        <v>10</v>
      </c>
      <c r="AO5" s="60">
        <v>14122</v>
      </c>
      <c r="AP5" s="60">
        <v>1009</v>
      </c>
      <c r="AQ5" s="60">
        <v>322</v>
      </c>
      <c r="AR5" s="60"/>
      <c r="AS5" s="60">
        <v>86</v>
      </c>
      <c r="AT5" s="60">
        <v>1</v>
      </c>
      <c r="AU5" s="60">
        <v>7</v>
      </c>
      <c r="AV5" s="60">
        <v>1</v>
      </c>
      <c r="AW5" s="60">
        <v>88</v>
      </c>
      <c r="AX5" s="60">
        <v>201</v>
      </c>
      <c r="AY5" s="60">
        <v>651</v>
      </c>
      <c r="AZ5" s="60"/>
      <c r="BA5" s="60">
        <v>26178</v>
      </c>
      <c r="BB5" s="60"/>
      <c r="BC5" s="60"/>
      <c r="BD5" s="60"/>
      <c r="BE5" s="60">
        <v>7938</v>
      </c>
      <c r="BF5" s="60">
        <v>5539</v>
      </c>
      <c r="BG5" s="60">
        <v>680</v>
      </c>
      <c r="BH5" s="60">
        <v>8474</v>
      </c>
      <c r="BI5" s="60">
        <v>5913</v>
      </c>
      <c r="BJ5" s="60">
        <v>822</v>
      </c>
      <c r="BK5" s="60">
        <v>100</v>
      </c>
      <c r="BL5" s="60">
        <v>534</v>
      </c>
      <c r="BM5" s="60"/>
      <c r="BN5" s="60">
        <v>1316</v>
      </c>
      <c r="BO5" s="60">
        <v>335</v>
      </c>
      <c r="BP5" s="60">
        <v>1632</v>
      </c>
      <c r="BQ5" s="60">
        <v>884</v>
      </c>
      <c r="BR5" s="60">
        <v>6961</v>
      </c>
      <c r="BS5" s="60">
        <v>1177</v>
      </c>
      <c r="BT5" s="60">
        <v>27</v>
      </c>
      <c r="BU5" s="60">
        <v>2501</v>
      </c>
      <c r="BV5" s="60">
        <v>676</v>
      </c>
      <c r="BW5" s="60">
        <v>27</v>
      </c>
      <c r="BX5" s="60">
        <v>1543</v>
      </c>
      <c r="BY5" s="60">
        <v>2900</v>
      </c>
      <c r="BZ5" s="60">
        <v>1561</v>
      </c>
      <c r="CA5" s="60">
        <v>5548</v>
      </c>
      <c r="CB5" s="60"/>
      <c r="CC5" s="60"/>
      <c r="CD5" s="60">
        <v>2058</v>
      </c>
      <c r="CE5" s="60">
        <v>128</v>
      </c>
      <c r="CF5" s="60">
        <v>118</v>
      </c>
      <c r="CG5" s="60">
        <v>12</v>
      </c>
      <c r="CH5" s="60">
        <v>532</v>
      </c>
      <c r="CI5" s="60">
        <v>31</v>
      </c>
      <c r="CJ5" s="60">
        <v>60</v>
      </c>
      <c r="CK5" s="60">
        <v>220</v>
      </c>
      <c r="CL5" s="60">
        <v>21349</v>
      </c>
      <c r="CM5" s="60">
        <v>2715</v>
      </c>
      <c r="CN5" s="60">
        <v>140</v>
      </c>
      <c r="CO5" s="60">
        <v>904</v>
      </c>
      <c r="CP5" s="60">
        <v>121</v>
      </c>
      <c r="CQ5" s="60">
        <v>146</v>
      </c>
      <c r="CR5" s="60">
        <v>10</v>
      </c>
      <c r="CS5" s="60"/>
      <c r="CT5" s="60">
        <v>28544</v>
      </c>
      <c r="CU5" s="60">
        <v>594</v>
      </c>
      <c r="CV5" s="60">
        <v>26558</v>
      </c>
      <c r="CW5" s="60">
        <v>1392</v>
      </c>
      <c r="CX5" s="60">
        <v>3521</v>
      </c>
      <c r="CY5" s="60">
        <v>3211</v>
      </c>
      <c r="CZ5" s="60"/>
      <c r="DA5" s="60"/>
      <c r="DB5" s="60">
        <v>143</v>
      </c>
      <c r="DC5" s="60">
        <v>499</v>
      </c>
      <c r="DD5" s="60">
        <v>504</v>
      </c>
      <c r="DE5" s="60">
        <v>730</v>
      </c>
      <c r="DF5" s="60">
        <v>1102</v>
      </c>
      <c r="DG5" s="60">
        <v>959</v>
      </c>
      <c r="DH5" s="60">
        <v>979</v>
      </c>
      <c r="DI5" s="60">
        <v>1811</v>
      </c>
      <c r="DJ5" s="60">
        <v>5</v>
      </c>
      <c r="DK5" s="60"/>
      <c r="DL5" s="60"/>
      <c r="DM5" s="60">
        <v>707</v>
      </c>
      <c r="DN5" s="60">
        <v>920</v>
      </c>
      <c r="DO5" s="60">
        <v>963</v>
      </c>
      <c r="DP5" s="60">
        <v>85</v>
      </c>
      <c r="DQ5" s="60"/>
      <c r="DR5" s="60">
        <v>4044</v>
      </c>
      <c r="DS5" s="60">
        <v>13</v>
      </c>
      <c r="DT5" s="60">
        <v>333</v>
      </c>
      <c r="DU5" s="60">
        <v>144</v>
      </c>
      <c r="DV5" s="60">
        <v>244</v>
      </c>
      <c r="DW5" s="60">
        <v>675</v>
      </c>
      <c r="DX5" s="60">
        <v>222</v>
      </c>
      <c r="DY5" s="60">
        <v>59</v>
      </c>
      <c r="DZ5" s="60">
        <v>163</v>
      </c>
      <c r="EA5" s="60">
        <v>3618</v>
      </c>
      <c r="EB5" s="60">
        <v>1241</v>
      </c>
      <c r="EC5" s="60">
        <v>33</v>
      </c>
      <c r="ED5" s="60">
        <v>0</v>
      </c>
      <c r="EE5" s="60">
        <v>0</v>
      </c>
      <c r="EF5" s="60">
        <v>0</v>
      </c>
      <c r="EG5" s="60">
        <v>0</v>
      </c>
      <c r="EH5" s="60">
        <v>0</v>
      </c>
      <c r="EI5" s="60">
        <v>1134</v>
      </c>
      <c r="EJ5" s="60">
        <v>3704</v>
      </c>
      <c r="EK5" s="60">
        <v>137</v>
      </c>
      <c r="EL5" s="60">
        <v>1094</v>
      </c>
      <c r="EM5" s="60">
        <v>663</v>
      </c>
      <c r="EN5" s="60">
        <v>95</v>
      </c>
      <c r="EO5" s="60">
        <v>83</v>
      </c>
      <c r="EP5" s="60">
        <v>1201</v>
      </c>
      <c r="EQ5" s="60">
        <v>3</v>
      </c>
      <c r="ER5" s="60">
        <v>757</v>
      </c>
      <c r="ES5" s="60">
        <v>266</v>
      </c>
      <c r="ET5" s="60">
        <v>343</v>
      </c>
      <c r="EU5" s="60">
        <v>659</v>
      </c>
      <c r="EV5" s="60">
        <v>1315</v>
      </c>
      <c r="EW5" s="60">
        <v>119</v>
      </c>
      <c r="EX5" s="60">
        <v>126</v>
      </c>
      <c r="EY5" s="60">
        <v>199</v>
      </c>
      <c r="EZ5" s="60">
        <v>19</v>
      </c>
      <c r="FA5" s="60">
        <v>388</v>
      </c>
      <c r="FB5" s="60">
        <v>708</v>
      </c>
      <c r="FC5" s="60">
        <v>118</v>
      </c>
      <c r="FD5" s="60">
        <v>328</v>
      </c>
      <c r="FE5" s="60">
        <v>1</v>
      </c>
      <c r="FF5" s="60">
        <v>4</v>
      </c>
      <c r="FG5" s="60"/>
      <c r="FH5" s="60">
        <v>705</v>
      </c>
      <c r="FI5" s="60">
        <v>72</v>
      </c>
      <c r="FJ5" s="60">
        <v>492</v>
      </c>
      <c r="FK5" s="60">
        <v>156</v>
      </c>
      <c r="FL5" s="60">
        <v>26</v>
      </c>
      <c r="FM5" s="60">
        <v>136</v>
      </c>
      <c r="FN5" s="60">
        <v>16</v>
      </c>
      <c r="FO5" s="60">
        <v>4542</v>
      </c>
      <c r="FP5" s="60">
        <v>115</v>
      </c>
      <c r="FQ5" s="60">
        <v>43</v>
      </c>
      <c r="FR5" s="60">
        <v>341</v>
      </c>
      <c r="FS5" s="60">
        <v>54</v>
      </c>
      <c r="FT5" s="60">
        <v>22</v>
      </c>
      <c r="FU5" s="60">
        <v>8</v>
      </c>
      <c r="FV5" s="60">
        <v>4</v>
      </c>
      <c r="FW5" s="60"/>
      <c r="FX5" s="60">
        <v>6732</v>
      </c>
      <c r="FY5" s="60">
        <v>312</v>
      </c>
      <c r="FZ5" s="60">
        <v>6146</v>
      </c>
      <c r="GA5" s="60">
        <v>274</v>
      </c>
      <c r="GB5" s="60">
        <v>2011</v>
      </c>
    </row>
    <row r="6" spans="1:184" x14ac:dyDescent="0.3">
      <c r="A6" s="60">
        <v>106010844</v>
      </c>
      <c r="B6" s="61" t="s">
        <v>1682</v>
      </c>
      <c r="C6" s="61" t="s">
        <v>1683</v>
      </c>
      <c r="D6" s="61" t="s">
        <v>1684</v>
      </c>
      <c r="E6" s="61" t="s">
        <v>135</v>
      </c>
      <c r="F6" s="60">
        <v>94704</v>
      </c>
      <c r="G6" s="61"/>
      <c r="H6" s="61" t="s">
        <v>1669</v>
      </c>
      <c r="I6" s="60">
        <v>14</v>
      </c>
      <c r="J6" s="60">
        <v>9</v>
      </c>
      <c r="K6" s="61" t="s">
        <v>1685</v>
      </c>
      <c r="L6" s="61"/>
      <c r="M6" s="61" t="s">
        <v>1671</v>
      </c>
      <c r="N6" s="61" t="s">
        <v>1672</v>
      </c>
      <c r="O6" s="61" t="s">
        <v>1673</v>
      </c>
      <c r="P6" s="61" t="s">
        <v>1678</v>
      </c>
      <c r="Q6" s="61" t="s">
        <v>1686</v>
      </c>
      <c r="R6" s="60">
        <v>42</v>
      </c>
      <c r="S6" s="61" t="s">
        <v>1687</v>
      </c>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0"/>
      <c r="BQ6" s="60"/>
      <c r="BR6" s="60"/>
      <c r="BS6" s="60"/>
      <c r="BT6" s="60"/>
      <c r="BU6" s="60"/>
      <c r="BV6" s="60"/>
      <c r="BW6" s="60"/>
      <c r="BX6" s="60"/>
      <c r="BY6" s="60"/>
      <c r="BZ6" s="60"/>
      <c r="CA6" s="60"/>
      <c r="CB6" s="60"/>
      <c r="CC6" s="60"/>
      <c r="CD6" s="60"/>
      <c r="CE6" s="60"/>
      <c r="CF6" s="60"/>
      <c r="CG6" s="60"/>
      <c r="CH6" s="60"/>
      <c r="CI6" s="60"/>
      <c r="CJ6" s="60"/>
      <c r="CK6" s="60"/>
      <c r="CL6" s="60"/>
      <c r="CM6" s="60"/>
      <c r="CN6" s="60"/>
      <c r="CO6" s="60"/>
      <c r="CP6" s="60"/>
      <c r="CQ6" s="60"/>
      <c r="CR6" s="60"/>
      <c r="CS6" s="60"/>
      <c r="CT6" s="60"/>
      <c r="CU6" s="60"/>
      <c r="CV6" s="60"/>
      <c r="CW6" s="60"/>
      <c r="CX6" s="60">
        <v>6</v>
      </c>
      <c r="CY6" s="60">
        <v>3</v>
      </c>
      <c r="CZ6" s="60"/>
      <c r="DA6" s="60"/>
      <c r="DB6" s="60"/>
      <c r="DC6" s="60">
        <v>1</v>
      </c>
      <c r="DD6" s="60"/>
      <c r="DE6" s="60">
        <v>2</v>
      </c>
      <c r="DF6" s="60"/>
      <c r="DG6" s="60">
        <v>2</v>
      </c>
      <c r="DH6" s="60">
        <v>1</v>
      </c>
      <c r="DI6" s="60">
        <v>3</v>
      </c>
      <c r="DJ6" s="60"/>
      <c r="DK6" s="60"/>
      <c r="DL6" s="60"/>
      <c r="DM6" s="60">
        <v>2</v>
      </c>
      <c r="DN6" s="60">
        <v>1</v>
      </c>
      <c r="DO6" s="60">
        <v>2</v>
      </c>
      <c r="DP6" s="60"/>
      <c r="DQ6" s="60">
        <v>1</v>
      </c>
      <c r="DR6" s="60">
        <v>3</v>
      </c>
      <c r="DS6" s="60"/>
      <c r="DT6" s="60"/>
      <c r="DU6" s="60"/>
      <c r="DV6" s="60"/>
      <c r="DW6" s="60">
        <v>2</v>
      </c>
      <c r="DX6" s="60">
        <v>1</v>
      </c>
      <c r="DY6" s="60"/>
      <c r="DZ6" s="60">
        <v>1</v>
      </c>
      <c r="EA6" s="60">
        <v>1</v>
      </c>
      <c r="EB6" s="60">
        <v>4</v>
      </c>
      <c r="EC6" s="60"/>
      <c r="ED6" s="60">
        <v>0</v>
      </c>
      <c r="EE6" s="60">
        <v>0</v>
      </c>
      <c r="EF6" s="60">
        <v>0</v>
      </c>
      <c r="EG6" s="60">
        <v>0</v>
      </c>
      <c r="EH6" s="60">
        <v>0</v>
      </c>
      <c r="EI6" s="60"/>
      <c r="EJ6" s="60">
        <v>9</v>
      </c>
      <c r="EK6" s="60"/>
      <c r="EL6" s="60"/>
      <c r="EM6" s="60"/>
      <c r="EN6" s="60"/>
      <c r="EO6" s="60"/>
      <c r="EP6" s="60"/>
      <c r="EQ6" s="60"/>
      <c r="ER6" s="60"/>
      <c r="ES6" s="60"/>
      <c r="ET6" s="60"/>
      <c r="EU6" s="60"/>
      <c r="EV6" s="60"/>
      <c r="EW6" s="60"/>
      <c r="EX6" s="60"/>
      <c r="EY6" s="60"/>
      <c r="EZ6" s="60">
        <v>4</v>
      </c>
      <c r="FA6" s="60">
        <v>5</v>
      </c>
      <c r="FB6" s="60"/>
      <c r="FC6" s="60"/>
      <c r="FD6" s="60"/>
      <c r="FE6" s="60"/>
      <c r="FF6" s="60"/>
      <c r="FG6" s="60"/>
      <c r="FH6" s="60"/>
      <c r="FI6" s="60"/>
      <c r="FJ6" s="60"/>
      <c r="FK6" s="60"/>
      <c r="FL6" s="60">
        <v>1</v>
      </c>
      <c r="FM6" s="60"/>
      <c r="FN6" s="60"/>
      <c r="FO6" s="60">
        <v>8</v>
      </c>
      <c r="FP6" s="60"/>
      <c r="FQ6" s="60"/>
      <c r="FR6" s="60"/>
      <c r="FS6" s="60"/>
      <c r="FT6" s="60"/>
      <c r="FU6" s="60"/>
      <c r="FV6" s="60"/>
      <c r="FW6" s="60"/>
      <c r="FX6" s="60">
        <v>9</v>
      </c>
      <c r="FY6" s="60">
        <v>1</v>
      </c>
      <c r="FZ6" s="60">
        <v>8</v>
      </c>
      <c r="GA6" s="60"/>
      <c r="GB6" s="60">
        <v>2011</v>
      </c>
    </row>
    <row r="7" spans="1:184" x14ac:dyDescent="0.3">
      <c r="A7" s="60">
        <v>106010846</v>
      </c>
      <c r="B7" s="61" t="s">
        <v>141</v>
      </c>
      <c r="C7" s="61" t="s">
        <v>1688</v>
      </c>
      <c r="D7" s="61" t="s">
        <v>142</v>
      </c>
      <c r="E7" s="61" t="s">
        <v>139</v>
      </c>
      <c r="F7" s="60">
        <v>94602</v>
      </c>
      <c r="G7" s="61" t="s">
        <v>143</v>
      </c>
      <c r="H7" s="61" t="s">
        <v>1689</v>
      </c>
      <c r="I7" s="60">
        <v>16</v>
      </c>
      <c r="J7" s="60">
        <v>9</v>
      </c>
      <c r="K7" s="61" t="s">
        <v>1679</v>
      </c>
      <c r="L7" s="61"/>
      <c r="M7" s="61" t="s">
        <v>1671</v>
      </c>
      <c r="N7" s="61" t="s">
        <v>1672</v>
      </c>
      <c r="O7" s="61" t="s">
        <v>1673</v>
      </c>
      <c r="P7" s="61" t="s">
        <v>1690</v>
      </c>
      <c r="Q7" s="61" t="s">
        <v>1674</v>
      </c>
      <c r="R7" s="60">
        <v>236</v>
      </c>
      <c r="S7" s="61" t="s">
        <v>1675</v>
      </c>
      <c r="T7" s="60">
        <v>33672</v>
      </c>
      <c r="U7" s="60">
        <v>38202</v>
      </c>
      <c r="V7" s="60"/>
      <c r="W7" s="60"/>
      <c r="X7" s="60">
        <v>608</v>
      </c>
      <c r="Y7" s="60">
        <v>2947</v>
      </c>
      <c r="Z7" s="60">
        <v>16230</v>
      </c>
      <c r="AA7" s="60">
        <v>13630</v>
      </c>
      <c r="AB7" s="60">
        <v>15068</v>
      </c>
      <c r="AC7" s="60">
        <v>15544</v>
      </c>
      <c r="AD7" s="60">
        <v>6144</v>
      </c>
      <c r="AE7" s="60">
        <v>1109</v>
      </c>
      <c r="AF7" s="60">
        <v>470</v>
      </c>
      <c r="AG7" s="60">
        <v>124</v>
      </c>
      <c r="AH7" s="60"/>
      <c r="AI7" s="60">
        <v>5390</v>
      </c>
      <c r="AJ7" s="60">
        <v>30993</v>
      </c>
      <c r="AK7" s="60">
        <v>18994</v>
      </c>
      <c r="AL7" s="60">
        <v>242</v>
      </c>
      <c r="AM7" s="60">
        <v>5649</v>
      </c>
      <c r="AN7" s="60">
        <v>158</v>
      </c>
      <c r="AO7" s="60">
        <v>10448</v>
      </c>
      <c r="AP7" s="60">
        <v>1806</v>
      </c>
      <c r="AQ7" s="60">
        <v>298</v>
      </c>
      <c r="AR7" s="60"/>
      <c r="AS7" s="60">
        <v>140</v>
      </c>
      <c r="AT7" s="60">
        <v>1</v>
      </c>
      <c r="AU7" s="60"/>
      <c r="AV7" s="60">
        <v>14</v>
      </c>
      <c r="AW7" s="60">
        <v>100</v>
      </c>
      <c r="AX7" s="60">
        <v>1003</v>
      </c>
      <c r="AY7" s="60"/>
      <c r="AZ7" s="60"/>
      <c r="BA7" s="60">
        <v>68379</v>
      </c>
      <c r="BB7" s="60">
        <v>133</v>
      </c>
      <c r="BC7" s="60"/>
      <c r="BD7" s="60"/>
      <c r="BE7" s="60">
        <v>17622</v>
      </c>
      <c r="BF7" s="60">
        <v>4082</v>
      </c>
      <c r="BG7" s="60">
        <v>34789</v>
      </c>
      <c r="BH7" s="60">
        <v>1836</v>
      </c>
      <c r="BI7" s="60">
        <v>13545</v>
      </c>
      <c r="BJ7" s="60">
        <v>1342</v>
      </c>
      <c r="BK7" s="60">
        <v>165</v>
      </c>
      <c r="BL7" s="60">
        <v>1797</v>
      </c>
      <c r="BM7" s="60">
        <v>20</v>
      </c>
      <c r="BN7" s="60">
        <v>4022</v>
      </c>
      <c r="BO7" s="60">
        <v>1351</v>
      </c>
      <c r="BP7" s="60">
        <v>3886</v>
      </c>
      <c r="BQ7" s="60">
        <v>1865</v>
      </c>
      <c r="BR7" s="60">
        <v>9445</v>
      </c>
      <c r="BS7" s="60">
        <v>7875</v>
      </c>
      <c r="BT7" s="60">
        <v>239</v>
      </c>
      <c r="BU7" s="60">
        <v>3859</v>
      </c>
      <c r="BV7" s="60">
        <v>10459</v>
      </c>
      <c r="BW7" s="60">
        <v>5</v>
      </c>
      <c r="BX7" s="60">
        <v>2367</v>
      </c>
      <c r="BY7" s="60">
        <v>4728</v>
      </c>
      <c r="BZ7" s="60">
        <v>3882</v>
      </c>
      <c r="CA7" s="60">
        <v>14567</v>
      </c>
      <c r="CB7" s="60"/>
      <c r="CC7" s="60"/>
      <c r="CD7" s="60">
        <v>2725</v>
      </c>
      <c r="CE7" s="60">
        <v>153</v>
      </c>
      <c r="CF7" s="60">
        <v>256</v>
      </c>
      <c r="CG7" s="60">
        <v>31</v>
      </c>
      <c r="CH7" s="60">
        <v>2244</v>
      </c>
      <c r="CI7" s="60">
        <v>77</v>
      </c>
      <c r="CJ7" s="60">
        <v>279</v>
      </c>
      <c r="CK7" s="60">
        <v>357</v>
      </c>
      <c r="CL7" s="60">
        <v>58688</v>
      </c>
      <c r="CM7" s="60">
        <v>4390</v>
      </c>
      <c r="CN7" s="60">
        <v>322</v>
      </c>
      <c r="CO7" s="60">
        <v>1756</v>
      </c>
      <c r="CP7" s="60">
        <v>172</v>
      </c>
      <c r="CQ7" s="60">
        <v>218</v>
      </c>
      <c r="CR7" s="60">
        <v>206</v>
      </c>
      <c r="CS7" s="60"/>
      <c r="CT7" s="60">
        <v>71874</v>
      </c>
      <c r="CU7" s="60">
        <v>3495</v>
      </c>
      <c r="CV7" s="60">
        <v>56976</v>
      </c>
      <c r="CW7" s="60">
        <v>11403</v>
      </c>
      <c r="CX7" s="60">
        <v>3667</v>
      </c>
      <c r="CY7" s="60">
        <v>4880</v>
      </c>
      <c r="CZ7" s="60"/>
      <c r="DA7" s="60"/>
      <c r="DB7" s="60">
        <v>199</v>
      </c>
      <c r="DC7" s="60">
        <v>1072</v>
      </c>
      <c r="DD7" s="60">
        <v>1147</v>
      </c>
      <c r="DE7" s="60">
        <v>1602</v>
      </c>
      <c r="DF7" s="60">
        <v>2221</v>
      </c>
      <c r="DG7" s="60">
        <v>1415</v>
      </c>
      <c r="DH7" s="60">
        <v>463</v>
      </c>
      <c r="DI7" s="60">
        <v>427</v>
      </c>
      <c r="DJ7" s="60">
        <v>1</v>
      </c>
      <c r="DK7" s="60"/>
      <c r="DL7" s="60"/>
      <c r="DM7" s="60">
        <v>1014</v>
      </c>
      <c r="DN7" s="60">
        <v>3563</v>
      </c>
      <c r="DO7" s="60">
        <v>1862</v>
      </c>
      <c r="DP7" s="60">
        <v>609</v>
      </c>
      <c r="DQ7" s="60">
        <v>16</v>
      </c>
      <c r="DR7" s="60">
        <v>1436</v>
      </c>
      <c r="DS7" s="60">
        <v>47</v>
      </c>
      <c r="DT7" s="60">
        <v>251</v>
      </c>
      <c r="DU7" s="60">
        <v>158</v>
      </c>
      <c r="DV7" s="60">
        <v>184</v>
      </c>
      <c r="DW7" s="60">
        <v>98</v>
      </c>
      <c r="DX7" s="60">
        <v>398</v>
      </c>
      <c r="DY7" s="60"/>
      <c r="DZ7" s="60">
        <v>115</v>
      </c>
      <c r="EA7" s="60">
        <v>6694</v>
      </c>
      <c r="EB7" s="60">
        <v>546</v>
      </c>
      <c r="EC7" s="60">
        <v>103</v>
      </c>
      <c r="ED7" s="60">
        <v>0</v>
      </c>
      <c r="EE7" s="60">
        <v>0</v>
      </c>
      <c r="EF7" s="60">
        <v>0</v>
      </c>
      <c r="EG7" s="60">
        <v>0</v>
      </c>
      <c r="EH7" s="60">
        <v>0</v>
      </c>
      <c r="EI7" s="60">
        <v>3695</v>
      </c>
      <c r="EJ7" s="60">
        <v>1497</v>
      </c>
      <c r="EK7" s="60">
        <v>94</v>
      </c>
      <c r="EL7" s="60">
        <v>381</v>
      </c>
      <c r="EM7" s="60">
        <v>2880</v>
      </c>
      <c r="EN7" s="60">
        <v>99</v>
      </c>
      <c r="EO7" s="60">
        <v>106</v>
      </c>
      <c r="EP7" s="60">
        <v>1144</v>
      </c>
      <c r="EQ7" s="60">
        <v>9</v>
      </c>
      <c r="ER7" s="60">
        <v>1227</v>
      </c>
      <c r="ES7" s="60">
        <v>471</v>
      </c>
      <c r="ET7" s="60">
        <v>377</v>
      </c>
      <c r="EU7" s="60">
        <v>406</v>
      </c>
      <c r="EV7" s="60">
        <v>1281</v>
      </c>
      <c r="EW7" s="60">
        <v>201</v>
      </c>
      <c r="EX7" s="60">
        <v>291</v>
      </c>
      <c r="EY7" s="60">
        <v>213</v>
      </c>
      <c r="EZ7" s="60">
        <v>161</v>
      </c>
      <c r="FA7" s="60">
        <v>627</v>
      </c>
      <c r="FB7" s="60">
        <v>804</v>
      </c>
      <c r="FC7" s="60">
        <v>435</v>
      </c>
      <c r="FD7" s="60">
        <v>694</v>
      </c>
      <c r="FE7" s="60"/>
      <c r="FF7" s="60">
        <v>1</v>
      </c>
      <c r="FG7" s="60"/>
      <c r="FH7" s="60">
        <v>352</v>
      </c>
      <c r="FI7" s="60">
        <v>76</v>
      </c>
      <c r="FJ7" s="60">
        <v>408</v>
      </c>
      <c r="FK7" s="60">
        <v>434</v>
      </c>
      <c r="FL7" s="60">
        <v>61</v>
      </c>
      <c r="FM7" s="60">
        <v>331</v>
      </c>
      <c r="FN7" s="60">
        <v>34</v>
      </c>
      <c r="FO7" s="60">
        <v>6299</v>
      </c>
      <c r="FP7" s="60">
        <v>118</v>
      </c>
      <c r="FQ7" s="60">
        <v>44</v>
      </c>
      <c r="FR7" s="60">
        <v>293</v>
      </c>
      <c r="FS7" s="60">
        <v>63</v>
      </c>
      <c r="FT7" s="60">
        <v>14</v>
      </c>
      <c r="FU7" s="60">
        <v>13</v>
      </c>
      <c r="FV7" s="60">
        <v>7</v>
      </c>
      <c r="FW7" s="60"/>
      <c r="FX7" s="60">
        <v>8547</v>
      </c>
      <c r="FY7" s="60">
        <v>593</v>
      </c>
      <c r="FZ7" s="60">
        <v>6759</v>
      </c>
      <c r="GA7" s="60">
        <v>1195</v>
      </c>
      <c r="GB7" s="60">
        <v>2011</v>
      </c>
    </row>
    <row r="8" spans="1:184" x14ac:dyDescent="0.3">
      <c r="A8" s="60">
        <v>106010856</v>
      </c>
      <c r="B8" s="61" t="s">
        <v>145</v>
      </c>
      <c r="C8" s="61" t="s">
        <v>1691</v>
      </c>
      <c r="D8" s="61" t="s">
        <v>146</v>
      </c>
      <c r="E8" s="61" t="s">
        <v>139</v>
      </c>
      <c r="F8" s="60">
        <v>94611</v>
      </c>
      <c r="G8" s="61"/>
      <c r="H8" s="61" t="s">
        <v>1689</v>
      </c>
      <c r="I8" s="60">
        <v>14</v>
      </c>
      <c r="J8" s="60">
        <v>9</v>
      </c>
      <c r="K8" s="61" t="s">
        <v>1677</v>
      </c>
      <c r="L8" s="61"/>
      <c r="M8" s="61" t="s">
        <v>1671</v>
      </c>
      <c r="N8" s="61" t="s">
        <v>1672</v>
      </c>
      <c r="O8" s="61" t="s">
        <v>1673</v>
      </c>
      <c r="P8" s="61" t="s">
        <v>1678</v>
      </c>
      <c r="Q8" s="61" t="s">
        <v>1674</v>
      </c>
      <c r="R8" s="60">
        <v>341</v>
      </c>
      <c r="S8" s="61" t="s">
        <v>1675</v>
      </c>
      <c r="T8" s="60">
        <v>42699</v>
      </c>
      <c r="U8" s="60">
        <v>32935</v>
      </c>
      <c r="V8" s="60">
        <v>7</v>
      </c>
      <c r="W8" s="60"/>
      <c r="X8" s="60">
        <v>6981</v>
      </c>
      <c r="Y8" s="60">
        <v>6771</v>
      </c>
      <c r="Z8" s="60">
        <v>11741</v>
      </c>
      <c r="AA8" s="60">
        <v>10099</v>
      </c>
      <c r="AB8" s="60">
        <v>10326</v>
      </c>
      <c r="AC8" s="60">
        <v>10585</v>
      </c>
      <c r="AD8" s="60">
        <v>7609</v>
      </c>
      <c r="AE8" s="60">
        <v>4878</v>
      </c>
      <c r="AF8" s="60">
        <v>5429</v>
      </c>
      <c r="AG8" s="60">
        <v>1221</v>
      </c>
      <c r="AH8" s="60">
        <v>1</v>
      </c>
      <c r="AI8" s="60">
        <v>6880</v>
      </c>
      <c r="AJ8" s="60">
        <v>32468</v>
      </c>
      <c r="AK8" s="60">
        <v>13380</v>
      </c>
      <c r="AL8" s="60">
        <v>234</v>
      </c>
      <c r="AM8" s="60">
        <v>1875</v>
      </c>
      <c r="AN8" s="60">
        <v>1332</v>
      </c>
      <c r="AO8" s="60">
        <v>19472</v>
      </c>
      <c r="AP8" s="60">
        <v>495</v>
      </c>
      <c r="AQ8" s="60">
        <v>1008</v>
      </c>
      <c r="AR8" s="60">
        <v>2</v>
      </c>
      <c r="AS8" s="60">
        <v>69</v>
      </c>
      <c r="AT8" s="60">
        <v>52</v>
      </c>
      <c r="AU8" s="60">
        <v>37</v>
      </c>
      <c r="AV8" s="60">
        <v>55</v>
      </c>
      <c r="AW8" s="60">
        <v>42</v>
      </c>
      <c r="AX8" s="60">
        <v>14</v>
      </c>
      <c r="AY8" s="60">
        <v>690</v>
      </c>
      <c r="AZ8" s="60">
        <v>9</v>
      </c>
      <c r="BA8" s="60">
        <v>72706</v>
      </c>
      <c r="BB8" s="60">
        <v>166</v>
      </c>
      <c r="BC8" s="60">
        <v>275</v>
      </c>
      <c r="BD8" s="60">
        <v>21</v>
      </c>
      <c r="BE8" s="60">
        <v>10450</v>
      </c>
      <c r="BF8" s="60">
        <v>13944</v>
      </c>
      <c r="BG8" s="60">
        <v>312</v>
      </c>
      <c r="BH8" s="60">
        <v>40670</v>
      </c>
      <c r="BI8" s="60">
        <v>10265</v>
      </c>
      <c r="BJ8" s="60">
        <v>1098</v>
      </c>
      <c r="BK8" s="60">
        <v>526</v>
      </c>
      <c r="BL8" s="60">
        <v>2185</v>
      </c>
      <c r="BM8" s="60">
        <v>12</v>
      </c>
      <c r="BN8" s="60">
        <v>3334</v>
      </c>
      <c r="BO8" s="60">
        <v>1499</v>
      </c>
      <c r="BP8" s="60">
        <v>3228</v>
      </c>
      <c r="BQ8" s="60">
        <v>1435</v>
      </c>
      <c r="BR8" s="60">
        <v>17638</v>
      </c>
      <c r="BS8" s="60">
        <v>5402</v>
      </c>
      <c r="BT8" s="60">
        <v>99</v>
      </c>
      <c r="BU8" s="60">
        <v>3825</v>
      </c>
      <c r="BV8" s="60">
        <v>3477</v>
      </c>
      <c r="BW8" s="60">
        <v>65</v>
      </c>
      <c r="BX8" s="60">
        <v>2663</v>
      </c>
      <c r="BY8" s="60">
        <v>5949</v>
      </c>
      <c r="BZ8" s="60">
        <v>2860</v>
      </c>
      <c r="CA8" s="60">
        <v>20341</v>
      </c>
      <c r="CB8" s="60">
        <v>1</v>
      </c>
      <c r="CC8" s="60">
        <v>4</v>
      </c>
      <c r="CD8" s="60">
        <v>5595</v>
      </c>
      <c r="CE8" s="60">
        <v>284</v>
      </c>
      <c r="CF8" s="60">
        <v>642</v>
      </c>
      <c r="CG8" s="60">
        <v>32</v>
      </c>
      <c r="CH8" s="60">
        <v>963</v>
      </c>
      <c r="CI8" s="60">
        <v>233</v>
      </c>
      <c r="CJ8" s="60">
        <v>331</v>
      </c>
      <c r="CK8" s="60">
        <v>729</v>
      </c>
      <c r="CL8" s="60">
        <v>55431</v>
      </c>
      <c r="CM8" s="60">
        <v>7829</v>
      </c>
      <c r="CN8" s="60">
        <v>471</v>
      </c>
      <c r="CO8" s="60">
        <v>2409</v>
      </c>
      <c r="CP8" s="60">
        <v>151</v>
      </c>
      <c r="CQ8" s="60">
        <v>482</v>
      </c>
      <c r="CR8" s="60">
        <v>59</v>
      </c>
      <c r="CS8" s="60"/>
      <c r="CT8" s="60">
        <v>75641</v>
      </c>
      <c r="CU8" s="60">
        <v>1674</v>
      </c>
      <c r="CV8" s="60">
        <v>69282</v>
      </c>
      <c r="CW8" s="60">
        <v>4685</v>
      </c>
      <c r="CX8" s="60">
        <v>4916</v>
      </c>
      <c r="CY8" s="60">
        <v>4207</v>
      </c>
      <c r="CZ8" s="60">
        <v>1</v>
      </c>
      <c r="DA8" s="60"/>
      <c r="DB8" s="60">
        <v>281</v>
      </c>
      <c r="DC8" s="60">
        <v>390</v>
      </c>
      <c r="DD8" s="60">
        <v>509</v>
      </c>
      <c r="DE8" s="60">
        <v>787</v>
      </c>
      <c r="DF8" s="60">
        <v>1203</v>
      </c>
      <c r="DG8" s="60">
        <v>1618</v>
      </c>
      <c r="DH8" s="60">
        <v>1626</v>
      </c>
      <c r="DI8" s="60">
        <v>2414</v>
      </c>
      <c r="DJ8" s="60">
        <v>96</v>
      </c>
      <c r="DK8" s="60">
        <v>200</v>
      </c>
      <c r="DL8" s="60"/>
      <c r="DM8" s="60">
        <v>1079</v>
      </c>
      <c r="DN8" s="60">
        <v>3567</v>
      </c>
      <c r="DO8" s="60">
        <v>1064</v>
      </c>
      <c r="DP8" s="60">
        <v>116</v>
      </c>
      <c r="DQ8" s="60">
        <v>27</v>
      </c>
      <c r="DR8" s="60">
        <v>3247</v>
      </c>
      <c r="DS8" s="60">
        <v>24</v>
      </c>
      <c r="DT8" s="60">
        <v>314</v>
      </c>
      <c r="DU8" s="60">
        <v>74</v>
      </c>
      <c r="DV8" s="60">
        <v>332</v>
      </c>
      <c r="DW8" s="60">
        <v>754</v>
      </c>
      <c r="DX8" s="60">
        <v>168</v>
      </c>
      <c r="DY8" s="60">
        <v>11</v>
      </c>
      <c r="DZ8" s="60">
        <v>107</v>
      </c>
      <c r="EA8" s="60">
        <v>6203</v>
      </c>
      <c r="EB8" s="60">
        <v>1161</v>
      </c>
      <c r="EC8" s="60"/>
      <c r="ED8" s="60">
        <v>0</v>
      </c>
      <c r="EE8" s="60">
        <v>0</v>
      </c>
      <c r="EF8" s="60">
        <v>0</v>
      </c>
      <c r="EG8" s="60">
        <v>0</v>
      </c>
      <c r="EH8" s="60">
        <v>0</v>
      </c>
      <c r="EI8" s="60">
        <v>484</v>
      </c>
      <c r="EJ8" s="60">
        <v>4955</v>
      </c>
      <c r="EK8" s="60">
        <v>25</v>
      </c>
      <c r="EL8" s="60">
        <v>3426</v>
      </c>
      <c r="EM8" s="60">
        <v>234</v>
      </c>
      <c r="EN8" s="60">
        <v>102</v>
      </c>
      <c r="EO8" s="60">
        <v>154</v>
      </c>
      <c r="EP8" s="60">
        <v>1995</v>
      </c>
      <c r="EQ8" s="60">
        <v>11</v>
      </c>
      <c r="ER8" s="60">
        <v>1392</v>
      </c>
      <c r="ES8" s="60">
        <v>438</v>
      </c>
      <c r="ET8" s="60">
        <v>439</v>
      </c>
      <c r="EU8" s="60">
        <v>1229</v>
      </c>
      <c r="EV8" s="60">
        <v>890</v>
      </c>
      <c r="EW8" s="60">
        <v>180</v>
      </c>
      <c r="EX8" s="60">
        <v>219</v>
      </c>
      <c r="EY8" s="60">
        <v>267</v>
      </c>
      <c r="EZ8" s="60">
        <v>14</v>
      </c>
      <c r="FA8" s="60">
        <v>154</v>
      </c>
      <c r="FB8" s="60">
        <v>841</v>
      </c>
      <c r="FC8" s="60">
        <v>270</v>
      </c>
      <c r="FD8" s="60">
        <v>503</v>
      </c>
      <c r="FE8" s="60">
        <v>6</v>
      </c>
      <c r="FF8" s="60">
        <v>20</v>
      </c>
      <c r="FG8" s="60"/>
      <c r="FH8" s="60">
        <v>500</v>
      </c>
      <c r="FI8" s="60">
        <v>58</v>
      </c>
      <c r="FJ8" s="60">
        <v>706</v>
      </c>
      <c r="FK8" s="60">
        <v>22</v>
      </c>
      <c r="FL8" s="60">
        <v>42</v>
      </c>
      <c r="FM8" s="60">
        <v>445</v>
      </c>
      <c r="FN8" s="60">
        <v>57</v>
      </c>
      <c r="FO8" s="60">
        <v>7037</v>
      </c>
      <c r="FP8" s="60">
        <v>151</v>
      </c>
      <c r="FQ8" s="60">
        <v>17</v>
      </c>
      <c r="FR8" s="60">
        <v>24</v>
      </c>
      <c r="FS8" s="60">
        <v>29</v>
      </c>
      <c r="FT8" s="60">
        <v>25</v>
      </c>
      <c r="FU8" s="60">
        <v>9</v>
      </c>
      <c r="FV8" s="60">
        <v>2</v>
      </c>
      <c r="FW8" s="60"/>
      <c r="FX8" s="60">
        <v>9124</v>
      </c>
      <c r="FY8" s="60">
        <v>325</v>
      </c>
      <c r="FZ8" s="60">
        <v>8383</v>
      </c>
      <c r="GA8" s="60">
        <v>416</v>
      </c>
      <c r="GB8" s="60">
        <v>2011</v>
      </c>
    </row>
    <row r="9" spans="1:184" x14ac:dyDescent="0.3">
      <c r="A9" s="60">
        <v>106010858</v>
      </c>
      <c r="B9" s="61" t="s">
        <v>147</v>
      </c>
      <c r="C9" s="61" t="s">
        <v>1692</v>
      </c>
      <c r="D9" s="61" t="s">
        <v>148</v>
      </c>
      <c r="E9" s="61" t="s">
        <v>149</v>
      </c>
      <c r="F9" s="60">
        <v>94545</v>
      </c>
      <c r="G9" s="61"/>
      <c r="H9" s="61" t="s">
        <v>1669</v>
      </c>
      <c r="I9" s="60">
        <v>18</v>
      </c>
      <c r="J9" s="60">
        <v>10</v>
      </c>
      <c r="K9" s="61" t="s">
        <v>1693</v>
      </c>
      <c r="L9" s="61"/>
      <c r="M9" s="61" t="s">
        <v>1671</v>
      </c>
      <c r="N9" s="61" t="s">
        <v>1672</v>
      </c>
      <c r="O9" s="61" t="s">
        <v>1673</v>
      </c>
      <c r="P9" s="61" t="s">
        <v>1678</v>
      </c>
      <c r="Q9" s="61" t="s">
        <v>1674</v>
      </c>
      <c r="R9" s="60">
        <v>213</v>
      </c>
      <c r="S9" s="61" t="s">
        <v>1675</v>
      </c>
      <c r="T9" s="60">
        <v>36781</v>
      </c>
      <c r="U9" s="60">
        <v>30419</v>
      </c>
      <c r="V9" s="60"/>
      <c r="W9" s="60"/>
      <c r="X9" s="60">
        <v>8167</v>
      </c>
      <c r="Y9" s="60">
        <v>7795</v>
      </c>
      <c r="Z9" s="60">
        <v>8734</v>
      </c>
      <c r="AA9" s="60">
        <v>8138</v>
      </c>
      <c r="AB9" s="60">
        <v>8531</v>
      </c>
      <c r="AC9" s="60">
        <v>8195</v>
      </c>
      <c r="AD9" s="60">
        <v>5957</v>
      </c>
      <c r="AE9" s="60">
        <v>4823</v>
      </c>
      <c r="AF9" s="60">
        <v>5558</v>
      </c>
      <c r="AG9" s="60">
        <v>1301</v>
      </c>
      <c r="AH9" s="60">
        <v>1</v>
      </c>
      <c r="AI9" s="60">
        <v>13194</v>
      </c>
      <c r="AJ9" s="60">
        <v>9770</v>
      </c>
      <c r="AK9" s="60">
        <v>17393</v>
      </c>
      <c r="AL9" s="60">
        <v>229</v>
      </c>
      <c r="AM9" s="60">
        <v>1582</v>
      </c>
      <c r="AN9" s="60">
        <v>2493</v>
      </c>
      <c r="AO9" s="60">
        <v>22539</v>
      </c>
      <c r="AP9" s="60">
        <v>453</v>
      </c>
      <c r="AQ9" s="60">
        <v>559</v>
      </c>
      <c r="AR9" s="60">
        <v>2</v>
      </c>
      <c r="AS9" s="60">
        <v>81</v>
      </c>
      <c r="AT9" s="60">
        <v>140</v>
      </c>
      <c r="AU9" s="60">
        <v>80</v>
      </c>
      <c r="AV9" s="60">
        <v>69</v>
      </c>
      <c r="AW9" s="60">
        <v>28</v>
      </c>
      <c r="AX9" s="60">
        <v>30</v>
      </c>
      <c r="AY9" s="60">
        <v>774</v>
      </c>
      <c r="AZ9" s="60">
        <v>115</v>
      </c>
      <c r="BA9" s="60">
        <v>64154</v>
      </c>
      <c r="BB9" s="60">
        <v>511</v>
      </c>
      <c r="BC9" s="60">
        <v>181</v>
      </c>
      <c r="BD9" s="60">
        <v>23</v>
      </c>
      <c r="BE9" s="60">
        <v>6323</v>
      </c>
      <c r="BF9" s="60">
        <v>13551</v>
      </c>
      <c r="BG9" s="60">
        <v>582</v>
      </c>
      <c r="BH9" s="60">
        <v>41905</v>
      </c>
      <c r="BI9" s="60">
        <v>4839</v>
      </c>
      <c r="BJ9" s="60">
        <v>1021</v>
      </c>
      <c r="BK9" s="60">
        <v>310</v>
      </c>
      <c r="BL9" s="60">
        <v>2075</v>
      </c>
      <c r="BM9" s="60">
        <v>14</v>
      </c>
      <c r="BN9" s="60">
        <v>3886</v>
      </c>
      <c r="BO9" s="60">
        <v>1374</v>
      </c>
      <c r="BP9" s="60">
        <v>3542</v>
      </c>
      <c r="BQ9" s="60">
        <v>1249</v>
      </c>
      <c r="BR9" s="60">
        <v>16725</v>
      </c>
      <c r="BS9" s="60">
        <v>3681</v>
      </c>
      <c r="BT9" s="60">
        <v>151</v>
      </c>
      <c r="BU9" s="60">
        <v>4048</v>
      </c>
      <c r="BV9" s="60">
        <v>1758</v>
      </c>
      <c r="BW9" s="60">
        <v>60</v>
      </c>
      <c r="BX9" s="60">
        <v>2314</v>
      </c>
      <c r="BY9" s="60">
        <v>5950</v>
      </c>
      <c r="BZ9" s="60">
        <v>2643</v>
      </c>
      <c r="CA9" s="60">
        <v>16398</v>
      </c>
      <c r="CB9" s="60"/>
      <c r="CC9" s="60">
        <v>1</v>
      </c>
      <c r="CD9" s="60">
        <v>5264</v>
      </c>
      <c r="CE9" s="60">
        <v>252</v>
      </c>
      <c r="CF9" s="60">
        <v>830</v>
      </c>
      <c r="CG9" s="60">
        <v>36</v>
      </c>
      <c r="CH9" s="60">
        <v>524</v>
      </c>
      <c r="CI9" s="60">
        <v>48</v>
      </c>
      <c r="CJ9" s="60">
        <v>305</v>
      </c>
      <c r="CK9" s="60">
        <v>718</v>
      </c>
      <c r="CL9" s="60">
        <v>48238</v>
      </c>
      <c r="CM9" s="60">
        <v>8120</v>
      </c>
      <c r="CN9" s="60">
        <v>299</v>
      </c>
      <c r="CO9" s="60">
        <v>1776</v>
      </c>
      <c r="CP9" s="60">
        <v>214</v>
      </c>
      <c r="CQ9" s="60">
        <v>529</v>
      </c>
      <c r="CR9" s="60">
        <v>47</v>
      </c>
      <c r="CS9" s="60"/>
      <c r="CT9" s="60">
        <v>67200</v>
      </c>
      <c r="CU9" s="60">
        <v>1915</v>
      </c>
      <c r="CV9" s="60">
        <v>60612</v>
      </c>
      <c r="CW9" s="60">
        <v>4673</v>
      </c>
      <c r="CX9" s="60">
        <v>4680</v>
      </c>
      <c r="CY9" s="60">
        <v>4280</v>
      </c>
      <c r="CZ9" s="60"/>
      <c r="DA9" s="60"/>
      <c r="DB9" s="60">
        <v>206</v>
      </c>
      <c r="DC9" s="60">
        <v>408</v>
      </c>
      <c r="DD9" s="60">
        <v>459</v>
      </c>
      <c r="DE9" s="60">
        <v>776</v>
      </c>
      <c r="DF9" s="60">
        <v>1232</v>
      </c>
      <c r="DG9" s="60">
        <v>1537</v>
      </c>
      <c r="DH9" s="60">
        <v>1789</v>
      </c>
      <c r="DI9" s="60">
        <v>2340</v>
      </c>
      <c r="DJ9" s="60">
        <v>68</v>
      </c>
      <c r="DK9" s="60">
        <v>145</v>
      </c>
      <c r="DL9" s="60"/>
      <c r="DM9" s="60">
        <v>1691</v>
      </c>
      <c r="DN9" s="60">
        <v>980</v>
      </c>
      <c r="DO9" s="60">
        <v>1560</v>
      </c>
      <c r="DP9" s="60">
        <v>71</v>
      </c>
      <c r="DQ9" s="60">
        <v>19</v>
      </c>
      <c r="DR9" s="60">
        <v>4604</v>
      </c>
      <c r="DS9" s="60">
        <v>35</v>
      </c>
      <c r="DT9" s="60">
        <v>459</v>
      </c>
      <c r="DU9" s="60">
        <v>66</v>
      </c>
      <c r="DV9" s="60">
        <v>309</v>
      </c>
      <c r="DW9" s="60">
        <v>1314</v>
      </c>
      <c r="DX9" s="60">
        <v>82</v>
      </c>
      <c r="DY9" s="60">
        <v>2</v>
      </c>
      <c r="DZ9" s="60">
        <v>135</v>
      </c>
      <c r="EA9" s="60">
        <v>5035</v>
      </c>
      <c r="EB9" s="60">
        <v>1558</v>
      </c>
      <c r="EC9" s="60"/>
      <c r="ED9" s="60">
        <v>0</v>
      </c>
      <c r="EE9" s="60">
        <v>0</v>
      </c>
      <c r="EF9" s="60">
        <v>0</v>
      </c>
      <c r="EG9" s="60">
        <v>0</v>
      </c>
      <c r="EH9" s="60">
        <v>0</v>
      </c>
      <c r="EI9" s="60">
        <v>328</v>
      </c>
      <c r="EJ9" s="60">
        <v>5120</v>
      </c>
      <c r="EK9" s="60">
        <v>19</v>
      </c>
      <c r="EL9" s="60">
        <v>3343</v>
      </c>
      <c r="EM9" s="60">
        <v>150</v>
      </c>
      <c r="EN9" s="60">
        <v>115</v>
      </c>
      <c r="EO9" s="60">
        <v>126</v>
      </c>
      <c r="EP9" s="60">
        <v>1717</v>
      </c>
      <c r="EQ9" s="60">
        <v>5</v>
      </c>
      <c r="ER9" s="60">
        <v>1564</v>
      </c>
      <c r="ES9" s="60">
        <v>420</v>
      </c>
      <c r="ET9" s="60">
        <v>512</v>
      </c>
      <c r="EU9" s="60">
        <v>1481</v>
      </c>
      <c r="EV9" s="60">
        <v>797</v>
      </c>
      <c r="EW9" s="60">
        <v>114</v>
      </c>
      <c r="EX9" s="60">
        <v>176</v>
      </c>
      <c r="EY9" s="60">
        <v>137</v>
      </c>
      <c r="EZ9" s="60">
        <v>18</v>
      </c>
      <c r="FA9" s="60">
        <v>89</v>
      </c>
      <c r="FB9" s="60">
        <v>1065</v>
      </c>
      <c r="FC9" s="60">
        <v>181</v>
      </c>
      <c r="FD9" s="60">
        <v>423</v>
      </c>
      <c r="FE9" s="60">
        <v>2</v>
      </c>
      <c r="FF9" s="60">
        <v>18</v>
      </c>
      <c r="FG9" s="60"/>
      <c r="FH9" s="60">
        <v>455</v>
      </c>
      <c r="FI9" s="60">
        <v>62</v>
      </c>
      <c r="FJ9" s="60">
        <v>803</v>
      </c>
      <c r="FK9" s="60">
        <v>10</v>
      </c>
      <c r="FL9" s="60">
        <v>35</v>
      </c>
      <c r="FM9" s="60">
        <v>540</v>
      </c>
      <c r="FN9" s="60">
        <v>26</v>
      </c>
      <c r="FO9" s="60">
        <v>6776</v>
      </c>
      <c r="FP9" s="60">
        <v>155</v>
      </c>
      <c r="FQ9" s="60">
        <v>9</v>
      </c>
      <c r="FR9" s="60">
        <v>21</v>
      </c>
      <c r="FS9" s="60">
        <v>46</v>
      </c>
      <c r="FT9" s="60">
        <v>15</v>
      </c>
      <c r="FU9" s="60">
        <v>5</v>
      </c>
      <c r="FV9" s="60">
        <v>1</v>
      </c>
      <c r="FW9" s="60">
        <v>1</v>
      </c>
      <c r="FX9" s="60">
        <v>8960</v>
      </c>
      <c r="FY9" s="60">
        <v>348</v>
      </c>
      <c r="FZ9" s="60">
        <v>8251</v>
      </c>
      <c r="GA9" s="60">
        <v>361</v>
      </c>
      <c r="GB9" s="60">
        <v>2011</v>
      </c>
    </row>
    <row r="10" spans="1:184" x14ac:dyDescent="0.3">
      <c r="A10" s="60">
        <v>106010937</v>
      </c>
      <c r="B10" s="61" t="s">
        <v>150</v>
      </c>
      <c r="C10" s="61" t="s">
        <v>1694</v>
      </c>
      <c r="D10" s="61" t="s">
        <v>151</v>
      </c>
      <c r="E10" s="61" t="s">
        <v>139</v>
      </c>
      <c r="F10" s="60">
        <v>94609</v>
      </c>
      <c r="G10" s="61"/>
      <c r="H10" s="61" t="s">
        <v>1669</v>
      </c>
      <c r="I10" s="60">
        <v>16</v>
      </c>
      <c r="J10" s="60">
        <v>9</v>
      </c>
      <c r="K10" s="61" t="s">
        <v>1695</v>
      </c>
      <c r="L10" s="61"/>
      <c r="M10" s="61" t="s">
        <v>1671</v>
      </c>
      <c r="N10" s="61" t="s">
        <v>1672</v>
      </c>
      <c r="O10" s="61" t="s">
        <v>1673</v>
      </c>
      <c r="P10" s="61" t="s">
        <v>1678</v>
      </c>
      <c r="Q10" s="61" t="s">
        <v>1674</v>
      </c>
      <c r="R10" s="60">
        <v>337</v>
      </c>
      <c r="S10" s="61" t="s">
        <v>1675</v>
      </c>
      <c r="T10" s="60">
        <v>20339</v>
      </c>
      <c r="U10" s="60">
        <v>13900</v>
      </c>
      <c r="V10" s="60"/>
      <c r="W10" s="60"/>
      <c r="X10" s="60">
        <v>254</v>
      </c>
      <c r="Y10" s="60">
        <v>1390</v>
      </c>
      <c r="Z10" s="60">
        <v>6439</v>
      </c>
      <c r="AA10" s="60">
        <v>5492</v>
      </c>
      <c r="AB10" s="60">
        <v>5853</v>
      </c>
      <c r="AC10" s="60">
        <v>6356</v>
      </c>
      <c r="AD10" s="60">
        <v>3803</v>
      </c>
      <c r="AE10" s="60">
        <v>2197</v>
      </c>
      <c r="AF10" s="60">
        <v>2415</v>
      </c>
      <c r="AG10" s="60">
        <v>40</v>
      </c>
      <c r="AH10" s="60"/>
      <c r="AI10" s="60">
        <v>2884</v>
      </c>
      <c r="AJ10" s="60">
        <v>20530</v>
      </c>
      <c r="AK10" s="60">
        <v>2341</v>
      </c>
      <c r="AL10" s="60">
        <v>38</v>
      </c>
      <c r="AM10" s="60">
        <v>1546</v>
      </c>
      <c r="AN10" s="60">
        <v>263</v>
      </c>
      <c r="AO10" s="60">
        <v>6637</v>
      </c>
      <c r="AP10" s="60">
        <v>280</v>
      </c>
      <c r="AQ10" s="60">
        <v>314</v>
      </c>
      <c r="AR10" s="60">
        <v>3</v>
      </c>
      <c r="AS10" s="60">
        <v>69</v>
      </c>
      <c r="AT10" s="60">
        <v>5</v>
      </c>
      <c r="AU10" s="60"/>
      <c r="AV10" s="60">
        <v>23</v>
      </c>
      <c r="AW10" s="60">
        <v>1</v>
      </c>
      <c r="AX10" s="60"/>
      <c r="AY10" s="60">
        <v>753</v>
      </c>
      <c r="AZ10" s="60">
        <v>29</v>
      </c>
      <c r="BA10" s="60">
        <v>32251</v>
      </c>
      <c r="BB10" s="60">
        <v>313</v>
      </c>
      <c r="BC10" s="60">
        <v>198</v>
      </c>
      <c r="BD10" s="60"/>
      <c r="BE10" s="60">
        <v>11653</v>
      </c>
      <c r="BF10" s="60">
        <v>7281</v>
      </c>
      <c r="BG10" s="60">
        <v>1164</v>
      </c>
      <c r="BH10" s="60">
        <v>7325</v>
      </c>
      <c r="BI10" s="60">
        <v>6816</v>
      </c>
      <c r="BJ10" s="60">
        <v>866</v>
      </c>
      <c r="BK10" s="60">
        <v>271</v>
      </c>
      <c r="BL10" s="60">
        <v>979</v>
      </c>
      <c r="BM10" s="60">
        <v>1</v>
      </c>
      <c r="BN10" s="60">
        <v>1833</v>
      </c>
      <c r="BO10" s="60">
        <v>578</v>
      </c>
      <c r="BP10" s="60">
        <v>2019</v>
      </c>
      <c r="BQ10" s="60">
        <v>793</v>
      </c>
      <c r="BR10" s="60">
        <v>6544</v>
      </c>
      <c r="BS10" s="60">
        <v>2220</v>
      </c>
      <c r="BT10" s="60">
        <v>43</v>
      </c>
      <c r="BU10" s="60">
        <v>2646</v>
      </c>
      <c r="BV10" s="60">
        <v>1262</v>
      </c>
      <c r="BW10" s="60">
        <v>1</v>
      </c>
      <c r="BX10" s="60">
        <v>1885</v>
      </c>
      <c r="BY10" s="60">
        <v>2967</v>
      </c>
      <c r="BZ10" s="60">
        <v>1525</v>
      </c>
      <c r="CA10" s="60">
        <v>7803</v>
      </c>
      <c r="CB10" s="60">
        <v>1</v>
      </c>
      <c r="CC10" s="60">
        <v>2</v>
      </c>
      <c r="CD10" s="60">
        <v>1989</v>
      </c>
      <c r="CE10" s="60">
        <v>106</v>
      </c>
      <c r="CF10" s="60">
        <v>218</v>
      </c>
      <c r="CG10" s="60">
        <v>18</v>
      </c>
      <c r="CH10" s="60">
        <v>650</v>
      </c>
      <c r="CI10" s="60">
        <v>35</v>
      </c>
      <c r="CJ10" s="60">
        <v>227</v>
      </c>
      <c r="CK10" s="60">
        <v>248</v>
      </c>
      <c r="CL10" s="60">
        <v>26720</v>
      </c>
      <c r="CM10" s="60">
        <v>2680</v>
      </c>
      <c r="CN10" s="60">
        <v>139</v>
      </c>
      <c r="CO10" s="60">
        <v>1001</v>
      </c>
      <c r="CP10" s="60">
        <v>80</v>
      </c>
      <c r="CQ10" s="60">
        <v>120</v>
      </c>
      <c r="CR10" s="60">
        <v>8</v>
      </c>
      <c r="CS10" s="60"/>
      <c r="CT10" s="60">
        <v>34239</v>
      </c>
      <c r="CU10" s="60">
        <v>1529</v>
      </c>
      <c r="CV10" s="60">
        <v>31903</v>
      </c>
      <c r="CW10" s="60">
        <v>807</v>
      </c>
      <c r="CX10" s="60">
        <v>4666</v>
      </c>
      <c r="CY10" s="60">
        <v>3916</v>
      </c>
      <c r="CZ10" s="60"/>
      <c r="DA10" s="60"/>
      <c r="DB10" s="60">
        <v>32</v>
      </c>
      <c r="DC10" s="60">
        <v>261</v>
      </c>
      <c r="DD10" s="60">
        <v>468</v>
      </c>
      <c r="DE10" s="60">
        <v>795</v>
      </c>
      <c r="DF10" s="60">
        <v>1438</v>
      </c>
      <c r="DG10" s="60">
        <v>1614</v>
      </c>
      <c r="DH10" s="60">
        <v>1571</v>
      </c>
      <c r="DI10" s="60">
        <v>2403</v>
      </c>
      <c r="DJ10" s="60"/>
      <c r="DK10" s="60"/>
      <c r="DL10" s="60"/>
      <c r="DM10" s="60">
        <v>1562</v>
      </c>
      <c r="DN10" s="60">
        <v>4094</v>
      </c>
      <c r="DO10" s="60">
        <v>513</v>
      </c>
      <c r="DP10" s="60">
        <v>204</v>
      </c>
      <c r="DQ10" s="60">
        <v>53</v>
      </c>
      <c r="DR10" s="60">
        <v>2141</v>
      </c>
      <c r="DS10" s="60">
        <v>15</v>
      </c>
      <c r="DT10" s="60">
        <v>64</v>
      </c>
      <c r="DU10" s="60">
        <v>154</v>
      </c>
      <c r="DV10" s="60">
        <v>276</v>
      </c>
      <c r="DW10" s="60">
        <v>1447</v>
      </c>
      <c r="DX10" s="60">
        <v>193</v>
      </c>
      <c r="DY10" s="60">
        <v>16</v>
      </c>
      <c r="DZ10" s="60">
        <v>75</v>
      </c>
      <c r="EA10" s="60">
        <v>4408</v>
      </c>
      <c r="EB10" s="60">
        <v>1948</v>
      </c>
      <c r="EC10" s="60">
        <v>1</v>
      </c>
      <c r="ED10" s="60">
        <v>0</v>
      </c>
      <c r="EE10" s="60">
        <v>0</v>
      </c>
      <c r="EF10" s="60">
        <v>0</v>
      </c>
      <c r="EG10" s="60">
        <v>0</v>
      </c>
      <c r="EH10" s="60">
        <v>0</v>
      </c>
      <c r="EI10" s="60">
        <v>1330</v>
      </c>
      <c r="EJ10" s="60">
        <v>4578</v>
      </c>
      <c r="EK10" s="60">
        <v>128</v>
      </c>
      <c r="EL10" s="60">
        <v>2040</v>
      </c>
      <c r="EM10" s="60">
        <v>506</v>
      </c>
      <c r="EN10" s="60">
        <v>19</v>
      </c>
      <c r="EO10" s="60">
        <v>237</v>
      </c>
      <c r="EP10" s="60">
        <v>1777</v>
      </c>
      <c r="EQ10" s="60">
        <v>4</v>
      </c>
      <c r="ER10" s="60">
        <v>1113</v>
      </c>
      <c r="ES10" s="60">
        <v>500</v>
      </c>
      <c r="ET10" s="60">
        <v>479</v>
      </c>
      <c r="EU10" s="60">
        <v>902</v>
      </c>
      <c r="EV10" s="60">
        <v>700</v>
      </c>
      <c r="EW10" s="60">
        <v>181</v>
      </c>
      <c r="EX10" s="60">
        <v>224</v>
      </c>
      <c r="EY10" s="60">
        <v>264</v>
      </c>
      <c r="EZ10" s="60">
        <v>13</v>
      </c>
      <c r="FA10" s="60">
        <v>118</v>
      </c>
      <c r="FB10" s="60">
        <v>1043</v>
      </c>
      <c r="FC10" s="60">
        <v>220</v>
      </c>
      <c r="FD10" s="60">
        <v>788</v>
      </c>
      <c r="FE10" s="60"/>
      <c r="FF10" s="60"/>
      <c r="FG10" s="60"/>
      <c r="FH10" s="60">
        <v>383</v>
      </c>
      <c r="FI10" s="60">
        <v>114</v>
      </c>
      <c r="FJ10" s="60">
        <v>853</v>
      </c>
      <c r="FK10" s="60">
        <v>16</v>
      </c>
      <c r="FL10" s="60">
        <v>43</v>
      </c>
      <c r="FM10" s="60">
        <v>449</v>
      </c>
      <c r="FN10" s="60">
        <v>21</v>
      </c>
      <c r="FO10" s="60">
        <v>6511</v>
      </c>
      <c r="FP10" s="60">
        <v>120</v>
      </c>
      <c r="FQ10" s="60">
        <v>7</v>
      </c>
      <c r="FR10" s="60">
        <v>22</v>
      </c>
      <c r="FS10" s="60">
        <v>17</v>
      </c>
      <c r="FT10" s="60">
        <v>17</v>
      </c>
      <c r="FU10" s="60">
        <v>6</v>
      </c>
      <c r="FV10" s="60">
        <v>3</v>
      </c>
      <c r="FW10" s="60"/>
      <c r="FX10" s="60">
        <v>8582</v>
      </c>
      <c r="FY10" s="60">
        <v>1105</v>
      </c>
      <c r="FZ10" s="60">
        <v>7229</v>
      </c>
      <c r="GA10" s="60">
        <v>248</v>
      </c>
      <c r="GB10" s="60">
        <v>2011</v>
      </c>
    </row>
    <row r="11" spans="1:184" x14ac:dyDescent="0.3">
      <c r="A11" s="60">
        <v>106010967</v>
      </c>
      <c r="B11" s="61" t="s">
        <v>152</v>
      </c>
      <c r="C11" s="61" t="s">
        <v>153</v>
      </c>
      <c r="D11" s="61" t="s">
        <v>154</v>
      </c>
      <c r="E11" s="61" t="s">
        <v>149</v>
      </c>
      <c r="F11" s="60">
        <v>94545</v>
      </c>
      <c r="G11" s="61"/>
      <c r="H11" s="61" t="s">
        <v>1669</v>
      </c>
      <c r="I11" s="60">
        <v>18</v>
      </c>
      <c r="J11" s="60">
        <v>10</v>
      </c>
      <c r="K11" s="61" t="s">
        <v>1693</v>
      </c>
      <c r="L11" s="61"/>
      <c r="M11" s="61" t="s">
        <v>1671</v>
      </c>
      <c r="N11" s="61" t="s">
        <v>1672</v>
      </c>
      <c r="O11" s="61" t="s">
        <v>1673</v>
      </c>
      <c r="P11" s="61" t="s">
        <v>1678</v>
      </c>
      <c r="Q11" s="61" t="s">
        <v>1674</v>
      </c>
      <c r="R11" s="60">
        <v>195</v>
      </c>
      <c r="S11" s="61" t="s">
        <v>1675</v>
      </c>
      <c r="T11" s="60">
        <v>17033</v>
      </c>
      <c r="U11" s="60">
        <v>12687</v>
      </c>
      <c r="V11" s="60">
        <v>4</v>
      </c>
      <c r="W11" s="60"/>
      <c r="X11" s="60">
        <v>4234</v>
      </c>
      <c r="Y11" s="60">
        <v>3239</v>
      </c>
      <c r="Z11" s="60">
        <v>6114</v>
      </c>
      <c r="AA11" s="60">
        <v>4672</v>
      </c>
      <c r="AB11" s="60">
        <v>3870</v>
      </c>
      <c r="AC11" s="60">
        <v>3206</v>
      </c>
      <c r="AD11" s="60">
        <v>1730</v>
      </c>
      <c r="AE11" s="60">
        <v>973</v>
      </c>
      <c r="AF11" s="60">
        <v>759</v>
      </c>
      <c r="AG11" s="60">
        <v>927</v>
      </c>
      <c r="AH11" s="60"/>
      <c r="AI11" s="60">
        <v>2498</v>
      </c>
      <c r="AJ11" s="60">
        <v>6127</v>
      </c>
      <c r="AK11" s="60">
        <v>9032</v>
      </c>
      <c r="AL11" s="60">
        <v>43</v>
      </c>
      <c r="AM11" s="60">
        <v>5773</v>
      </c>
      <c r="AN11" s="60">
        <v>55</v>
      </c>
      <c r="AO11" s="60">
        <v>6196</v>
      </c>
      <c r="AP11" s="60">
        <v>265</v>
      </c>
      <c r="AQ11" s="60">
        <v>1243</v>
      </c>
      <c r="AR11" s="60">
        <v>112</v>
      </c>
      <c r="AS11" s="60">
        <v>59</v>
      </c>
      <c r="AT11" s="60">
        <v>10</v>
      </c>
      <c r="AU11" s="60">
        <v>3</v>
      </c>
      <c r="AV11" s="60">
        <v>1</v>
      </c>
      <c r="AW11" s="60">
        <v>37</v>
      </c>
      <c r="AX11" s="60">
        <v>292</v>
      </c>
      <c r="AY11" s="60">
        <v>556</v>
      </c>
      <c r="AZ11" s="60">
        <v>5</v>
      </c>
      <c r="BA11" s="60">
        <v>26943</v>
      </c>
      <c r="BB11" s="60">
        <v>198</v>
      </c>
      <c r="BC11" s="60"/>
      <c r="BD11" s="60"/>
      <c r="BE11" s="60">
        <v>14398</v>
      </c>
      <c r="BF11" s="60">
        <v>3757</v>
      </c>
      <c r="BG11" s="60">
        <v>1192</v>
      </c>
      <c r="BH11" s="60">
        <v>3292</v>
      </c>
      <c r="BI11" s="60">
        <v>7085</v>
      </c>
      <c r="BJ11" s="60">
        <v>1071</v>
      </c>
      <c r="BK11" s="60">
        <v>55</v>
      </c>
      <c r="BL11" s="60">
        <v>452</v>
      </c>
      <c r="BM11" s="60">
        <v>5</v>
      </c>
      <c r="BN11" s="60">
        <v>1351</v>
      </c>
      <c r="BO11" s="60">
        <v>384</v>
      </c>
      <c r="BP11" s="60">
        <v>1706</v>
      </c>
      <c r="BQ11" s="60">
        <v>1003</v>
      </c>
      <c r="BR11" s="60">
        <v>5260</v>
      </c>
      <c r="BS11" s="60">
        <v>2303</v>
      </c>
      <c r="BT11" s="60">
        <v>40</v>
      </c>
      <c r="BU11" s="60">
        <v>1790</v>
      </c>
      <c r="BV11" s="60">
        <v>1396</v>
      </c>
      <c r="BW11" s="60">
        <v>71</v>
      </c>
      <c r="BX11" s="60">
        <v>1102</v>
      </c>
      <c r="BY11" s="60">
        <v>4123</v>
      </c>
      <c r="BZ11" s="60">
        <v>1446</v>
      </c>
      <c r="CA11" s="60">
        <v>6165</v>
      </c>
      <c r="CB11" s="60">
        <v>1</v>
      </c>
      <c r="CC11" s="60"/>
      <c r="CD11" s="60">
        <v>1706</v>
      </c>
      <c r="CE11" s="60">
        <v>108</v>
      </c>
      <c r="CF11" s="60">
        <v>175</v>
      </c>
      <c r="CG11" s="60">
        <v>9</v>
      </c>
      <c r="CH11" s="60">
        <v>428</v>
      </c>
      <c r="CI11" s="60">
        <v>8</v>
      </c>
      <c r="CJ11" s="60">
        <v>75</v>
      </c>
      <c r="CK11" s="60">
        <v>255</v>
      </c>
      <c r="CL11" s="60">
        <v>23251</v>
      </c>
      <c r="CM11" s="60">
        <v>2691</v>
      </c>
      <c r="CN11" s="60">
        <v>103</v>
      </c>
      <c r="CO11" s="60">
        <v>662</v>
      </c>
      <c r="CP11" s="60">
        <v>101</v>
      </c>
      <c r="CQ11" s="60">
        <v>130</v>
      </c>
      <c r="CR11" s="60">
        <v>22</v>
      </c>
      <c r="CS11" s="60"/>
      <c r="CT11" s="60">
        <v>29724</v>
      </c>
      <c r="CU11" s="60">
        <v>1169</v>
      </c>
      <c r="CV11" s="60">
        <v>24469</v>
      </c>
      <c r="CW11" s="60">
        <v>4086</v>
      </c>
      <c r="CX11" s="60">
        <v>3306</v>
      </c>
      <c r="CY11" s="60">
        <v>2556</v>
      </c>
      <c r="CZ11" s="60"/>
      <c r="DA11" s="60"/>
      <c r="DB11" s="60">
        <v>53</v>
      </c>
      <c r="DC11" s="60">
        <v>270</v>
      </c>
      <c r="DD11" s="60">
        <v>411</v>
      </c>
      <c r="DE11" s="60">
        <v>743</v>
      </c>
      <c r="DF11" s="60">
        <v>1046</v>
      </c>
      <c r="DG11" s="60">
        <v>1130</v>
      </c>
      <c r="DH11" s="60">
        <v>1045</v>
      </c>
      <c r="DI11" s="60">
        <v>1162</v>
      </c>
      <c r="DJ11" s="60">
        <v>2</v>
      </c>
      <c r="DK11" s="60"/>
      <c r="DL11" s="60"/>
      <c r="DM11" s="60">
        <v>1149</v>
      </c>
      <c r="DN11" s="60">
        <v>929</v>
      </c>
      <c r="DO11" s="60">
        <v>1258</v>
      </c>
      <c r="DP11" s="60">
        <v>351</v>
      </c>
      <c r="DQ11" s="60">
        <v>21</v>
      </c>
      <c r="DR11" s="60">
        <v>2148</v>
      </c>
      <c r="DS11" s="60">
        <v>6</v>
      </c>
      <c r="DT11" s="60">
        <v>143</v>
      </c>
      <c r="DU11" s="60">
        <v>145</v>
      </c>
      <c r="DV11" s="60">
        <v>177</v>
      </c>
      <c r="DW11" s="60">
        <v>309</v>
      </c>
      <c r="DX11" s="60">
        <v>97</v>
      </c>
      <c r="DY11" s="60">
        <v>1</v>
      </c>
      <c r="DZ11" s="60">
        <v>196</v>
      </c>
      <c r="EA11" s="60">
        <v>3672</v>
      </c>
      <c r="EB11" s="60">
        <v>1118</v>
      </c>
      <c r="EC11" s="60">
        <v>4</v>
      </c>
      <c r="ED11" s="60">
        <v>0</v>
      </c>
      <c r="EE11" s="60">
        <v>0</v>
      </c>
      <c r="EF11" s="60">
        <v>0</v>
      </c>
      <c r="EG11" s="60">
        <v>0</v>
      </c>
      <c r="EH11" s="60">
        <v>0</v>
      </c>
      <c r="EI11" s="60">
        <v>1897</v>
      </c>
      <c r="EJ11" s="60">
        <v>2756</v>
      </c>
      <c r="EK11" s="60">
        <v>21</v>
      </c>
      <c r="EL11" s="60">
        <v>584</v>
      </c>
      <c r="EM11" s="60">
        <v>604</v>
      </c>
      <c r="EN11" s="60">
        <v>87</v>
      </c>
      <c r="EO11" s="60">
        <v>85</v>
      </c>
      <c r="EP11" s="60">
        <v>1242</v>
      </c>
      <c r="EQ11" s="60">
        <v>1</v>
      </c>
      <c r="ER11" s="60">
        <v>909</v>
      </c>
      <c r="ES11" s="60">
        <v>356</v>
      </c>
      <c r="ET11" s="60">
        <v>349</v>
      </c>
      <c r="EU11" s="60">
        <v>467</v>
      </c>
      <c r="EV11" s="60">
        <v>367</v>
      </c>
      <c r="EW11" s="60">
        <v>111</v>
      </c>
      <c r="EX11" s="60">
        <v>125</v>
      </c>
      <c r="EY11" s="60">
        <v>122</v>
      </c>
      <c r="EZ11" s="60">
        <v>14</v>
      </c>
      <c r="FA11" s="60">
        <v>109</v>
      </c>
      <c r="FB11" s="60">
        <v>808</v>
      </c>
      <c r="FC11" s="60">
        <v>129</v>
      </c>
      <c r="FD11" s="60">
        <v>579</v>
      </c>
      <c r="FE11" s="60">
        <v>1</v>
      </c>
      <c r="FF11" s="60">
        <v>1</v>
      </c>
      <c r="FG11" s="60"/>
      <c r="FH11" s="60">
        <v>162</v>
      </c>
      <c r="FI11" s="60">
        <v>45</v>
      </c>
      <c r="FJ11" s="60">
        <v>361</v>
      </c>
      <c r="FK11" s="60">
        <v>9</v>
      </c>
      <c r="FL11" s="60">
        <v>28</v>
      </c>
      <c r="FM11" s="60">
        <v>117</v>
      </c>
      <c r="FN11" s="60">
        <v>11</v>
      </c>
      <c r="FO11" s="60">
        <v>4970</v>
      </c>
      <c r="FP11" s="60">
        <v>78</v>
      </c>
      <c r="FQ11" s="60">
        <v>4</v>
      </c>
      <c r="FR11" s="60">
        <v>5</v>
      </c>
      <c r="FS11" s="60">
        <v>20</v>
      </c>
      <c r="FT11" s="60">
        <v>44</v>
      </c>
      <c r="FU11" s="60">
        <v>6</v>
      </c>
      <c r="FV11" s="60">
        <v>2</v>
      </c>
      <c r="FW11" s="60"/>
      <c r="FX11" s="60">
        <v>5862</v>
      </c>
      <c r="FY11" s="60">
        <v>737</v>
      </c>
      <c r="FZ11" s="60">
        <v>4582</v>
      </c>
      <c r="GA11" s="60">
        <v>543</v>
      </c>
      <c r="GB11" s="60">
        <v>2011</v>
      </c>
    </row>
    <row r="12" spans="1:184" x14ac:dyDescent="0.3">
      <c r="A12" s="60">
        <v>106010987</v>
      </c>
      <c r="B12" s="61" t="s">
        <v>155</v>
      </c>
      <c r="C12" s="61" t="s">
        <v>156</v>
      </c>
      <c r="D12" s="61" t="s">
        <v>157</v>
      </c>
      <c r="E12" s="61" t="s">
        <v>158</v>
      </c>
      <c r="F12" s="60">
        <v>94538</v>
      </c>
      <c r="G12" s="61"/>
      <c r="H12" s="61" t="s">
        <v>1669</v>
      </c>
      <c r="I12" s="60">
        <v>20</v>
      </c>
      <c r="J12" s="60">
        <v>10</v>
      </c>
      <c r="K12" s="61" t="s">
        <v>1696</v>
      </c>
      <c r="L12" s="61"/>
      <c r="M12" s="61" t="s">
        <v>1671</v>
      </c>
      <c r="N12" s="61" t="s">
        <v>1672</v>
      </c>
      <c r="O12" s="61" t="s">
        <v>1673</v>
      </c>
      <c r="P12" s="61" t="s">
        <v>159</v>
      </c>
      <c r="Q12" s="61" t="s">
        <v>1674</v>
      </c>
      <c r="R12" s="60">
        <v>359</v>
      </c>
      <c r="S12" s="61" t="s">
        <v>1675</v>
      </c>
      <c r="T12" s="60">
        <v>23725</v>
      </c>
      <c r="U12" s="60">
        <v>18966</v>
      </c>
      <c r="V12" s="60"/>
      <c r="W12" s="60"/>
      <c r="X12" s="60">
        <v>6205</v>
      </c>
      <c r="Y12" s="60">
        <v>4341</v>
      </c>
      <c r="Z12" s="60">
        <v>6626</v>
      </c>
      <c r="AA12" s="60">
        <v>6142</v>
      </c>
      <c r="AB12" s="60">
        <v>5717</v>
      </c>
      <c r="AC12" s="60">
        <v>4864</v>
      </c>
      <c r="AD12" s="60">
        <v>2914</v>
      </c>
      <c r="AE12" s="60">
        <v>2155</v>
      </c>
      <c r="AF12" s="60">
        <v>2395</v>
      </c>
      <c r="AG12" s="60">
        <v>1330</v>
      </c>
      <c r="AH12" s="60">
        <v>2</v>
      </c>
      <c r="AI12" s="60">
        <v>4742</v>
      </c>
      <c r="AJ12" s="60">
        <v>4923</v>
      </c>
      <c r="AK12" s="60">
        <v>8055</v>
      </c>
      <c r="AL12" s="60">
        <v>53</v>
      </c>
      <c r="AM12" s="60">
        <v>7900</v>
      </c>
      <c r="AN12" s="60">
        <v>88</v>
      </c>
      <c r="AO12" s="60">
        <v>16930</v>
      </c>
      <c r="AP12" s="60">
        <v>213</v>
      </c>
      <c r="AQ12" s="60">
        <v>365</v>
      </c>
      <c r="AR12" s="60"/>
      <c r="AS12" s="60">
        <v>75</v>
      </c>
      <c r="AT12" s="60">
        <v>90</v>
      </c>
      <c r="AU12" s="60"/>
      <c r="AV12" s="60">
        <v>1</v>
      </c>
      <c r="AW12" s="60"/>
      <c r="AX12" s="60">
        <v>276</v>
      </c>
      <c r="AY12" s="60">
        <v>625</v>
      </c>
      <c r="AZ12" s="60"/>
      <c r="BA12" s="60">
        <v>40524</v>
      </c>
      <c r="BB12" s="60">
        <v>522</v>
      </c>
      <c r="BC12" s="60"/>
      <c r="BD12" s="60"/>
      <c r="BE12" s="60">
        <v>16461</v>
      </c>
      <c r="BF12" s="60">
        <v>7315</v>
      </c>
      <c r="BG12" s="60">
        <v>2181</v>
      </c>
      <c r="BH12" s="60">
        <v>10332</v>
      </c>
      <c r="BI12" s="60">
        <v>6402</v>
      </c>
      <c r="BJ12" s="60">
        <v>1115</v>
      </c>
      <c r="BK12" s="60">
        <v>141</v>
      </c>
      <c r="BL12" s="60">
        <v>1025</v>
      </c>
      <c r="BM12" s="60">
        <v>3</v>
      </c>
      <c r="BN12" s="60">
        <v>2156</v>
      </c>
      <c r="BO12" s="60">
        <v>683</v>
      </c>
      <c r="BP12" s="60">
        <v>2059</v>
      </c>
      <c r="BQ12" s="60">
        <v>1029</v>
      </c>
      <c r="BR12" s="60">
        <v>8543</v>
      </c>
      <c r="BS12" s="60">
        <v>2335</v>
      </c>
      <c r="BT12" s="60">
        <v>43</v>
      </c>
      <c r="BU12" s="60">
        <v>3086</v>
      </c>
      <c r="BV12" s="60">
        <v>1740</v>
      </c>
      <c r="BW12" s="60">
        <v>70</v>
      </c>
      <c r="BX12" s="60">
        <v>2377</v>
      </c>
      <c r="BY12" s="60">
        <v>4655</v>
      </c>
      <c r="BZ12" s="60">
        <v>1752</v>
      </c>
      <c r="CA12" s="60">
        <v>9879</v>
      </c>
      <c r="CB12" s="60"/>
      <c r="CC12" s="60"/>
      <c r="CD12" s="60">
        <v>2920</v>
      </c>
      <c r="CE12" s="60">
        <v>216</v>
      </c>
      <c r="CF12" s="60">
        <v>237</v>
      </c>
      <c r="CG12" s="60">
        <v>10</v>
      </c>
      <c r="CH12" s="60">
        <v>440</v>
      </c>
      <c r="CI12" s="60">
        <v>77</v>
      </c>
      <c r="CJ12" s="60">
        <v>19</v>
      </c>
      <c r="CK12" s="60">
        <v>343</v>
      </c>
      <c r="CL12" s="60">
        <v>33060</v>
      </c>
      <c r="CM12" s="60">
        <v>3835</v>
      </c>
      <c r="CN12" s="60">
        <v>171</v>
      </c>
      <c r="CO12" s="60">
        <v>956</v>
      </c>
      <c r="CP12" s="60">
        <v>154</v>
      </c>
      <c r="CQ12" s="60">
        <v>242</v>
      </c>
      <c r="CR12" s="60">
        <v>10</v>
      </c>
      <c r="CS12" s="60">
        <v>1</v>
      </c>
      <c r="CT12" s="60">
        <v>42691</v>
      </c>
      <c r="CU12" s="60">
        <v>1317</v>
      </c>
      <c r="CV12" s="60">
        <v>39788</v>
      </c>
      <c r="CW12" s="60">
        <v>1586</v>
      </c>
      <c r="CX12" s="60">
        <v>3992</v>
      </c>
      <c r="CY12" s="60">
        <v>3520</v>
      </c>
      <c r="CZ12" s="60"/>
      <c r="DA12" s="60"/>
      <c r="DB12" s="60">
        <v>123</v>
      </c>
      <c r="DC12" s="60">
        <v>270</v>
      </c>
      <c r="DD12" s="60">
        <v>405</v>
      </c>
      <c r="DE12" s="60">
        <v>578</v>
      </c>
      <c r="DF12" s="60">
        <v>1048</v>
      </c>
      <c r="DG12" s="60">
        <v>1156</v>
      </c>
      <c r="DH12" s="60">
        <v>1395</v>
      </c>
      <c r="DI12" s="60">
        <v>2308</v>
      </c>
      <c r="DJ12" s="60">
        <v>99</v>
      </c>
      <c r="DK12" s="60">
        <v>130</v>
      </c>
      <c r="DL12" s="60"/>
      <c r="DM12" s="60">
        <v>2266</v>
      </c>
      <c r="DN12" s="60">
        <v>482</v>
      </c>
      <c r="DO12" s="60">
        <v>964</v>
      </c>
      <c r="DP12" s="60">
        <v>377</v>
      </c>
      <c r="DQ12" s="60"/>
      <c r="DR12" s="60">
        <v>3411</v>
      </c>
      <c r="DS12" s="60">
        <v>12</v>
      </c>
      <c r="DT12" s="60">
        <v>110</v>
      </c>
      <c r="DU12" s="60">
        <v>77</v>
      </c>
      <c r="DV12" s="60">
        <v>324</v>
      </c>
      <c r="DW12" s="60">
        <v>968</v>
      </c>
      <c r="DX12" s="60">
        <v>110</v>
      </c>
      <c r="DY12" s="60">
        <v>2</v>
      </c>
      <c r="DZ12" s="60">
        <v>184</v>
      </c>
      <c r="EA12" s="60">
        <v>4311</v>
      </c>
      <c r="EB12" s="60">
        <v>1425</v>
      </c>
      <c r="EC12" s="60">
        <v>1</v>
      </c>
      <c r="ED12" s="60">
        <v>0</v>
      </c>
      <c r="EE12" s="60">
        <v>0</v>
      </c>
      <c r="EF12" s="60">
        <v>0</v>
      </c>
      <c r="EG12" s="60">
        <v>0</v>
      </c>
      <c r="EH12" s="60">
        <v>0</v>
      </c>
      <c r="EI12" s="60">
        <v>1141</v>
      </c>
      <c r="EJ12" s="60">
        <v>4508</v>
      </c>
      <c r="EK12" s="60">
        <v>38</v>
      </c>
      <c r="EL12" s="60">
        <v>1392</v>
      </c>
      <c r="EM12" s="60">
        <v>433</v>
      </c>
      <c r="EN12" s="60">
        <v>48</v>
      </c>
      <c r="EO12" s="60">
        <v>106</v>
      </c>
      <c r="EP12" s="60">
        <v>1602</v>
      </c>
      <c r="EQ12" s="60">
        <v>6</v>
      </c>
      <c r="ER12" s="60">
        <v>1251</v>
      </c>
      <c r="ES12" s="60">
        <v>336</v>
      </c>
      <c r="ET12" s="60">
        <v>552</v>
      </c>
      <c r="EU12" s="60">
        <v>567</v>
      </c>
      <c r="EV12" s="60">
        <v>660</v>
      </c>
      <c r="EW12" s="60">
        <v>148</v>
      </c>
      <c r="EX12" s="60">
        <v>174</v>
      </c>
      <c r="EY12" s="60">
        <v>169</v>
      </c>
      <c r="EZ12" s="60">
        <v>13</v>
      </c>
      <c r="FA12" s="60">
        <v>57</v>
      </c>
      <c r="FB12" s="60">
        <v>1111</v>
      </c>
      <c r="FC12" s="60">
        <v>215</v>
      </c>
      <c r="FD12" s="60">
        <v>472</v>
      </c>
      <c r="FE12" s="60">
        <v>1</v>
      </c>
      <c r="FF12" s="60">
        <v>24</v>
      </c>
      <c r="FG12" s="60"/>
      <c r="FH12" s="60">
        <v>426</v>
      </c>
      <c r="FI12" s="60">
        <v>63</v>
      </c>
      <c r="FJ12" s="60">
        <v>568</v>
      </c>
      <c r="FK12" s="60">
        <v>4</v>
      </c>
      <c r="FL12" s="60">
        <v>45</v>
      </c>
      <c r="FM12" s="60">
        <v>144</v>
      </c>
      <c r="FN12" s="60">
        <v>10</v>
      </c>
      <c r="FO12" s="60">
        <v>6069</v>
      </c>
      <c r="FP12" s="60">
        <v>96</v>
      </c>
      <c r="FQ12" s="60">
        <v>9</v>
      </c>
      <c r="FR12" s="60">
        <v>20</v>
      </c>
      <c r="FS12" s="60">
        <v>30</v>
      </c>
      <c r="FT12" s="60">
        <v>26</v>
      </c>
      <c r="FU12" s="60">
        <v>2</v>
      </c>
      <c r="FV12" s="60"/>
      <c r="FW12" s="60"/>
      <c r="FX12" s="60">
        <v>7512</v>
      </c>
      <c r="FY12" s="60">
        <v>672</v>
      </c>
      <c r="FZ12" s="60">
        <v>6634</v>
      </c>
      <c r="GA12" s="60">
        <v>206</v>
      </c>
      <c r="GB12" s="60">
        <v>2011</v>
      </c>
    </row>
    <row r="13" spans="1:184" x14ac:dyDescent="0.3">
      <c r="A13" s="60">
        <v>106013619</v>
      </c>
      <c r="B13" s="61" t="s">
        <v>160</v>
      </c>
      <c r="C13" s="61" t="s">
        <v>161</v>
      </c>
      <c r="D13" s="61" t="s">
        <v>162</v>
      </c>
      <c r="E13" s="61" t="s">
        <v>163</v>
      </c>
      <c r="F13" s="60">
        <v>94578</v>
      </c>
      <c r="G13" s="61"/>
      <c r="H13" s="61" t="s">
        <v>1669</v>
      </c>
      <c r="I13" s="60">
        <v>18</v>
      </c>
      <c r="J13" s="60">
        <v>10</v>
      </c>
      <c r="K13" s="61" t="s">
        <v>1697</v>
      </c>
      <c r="L13" s="61"/>
      <c r="M13" s="61" t="s">
        <v>1671</v>
      </c>
      <c r="N13" s="61" t="s">
        <v>1672</v>
      </c>
      <c r="O13" s="61" t="s">
        <v>1673</v>
      </c>
      <c r="P13" s="61" t="s">
        <v>1678</v>
      </c>
      <c r="Q13" s="61" t="s">
        <v>1674</v>
      </c>
      <c r="R13" s="60">
        <v>93</v>
      </c>
      <c r="S13" s="61" t="s">
        <v>1675</v>
      </c>
      <c r="T13" s="60">
        <v>13532</v>
      </c>
      <c r="U13" s="60">
        <v>9435</v>
      </c>
      <c r="V13" s="60"/>
      <c r="W13" s="60"/>
      <c r="X13" s="60">
        <v>890</v>
      </c>
      <c r="Y13" s="60">
        <v>1713</v>
      </c>
      <c r="Z13" s="60">
        <v>4867</v>
      </c>
      <c r="AA13" s="60">
        <v>3688</v>
      </c>
      <c r="AB13" s="60">
        <v>3861</v>
      </c>
      <c r="AC13" s="60">
        <v>3827</v>
      </c>
      <c r="AD13" s="60">
        <v>1827</v>
      </c>
      <c r="AE13" s="60">
        <v>1002</v>
      </c>
      <c r="AF13" s="60">
        <v>1141</v>
      </c>
      <c r="AG13" s="60">
        <v>151</v>
      </c>
      <c r="AH13" s="60"/>
      <c r="AI13" s="60">
        <v>1430</v>
      </c>
      <c r="AJ13" s="60">
        <v>12211</v>
      </c>
      <c r="AK13" s="60">
        <v>3610</v>
      </c>
      <c r="AL13" s="60">
        <v>176</v>
      </c>
      <c r="AM13" s="60">
        <v>762</v>
      </c>
      <c r="AN13" s="60">
        <v>208</v>
      </c>
      <c r="AO13" s="60">
        <v>4570</v>
      </c>
      <c r="AP13" s="60">
        <v>211</v>
      </c>
      <c r="AQ13" s="60">
        <v>773</v>
      </c>
      <c r="AR13" s="60">
        <v>24</v>
      </c>
      <c r="AS13" s="60">
        <v>61</v>
      </c>
      <c r="AT13" s="60">
        <v>18</v>
      </c>
      <c r="AU13" s="60">
        <v>7</v>
      </c>
      <c r="AV13" s="60"/>
      <c r="AW13" s="60"/>
      <c r="AX13" s="60">
        <v>8</v>
      </c>
      <c r="AY13" s="60">
        <v>718</v>
      </c>
      <c r="AZ13" s="60"/>
      <c r="BA13" s="60">
        <v>20889</v>
      </c>
      <c r="BB13" s="60">
        <v>199</v>
      </c>
      <c r="BC13" s="60">
        <v>59</v>
      </c>
      <c r="BD13" s="60"/>
      <c r="BE13" s="60">
        <v>3297</v>
      </c>
      <c r="BF13" s="60">
        <v>4840</v>
      </c>
      <c r="BG13" s="60">
        <v>8391</v>
      </c>
      <c r="BH13" s="60">
        <v>2492</v>
      </c>
      <c r="BI13" s="60">
        <v>3947</v>
      </c>
      <c r="BJ13" s="60">
        <v>516</v>
      </c>
      <c r="BK13" s="60">
        <v>106</v>
      </c>
      <c r="BL13" s="60">
        <v>477</v>
      </c>
      <c r="BM13" s="60">
        <v>4</v>
      </c>
      <c r="BN13" s="60">
        <v>1310</v>
      </c>
      <c r="BO13" s="60">
        <v>466</v>
      </c>
      <c r="BP13" s="60">
        <v>1262</v>
      </c>
      <c r="BQ13" s="60">
        <v>427</v>
      </c>
      <c r="BR13" s="60">
        <v>4592</v>
      </c>
      <c r="BS13" s="60">
        <v>2015</v>
      </c>
      <c r="BT13" s="60">
        <v>36</v>
      </c>
      <c r="BU13" s="60">
        <v>1267</v>
      </c>
      <c r="BV13" s="60">
        <v>1138</v>
      </c>
      <c r="BW13" s="60">
        <v>5</v>
      </c>
      <c r="BX13" s="60">
        <v>1547</v>
      </c>
      <c r="BY13" s="60">
        <v>2501</v>
      </c>
      <c r="BZ13" s="60">
        <v>1134</v>
      </c>
      <c r="CA13" s="60">
        <v>4164</v>
      </c>
      <c r="CB13" s="60"/>
      <c r="CC13" s="60"/>
      <c r="CD13" s="60">
        <v>1390</v>
      </c>
      <c r="CE13" s="60">
        <v>127</v>
      </c>
      <c r="CF13" s="60">
        <v>237</v>
      </c>
      <c r="CG13" s="60">
        <v>18</v>
      </c>
      <c r="CH13" s="60">
        <v>548</v>
      </c>
      <c r="CI13" s="60">
        <v>52</v>
      </c>
      <c r="CJ13" s="60">
        <v>101</v>
      </c>
      <c r="CK13" s="60">
        <v>174</v>
      </c>
      <c r="CL13" s="60">
        <v>17690</v>
      </c>
      <c r="CM13" s="60">
        <v>1697</v>
      </c>
      <c r="CN13" s="60">
        <v>49</v>
      </c>
      <c r="CO13" s="60">
        <v>642</v>
      </c>
      <c r="CP13" s="60">
        <v>137</v>
      </c>
      <c r="CQ13" s="60">
        <v>98</v>
      </c>
      <c r="CR13" s="60">
        <v>7</v>
      </c>
      <c r="CS13" s="60"/>
      <c r="CT13" s="60">
        <v>22967</v>
      </c>
      <c r="CU13" s="60">
        <v>280</v>
      </c>
      <c r="CV13" s="60">
        <v>21977</v>
      </c>
      <c r="CW13" s="60">
        <v>710</v>
      </c>
      <c r="CX13" s="60">
        <v>1745</v>
      </c>
      <c r="CY13" s="60">
        <v>1456</v>
      </c>
      <c r="CZ13" s="60"/>
      <c r="DA13" s="60"/>
      <c r="DB13" s="60">
        <v>19</v>
      </c>
      <c r="DC13" s="60">
        <v>126</v>
      </c>
      <c r="DD13" s="60">
        <v>203</v>
      </c>
      <c r="DE13" s="60">
        <v>321</v>
      </c>
      <c r="DF13" s="60">
        <v>543</v>
      </c>
      <c r="DG13" s="60">
        <v>531</v>
      </c>
      <c r="DH13" s="60">
        <v>524</v>
      </c>
      <c r="DI13" s="60">
        <v>934</v>
      </c>
      <c r="DJ13" s="60"/>
      <c r="DK13" s="60"/>
      <c r="DL13" s="60"/>
      <c r="DM13" s="60">
        <v>364</v>
      </c>
      <c r="DN13" s="60">
        <v>1266</v>
      </c>
      <c r="DO13" s="60">
        <v>418</v>
      </c>
      <c r="DP13" s="60">
        <v>44</v>
      </c>
      <c r="DQ13" s="60">
        <v>16</v>
      </c>
      <c r="DR13" s="60">
        <v>1084</v>
      </c>
      <c r="DS13" s="60">
        <v>9</v>
      </c>
      <c r="DT13" s="60">
        <v>130</v>
      </c>
      <c r="DU13" s="60">
        <v>76</v>
      </c>
      <c r="DV13" s="60">
        <v>99</v>
      </c>
      <c r="DW13" s="60">
        <v>353</v>
      </c>
      <c r="DX13" s="60">
        <v>80</v>
      </c>
      <c r="DY13" s="60">
        <v>2</v>
      </c>
      <c r="DZ13" s="60">
        <v>53</v>
      </c>
      <c r="EA13" s="60">
        <v>1742</v>
      </c>
      <c r="EB13" s="60">
        <v>665</v>
      </c>
      <c r="EC13" s="60">
        <v>1</v>
      </c>
      <c r="ED13" s="60">
        <v>0</v>
      </c>
      <c r="EE13" s="60">
        <v>0</v>
      </c>
      <c r="EF13" s="60">
        <v>0</v>
      </c>
      <c r="EG13" s="60">
        <v>0</v>
      </c>
      <c r="EH13" s="60">
        <v>0</v>
      </c>
      <c r="EI13" s="60">
        <v>648</v>
      </c>
      <c r="EJ13" s="60">
        <v>2086</v>
      </c>
      <c r="EK13" s="60">
        <v>25</v>
      </c>
      <c r="EL13" s="60">
        <v>212</v>
      </c>
      <c r="EM13" s="60">
        <v>230</v>
      </c>
      <c r="EN13" s="60">
        <v>3</v>
      </c>
      <c r="EO13" s="60">
        <v>108</v>
      </c>
      <c r="EP13" s="60">
        <v>658</v>
      </c>
      <c r="EQ13" s="60">
        <v>1</v>
      </c>
      <c r="ER13" s="60">
        <v>466</v>
      </c>
      <c r="ES13" s="60">
        <v>261</v>
      </c>
      <c r="ET13" s="60">
        <v>206</v>
      </c>
      <c r="EU13" s="60">
        <v>283</v>
      </c>
      <c r="EV13" s="60">
        <v>278</v>
      </c>
      <c r="EW13" s="60">
        <v>45</v>
      </c>
      <c r="EX13" s="60">
        <v>55</v>
      </c>
      <c r="EY13" s="60">
        <v>74</v>
      </c>
      <c r="EZ13" s="60">
        <v>3</v>
      </c>
      <c r="FA13" s="60">
        <v>49</v>
      </c>
      <c r="FB13" s="60">
        <v>458</v>
      </c>
      <c r="FC13" s="60">
        <v>75</v>
      </c>
      <c r="FD13" s="60">
        <v>178</v>
      </c>
      <c r="FE13" s="60"/>
      <c r="FF13" s="60"/>
      <c r="FG13" s="60"/>
      <c r="FH13" s="60">
        <v>130</v>
      </c>
      <c r="FI13" s="60">
        <v>54</v>
      </c>
      <c r="FJ13" s="60">
        <v>485</v>
      </c>
      <c r="FK13" s="60">
        <v>6</v>
      </c>
      <c r="FL13" s="60">
        <v>7</v>
      </c>
      <c r="FM13" s="60">
        <v>263</v>
      </c>
      <c r="FN13" s="60">
        <v>4</v>
      </c>
      <c r="FO13" s="60">
        <v>2165</v>
      </c>
      <c r="FP13" s="60">
        <v>39</v>
      </c>
      <c r="FQ13" s="60">
        <v>2</v>
      </c>
      <c r="FR13" s="60">
        <v>5</v>
      </c>
      <c r="FS13" s="60">
        <v>9</v>
      </c>
      <c r="FT13" s="60">
        <v>31</v>
      </c>
      <c r="FU13" s="60"/>
      <c r="FV13" s="60">
        <v>1</v>
      </c>
      <c r="FW13" s="60"/>
      <c r="FX13" s="60">
        <v>3201</v>
      </c>
      <c r="FY13" s="60">
        <v>172</v>
      </c>
      <c r="FZ13" s="60">
        <v>2890</v>
      </c>
      <c r="GA13" s="60">
        <v>139</v>
      </c>
      <c r="GB13" s="60">
        <v>2011</v>
      </c>
    </row>
    <row r="14" spans="1:184" x14ac:dyDescent="0.3">
      <c r="A14" s="60">
        <v>106014050</v>
      </c>
      <c r="B14" s="61" t="s">
        <v>164</v>
      </c>
      <c r="C14" s="61" t="s">
        <v>165</v>
      </c>
      <c r="D14" s="61" t="s">
        <v>166</v>
      </c>
      <c r="E14" s="61" t="s">
        <v>167</v>
      </c>
      <c r="F14" s="60">
        <v>94588</v>
      </c>
      <c r="G14" s="61"/>
      <c r="H14" s="61" t="s">
        <v>1669</v>
      </c>
      <c r="I14" s="60">
        <v>18</v>
      </c>
      <c r="J14" s="60">
        <v>10</v>
      </c>
      <c r="K14" s="61" t="s">
        <v>1698</v>
      </c>
      <c r="L14" s="61"/>
      <c r="M14" s="61" t="s">
        <v>1671</v>
      </c>
      <c r="N14" s="61" t="s">
        <v>1672</v>
      </c>
      <c r="O14" s="61" t="s">
        <v>1673</v>
      </c>
      <c r="P14" s="61" t="s">
        <v>1678</v>
      </c>
      <c r="Q14" s="61" t="s">
        <v>1674</v>
      </c>
      <c r="R14" s="60">
        <v>167</v>
      </c>
      <c r="S14" s="61" t="s">
        <v>1675</v>
      </c>
      <c r="T14" s="60">
        <v>13010</v>
      </c>
      <c r="U14" s="60">
        <v>11205</v>
      </c>
      <c r="V14" s="60"/>
      <c r="W14" s="60"/>
      <c r="X14" s="60">
        <v>3198</v>
      </c>
      <c r="Y14" s="60">
        <v>2814</v>
      </c>
      <c r="Z14" s="60">
        <v>3938</v>
      </c>
      <c r="AA14" s="60">
        <v>3388</v>
      </c>
      <c r="AB14" s="60">
        <v>3586</v>
      </c>
      <c r="AC14" s="60">
        <v>2543</v>
      </c>
      <c r="AD14" s="60">
        <v>1807</v>
      </c>
      <c r="AE14" s="60">
        <v>1114</v>
      </c>
      <c r="AF14" s="60">
        <v>1246</v>
      </c>
      <c r="AG14" s="60">
        <v>581</v>
      </c>
      <c r="AH14" s="60"/>
      <c r="AI14" s="60">
        <v>2499</v>
      </c>
      <c r="AJ14" s="60">
        <v>1674</v>
      </c>
      <c r="AK14" s="60">
        <v>3898</v>
      </c>
      <c r="AL14" s="60">
        <v>69</v>
      </c>
      <c r="AM14" s="60">
        <v>1014</v>
      </c>
      <c r="AN14" s="60">
        <v>65</v>
      </c>
      <c r="AO14" s="60">
        <v>14996</v>
      </c>
      <c r="AP14" s="60">
        <v>433</v>
      </c>
      <c r="AQ14" s="60">
        <v>185</v>
      </c>
      <c r="AR14" s="60"/>
      <c r="AS14" s="60">
        <v>52</v>
      </c>
      <c r="AT14" s="60">
        <v>2</v>
      </c>
      <c r="AU14" s="60"/>
      <c r="AV14" s="60"/>
      <c r="AW14" s="60"/>
      <c r="AX14" s="60"/>
      <c r="AY14" s="60">
        <v>585</v>
      </c>
      <c r="AZ14" s="60">
        <v>1</v>
      </c>
      <c r="BA14" s="60">
        <v>22949</v>
      </c>
      <c r="BB14" s="60">
        <v>8</v>
      </c>
      <c r="BC14" s="60"/>
      <c r="BD14" s="60"/>
      <c r="BE14" s="60">
        <v>4574</v>
      </c>
      <c r="BF14" s="60">
        <v>3558</v>
      </c>
      <c r="BG14" s="60">
        <v>1659</v>
      </c>
      <c r="BH14" s="60">
        <v>11092</v>
      </c>
      <c r="BI14" s="60">
        <v>3332</v>
      </c>
      <c r="BJ14" s="60">
        <v>649</v>
      </c>
      <c r="BK14" s="60">
        <v>51</v>
      </c>
      <c r="BL14" s="60">
        <v>554</v>
      </c>
      <c r="BM14" s="60">
        <v>1</v>
      </c>
      <c r="BN14" s="60">
        <v>1198</v>
      </c>
      <c r="BO14" s="60">
        <v>266</v>
      </c>
      <c r="BP14" s="60">
        <v>1300</v>
      </c>
      <c r="BQ14" s="60">
        <v>521</v>
      </c>
      <c r="BR14" s="60">
        <v>6952</v>
      </c>
      <c r="BS14" s="60">
        <v>964</v>
      </c>
      <c r="BT14" s="60">
        <v>20</v>
      </c>
      <c r="BU14" s="60">
        <v>1498</v>
      </c>
      <c r="BV14" s="60">
        <v>1081</v>
      </c>
      <c r="BW14" s="60">
        <v>34</v>
      </c>
      <c r="BX14" s="60">
        <v>1101</v>
      </c>
      <c r="BY14" s="60">
        <v>2116</v>
      </c>
      <c r="BZ14" s="60">
        <v>800</v>
      </c>
      <c r="CA14" s="60">
        <v>5109</v>
      </c>
      <c r="CB14" s="60"/>
      <c r="CC14" s="60"/>
      <c r="CD14" s="60">
        <v>2149</v>
      </c>
      <c r="CE14" s="60">
        <v>172</v>
      </c>
      <c r="CF14" s="60">
        <v>224</v>
      </c>
      <c r="CG14" s="60">
        <v>10</v>
      </c>
      <c r="CH14" s="60">
        <v>304</v>
      </c>
      <c r="CI14" s="60">
        <v>14</v>
      </c>
      <c r="CJ14" s="60">
        <v>144</v>
      </c>
      <c r="CK14" s="60">
        <v>274</v>
      </c>
      <c r="CL14" s="60">
        <v>16360</v>
      </c>
      <c r="CM14" s="60">
        <v>3250</v>
      </c>
      <c r="CN14" s="60">
        <v>224</v>
      </c>
      <c r="CO14" s="60">
        <v>769</v>
      </c>
      <c r="CP14" s="60">
        <v>129</v>
      </c>
      <c r="CQ14" s="60">
        <v>164</v>
      </c>
      <c r="CR14" s="60">
        <v>28</v>
      </c>
      <c r="CS14" s="60"/>
      <c r="CT14" s="60">
        <v>24215</v>
      </c>
      <c r="CU14" s="60">
        <v>578</v>
      </c>
      <c r="CV14" s="60">
        <v>22286</v>
      </c>
      <c r="CW14" s="60">
        <v>1351</v>
      </c>
      <c r="CX14" s="60">
        <v>2045</v>
      </c>
      <c r="CY14" s="60">
        <v>1717</v>
      </c>
      <c r="CZ14" s="60"/>
      <c r="DA14" s="60"/>
      <c r="DB14" s="60">
        <v>60</v>
      </c>
      <c r="DC14" s="60">
        <v>154</v>
      </c>
      <c r="DD14" s="60">
        <v>191</v>
      </c>
      <c r="DE14" s="60">
        <v>410</v>
      </c>
      <c r="DF14" s="60">
        <v>516</v>
      </c>
      <c r="DG14" s="60">
        <v>609</v>
      </c>
      <c r="DH14" s="60">
        <v>690</v>
      </c>
      <c r="DI14" s="60">
        <v>1029</v>
      </c>
      <c r="DJ14" s="60">
        <v>38</v>
      </c>
      <c r="DK14" s="60">
        <v>65</v>
      </c>
      <c r="DL14" s="60"/>
      <c r="DM14" s="60">
        <v>351</v>
      </c>
      <c r="DN14" s="60">
        <v>170</v>
      </c>
      <c r="DO14" s="60">
        <v>305</v>
      </c>
      <c r="DP14" s="60">
        <v>103</v>
      </c>
      <c r="DQ14" s="60">
        <v>10</v>
      </c>
      <c r="DR14" s="60">
        <v>2815</v>
      </c>
      <c r="DS14" s="60">
        <v>8</v>
      </c>
      <c r="DT14" s="60">
        <v>145</v>
      </c>
      <c r="DU14" s="60">
        <v>35</v>
      </c>
      <c r="DV14" s="60">
        <v>184</v>
      </c>
      <c r="DW14" s="60">
        <v>394</v>
      </c>
      <c r="DX14" s="60">
        <v>54</v>
      </c>
      <c r="DY14" s="60">
        <v>47</v>
      </c>
      <c r="DZ14" s="60">
        <v>46</v>
      </c>
      <c r="EA14" s="60">
        <v>2198</v>
      </c>
      <c r="EB14" s="60">
        <v>627</v>
      </c>
      <c r="EC14" s="60">
        <v>32</v>
      </c>
      <c r="ED14" s="60">
        <v>0</v>
      </c>
      <c r="EE14" s="60">
        <v>0</v>
      </c>
      <c r="EF14" s="60">
        <v>0</v>
      </c>
      <c r="EG14" s="60">
        <v>0</v>
      </c>
      <c r="EH14" s="60">
        <v>0</v>
      </c>
      <c r="EI14" s="60">
        <v>401</v>
      </c>
      <c r="EJ14" s="60">
        <v>2025</v>
      </c>
      <c r="EK14" s="60">
        <v>153</v>
      </c>
      <c r="EL14" s="60">
        <v>1024</v>
      </c>
      <c r="EM14" s="60">
        <v>159</v>
      </c>
      <c r="EN14" s="60">
        <v>38</v>
      </c>
      <c r="EO14" s="60">
        <v>55</v>
      </c>
      <c r="EP14" s="60">
        <v>772</v>
      </c>
      <c r="EQ14" s="60"/>
      <c r="ER14" s="60">
        <v>667</v>
      </c>
      <c r="ES14" s="60">
        <v>122</v>
      </c>
      <c r="ET14" s="60">
        <v>177</v>
      </c>
      <c r="EU14" s="60">
        <v>329</v>
      </c>
      <c r="EV14" s="60">
        <v>320</v>
      </c>
      <c r="EW14" s="60">
        <v>78</v>
      </c>
      <c r="EX14" s="60">
        <v>83</v>
      </c>
      <c r="EY14" s="60">
        <v>120</v>
      </c>
      <c r="EZ14" s="60">
        <v>1</v>
      </c>
      <c r="FA14" s="60">
        <v>47</v>
      </c>
      <c r="FB14" s="60">
        <v>630</v>
      </c>
      <c r="FC14" s="60">
        <v>117</v>
      </c>
      <c r="FD14" s="60">
        <v>194</v>
      </c>
      <c r="FE14" s="60"/>
      <c r="FF14" s="60">
        <v>12</v>
      </c>
      <c r="FG14" s="60"/>
      <c r="FH14" s="60">
        <v>179</v>
      </c>
      <c r="FI14" s="60">
        <v>36</v>
      </c>
      <c r="FJ14" s="60">
        <v>410</v>
      </c>
      <c r="FK14" s="60">
        <v>1</v>
      </c>
      <c r="FL14" s="60">
        <v>10</v>
      </c>
      <c r="FM14" s="60">
        <v>239</v>
      </c>
      <c r="FN14" s="60">
        <v>12</v>
      </c>
      <c r="FO14" s="60">
        <v>2755</v>
      </c>
      <c r="FP14" s="60">
        <v>53</v>
      </c>
      <c r="FQ14" s="60">
        <v>12</v>
      </c>
      <c r="FR14" s="60">
        <v>13</v>
      </c>
      <c r="FS14" s="60">
        <v>22</v>
      </c>
      <c r="FT14" s="60">
        <v>10</v>
      </c>
      <c r="FU14" s="60">
        <v>8</v>
      </c>
      <c r="FV14" s="60">
        <v>2</v>
      </c>
      <c r="FW14" s="60"/>
      <c r="FX14" s="60">
        <v>3762</v>
      </c>
      <c r="FY14" s="60">
        <v>163</v>
      </c>
      <c r="FZ14" s="60">
        <v>3479</v>
      </c>
      <c r="GA14" s="60">
        <v>120</v>
      </c>
      <c r="GB14" s="60">
        <v>2011</v>
      </c>
    </row>
    <row r="15" spans="1:184" x14ac:dyDescent="0.3">
      <c r="A15" s="60">
        <v>106034002</v>
      </c>
      <c r="B15" s="61" t="s">
        <v>170</v>
      </c>
      <c r="C15" s="61" t="s">
        <v>171</v>
      </c>
      <c r="D15" s="61" t="s">
        <v>172</v>
      </c>
      <c r="E15" s="61" t="s">
        <v>173</v>
      </c>
      <c r="F15" s="60">
        <v>95642</v>
      </c>
      <c r="G15" s="61"/>
      <c r="H15" s="61" t="s">
        <v>1669</v>
      </c>
      <c r="I15" s="60">
        <v>10</v>
      </c>
      <c r="J15" s="60">
        <v>1</v>
      </c>
      <c r="K15" s="61" t="s">
        <v>1699</v>
      </c>
      <c r="L15" s="61"/>
      <c r="M15" s="61" t="s">
        <v>1700</v>
      </c>
      <c r="N15" s="61" t="s">
        <v>1701</v>
      </c>
      <c r="O15" s="61" t="s">
        <v>1673</v>
      </c>
      <c r="P15" s="61" t="s">
        <v>1678</v>
      </c>
      <c r="Q15" s="61" t="s">
        <v>1674</v>
      </c>
      <c r="R15" s="60">
        <v>52</v>
      </c>
      <c r="S15" s="61" t="s">
        <v>1675</v>
      </c>
      <c r="T15" s="60">
        <v>8728</v>
      </c>
      <c r="U15" s="60">
        <v>7181</v>
      </c>
      <c r="V15" s="60"/>
      <c r="W15" s="60"/>
      <c r="X15" s="60">
        <v>1599</v>
      </c>
      <c r="Y15" s="60">
        <v>1637</v>
      </c>
      <c r="Z15" s="60">
        <v>2322</v>
      </c>
      <c r="AA15" s="60">
        <v>1929</v>
      </c>
      <c r="AB15" s="60">
        <v>2041</v>
      </c>
      <c r="AC15" s="60">
        <v>2223</v>
      </c>
      <c r="AD15" s="60">
        <v>1533</v>
      </c>
      <c r="AE15" s="60">
        <v>1117</v>
      </c>
      <c r="AF15" s="60">
        <v>1225</v>
      </c>
      <c r="AG15" s="60">
        <v>283</v>
      </c>
      <c r="AH15" s="60"/>
      <c r="AI15" s="60">
        <v>81</v>
      </c>
      <c r="AJ15" s="60">
        <v>92</v>
      </c>
      <c r="AK15" s="60">
        <v>585</v>
      </c>
      <c r="AL15" s="60">
        <v>91</v>
      </c>
      <c r="AM15" s="60">
        <v>23</v>
      </c>
      <c r="AN15" s="60">
        <v>4</v>
      </c>
      <c r="AO15" s="60">
        <v>15033</v>
      </c>
      <c r="AP15" s="60">
        <v>612</v>
      </c>
      <c r="AQ15" s="60">
        <v>73</v>
      </c>
      <c r="AR15" s="60"/>
      <c r="AS15" s="60">
        <v>30</v>
      </c>
      <c r="AT15" s="60"/>
      <c r="AU15" s="60"/>
      <c r="AV15" s="60"/>
      <c r="AW15" s="60">
        <v>10</v>
      </c>
      <c r="AX15" s="60">
        <v>184</v>
      </c>
      <c r="AY15" s="60">
        <v>51</v>
      </c>
      <c r="AZ15" s="60"/>
      <c r="BA15" s="60">
        <v>14949</v>
      </c>
      <c r="BB15" s="60"/>
      <c r="BC15" s="60"/>
      <c r="BD15" s="60"/>
      <c r="BE15" s="60">
        <v>5094</v>
      </c>
      <c r="BF15" s="60">
        <v>3518</v>
      </c>
      <c r="BG15" s="60">
        <v>724</v>
      </c>
      <c r="BH15" s="60">
        <v>4575</v>
      </c>
      <c r="BI15" s="60">
        <v>1998</v>
      </c>
      <c r="BJ15" s="60">
        <v>221</v>
      </c>
      <c r="BK15" s="60">
        <v>30</v>
      </c>
      <c r="BL15" s="60">
        <v>522</v>
      </c>
      <c r="BM15" s="60">
        <v>3</v>
      </c>
      <c r="BN15" s="60">
        <v>1150</v>
      </c>
      <c r="BO15" s="60">
        <v>337</v>
      </c>
      <c r="BP15" s="60">
        <v>1004</v>
      </c>
      <c r="BQ15" s="60">
        <v>289</v>
      </c>
      <c r="BR15" s="60">
        <v>4287</v>
      </c>
      <c r="BS15" s="60">
        <v>807</v>
      </c>
      <c r="BT15" s="60">
        <v>29</v>
      </c>
      <c r="BU15" s="60">
        <v>1114</v>
      </c>
      <c r="BV15" s="60">
        <v>563</v>
      </c>
      <c r="BW15" s="60">
        <v>9</v>
      </c>
      <c r="BX15" s="60">
        <v>425</v>
      </c>
      <c r="BY15" s="60">
        <v>1938</v>
      </c>
      <c r="BZ15" s="60">
        <v>875</v>
      </c>
      <c r="CA15" s="60">
        <v>2306</v>
      </c>
      <c r="CB15" s="60"/>
      <c r="CC15" s="60"/>
      <c r="CD15" s="60">
        <v>1373</v>
      </c>
      <c r="CE15" s="60">
        <v>171</v>
      </c>
      <c r="CF15" s="60">
        <v>95</v>
      </c>
      <c r="CG15" s="60">
        <v>16</v>
      </c>
      <c r="CH15" s="60">
        <v>75</v>
      </c>
      <c r="CI15" s="60">
        <v>2</v>
      </c>
      <c r="CJ15" s="60">
        <v>57</v>
      </c>
      <c r="CK15" s="60">
        <v>428</v>
      </c>
      <c r="CL15" s="60">
        <v>10958</v>
      </c>
      <c r="CM15" s="60">
        <v>2116</v>
      </c>
      <c r="CN15" s="60">
        <v>64</v>
      </c>
      <c r="CO15" s="60">
        <v>384</v>
      </c>
      <c r="CP15" s="60">
        <v>42</v>
      </c>
      <c r="CQ15" s="60">
        <v>107</v>
      </c>
      <c r="CR15" s="60">
        <v>21</v>
      </c>
      <c r="CS15" s="60"/>
      <c r="CT15" s="60">
        <v>15909</v>
      </c>
      <c r="CU15" s="60">
        <v>61</v>
      </c>
      <c r="CV15" s="60">
        <v>15663</v>
      </c>
      <c r="CW15" s="60">
        <v>185</v>
      </c>
      <c r="CX15" s="60">
        <v>837</v>
      </c>
      <c r="CY15" s="60">
        <v>690</v>
      </c>
      <c r="CZ15" s="60"/>
      <c r="DA15" s="60"/>
      <c r="DB15" s="60">
        <v>19</v>
      </c>
      <c r="DC15" s="60">
        <v>48</v>
      </c>
      <c r="DD15" s="60">
        <v>58</v>
      </c>
      <c r="DE15" s="60">
        <v>112</v>
      </c>
      <c r="DF15" s="60">
        <v>277</v>
      </c>
      <c r="DG15" s="60">
        <v>242</v>
      </c>
      <c r="DH15" s="60">
        <v>314</v>
      </c>
      <c r="DI15" s="60">
        <v>449</v>
      </c>
      <c r="DJ15" s="60">
        <v>1</v>
      </c>
      <c r="DK15" s="60">
        <v>7</v>
      </c>
      <c r="DL15" s="60"/>
      <c r="DM15" s="60">
        <v>2</v>
      </c>
      <c r="DN15" s="60">
        <v>7</v>
      </c>
      <c r="DO15" s="60">
        <v>26</v>
      </c>
      <c r="DP15" s="60">
        <v>4</v>
      </c>
      <c r="DQ15" s="60"/>
      <c r="DR15" s="60">
        <v>1478</v>
      </c>
      <c r="DS15" s="60">
        <v>10</v>
      </c>
      <c r="DT15" s="60">
        <v>147</v>
      </c>
      <c r="DU15" s="60">
        <v>20</v>
      </c>
      <c r="DV15" s="60">
        <v>53</v>
      </c>
      <c r="DW15" s="60">
        <v>169</v>
      </c>
      <c r="DX15" s="60">
        <v>6</v>
      </c>
      <c r="DY15" s="60">
        <v>9</v>
      </c>
      <c r="DZ15" s="60">
        <v>34</v>
      </c>
      <c r="EA15" s="60">
        <v>871</v>
      </c>
      <c r="EB15" s="60">
        <v>196</v>
      </c>
      <c r="EC15" s="60">
        <v>22</v>
      </c>
      <c r="ED15" s="60">
        <v>0</v>
      </c>
      <c r="EE15" s="60">
        <v>0</v>
      </c>
      <c r="EF15" s="60">
        <v>0</v>
      </c>
      <c r="EG15" s="60">
        <v>0</v>
      </c>
      <c r="EH15" s="60">
        <v>0</v>
      </c>
      <c r="EI15" s="60">
        <v>172</v>
      </c>
      <c r="EJ15" s="60">
        <v>997</v>
      </c>
      <c r="EK15" s="60">
        <v>45</v>
      </c>
      <c r="EL15" s="60">
        <v>184</v>
      </c>
      <c r="EM15" s="60">
        <v>129</v>
      </c>
      <c r="EN15" s="60">
        <v>9</v>
      </c>
      <c r="EO15" s="60">
        <v>14</v>
      </c>
      <c r="EP15" s="60">
        <v>305</v>
      </c>
      <c r="EQ15" s="60"/>
      <c r="ER15" s="60">
        <v>279</v>
      </c>
      <c r="ES15" s="60">
        <v>29</v>
      </c>
      <c r="ET15" s="60">
        <v>107</v>
      </c>
      <c r="EU15" s="60">
        <v>208</v>
      </c>
      <c r="EV15" s="60">
        <v>179</v>
      </c>
      <c r="EW15" s="60">
        <v>16</v>
      </c>
      <c r="EX15" s="60">
        <v>16</v>
      </c>
      <c r="EY15" s="60">
        <v>47</v>
      </c>
      <c r="EZ15" s="60"/>
      <c r="FA15" s="60">
        <v>18</v>
      </c>
      <c r="FB15" s="60">
        <v>207</v>
      </c>
      <c r="FC15" s="60">
        <v>42</v>
      </c>
      <c r="FD15" s="60">
        <v>50</v>
      </c>
      <c r="FE15" s="60"/>
      <c r="FF15" s="60">
        <v>1</v>
      </c>
      <c r="FG15" s="60"/>
      <c r="FH15" s="60">
        <v>169</v>
      </c>
      <c r="FI15" s="60">
        <v>33</v>
      </c>
      <c r="FJ15" s="60">
        <v>31</v>
      </c>
      <c r="FK15" s="60">
        <v>2</v>
      </c>
      <c r="FL15" s="60"/>
      <c r="FM15" s="60">
        <v>28</v>
      </c>
      <c r="FN15" s="60">
        <v>6</v>
      </c>
      <c r="FO15" s="60">
        <v>1215</v>
      </c>
      <c r="FP15" s="60">
        <v>11</v>
      </c>
      <c r="FQ15" s="60"/>
      <c r="FR15" s="60">
        <v>5</v>
      </c>
      <c r="FS15" s="60">
        <v>13</v>
      </c>
      <c r="FT15" s="60">
        <v>12</v>
      </c>
      <c r="FU15" s="60"/>
      <c r="FV15" s="60">
        <v>2</v>
      </c>
      <c r="FW15" s="60"/>
      <c r="FX15" s="60">
        <v>1527</v>
      </c>
      <c r="FY15" s="60"/>
      <c r="FZ15" s="60">
        <v>1524</v>
      </c>
      <c r="GA15" s="60">
        <v>3</v>
      </c>
      <c r="GB15" s="60">
        <v>2011</v>
      </c>
    </row>
    <row r="16" spans="1:184" x14ac:dyDescent="0.3">
      <c r="A16" s="60">
        <v>106040802</v>
      </c>
      <c r="B16" s="61" t="s">
        <v>174</v>
      </c>
      <c r="C16" s="61" t="s">
        <v>1702</v>
      </c>
      <c r="D16" s="61" t="s">
        <v>175</v>
      </c>
      <c r="E16" s="61" t="s">
        <v>176</v>
      </c>
      <c r="F16" s="60">
        <v>95948</v>
      </c>
      <c r="G16" s="61" t="s">
        <v>177</v>
      </c>
      <c r="H16" s="61" t="s">
        <v>1669</v>
      </c>
      <c r="I16" s="60">
        <v>3</v>
      </c>
      <c r="J16" s="60">
        <v>4</v>
      </c>
      <c r="K16" s="61" t="s">
        <v>1703</v>
      </c>
      <c r="L16" s="61"/>
      <c r="M16" s="61" t="s">
        <v>1704</v>
      </c>
      <c r="N16" s="61" t="s">
        <v>1705</v>
      </c>
      <c r="O16" s="61" t="s">
        <v>1673</v>
      </c>
      <c r="P16" s="61" t="s">
        <v>1678</v>
      </c>
      <c r="Q16" s="61" t="s">
        <v>1674</v>
      </c>
      <c r="R16" s="60">
        <v>24</v>
      </c>
      <c r="S16" s="61" t="s">
        <v>1706</v>
      </c>
      <c r="T16" s="60">
        <v>3641</v>
      </c>
      <c r="U16" s="60">
        <v>3090</v>
      </c>
      <c r="V16" s="60"/>
      <c r="W16" s="60"/>
      <c r="X16" s="60">
        <v>1012</v>
      </c>
      <c r="Y16" s="60">
        <v>797</v>
      </c>
      <c r="Z16" s="60">
        <v>933</v>
      </c>
      <c r="AA16" s="60">
        <v>801</v>
      </c>
      <c r="AB16" s="60">
        <v>811</v>
      </c>
      <c r="AC16" s="60">
        <v>706</v>
      </c>
      <c r="AD16" s="60">
        <v>517</v>
      </c>
      <c r="AE16" s="60">
        <v>494</v>
      </c>
      <c r="AF16" s="60">
        <v>515</v>
      </c>
      <c r="AG16" s="60">
        <v>145</v>
      </c>
      <c r="AH16" s="60"/>
      <c r="AI16" s="60">
        <v>30</v>
      </c>
      <c r="AJ16" s="60">
        <v>50</v>
      </c>
      <c r="AK16" s="60">
        <v>1602</v>
      </c>
      <c r="AL16" s="60">
        <v>54</v>
      </c>
      <c r="AM16" s="60">
        <v>127</v>
      </c>
      <c r="AN16" s="60">
        <v>1</v>
      </c>
      <c r="AO16" s="60">
        <v>4867</v>
      </c>
      <c r="AP16" s="60"/>
      <c r="AQ16" s="60"/>
      <c r="AR16" s="60"/>
      <c r="AS16" s="60"/>
      <c r="AT16" s="60"/>
      <c r="AU16" s="60"/>
      <c r="AV16" s="60"/>
      <c r="AW16" s="60">
        <v>3</v>
      </c>
      <c r="AX16" s="60"/>
      <c r="AY16" s="60"/>
      <c r="AZ16" s="60"/>
      <c r="BA16" s="60">
        <v>6727</v>
      </c>
      <c r="BB16" s="60"/>
      <c r="BC16" s="60">
        <v>1</v>
      </c>
      <c r="BD16" s="60"/>
      <c r="BE16" s="60">
        <v>2942</v>
      </c>
      <c r="BF16" s="60">
        <v>1806</v>
      </c>
      <c r="BG16" s="60">
        <v>190</v>
      </c>
      <c r="BH16" s="60">
        <v>1081</v>
      </c>
      <c r="BI16" s="60">
        <v>712</v>
      </c>
      <c r="BJ16" s="60">
        <v>30</v>
      </c>
      <c r="BK16" s="60">
        <v>12</v>
      </c>
      <c r="BL16" s="60">
        <v>174</v>
      </c>
      <c r="BM16" s="60">
        <v>2</v>
      </c>
      <c r="BN16" s="60">
        <v>458</v>
      </c>
      <c r="BO16" s="60">
        <v>97</v>
      </c>
      <c r="BP16" s="60">
        <v>435</v>
      </c>
      <c r="BQ16" s="60">
        <v>191</v>
      </c>
      <c r="BR16" s="60">
        <v>1903</v>
      </c>
      <c r="BS16" s="60">
        <v>421</v>
      </c>
      <c r="BT16" s="60">
        <v>16</v>
      </c>
      <c r="BU16" s="60">
        <v>473</v>
      </c>
      <c r="BV16" s="60">
        <v>91</v>
      </c>
      <c r="BW16" s="60">
        <v>2</v>
      </c>
      <c r="BX16" s="60">
        <v>184</v>
      </c>
      <c r="BY16" s="60">
        <v>839</v>
      </c>
      <c r="BZ16" s="60">
        <v>315</v>
      </c>
      <c r="CA16" s="60">
        <v>1088</v>
      </c>
      <c r="CB16" s="60"/>
      <c r="CC16" s="60"/>
      <c r="CD16" s="60">
        <v>511</v>
      </c>
      <c r="CE16" s="60">
        <v>13</v>
      </c>
      <c r="CF16" s="60">
        <v>22</v>
      </c>
      <c r="CG16" s="60">
        <v>7</v>
      </c>
      <c r="CH16" s="60">
        <v>36</v>
      </c>
      <c r="CI16" s="60"/>
      <c r="CJ16" s="60">
        <v>26</v>
      </c>
      <c r="CK16" s="60">
        <v>115</v>
      </c>
      <c r="CL16" s="60">
        <v>4881</v>
      </c>
      <c r="CM16" s="60">
        <v>910</v>
      </c>
      <c r="CN16" s="60">
        <v>37</v>
      </c>
      <c r="CO16" s="60">
        <v>118</v>
      </c>
      <c r="CP16" s="60">
        <v>13</v>
      </c>
      <c r="CQ16" s="60">
        <v>36</v>
      </c>
      <c r="CR16" s="60">
        <v>6</v>
      </c>
      <c r="CS16" s="60"/>
      <c r="CT16" s="60">
        <v>6731</v>
      </c>
      <c r="CU16" s="60">
        <v>71</v>
      </c>
      <c r="CV16" s="60">
        <v>5517</v>
      </c>
      <c r="CW16" s="60">
        <v>1143</v>
      </c>
      <c r="CX16" s="60">
        <v>348</v>
      </c>
      <c r="CY16" s="60">
        <v>307</v>
      </c>
      <c r="CZ16" s="60"/>
      <c r="DA16" s="60"/>
      <c r="DB16" s="60">
        <v>11</v>
      </c>
      <c r="DC16" s="60">
        <v>37</v>
      </c>
      <c r="DD16" s="60">
        <v>36</v>
      </c>
      <c r="DE16" s="60">
        <v>74</v>
      </c>
      <c r="DF16" s="60">
        <v>105</v>
      </c>
      <c r="DG16" s="60">
        <v>91</v>
      </c>
      <c r="DH16" s="60">
        <v>134</v>
      </c>
      <c r="DI16" s="60">
        <v>165</v>
      </c>
      <c r="DJ16" s="60"/>
      <c r="DK16" s="60">
        <v>2</v>
      </c>
      <c r="DL16" s="60"/>
      <c r="DM16" s="60">
        <v>14</v>
      </c>
      <c r="DN16" s="60">
        <v>1</v>
      </c>
      <c r="DO16" s="60">
        <v>94</v>
      </c>
      <c r="DP16" s="60"/>
      <c r="DQ16" s="60"/>
      <c r="DR16" s="60">
        <v>546</v>
      </c>
      <c r="DS16" s="60"/>
      <c r="DT16" s="60">
        <v>38</v>
      </c>
      <c r="DU16" s="60">
        <v>8</v>
      </c>
      <c r="DV16" s="60">
        <v>7</v>
      </c>
      <c r="DW16" s="60">
        <v>7</v>
      </c>
      <c r="DX16" s="60">
        <v>7</v>
      </c>
      <c r="DY16" s="60"/>
      <c r="DZ16" s="60">
        <v>1</v>
      </c>
      <c r="EA16" s="60">
        <v>512</v>
      </c>
      <c r="EB16" s="60">
        <v>75</v>
      </c>
      <c r="EC16" s="60"/>
      <c r="ED16" s="60">
        <v>0</v>
      </c>
      <c r="EE16" s="60">
        <v>0</v>
      </c>
      <c r="EF16" s="60">
        <v>0</v>
      </c>
      <c r="EG16" s="60">
        <v>0</v>
      </c>
      <c r="EH16" s="60">
        <v>0</v>
      </c>
      <c r="EI16" s="60">
        <v>95</v>
      </c>
      <c r="EJ16" s="60">
        <v>384</v>
      </c>
      <c r="EK16" s="60">
        <v>5</v>
      </c>
      <c r="EL16" s="60">
        <v>67</v>
      </c>
      <c r="EM16" s="60">
        <v>104</v>
      </c>
      <c r="EN16" s="60">
        <v>1</v>
      </c>
      <c r="EO16" s="60">
        <v>10</v>
      </c>
      <c r="EP16" s="60">
        <v>86</v>
      </c>
      <c r="EQ16" s="60"/>
      <c r="ER16" s="60">
        <v>146</v>
      </c>
      <c r="ES16" s="60">
        <v>37</v>
      </c>
      <c r="ET16" s="60">
        <v>51</v>
      </c>
      <c r="EU16" s="60">
        <v>20</v>
      </c>
      <c r="EV16" s="60">
        <v>57</v>
      </c>
      <c r="EW16" s="60">
        <v>8</v>
      </c>
      <c r="EX16" s="60">
        <v>12</v>
      </c>
      <c r="EY16" s="60">
        <v>15</v>
      </c>
      <c r="EZ16" s="60"/>
      <c r="FA16" s="60">
        <v>18</v>
      </c>
      <c r="FB16" s="60">
        <v>91</v>
      </c>
      <c r="FC16" s="60">
        <v>27</v>
      </c>
      <c r="FD16" s="60">
        <v>76</v>
      </c>
      <c r="FE16" s="60"/>
      <c r="FF16" s="60"/>
      <c r="FG16" s="60"/>
      <c r="FH16" s="60">
        <v>34</v>
      </c>
      <c r="FI16" s="60">
        <v>5</v>
      </c>
      <c r="FJ16" s="60">
        <v>5</v>
      </c>
      <c r="FK16" s="60"/>
      <c r="FL16" s="60"/>
      <c r="FM16" s="60">
        <v>1</v>
      </c>
      <c r="FN16" s="60">
        <v>3</v>
      </c>
      <c r="FO16" s="60">
        <v>594</v>
      </c>
      <c r="FP16" s="60">
        <v>6</v>
      </c>
      <c r="FQ16" s="60"/>
      <c r="FR16" s="60">
        <v>2</v>
      </c>
      <c r="FS16" s="60">
        <v>4</v>
      </c>
      <c r="FT16" s="60">
        <v>1</v>
      </c>
      <c r="FU16" s="60"/>
      <c r="FV16" s="60"/>
      <c r="FW16" s="60"/>
      <c r="FX16" s="60">
        <v>655</v>
      </c>
      <c r="FY16" s="60">
        <v>10</v>
      </c>
      <c r="FZ16" s="60">
        <v>578</v>
      </c>
      <c r="GA16" s="60">
        <v>67</v>
      </c>
      <c r="GB16" s="60">
        <v>2011</v>
      </c>
    </row>
    <row r="17" spans="1:184" x14ac:dyDescent="0.3">
      <c r="A17" s="60">
        <v>106040875</v>
      </c>
      <c r="B17" s="61" t="s">
        <v>178</v>
      </c>
      <c r="C17" s="61" t="s">
        <v>179</v>
      </c>
      <c r="D17" s="61" t="s">
        <v>180</v>
      </c>
      <c r="E17" s="61" t="s">
        <v>181</v>
      </c>
      <c r="F17" s="60">
        <v>95969</v>
      </c>
      <c r="G17" s="61"/>
      <c r="H17" s="61" t="s">
        <v>1669</v>
      </c>
      <c r="I17" s="60">
        <v>3</v>
      </c>
      <c r="J17" s="60">
        <v>4</v>
      </c>
      <c r="K17" s="61" t="s">
        <v>1707</v>
      </c>
      <c r="L17" s="61"/>
      <c r="M17" s="61" t="s">
        <v>1704</v>
      </c>
      <c r="N17" s="61" t="s">
        <v>1705</v>
      </c>
      <c r="O17" s="61" t="s">
        <v>1673</v>
      </c>
      <c r="P17" s="61" t="s">
        <v>1678</v>
      </c>
      <c r="Q17" s="61" t="s">
        <v>1674</v>
      </c>
      <c r="R17" s="60">
        <v>100</v>
      </c>
      <c r="S17" s="61" t="s">
        <v>1675</v>
      </c>
      <c r="T17" s="60">
        <v>9590</v>
      </c>
      <c r="U17" s="60">
        <v>7230</v>
      </c>
      <c r="V17" s="60">
        <v>3</v>
      </c>
      <c r="W17" s="60"/>
      <c r="X17" s="60">
        <v>1727</v>
      </c>
      <c r="Y17" s="60">
        <v>1531</v>
      </c>
      <c r="Z17" s="60">
        <v>2537</v>
      </c>
      <c r="AA17" s="60">
        <v>1879</v>
      </c>
      <c r="AB17" s="60">
        <v>2117</v>
      </c>
      <c r="AC17" s="60">
        <v>2266</v>
      </c>
      <c r="AD17" s="60">
        <v>1570</v>
      </c>
      <c r="AE17" s="60">
        <v>1234</v>
      </c>
      <c r="AF17" s="60">
        <v>1525</v>
      </c>
      <c r="AG17" s="60">
        <v>437</v>
      </c>
      <c r="AH17" s="60"/>
      <c r="AI17" s="60">
        <v>71</v>
      </c>
      <c r="AJ17" s="60">
        <v>102</v>
      </c>
      <c r="AK17" s="60">
        <v>438</v>
      </c>
      <c r="AL17" s="60"/>
      <c r="AM17" s="60">
        <v>10</v>
      </c>
      <c r="AN17" s="60">
        <v>139</v>
      </c>
      <c r="AO17" s="60">
        <v>16063</v>
      </c>
      <c r="AP17" s="60">
        <v>269</v>
      </c>
      <c r="AQ17" s="60">
        <v>254</v>
      </c>
      <c r="AR17" s="60">
        <v>217</v>
      </c>
      <c r="AS17" s="60">
        <v>31</v>
      </c>
      <c r="AT17" s="60">
        <v>9</v>
      </c>
      <c r="AU17" s="60">
        <v>34</v>
      </c>
      <c r="AV17" s="60"/>
      <c r="AW17" s="60">
        <v>3</v>
      </c>
      <c r="AX17" s="60">
        <v>130</v>
      </c>
      <c r="AY17" s="60"/>
      <c r="AZ17" s="60">
        <v>3</v>
      </c>
      <c r="BA17" s="60">
        <v>15817</v>
      </c>
      <c r="BB17" s="60">
        <v>56</v>
      </c>
      <c r="BC17" s="60"/>
      <c r="BD17" s="60"/>
      <c r="BE17" s="60">
        <v>6703</v>
      </c>
      <c r="BF17" s="60">
        <v>4817</v>
      </c>
      <c r="BG17" s="60">
        <v>385</v>
      </c>
      <c r="BH17" s="60">
        <v>3282</v>
      </c>
      <c r="BI17" s="60">
        <v>1636</v>
      </c>
      <c r="BJ17" s="60">
        <v>268</v>
      </c>
      <c r="BK17" s="60">
        <v>29</v>
      </c>
      <c r="BL17" s="60">
        <v>549</v>
      </c>
      <c r="BM17" s="60">
        <v>2</v>
      </c>
      <c r="BN17" s="60">
        <v>1025</v>
      </c>
      <c r="BO17" s="60">
        <v>203</v>
      </c>
      <c r="BP17" s="60">
        <v>871</v>
      </c>
      <c r="BQ17" s="60">
        <v>309</v>
      </c>
      <c r="BR17" s="60">
        <v>3900</v>
      </c>
      <c r="BS17" s="60">
        <v>1106</v>
      </c>
      <c r="BT17" s="60">
        <v>17</v>
      </c>
      <c r="BU17" s="60">
        <v>1049</v>
      </c>
      <c r="BV17" s="60">
        <v>627</v>
      </c>
      <c r="BW17" s="60">
        <v>18</v>
      </c>
      <c r="BX17" s="60">
        <v>486</v>
      </c>
      <c r="BY17" s="60">
        <v>1658</v>
      </c>
      <c r="BZ17" s="60">
        <v>864</v>
      </c>
      <c r="CA17" s="60">
        <v>3842</v>
      </c>
      <c r="CB17" s="60"/>
      <c r="CC17" s="60"/>
      <c r="CD17" s="60">
        <v>1351</v>
      </c>
      <c r="CE17" s="60">
        <v>93</v>
      </c>
      <c r="CF17" s="60">
        <v>160</v>
      </c>
      <c r="CG17" s="60">
        <v>12</v>
      </c>
      <c r="CH17" s="60">
        <v>139</v>
      </c>
      <c r="CI17" s="60">
        <v>8</v>
      </c>
      <c r="CJ17" s="60">
        <v>26</v>
      </c>
      <c r="CK17" s="60">
        <v>223</v>
      </c>
      <c r="CL17" s="60">
        <v>12648</v>
      </c>
      <c r="CM17" s="60">
        <v>1573</v>
      </c>
      <c r="CN17" s="60">
        <v>99</v>
      </c>
      <c r="CO17" s="60">
        <v>357</v>
      </c>
      <c r="CP17" s="60">
        <v>60</v>
      </c>
      <c r="CQ17" s="60">
        <v>70</v>
      </c>
      <c r="CR17" s="60">
        <v>4</v>
      </c>
      <c r="CS17" s="60"/>
      <c r="CT17" s="60">
        <v>16823</v>
      </c>
      <c r="CU17" s="60">
        <v>4</v>
      </c>
      <c r="CV17" s="60">
        <v>16794</v>
      </c>
      <c r="CW17" s="60">
        <v>25</v>
      </c>
      <c r="CX17" s="60">
        <v>1865</v>
      </c>
      <c r="CY17" s="60">
        <v>1571</v>
      </c>
      <c r="CZ17" s="60"/>
      <c r="DA17" s="60"/>
      <c r="DB17" s="60">
        <v>46</v>
      </c>
      <c r="DC17" s="60">
        <v>143</v>
      </c>
      <c r="DD17" s="60">
        <v>143</v>
      </c>
      <c r="DE17" s="60">
        <v>285</v>
      </c>
      <c r="DF17" s="60">
        <v>498</v>
      </c>
      <c r="DG17" s="60">
        <v>590</v>
      </c>
      <c r="DH17" s="60">
        <v>653</v>
      </c>
      <c r="DI17" s="60">
        <v>1028</v>
      </c>
      <c r="DJ17" s="60">
        <v>20</v>
      </c>
      <c r="DK17" s="60">
        <v>30</v>
      </c>
      <c r="DL17" s="60"/>
      <c r="DM17" s="60">
        <v>10</v>
      </c>
      <c r="DN17" s="60">
        <v>15</v>
      </c>
      <c r="DO17" s="60">
        <v>56</v>
      </c>
      <c r="DP17" s="60"/>
      <c r="DQ17" s="60">
        <v>24</v>
      </c>
      <c r="DR17" s="60">
        <v>3331</v>
      </c>
      <c r="DS17" s="60"/>
      <c r="DT17" s="60">
        <v>139</v>
      </c>
      <c r="DU17" s="60">
        <v>76</v>
      </c>
      <c r="DV17" s="60">
        <v>67</v>
      </c>
      <c r="DW17" s="60">
        <v>432</v>
      </c>
      <c r="DX17" s="60">
        <v>48</v>
      </c>
      <c r="DY17" s="60">
        <v>1</v>
      </c>
      <c r="DZ17" s="60">
        <v>9</v>
      </c>
      <c r="EA17" s="60">
        <v>2135</v>
      </c>
      <c r="EB17" s="60">
        <v>528</v>
      </c>
      <c r="EC17" s="60">
        <v>1</v>
      </c>
      <c r="ED17" s="60">
        <v>0</v>
      </c>
      <c r="EE17" s="60">
        <v>0</v>
      </c>
      <c r="EF17" s="60">
        <v>0</v>
      </c>
      <c r="EG17" s="60">
        <v>0</v>
      </c>
      <c r="EH17" s="60">
        <v>0</v>
      </c>
      <c r="EI17" s="60">
        <v>477</v>
      </c>
      <c r="EJ17" s="60">
        <v>2163</v>
      </c>
      <c r="EK17" s="60">
        <v>54</v>
      </c>
      <c r="EL17" s="60">
        <v>511</v>
      </c>
      <c r="EM17" s="60">
        <v>231</v>
      </c>
      <c r="EN17" s="60">
        <v>19</v>
      </c>
      <c r="EO17" s="60">
        <v>37</v>
      </c>
      <c r="EP17" s="60">
        <v>690</v>
      </c>
      <c r="EQ17" s="60"/>
      <c r="ER17" s="60">
        <v>572</v>
      </c>
      <c r="ES17" s="60">
        <v>112</v>
      </c>
      <c r="ET17" s="60">
        <v>153</v>
      </c>
      <c r="EU17" s="60">
        <v>329</v>
      </c>
      <c r="EV17" s="60">
        <v>407</v>
      </c>
      <c r="EW17" s="60">
        <v>76</v>
      </c>
      <c r="EX17" s="60">
        <v>96</v>
      </c>
      <c r="EY17" s="60">
        <v>56</v>
      </c>
      <c r="EZ17" s="60">
        <v>2</v>
      </c>
      <c r="FA17" s="60">
        <v>39</v>
      </c>
      <c r="FB17" s="60">
        <v>437</v>
      </c>
      <c r="FC17" s="60">
        <v>82</v>
      </c>
      <c r="FD17" s="60">
        <v>329</v>
      </c>
      <c r="FE17" s="60"/>
      <c r="FF17" s="60"/>
      <c r="FG17" s="60"/>
      <c r="FH17" s="60">
        <v>249</v>
      </c>
      <c r="FI17" s="60">
        <v>66</v>
      </c>
      <c r="FJ17" s="60">
        <v>268</v>
      </c>
      <c r="FK17" s="60">
        <v>2</v>
      </c>
      <c r="FL17" s="60">
        <v>1</v>
      </c>
      <c r="FM17" s="60">
        <v>11</v>
      </c>
      <c r="FN17" s="60">
        <v>18</v>
      </c>
      <c r="FO17" s="60">
        <v>2720</v>
      </c>
      <c r="FP17" s="60">
        <v>38</v>
      </c>
      <c r="FQ17" s="60">
        <v>5</v>
      </c>
      <c r="FR17" s="60">
        <v>11</v>
      </c>
      <c r="FS17" s="60">
        <v>28</v>
      </c>
      <c r="FT17" s="60">
        <v>9</v>
      </c>
      <c r="FU17" s="60">
        <v>7</v>
      </c>
      <c r="FV17" s="60">
        <v>3</v>
      </c>
      <c r="FW17" s="60"/>
      <c r="FX17" s="60">
        <v>3436</v>
      </c>
      <c r="FY17" s="60">
        <v>2</v>
      </c>
      <c r="FZ17" s="60">
        <v>3431</v>
      </c>
      <c r="GA17" s="60">
        <v>3</v>
      </c>
      <c r="GB17" s="60">
        <v>2011</v>
      </c>
    </row>
    <row r="18" spans="1:184" x14ac:dyDescent="0.3">
      <c r="A18" s="60">
        <v>106040937</v>
      </c>
      <c r="B18" s="61" t="s">
        <v>182</v>
      </c>
      <c r="C18" s="61" t="s">
        <v>183</v>
      </c>
      <c r="D18" s="61" t="s">
        <v>184</v>
      </c>
      <c r="E18" s="61" t="s">
        <v>185</v>
      </c>
      <c r="F18" s="60">
        <v>95966</v>
      </c>
      <c r="G18" s="61" t="s">
        <v>186</v>
      </c>
      <c r="H18" s="61" t="s">
        <v>1669</v>
      </c>
      <c r="I18" s="60">
        <v>3</v>
      </c>
      <c r="J18" s="60">
        <v>4</v>
      </c>
      <c r="K18" s="61" t="s">
        <v>1708</v>
      </c>
      <c r="L18" s="61"/>
      <c r="M18" s="61" t="s">
        <v>1704</v>
      </c>
      <c r="N18" s="61" t="s">
        <v>1705</v>
      </c>
      <c r="O18" s="61" t="s">
        <v>1673</v>
      </c>
      <c r="P18" s="61" t="s">
        <v>1678</v>
      </c>
      <c r="Q18" s="61" t="s">
        <v>1674</v>
      </c>
      <c r="R18" s="60">
        <v>133</v>
      </c>
      <c r="S18" s="61" t="s">
        <v>1675</v>
      </c>
      <c r="T18" s="60">
        <v>14340</v>
      </c>
      <c r="U18" s="60">
        <v>11984</v>
      </c>
      <c r="V18" s="60"/>
      <c r="W18" s="60"/>
      <c r="X18" s="60">
        <v>2784</v>
      </c>
      <c r="Y18" s="60">
        <v>2682</v>
      </c>
      <c r="Z18" s="60">
        <v>5083</v>
      </c>
      <c r="AA18" s="60">
        <v>3879</v>
      </c>
      <c r="AB18" s="60">
        <v>4123</v>
      </c>
      <c r="AC18" s="60">
        <v>3617</v>
      </c>
      <c r="AD18" s="60">
        <v>1733</v>
      </c>
      <c r="AE18" s="60">
        <v>942</v>
      </c>
      <c r="AF18" s="60">
        <v>855</v>
      </c>
      <c r="AG18" s="60">
        <v>626</v>
      </c>
      <c r="AH18" s="60"/>
      <c r="AI18" s="60">
        <v>662</v>
      </c>
      <c r="AJ18" s="60">
        <v>970</v>
      </c>
      <c r="AK18" s="60">
        <v>1758</v>
      </c>
      <c r="AL18" s="60">
        <v>684</v>
      </c>
      <c r="AM18" s="60">
        <v>324</v>
      </c>
      <c r="AN18" s="60">
        <v>4</v>
      </c>
      <c r="AO18" s="60">
        <v>21922</v>
      </c>
      <c r="AP18" s="60">
        <v>236</v>
      </c>
      <c r="AQ18" s="60">
        <v>711</v>
      </c>
      <c r="AR18" s="60"/>
      <c r="AS18" s="60">
        <v>43</v>
      </c>
      <c r="AT18" s="60">
        <v>4</v>
      </c>
      <c r="AU18" s="60"/>
      <c r="AV18" s="60"/>
      <c r="AW18" s="60"/>
      <c r="AX18" s="60"/>
      <c r="AY18" s="60">
        <v>316</v>
      </c>
      <c r="AZ18" s="60">
        <v>14</v>
      </c>
      <c r="BA18" s="60">
        <v>24956</v>
      </c>
      <c r="BB18" s="60">
        <v>44</v>
      </c>
      <c r="BC18" s="60"/>
      <c r="BD18" s="60"/>
      <c r="BE18" s="60">
        <v>13901</v>
      </c>
      <c r="BF18" s="60">
        <v>4862</v>
      </c>
      <c r="BG18" s="60">
        <v>1042</v>
      </c>
      <c r="BH18" s="60">
        <v>3667</v>
      </c>
      <c r="BI18" s="60">
        <v>2852</v>
      </c>
      <c r="BJ18" s="60">
        <v>529</v>
      </c>
      <c r="BK18" s="60">
        <v>41</v>
      </c>
      <c r="BL18" s="60">
        <v>462</v>
      </c>
      <c r="BM18" s="60">
        <v>7</v>
      </c>
      <c r="BN18" s="60">
        <v>1474</v>
      </c>
      <c r="BO18" s="60">
        <v>333</v>
      </c>
      <c r="BP18" s="60">
        <v>1355</v>
      </c>
      <c r="BQ18" s="60">
        <v>461</v>
      </c>
      <c r="BR18" s="60">
        <v>6065</v>
      </c>
      <c r="BS18" s="60">
        <v>1772</v>
      </c>
      <c r="BT18" s="60">
        <v>25</v>
      </c>
      <c r="BU18" s="60">
        <v>3042</v>
      </c>
      <c r="BV18" s="60">
        <v>628</v>
      </c>
      <c r="BW18" s="60">
        <v>34</v>
      </c>
      <c r="BX18" s="60">
        <v>1134</v>
      </c>
      <c r="BY18" s="60">
        <v>2678</v>
      </c>
      <c r="BZ18" s="60">
        <v>1603</v>
      </c>
      <c r="CA18" s="60">
        <v>4681</v>
      </c>
      <c r="CB18" s="60"/>
      <c r="CC18" s="60"/>
      <c r="CD18" s="60">
        <v>1961</v>
      </c>
      <c r="CE18" s="60">
        <v>124</v>
      </c>
      <c r="CF18" s="60">
        <v>208</v>
      </c>
      <c r="CG18" s="60">
        <v>55</v>
      </c>
      <c r="CH18" s="60">
        <v>362</v>
      </c>
      <c r="CI18" s="60">
        <v>19</v>
      </c>
      <c r="CJ18" s="60">
        <v>318</v>
      </c>
      <c r="CK18" s="60">
        <v>430</v>
      </c>
      <c r="CL18" s="60">
        <v>18934</v>
      </c>
      <c r="CM18" s="60">
        <v>2815</v>
      </c>
      <c r="CN18" s="60">
        <v>200</v>
      </c>
      <c r="CO18" s="60">
        <v>577</v>
      </c>
      <c r="CP18" s="60">
        <v>117</v>
      </c>
      <c r="CQ18" s="60">
        <v>158</v>
      </c>
      <c r="CR18" s="60">
        <v>46</v>
      </c>
      <c r="CS18" s="60"/>
      <c r="CT18" s="60">
        <v>26324</v>
      </c>
      <c r="CU18" s="60">
        <v>340</v>
      </c>
      <c r="CV18" s="60">
        <v>25553</v>
      </c>
      <c r="CW18" s="60">
        <v>431</v>
      </c>
      <c r="CX18" s="60">
        <v>4303</v>
      </c>
      <c r="CY18" s="60">
        <v>3506</v>
      </c>
      <c r="CZ18" s="60"/>
      <c r="DA18" s="60"/>
      <c r="DB18" s="60">
        <v>186</v>
      </c>
      <c r="DC18" s="60">
        <v>557</v>
      </c>
      <c r="DD18" s="60">
        <v>563</v>
      </c>
      <c r="DE18" s="60">
        <v>1080</v>
      </c>
      <c r="DF18" s="60">
        <v>1520</v>
      </c>
      <c r="DG18" s="60">
        <v>1280</v>
      </c>
      <c r="DH18" s="60">
        <v>1149</v>
      </c>
      <c r="DI18" s="60">
        <v>1293</v>
      </c>
      <c r="DJ18" s="60">
        <v>51</v>
      </c>
      <c r="DK18" s="60">
        <v>130</v>
      </c>
      <c r="DL18" s="60"/>
      <c r="DM18" s="60">
        <v>203</v>
      </c>
      <c r="DN18" s="60">
        <v>226</v>
      </c>
      <c r="DO18" s="60">
        <v>386</v>
      </c>
      <c r="DP18" s="60">
        <v>76</v>
      </c>
      <c r="DQ18" s="60">
        <v>5</v>
      </c>
      <c r="DR18" s="60">
        <v>6739</v>
      </c>
      <c r="DS18" s="60">
        <v>174</v>
      </c>
      <c r="DT18" s="60">
        <v>199</v>
      </c>
      <c r="DU18" s="60">
        <v>250</v>
      </c>
      <c r="DV18" s="60">
        <v>99</v>
      </c>
      <c r="DW18" s="60">
        <v>228</v>
      </c>
      <c r="DX18" s="60">
        <v>65</v>
      </c>
      <c r="DY18" s="60">
        <v>1</v>
      </c>
      <c r="DZ18" s="60">
        <v>18</v>
      </c>
      <c r="EA18" s="60">
        <v>5938</v>
      </c>
      <c r="EB18" s="60">
        <v>989</v>
      </c>
      <c r="EC18" s="60">
        <v>22</v>
      </c>
      <c r="ED18" s="60">
        <v>0</v>
      </c>
      <c r="EE18" s="60">
        <v>0</v>
      </c>
      <c r="EF18" s="60">
        <v>0</v>
      </c>
      <c r="EG18" s="60">
        <v>0</v>
      </c>
      <c r="EH18" s="60">
        <v>0</v>
      </c>
      <c r="EI18" s="60">
        <v>2060</v>
      </c>
      <c r="EJ18" s="60">
        <v>3822</v>
      </c>
      <c r="EK18" s="60">
        <v>134</v>
      </c>
      <c r="EL18" s="60">
        <v>888</v>
      </c>
      <c r="EM18" s="60">
        <v>905</v>
      </c>
      <c r="EN18" s="60">
        <v>77</v>
      </c>
      <c r="EO18" s="60">
        <v>88</v>
      </c>
      <c r="EP18" s="60">
        <v>1103</v>
      </c>
      <c r="EQ18" s="60">
        <v>3</v>
      </c>
      <c r="ER18" s="60">
        <v>1130</v>
      </c>
      <c r="ES18" s="60">
        <v>460</v>
      </c>
      <c r="ET18" s="60">
        <v>419</v>
      </c>
      <c r="EU18" s="60">
        <v>732</v>
      </c>
      <c r="EV18" s="60">
        <v>753</v>
      </c>
      <c r="EW18" s="60">
        <v>199</v>
      </c>
      <c r="EX18" s="60">
        <v>92</v>
      </c>
      <c r="EY18" s="60">
        <v>265</v>
      </c>
      <c r="EZ18" s="60">
        <v>10</v>
      </c>
      <c r="FA18" s="60">
        <v>122</v>
      </c>
      <c r="FB18" s="60">
        <v>1174</v>
      </c>
      <c r="FC18" s="60">
        <v>366</v>
      </c>
      <c r="FD18" s="60">
        <v>812</v>
      </c>
      <c r="FE18" s="60"/>
      <c r="FF18" s="60">
        <v>4</v>
      </c>
      <c r="FG18" s="60"/>
      <c r="FH18" s="60">
        <v>314</v>
      </c>
      <c r="FI18" s="60">
        <v>156</v>
      </c>
      <c r="FJ18" s="60">
        <v>506</v>
      </c>
      <c r="FK18" s="60">
        <v>19</v>
      </c>
      <c r="FL18" s="60">
        <v>65</v>
      </c>
      <c r="FM18" s="60">
        <v>264</v>
      </c>
      <c r="FN18" s="60">
        <v>27</v>
      </c>
      <c r="FO18" s="60">
        <v>6145</v>
      </c>
      <c r="FP18" s="60">
        <v>129</v>
      </c>
      <c r="FQ18" s="60">
        <v>18</v>
      </c>
      <c r="FR18" s="60">
        <v>41</v>
      </c>
      <c r="FS18" s="60">
        <v>76</v>
      </c>
      <c r="FT18" s="60">
        <v>11</v>
      </c>
      <c r="FU18" s="60">
        <v>30</v>
      </c>
      <c r="FV18" s="60">
        <v>8</v>
      </c>
      <c r="FW18" s="60"/>
      <c r="FX18" s="60">
        <v>7809</v>
      </c>
      <c r="FY18" s="60">
        <v>151</v>
      </c>
      <c r="FZ18" s="60">
        <v>7539</v>
      </c>
      <c r="GA18" s="60">
        <v>119</v>
      </c>
      <c r="GB18" s="60">
        <v>2011</v>
      </c>
    </row>
    <row r="19" spans="1:184" x14ac:dyDescent="0.3">
      <c r="A19" s="60">
        <v>106040962</v>
      </c>
      <c r="B19" s="61" t="s">
        <v>187</v>
      </c>
      <c r="C19" s="61" t="s">
        <v>1709</v>
      </c>
      <c r="D19" s="61" t="s">
        <v>188</v>
      </c>
      <c r="E19" s="61" t="s">
        <v>189</v>
      </c>
      <c r="F19" s="60">
        <v>95926</v>
      </c>
      <c r="G19" s="61" t="s">
        <v>143</v>
      </c>
      <c r="H19" s="61" t="s">
        <v>1669</v>
      </c>
      <c r="I19" s="60">
        <v>3</v>
      </c>
      <c r="J19" s="60">
        <v>4</v>
      </c>
      <c r="K19" s="61" t="s">
        <v>1710</v>
      </c>
      <c r="L19" s="61"/>
      <c r="M19" s="61" t="s">
        <v>1704</v>
      </c>
      <c r="N19" s="61" t="s">
        <v>1705</v>
      </c>
      <c r="O19" s="61" t="s">
        <v>1673</v>
      </c>
      <c r="P19" s="61" t="s">
        <v>1678</v>
      </c>
      <c r="Q19" s="61" t="s">
        <v>1674</v>
      </c>
      <c r="R19" s="60">
        <v>208</v>
      </c>
      <c r="S19" s="61" t="s">
        <v>1675</v>
      </c>
      <c r="T19" s="60">
        <v>15771</v>
      </c>
      <c r="U19" s="60">
        <v>13997</v>
      </c>
      <c r="V19" s="60">
        <v>2</v>
      </c>
      <c r="W19" s="60"/>
      <c r="X19" s="60">
        <v>2845</v>
      </c>
      <c r="Y19" s="60">
        <v>3218</v>
      </c>
      <c r="Z19" s="60">
        <v>6498</v>
      </c>
      <c r="AA19" s="60">
        <v>3594</v>
      </c>
      <c r="AB19" s="60">
        <v>3719</v>
      </c>
      <c r="AC19" s="60">
        <v>3432</v>
      </c>
      <c r="AD19" s="60">
        <v>2259</v>
      </c>
      <c r="AE19" s="60">
        <v>1423</v>
      </c>
      <c r="AF19" s="60">
        <v>2034</v>
      </c>
      <c r="AG19" s="60">
        <v>748</v>
      </c>
      <c r="AH19" s="60"/>
      <c r="AI19" s="60">
        <v>427</v>
      </c>
      <c r="AJ19" s="60">
        <v>1044</v>
      </c>
      <c r="AK19" s="60">
        <v>4088</v>
      </c>
      <c r="AL19" s="60">
        <v>339</v>
      </c>
      <c r="AM19" s="60">
        <v>1300</v>
      </c>
      <c r="AN19" s="60">
        <v>86</v>
      </c>
      <c r="AO19" s="60">
        <v>22486</v>
      </c>
      <c r="AP19" s="60">
        <v>148</v>
      </c>
      <c r="AQ19" s="60">
        <v>428</v>
      </c>
      <c r="AR19" s="60"/>
      <c r="AS19" s="60">
        <v>76</v>
      </c>
      <c r="AT19" s="60"/>
      <c r="AU19" s="60">
        <v>1</v>
      </c>
      <c r="AV19" s="60">
        <v>2</v>
      </c>
      <c r="AW19" s="60"/>
      <c r="AX19" s="60">
        <v>683</v>
      </c>
      <c r="AY19" s="60">
        <v>410</v>
      </c>
      <c r="AZ19" s="60">
        <v>1</v>
      </c>
      <c r="BA19" s="60">
        <v>27751</v>
      </c>
      <c r="BB19" s="60">
        <v>270</v>
      </c>
      <c r="BC19" s="60"/>
      <c r="BD19" s="60"/>
      <c r="BE19" s="60">
        <v>9100</v>
      </c>
      <c r="BF19" s="60">
        <v>6207</v>
      </c>
      <c r="BG19" s="60">
        <v>2763</v>
      </c>
      <c r="BH19" s="60">
        <v>8198</v>
      </c>
      <c r="BI19" s="60">
        <v>3502</v>
      </c>
      <c r="BJ19" s="60">
        <v>483</v>
      </c>
      <c r="BK19" s="60">
        <v>72</v>
      </c>
      <c r="BL19" s="60">
        <v>844</v>
      </c>
      <c r="BM19" s="60">
        <v>17</v>
      </c>
      <c r="BN19" s="60">
        <v>1709</v>
      </c>
      <c r="BO19" s="60">
        <v>414</v>
      </c>
      <c r="BP19" s="60">
        <v>1475</v>
      </c>
      <c r="BQ19" s="60">
        <v>490</v>
      </c>
      <c r="BR19" s="60">
        <v>7109</v>
      </c>
      <c r="BS19" s="60">
        <v>1516</v>
      </c>
      <c r="BT19" s="60">
        <v>43</v>
      </c>
      <c r="BU19" s="60">
        <v>1595</v>
      </c>
      <c r="BV19" s="60">
        <v>1073</v>
      </c>
      <c r="BW19" s="60">
        <v>43</v>
      </c>
      <c r="BX19" s="60">
        <v>1613</v>
      </c>
      <c r="BY19" s="60">
        <v>2528</v>
      </c>
      <c r="BZ19" s="60">
        <v>999</v>
      </c>
      <c r="CA19" s="60">
        <v>7747</v>
      </c>
      <c r="CB19" s="60"/>
      <c r="CC19" s="60"/>
      <c r="CD19" s="60">
        <v>2133</v>
      </c>
      <c r="CE19" s="60">
        <v>189</v>
      </c>
      <c r="CF19" s="60">
        <v>284</v>
      </c>
      <c r="CG19" s="60">
        <v>22</v>
      </c>
      <c r="CH19" s="60">
        <v>572</v>
      </c>
      <c r="CI19" s="60">
        <v>51</v>
      </c>
      <c r="CJ19" s="60">
        <v>24</v>
      </c>
      <c r="CK19" s="60">
        <v>274</v>
      </c>
      <c r="CL19" s="60">
        <v>22149</v>
      </c>
      <c r="CM19" s="60">
        <v>2644</v>
      </c>
      <c r="CN19" s="60">
        <v>316</v>
      </c>
      <c r="CO19" s="60">
        <v>846</v>
      </c>
      <c r="CP19" s="60">
        <v>111</v>
      </c>
      <c r="CQ19" s="60">
        <v>133</v>
      </c>
      <c r="CR19" s="60">
        <v>22</v>
      </c>
      <c r="CS19" s="60"/>
      <c r="CT19" s="60">
        <v>29770</v>
      </c>
      <c r="CU19" s="60">
        <v>421</v>
      </c>
      <c r="CV19" s="60">
        <v>27862</v>
      </c>
      <c r="CW19" s="60">
        <v>1487</v>
      </c>
      <c r="CX19" s="60">
        <v>4624</v>
      </c>
      <c r="CY19" s="60">
        <v>4289</v>
      </c>
      <c r="CZ19" s="60"/>
      <c r="DA19" s="60"/>
      <c r="DB19" s="60">
        <v>205</v>
      </c>
      <c r="DC19" s="60">
        <v>596</v>
      </c>
      <c r="DD19" s="60">
        <v>533</v>
      </c>
      <c r="DE19" s="60">
        <v>795</v>
      </c>
      <c r="DF19" s="60">
        <v>1402</v>
      </c>
      <c r="DG19" s="60">
        <v>1530</v>
      </c>
      <c r="DH19" s="60">
        <v>1388</v>
      </c>
      <c r="DI19" s="60">
        <v>2273</v>
      </c>
      <c r="DJ19" s="60">
        <v>62</v>
      </c>
      <c r="DK19" s="60">
        <v>129</v>
      </c>
      <c r="DL19" s="60"/>
      <c r="DM19" s="60">
        <v>105</v>
      </c>
      <c r="DN19" s="60">
        <v>165</v>
      </c>
      <c r="DO19" s="60">
        <v>727</v>
      </c>
      <c r="DP19" s="60">
        <v>246</v>
      </c>
      <c r="DQ19" s="60">
        <v>12</v>
      </c>
      <c r="DR19" s="60">
        <v>7576</v>
      </c>
      <c r="DS19" s="60">
        <v>82</v>
      </c>
      <c r="DT19" s="60">
        <v>119</v>
      </c>
      <c r="DU19" s="60">
        <v>132</v>
      </c>
      <c r="DV19" s="60">
        <v>319</v>
      </c>
      <c r="DW19" s="60">
        <v>1013</v>
      </c>
      <c r="DX19" s="60">
        <v>383</v>
      </c>
      <c r="DY19" s="60">
        <v>44</v>
      </c>
      <c r="DZ19" s="60">
        <v>10</v>
      </c>
      <c r="EA19" s="60">
        <v>5480</v>
      </c>
      <c r="EB19" s="60">
        <v>1410</v>
      </c>
      <c r="EC19" s="60">
        <v>3</v>
      </c>
      <c r="ED19" s="60">
        <v>0</v>
      </c>
      <c r="EE19" s="60">
        <v>0</v>
      </c>
      <c r="EF19" s="60">
        <v>0</v>
      </c>
      <c r="EG19" s="60">
        <v>0</v>
      </c>
      <c r="EH19" s="60">
        <v>0</v>
      </c>
      <c r="EI19" s="60">
        <v>1400</v>
      </c>
      <c r="EJ19" s="60">
        <v>4968</v>
      </c>
      <c r="EK19" s="60">
        <v>113</v>
      </c>
      <c r="EL19" s="60">
        <v>1694</v>
      </c>
      <c r="EM19" s="60">
        <v>738</v>
      </c>
      <c r="EN19" s="60">
        <v>71</v>
      </c>
      <c r="EO19" s="60">
        <v>106</v>
      </c>
      <c r="EP19" s="60">
        <v>1553</v>
      </c>
      <c r="EQ19" s="60">
        <v>2</v>
      </c>
      <c r="ER19" s="60">
        <v>1276</v>
      </c>
      <c r="ES19" s="60">
        <v>354</v>
      </c>
      <c r="ET19" s="60">
        <v>556</v>
      </c>
      <c r="EU19" s="60">
        <v>695</v>
      </c>
      <c r="EV19" s="60">
        <v>1366</v>
      </c>
      <c r="EW19" s="60">
        <v>223</v>
      </c>
      <c r="EX19" s="60">
        <v>215</v>
      </c>
      <c r="EY19" s="60">
        <v>270</v>
      </c>
      <c r="EZ19" s="60">
        <v>2</v>
      </c>
      <c r="FA19" s="60">
        <v>158</v>
      </c>
      <c r="FB19" s="60">
        <v>1306</v>
      </c>
      <c r="FC19" s="60">
        <v>307</v>
      </c>
      <c r="FD19" s="60">
        <v>443</v>
      </c>
      <c r="FE19" s="60"/>
      <c r="FF19" s="60">
        <v>10</v>
      </c>
      <c r="FG19" s="60"/>
      <c r="FH19" s="60">
        <v>606</v>
      </c>
      <c r="FI19" s="60">
        <v>116</v>
      </c>
      <c r="FJ19" s="60">
        <v>677</v>
      </c>
      <c r="FK19" s="60">
        <v>91</v>
      </c>
      <c r="FL19" s="60">
        <v>31</v>
      </c>
      <c r="FM19" s="60">
        <v>30</v>
      </c>
      <c r="FN19" s="60">
        <v>32</v>
      </c>
      <c r="FO19" s="60">
        <v>6817</v>
      </c>
      <c r="FP19" s="60">
        <v>124</v>
      </c>
      <c r="FQ19" s="60">
        <v>46</v>
      </c>
      <c r="FR19" s="60">
        <v>247</v>
      </c>
      <c r="FS19" s="60">
        <v>71</v>
      </c>
      <c r="FT19" s="60">
        <v>8</v>
      </c>
      <c r="FU19" s="60">
        <v>13</v>
      </c>
      <c r="FV19" s="60">
        <v>4</v>
      </c>
      <c r="FW19" s="60"/>
      <c r="FX19" s="60">
        <v>8913</v>
      </c>
      <c r="FY19" s="60">
        <v>89</v>
      </c>
      <c r="FZ19" s="60">
        <v>8445</v>
      </c>
      <c r="GA19" s="60">
        <v>379</v>
      </c>
      <c r="GB19" s="60">
        <v>2011</v>
      </c>
    </row>
    <row r="20" spans="1:184" x14ac:dyDescent="0.3">
      <c r="A20" s="60">
        <v>106050932</v>
      </c>
      <c r="B20" s="61" t="s">
        <v>190</v>
      </c>
      <c r="C20" s="61" t="s">
        <v>1711</v>
      </c>
      <c r="D20" s="61" t="s">
        <v>191</v>
      </c>
      <c r="E20" s="61" t="s">
        <v>192</v>
      </c>
      <c r="F20" s="60">
        <v>95249</v>
      </c>
      <c r="G20" s="61"/>
      <c r="H20" s="61" t="s">
        <v>1669</v>
      </c>
      <c r="I20" s="60">
        <v>25</v>
      </c>
      <c r="J20" s="60">
        <v>1</v>
      </c>
      <c r="K20" s="61" t="s">
        <v>1712</v>
      </c>
      <c r="L20" s="61"/>
      <c r="M20" s="61" t="s">
        <v>1700</v>
      </c>
      <c r="N20" s="61" t="s">
        <v>1713</v>
      </c>
      <c r="O20" s="61" t="s">
        <v>1673</v>
      </c>
      <c r="P20" s="61" t="s">
        <v>1678</v>
      </c>
      <c r="Q20" s="61" t="s">
        <v>1674</v>
      </c>
      <c r="R20" s="60">
        <v>48</v>
      </c>
      <c r="S20" s="61" t="s">
        <v>1675</v>
      </c>
      <c r="T20" s="60">
        <v>4297</v>
      </c>
      <c r="U20" s="60">
        <v>3925</v>
      </c>
      <c r="V20" s="60"/>
      <c r="W20" s="60"/>
      <c r="X20" s="60">
        <v>697</v>
      </c>
      <c r="Y20" s="60">
        <v>1118</v>
      </c>
      <c r="Z20" s="60">
        <v>1086</v>
      </c>
      <c r="AA20" s="60">
        <v>887</v>
      </c>
      <c r="AB20" s="60">
        <v>1034</v>
      </c>
      <c r="AC20" s="60">
        <v>1226</v>
      </c>
      <c r="AD20" s="60">
        <v>860</v>
      </c>
      <c r="AE20" s="60">
        <v>620</v>
      </c>
      <c r="AF20" s="60">
        <v>596</v>
      </c>
      <c r="AG20" s="60">
        <v>98</v>
      </c>
      <c r="AH20" s="60"/>
      <c r="AI20" s="60">
        <v>60</v>
      </c>
      <c r="AJ20" s="60">
        <v>96</v>
      </c>
      <c r="AK20" s="60">
        <v>577</v>
      </c>
      <c r="AL20" s="60">
        <v>21</v>
      </c>
      <c r="AM20" s="60">
        <v>31</v>
      </c>
      <c r="AN20" s="60">
        <v>61</v>
      </c>
      <c r="AO20" s="60">
        <v>7376</v>
      </c>
      <c r="AP20" s="60">
        <v>339</v>
      </c>
      <c r="AQ20" s="60">
        <v>270</v>
      </c>
      <c r="AR20" s="60">
        <v>14</v>
      </c>
      <c r="AS20" s="60">
        <v>21</v>
      </c>
      <c r="AT20" s="60">
        <v>7</v>
      </c>
      <c r="AU20" s="60">
        <v>1</v>
      </c>
      <c r="AV20" s="60">
        <v>2</v>
      </c>
      <c r="AW20" s="60">
        <v>2</v>
      </c>
      <c r="AX20" s="60"/>
      <c r="AY20" s="60">
        <v>38</v>
      </c>
      <c r="AZ20" s="60">
        <v>2</v>
      </c>
      <c r="BA20" s="60">
        <v>7493</v>
      </c>
      <c r="BB20" s="60">
        <v>23</v>
      </c>
      <c r="BC20" s="60"/>
      <c r="BD20" s="60">
        <v>10</v>
      </c>
      <c r="BE20" s="60">
        <v>2137</v>
      </c>
      <c r="BF20" s="60">
        <v>2066</v>
      </c>
      <c r="BG20" s="60">
        <v>774</v>
      </c>
      <c r="BH20" s="60">
        <v>2159</v>
      </c>
      <c r="BI20" s="60">
        <v>1086</v>
      </c>
      <c r="BJ20" s="60">
        <v>33</v>
      </c>
      <c r="BK20" s="60">
        <v>15</v>
      </c>
      <c r="BL20" s="60">
        <v>288</v>
      </c>
      <c r="BM20" s="60">
        <v>3</v>
      </c>
      <c r="BN20" s="60">
        <v>533</v>
      </c>
      <c r="BO20" s="60">
        <v>218</v>
      </c>
      <c r="BP20" s="60">
        <v>432</v>
      </c>
      <c r="BQ20" s="60">
        <v>134</v>
      </c>
      <c r="BR20" s="60">
        <v>2503</v>
      </c>
      <c r="BS20" s="60">
        <v>437</v>
      </c>
      <c r="BT20" s="60">
        <v>29</v>
      </c>
      <c r="BU20" s="60">
        <v>541</v>
      </c>
      <c r="BV20" s="60">
        <v>327</v>
      </c>
      <c r="BW20" s="60">
        <v>10</v>
      </c>
      <c r="BX20" s="60">
        <v>439</v>
      </c>
      <c r="BY20" s="60">
        <v>792</v>
      </c>
      <c r="BZ20" s="60">
        <v>397</v>
      </c>
      <c r="CA20" s="60">
        <v>1091</v>
      </c>
      <c r="CB20" s="60"/>
      <c r="CC20" s="60"/>
      <c r="CD20" s="60">
        <v>764</v>
      </c>
      <c r="CE20" s="60">
        <v>70</v>
      </c>
      <c r="CF20" s="60">
        <v>80</v>
      </c>
      <c r="CG20" s="60">
        <v>5</v>
      </c>
      <c r="CH20" s="60">
        <v>80</v>
      </c>
      <c r="CI20" s="60">
        <v>44</v>
      </c>
      <c r="CJ20" s="60">
        <v>59</v>
      </c>
      <c r="CK20" s="60">
        <v>138</v>
      </c>
      <c r="CL20" s="60">
        <v>5478</v>
      </c>
      <c r="CM20" s="60">
        <v>1057</v>
      </c>
      <c r="CN20" s="60">
        <v>38</v>
      </c>
      <c r="CO20" s="60">
        <v>282</v>
      </c>
      <c r="CP20" s="60">
        <v>48</v>
      </c>
      <c r="CQ20" s="60">
        <v>55</v>
      </c>
      <c r="CR20" s="60">
        <v>24</v>
      </c>
      <c r="CS20" s="60"/>
      <c r="CT20" s="60">
        <v>8222</v>
      </c>
      <c r="CU20" s="60">
        <v>6</v>
      </c>
      <c r="CV20" s="60">
        <v>8115</v>
      </c>
      <c r="CW20" s="60">
        <v>101</v>
      </c>
      <c r="CX20" s="60">
        <v>620</v>
      </c>
      <c r="CY20" s="60">
        <v>519</v>
      </c>
      <c r="CZ20" s="60"/>
      <c r="DA20" s="60"/>
      <c r="DB20" s="60">
        <v>16</v>
      </c>
      <c r="DC20" s="60">
        <v>38</v>
      </c>
      <c r="DD20" s="60">
        <v>36</v>
      </c>
      <c r="DE20" s="60">
        <v>103</v>
      </c>
      <c r="DF20" s="60">
        <v>200</v>
      </c>
      <c r="DG20" s="60">
        <v>199</v>
      </c>
      <c r="DH20" s="60">
        <v>218</v>
      </c>
      <c r="DI20" s="60">
        <v>328</v>
      </c>
      <c r="DJ20" s="60"/>
      <c r="DK20" s="60">
        <v>1</v>
      </c>
      <c r="DL20" s="60"/>
      <c r="DM20" s="60">
        <v>8</v>
      </c>
      <c r="DN20" s="60">
        <v>10</v>
      </c>
      <c r="DO20" s="60">
        <v>33</v>
      </c>
      <c r="DP20" s="60">
        <v>5</v>
      </c>
      <c r="DQ20" s="60">
        <v>7</v>
      </c>
      <c r="DR20" s="60">
        <v>1072</v>
      </c>
      <c r="DS20" s="60">
        <v>4</v>
      </c>
      <c r="DT20" s="60">
        <v>66</v>
      </c>
      <c r="DU20" s="60">
        <v>15</v>
      </c>
      <c r="DV20" s="60">
        <v>39</v>
      </c>
      <c r="DW20" s="60">
        <v>133</v>
      </c>
      <c r="DX20" s="60">
        <v>20</v>
      </c>
      <c r="DY20" s="60"/>
      <c r="DZ20" s="60">
        <v>1</v>
      </c>
      <c r="EA20" s="60">
        <v>665</v>
      </c>
      <c r="EB20" s="60">
        <v>198</v>
      </c>
      <c r="EC20" s="60">
        <v>2</v>
      </c>
      <c r="ED20" s="60">
        <v>0</v>
      </c>
      <c r="EE20" s="60">
        <v>0</v>
      </c>
      <c r="EF20" s="60">
        <v>0</v>
      </c>
      <c r="EG20" s="60">
        <v>0</v>
      </c>
      <c r="EH20" s="60">
        <v>0</v>
      </c>
      <c r="EI20" s="60">
        <v>141</v>
      </c>
      <c r="EJ20" s="60">
        <v>722</v>
      </c>
      <c r="EK20" s="60">
        <v>18</v>
      </c>
      <c r="EL20" s="60">
        <v>150</v>
      </c>
      <c r="EM20" s="60">
        <v>108</v>
      </c>
      <c r="EN20" s="60">
        <v>1</v>
      </c>
      <c r="EO20" s="60">
        <v>20</v>
      </c>
      <c r="EP20" s="60">
        <v>221</v>
      </c>
      <c r="EQ20" s="60"/>
      <c r="ER20" s="60">
        <v>159</v>
      </c>
      <c r="ES20" s="60">
        <v>62</v>
      </c>
      <c r="ET20" s="60">
        <v>56</v>
      </c>
      <c r="EU20" s="60">
        <v>95</v>
      </c>
      <c r="EV20" s="60">
        <v>173</v>
      </c>
      <c r="EW20" s="60">
        <v>12</v>
      </c>
      <c r="EX20" s="60">
        <v>27</v>
      </c>
      <c r="EY20" s="60">
        <v>23</v>
      </c>
      <c r="EZ20" s="60">
        <v>1</v>
      </c>
      <c r="FA20" s="60">
        <v>9</v>
      </c>
      <c r="FB20" s="60">
        <v>177</v>
      </c>
      <c r="FC20" s="60">
        <v>38</v>
      </c>
      <c r="FD20" s="60">
        <v>65</v>
      </c>
      <c r="FE20" s="60"/>
      <c r="FF20" s="60"/>
      <c r="FG20" s="60"/>
      <c r="FH20" s="60">
        <v>107</v>
      </c>
      <c r="FI20" s="60">
        <v>33</v>
      </c>
      <c r="FJ20" s="60">
        <v>98</v>
      </c>
      <c r="FK20" s="60">
        <v>4</v>
      </c>
      <c r="FL20" s="60">
        <v>5</v>
      </c>
      <c r="FM20" s="60">
        <v>43</v>
      </c>
      <c r="FN20" s="60">
        <v>13</v>
      </c>
      <c r="FO20" s="60">
        <v>758</v>
      </c>
      <c r="FP20" s="60">
        <v>24</v>
      </c>
      <c r="FQ20" s="60">
        <v>2</v>
      </c>
      <c r="FR20" s="60">
        <v>9</v>
      </c>
      <c r="FS20" s="60">
        <v>28</v>
      </c>
      <c r="FT20" s="60">
        <v>8</v>
      </c>
      <c r="FU20" s="60">
        <v>7</v>
      </c>
      <c r="FV20" s="60"/>
      <c r="FW20" s="60"/>
      <c r="FX20" s="60">
        <v>1139</v>
      </c>
      <c r="FY20" s="60"/>
      <c r="FZ20" s="60">
        <v>1130</v>
      </c>
      <c r="GA20" s="60">
        <v>9</v>
      </c>
      <c r="GB20" s="60">
        <v>2011</v>
      </c>
    </row>
    <row r="21" spans="1:184" x14ac:dyDescent="0.3">
      <c r="A21" s="60">
        <v>106060870</v>
      </c>
      <c r="B21" s="61" t="s">
        <v>193</v>
      </c>
      <c r="C21" s="61" t="s">
        <v>194</v>
      </c>
      <c r="D21" s="61" t="s">
        <v>196</v>
      </c>
      <c r="E21" s="61" t="s">
        <v>195</v>
      </c>
      <c r="F21" s="60">
        <v>95932</v>
      </c>
      <c r="G21" s="61" t="s">
        <v>177</v>
      </c>
      <c r="H21" s="61" t="s">
        <v>1669</v>
      </c>
      <c r="I21" s="60">
        <v>2</v>
      </c>
      <c r="J21" s="60">
        <v>4</v>
      </c>
      <c r="K21" s="61" t="s">
        <v>1714</v>
      </c>
      <c r="L21" s="61"/>
      <c r="M21" s="61" t="s">
        <v>1704</v>
      </c>
      <c r="N21" s="61" t="s">
        <v>1715</v>
      </c>
      <c r="O21" s="61" t="s">
        <v>1673</v>
      </c>
      <c r="P21" s="61" t="s">
        <v>1678</v>
      </c>
      <c r="Q21" s="61" t="s">
        <v>1674</v>
      </c>
      <c r="R21" s="60">
        <v>42</v>
      </c>
      <c r="S21" s="61" t="s">
        <v>1706</v>
      </c>
      <c r="T21" s="60">
        <v>2609</v>
      </c>
      <c r="U21" s="60">
        <v>2414</v>
      </c>
      <c r="V21" s="60"/>
      <c r="W21" s="60"/>
      <c r="X21" s="60">
        <v>772</v>
      </c>
      <c r="Y21" s="60">
        <v>686</v>
      </c>
      <c r="Z21" s="60">
        <v>681</v>
      </c>
      <c r="AA21" s="60">
        <v>599</v>
      </c>
      <c r="AB21" s="60">
        <v>549</v>
      </c>
      <c r="AC21" s="60">
        <v>461</v>
      </c>
      <c r="AD21" s="60">
        <v>392</v>
      </c>
      <c r="AE21" s="60">
        <v>289</v>
      </c>
      <c r="AF21" s="60">
        <v>380</v>
      </c>
      <c r="AG21" s="60">
        <v>214</v>
      </c>
      <c r="AH21" s="60"/>
      <c r="AI21" s="60">
        <v>39</v>
      </c>
      <c r="AJ21" s="60">
        <v>77</v>
      </c>
      <c r="AK21" s="60">
        <v>2068</v>
      </c>
      <c r="AL21" s="60">
        <v>91</v>
      </c>
      <c r="AM21" s="60">
        <v>51</v>
      </c>
      <c r="AN21" s="60">
        <v>9</v>
      </c>
      <c r="AO21" s="60">
        <v>2688</v>
      </c>
      <c r="AP21" s="60">
        <v>180</v>
      </c>
      <c r="AQ21" s="60">
        <v>36</v>
      </c>
      <c r="AR21" s="60"/>
      <c r="AS21" s="60">
        <v>9</v>
      </c>
      <c r="AT21" s="60">
        <v>6</v>
      </c>
      <c r="AU21" s="60"/>
      <c r="AV21" s="60"/>
      <c r="AW21" s="60"/>
      <c r="AX21" s="60">
        <v>63</v>
      </c>
      <c r="AY21" s="60">
        <v>22</v>
      </c>
      <c r="AZ21" s="60"/>
      <c r="BA21" s="60">
        <v>4668</v>
      </c>
      <c r="BB21" s="60">
        <v>39</v>
      </c>
      <c r="BC21" s="60"/>
      <c r="BD21" s="60"/>
      <c r="BE21" s="60">
        <v>1749</v>
      </c>
      <c r="BF21" s="60">
        <v>1037</v>
      </c>
      <c r="BG21" s="60">
        <v>332</v>
      </c>
      <c r="BH21" s="60">
        <v>1515</v>
      </c>
      <c r="BI21" s="60">
        <v>390</v>
      </c>
      <c r="BJ21" s="60">
        <v>150</v>
      </c>
      <c r="BK21" s="60">
        <v>9</v>
      </c>
      <c r="BL21" s="60">
        <v>103</v>
      </c>
      <c r="BM21" s="60"/>
      <c r="BN21" s="60">
        <v>211</v>
      </c>
      <c r="BO21" s="60">
        <v>69</v>
      </c>
      <c r="BP21" s="60">
        <v>182</v>
      </c>
      <c r="BQ21" s="60">
        <v>67</v>
      </c>
      <c r="BR21" s="60">
        <v>1168</v>
      </c>
      <c r="BS21" s="60">
        <v>509</v>
      </c>
      <c r="BT21" s="60">
        <v>10</v>
      </c>
      <c r="BU21" s="60">
        <v>332</v>
      </c>
      <c r="BV21" s="60">
        <v>123</v>
      </c>
      <c r="BW21" s="60">
        <v>3</v>
      </c>
      <c r="BX21" s="60">
        <v>111</v>
      </c>
      <c r="BY21" s="60">
        <v>405</v>
      </c>
      <c r="BZ21" s="60">
        <v>168</v>
      </c>
      <c r="CA21" s="60">
        <v>1403</v>
      </c>
      <c r="CB21" s="60"/>
      <c r="CC21" s="60"/>
      <c r="CD21" s="60">
        <v>333</v>
      </c>
      <c r="CE21" s="60">
        <v>10</v>
      </c>
      <c r="CF21" s="60">
        <v>25</v>
      </c>
      <c r="CG21" s="60">
        <v>4</v>
      </c>
      <c r="CH21" s="60">
        <v>47</v>
      </c>
      <c r="CI21" s="60">
        <v>10</v>
      </c>
      <c r="CJ21" s="60">
        <v>48</v>
      </c>
      <c r="CK21" s="60">
        <v>88</v>
      </c>
      <c r="CL21" s="60">
        <v>3577</v>
      </c>
      <c r="CM21" s="60">
        <v>661</v>
      </c>
      <c r="CN21" s="60">
        <v>28</v>
      </c>
      <c r="CO21" s="60">
        <v>140</v>
      </c>
      <c r="CP21" s="60">
        <v>11</v>
      </c>
      <c r="CQ21" s="60">
        <v>37</v>
      </c>
      <c r="CR21" s="60">
        <v>4</v>
      </c>
      <c r="CS21" s="60"/>
      <c r="CT21" s="60">
        <v>5023</v>
      </c>
      <c r="CU21" s="60">
        <v>18</v>
      </c>
      <c r="CV21" s="60">
        <v>3731</v>
      </c>
      <c r="CW21" s="60">
        <v>1274</v>
      </c>
      <c r="CX21" s="60">
        <v>330</v>
      </c>
      <c r="CY21" s="60">
        <v>282</v>
      </c>
      <c r="CZ21" s="60"/>
      <c r="DA21" s="60"/>
      <c r="DB21" s="60">
        <v>20</v>
      </c>
      <c r="DC21" s="60">
        <v>34</v>
      </c>
      <c r="DD21" s="60">
        <v>61</v>
      </c>
      <c r="DE21" s="60">
        <v>69</v>
      </c>
      <c r="DF21" s="60">
        <v>94</v>
      </c>
      <c r="DG21" s="60">
        <v>85</v>
      </c>
      <c r="DH21" s="60">
        <v>100</v>
      </c>
      <c r="DI21" s="60">
        <v>127</v>
      </c>
      <c r="DJ21" s="60">
        <v>7</v>
      </c>
      <c r="DK21" s="60">
        <v>15</v>
      </c>
      <c r="DL21" s="60"/>
      <c r="DM21" s="60">
        <v>4</v>
      </c>
      <c r="DN21" s="60">
        <v>6</v>
      </c>
      <c r="DO21" s="60">
        <v>169</v>
      </c>
      <c r="DP21" s="60">
        <v>25</v>
      </c>
      <c r="DQ21" s="60"/>
      <c r="DR21" s="60">
        <v>407</v>
      </c>
      <c r="DS21" s="60">
        <v>1</v>
      </c>
      <c r="DT21" s="60">
        <v>32</v>
      </c>
      <c r="DU21" s="60">
        <v>16</v>
      </c>
      <c r="DV21" s="60">
        <v>15</v>
      </c>
      <c r="DW21" s="60">
        <v>29</v>
      </c>
      <c r="DX21" s="60"/>
      <c r="DY21" s="60">
        <v>2</v>
      </c>
      <c r="DZ21" s="60"/>
      <c r="EA21" s="60">
        <v>429</v>
      </c>
      <c r="EB21" s="60">
        <v>89</v>
      </c>
      <c r="EC21" s="60"/>
      <c r="ED21" s="60">
        <v>0</v>
      </c>
      <c r="EE21" s="60">
        <v>0</v>
      </c>
      <c r="EF21" s="60">
        <v>0</v>
      </c>
      <c r="EG21" s="60">
        <v>0</v>
      </c>
      <c r="EH21" s="60">
        <v>0</v>
      </c>
      <c r="EI21" s="60">
        <v>121</v>
      </c>
      <c r="EJ21" s="60">
        <v>306</v>
      </c>
      <c r="EK21" s="60">
        <v>3</v>
      </c>
      <c r="EL21" s="60">
        <v>97</v>
      </c>
      <c r="EM21" s="60">
        <v>85</v>
      </c>
      <c r="EN21" s="60">
        <v>13</v>
      </c>
      <c r="EO21" s="60">
        <v>7</v>
      </c>
      <c r="EP21" s="60">
        <v>92</v>
      </c>
      <c r="EQ21" s="60"/>
      <c r="ER21" s="60">
        <v>148</v>
      </c>
      <c r="ES21" s="60">
        <v>41</v>
      </c>
      <c r="ET21" s="60">
        <v>51</v>
      </c>
      <c r="EU21" s="60">
        <v>32</v>
      </c>
      <c r="EV21" s="60">
        <v>22</v>
      </c>
      <c r="EW21" s="60">
        <v>6</v>
      </c>
      <c r="EX21" s="60">
        <v>7</v>
      </c>
      <c r="EY21" s="60">
        <v>45</v>
      </c>
      <c r="EZ21" s="60"/>
      <c r="FA21" s="60">
        <v>17</v>
      </c>
      <c r="FB21" s="60">
        <v>98</v>
      </c>
      <c r="FC21" s="60">
        <v>12</v>
      </c>
      <c r="FD21" s="60">
        <v>19</v>
      </c>
      <c r="FE21" s="60"/>
      <c r="FF21" s="60">
        <v>2</v>
      </c>
      <c r="FG21" s="60"/>
      <c r="FH21" s="60">
        <v>14</v>
      </c>
      <c r="FI21" s="60">
        <v>7</v>
      </c>
      <c r="FJ21" s="60">
        <v>14</v>
      </c>
      <c r="FK21" s="60">
        <v>1</v>
      </c>
      <c r="FL21" s="60"/>
      <c r="FM21" s="60">
        <v>8</v>
      </c>
      <c r="FN21" s="60">
        <v>4</v>
      </c>
      <c r="FO21" s="60">
        <v>549</v>
      </c>
      <c r="FP21" s="60">
        <v>6</v>
      </c>
      <c r="FQ21" s="60"/>
      <c r="FR21" s="60">
        <v>3</v>
      </c>
      <c r="FS21" s="60">
        <v>2</v>
      </c>
      <c r="FT21" s="60"/>
      <c r="FU21" s="60">
        <v>4</v>
      </c>
      <c r="FV21" s="60"/>
      <c r="FW21" s="60"/>
      <c r="FX21" s="60">
        <v>612</v>
      </c>
      <c r="FY21" s="60">
        <v>8</v>
      </c>
      <c r="FZ21" s="60">
        <v>498</v>
      </c>
      <c r="GA21" s="60">
        <v>106</v>
      </c>
      <c r="GB21" s="60">
        <v>2011</v>
      </c>
    </row>
    <row r="22" spans="1:184" x14ac:dyDescent="0.3">
      <c r="A22" s="60">
        <v>106070904</v>
      </c>
      <c r="B22" s="61" t="s">
        <v>197</v>
      </c>
      <c r="C22" s="61" t="s">
        <v>198</v>
      </c>
      <c r="D22" s="61" t="s">
        <v>199</v>
      </c>
      <c r="E22" s="61" t="s">
        <v>200</v>
      </c>
      <c r="F22" s="60">
        <v>94806</v>
      </c>
      <c r="G22" s="61"/>
      <c r="H22" s="61" t="s">
        <v>1669</v>
      </c>
      <c r="I22" s="60">
        <v>14</v>
      </c>
      <c r="J22" s="60">
        <v>9</v>
      </c>
      <c r="K22" s="61" t="s">
        <v>1716</v>
      </c>
      <c r="L22" s="61"/>
      <c r="M22" s="61" t="s">
        <v>1671</v>
      </c>
      <c r="N22" s="61" t="s">
        <v>1717</v>
      </c>
      <c r="O22" s="61" t="s">
        <v>1673</v>
      </c>
      <c r="P22" s="61" t="s">
        <v>159</v>
      </c>
      <c r="Q22" s="61" t="s">
        <v>1674</v>
      </c>
      <c r="R22" s="60">
        <v>189</v>
      </c>
      <c r="S22" s="61" t="s">
        <v>1675</v>
      </c>
      <c r="T22" s="60">
        <v>19799</v>
      </c>
      <c r="U22" s="60">
        <v>14178</v>
      </c>
      <c r="V22" s="60"/>
      <c r="W22" s="60"/>
      <c r="X22" s="60">
        <v>3925</v>
      </c>
      <c r="Y22" s="60">
        <v>3463</v>
      </c>
      <c r="Z22" s="60">
        <v>5981</v>
      </c>
      <c r="AA22" s="60">
        <v>5082</v>
      </c>
      <c r="AB22" s="60">
        <v>4839</v>
      </c>
      <c r="AC22" s="60">
        <v>4474</v>
      </c>
      <c r="AD22" s="60">
        <v>2613</v>
      </c>
      <c r="AE22" s="60">
        <v>1529</v>
      </c>
      <c r="AF22" s="60">
        <v>1401</v>
      </c>
      <c r="AG22" s="60">
        <v>670</v>
      </c>
      <c r="AH22" s="60"/>
      <c r="AI22" s="60">
        <v>2321</v>
      </c>
      <c r="AJ22" s="60">
        <v>13002</v>
      </c>
      <c r="AK22" s="60">
        <v>9592</v>
      </c>
      <c r="AL22" s="60">
        <v>34</v>
      </c>
      <c r="AM22" s="60">
        <v>998</v>
      </c>
      <c r="AN22" s="60">
        <v>32</v>
      </c>
      <c r="AO22" s="60">
        <v>7998</v>
      </c>
      <c r="AP22" s="60">
        <v>531</v>
      </c>
      <c r="AQ22" s="60">
        <v>687</v>
      </c>
      <c r="AR22" s="60">
        <v>93</v>
      </c>
      <c r="AS22" s="60">
        <v>76</v>
      </c>
      <c r="AT22" s="60">
        <v>1</v>
      </c>
      <c r="AU22" s="60">
        <v>16</v>
      </c>
      <c r="AV22" s="60"/>
      <c r="AW22" s="60">
        <v>6</v>
      </c>
      <c r="AX22" s="60"/>
      <c r="AY22" s="60">
        <v>126</v>
      </c>
      <c r="AZ22" s="60"/>
      <c r="BA22" s="60">
        <v>32207</v>
      </c>
      <c r="BB22" s="60">
        <v>234</v>
      </c>
      <c r="BC22" s="60"/>
      <c r="BD22" s="60"/>
      <c r="BE22" s="60">
        <v>4856</v>
      </c>
      <c r="BF22" s="60">
        <v>5635</v>
      </c>
      <c r="BG22" s="60">
        <v>801</v>
      </c>
      <c r="BH22" s="60">
        <v>14247</v>
      </c>
      <c r="BI22" s="60">
        <v>8438</v>
      </c>
      <c r="BJ22" s="60">
        <v>834</v>
      </c>
      <c r="BK22" s="60">
        <v>261</v>
      </c>
      <c r="BL22" s="60">
        <v>713</v>
      </c>
      <c r="BM22" s="60">
        <v>7</v>
      </c>
      <c r="BN22" s="60">
        <v>2251</v>
      </c>
      <c r="BO22" s="60">
        <v>846</v>
      </c>
      <c r="BP22" s="60">
        <v>2109</v>
      </c>
      <c r="BQ22" s="60">
        <v>1059</v>
      </c>
      <c r="BR22" s="60">
        <v>6721</v>
      </c>
      <c r="BS22" s="60">
        <v>3002</v>
      </c>
      <c r="BT22" s="60">
        <v>56</v>
      </c>
      <c r="BU22" s="60">
        <v>2171</v>
      </c>
      <c r="BV22" s="60">
        <v>856</v>
      </c>
      <c r="BW22" s="60">
        <v>17</v>
      </c>
      <c r="BX22" s="60">
        <v>1365</v>
      </c>
      <c r="BY22" s="60">
        <v>3832</v>
      </c>
      <c r="BZ22" s="60">
        <v>2002</v>
      </c>
      <c r="CA22" s="60">
        <v>5874</v>
      </c>
      <c r="CB22" s="60"/>
      <c r="CC22" s="60">
        <v>1</v>
      </c>
      <c r="CD22" s="60">
        <v>2200</v>
      </c>
      <c r="CE22" s="60">
        <v>140</v>
      </c>
      <c r="CF22" s="60">
        <v>305</v>
      </c>
      <c r="CG22" s="60">
        <v>20</v>
      </c>
      <c r="CH22" s="60">
        <v>611</v>
      </c>
      <c r="CI22" s="60">
        <v>60</v>
      </c>
      <c r="CJ22" s="60">
        <v>122</v>
      </c>
      <c r="CK22" s="60">
        <v>307</v>
      </c>
      <c r="CL22" s="60">
        <v>26191</v>
      </c>
      <c r="CM22" s="60">
        <v>2745</v>
      </c>
      <c r="CN22" s="60">
        <v>123</v>
      </c>
      <c r="CO22" s="60">
        <v>893</v>
      </c>
      <c r="CP22" s="60">
        <v>95</v>
      </c>
      <c r="CQ22" s="60">
        <v>139</v>
      </c>
      <c r="CR22" s="60">
        <v>26</v>
      </c>
      <c r="CS22" s="60"/>
      <c r="CT22" s="60">
        <v>33977</v>
      </c>
      <c r="CU22" s="60">
        <v>531</v>
      </c>
      <c r="CV22" s="60">
        <v>29448</v>
      </c>
      <c r="CW22" s="60">
        <v>3998</v>
      </c>
      <c r="CX22" s="60">
        <v>2791</v>
      </c>
      <c r="CY22" s="60">
        <v>2497</v>
      </c>
      <c r="CZ22" s="60"/>
      <c r="DA22" s="60"/>
      <c r="DB22" s="60">
        <v>15</v>
      </c>
      <c r="DC22" s="60">
        <v>162</v>
      </c>
      <c r="DD22" s="60">
        <v>257</v>
      </c>
      <c r="DE22" s="60">
        <v>593</v>
      </c>
      <c r="DF22" s="60">
        <v>1084</v>
      </c>
      <c r="DG22" s="60">
        <v>971</v>
      </c>
      <c r="DH22" s="60">
        <v>899</v>
      </c>
      <c r="DI22" s="60">
        <v>1307</v>
      </c>
      <c r="DJ22" s="60"/>
      <c r="DK22" s="60"/>
      <c r="DL22" s="60"/>
      <c r="DM22" s="60">
        <v>618</v>
      </c>
      <c r="DN22" s="60">
        <v>1941</v>
      </c>
      <c r="DO22" s="60">
        <v>736</v>
      </c>
      <c r="DP22" s="60">
        <v>121</v>
      </c>
      <c r="DQ22" s="60">
        <v>10</v>
      </c>
      <c r="DR22" s="60">
        <v>1858</v>
      </c>
      <c r="DS22" s="60">
        <v>4</v>
      </c>
      <c r="DT22" s="60">
        <v>108</v>
      </c>
      <c r="DU22" s="60">
        <v>136</v>
      </c>
      <c r="DV22" s="60">
        <v>214</v>
      </c>
      <c r="DW22" s="60">
        <v>339</v>
      </c>
      <c r="DX22" s="60">
        <v>51</v>
      </c>
      <c r="DY22" s="60"/>
      <c r="DZ22" s="60">
        <v>104</v>
      </c>
      <c r="EA22" s="60">
        <v>3338</v>
      </c>
      <c r="EB22" s="60">
        <v>923</v>
      </c>
      <c r="EC22" s="60">
        <v>75</v>
      </c>
      <c r="ED22" s="60">
        <v>0</v>
      </c>
      <c r="EE22" s="60">
        <v>0</v>
      </c>
      <c r="EF22" s="60">
        <v>0</v>
      </c>
      <c r="EG22" s="60">
        <v>0</v>
      </c>
      <c r="EH22" s="60">
        <v>0</v>
      </c>
      <c r="EI22" s="60">
        <v>1009</v>
      </c>
      <c r="EJ22" s="60">
        <v>2970</v>
      </c>
      <c r="EK22" s="60">
        <v>116</v>
      </c>
      <c r="EL22" s="60">
        <v>491</v>
      </c>
      <c r="EM22" s="60">
        <v>702</v>
      </c>
      <c r="EN22" s="60">
        <v>4</v>
      </c>
      <c r="EO22" s="60">
        <v>76</v>
      </c>
      <c r="EP22" s="60">
        <v>1287</v>
      </c>
      <c r="EQ22" s="60"/>
      <c r="ER22" s="60">
        <v>670</v>
      </c>
      <c r="ES22" s="60">
        <v>265</v>
      </c>
      <c r="ET22" s="60">
        <v>271</v>
      </c>
      <c r="EU22" s="60">
        <v>298</v>
      </c>
      <c r="EV22" s="60">
        <v>473</v>
      </c>
      <c r="EW22" s="60">
        <v>94</v>
      </c>
      <c r="EX22" s="60">
        <v>93</v>
      </c>
      <c r="EY22" s="60">
        <v>83</v>
      </c>
      <c r="EZ22" s="60">
        <v>5</v>
      </c>
      <c r="FA22" s="60">
        <v>55</v>
      </c>
      <c r="FB22" s="60">
        <v>953</v>
      </c>
      <c r="FC22" s="60">
        <v>122</v>
      </c>
      <c r="FD22" s="60">
        <v>539</v>
      </c>
      <c r="FE22" s="60"/>
      <c r="FF22" s="60"/>
      <c r="FG22" s="60"/>
      <c r="FH22" s="60">
        <v>242</v>
      </c>
      <c r="FI22" s="60">
        <v>98</v>
      </c>
      <c r="FJ22" s="60">
        <v>706</v>
      </c>
      <c r="FK22" s="60">
        <v>9</v>
      </c>
      <c r="FL22" s="60">
        <v>26</v>
      </c>
      <c r="FM22" s="60">
        <v>282</v>
      </c>
      <c r="FN22" s="60">
        <v>21</v>
      </c>
      <c r="FO22" s="60">
        <v>3751</v>
      </c>
      <c r="FP22" s="60">
        <v>58</v>
      </c>
      <c r="FQ22" s="60">
        <v>4</v>
      </c>
      <c r="FR22" s="60">
        <v>12</v>
      </c>
      <c r="FS22" s="60">
        <v>39</v>
      </c>
      <c r="FT22" s="60">
        <v>36</v>
      </c>
      <c r="FU22" s="60">
        <v>2</v>
      </c>
      <c r="FV22" s="60">
        <v>2</v>
      </c>
      <c r="FW22" s="60"/>
      <c r="FX22" s="60">
        <v>5288</v>
      </c>
      <c r="FY22" s="60">
        <v>144</v>
      </c>
      <c r="FZ22" s="60">
        <v>4748</v>
      </c>
      <c r="GA22" s="60">
        <v>396</v>
      </c>
      <c r="GB22" s="60">
        <v>2011</v>
      </c>
    </row>
    <row r="23" spans="1:184" x14ac:dyDescent="0.3">
      <c r="A23" s="60">
        <v>106070924</v>
      </c>
      <c r="B23" s="61" t="s">
        <v>201</v>
      </c>
      <c r="C23" s="61" t="s">
        <v>202</v>
      </c>
      <c r="D23" s="61" t="s">
        <v>203</v>
      </c>
      <c r="E23" s="61" t="s">
        <v>204</v>
      </c>
      <c r="F23" s="60">
        <v>94553</v>
      </c>
      <c r="G23" s="61"/>
      <c r="H23" s="61" t="s">
        <v>1669</v>
      </c>
      <c r="I23" s="60">
        <v>11</v>
      </c>
      <c r="J23" s="60">
        <v>7</v>
      </c>
      <c r="K23" s="61" t="s">
        <v>1718</v>
      </c>
      <c r="L23" s="61"/>
      <c r="M23" s="61" t="s">
        <v>1671</v>
      </c>
      <c r="N23" s="61" t="s">
        <v>1717</v>
      </c>
      <c r="O23" s="61" t="s">
        <v>1673</v>
      </c>
      <c r="P23" s="61" t="s">
        <v>1690</v>
      </c>
      <c r="Q23" s="61" t="s">
        <v>1674</v>
      </c>
      <c r="R23" s="60">
        <v>123</v>
      </c>
      <c r="S23" s="61" t="s">
        <v>1675</v>
      </c>
      <c r="T23" s="60">
        <v>27066</v>
      </c>
      <c r="U23" s="60">
        <v>22941</v>
      </c>
      <c r="V23" s="60"/>
      <c r="W23" s="60"/>
      <c r="X23" s="60">
        <v>3883</v>
      </c>
      <c r="Y23" s="60">
        <v>3721</v>
      </c>
      <c r="Z23" s="60">
        <v>10149</v>
      </c>
      <c r="AA23" s="60">
        <v>8353</v>
      </c>
      <c r="AB23" s="60">
        <v>8835</v>
      </c>
      <c r="AC23" s="60">
        <v>8325</v>
      </c>
      <c r="AD23" s="60">
        <v>3719</v>
      </c>
      <c r="AE23" s="60">
        <v>1264</v>
      </c>
      <c r="AF23" s="60">
        <v>566</v>
      </c>
      <c r="AG23" s="60">
        <v>1192</v>
      </c>
      <c r="AH23" s="60"/>
      <c r="AI23" s="60">
        <v>3299</v>
      </c>
      <c r="AJ23" s="60">
        <v>6901</v>
      </c>
      <c r="AK23" s="60">
        <v>16405</v>
      </c>
      <c r="AL23" s="60">
        <v>148</v>
      </c>
      <c r="AM23" s="60">
        <v>2635</v>
      </c>
      <c r="AN23" s="60">
        <v>77</v>
      </c>
      <c r="AO23" s="60">
        <v>20542</v>
      </c>
      <c r="AP23" s="60">
        <v>503</v>
      </c>
      <c r="AQ23" s="60">
        <v>283</v>
      </c>
      <c r="AR23" s="60"/>
      <c r="AS23" s="60">
        <v>13</v>
      </c>
      <c r="AT23" s="60"/>
      <c r="AU23" s="60"/>
      <c r="AV23" s="60">
        <v>2</v>
      </c>
      <c r="AW23" s="60"/>
      <c r="AX23" s="60"/>
      <c r="AY23" s="60">
        <v>1232</v>
      </c>
      <c r="AZ23" s="60"/>
      <c r="BA23" s="60">
        <v>47827</v>
      </c>
      <c r="BB23" s="60">
        <v>143</v>
      </c>
      <c r="BC23" s="60">
        <v>4</v>
      </c>
      <c r="BD23" s="60"/>
      <c r="BE23" s="60">
        <v>19119</v>
      </c>
      <c r="BF23" s="60">
        <v>3779</v>
      </c>
      <c r="BG23" s="60">
        <v>13714</v>
      </c>
      <c r="BH23" s="60">
        <v>6125</v>
      </c>
      <c r="BI23" s="60">
        <v>7270</v>
      </c>
      <c r="BJ23" s="60">
        <v>1537</v>
      </c>
      <c r="BK23" s="60">
        <v>122</v>
      </c>
      <c r="BL23" s="60">
        <v>973</v>
      </c>
      <c r="BM23" s="60">
        <v>13</v>
      </c>
      <c r="BN23" s="60">
        <v>3176</v>
      </c>
      <c r="BO23" s="60">
        <v>740</v>
      </c>
      <c r="BP23" s="60">
        <v>3125</v>
      </c>
      <c r="BQ23" s="60">
        <v>1167</v>
      </c>
      <c r="BR23" s="60">
        <v>7775</v>
      </c>
      <c r="BS23" s="60">
        <v>4447</v>
      </c>
      <c r="BT23" s="60">
        <v>154</v>
      </c>
      <c r="BU23" s="60">
        <v>3398</v>
      </c>
      <c r="BV23" s="60">
        <v>2663</v>
      </c>
      <c r="BW23" s="60">
        <v>40</v>
      </c>
      <c r="BX23" s="60">
        <v>1374</v>
      </c>
      <c r="BY23" s="60">
        <v>5970</v>
      </c>
      <c r="BZ23" s="60">
        <v>3190</v>
      </c>
      <c r="CA23" s="60">
        <v>10143</v>
      </c>
      <c r="CB23" s="60"/>
      <c r="CC23" s="60"/>
      <c r="CD23" s="60">
        <v>360</v>
      </c>
      <c r="CE23" s="60">
        <v>20</v>
      </c>
      <c r="CF23" s="60">
        <v>29</v>
      </c>
      <c r="CG23" s="60">
        <v>8</v>
      </c>
      <c r="CH23" s="60">
        <v>182</v>
      </c>
      <c r="CI23" s="60">
        <v>64</v>
      </c>
      <c r="CJ23" s="60">
        <v>62</v>
      </c>
      <c r="CK23" s="60">
        <v>204</v>
      </c>
      <c r="CL23" s="60">
        <v>47993</v>
      </c>
      <c r="CM23" s="60">
        <v>539</v>
      </c>
      <c r="CN23" s="60">
        <v>29</v>
      </c>
      <c r="CO23" s="60">
        <v>343</v>
      </c>
      <c r="CP23" s="60">
        <v>25</v>
      </c>
      <c r="CQ23" s="60">
        <v>34</v>
      </c>
      <c r="CR23" s="60">
        <v>115</v>
      </c>
      <c r="CS23" s="60"/>
      <c r="CT23" s="60">
        <v>50007</v>
      </c>
      <c r="CU23" s="60">
        <v>1514</v>
      </c>
      <c r="CV23" s="60">
        <v>39021</v>
      </c>
      <c r="CW23" s="60">
        <v>9472</v>
      </c>
      <c r="CX23" s="60">
        <v>2599</v>
      </c>
      <c r="CY23" s="60">
        <v>2558</v>
      </c>
      <c r="CZ23" s="60"/>
      <c r="DA23" s="60"/>
      <c r="DB23" s="60">
        <v>101</v>
      </c>
      <c r="DC23" s="60">
        <v>660</v>
      </c>
      <c r="DD23" s="60">
        <v>701</v>
      </c>
      <c r="DE23" s="60">
        <v>974</v>
      </c>
      <c r="DF23" s="60">
        <v>1263</v>
      </c>
      <c r="DG23" s="60">
        <v>797</v>
      </c>
      <c r="DH23" s="60">
        <v>394</v>
      </c>
      <c r="DI23" s="60">
        <v>264</v>
      </c>
      <c r="DJ23" s="60">
        <v>3</v>
      </c>
      <c r="DK23" s="60"/>
      <c r="DL23" s="60"/>
      <c r="DM23" s="60">
        <v>522</v>
      </c>
      <c r="DN23" s="60">
        <v>827</v>
      </c>
      <c r="DO23" s="60">
        <v>1279</v>
      </c>
      <c r="DP23" s="60">
        <v>93</v>
      </c>
      <c r="DQ23" s="60">
        <v>10</v>
      </c>
      <c r="DR23" s="60">
        <v>2420</v>
      </c>
      <c r="DS23" s="60">
        <v>6</v>
      </c>
      <c r="DT23" s="60">
        <v>177</v>
      </c>
      <c r="DU23" s="60">
        <v>155</v>
      </c>
      <c r="DV23" s="60">
        <v>68</v>
      </c>
      <c r="DW23" s="60">
        <v>67</v>
      </c>
      <c r="DX23" s="60">
        <v>96</v>
      </c>
      <c r="DY23" s="60">
        <v>20</v>
      </c>
      <c r="DZ23" s="60">
        <v>131</v>
      </c>
      <c r="EA23" s="60">
        <v>4209</v>
      </c>
      <c r="EB23" s="60">
        <v>222</v>
      </c>
      <c r="EC23" s="60">
        <v>12</v>
      </c>
      <c r="ED23" s="60">
        <v>0</v>
      </c>
      <c r="EE23" s="60">
        <v>0</v>
      </c>
      <c r="EF23" s="60">
        <v>0</v>
      </c>
      <c r="EG23" s="60">
        <v>0</v>
      </c>
      <c r="EH23" s="60">
        <v>0</v>
      </c>
      <c r="EI23" s="60">
        <v>1687</v>
      </c>
      <c r="EJ23" s="60">
        <v>1143</v>
      </c>
      <c r="EK23" s="60">
        <v>151</v>
      </c>
      <c r="EL23" s="60">
        <v>487</v>
      </c>
      <c r="EM23" s="60">
        <v>1689</v>
      </c>
      <c r="EN23" s="60">
        <v>101</v>
      </c>
      <c r="EO23" s="60">
        <v>91</v>
      </c>
      <c r="EP23" s="60">
        <v>642</v>
      </c>
      <c r="EQ23" s="60">
        <v>5</v>
      </c>
      <c r="ER23" s="60">
        <v>866</v>
      </c>
      <c r="ES23" s="60">
        <v>295</v>
      </c>
      <c r="ET23" s="60">
        <v>335</v>
      </c>
      <c r="EU23" s="60">
        <v>203</v>
      </c>
      <c r="EV23" s="60">
        <v>346</v>
      </c>
      <c r="EW23" s="60">
        <v>106</v>
      </c>
      <c r="EX23" s="60">
        <v>127</v>
      </c>
      <c r="EY23" s="60">
        <v>146</v>
      </c>
      <c r="EZ23" s="60">
        <v>2</v>
      </c>
      <c r="FA23" s="60">
        <v>829</v>
      </c>
      <c r="FB23" s="60">
        <v>414</v>
      </c>
      <c r="FC23" s="60">
        <v>283</v>
      </c>
      <c r="FD23" s="60">
        <v>363</v>
      </c>
      <c r="FE23" s="60">
        <v>2</v>
      </c>
      <c r="FF23" s="60">
        <v>1</v>
      </c>
      <c r="FG23" s="60"/>
      <c r="FH23" s="60">
        <v>153</v>
      </c>
      <c r="FI23" s="60">
        <v>91</v>
      </c>
      <c r="FJ23" s="60">
        <v>360</v>
      </c>
      <c r="FK23" s="60">
        <v>17</v>
      </c>
      <c r="FL23" s="60">
        <v>32</v>
      </c>
      <c r="FM23" s="60">
        <v>206</v>
      </c>
      <c r="FN23" s="60">
        <v>40</v>
      </c>
      <c r="FO23" s="60">
        <v>4089</v>
      </c>
      <c r="FP23" s="60">
        <v>67</v>
      </c>
      <c r="FQ23" s="60">
        <v>5</v>
      </c>
      <c r="FR23" s="60">
        <v>11</v>
      </c>
      <c r="FS23" s="60">
        <v>69</v>
      </c>
      <c r="FT23" s="60">
        <v>5</v>
      </c>
      <c r="FU23" s="60">
        <v>11</v>
      </c>
      <c r="FV23" s="60">
        <v>1</v>
      </c>
      <c r="FW23" s="60"/>
      <c r="FX23" s="60">
        <v>5157</v>
      </c>
      <c r="FY23" s="60">
        <v>241</v>
      </c>
      <c r="FZ23" s="60">
        <v>4203</v>
      </c>
      <c r="GA23" s="60">
        <v>713</v>
      </c>
      <c r="GB23" s="60">
        <v>2011</v>
      </c>
    </row>
    <row r="24" spans="1:184" x14ac:dyDescent="0.3">
      <c r="A24" s="60">
        <v>106070934</v>
      </c>
      <c r="B24" s="61" t="s">
        <v>205</v>
      </c>
      <c r="C24" s="61" t="s">
        <v>206</v>
      </c>
      <c r="D24" s="61" t="s">
        <v>207</v>
      </c>
      <c r="E24" s="61" t="s">
        <v>208</v>
      </c>
      <c r="F24" s="60">
        <v>94509</v>
      </c>
      <c r="G24" s="61"/>
      <c r="H24" s="61" t="s">
        <v>1669</v>
      </c>
      <c r="I24" s="60">
        <v>11</v>
      </c>
      <c r="J24" s="60">
        <v>7</v>
      </c>
      <c r="K24" s="61" t="s">
        <v>1719</v>
      </c>
      <c r="L24" s="61"/>
      <c r="M24" s="61" t="s">
        <v>1671</v>
      </c>
      <c r="N24" s="61" t="s">
        <v>1717</v>
      </c>
      <c r="O24" s="61" t="s">
        <v>1673</v>
      </c>
      <c r="P24" s="61" t="s">
        <v>1678</v>
      </c>
      <c r="Q24" s="61" t="s">
        <v>1674</v>
      </c>
      <c r="R24" s="60">
        <v>145</v>
      </c>
      <c r="S24" s="61" t="s">
        <v>1675</v>
      </c>
      <c r="T24" s="60">
        <v>27267</v>
      </c>
      <c r="U24" s="60">
        <v>19448</v>
      </c>
      <c r="V24" s="60">
        <v>1</v>
      </c>
      <c r="W24" s="60"/>
      <c r="X24" s="60">
        <v>7916</v>
      </c>
      <c r="Y24" s="60">
        <v>6324</v>
      </c>
      <c r="Z24" s="60">
        <v>8713</v>
      </c>
      <c r="AA24" s="60">
        <v>6276</v>
      </c>
      <c r="AB24" s="60">
        <v>6161</v>
      </c>
      <c r="AC24" s="60">
        <v>4605</v>
      </c>
      <c r="AD24" s="60">
        <v>2336</v>
      </c>
      <c r="AE24" s="60">
        <v>1358</v>
      </c>
      <c r="AF24" s="60">
        <v>1340</v>
      </c>
      <c r="AG24" s="60">
        <v>1687</v>
      </c>
      <c r="AH24" s="60"/>
      <c r="AI24" s="60">
        <v>1990</v>
      </c>
      <c r="AJ24" s="60">
        <v>12611</v>
      </c>
      <c r="AK24" s="60">
        <v>13304</v>
      </c>
      <c r="AL24" s="60">
        <v>37</v>
      </c>
      <c r="AM24" s="60">
        <v>576</v>
      </c>
      <c r="AN24" s="60">
        <v>51</v>
      </c>
      <c r="AO24" s="60">
        <v>18147</v>
      </c>
      <c r="AP24" s="60">
        <v>573</v>
      </c>
      <c r="AQ24" s="60">
        <v>1159</v>
      </c>
      <c r="AR24" s="60"/>
      <c r="AS24" s="60">
        <v>70</v>
      </c>
      <c r="AT24" s="60"/>
      <c r="AU24" s="60"/>
      <c r="AV24" s="60"/>
      <c r="AW24" s="60">
        <v>32</v>
      </c>
      <c r="AX24" s="60">
        <v>38</v>
      </c>
      <c r="AY24" s="60">
        <v>240</v>
      </c>
      <c r="AZ24" s="60"/>
      <c r="BA24" s="60">
        <v>44604</v>
      </c>
      <c r="BB24" s="60"/>
      <c r="BC24" s="60"/>
      <c r="BD24" s="60"/>
      <c r="BE24" s="60">
        <v>22543</v>
      </c>
      <c r="BF24" s="60">
        <v>5976</v>
      </c>
      <c r="BG24" s="60">
        <v>1050</v>
      </c>
      <c r="BH24" s="60">
        <v>8820</v>
      </c>
      <c r="BI24" s="60">
        <v>8327</v>
      </c>
      <c r="BJ24" s="60">
        <v>1807</v>
      </c>
      <c r="BK24" s="60">
        <v>123</v>
      </c>
      <c r="BL24" s="60">
        <v>647</v>
      </c>
      <c r="BM24" s="60">
        <v>8</v>
      </c>
      <c r="BN24" s="60">
        <v>1707</v>
      </c>
      <c r="BO24" s="60">
        <v>508</v>
      </c>
      <c r="BP24" s="60">
        <v>2538</v>
      </c>
      <c r="BQ24" s="60">
        <v>855</v>
      </c>
      <c r="BR24" s="60">
        <v>9441</v>
      </c>
      <c r="BS24" s="60">
        <v>3087</v>
      </c>
      <c r="BT24" s="60">
        <v>24</v>
      </c>
      <c r="BU24" s="60">
        <v>2770</v>
      </c>
      <c r="BV24" s="60">
        <v>1244</v>
      </c>
      <c r="BW24" s="60">
        <v>59</v>
      </c>
      <c r="BX24" s="60">
        <v>1140</v>
      </c>
      <c r="BY24" s="60">
        <v>6451</v>
      </c>
      <c r="BZ24" s="60">
        <v>2244</v>
      </c>
      <c r="CA24" s="60">
        <v>12063</v>
      </c>
      <c r="CB24" s="60"/>
      <c r="CC24" s="60"/>
      <c r="CD24" s="60">
        <v>2738</v>
      </c>
      <c r="CE24" s="60">
        <v>176</v>
      </c>
      <c r="CF24" s="60">
        <v>144</v>
      </c>
      <c r="CG24" s="60">
        <v>33</v>
      </c>
      <c r="CH24" s="60">
        <v>693</v>
      </c>
      <c r="CI24" s="60">
        <v>54</v>
      </c>
      <c r="CJ24" s="60">
        <v>14</v>
      </c>
      <c r="CK24" s="60">
        <v>519</v>
      </c>
      <c r="CL24" s="60">
        <v>36161</v>
      </c>
      <c r="CM24" s="60">
        <v>4414</v>
      </c>
      <c r="CN24" s="60">
        <v>197</v>
      </c>
      <c r="CO24" s="60">
        <v>1094</v>
      </c>
      <c r="CP24" s="60">
        <v>120</v>
      </c>
      <c r="CQ24" s="60">
        <v>295</v>
      </c>
      <c r="CR24" s="60">
        <v>63</v>
      </c>
      <c r="CS24" s="60">
        <v>1</v>
      </c>
      <c r="CT24" s="60">
        <v>46716</v>
      </c>
      <c r="CU24" s="60">
        <v>262</v>
      </c>
      <c r="CV24" s="60">
        <v>42535</v>
      </c>
      <c r="CW24" s="60">
        <v>3919</v>
      </c>
      <c r="CX24" s="60">
        <v>3504</v>
      </c>
      <c r="CY24" s="60">
        <v>2891</v>
      </c>
      <c r="CZ24" s="60"/>
      <c r="DA24" s="60"/>
      <c r="DB24" s="60">
        <v>159</v>
      </c>
      <c r="DC24" s="60">
        <v>344</v>
      </c>
      <c r="DD24" s="60">
        <v>424</v>
      </c>
      <c r="DE24" s="60">
        <v>798</v>
      </c>
      <c r="DF24" s="60">
        <v>1105</v>
      </c>
      <c r="DG24" s="60">
        <v>978</v>
      </c>
      <c r="DH24" s="60">
        <v>999</v>
      </c>
      <c r="DI24" s="60">
        <v>1401</v>
      </c>
      <c r="DJ24" s="60">
        <v>75</v>
      </c>
      <c r="DK24" s="60">
        <v>112</v>
      </c>
      <c r="DL24" s="60"/>
      <c r="DM24" s="60">
        <v>337</v>
      </c>
      <c r="DN24" s="60">
        <v>1191</v>
      </c>
      <c r="DO24" s="60">
        <v>1246</v>
      </c>
      <c r="DP24" s="60">
        <v>90</v>
      </c>
      <c r="DQ24" s="60">
        <v>3</v>
      </c>
      <c r="DR24" s="60">
        <v>3522</v>
      </c>
      <c r="DS24" s="60">
        <v>6</v>
      </c>
      <c r="DT24" s="60">
        <v>232</v>
      </c>
      <c r="DU24" s="60">
        <v>152</v>
      </c>
      <c r="DV24" s="60">
        <v>190</v>
      </c>
      <c r="DW24" s="60">
        <v>876</v>
      </c>
      <c r="DX24" s="60">
        <v>24</v>
      </c>
      <c r="DY24" s="60">
        <v>25</v>
      </c>
      <c r="DZ24" s="60">
        <v>49</v>
      </c>
      <c r="EA24" s="60">
        <v>4052</v>
      </c>
      <c r="EB24" s="60">
        <v>794</v>
      </c>
      <c r="EC24" s="60">
        <v>1</v>
      </c>
      <c r="ED24" s="60">
        <v>0</v>
      </c>
      <c r="EE24" s="60">
        <v>0</v>
      </c>
      <c r="EF24" s="60">
        <v>0</v>
      </c>
      <c r="EG24" s="60">
        <v>0</v>
      </c>
      <c r="EH24" s="60">
        <v>0</v>
      </c>
      <c r="EI24" s="60">
        <v>1406</v>
      </c>
      <c r="EJ24" s="60">
        <v>3449</v>
      </c>
      <c r="EK24" s="60">
        <v>55</v>
      </c>
      <c r="EL24" s="60">
        <v>918</v>
      </c>
      <c r="EM24" s="60">
        <v>567</v>
      </c>
      <c r="EN24" s="60">
        <v>107</v>
      </c>
      <c r="EO24" s="60">
        <v>81</v>
      </c>
      <c r="EP24" s="60">
        <v>1338</v>
      </c>
      <c r="EQ24" s="60">
        <v>4</v>
      </c>
      <c r="ER24" s="60">
        <v>1011</v>
      </c>
      <c r="ES24" s="60">
        <v>317</v>
      </c>
      <c r="ET24" s="60">
        <v>434</v>
      </c>
      <c r="EU24" s="60">
        <v>559</v>
      </c>
      <c r="EV24" s="60">
        <v>545</v>
      </c>
      <c r="EW24" s="60">
        <v>105</v>
      </c>
      <c r="EX24" s="60">
        <v>118</v>
      </c>
      <c r="EY24" s="60">
        <v>138</v>
      </c>
      <c r="EZ24" s="60"/>
      <c r="FA24" s="60">
        <v>93</v>
      </c>
      <c r="FB24" s="60">
        <v>1060</v>
      </c>
      <c r="FC24" s="60">
        <v>143</v>
      </c>
      <c r="FD24" s="60">
        <v>330</v>
      </c>
      <c r="FE24" s="60"/>
      <c r="FF24" s="60">
        <v>12</v>
      </c>
      <c r="FG24" s="60"/>
      <c r="FH24" s="60">
        <v>287</v>
      </c>
      <c r="FI24" s="60">
        <v>92</v>
      </c>
      <c r="FJ24" s="60">
        <v>732</v>
      </c>
      <c r="FK24" s="60">
        <v>14</v>
      </c>
      <c r="FL24" s="60">
        <v>8</v>
      </c>
      <c r="FM24" s="60">
        <v>27</v>
      </c>
      <c r="FN24" s="60">
        <v>17</v>
      </c>
      <c r="FO24" s="60">
        <v>5063</v>
      </c>
      <c r="FP24" s="60">
        <v>75</v>
      </c>
      <c r="FQ24" s="60">
        <v>9</v>
      </c>
      <c r="FR24" s="60">
        <v>16</v>
      </c>
      <c r="FS24" s="60">
        <v>44</v>
      </c>
      <c r="FT24" s="60">
        <v>8</v>
      </c>
      <c r="FU24" s="60">
        <v>1</v>
      </c>
      <c r="FV24" s="60">
        <v>2</v>
      </c>
      <c r="FW24" s="60"/>
      <c r="FX24" s="60">
        <v>6395</v>
      </c>
      <c r="FY24" s="60">
        <v>108</v>
      </c>
      <c r="FZ24" s="60">
        <v>5895</v>
      </c>
      <c r="GA24" s="60">
        <v>392</v>
      </c>
      <c r="GB24" s="60">
        <v>2011</v>
      </c>
    </row>
    <row r="25" spans="1:184" x14ac:dyDescent="0.3">
      <c r="A25" s="60">
        <v>106070988</v>
      </c>
      <c r="B25" s="61" t="s">
        <v>209</v>
      </c>
      <c r="C25" s="61" t="s">
        <v>210</v>
      </c>
      <c r="D25" s="61" t="s">
        <v>211</v>
      </c>
      <c r="E25" s="61" t="s">
        <v>212</v>
      </c>
      <c r="F25" s="60">
        <v>94598</v>
      </c>
      <c r="G25" s="61" t="s">
        <v>143</v>
      </c>
      <c r="H25" s="61" t="s">
        <v>1669</v>
      </c>
      <c r="I25" s="60">
        <v>15</v>
      </c>
      <c r="J25" s="60">
        <v>7</v>
      </c>
      <c r="K25" s="61" t="s">
        <v>1720</v>
      </c>
      <c r="L25" s="61"/>
      <c r="M25" s="61" t="s">
        <v>1671</v>
      </c>
      <c r="N25" s="61" t="s">
        <v>1717</v>
      </c>
      <c r="O25" s="61" t="s">
        <v>1673</v>
      </c>
      <c r="P25" s="61" t="s">
        <v>1678</v>
      </c>
      <c r="Q25" s="61" t="s">
        <v>1674</v>
      </c>
      <c r="R25" s="60">
        <v>330</v>
      </c>
      <c r="S25" s="61" t="s">
        <v>1675</v>
      </c>
      <c r="T25" s="60">
        <v>19558</v>
      </c>
      <c r="U25" s="60">
        <v>15340</v>
      </c>
      <c r="V25" s="60"/>
      <c r="W25" s="60"/>
      <c r="X25" s="60">
        <v>3564</v>
      </c>
      <c r="Y25" s="60">
        <v>3656</v>
      </c>
      <c r="Z25" s="60">
        <v>4185</v>
      </c>
      <c r="AA25" s="60">
        <v>3802</v>
      </c>
      <c r="AB25" s="60">
        <v>4648</v>
      </c>
      <c r="AC25" s="60">
        <v>4083</v>
      </c>
      <c r="AD25" s="60">
        <v>3249</v>
      </c>
      <c r="AE25" s="60">
        <v>2636</v>
      </c>
      <c r="AF25" s="60">
        <v>4401</v>
      </c>
      <c r="AG25" s="60">
        <v>674</v>
      </c>
      <c r="AH25" s="60"/>
      <c r="AI25" s="60">
        <v>2057</v>
      </c>
      <c r="AJ25" s="60">
        <v>1612</v>
      </c>
      <c r="AK25" s="60">
        <v>2295</v>
      </c>
      <c r="AL25" s="60">
        <v>41</v>
      </c>
      <c r="AM25" s="60">
        <v>2947</v>
      </c>
      <c r="AN25" s="60">
        <v>337</v>
      </c>
      <c r="AO25" s="60">
        <v>25609</v>
      </c>
      <c r="AP25" s="60">
        <v>162</v>
      </c>
      <c r="AQ25" s="60">
        <v>170</v>
      </c>
      <c r="AR25" s="60">
        <v>55</v>
      </c>
      <c r="AS25" s="60">
        <v>79</v>
      </c>
      <c r="AT25" s="60">
        <v>22</v>
      </c>
      <c r="AU25" s="60">
        <v>37</v>
      </c>
      <c r="AV25" s="60">
        <v>2</v>
      </c>
      <c r="AW25" s="60">
        <v>5</v>
      </c>
      <c r="AX25" s="60"/>
      <c r="AY25" s="60">
        <v>240</v>
      </c>
      <c r="AZ25" s="60"/>
      <c r="BA25" s="60">
        <v>33778</v>
      </c>
      <c r="BB25" s="60">
        <v>319</v>
      </c>
      <c r="BC25" s="60">
        <v>29</v>
      </c>
      <c r="BD25" s="60"/>
      <c r="BE25" s="60">
        <v>836</v>
      </c>
      <c r="BF25" s="60">
        <v>8131</v>
      </c>
      <c r="BG25" s="60">
        <v>2652</v>
      </c>
      <c r="BH25" s="60">
        <v>20962</v>
      </c>
      <c r="BI25" s="60">
        <v>2317</v>
      </c>
      <c r="BJ25" s="60">
        <v>529</v>
      </c>
      <c r="BK25" s="60">
        <v>108</v>
      </c>
      <c r="BL25" s="60">
        <v>1010</v>
      </c>
      <c r="BM25" s="60">
        <v>4</v>
      </c>
      <c r="BN25" s="60">
        <v>1315</v>
      </c>
      <c r="BO25" s="60">
        <v>372</v>
      </c>
      <c r="BP25" s="60">
        <v>1650</v>
      </c>
      <c r="BQ25" s="60">
        <v>551</v>
      </c>
      <c r="BR25" s="60">
        <v>9937</v>
      </c>
      <c r="BS25" s="60">
        <v>2243</v>
      </c>
      <c r="BT25" s="60">
        <v>20</v>
      </c>
      <c r="BU25" s="60">
        <v>1622</v>
      </c>
      <c r="BV25" s="60">
        <v>578</v>
      </c>
      <c r="BW25" s="60">
        <v>27</v>
      </c>
      <c r="BX25" s="60">
        <v>1000</v>
      </c>
      <c r="BY25" s="60">
        <v>2424</v>
      </c>
      <c r="BZ25" s="60">
        <v>1252</v>
      </c>
      <c r="CA25" s="60">
        <v>10256</v>
      </c>
      <c r="CB25" s="60"/>
      <c r="CC25" s="60"/>
      <c r="CD25" s="60">
        <v>3803</v>
      </c>
      <c r="CE25" s="60">
        <v>97</v>
      </c>
      <c r="CF25" s="60">
        <v>299</v>
      </c>
      <c r="CG25" s="60">
        <v>8</v>
      </c>
      <c r="CH25" s="60">
        <v>260</v>
      </c>
      <c r="CI25" s="60">
        <v>2</v>
      </c>
      <c r="CJ25" s="60">
        <v>223</v>
      </c>
      <c r="CK25" s="60">
        <v>456</v>
      </c>
      <c r="CL25" s="60">
        <v>24142</v>
      </c>
      <c r="CM25" s="60">
        <v>4054</v>
      </c>
      <c r="CN25" s="60">
        <v>321</v>
      </c>
      <c r="CO25" s="60">
        <v>958</v>
      </c>
      <c r="CP25" s="60">
        <v>81</v>
      </c>
      <c r="CQ25" s="60">
        <v>189</v>
      </c>
      <c r="CR25" s="60">
        <v>5</v>
      </c>
      <c r="CS25" s="60"/>
      <c r="CT25" s="60">
        <v>34898</v>
      </c>
      <c r="CU25" s="60">
        <v>591</v>
      </c>
      <c r="CV25" s="60">
        <v>33661</v>
      </c>
      <c r="CW25" s="60">
        <v>646</v>
      </c>
      <c r="CX25" s="60">
        <v>5330</v>
      </c>
      <c r="CY25" s="60">
        <v>4688</v>
      </c>
      <c r="CZ25" s="60"/>
      <c r="DA25" s="60"/>
      <c r="DB25" s="60">
        <v>324</v>
      </c>
      <c r="DC25" s="60">
        <v>561</v>
      </c>
      <c r="DD25" s="60">
        <v>492</v>
      </c>
      <c r="DE25" s="60">
        <v>851</v>
      </c>
      <c r="DF25" s="60">
        <v>1130</v>
      </c>
      <c r="DG25" s="60">
        <v>1296</v>
      </c>
      <c r="DH25" s="60">
        <v>1648</v>
      </c>
      <c r="DI25" s="60">
        <v>3406</v>
      </c>
      <c r="DJ25" s="60">
        <v>72</v>
      </c>
      <c r="DK25" s="60">
        <v>238</v>
      </c>
      <c r="DL25" s="60"/>
      <c r="DM25" s="60">
        <v>566</v>
      </c>
      <c r="DN25" s="60">
        <v>483</v>
      </c>
      <c r="DO25" s="60">
        <v>408</v>
      </c>
      <c r="DP25" s="60">
        <v>456</v>
      </c>
      <c r="DQ25" s="60">
        <v>122</v>
      </c>
      <c r="DR25" s="60">
        <v>7979</v>
      </c>
      <c r="DS25" s="60">
        <v>4</v>
      </c>
      <c r="DT25" s="60">
        <v>329</v>
      </c>
      <c r="DU25" s="60">
        <v>76</v>
      </c>
      <c r="DV25" s="60">
        <v>394</v>
      </c>
      <c r="DW25" s="60">
        <v>1613</v>
      </c>
      <c r="DX25" s="60">
        <v>323</v>
      </c>
      <c r="DY25" s="60">
        <v>41</v>
      </c>
      <c r="DZ25" s="60">
        <v>171</v>
      </c>
      <c r="EA25" s="60">
        <v>5325</v>
      </c>
      <c r="EB25" s="60">
        <v>1737</v>
      </c>
      <c r="EC25" s="60">
        <v>9</v>
      </c>
      <c r="ED25" s="60">
        <v>0</v>
      </c>
      <c r="EE25" s="60">
        <v>0</v>
      </c>
      <c r="EF25" s="60">
        <v>0</v>
      </c>
      <c r="EG25" s="60">
        <v>0</v>
      </c>
      <c r="EH25" s="60">
        <v>0</v>
      </c>
      <c r="EI25" s="60">
        <v>586</v>
      </c>
      <c r="EJ25" s="60">
        <v>5875</v>
      </c>
      <c r="EK25" s="60">
        <v>190</v>
      </c>
      <c r="EL25" s="60">
        <v>2916</v>
      </c>
      <c r="EM25" s="60">
        <v>451</v>
      </c>
      <c r="EN25" s="60">
        <v>110</v>
      </c>
      <c r="EO25" s="60">
        <v>121</v>
      </c>
      <c r="EP25" s="60">
        <v>1564</v>
      </c>
      <c r="EQ25" s="60">
        <v>12</v>
      </c>
      <c r="ER25" s="60">
        <v>1440</v>
      </c>
      <c r="ES25" s="60">
        <v>332</v>
      </c>
      <c r="ET25" s="60">
        <v>551</v>
      </c>
      <c r="EU25" s="60">
        <v>658</v>
      </c>
      <c r="EV25" s="60">
        <v>2312</v>
      </c>
      <c r="EW25" s="60">
        <v>277</v>
      </c>
      <c r="EX25" s="60">
        <v>300</v>
      </c>
      <c r="EY25" s="60">
        <v>280</v>
      </c>
      <c r="EZ25" s="60">
        <v>14</v>
      </c>
      <c r="FA25" s="60">
        <v>114</v>
      </c>
      <c r="FB25" s="60">
        <v>1135</v>
      </c>
      <c r="FC25" s="60">
        <v>266</v>
      </c>
      <c r="FD25" s="60">
        <v>507</v>
      </c>
      <c r="FE25" s="60"/>
      <c r="FF25" s="60">
        <v>25</v>
      </c>
      <c r="FG25" s="60"/>
      <c r="FH25" s="60">
        <v>906</v>
      </c>
      <c r="FI25" s="60">
        <v>61</v>
      </c>
      <c r="FJ25" s="60">
        <v>861</v>
      </c>
      <c r="FK25" s="60">
        <v>208</v>
      </c>
      <c r="FL25" s="60">
        <v>19</v>
      </c>
      <c r="FM25" s="60">
        <v>564</v>
      </c>
      <c r="FN25" s="60">
        <v>27</v>
      </c>
      <c r="FO25" s="60">
        <v>6595</v>
      </c>
      <c r="FP25" s="60">
        <v>191</v>
      </c>
      <c r="FQ25" s="60">
        <v>81</v>
      </c>
      <c r="FR25" s="60">
        <v>402</v>
      </c>
      <c r="FS25" s="60">
        <v>60</v>
      </c>
      <c r="FT25" s="60">
        <v>40</v>
      </c>
      <c r="FU25" s="60">
        <v>2</v>
      </c>
      <c r="FV25" s="60">
        <v>1</v>
      </c>
      <c r="FW25" s="60"/>
      <c r="FX25" s="60">
        <v>10018</v>
      </c>
      <c r="FY25" s="60">
        <v>170</v>
      </c>
      <c r="FZ25" s="60">
        <v>9708</v>
      </c>
      <c r="GA25" s="60">
        <v>140</v>
      </c>
      <c r="GB25" s="60">
        <v>2011</v>
      </c>
    </row>
    <row r="26" spans="1:184" x14ac:dyDescent="0.3">
      <c r="A26" s="60">
        <v>106070990</v>
      </c>
      <c r="B26" s="61" t="s">
        <v>213</v>
      </c>
      <c r="C26" s="61" t="s">
        <v>1721</v>
      </c>
      <c r="D26" s="61" t="s">
        <v>214</v>
      </c>
      <c r="E26" s="61" t="s">
        <v>212</v>
      </c>
      <c r="F26" s="60">
        <v>94596</v>
      </c>
      <c r="G26" s="61"/>
      <c r="H26" s="61" t="s">
        <v>1669</v>
      </c>
      <c r="I26" s="60">
        <v>15</v>
      </c>
      <c r="J26" s="60">
        <v>7</v>
      </c>
      <c r="K26" s="61" t="s">
        <v>1720</v>
      </c>
      <c r="L26" s="61"/>
      <c r="M26" s="61" t="s">
        <v>1671</v>
      </c>
      <c r="N26" s="61" t="s">
        <v>1717</v>
      </c>
      <c r="O26" s="61" t="s">
        <v>1673</v>
      </c>
      <c r="P26" s="61" t="s">
        <v>1678</v>
      </c>
      <c r="Q26" s="61" t="s">
        <v>1674</v>
      </c>
      <c r="R26" s="60">
        <v>233</v>
      </c>
      <c r="S26" s="61" t="s">
        <v>1675</v>
      </c>
      <c r="T26" s="60">
        <v>23356</v>
      </c>
      <c r="U26" s="60">
        <v>19425</v>
      </c>
      <c r="V26" s="60">
        <v>2</v>
      </c>
      <c r="W26" s="60"/>
      <c r="X26" s="60">
        <v>3868</v>
      </c>
      <c r="Y26" s="60">
        <v>4358</v>
      </c>
      <c r="Z26" s="60">
        <v>4631</v>
      </c>
      <c r="AA26" s="60">
        <v>4251</v>
      </c>
      <c r="AB26" s="60">
        <v>5047</v>
      </c>
      <c r="AC26" s="60">
        <v>5528</v>
      </c>
      <c r="AD26" s="60">
        <v>4765</v>
      </c>
      <c r="AE26" s="60">
        <v>4238</v>
      </c>
      <c r="AF26" s="60">
        <v>5429</v>
      </c>
      <c r="AG26" s="60">
        <v>668</v>
      </c>
      <c r="AH26" s="60"/>
      <c r="AI26" s="60">
        <v>4530</v>
      </c>
      <c r="AJ26" s="60">
        <v>2158</v>
      </c>
      <c r="AK26" s="60">
        <v>4934</v>
      </c>
      <c r="AL26" s="60">
        <v>137</v>
      </c>
      <c r="AM26" s="60">
        <v>846</v>
      </c>
      <c r="AN26" s="60">
        <v>928</v>
      </c>
      <c r="AO26" s="60">
        <v>29250</v>
      </c>
      <c r="AP26" s="60">
        <v>314</v>
      </c>
      <c r="AQ26" s="60">
        <v>430</v>
      </c>
      <c r="AR26" s="60">
        <v>4</v>
      </c>
      <c r="AS26" s="60">
        <v>78</v>
      </c>
      <c r="AT26" s="60">
        <v>73</v>
      </c>
      <c r="AU26" s="60">
        <v>77</v>
      </c>
      <c r="AV26" s="60">
        <v>19</v>
      </c>
      <c r="AW26" s="60"/>
      <c r="AX26" s="60">
        <v>8</v>
      </c>
      <c r="AY26" s="60">
        <v>298</v>
      </c>
      <c r="AZ26" s="60">
        <v>11</v>
      </c>
      <c r="BA26" s="60">
        <v>41048</v>
      </c>
      <c r="BB26" s="60">
        <v>330</v>
      </c>
      <c r="BC26" s="60">
        <v>92</v>
      </c>
      <c r="BD26" s="60">
        <v>1</v>
      </c>
      <c r="BE26" s="60">
        <v>1393</v>
      </c>
      <c r="BF26" s="60">
        <v>11646</v>
      </c>
      <c r="BG26" s="60">
        <v>98</v>
      </c>
      <c r="BH26" s="60">
        <v>27672</v>
      </c>
      <c r="BI26" s="60">
        <v>1974</v>
      </c>
      <c r="BJ26" s="60">
        <v>570</v>
      </c>
      <c r="BK26" s="60">
        <v>248</v>
      </c>
      <c r="BL26" s="60">
        <v>1741</v>
      </c>
      <c r="BM26" s="60">
        <v>16</v>
      </c>
      <c r="BN26" s="60">
        <v>2448</v>
      </c>
      <c r="BO26" s="60">
        <v>725</v>
      </c>
      <c r="BP26" s="60">
        <v>2250</v>
      </c>
      <c r="BQ26" s="60">
        <v>648</v>
      </c>
      <c r="BR26" s="60">
        <v>10816</v>
      </c>
      <c r="BS26" s="60">
        <v>2436</v>
      </c>
      <c r="BT26" s="60">
        <v>91</v>
      </c>
      <c r="BU26" s="60">
        <v>2372</v>
      </c>
      <c r="BV26" s="60">
        <v>930</v>
      </c>
      <c r="BW26" s="60">
        <v>29</v>
      </c>
      <c r="BX26" s="60">
        <v>1507</v>
      </c>
      <c r="BY26" s="60">
        <v>3164</v>
      </c>
      <c r="BZ26" s="60">
        <v>1240</v>
      </c>
      <c r="CA26" s="60">
        <v>11552</v>
      </c>
      <c r="CB26" s="60"/>
      <c r="CC26" s="60"/>
      <c r="CD26" s="60">
        <v>3946</v>
      </c>
      <c r="CE26" s="60">
        <v>178</v>
      </c>
      <c r="CF26" s="60">
        <v>607</v>
      </c>
      <c r="CG26" s="60">
        <v>27</v>
      </c>
      <c r="CH26" s="60">
        <v>196</v>
      </c>
      <c r="CI26" s="60">
        <v>26</v>
      </c>
      <c r="CJ26" s="60">
        <v>162</v>
      </c>
      <c r="CK26" s="60">
        <v>441</v>
      </c>
      <c r="CL26" s="60">
        <v>30492</v>
      </c>
      <c r="CM26" s="60">
        <v>5027</v>
      </c>
      <c r="CN26" s="60">
        <v>288</v>
      </c>
      <c r="CO26" s="60">
        <v>1016</v>
      </c>
      <c r="CP26" s="60">
        <v>90</v>
      </c>
      <c r="CQ26" s="60">
        <v>240</v>
      </c>
      <c r="CR26" s="60">
        <v>47</v>
      </c>
      <c r="CS26" s="60"/>
      <c r="CT26" s="60">
        <v>42783</v>
      </c>
      <c r="CU26" s="60">
        <v>566</v>
      </c>
      <c r="CV26" s="60">
        <v>41024</v>
      </c>
      <c r="CW26" s="60">
        <v>1193</v>
      </c>
      <c r="CX26" s="60">
        <v>4162</v>
      </c>
      <c r="CY26" s="60">
        <v>3557</v>
      </c>
      <c r="CZ26" s="60"/>
      <c r="DA26" s="60"/>
      <c r="DB26" s="60">
        <v>137</v>
      </c>
      <c r="DC26" s="60">
        <v>211</v>
      </c>
      <c r="DD26" s="60">
        <v>257</v>
      </c>
      <c r="DE26" s="60">
        <v>522</v>
      </c>
      <c r="DF26" s="60">
        <v>885</v>
      </c>
      <c r="DG26" s="60">
        <v>1306</v>
      </c>
      <c r="DH26" s="60">
        <v>1642</v>
      </c>
      <c r="DI26" s="60">
        <v>2568</v>
      </c>
      <c r="DJ26" s="60">
        <v>59</v>
      </c>
      <c r="DK26" s="60">
        <v>132</v>
      </c>
      <c r="DL26" s="60"/>
      <c r="DM26" s="60">
        <v>629</v>
      </c>
      <c r="DN26" s="60">
        <v>289</v>
      </c>
      <c r="DO26" s="60">
        <v>503</v>
      </c>
      <c r="DP26" s="60">
        <v>65</v>
      </c>
      <c r="DQ26" s="60">
        <v>20</v>
      </c>
      <c r="DR26" s="60">
        <v>6191</v>
      </c>
      <c r="DS26" s="60">
        <v>22</v>
      </c>
      <c r="DT26" s="60">
        <v>152</v>
      </c>
      <c r="DU26" s="60">
        <v>74</v>
      </c>
      <c r="DV26" s="60">
        <v>315</v>
      </c>
      <c r="DW26" s="60">
        <v>921</v>
      </c>
      <c r="DX26" s="60">
        <v>76</v>
      </c>
      <c r="DY26" s="60">
        <v>24</v>
      </c>
      <c r="DZ26" s="60">
        <v>168</v>
      </c>
      <c r="EA26" s="60">
        <v>4706</v>
      </c>
      <c r="EB26" s="60">
        <v>1283</v>
      </c>
      <c r="EC26" s="60"/>
      <c r="ED26" s="60">
        <v>0</v>
      </c>
      <c r="EE26" s="60">
        <v>0</v>
      </c>
      <c r="EF26" s="60">
        <v>0</v>
      </c>
      <c r="EG26" s="60">
        <v>0</v>
      </c>
      <c r="EH26" s="60">
        <v>0</v>
      </c>
      <c r="EI26" s="60">
        <v>89</v>
      </c>
      <c r="EJ26" s="60">
        <v>4932</v>
      </c>
      <c r="EK26" s="60">
        <v>5</v>
      </c>
      <c r="EL26" s="60">
        <v>2602</v>
      </c>
      <c r="EM26" s="60">
        <v>91</v>
      </c>
      <c r="EN26" s="60">
        <v>37</v>
      </c>
      <c r="EO26" s="60">
        <v>105</v>
      </c>
      <c r="EP26" s="60">
        <v>1520</v>
      </c>
      <c r="EQ26" s="60">
        <v>2</v>
      </c>
      <c r="ER26" s="60">
        <v>1231</v>
      </c>
      <c r="ES26" s="60">
        <v>272</v>
      </c>
      <c r="ET26" s="60">
        <v>416</v>
      </c>
      <c r="EU26" s="60">
        <v>1509</v>
      </c>
      <c r="EV26" s="60">
        <v>706</v>
      </c>
      <c r="EW26" s="60">
        <v>118</v>
      </c>
      <c r="EX26" s="60">
        <v>209</v>
      </c>
      <c r="EY26" s="60">
        <v>145</v>
      </c>
      <c r="EZ26" s="60">
        <v>12</v>
      </c>
      <c r="FA26" s="60">
        <v>143</v>
      </c>
      <c r="FB26" s="60">
        <v>713</v>
      </c>
      <c r="FC26" s="60">
        <v>196</v>
      </c>
      <c r="FD26" s="60">
        <v>367</v>
      </c>
      <c r="FE26" s="60"/>
      <c r="FF26" s="60">
        <v>18</v>
      </c>
      <c r="FG26" s="60"/>
      <c r="FH26" s="60">
        <v>533</v>
      </c>
      <c r="FI26" s="60">
        <v>27</v>
      </c>
      <c r="FJ26" s="60">
        <v>926</v>
      </c>
      <c r="FK26" s="60">
        <v>10</v>
      </c>
      <c r="FL26" s="60">
        <v>20</v>
      </c>
      <c r="FM26" s="60">
        <v>380</v>
      </c>
      <c r="FN26" s="60">
        <v>39</v>
      </c>
      <c r="FO26" s="60">
        <v>5588</v>
      </c>
      <c r="FP26" s="60">
        <v>102</v>
      </c>
      <c r="FQ26" s="60">
        <v>11</v>
      </c>
      <c r="FR26" s="60">
        <v>18</v>
      </c>
      <c r="FS26" s="60">
        <v>26</v>
      </c>
      <c r="FT26" s="60">
        <v>18</v>
      </c>
      <c r="FU26" s="60">
        <v>19</v>
      </c>
      <c r="FV26" s="60">
        <v>2</v>
      </c>
      <c r="FW26" s="60"/>
      <c r="FX26" s="60">
        <v>7719</v>
      </c>
      <c r="FY26" s="60">
        <v>104</v>
      </c>
      <c r="FZ26" s="60">
        <v>7522</v>
      </c>
      <c r="GA26" s="60">
        <v>93</v>
      </c>
      <c r="GB26" s="60">
        <v>2011</v>
      </c>
    </row>
    <row r="27" spans="1:184" x14ac:dyDescent="0.3">
      <c r="A27" s="60">
        <v>106071018</v>
      </c>
      <c r="B27" s="61" t="s">
        <v>215</v>
      </c>
      <c r="C27" s="61" t="s">
        <v>216</v>
      </c>
      <c r="D27" s="61" t="s">
        <v>217</v>
      </c>
      <c r="E27" s="61" t="s">
        <v>218</v>
      </c>
      <c r="F27" s="60">
        <v>94520</v>
      </c>
      <c r="G27" s="61"/>
      <c r="H27" s="61" t="s">
        <v>1669</v>
      </c>
      <c r="I27" s="60">
        <v>11</v>
      </c>
      <c r="J27" s="60">
        <v>7</v>
      </c>
      <c r="K27" s="61" t="s">
        <v>1722</v>
      </c>
      <c r="L27" s="61"/>
      <c r="M27" s="61" t="s">
        <v>1671</v>
      </c>
      <c r="N27" s="61" t="s">
        <v>1717</v>
      </c>
      <c r="O27" s="61" t="s">
        <v>1673</v>
      </c>
      <c r="P27" s="61" t="s">
        <v>1678</v>
      </c>
      <c r="Q27" s="61" t="s">
        <v>1674</v>
      </c>
      <c r="R27" s="60">
        <v>313</v>
      </c>
      <c r="S27" s="61" t="s">
        <v>1675</v>
      </c>
      <c r="T27" s="60">
        <v>22959</v>
      </c>
      <c r="U27" s="60">
        <v>17383</v>
      </c>
      <c r="V27" s="60">
        <v>1</v>
      </c>
      <c r="W27" s="60"/>
      <c r="X27" s="60">
        <v>5093</v>
      </c>
      <c r="Y27" s="60">
        <v>4201</v>
      </c>
      <c r="Z27" s="60">
        <v>6342</v>
      </c>
      <c r="AA27" s="60">
        <v>5366</v>
      </c>
      <c r="AB27" s="60">
        <v>5756</v>
      </c>
      <c r="AC27" s="60">
        <v>5227</v>
      </c>
      <c r="AD27" s="60">
        <v>3099</v>
      </c>
      <c r="AE27" s="60">
        <v>2218</v>
      </c>
      <c r="AF27" s="60">
        <v>2063</v>
      </c>
      <c r="AG27" s="60">
        <v>978</v>
      </c>
      <c r="AH27" s="60"/>
      <c r="AI27" s="60">
        <v>1385</v>
      </c>
      <c r="AJ27" s="60">
        <v>4868</v>
      </c>
      <c r="AK27" s="60">
        <v>9567</v>
      </c>
      <c r="AL27" s="60">
        <v>67</v>
      </c>
      <c r="AM27" s="60">
        <v>5784</v>
      </c>
      <c r="AN27" s="60">
        <v>393</v>
      </c>
      <c r="AO27" s="60">
        <v>18279</v>
      </c>
      <c r="AP27" s="60">
        <v>703</v>
      </c>
      <c r="AQ27" s="60">
        <v>333</v>
      </c>
      <c r="AR27" s="60"/>
      <c r="AS27" s="60">
        <v>73</v>
      </c>
      <c r="AT27" s="60">
        <v>51</v>
      </c>
      <c r="AU27" s="60">
        <v>3</v>
      </c>
      <c r="AV27" s="60">
        <v>3</v>
      </c>
      <c r="AW27" s="60">
        <v>2</v>
      </c>
      <c r="AX27" s="60">
        <v>127</v>
      </c>
      <c r="AY27" s="60">
        <v>523</v>
      </c>
      <c r="AZ27" s="60"/>
      <c r="BA27" s="60">
        <v>37961</v>
      </c>
      <c r="BB27" s="60">
        <v>403</v>
      </c>
      <c r="BC27" s="60">
        <v>161</v>
      </c>
      <c r="BD27" s="60"/>
      <c r="BE27" s="60">
        <v>13187</v>
      </c>
      <c r="BF27" s="60">
        <v>8209</v>
      </c>
      <c r="BG27" s="60">
        <v>1776</v>
      </c>
      <c r="BH27" s="60">
        <v>10631</v>
      </c>
      <c r="BI27" s="60">
        <v>6540</v>
      </c>
      <c r="BJ27" s="60">
        <v>831</v>
      </c>
      <c r="BK27" s="60">
        <v>127</v>
      </c>
      <c r="BL27" s="60">
        <v>993</v>
      </c>
      <c r="BM27" s="60">
        <v>1</v>
      </c>
      <c r="BN27" s="60">
        <v>2014</v>
      </c>
      <c r="BO27" s="60">
        <v>529</v>
      </c>
      <c r="BP27" s="60">
        <v>2175</v>
      </c>
      <c r="BQ27" s="60">
        <v>1020</v>
      </c>
      <c r="BR27" s="60">
        <v>8323</v>
      </c>
      <c r="BS27" s="60">
        <v>2625</v>
      </c>
      <c r="BT27" s="60">
        <v>65</v>
      </c>
      <c r="BU27" s="60">
        <v>2505</v>
      </c>
      <c r="BV27" s="60">
        <v>1035</v>
      </c>
      <c r="BW27" s="60">
        <v>22</v>
      </c>
      <c r="BX27" s="60">
        <v>1649</v>
      </c>
      <c r="BY27" s="60">
        <v>4478</v>
      </c>
      <c r="BZ27" s="60">
        <v>1938</v>
      </c>
      <c r="CA27" s="60">
        <v>10013</v>
      </c>
      <c r="CB27" s="60"/>
      <c r="CC27" s="60"/>
      <c r="CD27" s="60">
        <v>2605</v>
      </c>
      <c r="CE27" s="60">
        <v>176</v>
      </c>
      <c r="CF27" s="60">
        <v>273</v>
      </c>
      <c r="CG27" s="60">
        <v>13</v>
      </c>
      <c r="CH27" s="60">
        <v>496</v>
      </c>
      <c r="CI27" s="60">
        <v>166</v>
      </c>
      <c r="CJ27" s="60">
        <v>29</v>
      </c>
      <c r="CK27" s="60">
        <v>361</v>
      </c>
      <c r="CL27" s="60">
        <v>31370</v>
      </c>
      <c r="CM27" s="60">
        <v>3528</v>
      </c>
      <c r="CN27" s="60">
        <v>178</v>
      </c>
      <c r="CO27" s="60">
        <v>806</v>
      </c>
      <c r="CP27" s="60">
        <v>91</v>
      </c>
      <c r="CQ27" s="60">
        <v>249</v>
      </c>
      <c r="CR27" s="60">
        <v>2</v>
      </c>
      <c r="CS27" s="60"/>
      <c r="CT27" s="60">
        <v>40343</v>
      </c>
      <c r="CU27" s="60">
        <v>526</v>
      </c>
      <c r="CV27" s="60">
        <v>35440</v>
      </c>
      <c r="CW27" s="60">
        <v>4377</v>
      </c>
      <c r="CX27" s="60">
        <v>3463</v>
      </c>
      <c r="CY27" s="60">
        <v>2995</v>
      </c>
      <c r="CZ27" s="60"/>
      <c r="DA27" s="60"/>
      <c r="DB27" s="60">
        <v>50</v>
      </c>
      <c r="DC27" s="60">
        <v>220</v>
      </c>
      <c r="DD27" s="60">
        <v>335</v>
      </c>
      <c r="DE27" s="60">
        <v>684</v>
      </c>
      <c r="DF27" s="60">
        <v>1151</v>
      </c>
      <c r="DG27" s="60">
        <v>1214</v>
      </c>
      <c r="DH27" s="60">
        <v>1228</v>
      </c>
      <c r="DI27" s="60">
        <v>1572</v>
      </c>
      <c r="DJ27" s="60"/>
      <c r="DK27" s="60">
        <v>4</v>
      </c>
      <c r="DL27" s="60"/>
      <c r="DM27" s="60">
        <v>382</v>
      </c>
      <c r="DN27" s="60">
        <v>647</v>
      </c>
      <c r="DO27" s="60">
        <v>723</v>
      </c>
      <c r="DP27" s="60">
        <v>575</v>
      </c>
      <c r="DQ27" s="60"/>
      <c r="DR27" s="60">
        <v>4126</v>
      </c>
      <c r="DS27" s="60">
        <v>5</v>
      </c>
      <c r="DT27" s="60">
        <v>141</v>
      </c>
      <c r="DU27" s="60">
        <v>110</v>
      </c>
      <c r="DV27" s="60">
        <v>271</v>
      </c>
      <c r="DW27" s="60">
        <v>964</v>
      </c>
      <c r="DX27" s="60">
        <v>140</v>
      </c>
      <c r="DY27" s="60">
        <v>21</v>
      </c>
      <c r="DZ27" s="60">
        <v>59</v>
      </c>
      <c r="EA27" s="60">
        <v>3714</v>
      </c>
      <c r="EB27" s="60">
        <v>1034</v>
      </c>
      <c r="EC27" s="60">
        <v>4</v>
      </c>
      <c r="ED27" s="60">
        <v>0</v>
      </c>
      <c r="EE27" s="60">
        <v>0</v>
      </c>
      <c r="EF27" s="60">
        <v>0</v>
      </c>
      <c r="EG27" s="60">
        <v>0</v>
      </c>
      <c r="EH27" s="60">
        <v>0</v>
      </c>
      <c r="EI27" s="60">
        <v>781</v>
      </c>
      <c r="EJ27" s="60">
        <v>3921</v>
      </c>
      <c r="EK27" s="60">
        <v>24</v>
      </c>
      <c r="EL27" s="60">
        <v>1357</v>
      </c>
      <c r="EM27" s="60">
        <v>375</v>
      </c>
      <c r="EN27" s="60">
        <v>23</v>
      </c>
      <c r="EO27" s="60">
        <v>105</v>
      </c>
      <c r="EP27" s="60">
        <v>1380</v>
      </c>
      <c r="EQ27" s="60">
        <v>2</v>
      </c>
      <c r="ER27" s="60">
        <v>1059</v>
      </c>
      <c r="ES27" s="60">
        <v>369</v>
      </c>
      <c r="ET27" s="60">
        <v>397</v>
      </c>
      <c r="EU27" s="60">
        <v>534</v>
      </c>
      <c r="EV27" s="60">
        <v>649</v>
      </c>
      <c r="EW27" s="60">
        <v>146</v>
      </c>
      <c r="EX27" s="60">
        <v>166</v>
      </c>
      <c r="EY27" s="60">
        <v>138</v>
      </c>
      <c r="EZ27" s="60">
        <v>7</v>
      </c>
      <c r="FA27" s="60">
        <v>107</v>
      </c>
      <c r="FB27" s="60">
        <v>878</v>
      </c>
      <c r="FC27" s="60">
        <v>177</v>
      </c>
      <c r="FD27" s="60">
        <v>321</v>
      </c>
      <c r="FE27" s="60"/>
      <c r="FF27" s="60"/>
      <c r="FG27" s="60"/>
      <c r="FH27" s="60">
        <v>298</v>
      </c>
      <c r="FI27" s="60">
        <v>89</v>
      </c>
      <c r="FJ27" s="60">
        <v>953</v>
      </c>
      <c r="FK27" s="60">
        <v>2</v>
      </c>
      <c r="FL27" s="60">
        <v>28</v>
      </c>
      <c r="FM27" s="60">
        <v>295</v>
      </c>
      <c r="FN27" s="60">
        <v>13</v>
      </c>
      <c r="FO27" s="60">
        <v>4614</v>
      </c>
      <c r="FP27" s="60">
        <v>89</v>
      </c>
      <c r="FQ27" s="60">
        <v>5</v>
      </c>
      <c r="FR27" s="60">
        <v>9</v>
      </c>
      <c r="FS27" s="60">
        <v>44</v>
      </c>
      <c r="FT27" s="60">
        <v>16</v>
      </c>
      <c r="FU27" s="60">
        <v>2</v>
      </c>
      <c r="FV27" s="60">
        <v>1</v>
      </c>
      <c r="FW27" s="60"/>
      <c r="FX27" s="60">
        <v>6458</v>
      </c>
      <c r="FY27" s="60">
        <v>198</v>
      </c>
      <c r="FZ27" s="60">
        <v>5914</v>
      </c>
      <c r="GA27" s="60">
        <v>346</v>
      </c>
      <c r="GB27" s="60">
        <v>2011</v>
      </c>
    </row>
    <row r="28" spans="1:184" x14ac:dyDescent="0.3">
      <c r="A28" s="60">
        <v>106074017</v>
      </c>
      <c r="B28" s="61" t="s">
        <v>219</v>
      </c>
      <c r="C28" s="61" t="s">
        <v>220</v>
      </c>
      <c r="D28" s="61" t="s">
        <v>222</v>
      </c>
      <c r="E28" s="61" t="s">
        <v>223</v>
      </c>
      <c r="F28" s="60">
        <v>94583</v>
      </c>
      <c r="G28" s="61"/>
      <c r="H28" s="61" t="s">
        <v>1669</v>
      </c>
      <c r="I28" s="60">
        <v>15</v>
      </c>
      <c r="J28" s="60">
        <v>7</v>
      </c>
      <c r="K28" s="61" t="s">
        <v>1723</v>
      </c>
      <c r="L28" s="61"/>
      <c r="M28" s="61" t="s">
        <v>1671</v>
      </c>
      <c r="N28" s="61" t="s">
        <v>1717</v>
      </c>
      <c r="O28" s="61" t="s">
        <v>1673</v>
      </c>
      <c r="P28" s="61" t="s">
        <v>221</v>
      </c>
      <c r="Q28" s="61" t="s">
        <v>1674</v>
      </c>
      <c r="R28" s="60">
        <v>123</v>
      </c>
      <c r="S28" s="61" t="s">
        <v>1675</v>
      </c>
      <c r="T28" s="60">
        <v>7419</v>
      </c>
      <c r="U28" s="60">
        <v>6298</v>
      </c>
      <c r="V28" s="60"/>
      <c r="W28" s="60"/>
      <c r="X28" s="60">
        <v>1586</v>
      </c>
      <c r="Y28" s="60">
        <v>1721</v>
      </c>
      <c r="Z28" s="60">
        <v>1419</v>
      </c>
      <c r="AA28" s="60">
        <v>1673</v>
      </c>
      <c r="AB28" s="60">
        <v>2087</v>
      </c>
      <c r="AC28" s="60">
        <v>1799</v>
      </c>
      <c r="AD28" s="60">
        <v>1321</v>
      </c>
      <c r="AE28" s="60">
        <v>859</v>
      </c>
      <c r="AF28" s="60">
        <v>1060</v>
      </c>
      <c r="AG28" s="60">
        <v>192</v>
      </c>
      <c r="AH28" s="60"/>
      <c r="AI28" s="60">
        <v>1187</v>
      </c>
      <c r="AJ28" s="60">
        <v>552</v>
      </c>
      <c r="AK28" s="60">
        <v>605</v>
      </c>
      <c r="AL28" s="60">
        <v>8</v>
      </c>
      <c r="AM28" s="60">
        <v>1551</v>
      </c>
      <c r="AN28" s="60">
        <v>95</v>
      </c>
      <c r="AO28" s="60">
        <v>9719</v>
      </c>
      <c r="AP28" s="60">
        <v>128</v>
      </c>
      <c r="AQ28" s="60">
        <v>194</v>
      </c>
      <c r="AR28" s="60"/>
      <c r="AS28" s="60">
        <v>27</v>
      </c>
      <c r="AT28" s="60">
        <v>49</v>
      </c>
      <c r="AU28" s="60">
        <v>3</v>
      </c>
      <c r="AV28" s="60"/>
      <c r="AW28" s="60"/>
      <c r="AX28" s="60"/>
      <c r="AY28" s="60">
        <v>67</v>
      </c>
      <c r="AZ28" s="60">
        <v>1</v>
      </c>
      <c r="BA28" s="60">
        <v>13214</v>
      </c>
      <c r="BB28" s="60">
        <v>34</v>
      </c>
      <c r="BC28" s="60"/>
      <c r="BD28" s="60"/>
      <c r="BE28" s="60">
        <v>281</v>
      </c>
      <c r="BF28" s="60">
        <v>2544</v>
      </c>
      <c r="BG28" s="60">
        <v>507</v>
      </c>
      <c r="BH28" s="60">
        <v>9434</v>
      </c>
      <c r="BI28" s="60">
        <v>951</v>
      </c>
      <c r="BJ28" s="60">
        <v>173</v>
      </c>
      <c r="BK28" s="60">
        <v>38</v>
      </c>
      <c r="BL28" s="60">
        <v>410</v>
      </c>
      <c r="BM28" s="60">
        <v>5</v>
      </c>
      <c r="BN28" s="60">
        <v>654</v>
      </c>
      <c r="BO28" s="60">
        <v>196</v>
      </c>
      <c r="BP28" s="60">
        <v>890</v>
      </c>
      <c r="BQ28" s="60">
        <v>241</v>
      </c>
      <c r="BR28" s="60">
        <v>4595</v>
      </c>
      <c r="BS28" s="60">
        <v>641</v>
      </c>
      <c r="BT28" s="60">
        <v>15</v>
      </c>
      <c r="BU28" s="60">
        <v>875</v>
      </c>
      <c r="BV28" s="60">
        <v>204</v>
      </c>
      <c r="BW28" s="60">
        <v>15</v>
      </c>
      <c r="BX28" s="60">
        <v>356</v>
      </c>
      <c r="BY28" s="60">
        <v>983</v>
      </c>
      <c r="BZ28" s="60">
        <v>485</v>
      </c>
      <c r="CA28" s="60">
        <v>2941</v>
      </c>
      <c r="CB28" s="60"/>
      <c r="CC28" s="60"/>
      <c r="CD28" s="60">
        <v>1514</v>
      </c>
      <c r="CE28" s="60">
        <v>72</v>
      </c>
      <c r="CF28" s="60">
        <v>133</v>
      </c>
      <c r="CG28" s="60">
        <v>6</v>
      </c>
      <c r="CH28" s="60">
        <v>66</v>
      </c>
      <c r="CI28" s="60">
        <v>9</v>
      </c>
      <c r="CJ28" s="60">
        <v>111</v>
      </c>
      <c r="CK28" s="60">
        <v>188</v>
      </c>
      <c r="CL28" s="60">
        <v>8793</v>
      </c>
      <c r="CM28" s="60">
        <v>2296</v>
      </c>
      <c r="CN28" s="60">
        <v>130</v>
      </c>
      <c r="CO28" s="60">
        <v>271</v>
      </c>
      <c r="CP28" s="60">
        <v>32</v>
      </c>
      <c r="CQ28" s="60">
        <v>91</v>
      </c>
      <c r="CR28" s="60">
        <v>5</v>
      </c>
      <c r="CS28" s="60"/>
      <c r="CT28" s="60">
        <v>13717</v>
      </c>
      <c r="CU28" s="60">
        <v>138</v>
      </c>
      <c r="CV28" s="60">
        <v>13498</v>
      </c>
      <c r="CW28" s="60">
        <v>81</v>
      </c>
      <c r="CX28" s="60">
        <v>1517</v>
      </c>
      <c r="CY28" s="60">
        <v>1333</v>
      </c>
      <c r="CZ28" s="60"/>
      <c r="DA28" s="60"/>
      <c r="DB28" s="60">
        <v>60</v>
      </c>
      <c r="DC28" s="60">
        <v>121</v>
      </c>
      <c r="DD28" s="60">
        <v>161</v>
      </c>
      <c r="DE28" s="60">
        <v>314</v>
      </c>
      <c r="DF28" s="60">
        <v>395</v>
      </c>
      <c r="DG28" s="60">
        <v>394</v>
      </c>
      <c r="DH28" s="60">
        <v>459</v>
      </c>
      <c r="DI28" s="60">
        <v>895</v>
      </c>
      <c r="DJ28" s="60">
        <v>15</v>
      </c>
      <c r="DK28" s="60">
        <v>36</v>
      </c>
      <c r="DL28" s="60"/>
      <c r="DM28" s="60">
        <v>200</v>
      </c>
      <c r="DN28" s="60">
        <v>90</v>
      </c>
      <c r="DO28" s="60">
        <v>102</v>
      </c>
      <c r="DP28" s="60">
        <v>196</v>
      </c>
      <c r="DQ28" s="60">
        <v>7</v>
      </c>
      <c r="DR28" s="60">
        <v>2255</v>
      </c>
      <c r="DS28" s="60"/>
      <c r="DT28" s="60">
        <v>79</v>
      </c>
      <c r="DU28" s="60">
        <v>22</v>
      </c>
      <c r="DV28" s="60">
        <v>75</v>
      </c>
      <c r="DW28" s="60">
        <v>443</v>
      </c>
      <c r="DX28" s="60">
        <v>34</v>
      </c>
      <c r="DY28" s="60">
        <v>13</v>
      </c>
      <c r="DZ28" s="60">
        <v>37</v>
      </c>
      <c r="EA28" s="60">
        <v>1768</v>
      </c>
      <c r="EB28" s="60">
        <v>379</v>
      </c>
      <c r="EC28" s="60"/>
      <c r="ED28" s="60">
        <v>0</v>
      </c>
      <c r="EE28" s="60">
        <v>0</v>
      </c>
      <c r="EF28" s="60">
        <v>0</v>
      </c>
      <c r="EG28" s="60">
        <v>0</v>
      </c>
      <c r="EH28" s="60">
        <v>0</v>
      </c>
      <c r="EI28" s="60">
        <v>137</v>
      </c>
      <c r="EJ28" s="60">
        <v>1281</v>
      </c>
      <c r="EK28" s="60">
        <v>38</v>
      </c>
      <c r="EL28" s="60">
        <v>1375</v>
      </c>
      <c r="EM28" s="60">
        <v>19</v>
      </c>
      <c r="EN28" s="60">
        <v>11</v>
      </c>
      <c r="EO28" s="60">
        <v>40</v>
      </c>
      <c r="EP28" s="60">
        <v>483</v>
      </c>
      <c r="EQ28" s="60">
        <v>1</v>
      </c>
      <c r="ER28" s="60">
        <v>529</v>
      </c>
      <c r="ES28" s="60">
        <v>93</v>
      </c>
      <c r="ET28" s="60">
        <v>202</v>
      </c>
      <c r="EU28" s="60">
        <v>173</v>
      </c>
      <c r="EV28" s="60">
        <v>276</v>
      </c>
      <c r="EW28" s="60">
        <v>79</v>
      </c>
      <c r="EX28" s="60">
        <v>65</v>
      </c>
      <c r="EY28" s="60">
        <v>58</v>
      </c>
      <c r="EZ28" s="60">
        <v>1</v>
      </c>
      <c r="FA28" s="60">
        <v>53</v>
      </c>
      <c r="FB28" s="60">
        <v>438</v>
      </c>
      <c r="FC28" s="60">
        <v>93</v>
      </c>
      <c r="FD28" s="60">
        <v>254</v>
      </c>
      <c r="FE28" s="60"/>
      <c r="FF28" s="60">
        <v>1</v>
      </c>
      <c r="FG28" s="60"/>
      <c r="FH28" s="60">
        <v>166</v>
      </c>
      <c r="FI28" s="60">
        <v>17</v>
      </c>
      <c r="FJ28" s="60">
        <v>355</v>
      </c>
      <c r="FK28" s="60">
        <v>1</v>
      </c>
      <c r="FL28" s="60">
        <v>4</v>
      </c>
      <c r="FM28" s="60">
        <v>185</v>
      </c>
      <c r="FN28" s="60">
        <v>8</v>
      </c>
      <c r="FO28" s="60">
        <v>2060</v>
      </c>
      <c r="FP28" s="60">
        <v>27</v>
      </c>
      <c r="FQ28" s="60">
        <v>2</v>
      </c>
      <c r="FR28" s="60">
        <v>4</v>
      </c>
      <c r="FS28" s="60">
        <v>17</v>
      </c>
      <c r="FT28" s="60">
        <v>4</v>
      </c>
      <c r="FU28" s="60"/>
      <c r="FV28" s="60"/>
      <c r="FW28" s="60"/>
      <c r="FX28" s="60">
        <v>2850</v>
      </c>
      <c r="FY28" s="60">
        <v>47</v>
      </c>
      <c r="FZ28" s="60">
        <v>2793</v>
      </c>
      <c r="GA28" s="60">
        <v>10</v>
      </c>
      <c r="GB28" s="60">
        <v>2011</v>
      </c>
    </row>
    <row r="29" spans="1:184" x14ac:dyDescent="0.3">
      <c r="A29" s="60">
        <v>106074097</v>
      </c>
      <c r="B29" s="61" t="s">
        <v>224</v>
      </c>
      <c r="C29" s="61" t="s">
        <v>1724</v>
      </c>
      <c r="D29" s="61" t="s">
        <v>225</v>
      </c>
      <c r="E29" s="61" t="s">
        <v>208</v>
      </c>
      <c r="F29" s="60">
        <v>94531</v>
      </c>
      <c r="G29" s="61"/>
      <c r="H29" s="61" t="s">
        <v>1669</v>
      </c>
      <c r="I29" s="60">
        <v>11</v>
      </c>
      <c r="J29" s="60">
        <v>7</v>
      </c>
      <c r="K29" s="61" t="s">
        <v>1719</v>
      </c>
      <c r="L29" s="61"/>
      <c r="M29" s="61" t="s">
        <v>1671</v>
      </c>
      <c r="N29" s="61" t="s">
        <v>1717</v>
      </c>
      <c r="O29" s="61" t="s">
        <v>1673</v>
      </c>
      <c r="P29" s="61" t="s">
        <v>1678</v>
      </c>
      <c r="Q29" s="61" t="s">
        <v>1674</v>
      </c>
      <c r="R29" s="60">
        <v>150</v>
      </c>
      <c r="S29" s="61" t="s">
        <v>1675</v>
      </c>
      <c r="T29" s="60">
        <v>19316</v>
      </c>
      <c r="U29" s="60">
        <v>14769</v>
      </c>
      <c r="V29" s="60"/>
      <c r="W29" s="60"/>
      <c r="X29" s="60">
        <v>4399</v>
      </c>
      <c r="Y29" s="60">
        <v>4670</v>
      </c>
      <c r="Z29" s="60">
        <v>4459</v>
      </c>
      <c r="AA29" s="60">
        <v>3863</v>
      </c>
      <c r="AB29" s="60">
        <v>4760</v>
      </c>
      <c r="AC29" s="60">
        <v>4111</v>
      </c>
      <c r="AD29" s="60">
        <v>2795</v>
      </c>
      <c r="AE29" s="60">
        <v>2193</v>
      </c>
      <c r="AF29" s="60">
        <v>2079</v>
      </c>
      <c r="AG29" s="60">
        <v>756</v>
      </c>
      <c r="AH29" s="60"/>
      <c r="AI29" s="60">
        <v>2320</v>
      </c>
      <c r="AJ29" s="60">
        <v>7136</v>
      </c>
      <c r="AK29" s="60">
        <v>7251</v>
      </c>
      <c r="AL29" s="60">
        <v>112</v>
      </c>
      <c r="AM29" s="60">
        <v>876</v>
      </c>
      <c r="AN29" s="60">
        <v>886</v>
      </c>
      <c r="AO29" s="60">
        <v>15504</v>
      </c>
      <c r="AP29" s="60">
        <v>222</v>
      </c>
      <c r="AQ29" s="60">
        <v>430</v>
      </c>
      <c r="AR29" s="60">
        <v>12</v>
      </c>
      <c r="AS29" s="60">
        <v>34</v>
      </c>
      <c r="AT29" s="60">
        <v>74</v>
      </c>
      <c r="AU29" s="60">
        <v>24</v>
      </c>
      <c r="AV29" s="60">
        <v>12</v>
      </c>
      <c r="AW29" s="60">
        <v>1</v>
      </c>
      <c r="AX29" s="60">
        <v>6</v>
      </c>
      <c r="AY29" s="60">
        <v>155</v>
      </c>
      <c r="AZ29" s="60">
        <v>1</v>
      </c>
      <c r="BA29" s="60">
        <v>32776</v>
      </c>
      <c r="BB29" s="60">
        <v>110</v>
      </c>
      <c r="BC29" s="60">
        <v>208</v>
      </c>
      <c r="BD29" s="60">
        <v>20</v>
      </c>
      <c r="BE29" s="60">
        <v>4184</v>
      </c>
      <c r="BF29" s="60">
        <v>6119</v>
      </c>
      <c r="BG29" s="60">
        <v>138</v>
      </c>
      <c r="BH29" s="60">
        <v>20723</v>
      </c>
      <c r="BI29" s="60">
        <v>2921</v>
      </c>
      <c r="BJ29" s="60">
        <v>517</v>
      </c>
      <c r="BK29" s="60">
        <v>171</v>
      </c>
      <c r="BL29" s="60">
        <v>1058</v>
      </c>
      <c r="BM29" s="60">
        <v>13</v>
      </c>
      <c r="BN29" s="60">
        <v>1880</v>
      </c>
      <c r="BO29" s="60">
        <v>652</v>
      </c>
      <c r="BP29" s="60">
        <v>1641</v>
      </c>
      <c r="BQ29" s="60">
        <v>613</v>
      </c>
      <c r="BR29" s="60">
        <v>7713</v>
      </c>
      <c r="BS29" s="60">
        <v>2145</v>
      </c>
      <c r="BT29" s="60">
        <v>49</v>
      </c>
      <c r="BU29" s="60">
        <v>2102</v>
      </c>
      <c r="BV29" s="60">
        <v>660</v>
      </c>
      <c r="BW29" s="60">
        <v>41</v>
      </c>
      <c r="BX29" s="60">
        <v>925</v>
      </c>
      <c r="BY29" s="60">
        <v>3753</v>
      </c>
      <c r="BZ29" s="60">
        <v>1089</v>
      </c>
      <c r="CA29" s="60">
        <v>9062</v>
      </c>
      <c r="CB29" s="60">
        <v>1</v>
      </c>
      <c r="CC29" s="60"/>
      <c r="CD29" s="60">
        <v>2353</v>
      </c>
      <c r="CE29" s="60">
        <v>123</v>
      </c>
      <c r="CF29" s="60">
        <v>337</v>
      </c>
      <c r="CG29" s="60">
        <v>18</v>
      </c>
      <c r="CH29" s="60">
        <v>261</v>
      </c>
      <c r="CI29" s="60">
        <v>88</v>
      </c>
      <c r="CJ29" s="60">
        <v>223</v>
      </c>
      <c r="CK29" s="60">
        <v>379</v>
      </c>
      <c r="CL29" s="60">
        <v>25346</v>
      </c>
      <c r="CM29" s="60">
        <v>3653</v>
      </c>
      <c r="CN29" s="60">
        <v>132</v>
      </c>
      <c r="CO29" s="60">
        <v>874</v>
      </c>
      <c r="CP29" s="60">
        <v>76</v>
      </c>
      <c r="CQ29" s="60">
        <v>189</v>
      </c>
      <c r="CR29" s="60">
        <v>33</v>
      </c>
      <c r="CS29" s="60"/>
      <c r="CT29" s="60">
        <v>34085</v>
      </c>
      <c r="CU29" s="60">
        <v>282</v>
      </c>
      <c r="CV29" s="60">
        <v>32110</v>
      </c>
      <c r="CW29" s="60">
        <v>1693</v>
      </c>
      <c r="CX29" s="60">
        <v>2170</v>
      </c>
      <c r="CY29" s="60">
        <v>1720</v>
      </c>
      <c r="CZ29" s="60"/>
      <c r="DA29" s="60"/>
      <c r="DB29" s="60">
        <v>51</v>
      </c>
      <c r="DC29" s="60">
        <v>153</v>
      </c>
      <c r="DD29" s="60">
        <v>219</v>
      </c>
      <c r="DE29" s="60">
        <v>419</v>
      </c>
      <c r="DF29" s="60">
        <v>590</v>
      </c>
      <c r="DG29" s="60">
        <v>813</v>
      </c>
      <c r="DH29" s="60">
        <v>818</v>
      </c>
      <c r="DI29" s="60">
        <v>821</v>
      </c>
      <c r="DJ29" s="60">
        <v>6</v>
      </c>
      <c r="DK29" s="60"/>
      <c r="DL29" s="60"/>
      <c r="DM29" s="60">
        <v>256</v>
      </c>
      <c r="DN29" s="60">
        <v>582</v>
      </c>
      <c r="DO29" s="60">
        <v>521</v>
      </c>
      <c r="DP29" s="60">
        <v>57</v>
      </c>
      <c r="DQ29" s="60">
        <v>12</v>
      </c>
      <c r="DR29" s="60">
        <v>2452</v>
      </c>
      <c r="DS29" s="60">
        <v>10</v>
      </c>
      <c r="DT29" s="60">
        <v>162</v>
      </c>
      <c r="DU29" s="60">
        <v>55</v>
      </c>
      <c r="DV29" s="60">
        <v>152</v>
      </c>
      <c r="DW29" s="60">
        <v>555</v>
      </c>
      <c r="DX29" s="60">
        <v>35</v>
      </c>
      <c r="DY29" s="60">
        <v>4</v>
      </c>
      <c r="DZ29" s="60">
        <v>80</v>
      </c>
      <c r="EA29" s="60">
        <v>2296</v>
      </c>
      <c r="EB29" s="60">
        <v>551</v>
      </c>
      <c r="EC29" s="60"/>
      <c r="ED29" s="60">
        <v>0</v>
      </c>
      <c r="EE29" s="60">
        <v>0</v>
      </c>
      <c r="EF29" s="60">
        <v>0</v>
      </c>
      <c r="EG29" s="60">
        <v>0</v>
      </c>
      <c r="EH29" s="60">
        <v>0</v>
      </c>
      <c r="EI29" s="60">
        <v>151</v>
      </c>
      <c r="EJ29" s="60">
        <v>2304</v>
      </c>
      <c r="EK29" s="60">
        <v>19</v>
      </c>
      <c r="EL29" s="60">
        <v>1328</v>
      </c>
      <c r="EM29" s="60">
        <v>88</v>
      </c>
      <c r="EN29" s="60">
        <v>23</v>
      </c>
      <c r="EO29" s="60">
        <v>42</v>
      </c>
      <c r="EP29" s="60">
        <v>725</v>
      </c>
      <c r="EQ29" s="60">
        <v>2</v>
      </c>
      <c r="ER29" s="60">
        <v>624</v>
      </c>
      <c r="ES29" s="60">
        <v>162</v>
      </c>
      <c r="ET29" s="60">
        <v>181</v>
      </c>
      <c r="EU29" s="60">
        <v>845</v>
      </c>
      <c r="EV29" s="60">
        <v>369</v>
      </c>
      <c r="EW29" s="60">
        <v>69</v>
      </c>
      <c r="EX29" s="60">
        <v>104</v>
      </c>
      <c r="EY29" s="60">
        <v>75</v>
      </c>
      <c r="EZ29" s="60">
        <v>2</v>
      </c>
      <c r="FA29" s="60">
        <v>57</v>
      </c>
      <c r="FB29" s="60">
        <v>392</v>
      </c>
      <c r="FC29" s="60">
        <v>92</v>
      </c>
      <c r="FD29" s="60">
        <v>120</v>
      </c>
      <c r="FE29" s="60">
        <v>1</v>
      </c>
      <c r="FF29" s="60">
        <v>5</v>
      </c>
      <c r="FG29" s="60"/>
      <c r="FH29" s="60">
        <v>195</v>
      </c>
      <c r="FI29" s="60">
        <v>30</v>
      </c>
      <c r="FJ29" s="60">
        <v>538</v>
      </c>
      <c r="FK29" s="60">
        <v>6</v>
      </c>
      <c r="FL29" s="60">
        <v>29</v>
      </c>
      <c r="FM29" s="60">
        <v>331</v>
      </c>
      <c r="FN29" s="60">
        <v>15</v>
      </c>
      <c r="FO29" s="60">
        <v>2633</v>
      </c>
      <c r="FP29" s="60">
        <v>68</v>
      </c>
      <c r="FQ29" s="60">
        <v>5</v>
      </c>
      <c r="FR29" s="60">
        <v>13</v>
      </c>
      <c r="FS29" s="60">
        <v>18</v>
      </c>
      <c r="FT29" s="60">
        <v>5</v>
      </c>
      <c r="FU29" s="60">
        <v>3</v>
      </c>
      <c r="FV29" s="60">
        <v>1</v>
      </c>
      <c r="FW29" s="60"/>
      <c r="FX29" s="60">
        <v>3890</v>
      </c>
      <c r="FY29" s="60">
        <v>42</v>
      </c>
      <c r="FZ29" s="60">
        <v>3735</v>
      </c>
      <c r="GA29" s="60">
        <v>113</v>
      </c>
      <c r="GB29" s="60">
        <v>2011</v>
      </c>
    </row>
    <row r="30" spans="1:184" x14ac:dyDescent="0.3">
      <c r="A30" s="60">
        <v>106084001</v>
      </c>
      <c r="B30" s="61" t="s">
        <v>226</v>
      </c>
      <c r="C30" s="61" t="s">
        <v>227</v>
      </c>
      <c r="D30" s="61" t="s">
        <v>228</v>
      </c>
      <c r="E30" s="61" t="s">
        <v>229</v>
      </c>
      <c r="F30" s="60">
        <v>95531</v>
      </c>
      <c r="G30" s="61" t="s">
        <v>177</v>
      </c>
      <c r="H30" s="61" t="s">
        <v>1669</v>
      </c>
      <c r="I30" s="60">
        <v>1</v>
      </c>
      <c r="J30" s="60">
        <v>4</v>
      </c>
      <c r="K30" s="61" t="s">
        <v>1725</v>
      </c>
      <c r="L30" s="61"/>
      <c r="M30" s="61" t="s">
        <v>1704</v>
      </c>
      <c r="N30" s="61" t="s">
        <v>1726</v>
      </c>
      <c r="O30" s="61" t="s">
        <v>1673</v>
      </c>
      <c r="P30" s="61" t="s">
        <v>1678</v>
      </c>
      <c r="Q30" s="61" t="s">
        <v>1674</v>
      </c>
      <c r="R30" s="60">
        <v>59</v>
      </c>
      <c r="S30" s="61" t="s">
        <v>1675</v>
      </c>
      <c r="T30" s="60">
        <v>10749</v>
      </c>
      <c r="U30" s="60">
        <v>9229</v>
      </c>
      <c r="V30" s="60"/>
      <c r="W30" s="60"/>
      <c r="X30" s="60">
        <v>1838</v>
      </c>
      <c r="Y30" s="60">
        <v>1930</v>
      </c>
      <c r="Z30" s="60">
        <v>3383</v>
      </c>
      <c r="AA30" s="60">
        <v>2770</v>
      </c>
      <c r="AB30" s="60">
        <v>2722</v>
      </c>
      <c r="AC30" s="60">
        <v>2425</v>
      </c>
      <c r="AD30" s="60">
        <v>1833</v>
      </c>
      <c r="AE30" s="60">
        <v>1346</v>
      </c>
      <c r="AF30" s="60">
        <v>1222</v>
      </c>
      <c r="AG30" s="60">
        <v>509</v>
      </c>
      <c r="AH30" s="60"/>
      <c r="AI30" s="60">
        <v>270</v>
      </c>
      <c r="AJ30" s="60">
        <v>159</v>
      </c>
      <c r="AK30" s="60">
        <v>1087</v>
      </c>
      <c r="AL30" s="60">
        <v>883</v>
      </c>
      <c r="AM30" s="60">
        <v>90</v>
      </c>
      <c r="AN30" s="60">
        <v>98</v>
      </c>
      <c r="AO30" s="60">
        <v>17391</v>
      </c>
      <c r="AP30" s="60">
        <v>527</v>
      </c>
      <c r="AQ30" s="60">
        <v>138</v>
      </c>
      <c r="AR30" s="60"/>
      <c r="AS30" s="60">
        <v>56</v>
      </c>
      <c r="AT30" s="60"/>
      <c r="AU30" s="60"/>
      <c r="AV30" s="60"/>
      <c r="AW30" s="60"/>
      <c r="AX30" s="60">
        <v>255</v>
      </c>
      <c r="AY30" s="60">
        <v>28</v>
      </c>
      <c r="AZ30" s="60"/>
      <c r="BA30" s="60">
        <v>18863</v>
      </c>
      <c r="BB30" s="60">
        <v>111</v>
      </c>
      <c r="BC30" s="60"/>
      <c r="BD30" s="60"/>
      <c r="BE30" s="60">
        <v>8795</v>
      </c>
      <c r="BF30" s="60">
        <v>4789</v>
      </c>
      <c r="BG30" s="60">
        <v>1167</v>
      </c>
      <c r="BH30" s="60">
        <v>3209</v>
      </c>
      <c r="BI30" s="60">
        <v>2018</v>
      </c>
      <c r="BJ30" s="60">
        <v>179</v>
      </c>
      <c r="BK30" s="60">
        <v>47</v>
      </c>
      <c r="BL30" s="60">
        <v>588</v>
      </c>
      <c r="BM30" s="60">
        <v>1</v>
      </c>
      <c r="BN30" s="60">
        <v>1104</v>
      </c>
      <c r="BO30" s="60">
        <v>204</v>
      </c>
      <c r="BP30" s="60">
        <v>903</v>
      </c>
      <c r="BQ30" s="60">
        <v>304</v>
      </c>
      <c r="BR30" s="60">
        <v>3914</v>
      </c>
      <c r="BS30" s="60">
        <v>1893</v>
      </c>
      <c r="BT30" s="60">
        <v>34</v>
      </c>
      <c r="BU30" s="60">
        <v>1134</v>
      </c>
      <c r="BV30" s="60">
        <v>1762</v>
      </c>
      <c r="BW30" s="60">
        <v>16</v>
      </c>
      <c r="BX30" s="60">
        <v>753</v>
      </c>
      <c r="BY30" s="60">
        <v>1764</v>
      </c>
      <c r="BZ30" s="60">
        <v>810</v>
      </c>
      <c r="CA30" s="60">
        <v>4568</v>
      </c>
      <c r="CB30" s="60"/>
      <c r="CC30" s="60"/>
      <c r="CD30" s="60">
        <v>1102</v>
      </c>
      <c r="CE30" s="60">
        <v>71</v>
      </c>
      <c r="CF30" s="60">
        <v>94</v>
      </c>
      <c r="CG30" s="60">
        <v>30</v>
      </c>
      <c r="CH30" s="60">
        <v>276</v>
      </c>
      <c r="CI30" s="60">
        <v>2</v>
      </c>
      <c r="CJ30" s="60">
        <v>70</v>
      </c>
      <c r="CK30" s="60">
        <v>185</v>
      </c>
      <c r="CL30" s="60">
        <v>15315</v>
      </c>
      <c r="CM30" s="60">
        <v>2198</v>
      </c>
      <c r="CN30" s="60">
        <v>103</v>
      </c>
      <c r="CO30" s="60">
        <v>362</v>
      </c>
      <c r="CP30" s="60">
        <v>71</v>
      </c>
      <c r="CQ30" s="60">
        <v>87</v>
      </c>
      <c r="CR30" s="60">
        <v>12</v>
      </c>
      <c r="CS30" s="60"/>
      <c r="CT30" s="60">
        <v>19978</v>
      </c>
      <c r="CU30" s="60">
        <v>140</v>
      </c>
      <c r="CV30" s="60">
        <v>19543</v>
      </c>
      <c r="CW30" s="60">
        <v>295</v>
      </c>
      <c r="CX30" s="60">
        <v>986</v>
      </c>
      <c r="CY30" s="60">
        <v>816</v>
      </c>
      <c r="CZ30" s="60"/>
      <c r="DA30" s="60"/>
      <c r="DB30" s="60">
        <v>37</v>
      </c>
      <c r="DC30" s="60">
        <v>171</v>
      </c>
      <c r="DD30" s="60">
        <v>101</v>
      </c>
      <c r="DE30" s="60">
        <v>158</v>
      </c>
      <c r="DF30" s="60">
        <v>216</v>
      </c>
      <c r="DG30" s="60">
        <v>297</v>
      </c>
      <c r="DH30" s="60">
        <v>331</v>
      </c>
      <c r="DI30" s="60">
        <v>417</v>
      </c>
      <c r="DJ30" s="60">
        <v>33</v>
      </c>
      <c r="DK30" s="60">
        <v>41</v>
      </c>
      <c r="DL30" s="60"/>
      <c r="DM30" s="60">
        <v>57</v>
      </c>
      <c r="DN30" s="60">
        <v>10</v>
      </c>
      <c r="DO30" s="60">
        <v>26</v>
      </c>
      <c r="DP30" s="60">
        <v>3</v>
      </c>
      <c r="DQ30" s="60">
        <v>8</v>
      </c>
      <c r="DR30" s="60">
        <v>1641</v>
      </c>
      <c r="DS30" s="60">
        <v>57</v>
      </c>
      <c r="DT30" s="60">
        <v>146</v>
      </c>
      <c r="DU30" s="60">
        <v>29</v>
      </c>
      <c r="DV30" s="60">
        <v>82</v>
      </c>
      <c r="DW30" s="60">
        <v>178</v>
      </c>
      <c r="DX30" s="60">
        <v>11</v>
      </c>
      <c r="DY30" s="60"/>
      <c r="DZ30" s="60">
        <v>8</v>
      </c>
      <c r="EA30" s="60">
        <v>1116</v>
      </c>
      <c r="EB30" s="60">
        <v>213</v>
      </c>
      <c r="EC30" s="60">
        <v>19</v>
      </c>
      <c r="ED30" s="60">
        <v>0</v>
      </c>
      <c r="EE30" s="60">
        <v>0</v>
      </c>
      <c r="EF30" s="60">
        <v>0</v>
      </c>
      <c r="EG30" s="60">
        <v>0</v>
      </c>
      <c r="EH30" s="60">
        <v>0</v>
      </c>
      <c r="EI30" s="60">
        <v>313</v>
      </c>
      <c r="EJ30" s="60">
        <v>1013</v>
      </c>
      <c r="EK30" s="60">
        <v>82</v>
      </c>
      <c r="EL30" s="60">
        <v>225</v>
      </c>
      <c r="EM30" s="60">
        <v>169</v>
      </c>
      <c r="EN30" s="60">
        <v>72</v>
      </c>
      <c r="EO30" s="60">
        <v>26</v>
      </c>
      <c r="EP30" s="60">
        <v>262</v>
      </c>
      <c r="EQ30" s="60">
        <v>1</v>
      </c>
      <c r="ER30" s="60">
        <v>335</v>
      </c>
      <c r="ES30" s="60">
        <v>106</v>
      </c>
      <c r="ET30" s="60">
        <v>118</v>
      </c>
      <c r="EU30" s="60">
        <v>210</v>
      </c>
      <c r="EV30" s="60">
        <v>123</v>
      </c>
      <c r="EW30" s="60">
        <v>18</v>
      </c>
      <c r="EX30" s="60">
        <v>29</v>
      </c>
      <c r="EY30" s="60">
        <v>38</v>
      </c>
      <c r="EZ30" s="60"/>
      <c r="FA30" s="60">
        <v>17</v>
      </c>
      <c r="FB30" s="60">
        <v>357</v>
      </c>
      <c r="FC30" s="60">
        <v>45</v>
      </c>
      <c r="FD30" s="60">
        <v>40</v>
      </c>
      <c r="FE30" s="60"/>
      <c r="FF30" s="60">
        <v>5</v>
      </c>
      <c r="FG30" s="60"/>
      <c r="FH30" s="60">
        <v>101</v>
      </c>
      <c r="FI30" s="60">
        <v>29</v>
      </c>
      <c r="FJ30" s="60">
        <v>96</v>
      </c>
      <c r="FK30" s="60">
        <v>10</v>
      </c>
      <c r="FL30" s="60"/>
      <c r="FM30" s="60">
        <v>39</v>
      </c>
      <c r="FN30" s="60">
        <v>3</v>
      </c>
      <c r="FO30" s="60">
        <v>1464</v>
      </c>
      <c r="FP30" s="60">
        <v>7</v>
      </c>
      <c r="FQ30" s="60">
        <v>3</v>
      </c>
      <c r="FR30" s="60">
        <v>21</v>
      </c>
      <c r="FS30" s="60">
        <v>22</v>
      </c>
      <c r="FT30" s="60">
        <v>3</v>
      </c>
      <c r="FU30" s="60">
        <v>1</v>
      </c>
      <c r="FV30" s="60">
        <v>3</v>
      </c>
      <c r="FW30" s="60"/>
      <c r="FX30" s="60">
        <v>1802</v>
      </c>
      <c r="FY30" s="60">
        <v>14</v>
      </c>
      <c r="FZ30" s="60">
        <v>1768</v>
      </c>
      <c r="GA30" s="60">
        <v>20</v>
      </c>
      <c r="GB30" s="60">
        <v>2011</v>
      </c>
    </row>
    <row r="31" spans="1:184" x14ac:dyDescent="0.3">
      <c r="A31" s="60">
        <v>106090793</v>
      </c>
      <c r="B31" s="61" t="s">
        <v>230</v>
      </c>
      <c r="C31" s="61" t="s">
        <v>231</v>
      </c>
      <c r="D31" s="61" t="s">
        <v>232</v>
      </c>
      <c r="E31" s="61" t="s">
        <v>233</v>
      </c>
      <c r="F31" s="60">
        <v>96150</v>
      </c>
      <c r="G31" s="61"/>
      <c r="H31" s="61" t="s">
        <v>1669</v>
      </c>
      <c r="I31" s="60">
        <v>4</v>
      </c>
      <c r="J31" s="60">
        <v>1</v>
      </c>
      <c r="K31" s="61" t="s">
        <v>1727</v>
      </c>
      <c r="L31" s="61"/>
      <c r="M31" s="61" t="s">
        <v>1728</v>
      </c>
      <c r="N31" s="61" t="s">
        <v>1729</v>
      </c>
      <c r="O31" s="61" t="s">
        <v>1673</v>
      </c>
      <c r="P31" s="61" t="s">
        <v>1678</v>
      </c>
      <c r="Q31" s="61" t="s">
        <v>1674</v>
      </c>
      <c r="R31" s="60">
        <v>69</v>
      </c>
      <c r="S31" s="61" t="s">
        <v>1675</v>
      </c>
      <c r="T31" s="60">
        <v>7855</v>
      </c>
      <c r="U31" s="60">
        <v>8029</v>
      </c>
      <c r="V31" s="60"/>
      <c r="W31" s="60"/>
      <c r="X31" s="60">
        <v>1680</v>
      </c>
      <c r="Y31" s="60">
        <v>1681</v>
      </c>
      <c r="Z31" s="60">
        <v>3425</v>
      </c>
      <c r="AA31" s="60">
        <v>2330</v>
      </c>
      <c r="AB31" s="60">
        <v>2105</v>
      </c>
      <c r="AC31" s="60">
        <v>2138</v>
      </c>
      <c r="AD31" s="60">
        <v>1198</v>
      </c>
      <c r="AE31" s="60">
        <v>588</v>
      </c>
      <c r="AF31" s="60">
        <v>405</v>
      </c>
      <c r="AG31" s="60">
        <v>334</v>
      </c>
      <c r="AH31" s="60"/>
      <c r="AI31" s="60">
        <v>331</v>
      </c>
      <c r="AJ31" s="60">
        <v>257</v>
      </c>
      <c r="AK31" s="60">
        <v>1008</v>
      </c>
      <c r="AL31" s="60">
        <v>13</v>
      </c>
      <c r="AM31" s="60">
        <v>2089</v>
      </c>
      <c r="AN31" s="60">
        <v>41</v>
      </c>
      <c r="AO31" s="60">
        <v>12145</v>
      </c>
      <c r="AP31" s="60">
        <v>395</v>
      </c>
      <c r="AQ31" s="60">
        <v>217</v>
      </c>
      <c r="AR31" s="60">
        <v>13</v>
      </c>
      <c r="AS31" s="60">
        <v>15</v>
      </c>
      <c r="AT31" s="60">
        <v>2</v>
      </c>
      <c r="AU31" s="60"/>
      <c r="AV31" s="60"/>
      <c r="AW31" s="60">
        <v>1</v>
      </c>
      <c r="AX31" s="60">
        <v>69</v>
      </c>
      <c r="AY31" s="60">
        <v>33</v>
      </c>
      <c r="AZ31" s="60">
        <v>5</v>
      </c>
      <c r="BA31" s="60">
        <v>15127</v>
      </c>
      <c r="BB31" s="60">
        <v>7</v>
      </c>
      <c r="BC31" s="60"/>
      <c r="BD31" s="60"/>
      <c r="BE31" s="60">
        <v>5060</v>
      </c>
      <c r="BF31" s="60">
        <v>2010</v>
      </c>
      <c r="BG31" s="60">
        <v>729</v>
      </c>
      <c r="BH31" s="60">
        <v>5726</v>
      </c>
      <c r="BI31" s="60">
        <v>2359</v>
      </c>
      <c r="BJ31" s="60">
        <v>325</v>
      </c>
      <c r="BK31" s="60">
        <v>34</v>
      </c>
      <c r="BL31" s="60">
        <v>407</v>
      </c>
      <c r="BM31" s="60">
        <v>2</v>
      </c>
      <c r="BN31" s="60">
        <v>913</v>
      </c>
      <c r="BO31" s="60">
        <v>285</v>
      </c>
      <c r="BP31" s="60">
        <v>777</v>
      </c>
      <c r="BQ31" s="60">
        <v>366</v>
      </c>
      <c r="BR31" s="60">
        <v>5185</v>
      </c>
      <c r="BS31" s="60">
        <v>730</v>
      </c>
      <c r="BT31" s="60">
        <v>20</v>
      </c>
      <c r="BU31" s="60">
        <v>839</v>
      </c>
      <c r="BV31" s="60">
        <v>453</v>
      </c>
      <c r="BW31" s="60">
        <v>5</v>
      </c>
      <c r="BX31" s="60">
        <v>778</v>
      </c>
      <c r="BY31" s="60">
        <v>1399</v>
      </c>
      <c r="BZ31" s="60">
        <v>534</v>
      </c>
      <c r="CA31" s="60">
        <v>2830</v>
      </c>
      <c r="CB31" s="60">
        <v>2</v>
      </c>
      <c r="CC31" s="60"/>
      <c r="CD31" s="60">
        <v>2278</v>
      </c>
      <c r="CE31" s="60">
        <v>75</v>
      </c>
      <c r="CF31" s="60">
        <v>48</v>
      </c>
      <c r="CG31" s="60">
        <v>11</v>
      </c>
      <c r="CH31" s="60">
        <v>182</v>
      </c>
      <c r="CI31" s="60">
        <v>3</v>
      </c>
      <c r="CJ31" s="60">
        <v>62</v>
      </c>
      <c r="CK31" s="60">
        <v>206</v>
      </c>
      <c r="CL31" s="60">
        <v>10495</v>
      </c>
      <c r="CM31" s="60">
        <v>1845</v>
      </c>
      <c r="CN31" s="60">
        <v>225</v>
      </c>
      <c r="CO31" s="60">
        <v>296</v>
      </c>
      <c r="CP31" s="60">
        <v>40</v>
      </c>
      <c r="CQ31" s="60">
        <v>108</v>
      </c>
      <c r="CR31" s="60">
        <v>10</v>
      </c>
      <c r="CS31" s="60"/>
      <c r="CT31" s="60">
        <v>15884</v>
      </c>
      <c r="CU31" s="60">
        <v>119</v>
      </c>
      <c r="CV31" s="60">
        <v>14745</v>
      </c>
      <c r="CW31" s="60">
        <v>1020</v>
      </c>
      <c r="CX31" s="60">
        <v>743</v>
      </c>
      <c r="CY31" s="60">
        <v>688</v>
      </c>
      <c r="CZ31" s="60"/>
      <c r="DA31" s="60"/>
      <c r="DB31" s="60">
        <v>45</v>
      </c>
      <c r="DC31" s="60">
        <v>163</v>
      </c>
      <c r="DD31" s="60">
        <v>147</v>
      </c>
      <c r="DE31" s="60">
        <v>160</v>
      </c>
      <c r="DF31" s="60">
        <v>259</v>
      </c>
      <c r="DG31" s="60">
        <v>232</v>
      </c>
      <c r="DH31" s="60">
        <v>140</v>
      </c>
      <c r="DI31" s="60">
        <v>193</v>
      </c>
      <c r="DJ31" s="60">
        <v>28</v>
      </c>
      <c r="DK31" s="60">
        <v>64</v>
      </c>
      <c r="DL31" s="60"/>
      <c r="DM31" s="60">
        <v>31</v>
      </c>
      <c r="DN31" s="60">
        <v>18</v>
      </c>
      <c r="DO31" s="60">
        <v>139</v>
      </c>
      <c r="DP31" s="60">
        <v>31</v>
      </c>
      <c r="DQ31" s="60">
        <v>26</v>
      </c>
      <c r="DR31" s="60">
        <v>1185</v>
      </c>
      <c r="DS31" s="60">
        <v>1</v>
      </c>
      <c r="DT31" s="60">
        <v>62</v>
      </c>
      <c r="DU31" s="60">
        <v>21</v>
      </c>
      <c r="DV31" s="60">
        <v>30</v>
      </c>
      <c r="DW31" s="60">
        <v>142</v>
      </c>
      <c r="DX31" s="60">
        <v>14</v>
      </c>
      <c r="DY31" s="60">
        <v>2</v>
      </c>
      <c r="DZ31" s="60">
        <v>4</v>
      </c>
      <c r="EA31" s="60">
        <v>1074</v>
      </c>
      <c r="EB31" s="60">
        <v>76</v>
      </c>
      <c r="EC31" s="60">
        <v>6</v>
      </c>
      <c r="ED31" s="60">
        <v>0</v>
      </c>
      <c r="EE31" s="60">
        <v>0</v>
      </c>
      <c r="EF31" s="60">
        <v>0</v>
      </c>
      <c r="EG31" s="60">
        <v>0</v>
      </c>
      <c r="EH31" s="60">
        <v>0</v>
      </c>
      <c r="EI31" s="60">
        <v>338</v>
      </c>
      <c r="EJ31" s="60">
        <v>525</v>
      </c>
      <c r="EK31" s="60">
        <v>58</v>
      </c>
      <c r="EL31" s="60">
        <v>446</v>
      </c>
      <c r="EM31" s="60">
        <v>64</v>
      </c>
      <c r="EN31" s="60">
        <v>131</v>
      </c>
      <c r="EO31" s="60">
        <v>11</v>
      </c>
      <c r="EP31" s="60">
        <v>151</v>
      </c>
      <c r="EQ31" s="60">
        <v>3</v>
      </c>
      <c r="ER31" s="60">
        <v>257</v>
      </c>
      <c r="ES31" s="60">
        <v>64</v>
      </c>
      <c r="ET31" s="60">
        <v>52</v>
      </c>
      <c r="EU31" s="60">
        <v>71</v>
      </c>
      <c r="EV31" s="60">
        <v>231</v>
      </c>
      <c r="EW31" s="60">
        <v>30</v>
      </c>
      <c r="EX31" s="60">
        <v>18</v>
      </c>
      <c r="EY31" s="60">
        <v>44</v>
      </c>
      <c r="EZ31" s="60"/>
      <c r="FA31" s="60">
        <v>30</v>
      </c>
      <c r="FB31" s="60">
        <v>213</v>
      </c>
      <c r="FC31" s="60">
        <v>39</v>
      </c>
      <c r="FD31" s="60">
        <v>85</v>
      </c>
      <c r="FE31" s="60"/>
      <c r="FF31" s="60">
        <v>1</v>
      </c>
      <c r="FG31" s="60"/>
      <c r="FH31" s="60">
        <v>133</v>
      </c>
      <c r="FI31" s="60">
        <v>14</v>
      </c>
      <c r="FJ31" s="60">
        <v>51</v>
      </c>
      <c r="FK31" s="60">
        <v>2</v>
      </c>
      <c r="FL31" s="60">
        <v>3</v>
      </c>
      <c r="FM31" s="60">
        <v>50</v>
      </c>
      <c r="FN31" s="60">
        <v>6</v>
      </c>
      <c r="FO31" s="60">
        <v>1067</v>
      </c>
      <c r="FP31" s="60">
        <v>53</v>
      </c>
      <c r="FQ31" s="60">
        <v>10</v>
      </c>
      <c r="FR31" s="60">
        <v>17</v>
      </c>
      <c r="FS31" s="60">
        <v>14</v>
      </c>
      <c r="FT31" s="60">
        <v>6</v>
      </c>
      <c r="FU31" s="60">
        <v>5</v>
      </c>
      <c r="FV31" s="60"/>
      <c r="FW31" s="60"/>
      <c r="FX31" s="60">
        <v>1431</v>
      </c>
      <c r="FY31" s="60">
        <v>5</v>
      </c>
      <c r="FZ31" s="60">
        <v>1364</v>
      </c>
      <c r="GA31" s="60">
        <v>62</v>
      </c>
      <c r="GB31" s="60">
        <v>2011</v>
      </c>
    </row>
    <row r="32" spans="1:184" x14ac:dyDescent="0.3">
      <c r="A32" s="60">
        <v>106090933</v>
      </c>
      <c r="B32" s="61" t="s">
        <v>234</v>
      </c>
      <c r="C32" s="61" t="s">
        <v>1730</v>
      </c>
      <c r="D32" s="61" t="s">
        <v>235</v>
      </c>
      <c r="E32" s="61" t="s">
        <v>236</v>
      </c>
      <c r="F32" s="60">
        <v>95667</v>
      </c>
      <c r="G32" s="61" t="s">
        <v>186</v>
      </c>
      <c r="H32" s="61" t="s">
        <v>1669</v>
      </c>
      <c r="I32" s="60">
        <v>4</v>
      </c>
      <c r="J32" s="60">
        <v>1</v>
      </c>
      <c r="K32" s="61" t="s">
        <v>1731</v>
      </c>
      <c r="L32" s="61"/>
      <c r="M32" s="61" t="s">
        <v>1728</v>
      </c>
      <c r="N32" s="61" t="s">
        <v>1729</v>
      </c>
      <c r="O32" s="61" t="s">
        <v>1673</v>
      </c>
      <c r="P32" s="61" t="s">
        <v>1678</v>
      </c>
      <c r="Q32" s="61" t="s">
        <v>1674</v>
      </c>
      <c r="R32" s="60">
        <v>91</v>
      </c>
      <c r="S32" s="61" t="s">
        <v>1675</v>
      </c>
      <c r="T32" s="60">
        <v>11863</v>
      </c>
      <c r="U32" s="60">
        <v>9855</v>
      </c>
      <c r="V32" s="60"/>
      <c r="W32" s="60"/>
      <c r="X32" s="60">
        <v>2141</v>
      </c>
      <c r="Y32" s="60">
        <v>2324</v>
      </c>
      <c r="Z32" s="60">
        <v>3230</v>
      </c>
      <c r="AA32" s="60">
        <v>2598</v>
      </c>
      <c r="AB32" s="60">
        <v>2980</v>
      </c>
      <c r="AC32" s="60">
        <v>2829</v>
      </c>
      <c r="AD32" s="60">
        <v>1885</v>
      </c>
      <c r="AE32" s="60">
        <v>1416</v>
      </c>
      <c r="AF32" s="60">
        <v>1822</v>
      </c>
      <c r="AG32" s="60">
        <v>493</v>
      </c>
      <c r="AH32" s="60"/>
      <c r="AI32" s="60">
        <v>124</v>
      </c>
      <c r="AJ32" s="60">
        <v>177</v>
      </c>
      <c r="AK32" s="60">
        <v>1691</v>
      </c>
      <c r="AL32" s="60">
        <v>97</v>
      </c>
      <c r="AM32" s="60">
        <v>125</v>
      </c>
      <c r="AN32" s="60">
        <v>13</v>
      </c>
      <c r="AO32" s="60">
        <v>19491</v>
      </c>
      <c r="AP32" s="60">
        <v>641</v>
      </c>
      <c r="AQ32" s="60">
        <v>437</v>
      </c>
      <c r="AR32" s="60"/>
      <c r="AS32" s="60">
        <v>57</v>
      </c>
      <c r="AT32" s="60">
        <v>53</v>
      </c>
      <c r="AU32" s="60">
        <v>1</v>
      </c>
      <c r="AV32" s="60">
        <v>1</v>
      </c>
      <c r="AW32" s="60"/>
      <c r="AX32" s="60"/>
      <c r="AY32" s="60">
        <v>252</v>
      </c>
      <c r="AZ32" s="60"/>
      <c r="BA32" s="60">
        <v>20057</v>
      </c>
      <c r="BB32" s="60">
        <v>88</v>
      </c>
      <c r="BC32" s="60">
        <v>113</v>
      </c>
      <c r="BD32" s="60">
        <v>18</v>
      </c>
      <c r="BE32" s="60">
        <v>8023</v>
      </c>
      <c r="BF32" s="60">
        <v>4568</v>
      </c>
      <c r="BG32" s="60">
        <v>789</v>
      </c>
      <c r="BH32" s="60">
        <v>6612</v>
      </c>
      <c r="BI32" s="60">
        <v>1726</v>
      </c>
      <c r="BJ32" s="60">
        <v>430</v>
      </c>
      <c r="BK32" s="60">
        <v>76</v>
      </c>
      <c r="BL32" s="60">
        <v>758</v>
      </c>
      <c r="BM32" s="60">
        <v>12</v>
      </c>
      <c r="BN32" s="60">
        <v>1308</v>
      </c>
      <c r="BO32" s="60">
        <v>456</v>
      </c>
      <c r="BP32" s="60">
        <v>1233</v>
      </c>
      <c r="BQ32" s="60">
        <v>381</v>
      </c>
      <c r="BR32" s="60">
        <v>5930</v>
      </c>
      <c r="BS32" s="60">
        <v>1258</v>
      </c>
      <c r="BT32" s="60">
        <v>49</v>
      </c>
      <c r="BU32" s="60">
        <v>1352</v>
      </c>
      <c r="BV32" s="60">
        <v>832</v>
      </c>
      <c r="BW32" s="60">
        <v>16</v>
      </c>
      <c r="BX32" s="60">
        <v>857</v>
      </c>
      <c r="BY32" s="60">
        <v>2018</v>
      </c>
      <c r="BZ32" s="60">
        <v>925</v>
      </c>
      <c r="CA32" s="60">
        <v>3826</v>
      </c>
      <c r="CB32" s="60">
        <v>1</v>
      </c>
      <c r="CC32" s="60"/>
      <c r="CD32" s="60">
        <v>1938</v>
      </c>
      <c r="CE32" s="60">
        <v>74</v>
      </c>
      <c r="CF32" s="60">
        <v>208</v>
      </c>
      <c r="CG32" s="60">
        <v>30</v>
      </c>
      <c r="CH32" s="60">
        <v>198</v>
      </c>
      <c r="CI32" s="60">
        <v>70</v>
      </c>
      <c r="CJ32" s="60">
        <v>215</v>
      </c>
      <c r="CK32" s="60">
        <v>350</v>
      </c>
      <c r="CL32" s="60">
        <v>14859</v>
      </c>
      <c r="CM32" s="60">
        <v>2643</v>
      </c>
      <c r="CN32" s="60">
        <v>141</v>
      </c>
      <c r="CO32" s="60">
        <v>727</v>
      </c>
      <c r="CP32" s="60">
        <v>105</v>
      </c>
      <c r="CQ32" s="60">
        <v>151</v>
      </c>
      <c r="CR32" s="60">
        <v>9</v>
      </c>
      <c r="CS32" s="60"/>
      <c r="CT32" s="60">
        <v>21718</v>
      </c>
      <c r="CU32" s="60">
        <v>49</v>
      </c>
      <c r="CV32" s="60">
        <v>21063</v>
      </c>
      <c r="CW32" s="60">
        <v>606</v>
      </c>
      <c r="CX32" s="60">
        <v>2146</v>
      </c>
      <c r="CY32" s="60">
        <v>1768</v>
      </c>
      <c r="CZ32" s="60"/>
      <c r="DA32" s="60"/>
      <c r="DB32" s="60">
        <v>37</v>
      </c>
      <c r="DC32" s="60">
        <v>131</v>
      </c>
      <c r="DD32" s="60">
        <v>189</v>
      </c>
      <c r="DE32" s="60">
        <v>320</v>
      </c>
      <c r="DF32" s="60">
        <v>617</v>
      </c>
      <c r="DG32" s="60">
        <v>725</v>
      </c>
      <c r="DH32" s="60">
        <v>697</v>
      </c>
      <c r="DI32" s="60">
        <v>1189</v>
      </c>
      <c r="DJ32" s="60">
        <v>1</v>
      </c>
      <c r="DK32" s="60">
        <v>8</v>
      </c>
      <c r="DL32" s="60"/>
      <c r="DM32" s="60">
        <v>21</v>
      </c>
      <c r="DN32" s="60">
        <v>27</v>
      </c>
      <c r="DO32" s="60">
        <v>158</v>
      </c>
      <c r="DP32" s="60">
        <v>10</v>
      </c>
      <c r="DQ32" s="60"/>
      <c r="DR32" s="60">
        <v>3685</v>
      </c>
      <c r="DS32" s="60">
        <v>13</v>
      </c>
      <c r="DT32" s="60">
        <v>180</v>
      </c>
      <c r="DU32" s="60">
        <v>34</v>
      </c>
      <c r="DV32" s="60">
        <v>146</v>
      </c>
      <c r="DW32" s="60">
        <v>327</v>
      </c>
      <c r="DX32" s="60">
        <v>17</v>
      </c>
      <c r="DY32" s="60"/>
      <c r="DZ32" s="60">
        <v>35</v>
      </c>
      <c r="EA32" s="60">
        <v>2508</v>
      </c>
      <c r="EB32" s="60">
        <v>662</v>
      </c>
      <c r="EC32" s="60">
        <v>5</v>
      </c>
      <c r="ED32" s="60">
        <v>0</v>
      </c>
      <c r="EE32" s="60">
        <v>0</v>
      </c>
      <c r="EF32" s="60">
        <v>0</v>
      </c>
      <c r="EG32" s="60">
        <v>0</v>
      </c>
      <c r="EH32" s="60">
        <v>0</v>
      </c>
      <c r="EI32" s="60">
        <v>677</v>
      </c>
      <c r="EJ32" s="60">
        <v>2426</v>
      </c>
      <c r="EK32" s="60">
        <v>23</v>
      </c>
      <c r="EL32" s="60">
        <v>673</v>
      </c>
      <c r="EM32" s="60">
        <v>115</v>
      </c>
      <c r="EN32" s="60">
        <v>27</v>
      </c>
      <c r="EO32" s="60">
        <v>46</v>
      </c>
      <c r="EP32" s="60">
        <v>722</v>
      </c>
      <c r="EQ32" s="60">
        <v>7</v>
      </c>
      <c r="ER32" s="60">
        <v>651</v>
      </c>
      <c r="ES32" s="60">
        <v>93</v>
      </c>
      <c r="ET32" s="60">
        <v>163</v>
      </c>
      <c r="EU32" s="60">
        <v>530</v>
      </c>
      <c r="EV32" s="60">
        <v>363</v>
      </c>
      <c r="EW32" s="60">
        <v>119</v>
      </c>
      <c r="EX32" s="60">
        <v>86</v>
      </c>
      <c r="EY32" s="60">
        <v>109</v>
      </c>
      <c r="EZ32" s="60">
        <v>2</v>
      </c>
      <c r="FA32" s="60">
        <v>65</v>
      </c>
      <c r="FB32" s="60">
        <v>583</v>
      </c>
      <c r="FC32" s="60">
        <v>99</v>
      </c>
      <c r="FD32" s="60">
        <v>248</v>
      </c>
      <c r="FE32" s="60"/>
      <c r="FF32" s="60">
        <v>1</v>
      </c>
      <c r="FG32" s="60"/>
      <c r="FH32" s="60">
        <v>285</v>
      </c>
      <c r="FI32" s="60">
        <v>45</v>
      </c>
      <c r="FJ32" s="60">
        <v>439</v>
      </c>
      <c r="FK32" s="60">
        <v>3</v>
      </c>
      <c r="FL32" s="60">
        <v>28</v>
      </c>
      <c r="FM32" s="60">
        <v>125</v>
      </c>
      <c r="FN32" s="60">
        <v>16</v>
      </c>
      <c r="FO32" s="60">
        <v>2795</v>
      </c>
      <c r="FP32" s="60">
        <v>49</v>
      </c>
      <c r="FQ32" s="60">
        <v>8</v>
      </c>
      <c r="FR32" s="60">
        <v>75</v>
      </c>
      <c r="FS32" s="60">
        <v>29</v>
      </c>
      <c r="FT32" s="60">
        <v>7</v>
      </c>
      <c r="FU32" s="60">
        <v>8</v>
      </c>
      <c r="FV32" s="60">
        <v>1</v>
      </c>
      <c r="FW32" s="60">
        <v>1</v>
      </c>
      <c r="FX32" s="60">
        <v>3914</v>
      </c>
      <c r="FY32" s="60">
        <v>16</v>
      </c>
      <c r="FZ32" s="60">
        <v>3832</v>
      </c>
      <c r="GA32" s="60">
        <v>66</v>
      </c>
      <c r="GB32" s="60">
        <v>2011</v>
      </c>
    </row>
    <row r="33" spans="1:184" x14ac:dyDescent="0.3">
      <c r="A33" s="60">
        <v>106100005</v>
      </c>
      <c r="B33" s="61" t="s">
        <v>237</v>
      </c>
      <c r="C33" s="61" t="s">
        <v>238</v>
      </c>
      <c r="D33" s="61" t="s">
        <v>240</v>
      </c>
      <c r="E33" s="61" t="s">
        <v>241</v>
      </c>
      <c r="F33" s="60">
        <v>93612</v>
      </c>
      <c r="G33" s="61"/>
      <c r="H33" s="61" t="s">
        <v>1669</v>
      </c>
      <c r="I33" s="60">
        <v>29</v>
      </c>
      <c r="J33" s="60">
        <v>14</v>
      </c>
      <c r="K33" s="61" t="s">
        <v>1732</v>
      </c>
      <c r="L33" s="61"/>
      <c r="M33" s="61" t="s">
        <v>1733</v>
      </c>
      <c r="N33" s="61" t="s">
        <v>1734</v>
      </c>
      <c r="O33" s="61" t="s">
        <v>1673</v>
      </c>
      <c r="P33" s="61" t="s">
        <v>1678</v>
      </c>
      <c r="Q33" s="61" t="s">
        <v>1674</v>
      </c>
      <c r="R33" s="60">
        <v>109</v>
      </c>
      <c r="S33" s="61" t="s">
        <v>1675</v>
      </c>
      <c r="T33" s="60">
        <v>17144</v>
      </c>
      <c r="U33" s="60">
        <v>11105</v>
      </c>
      <c r="V33" s="60">
        <v>1</v>
      </c>
      <c r="W33" s="60"/>
      <c r="X33" s="60">
        <v>1984</v>
      </c>
      <c r="Y33" s="60">
        <v>3190</v>
      </c>
      <c r="Z33" s="60">
        <v>5737</v>
      </c>
      <c r="AA33" s="60">
        <v>5047</v>
      </c>
      <c r="AB33" s="60">
        <v>3995</v>
      </c>
      <c r="AC33" s="60">
        <v>3261</v>
      </c>
      <c r="AD33" s="60">
        <v>2081</v>
      </c>
      <c r="AE33" s="60">
        <v>1289</v>
      </c>
      <c r="AF33" s="60">
        <v>1303</v>
      </c>
      <c r="AG33" s="60">
        <v>363</v>
      </c>
      <c r="AH33" s="60"/>
      <c r="AI33" s="60">
        <v>26</v>
      </c>
      <c r="AJ33" s="60">
        <v>16</v>
      </c>
      <c r="AK33" s="60">
        <v>19045</v>
      </c>
      <c r="AL33" s="60">
        <v>108</v>
      </c>
      <c r="AM33" s="60">
        <v>831</v>
      </c>
      <c r="AN33" s="60">
        <v>10</v>
      </c>
      <c r="AO33" s="60">
        <v>8214</v>
      </c>
      <c r="AP33" s="60">
        <v>338</v>
      </c>
      <c r="AQ33" s="60">
        <v>328</v>
      </c>
      <c r="AR33" s="60">
        <v>15</v>
      </c>
      <c r="AS33" s="60">
        <v>37</v>
      </c>
      <c r="AT33" s="60">
        <v>13</v>
      </c>
      <c r="AU33" s="60">
        <v>4</v>
      </c>
      <c r="AV33" s="60">
        <v>1</v>
      </c>
      <c r="AW33" s="60">
        <v>81</v>
      </c>
      <c r="AX33" s="60">
        <v>23</v>
      </c>
      <c r="AY33" s="60">
        <v>348</v>
      </c>
      <c r="AZ33" s="60"/>
      <c r="BA33" s="60">
        <v>26971</v>
      </c>
      <c r="BB33" s="60">
        <v>91</v>
      </c>
      <c r="BC33" s="60"/>
      <c r="BD33" s="60"/>
      <c r="BE33" s="60">
        <v>9070</v>
      </c>
      <c r="BF33" s="60">
        <v>3122</v>
      </c>
      <c r="BG33" s="60">
        <v>2459</v>
      </c>
      <c r="BH33" s="60">
        <v>9466</v>
      </c>
      <c r="BI33" s="60">
        <v>4133</v>
      </c>
      <c r="BJ33" s="60">
        <v>1222</v>
      </c>
      <c r="BK33" s="60">
        <v>118</v>
      </c>
      <c r="BL33" s="60">
        <v>490</v>
      </c>
      <c r="BM33" s="60">
        <v>7</v>
      </c>
      <c r="BN33" s="60">
        <v>1832</v>
      </c>
      <c r="BO33" s="60">
        <v>320</v>
      </c>
      <c r="BP33" s="60">
        <v>2019</v>
      </c>
      <c r="BQ33" s="60">
        <v>632</v>
      </c>
      <c r="BR33" s="60">
        <v>6751</v>
      </c>
      <c r="BS33" s="60">
        <v>1597</v>
      </c>
      <c r="BT33" s="60">
        <v>72</v>
      </c>
      <c r="BU33" s="60">
        <v>1502</v>
      </c>
      <c r="BV33" s="60">
        <v>710</v>
      </c>
      <c r="BW33" s="60">
        <v>14</v>
      </c>
      <c r="BX33" s="60">
        <v>1177</v>
      </c>
      <c r="BY33" s="60">
        <v>2251</v>
      </c>
      <c r="BZ33" s="60">
        <v>1282</v>
      </c>
      <c r="CA33" s="60">
        <v>6254</v>
      </c>
      <c r="CB33" s="60"/>
      <c r="CC33" s="60"/>
      <c r="CD33" s="60">
        <v>2283</v>
      </c>
      <c r="CE33" s="60">
        <v>123</v>
      </c>
      <c r="CF33" s="60">
        <v>240</v>
      </c>
      <c r="CG33" s="60">
        <v>25</v>
      </c>
      <c r="CH33" s="60">
        <v>277</v>
      </c>
      <c r="CI33" s="60">
        <v>62</v>
      </c>
      <c r="CJ33" s="60">
        <v>60</v>
      </c>
      <c r="CK33" s="60">
        <v>279</v>
      </c>
      <c r="CL33" s="60">
        <v>20911</v>
      </c>
      <c r="CM33" s="60">
        <v>2547</v>
      </c>
      <c r="CN33" s="60">
        <v>162</v>
      </c>
      <c r="CO33" s="60">
        <v>949</v>
      </c>
      <c r="CP33" s="60">
        <v>160</v>
      </c>
      <c r="CQ33" s="60">
        <v>138</v>
      </c>
      <c r="CR33" s="60">
        <v>34</v>
      </c>
      <c r="CS33" s="60"/>
      <c r="CT33" s="60">
        <v>28250</v>
      </c>
      <c r="CU33" s="60">
        <v>257</v>
      </c>
      <c r="CV33" s="60">
        <v>27229</v>
      </c>
      <c r="CW33" s="60">
        <v>764</v>
      </c>
      <c r="CX33" s="60">
        <v>2180</v>
      </c>
      <c r="CY33" s="60">
        <v>1584</v>
      </c>
      <c r="CZ33" s="60"/>
      <c r="DA33" s="60"/>
      <c r="DB33" s="60">
        <v>45</v>
      </c>
      <c r="DC33" s="60">
        <v>226</v>
      </c>
      <c r="DD33" s="60">
        <v>328</v>
      </c>
      <c r="DE33" s="60">
        <v>405</v>
      </c>
      <c r="DF33" s="60">
        <v>650</v>
      </c>
      <c r="DG33" s="60">
        <v>668</v>
      </c>
      <c r="DH33" s="60">
        <v>579</v>
      </c>
      <c r="DI33" s="60">
        <v>863</v>
      </c>
      <c r="DJ33" s="60"/>
      <c r="DK33" s="60"/>
      <c r="DL33" s="60"/>
      <c r="DM33" s="60">
        <v>157</v>
      </c>
      <c r="DN33" s="60">
        <v>97</v>
      </c>
      <c r="DO33" s="60">
        <v>854</v>
      </c>
      <c r="DP33" s="60">
        <v>78</v>
      </c>
      <c r="DQ33" s="60"/>
      <c r="DR33" s="60">
        <v>2570</v>
      </c>
      <c r="DS33" s="60">
        <v>8</v>
      </c>
      <c r="DT33" s="60">
        <v>125</v>
      </c>
      <c r="DU33" s="60">
        <v>66</v>
      </c>
      <c r="DV33" s="60">
        <v>125</v>
      </c>
      <c r="DW33" s="60">
        <v>321</v>
      </c>
      <c r="DX33" s="60">
        <v>110</v>
      </c>
      <c r="DY33" s="60">
        <v>4</v>
      </c>
      <c r="DZ33" s="60">
        <v>35</v>
      </c>
      <c r="EA33" s="60">
        <v>2502</v>
      </c>
      <c r="EB33" s="60">
        <v>475</v>
      </c>
      <c r="EC33" s="60">
        <v>1</v>
      </c>
      <c r="ED33" s="60">
        <v>0</v>
      </c>
      <c r="EE33" s="60">
        <v>0</v>
      </c>
      <c r="EF33" s="60">
        <v>0</v>
      </c>
      <c r="EG33" s="60">
        <v>0</v>
      </c>
      <c r="EH33" s="60">
        <v>0</v>
      </c>
      <c r="EI33" s="60">
        <v>517</v>
      </c>
      <c r="EJ33" s="60">
        <v>1858</v>
      </c>
      <c r="EK33" s="60">
        <v>36</v>
      </c>
      <c r="EL33" s="60">
        <v>1087</v>
      </c>
      <c r="EM33" s="60">
        <v>266</v>
      </c>
      <c r="EN33" s="60">
        <v>56</v>
      </c>
      <c r="EO33" s="60">
        <v>55</v>
      </c>
      <c r="EP33" s="60">
        <v>700</v>
      </c>
      <c r="EQ33" s="60">
        <v>1</v>
      </c>
      <c r="ER33" s="60">
        <v>906</v>
      </c>
      <c r="ES33" s="60">
        <v>160</v>
      </c>
      <c r="ET33" s="60">
        <v>233</v>
      </c>
      <c r="EU33" s="60">
        <v>262</v>
      </c>
      <c r="EV33" s="60">
        <v>325</v>
      </c>
      <c r="EW33" s="60">
        <v>43</v>
      </c>
      <c r="EX33" s="60">
        <v>87</v>
      </c>
      <c r="EY33" s="60">
        <v>47</v>
      </c>
      <c r="EZ33" s="60">
        <v>1</v>
      </c>
      <c r="FA33" s="60">
        <v>22</v>
      </c>
      <c r="FB33" s="60">
        <v>510</v>
      </c>
      <c r="FC33" s="60">
        <v>136</v>
      </c>
      <c r="FD33" s="60">
        <v>220</v>
      </c>
      <c r="FE33" s="60"/>
      <c r="FF33" s="60"/>
      <c r="FG33" s="60"/>
      <c r="FH33" s="60">
        <v>197</v>
      </c>
      <c r="FI33" s="60">
        <v>22</v>
      </c>
      <c r="FJ33" s="60">
        <v>241</v>
      </c>
      <c r="FK33" s="60">
        <v>2</v>
      </c>
      <c r="FL33" s="60">
        <v>7</v>
      </c>
      <c r="FM33" s="60">
        <v>28</v>
      </c>
      <c r="FN33" s="60">
        <v>12</v>
      </c>
      <c r="FO33" s="60">
        <v>3204</v>
      </c>
      <c r="FP33" s="60">
        <v>20</v>
      </c>
      <c r="FQ33" s="60">
        <v>2</v>
      </c>
      <c r="FR33" s="60">
        <v>2</v>
      </c>
      <c r="FS33" s="60">
        <v>17</v>
      </c>
      <c r="FT33" s="60">
        <v>2</v>
      </c>
      <c r="FU33" s="60">
        <v>6</v>
      </c>
      <c r="FV33" s="60">
        <v>1</v>
      </c>
      <c r="FW33" s="60">
        <v>1</v>
      </c>
      <c r="FX33" s="60">
        <v>3764</v>
      </c>
      <c r="FY33" s="60">
        <v>92</v>
      </c>
      <c r="FZ33" s="60">
        <v>3527</v>
      </c>
      <c r="GA33" s="60">
        <v>145</v>
      </c>
      <c r="GB33" s="60">
        <v>2011</v>
      </c>
    </row>
    <row r="34" spans="1:184" x14ac:dyDescent="0.3">
      <c r="A34" s="60">
        <v>106100697</v>
      </c>
      <c r="B34" s="61" t="s">
        <v>242</v>
      </c>
      <c r="C34" s="61" t="s">
        <v>243</v>
      </c>
      <c r="D34" s="61" t="s">
        <v>244</v>
      </c>
      <c r="E34" s="61" t="s">
        <v>245</v>
      </c>
      <c r="F34" s="60">
        <v>93210</v>
      </c>
      <c r="G34" s="61"/>
      <c r="H34" s="61" t="s">
        <v>1669</v>
      </c>
      <c r="I34" s="60">
        <v>30</v>
      </c>
      <c r="J34" s="60">
        <v>16</v>
      </c>
      <c r="K34" s="61" t="s">
        <v>1735</v>
      </c>
      <c r="L34" s="61"/>
      <c r="M34" s="61" t="s">
        <v>1733</v>
      </c>
      <c r="N34" s="61" t="s">
        <v>1734</v>
      </c>
      <c r="O34" s="61" t="s">
        <v>1673</v>
      </c>
      <c r="P34" s="61" t="s">
        <v>159</v>
      </c>
      <c r="Q34" s="61" t="s">
        <v>1674</v>
      </c>
      <c r="R34" s="60">
        <v>24</v>
      </c>
      <c r="S34" s="61" t="s">
        <v>1706</v>
      </c>
      <c r="T34" s="60">
        <v>4224</v>
      </c>
      <c r="U34" s="60">
        <v>4516</v>
      </c>
      <c r="V34" s="60"/>
      <c r="W34" s="60"/>
      <c r="X34" s="60">
        <v>1599</v>
      </c>
      <c r="Y34" s="60">
        <v>1236</v>
      </c>
      <c r="Z34" s="60">
        <v>1514</v>
      </c>
      <c r="AA34" s="60">
        <v>1213</v>
      </c>
      <c r="AB34" s="60">
        <v>1070</v>
      </c>
      <c r="AC34" s="60">
        <v>896</v>
      </c>
      <c r="AD34" s="60">
        <v>457</v>
      </c>
      <c r="AE34" s="60">
        <v>262</v>
      </c>
      <c r="AF34" s="60">
        <v>168</v>
      </c>
      <c r="AG34" s="60">
        <v>325</v>
      </c>
      <c r="AH34" s="60"/>
      <c r="AI34" s="60">
        <v>79</v>
      </c>
      <c r="AJ34" s="60">
        <v>344</v>
      </c>
      <c r="AK34" s="60">
        <v>5366</v>
      </c>
      <c r="AL34" s="60">
        <v>17</v>
      </c>
      <c r="AM34" s="60">
        <v>85</v>
      </c>
      <c r="AN34" s="60"/>
      <c r="AO34" s="60">
        <v>2849</v>
      </c>
      <c r="AP34" s="60">
        <v>736</v>
      </c>
      <c r="AQ34" s="60">
        <v>216</v>
      </c>
      <c r="AR34" s="60"/>
      <c r="AS34" s="60">
        <v>15</v>
      </c>
      <c r="AT34" s="60">
        <v>1</v>
      </c>
      <c r="AU34" s="60"/>
      <c r="AV34" s="60"/>
      <c r="AW34" s="60"/>
      <c r="AX34" s="60">
        <v>16</v>
      </c>
      <c r="AY34" s="60">
        <v>10</v>
      </c>
      <c r="AZ34" s="60"/>
      <c r="BA34" s="60">
        <v>7708</v>
      </c>
      <c r="BB34" s="60">
        <v>38</v>
      </c>
      <c r="BC34" s="60"/>
      <c r="BD34" s="60"/>
      <c r="BE34" s="60">
        <v>1040</v>
      </c>
      <c r="BF34" s="60">
        <v>694</v>
      </c>
      <c r="BG34" s="60">
        <v>1246</v>
      </c>
      <c r="BH34" s="60">
        <v>4440</v>
      </c>
      <c r="BI34" s="60">
        <v>1320</v>
      </c>
      <c r="BJ34" s="60">
        <v>296</v>
      </c>
      <c r="BK34" s="60">
        <v>27</v>
      </c>
      <c r="BL34" s="60">
        <v>218</v>
      </c>
      <c r="BM34" s="60">
        <v>2</v>
      </c>
      <c r="BN34" s="60">
        <v>592</v>
      </c>
      <c r="BO34" s="60">
        <v>162</v>
      </c>
      <c r="BP34" s="60">
        <v>506</v>
      </c>
      <c r="BQ34" s="60">
        <v>246</v>
      </c>
      <c r="BR34" s="60">
        <v>2501</v>
      </c>
      <c r="BS34" s="60">
        <v>309</v>
      </c>
      <c r="BT34" s="60">
        <v>10</v>
      </c>
      <c r="BU34" s="60">
        <v>675</v>
      </c>
      <c r="BV34" s="60">
        <v>179</v>
      </c>
      <c r="BW34" s="60">
        <v>8</v>
      </c>
      <c r="BX34" s="60">
        <v>284</v>
      </c>
      <c r="BY34" s="60">
        <v>1025</v>
      </c>
      <c r="BZ34" s="60">
        <v>322</v>
      </c>
      <c r="CA34" s="60">
        <v>1374</v>
      </c>
      <c r="CB34" s="60"/>
      <c r="CC34" s="60">
        <v>4</v>
      </c>
      <c r="CD34" s="60">
        <v>692</v>
      </c>
      <c r="CE34" s="60">
        <v>50</v>
      </c>
      <c r="CF34" s="60">
        <v>60</v>
      </c>
      <c r="CG34" s="60">
        <v>8</v>
      </c>
      <c r="CH34" s="60">
        <v>298</v>
      </c>
      <c r="CI34" s="60">
        <v>21</v>
      </c>
      <c r="CJ34" s="60">
        <v>45</v>
      </c>
      <c r="CK34" s="60">
        <v>142</v>
      </c>
      <c r="CL34" s="60">
        <v>6020</v>
      </c>
      <c r="CM34" s="60">
        <v>1038</v>
      </c>
      <c r="CN34" s="60">
        <v>37</v>
      </c>
      <c r="CO34" s="60">
        <v>211</v>
      </c>
      <c r="CP34" s="60">
        <v>38</v>
      </c>
      <c r="CQ34" s="60">
        <v>66</v>
      </c>
      <c r="CR34" s="60">
        <v>13</v>
      </c>
      <c r="CS34" s="60">
        <v>1</v>
      </c>
      <c r="CT34" s="60">
        <v>8740</v>
      </c>
      <c r="CU34" s="60">
        <v>19</v>
      </c>
      <c r="CV34" s="60">
        <v>6784</v>
      </c>
      <c r="CW34" s="60">
        <v>1937</v>
      </c>
      <c r="CX34" s="60">
        <v>194</v>
      </c>
      <c r="CY34" s="60">
        <v>371</v>
      </c>
      <c r="CZ34" s="60"/>
      <c r="DA34" s="60"/>
      <c r="DB34" s="60">
        <v>5</v>
      </c>
      <c r="DC34" s="60">
        <v>25</v>
      </c>
      <c r="DD34" s="60">
        <v>53</v>
      </c>
      <c r="DE34" s="60">
        <v>96</v>
      </c>
      <c r="DF34" s="60">
        <v>136</v>
      </c>
      <c r="DG34" s="60">
        <v>96</v>
      </c>
      <c r="DH34" s="60">
        <v>69</v>
      </c>
      <c r="DI34" s="60">
        <v>85</v>
      </c>
      <c r="DJ34" s="60"/>
      <c r="DK34" s="60"/>
      <c r="DL34" s="60"/>
      <c r="DM34" s="60">
        <v>8</v>
      </c>
      <c r="DN34" s="60">
        <v>66</v>
      </c>
      <c r="DO34" s="60">
        <v>199</v>
      </c>
      <c r="DP34" s="60">
        <v>8</v>
      </c>
      <c r="DQ34" s="60">
        <v>4</v>
      </c>
      <c r="DR34" s="60">
        <v>280</v>
      </c>
      <c r="DS34" s="60"/>
      <c r="DT34" s="60">
        <v>54</v>
      </c>
      <c r="DU34" s="60">
        <v>8</v>
      </c>
      <c r="DV34" s="60">
        <v>14</v>
      </c>
      <c r="DW34" s="60">
        <v>4</v>
      </c>
      <c r="DX34" s="60">
        <v>3</v>
      </c>
      <c r="DY34" s="60">
        <v>1</v>
      </c>
      <c r="DZ34" s="60">
        <v>1</v>
      </c>
      <c r="EA34" s="60">
        <v>229</v>
      </c>
      <c r="EB34" s="60">
        <v>45</v>
      </c>
      <c r="EC34" s="60">
        <v>206</v>
      </c>
      <c r="ED34" s="60">
        <v>0</v>
      </c>
      <c r="EE34" s="60">
        <v>0</v>
      </c>
      <c r="EF34" s="60">
        <v>0</v>
      </c>
      <c r="EG34" s="60">
        <v>0</v>
      </c>
      <c r="EH34" s="60">
        <v>0</v>
      </c>
      <c r="EI34" s="60">
        <v>51</v>
      </c>
      <c r="EJ34" s="60">
        <v>143</v>
      </c>
      <c r="EK34" s="60">
        <v>251</v>
      </c>
      <c r="EL34" s="60">
        <v>87</v>
      </c>
      <c r="EM34" s="60">
        <v>33</v>
      </c>
      <c r="EN34" s="60">
        <v>2</v>
      </c>
      <c r="EO34" s="60">
        <v>11</v>
      </c>
      <c r="EP34" s="60">
        <v>87</v>
      </c>
      <c r="EQ34" s="60"/>
      <c r="ER34" s="60">
        <v>43</v>
      </c>
      <c r="ES34" s="60">
        <v>28</v>
      </c>
      <c r="ET34" s="60">
        <v>39</v>
      </c>
      <c r="EU34" s="60">
        <v>60</v>
      </c>
      <c r="EV34" s="60">
        <v>20</v>
      </c>
      <c r="EW34" s="60">
        <v>10</v>
      </c>
      <c r="EX34" s="60">
        <v>6</v>
      </c>
      <c r="EY34" s="60">
        <v>19</v>
      </c>
      <c r="EZ34" s="60">
        <v>1</v>
      </c>
      <c r="FA34" s="60">
        <v>9</v>
      </c>
      <c r="FB34" s="60">
        <v>77</v>
      </c>
      <c r="FC34" s="60">
        <v>42</v>
      </c>
      <c r="FD34" s="60">
        <v>111</v>
      </c>
      <c r="FE34" s="60"/>
      <c r="FF34" s="60"/>
      <c r="FG34" s="60"/>
      <c r="FH34" s="60">
        <v>17</v>
      </c>
      <c r="FI34" s="60">
        <v>3</v>
      </c>
      <c r="FJ34" s="60">
        <v>41</v>
      </c>
      <c r="FK34" s="60">
        <v>2</v>
      </c>
      <c r="FL34" s="60">
        <v>9</v>
      </c>
      <c r="FM34" s="60">
        <v>11</v>
      </c>
      <c r="FN34" s="60">
        <v>4</v>
      </c>
      <c r="FO34" s="60">
        <v>473</v>
      </c>
      <c r="FP34" s="60">
        <v>4</v>
      </c>
      <c r="FQ34" s="60"/>
      <c r="FR34" s="60"/>
      <c r="FS34" s="60"/>
      <c r="FT34" s="60"/>
      <c r="FU34" s="60">
        <v>1</v>
      </c>
      <c r="FV34" s="60"/>
      <c r="FW34" s="60"/>
      <c r="FX34" s="60">
        <v>565</v>
      </c>
      <c r="FY34" s="60"/>
      <c r="FZ34" s="60">
        <v>484</v>
      </c>
      <c r="GA34" s="60">
        <v>81</v>
      </c>
      <c r="GB34" s="60">
        <v>2011</v>
      </c>
    </row>
    <row r="35" spans="1:184" x14ac:dyDescent="0.3">
      <c r="A35" s="60">
        <v>106100717</v>
      </c>
      <c r="B35" s="61" t="s">
        <v>246</v>
      </c>
      <c r="C35" s="61" t="s">
        <v>247</v>
      </c>
      <c r="D35" s="61" t="s">
        <v>1736</v>
      </c>
      <c r="E35" s="61" t="s">
        <v>239</v>
      </c>
      <c r="F35" s="60">
        <v>93721</v>
      </c>
      <c r="G35" s="61" t="s">
        <v>248</v>
      </c>
      <c r="H35" s="61" t="s">
        <v>1689</v>
      </c>
      <c r="I35" s="60">
        <v>31</v>
      </c>
      <c r="J35" s="60">
        <v>16</v>
      </c>
      <c r="K35" s="61" t="s">
        <v>1737</v>
      </c>
      <c r="L35" s="61"/>
      <c r="M35" s="61" t="s">
        <v>1733</v>
      </c>
      <c r="N35" s="61" t="s">
        <v>1734</v>
      </c>
      <c r="O35" s="61" t="s">
        <v>1673</v>
      </c>
      <c r="P35" s="61" t="s">
        <v>1678</v>
      </c>
      <c r="Q35" s="61" t="s">
        <v>1674</v>
      </c>
      <c r="R35" s="60">
        <v>626</v>
      </c>
      <c r="S35" s="61" t="s">
        <v>1738</v>
      </c>
      <c r="T35" s="60">
        <v>39093</v>
      </c>
      <c r="U35" s="60">
        <v>41050</v>
      </c>
      <c r="V35" s="60">
        <v>3</v>
      </c>
      <c r="W35" s="60"/>
      <c r="X35" s="60">
        <v>5002</v>
      </c>
      <c r="Y35" s="60">
        <v>7432</v>
      </c>
      <c r="Z35" s="60">
        <v>17260</v>
      </c>
      <c r="AA35" s="60">
        <v>13543</v>
      </c>
      <c r="AB35" s="60">
        <v>14871</v>
      </c>
      <c r="AC35" s="60">
        <v>12334</v>
      </c>
      <c r="AD35" s="60">
        <v>4913</v>
      </c>
      <c r="AE35" s="60">
        <v>2061</v>
      </c>
      <c r="AF35" s="60">
        <v>1379</v>
      </c>
      <c r="AG35" s="60">
        <v>1346</v>
      </c>
      <c r="AH35" s="60">
        <v>5</v>
      </c>
      <c r="AI35" s="60">
        <v>75</v>
      </c>
      <c r="AJ35" s="60">
        <v>135</v>
      </c>
      <c r="AK35" s="60">
        <v>37199</v>
      </c>
      <c r="AL35" s="60">
        <v>52</v>
      </c>
      <c r="AM35" s="60">
        <v>7392</v>
      </c>
      <c r="AN35" s="60">
        <v>22</v>
      </c>
      <c r="AO35" s="60">
        <v>35271</v>
      </c>
      <c r="AP35" s="60">
        <v>551</v>
      </c>
      <c r="AQ35" s="60">
        <v>1817</v>
      </c>
      <c r="AR35" s="60">
        <v>88</v>
      </c>
      <c r="AS35" s="60">
        <v>258</v>
      </c>
      <c r="AT35" s="60">
        <v>228</v>
      </c>
      <c r="AU35" s="60">
        <v>94</v>
      </c>
      <c r="AV35" s="60">
        <v>46</v>
      </c>
      <c r="AW35" s="60">
        <v>102</v>
      </c>
      <c r="AX35" s="60">
        <v>1187</v>
      </c>
      <c r="AY35" s="60">
        <v>3758</v>
      </c>
      <c r="AZ35" s="60">
        <v>18</v>
      </c>
      <c r="BA35" s="60">
        <v>71330</v>
      </c>
      <c r="BB35" s="60">
        <v>669</v>
      </c>
      <c r="BC35" s="60"/>
      <c r="BD35" s="60"/>
      <c r="BE35" s="60">
        <v>34407</v>
      </c>
      <c r="BF35" s="60">
        <v>7600</v>
      </c>
      <c r="BG35" s="60">
        <v>17126</v>
      </c>
      <c r="BH35" s="60">
        <v>5152</v>
      </c>
      <c r="BI35" s="60">
        <v>15861</v>
      </c>
      <c r="BJ35" s="60">
        <v>2389</v>
      </c>
      <c r="BK35" s="60">
        <v>205</v>
      </c>
      <c r="BL35" s="60">
        <v>1209</v>
      </c>
      <c r="BM35" s="60">
        <v>21</v>
      </c>
      <c r="BN35" s="60">
        <v>4453</v>
      </c>
      <c r="BO35" s="60">
        <v>941</v>
      </c>
      <c r="BP35" s="60">
        <v>4139</v>
      </c>
      <c r="BQ35" s="60">
        <v>1979</v>
      </c>
      <c r="BR35" s="60">
        <v>16052</v>
      </c>
      <c r="BS35" s="60">
        <v>6190</v>
      </c>
      <c r="BT35" s="60">
        <v>171</v>
      </c>
      <c r="BU35" s="60">
        <v>3848</v>
      </c>
      <c r="BV35" s="60">
        <v>4555</v>
      </c>
      <c r="BW35" s="60">
        <v>32</v>
      </c>
      <c r="BX35" s="60">
        <v>7963</v>
      </c>
      <c r="BY35" s="60">
        <v>5337</v>
      </c>
      <c r="BZ35" s="60">
        <v>3354</v>
      </c>
      <c r="CA35" s="60">
        <v>17307</v>
      </c>
      <c r="CB35" s="60"/>
      <c r="CC35" s="60">
        <v>1</v>
      </c>
      <c r="CD35" s="60">
        <v>4407</v>
      </c>
      <c r="CE35" s="60">
        <v>418</v>
      </c>
      <c r="CF35" s="60">
        <v>359</v>
      </c>
      <c r="CG35" s="60">
        <v>81</v>
      </c>
      <c r="CH35" s="60">
        <v>2654</v>
      </c>
      <c r="CI35" s="60">
        <v>84</v>
      </c>
      <c r="CJ35" s="60">
        <v>9</v>
      </c>
      <c r="CK35" s="60">
        <v>730</v>
      </c>
      <c r="CL35" s="60">
        <v>61418</v>
      </c>
      <c r="CM35" s="60">
        <v>5637</v>
      </c>
      <c r="CN35" s="60">
        <v>386</v>
      </c>
      <c r="CO35" s="60">
        <v>2790</v>
      </c>
      <c r="CP35" s="60">
        <v>773</v>
      </c>
      <c r="CQ35" s="60">
        <v>342</v>
      </c>
      <c r="CR35" s="60">
        <v>57</v>
      </c>
      <c r="CS35" s="60">
        <v>1</v>
      </c>
      <c r="CT35" s="60">
        <v>80146</v>
      </c>
      <c r="CU35" s="60">
        <v>1208</v>
      </c>
      <c r="CV35" s="60">
        <v>67626</v>
      </c>
      <c r="CW35" s="60">
        <v>11312</v>
      </c>
      <c r="CX35" s="60">
        <v>10402</v>
      </c>
      <c r="CY35" s="60">
        <v>11879</v>
      </c>
      <c r="CZ35" s="60"/>
      <c r="DA35" s="60"/>
      <c r="DB35" s="60">
        <v>675</v>
      </c>
      <c r="DC35" s="60">
        <v>2316</v>
      </c>
      <c r="DD35" s="60">
        <v>2324</v>
      </c>
      <c r="DE35" s="60">
        <v>3494</v>
      </c>
      <c r="DF35" s="60">
        <v>4820</v>
      </c>
      <c r="DG35" s="60">
        <v>3395</v>
      </c>
      <c r="DH35" s="60">
        <v>2350</v>
      </c>
      <c r="DI35" s="60">
        <v>2438</v>
      </c>
      <c r="DJ35" s="60">
        <v>179</v>
      </c>
      <c r="DK35" s="60">
        <v>290</v>
      </c>
      <c r="DL35" s="60"/>
      <c r="DM35" s="60">
        <v>1305</v>
      </c>
      <c r="DN35" s="60">
        <v>2583</v>
      </c>
      <c r="DO35" s="60">
        <v>10186</v>
      </c>
      <c r="DP35" s="60">
        <v>595</v>
      </c>
      <c r="DQ35" s="60">
        <v>9</v>
      </c>
      <c r="DR35" s="60">
        <v>7533</v>
      </c>
      <c r="DS35" s="60">
        <v>70</v>
      </c>
      <c r="DT35" s="60">
        <v>324</v>
      </c>
      <c r="DU35" s="60">
        <v>579</v>
      </c>
      <c r="DV35" s="60">
        <v>926</v>
      </c>
      <c r="DW35" s="60">
        <v>2133</v>
      </c>
      <c r="DX35" s="60">
        <v>718</v>
      </c>
      <c r="DY35" s="60">
        <v>15</v>
      </c>
      <c r="DZ35" s="60">
        <v>239</v>
      </c>
      <c r="EA35" s="60">
        <v>14742</v>
      </c>
      <c r="EB35" s="60">
        <v>2379</v>
      </c>
      <c r="EC35" s="60">
        <v>226</v>
      </c>
      <c r="ED35" s="60">
        <v>0</v>
      </c>
      <c r="EE35" s="60">
        <v>0</v>
      </c>
      <c r="EF35" s="60">
        <v>0</v>
      </c>
      <c r="EG35" s="60">
        <v>0</v>
      </c>
      <c r="EH35" s="60">
        <v>0</v>
      </c>
      <c r="EI35" s="60">
        <v>7596</v>
      </c>
      <c r="EJ35" s="60">
        <v>7088</v>
      </c>
      <c r="EK35" s="60">
        <v>897</v>
      </c>
      <c r="EL35" s="60">
        <v>2017</v>
      </c>
      <c r="EM35" s="60">
        <v>4683</v>
      </c>
      <c r="EN35" s="60">
        <v>329</v>
      </c>
      <c r="EO35" s="60">
        <v>245</v>
      </c>
      <c r="EP35" s="60">
        <v>3877</v>
      </c>
      <c r="EQ35" s="60">
        <v>12</v>
      </c>
      <c r="ER35" s="60">
        <v>2577</v>
      </c>
      <c r="ES35" s="60">
        <v>959</v>
      </c>
      <c r="ET35" s="60">
        <v>1050</v>
      </c>
      <c r="EU35" s="60">
        <v>1874</v>
      </c>
      <c r="EV35" s="60">
        <v>3684</v>
      </c>
      <c r="EW35" s="60">
        <v>408</v>
      </c>
      <c r="EX35" s="60">
        <v>653</v>
      </c>
      <c r="EY35" s="60">
        <v>589</v>
      </c>
      <c r="EZ35" s="60">
        <v>25</v>
      </c>
      <c r="FA35" s="60">
        <v>1794</v>
      </c>
      <c r="FB35" s="60">
        <v>1995</v>
      </c>
      <c r="FC35" s="60">
        <v>665</v>
      </c>
      <c r="FD35" s="60">
        <v>1512</v>
      </c>
      <c r="FE35" s="60">
        <v>4</v>
      </c>
      <c r="FF35" s="60">
        <v>29</v>
      </c>
      <c r="FG35" s="60"/>
      <c r="FH35" s="60">
        <v>1053</v>
      </c>
      <c r="FI35" s="60">
        <v>187</v>
      </c>
      <c r="FJ35" s="60">
        <v>1140</v>
      </c>
      <c r="FK35" s="60">
        <v>413</v>
      </c>
      <c r="FL35" s="60">
        <v>193</v>
      </c>
      <c r="FM35" s="60">
        <v>124</v>
      </c>
      <c r="FN35" s="60">
        <v>91</v>
      </c>
      <c r="FO35" s="60">
        <v>17532</v>
      </c>
      <c r="FP35" s="60">
        <v>331</v>
      </c>
      <c r="FQ35" s="60">
        <v>67</v>
      </c>
      <c r="FR35" s="60">
        <v>795</v>
      </c>
      <c r="FS35" s="60">
        <v>177</v>
      </c>
      <c r="FT35" s="60">
        <v>62</v>
      </c>
      <c r="FU35" s="60">
        <v>76</v>
      </c>
      <c r="FV35" s="60">
        <v>40</v>
      </c>
      <c r="FW35" s="60"/>
      <c r="FX35" s="60">
        <v>22281</v>
      </c>
      <c r="FY35" s="60">
        <v>994</v>
      </c>
      <c r="FZ35" s="60">
        <v>17743</v>
      </c>
      <c r="GA35" s="60">
        <v>3544</v>
      </c>
      <c r="GB35" s="60">
        <v>2011</v>
      </c>
    </row>
    <row r="36" spans="1:184" x14ac:dyDescent="0.3">
      <c r="A36" s="60">
        <v>106100797</v>
      </c>
      <c r="B36" s="61" t="s">
        <v>249</v>
      </c>
      <c r="C36" s="61" t="s">
        <v>1739</v>
      </c>
      <c r="D36" s="61" t="s">
        <v>250</v>
      </c>
      <c r="E36" s="61" t="s">
        <v>251</v>
      </c>
      <c r="F36" s="60">
        <v>93654</v>
      </c>
      <c r="G36" s="61"/>
      <c r="H36" s="61" t="s">
        <v>1669</v>
      </c>
      <c r="I36" s="60">
        <v>31</v>
      </c>
      <c r="J36" s="60">
        <v>14</v>
      </c>
      <c r="K36" s="61" t="s">
        <v>1740</v>
      </c>
      <c r="L36" s="61"/>
      <c r="M36" s="61" t="s">
        <v>1733</v>
      </c>
      <c r="N36" s="61" t="s">
        <v>1734</v>
      </c>
      <c r="O36" s="61" t="s">
        <v>1673</v>
      </c>
      <c r="P36" s="61" t="s">
        <v>159</v>
      </c>
      <c r="Q36" s="61" t="s">
        <v>1674</v>
      </c>
      <c r="R36" s="60">
        <v>49</v>
      </c>
      <c r="S36" s="61" t="s">
        <v>1706</v>
      </c>
      <c r="T36" s="60">
        <v>8176</v>
      </c>
      <c r="U36" s="60">
        <v>6783</v>
      </c>
      <c r="V36" s="60"/>
      <c r="W36" s="60"/>
      <c r="X36" s="60">
        <v>3354</v>
      </c>
      <c r="Y36" s="60">
        <v>2300</v>
      </c>
      <c r="Z36" s="60">
        <v>2606</v>
      </c>
      <c r="AA36" s="60">
        <v>1813</v>
      </c>
      <c r="AB36" s="60">
        <v>1421</v>
      </c>
      <c r="AC36" s="60">
        <v>919</v>
      </c>
      <c r="AD36" s="60">
        <v>722</v>
      </c>
      <c r="AE36" s="60">
        <v>516</v>
      </c>
      <c r="AF36" s="60">
        <v>518</v>
      </c>
      <c r="AG36" s="60">
        <v>790</v>
      </c>
      <c r="AH36" s="60"/>
      <c r="AI36" s="60">
        <v>98</v>
      </c>
      <c r="AJ36" s="60">
        <v>66</v>
      </c>
      <c r="AK36" s="60">
        <v>4399</v>
      </c>
      <c r="AL36" s="60">
        <v>3</v>
      </c>
      <c r="AM36" s="60">
        <v>408</v>
      </c>
      <c r="AN36" s="60">
        <v>193</v>
      </c>
      <c r="AO36" s="60">
        <v>9792</v>
      </c>
      <c r="AP36" s="60">
        <v>529</v>
      </c>
      <c r="AQ36" s="60">
        <v>728</v>
      </c>
      <c r="AR36" s="60"/>
      <c r="AS36" s="60">
        <v>38</v>
      </c>
      <c r="AT36" s="60">
        <v>1</v>
      </c>
      <c r="AU36" s="60"/>
      <c r="AV36" s="60"/>
      <c r="AW36" s="60">
        <v>90</v>
      </c>
      <c r="AX36" s="60"/>
      <c r="AY36" s="60"/>
      <c r="AZ36" s="60"/>
      <c r="BA36" s="60">
        <v>13567</v>
      </c>
      <c r="BB36" s="60">
        <v>6</v>
      </c>
      <c r="BC36" s="60"/>
      <c r="BD36" s="60"/>
      <c r="BE36" s="60">
        <v>8011</v>
      </c>
      <c r="BF36" s="60">
        <v>1656</v>
      </c>
      <c r="BG36" s="60">
        <v>230</v>
      </c>
      <c r="BH36" s="60">
        <v>2012</v>
      </c>
      <c r="BI36" s="60">
        <v>3050</v>
      </c>
      <c r="BJ36" s="60">
        <v>719</v>
      </c>
      <c r="BK36" s="60">
        <v>28</v>
      </c>
      <c r="BL36" s="60">
        <v>222</v>
      </c>
      <c r="BM36" s="60">
        <v>4</v>
      </c>
      <c r="BN36" s="60">
        <v>931</v>
      </c>
      <c r="BO36" s="60">
        <v>126</v>
      </c>
      <c r="BP36" s="60">
        <v>735</v>
      </c>
      <c r="BQ36" s="60">
        <v>341</v>
      </c>
      <c r="BR36" s="60">
        <v>3738</v>
      </c>
      <c r="BS36" s="60">
        <v>661</v>
      </c>
      <c r="BT36" s="60">
        <v>13</v>
      </c>
      <c r="BU36" s="60">
        <v>1092</v>
      </c>
      <c r="BV36" s="60">
        <v>632</v>
      </c>
      <c r="BW36" s="60">
        <v>37</v>
      </c>
      <c r="BX36" s="60">
        <v>361</v>
      </c>
      <c r="BY36" s="60">
        <v>1966</v>
      </c>
      <c r="BZ36" s="60">
        <v>594</v>
      </c>
      <c r="CA36" s="60">
        <v>2759</v>
      </c>
      <c r="CB36" s="60"/>
      <c r="CC36" s="60"/>
      <c r="CD36" s="60">
        <v>1050</v>
      </c>
      <c r="CE36" s="60">
        <v>40</v>
      </c>
      <c r="CF36" s="60">
        <v>182</v>
      </c>
      <c r="CG36" s="60">
        <v>12</v>
      </c>
      <c r="CH36" s="60">
        <v>158</v>
      </c>
      <c r="CI36" s="60">
        <v>1</v>
      </c>
      <c r="CJ36" s="60">
        <v>29</v>
      </c>
      <c r="CK36" s="60">
        <v>248</v>
      </c>
      <c r="CL36" s="60">
        <v>10916</v>
      </c>
      <c r="CM36" s="60">
        <v>1715</v>
      </c>
      <c r="CN36" s="60">
        <v>72</v>
      </c>
      <c r="CO36" s="60">
        <v>345</v>
      </c>
      <c r="CP36" s="60">
        <v>35</v>
      </c>
      <c r="CQ36" s="60">
        <v>110</v>
      </c>
      <c r="CR36" s="60">
        <v>46</v>
      </c>
      <c r="CS36" s="60"/>
      <c r="CT36" s="60">
        <v>14959</v>
      </c>
      <c r="CU36" s="60">
        <v>146</v>
      </c>
      <c r="CV36" s="60">
        <v>10987</v>
      </c>
      <c r="CW36" s="60">
        <v>3826</v>
      </c>
      <c r="CX36" s="60">
        <v>333</v>
      </c>
      <c r="CY36" s="60">
        <v>219</v>
      </c>
      <c r="CZ36" s="60"/>
      <c r="DA36" s="60"/>
      <c r="DB36" s="60">
        <v>16</v>
      </c>
      <c r="DC36" s="60">
        <v>49</v>
      </c>
      <c r="DD36" s="60">
        <v>42</v>
      </c>
      <c r="DE36" s="60">
        <v>65</v>
      </c>
      <c r="DF36" s="60">
        <v>69</v>
      </c>
      <c r="DG36" s="60">
        <v>72</v>
      </c>
      <c r="DH36" s="60">
        <v>77</v>
      </c>
      <c r="DI36" s="60">
        <v>143</v>
      </c>
      <c r="DJ36" s="60">
        <v>5</v>
      </c>
      <c r="DK36" s="60">
        <v>14</v>
      </c>
      <c r="DL36" s="60"/>
      <c r="DM36" s="60">
        <v>15</v>
      </c>
      <c r="DN36" s="60">
        <v>1</v>
      </c>
      <c r="DO36" s="60">
        <v>331</v>
      </c>
      <c r="DP36" s="60">
        <v>3</v>
      </c>
      <c r="DQ36" s="60">
        <v>1</v>
      </c>
      <c r="DR36" s="60">
        <v>200</v>
      </c>
      <c r="DS36" s="60">
        <v>1</v>
      </c>
      <c r="DT36" s="60">
        <v>32</v>
      </c>
      <c r="DU36" s="60">
        <v>17</v>
      </c>
      <c r="DV36" s="60">
        <v>7</v>
      </c>
      <c r="DW36" s="60">
        <v>21</v>
      </c>
      <c r="DX36" s="60">
        <v>7</v>
      </c>
      <c r="DY36" s="60"/>
      <c r="DZ36" s="60">
        <v>4</v>
      </c>
      <c r="EA36" s="60">
        <v>404</v>
      </c>
      <c r="EB36" s="60">
        <v>60</v>
      </c>
      <c r="EC36" s="60"/>
      <c r="ED36" s="60">
        <v>0</v>
      </c>
      <c r="EE36" s="60">
        <v>0</v>
      </c>
      <c r="EF36" s="60">
        <v>0</v>
      </c>
      <c r="EG36" s="60">
        <v>0</v>
      </c>
      <c r="EH36" s="60">
        <v>0</v>
      </c>
      <c r="EI36" s="60">
        <v>141</v>
      </c>
      <c r="EJ36" s="60">
        <v>282</v>
      </c>
      <c r="EK36" s="60"/>
      <c r="EL36" s="60">
        <v>65</v>
      </c>
      <c r="EM36" s="60">
        <v>64</v>
      </c>
      <c r="EN36" s="60">
        <v>23</v>
      </c>
      <c r="EO36" s="60">
        <v>11</v>
      </c>
      <c r="EP36" s="60">
        <v>94</v>
      </c>
      <c r="EQ36" s="60"/>
      <c r="ER36" s="60">
        <v>83</v>
      </c>
      <c r="ES36" s="60">
        <v>45</v>
      </c>
      <c r="ET36" s="60">
        <v>47</v>
      </c>
      <c r="EU36" s="60">
        <v>12</v>
      </c>
      <c r="EV36" s="60">
        <v>18</v>
      </c>
      <c r="EW36" s="60">
        <v>1</v>
      </c>
      <c r="EX36" s="60">
        <v>4</v>
      </c>
      <c r="EY36" s="60">
        <v>7</v>
      </c>
      <c r="EZ36" s="60"/>
      <c r="FA36" s="60">
        <v>2</v>
      </c>
      <c r="FB36" s="60">
        <v>120</v>
      </c>
      <c r="FC36" s="60">
        <v>14</v>
      </c>
      <c r="FD36" s="60">
        <v>69</v>
      </c>
      <c r="FE36" s="60">
        <v>1</v>
      </c>
      <c r="FF36" s="60">
        <v>1</v>
      </c>
      <c r="FG36" s="60"/>
      <c r="FH36" s="60">
        <v>24</v>
      </c>
      <c r="FI36" s="60">
        <v>5</v>
      </c>
      <c r="FJ36" s="60">
        <v>18</v>
      </c>
      <c r="FK36" s="60">
        <v>1</v>
      </c>
      <c r="FL36" s="60">
        <v>2</v>
      </c>
      <c r="FM36" s="60">
        <v>5</v>
      </c>
      <c r="FN36" s="60">
        <v>2</v>
      </c>
      <c r="FO36" s="60">
        <v>487</v>
      </c>
      <c r="FP36" s="60">
        <v>3</v>
      </c>
      <c r="FQ36" s="60"/>
      <c r="FR36" s="60">
        <v>2</v>
      </c>
      <c r="FS36" s="60"/>
      <c r="FT36" s="60"/>
      <c r="FU36" s="60">
        <v>2</v>
      </c>
      <c r="FV36" s="60">
        <v>1</v>
      </c>
      <c r="FW36" s="60"/>
      <c r="FX36" s="60">
        <v>552</v>
      </c>
      <c r="FY36" s="60">
        <v>2</v>
      </c>
      <c r="FZ36" s="60">
        <v>433</v>
      </c>
      <c r="GA36" s="60">
        <v>117</v>
      </c>
      <c r="GB36" s="60">
        <v>2011</v>
      </c>
    </row>
    <row r="37" spans="1:184" x14ac:dyDescent="0.3">
      <c r="A37" s="60">
        <v>106100899</v>
      </c>
      <c r="B37" s="61" t="s">
        <v>252</v>
      </c>
      <c r="C37" s="61" t="s">
        <v>253</v>
      </c>
      <c r="D37" s="61" t="s">
        <v>254</v>
      </c>
      <c r="E37" s="61" t="s">
        <v>239</v>
      </c>
      <c r="F37" s="60">
        <v>93720</v>
      </c>
      <c r="G37" s="61"/>
      <c r="H37" s="61" t="s">
        <v>1669</v>
      </c>
      <c r="I37" s="60">
        <v>29</v>
      </c>
      <c r="J37" s="60">
        <v>14</v>
      </c>
      <c r="K37" s="61" t="s">
        <v>1741</v>
      </c>
      <c r="L37" s="61"/>
      <c r="M37" s="61" t="s">
        <v>1733</v>
      </c>
      <c r="N37" s="61" t="s">
        <v>1734</v>
      </c>
      <c r="O37" s="61" t="s">
        <v>1673</v>
      </c>
      <c r="P37" s="61" t="s">
        <v>1678</v>
      </c>
      <c r="Q37" s="61" t="s">
        <v>1674</v>
      </c>
      <c r="R37" s="60">
        <v>436</v>
      </c>
      <c r="S37" s="61" t="s">
        <v>1675</v>
      </c>
      <c r="T37" s="60">
        <v>34298</v>
      </c>
      <c r="U37" s="60">
        <v>21947</v>
      </c>
      <c r="V37" s="60"/>
      <c r="W37" s="60">
        <v>1</v>
      </c>
      <c r="X37" s="60">
        <v>3751</v>
      </c>
      <c r="Y37" s="60">
        <v>5565</v>
      </c>
      <c r="Z37" s="60">
        <v>11867</v>
      </c>
      <c r="AA37" s="60">
        <v>8563</v>
      </c>
      <c r="AB37" s="60">
        <v>7241</v>
      </c>
      <c r="AC37" s="60">
        <v>6459</v>
      </c>
      <c r="AD37" s="60">
        <v>4444</v>
      </c>
      <c r="AE37" s="60">
        <v>3454</v>
      </c>
      <c r="AF37" s="60">
        <v>4155</v>
      </c>
      <c r="AG37" s="60">
        <v>747</v>
      </c>
      <c r="AH37" s="60"/>
      <c r="AI37" s="60">
        <v>1801</v>
      </c>
      <c r="AJ37" s="60">
        <v>6306</v>
      </c>
      <c r="AK37" s="60">
        <v>20282</v>
      </c>
      <c r="AL37" s="60">
        <v>181</v>
      </c>
      <c r="AM37" s="60">
        <v>1888</v>
      </c>
      <c r="AN37" s="60">
        <v>610</v>
      </c>
      <c r="AO37" s="60">
        <v>25178</v>
      </c>
      <c r="AP37" s="60">
        <v>371</v>
      </c>
      <c r="AQ37" s="60">
        <v>580</v>
      </c>
      <c r="AR37" s="60">
        <v>104</v>
      </c>
      <c r="AS37" s="60">
        <v>117</v>
      </c>
      <c r="AT37" s="60"/>
      <c r="AU37" s="60"/>
      <c r="AV37" s="60"/>
      <c r="AW37" s="60">
        <v>46</v>
      </c>
      <c r="AX37" s="60"/>
      <c r="AY37" s="60">
        <v>868</v>
      </c>
      <c r="AZ37" s="60"/>
      <c r="BA37" s="60">
        <v>54085</v>
      </c>
      <c r="BB37" s="60">
        <v>60</v>
      </c>
      <c r="BC37" s="60">
        <v>15</v>
      </c>
      <c r="BD37" s="60"/>
      <c r="BE37" s="60">
        <v>25149</v>
      </c>
      <c r="BF37" s="60">
        <v>11811</v>
      </c>
      <c r="BG37" s="60">
        <v>1214</v>
      </c>
      <c r="BH37" s="60">
        <v>12590</v>
      </c>
      <c r="BI37" s="60">
        <v>5482</v>
      </c>
      <c r="BJ37" s="60">
        <v>1482</v>
      </c>
      <c r="BK37" s="60">
        <v>289</v>
      </c>
      <c r="BL37" s="60">
        <v>1637</v>
      </c>
      <c r="BM37" s="60">
        <v>12</v>
      </c>
      <c r="BN37" s="60">
        <v>3673</v>
      </c>
      <c r="BO37" s="60">
        <v>962</v>
      </c>
      <c r="BP37" s="60">
        <v>4278</v>
      </c>
      <c r="BQ37" s="60">
        <v>1803</v>
      </c>
      <c r="BR37" s="60">
        <v>11752</v>
      </c>
      <c r="BS37" s="60">
        <v>3667</v>
      </c>
      <c r="BT37" s="60">
        <v>133</v>
      </c>
      <c r="BU37" s="60">
        <v>3104</v>
      </c>
      <c r="BV37" s="60">
        <v>1601</v>
      </c>
      <c r="BW37" s="60">
        <v>31</v>
      </c>
      <c r="BX37" s="60">
        <v>2806</v>
      </c>
      <c r="BY37" s="60">
        <v>4934</v>
      </c>
      <c r="BZ37" s="60">
        <v>2447</v>
      </c>
      <c r="CA37" s="60">
        <v>11633</v>
      </c>
      <c r="CB37" s="60">
        <v>2</v>
      </c>
      <c r="CC37" s="60"/>
      <c r="CD37" s="60">
        <v>4310</v>
      </c>
      <c r="CE37" s="60">
        <v>188</v>
      </c>
      <c r="CF37" s="60">
        <v>712</v>
      </c>
      <c r="CG37" s="60">
        <v>21</v>
      </c>
      <c r="CH37" s="60">
        <v>725</v>
      </c>
      <c r="CI37" s="60">
        <v>13</v>
      </c>
      <c r="CJ37" s="60">
        <v>523</v>
      </c>
      <c r="CK37" s="60">
        <v>509</v>
      </c>
      <c r="CL37" s="60">
        <v>42295</v>
      </c>
      <c r="CM37" s="60">
        <v>4529</v>
      </c>
      <c r="CN37" s="60">
        <v>226</v>
      </c>
      <c r="CO37" s="60">
        <v>1639</v>
      </c>
      <c r="CP37" s="60">
        <v>237</v>
      </c>
      <c r="CQ37" s="60">
        <v>211</v>
      </c>
      <c r="CR37" s="60">
        <v>108</v>
      </c>
      <c r="CS37" s="60"/>
      <c r="CT37" s="60">
        <v>56246</v>
      </c>
      <c r="CU37" s="60">
        <v>892</v>
      </c>
      <c r="CV37" s="60">
        <v>53230</v>
      </c>
      <c r="CW37" s="60">
        <v>2124</v>
      </c>
      <c r="CX37" s="60">
        <v>9027</v>
      </c>
      <c r="CY37" s="60">
        <v>6813</v>
      </c>
      <c r="CZ37" s="60"/>
      <c r="DA37" s="60"/>
      <c r="DB37" s="60">
        <v>173</v>
      </c>
      <c r="DC37" s="60">
        <v>815</v>
      </c>
      <c r="DD37" s="60">
        <v>895</v>
      </c>
      <c r="DE37" s="60">
        <v>1350</v>
      </c>
      <c r="DF37" s="60">
        <v>2278</v>
      </c>
      <c r="DG37" s="60">
        <v>2780</v>
      </c>
      <c r="DH37" s="60">
        <v>3016</v>
      </c>
      <c r="DI37" s="60">
        <v>4530</v>
      </c>
      <c r="DJ37" s="60">
        <v>3</v>
      </c>
      <c r="DK37" s="60"/>
      <c r="DL37" s="60"/>
      <c r="DM37" s="60">
        <v>773</v>
      </c>
      <c r="DN37" s="60">
        <v>1094</v>
      </c>
      <c r="DO37" s="60">
        <v>3705</v>
      </c>
      <c r="DP37" s="60">
        <v>379</v>
      </c>
      <c r="DQ37" s="60">
        <v>28</v>
      </c>
      <c r="DR37" s="60">
        <v>9803</v>
      </c>
      <c r="DS37" s="60">
        <v>58</v>
      </c>
      <c r="DT37" s="60">
        <v>103</v>
      </c>
      <c r="DU37" s="60">
        <v>203</v>
      </c>
      <c r="DV37" s="60">
        <v>689</v>
      </c>
      <c r="DW37" s="60">
        <v>2512</v>
      </c>
      <c r="DX37" s="60">
        <v>704</v>
      </c>
      <c r="DY37" s="60"/>
      <c r="DZ37" s="60"/>
      <c r="EA37" s="60">
        <v>9664</v>
      </c>
      <c r="EB37" s="60">
        <v>1964</v>
      </c>
      <c r="EC37" s="60">
        <v>1</v>
      </c>
      <c r="ED37" s="60">
        <v>0</v>
      </c>
      <c r="EE37" s="60">
        <v>0</v>
      </c>
      <c r="EF37" s="60">
        <v>0</v>
      </c>
      <c r="EG37" s="60">
        <v>0</v>
      </c>
      <c r="EH37" s="60">
        <v>0</v>
      </c>
      <c r="EI37" s="60">
        <v>2787</v>
      </c>
      <c r="EJ37" s="60">
        <v>9437</v>
      </c>
      <c r="EK37" s="60">
        <v>108</v>
      </c>
      <c r="EL37" s="60">
        <v>3123</v>
      </c>
      <c r="EM37" s="60">
        <v>385</v>
      </c>
      <c r="EN37" s="60">
        <v>176</v>
      </c>
      <c r="EO37" s="60">
        <v>204</v>
      </c>
      <c r="EP37" s="60">
        <v>3509</v>
      </c>
      <c r="EQ37" s="60">
        <v>3</v>
      </c>
      <c r="ER37" s="60">
        <v>2531</v>
      </c>
      <c r="ES37" s="60">
        <v>826</v>
      </c>
      <c r="ET37" s="60">
        <v>1225</v>
      </c>
      <c r="EU37" s="60">
        <v>986</v>
      </c>
      <c r="EV37" s="60">
        <v>1397</v>
      </c>
      <c r="EW37" s="60">
        <v>240</v>
      </c>
      <c r="EX37" s="60">
        <v>348</v>
      </c>
      <c r="EY37" s="60">
        <v>292</v>
      </c>
      <c r="EZ37" s="60">
        <v>15</v>
      </c>
      <c r="FA37" s="60">
        <v>111</v>
      </c>
      <c r="FB37" s="60">
        <v>2220</v>
      </c>
      <c r="FC37" s="60">
        <v>468</v>
      </c>
      <c r="FD37" s="60">
        <v>1286</v>
      </c>
      <c r="FE37" s="60">
        <v>3</v>
      </c>
      <c r="FF37" s="60"/>
      <c r="FG37" s="60"/>
      <c r="FH37" s="60">
        <v>869</v>
      </c>
      <c r="FI37" s="60">
        <v>121</v>
      </c>
      <c r="FJ37" s="60">
        <v>1236</v>
      </c>
      <c r="FK37" s="60">
        <v>6</v>
      </c>
      <c r="FL37" s="60">
        <v>20</v>
      </c>
      <c r="FM37" s="60">
        <v>489</v>
      </c>
      <c r="FN37" s="60">
        <v>34</v>
      </c>
      <c r="FO37" s="60">
        <v>12784</v>
      </c>
      <c r="FP37" s="60">
        <v>152</v>
      </c>
      <c r="FQ37" s="60">
        <v>10</v>
      </c>
      <c r="FR37" s="60">
        <v>32</v>
      </c>
      <c r="FS37" s="60">
        <v>63</v>
      </c>
      <c r="FT37" s="60">
        <v>19</v>
      </c>
      <c r="FU37" s="60">
        <v>4</v>
      </c>
      <c r="FV37" s="60">
        <v>1</v>
      </c>
      <c r="FW37" s="60"/>
      <c r="FX37" s="60">
        <v>15840</v>
      </c>
      <c r="FY37" s="60">
        <v>564</v>
      </c>
      <c r="FZ37" s="60">
        <v>14425</v>
      </c>
      <c r="GA37" s="60">
        <v>851</v>
      </c>
      <c r="GB37" s="60">
        <v>2011</v>
      </c>
    </row>
    <row r="38" spans="1:184" x14ac:dyDescent="0.3">
      <c r="A38" s="60">
        <v>106104062</v>
      </c>
      <c r="B38" s="61" t="s">
        <v>255</v>
      </c>
      <c r="C38" s="61" t="s">
        <v>1742</v>
      </c>
      <c r="D38" s="61" t="s">
        <v>256</v>
      </c>
      <c r="E38" s="61" t="s">
        <v>239</v>
      </c>
      <c r="F38" s="60">
        <v>93720</v>
      </c>
      <c r="G38" s="61"/>
      <c r="H38" s="61" t="s">
        <v>1669</v>
      </c>
      <c r="I38" s="60">
        <v>29</v>
      </c>
      <c r="J38" s="60">
        <v>14</v>
      </c>
      <c r="K38" s="61" t="s">
        <v>1741</v>
      </c>
      <c r="L38" s="61"/>
      <c r="M38" s="61" t="s">
        <v>1733</v>
      </c>
      <c r="N38" s="61" t="s">
        <v>1734</v>
      </c>
      <c r="O38" s="61" t="s">
        <v>1673</v>
      </c>
      <c r="P38" s="61" t="s">
        <v>1678</v>
      </c>
      <c r="Q38" s="61" t="s">
        <v>1674</v>
      </c>
      <c r="R38" s="60">
        <v>169</v>
      </c>
      <c r="S38" s="61" t="s">
        <v>1675</v>
      </c>
      <c r="T38" s="60">
        <v>13332</v>
      </c>
      <c r="U38" s="60">
        <v>10143</v>
      </c>
      <c r="V38" s="60">
        <v>1</v>
      </c>
      <c r="W38" s="60"/>
      <c r="X38" s="60">
        <v>2072</v>
      </c>
      <c r="Y38" s="60">
        <v>2681</v>
      </c>
      <c r="Z38" s="60">
        <v>2698</v>
      </c>
      <c r="AA38" s="60">
        <v>2313</v>
      </c>
      <c r="AB38" s="60">
        <v>2693</v>
      </c>
      <c r="AC38" s="60">
        <v>2861</v>
      </c>
      <c r="AD38" s="60">
        <v>2491</v>
      </c>
      <c r="AE38" s="60">
        <v>2578</v>
      </c>
      <c r="AF38" s="60">
        <v>2815</v>
      </c>
      <c r="AG38" s="60">
        <v>274</v>
      </c>
      <c r="AH38" s="60"/>
      <c r="AI38" s="60">
        <v>1191</v>
      </c>
      <c r="AJ38" s="60">
        <v>1874</v>
      </c>
      <c r="AK38" s="60">
        <v>8147</v>
      </c>
      <c r="AL38" s="60">
        <v>158</v>
      </c>
      <c r="AM38" s="60">
        <v>336</v>
      </c>
      <c r="AN38" s="60">
        <v>86</v>
      </c>
      <c r="AO38" s="60">
        <v>11684</v>
      </c>
      <c r="AP38" s="60">
        <v>53</v>
      </c>
      <c r="AQ38" s="60">
        <v>143</v>
      </c>
      <c r="AR38" s="60">
        <v>98</v>
      </c>
      <c r="AS38" s="60">
        <v>23</v>
      </c>
      <c r="AT38" s="60">
        <v>5</v>
      </c>
      <c r="AU38" s="60">
        <v>20</v>
      </c>
      <c r="AV38" s="60">
        <v>15</v>
      </c>
      <c r="AW38" s="60"/>
      <c r="AX38" s="60"/>
      <c r="AY38" s="60">
        <v>230</v>
      </c>
      <c r="AZ38" s="60">
        <v>7</v>
      </c>
      <c r="BA38" s="60">
        <v>22477</v>
      </c>
      <c r="BB38" s="60">
        <v>205</v>
      </c>
      <c r="BC38" s="60">
        <v>197</v>
      </c>
      <c r="BD38" s="60">
        <v>3</v>
      </c>
      <c r="BE38" s="60">
        <v>523</v>
      </c>
      <c r="BF38" s="60">
        <v>7109</v>
      </c>
      <c r="BG38" s="60">
        <v>98</v>
      </c>
      <c r="BH38" s="60">
        <v>14388</v>
      </c>
      <c r="BI38" s="60">
        <v>1358</v>
      </c>
      <c r="BJ38" s="60">
        <v>416</v>
      </c>
      <c r="BK38" s="60">
        <v>121</v>
      </c>
      <c r="BL38" s="60">
        <v>881</v>
      </c>
      <c r="BM38" s="60">
        <v>5</v>
      </c>
      <c r="BN38" s="60">
        <v>1662</v>
      </c>
      <c r="BO38" s="60">
        <v>512</v>
      </c>
      <c r="BP38" s="60">
        <v>1239</v>
      </c>
      <c r="BQ38" s="60">
        <v>330</v>
      </c>
      <c r="BR38" s="60">
        <v>5737</v>
      </c>
      <c r="BS38" s="60">
        <v>1512</v>
      </c>
      <c r="BT38" s="60">
        <v>39</v>
      </c>
      <c r="BU38" s="60">
        <v>1161</v>
      </c>
      <c r="BV38" s="60">
        <v>382</v>
      </c>
      <c r="BW38" s="60">
        <v>9</v>
      </c>
      <c r="BX38" s="60">
        <v>871</v>
      </c>
      <c r="BY38" s="60">
        <v>1872</v>
      </c>
      <c r="BZ38" s="60">
        <v>631</v>
      </c>
      <c r="CA38" s="60">
        <v>6095</v>
      </c>
      <c r="CB38" s="60">
        <v>1</v>
      </c>
      <c r="CC38" s="60"/>
      <c r="CD38" s="60">
        <v>1962</v>
      </c>
      <c r="CE38" s="60">
        <v>80</v>
      </c>
      <c r="CF38" s="60">
        <v>432</v>
      </c>
      <c r="CG38" s="60">
        <v>12</v>
      </c>
      <c r="CH38" s="60">
        <v>112</v>
      </c>
      <c r="CI38" s="60">
        <v>42</v>
      </c>
      <c r="CJ38" s="60">
        <v>196</v>
      </c>
      <c r="CK38" s="60">
        <v>307</v>
      </c>
      <c r="CL38" s="60">
        <v>17015</v>
      </c>
      <c r="CM38" s="60">
        <v>2450</v>
      </c>
      <c r="CN38" s="60">
        <v>118</v>
      </c>
      <c r="CO38" s="60">
        <v>546</v>
      </c>
      <c r="CP38" s="60">
        <v>72</v>
      </c>
      <c r="CQ38" s="60">
        <v>119</v>
      </c>
      <c r="CR38" s="60">
        <v>13</v>
      </c>
      <c r="CS38" s="60"/>
      <c r="CT38" s="60">
        <v>23476</v>
      </c>
      <c r="CU38" s="60">
        <v>164</v>
      </c>
      <c r="CV38" s="60">
        <v>22230</v>
      </c>
      <c r="CW38" s="60">
        <v>1082</v>
      </c>
      <c r="CX38" s="60">
        <v>2412</v>
      </c>
      <c r="CY38" s="60">
        <v>2040</v>
      </c>
      <c r="CZ38" s="60"/>
      <c r="DA38" s="60"/>
      <c r="DB38" s="60">
        <v>31</v>
      </c>
      <c r="DC38" s="60">
        <v>126</v>
      </c>
      <c r="DD38" s="60">
        <v>189</v>
      </c>
      <c r="DE38" s="60">
        <v>306</v>
      </c>
      <c r="DF38" s="60">
        <v>511</v>
      </c>
      <c r="DG38" s="60">
        <v>808</v>
      </c>
      <c r="DH38" s="60">
        <v>1164</v>
      </c>
      <c r="DI38" s="60">
        <v>1317</v>
      </c>
      <c r="DJ38" s="60"/>
      <c r="DK38" s="60"/>
      <c r="DL38" s="60"/>
      <c r="DM38" s="60">
        <v>180</v>
      </c>
      <c r="DN38" s="60">
        <v>273</v>
      </c>
      <c r="DO38" s="60">
        <v>937</v>
      </c>
      <c r="DP38" s="60">
        <v>20</v>
      </c>
      <c r="DQ38" s="60">
        <v>2</v>
      </c>
      <c r="DR38" s="60">
        <v>3009</v>
      </c>
      <c r="DS38" s="60">
        <v>31</v>
      </c>
      <c r="DT38" s="60">
        <v>194</v>
      </c>
      <c r="DU38" s="60">
        <v>18</v>
      </c>
      <c r="DV38" s="60">
        <v>167</v>
      </c>
      <c r="DW38" s="60">
        <v>834</v>
      </c>
      <c r="DX38" s="60">
        <v>45</v>
      </c>
      <c r="DY38" s="60">
        <v>7</v>
      </c>
      <c r="DZ38" s="60">
        <v>63</v>
      </c>
      <c r="EA38" s="60">
        <v>2613</v>
      </c>
      <c r="EB38" s="60">
        <v>511</v>
      </c>
      <c r="EC38" s="60"/>
      <c r="ED38" s="60">
        <v>0</v>
      </c>
      <c r="EE38" s="60">
        <v>0</v>
      </c>
      <c r="EF38" s="60">
        <v>0</v>
      </c>
      <c r="EG38" s="60">
        <v>0</v>
      </c>
      <c r="EH38" s="60">
        <v>0</v>
      </c>
      <c r="EI38" s="60">
        <v>19</v>
      </c>
      <c r="EJ38" s="60">
        <v>2999</v>
      </c>
      <c r="EK38" s="60">
        <v>8</v>
      </c>
      <c r="EL38" s="60">
        <v>1374</v>
      </c>
      <c r="EM38" s="60">
        <v>52</v>
      </c>
      <c r="EN38" s="60">
        <v>19</v>
      </c>
      <c r="EO38" s="60">
        <v>84</v>
      </c>
      <c r="EP38" s="60">
        <v>1022</v>
      </c>
      <c r="EQ38" s="60"/>
      <c r="ER38" s="60">
        <v>724</v>
      </c>
      <c r="ES38" s="60">
        <v>236</v>
      </c>
      <c r="ET38" s="60">
        <v>217</v>
      </c>
      <c r="EU38" s="60">
        <v>647</v>
      </c>
      <c r="EV38" s="60">
        <v>392</v>
      </c>
      <c r="EW38" s="60">
        <v>82</v>
      </c>
      <c r="EX38" s="60">
        <v>100</v>
      </c>
      <c r="EY38" s="60">
        <v>74</v>
      </c>
      <c r="EZ38" s="60">
        <v>1</v>
      </c>
      <c r="FA38" s="60">
        <v>40</v>
      </c>
      <c r="FB38" s="60">
        <v>546</v>
      </c>
      <c r="FC38" s="60">
        <v>75</v>
      </c>
      <c r="FD38" s="60">
        <v>193</v>
      </c>
      <c r="FE38" s="60"/>
      <c r="FF38" s="60"/>
      <c r="FG38" s="60"/>
      <c r="FH38" s="60">
        <v>223</v>
      </c>
      <c r="FI38" s="60">
        <v>21</v>
      </c>
      <c r="FJ38" s="60">
        <v>415</v>
      </c>
      <c r="FK38" s="60">
        <v>1</v>
      </c>
      <c r="FL38" s="60">
        <v>10</v>
      </c>
      <c r="FM38" s="60">
        <v>187</v>
      </c>
      <c r="FN38" s="60">
        <v>4</v>
      </c>
      <c r="FO38" s="60">
        <v>3496</v>
      </c>
      <c r="FP38" s="60">
        <v>54</v>
      </c>
      <c r="FQ38" s="60">
        <v>4</v>
      </c>
      <c r="FR38" s="60">
        <v>10</v>
      </c>
      <c r="FS38" s="60">
        <v>16</v>
      </c>
      <c r="FT38" s="60">
        <v>5</v>
      </c>
      <c r="FU38" s="60">
        <v>6</v>
      </c>
      <c r="FV38" s="60"/>
      <c r="FW38" s="60"/>
      <c r="FX38" s="60">
        <v>4452</v>
      </c>
      <c r="FY38" s="60">
        <v>47</v>
      </c>
      <c r="FZ38" s="60">
        <v>4256</v>
      </c>
      <c r="GA38" s="60">
        <v>149</v>
      </c>
      <c r="GB38" s="60">
        <v>2011</v>
      </c>
    </row>
    <row r="39" spans="1:184" x14ac:dyDescent="0.3">
      <c r="A39" s="60">
        <v>106110889</v>
      </c>
      <c r="B39" s="61" t="s">
        <v>257</v>
      </c>
      <c r="C39" s="61" t="s">
        <v>258</v>
      </c>
      <c r="D39" s="61" t="s">
        <v>259</v>
      </c>
      <c r="E39" s="61" t="s">
        <v>260</v>
      </c>
      <c r="F39" s="60">
        <v>95988</v>
      </c>
      <c r="G39" s="61" t="s">
        <v>177</v>
      </c>
      <c r="H39" s="61" t="s">
        <v>1669</v>
      </c>
      <c r="I39" s="60">
        <v>2</v>
      </c>
      <c r="J39" s="60">
        <v>4</v>
      </c>
      <c r="K39" s="61" t="s">
        <v>1743</v>
      </c>
      <c r="L39" s="61"/>
      <c r="M39" s="61" t="s">
        <v>1704</v>
      </c>
      <c r="N39" s="61" t="s">
        <v>1744</v>
      </c>
      <c r="O39" s="61" t="s">
        <v>1673</v>
      </c>
      <c r="P39" s="61" t="s">
        <v>1678</v>
      </c>
      <c r="Q39" s="61" t="s">
        <v>1674</v>
      </c>
      <c r="R39" s="60">
        <v>47</v>
      </c>
      <c r="S39" s="61" t="s">
        <v>1706</v>
      </c>
      <c r="T39" s="60">
        <v>2513</v>
      </c>
      <c r="U39" s="60">
        <v>2170</v>
      </c>
      <c r="V39" s="60"/>
      <c r="W39" s="60"/>
      <c r="X39" s="60">
        <v>528</v>
      </c>
      <c r="Y39" s="60">
        <v>574</v>
      </c>
      <c r="Z39" s="60">
        <v>893</v>
      </c>
      <c r="AA39" s="60">
        <v>575</v>
      </c>
      <c r="AB39" s="60">
        <v>574</v>
      </c>
      <c r="AC39" s="60">
        <v>530</v>
      </c>
      <c r="AD39" s="60">
        <v>368</v>
      </c>
      <c r="AE39" s="60">
        <v>269</v>
      </c>
      <c r="AF39" s="60">
        <v>285</v>
      </c>
      <c r="AG39" s="60">
        <v>87</v>
      </c>
      <c r="AH39" s="60"/>
      <c r="AI39" s="60">
        <v>98</v>
      </c>
      <c r="AJ39" s="60">
        <v>68</v>
      </c>
      <c r="AK39" s="60">
        <v>879</v>
      </c>
      <c r="AL39" s="60">
        <v>63</v>
      </c>
      <c r="AM39" s="60">
        <v>38</v>
      </c>
      <c r="AN39" s="60"/>
      <c r="AO39" s="60">
        <v>3537</v>
      </c>
      <c r="AP39" s="60">
        <v>223</v>
      </c>
      <c r="AQ39" s="60">
        <v>27</v>
      </c>
      <c r="AR39" s="60"/>
      <c r="AS39" s="60">
        <v>5</v>
      </c>
      <c r="AT39" s="60"/>
      <c r="AU39" s="60"/>
      <c r="AV39" s="60"/>
      <c r="AW39" s="60"/>
      <c r="AX39" s="60">
        <v>9</v>
      </c>
      <c r="AY39" s="60">
        <v>50</v>
      </c>
      <c r="AZ39" s="60">
        <v>4</v>
      </c>
      <c r="BA39" s="60">
        <v>4315</v>
      </c>
      <c r="BB39" s="60">
        <v>50</v>
      </c>
      <c r="BC39" s="60"/>
      <c r="BD39" s="60"/>
      <c r="BE39" s="60">
        <v>1703</v>
      </c>
      <c r="BF39" s="60">
        <v>984</v>
      </c>
      <c r="BG39" s="60">
        <v>154</v>
      </c>
      <c r="BH39" s="60">
        <v>1108</v>
      </c>
      <c r="BI39" s="60">
        <v>734</v>
      </c>
      <c r="BJ39" s="60">
        <v>28</v>
      </c>
      <c r="BK39" s="60">
        <v>22</v>
      </c>
      <c r="BL39" s="60">
        <v>152</v>
      </c>
      <c r="BM39" s="60">
        <v>1</v>
      </c>
      <c r="BN39" s="60">
        <v>300</v>
      </c>
      <c r="BO39" s="60">
        <v>60</v>
      </c>
      <c r="BP39" s="60">
        <v>205</v>
      </c>
      <c r="BQ39" s="60">
        <v>92</v>
      </c>
      <c r="BR39" s="60">
        <v>1425</v>
      </c>
      <c r="BS39" s="60">
        <v>314</v>
      </c>
      <c r="BT39" s="60">
        <v>13</v>
      </c>
      <c r="BU39" s="60">
        <v>299</v>
      </c>
      <c r="BV39" s="60">
        <v>25</v>
      </c>
      <c r="BW39" s="60">
        <v>1</v>
      </c>
      <c r="BX39" s="60">
        <v>216</v>
      </c>
      <c r="BY39" s="60">
        <v>535</v>
      </c>
      <c r="BZ39" s="60">
        <v>192</v>
      </c>
      <c r="CA39" s="60">
        <v>802</v>
      </c>
      <c r="CB39" s="60"/>
      <c r="CC39" s="60">
        <v>1</v>
      </c>
      <c r="CD39" s="60">
        <v>292</v>
      </c>
      <c r="CE39" s="60">
        <v>14</v>
      </c>
      <c r="CF39" s="60">
        <v>4</v>
      </c>
      <c r="CG39" s="60">
        <v>8</v>
      </c>
      <c r="CH39" s="60">
        <v>56</v>
      </c>
      <c r="CI39" s="60">
        <v>3</v>
      </c>
      <c r="CJ39" s="60">
        <v>11</v>
      </c>
      <c r="CK39" s="60">
        <v>100</v>
      </c>
      <c r="CL39" s="60">
        <v>3223</v>
      </c>
      <c r="CM39" s="60">
        <v>779</v>
      </c>
      <c r="CN39" s="60">
        <v>28</v>
      </c>
      <c r="CO39" s="60">
        <v>102</v>
      </c>
      <c r="CP39" s="60">
        <v>16</v>
      </c>
      <c r="CQ39" s="60">
        <v>29</v>
      </c>
      <c r="CR39" s="60">
        <v>18</v>
      </c>
      <c r="CS39" s="60"/>
      <c r="CT39" s="60">
        <v>4683</v>
      </c>
      <c r="CU39" s="60">
        <v>23</v>
      </c>
      <c r="CV39" s="60">
        <v>4454</v>
      </c>
      <c r="CW39" s="60">
        <v>206</v>
      </c>
      <c r="CX39" s="60">
        <v>198</v>
      </c>
      <c r="CY39" s="60">
        <v>116</v>
      </c>
      <c r="CZ39" s="60"/>
      <c r="DA39" s="60"/>
      <c r="DB39" s="60">
        <v>5</v>
      </c>
      <c r="DC39" s="60">
        <v>18</v>
      </c>
      <c r="DD39" s="60">
        <v>15</v>
      </c>
      <c r="DE39" s="60">
        <v>34</v>
      </c>
      <c r="DF39" s="60">
        <v>40</v>
      </c>
      <c r="DG39" s="60">
        <v>70</v>
      </c>
      <c r="DH39" s="60">
        <v>49</v>
      </c>
      <c r="DI39" s="60">
        <v>82</v>
      </c>
      <c r="DJ39" s="60"/>
      <c r="DK39" s="60">
        <v>1</v>
      </c>
      <c r="DL39" s="60"/>
      <c r="DM39" s="60">
        <v>1</v>
      </c>
      <c r="DN39" s="60"/>
      <c r="DO39" s="60">
        <v>25</v>
      </c>
      <c r="DP39" s="60"/>
      <c r="DQ39" s="60"/>
      <c r="DR39" s="60">
        <v>282</v>
      </c>
      <c r="DS39" s="60">
        <v>6</v>
      </c>
      <c r="DT39" s="60">
        <v>25</v>
      </c>
      <c r="DU39" s="60">
        <v>5</v>
      </c>
      <c r="DV39" s="60">
        <v>8</v>
      </c>
      <c r="DW39" s="60"/>
      <c r="DX39" s="60">
        <v>1</v>
      </c>
      <c r="DY39" s="60"/>
      <c r="DZ39" s="60"/>
      <c r="EA39" s="60">
        <v>205</v>
      </c>
      <c r="EB39" s="60">
        <v>70</v>
      </c>
      <c r="EC39" s="60"/>
      <c r="ED39" s="60">
        <v>0</v>
      </c>
      <c r="EE39" s="60">
        <v>0</v>
      </c>
      <c r="EF39" s="60">
        <v>0</v>
      </c>
      <c r="EG39" s="60">
        <v>0</v>
      </c>
      <c r="EH39" s="60">
        <v>0</v>
      </c>
      <c r="EI39" s="60">
        <v>54</v>
      </c>
      <c r="EJ39" s="60">
        <v>194</v>
      </c>
      <c r="EK39" s="60">
        <v>3</v>
      </c>
      <c r="EL39" s="60">
        <v>44</v>
      </c>
      <c r="EM39" s="60">
        <v>19</v>
      </c>
      <c r="EN39" s="60"/>
      <c r="EO39" s="60">
        <v>8</v>
      </c>
      <c r="EP39" s="60">
        <v>31</v>
      </c>
      <c r="EQ39" s="60"/>
      <c r="ER39" s="60">
        <v>38</v>
      </c>
      <c r="ES39" s="60">
        <v>10</v>
      </c>
      <c r="ET39" s="60">
        <v>12</v>
      </c>
      <c r="EU39" s="60">
        <v>3</v>
      </c>
      <c r="EV39" s="60">
        <v>17</v>
      </c>
      <c r="EW39" s="60">
        <v>10</v>
      </c>
      <c r="EX39" s="60">
        <v>6</v>
      </c>
      <c r="EY39" s="60">
        <v>7</v>
      </c>
      <c r="EZ39" s="60"/>
      <c r="FA39" s="60">
        <v>9</v>
      </c>
      <c r="FB39" s="60">
        <v>62</v>
      </c>
      <c r="FC39" s="60">
        <v>16</v>
      </c>
      <c r="FD39" s="60">
        <v>85</v>
      </c>
      <c r="FE39" s="60"/>
      <c r="FF39" s="60"/>
      <c r="FG39" s="60"/>
      <c r="FH39" s="60">
        <v>14</v>
      </c>
      <c r="FI39" s="60"/>
      <c r="FJ39" s="60"/>
      <c r="FK39" s="60">
        <v>2</v>
      </c>
      <c r="FL39" s="60"/>
      <c r="FM39" s="60"/>
      <c r="FN39" s="60">
        <v>2</v>
      </c>
      <c r="FO39" s="60">
        <v>282</v>
      </c>
      <c r="FP39" s="60">
        <v>7</v>
      </c>
      <c r="FQ39" s="60"/>
      <c r="FR39" s="60">
        <v>1</v>
      </c>
      <c r="FS39" s="60">
        <v>2</v>
      </c>
      <c r="FT39" s="60"/>
      <c r="FU39" s="60">
        <v>3</v>
      </c>
      <c r="FV39" s="60">
        <v>1</v>
      </c>
      <c r="FW39" s="60"/>
      <c r="FX39" s="60">
        <v>314</v>
      </c>
      <c r="FY39" s="60">
        <v>1</v>
      </c>
      <c r="FZ39" s="60">
        <v>308</v>
      </c>
      <c r="GA39" s="60">
        <v>5</v>
      </c>
      <c r="GB39" s="60">
        <v>2011</v>
      </c>
    </row>
    <row r="40" spans="1:184" x14ac:dyDescent="0.3">
      <c r="A40" s="60">
        <v>106121002</v>
      </c>
      <c r="B40" s="61" t="s">
        <v>261</v>
      </c>
      <c r="C40" s="61" t="s">
        <v>262</v>
      </c>
      <c r="D40" s="61" t="s">
        <v>263</v>
      </c>
      <c r="E40" s="61" t="s">
        <v>264</v>
      </c>
      <c r="F40" s="60">
        <v>95521</v>
      </c>
      <c r="G40" s="61"/>
      <c r="H40" s="61" t="s">
        <v>1669</v>
      </c>
      <c r="I40" s="60">
        <v>1</v>
      </c>
      <c r="J40" s="60">
        <v>2</v>
      </c>
      <c r="K40" s="61" t="s">
        <v>1745</v>
      </c>
      <c r="L40" s="61"/>
      <c r="M40" s="61" t="s">
        <v>1704</v>
      </c>
      <c r="N40" s="61" t="s">
        <v>1746</v>
      </c>
      <c r="O40" s="61" t="s">
        <v>1673</v>
      </c>
      <c r="P40" s="61" t="s">
        <v>221</v>
      </c>
      <c r="Q40" s="61" t="s">
        <v>1674</v>
      </c>
      <c r="R40" s="60">
        <v>78</v>
      </c>
      <c r="S40" s="61" t="s">
        <v>1675</v>
      </c>
      <c r="T40" s="60">
        <v>7139</v>
      </c>
      <c r="U40" s="60">
        <v>6797</v>
      </c>
      <c r="V40" s="60">
        <v>1</v>
      </c>
      <c r="W40" s="60"/>
      <c r="X40" s="60">
        <v>1222</v>
      </c>
      <c r="Y40" s="60">
        <v>1646</v>
      </c>
      <c r="Z40" s="60">
        <v>3290</v>
      </c>
      <c r="AA40" s="60">
        <v>2168</v>
      </c>
      <c r="AB40" s="60">
        <v>1475</v>
      </c>
      <c r="AC40" s="60">
        <v>1627</v>
      </c>
      <c r="AD40" s="60">
        <v>1023</v>
      </c>
      <c r="AE40" s="60">
        <v>638</v>
      </c>
      <c r="AF40" s="60">
        <v>637</v>
      </c>
      <c r="AG40" s="60">
        <v>211</v>
      </c>
      <c r="AH40" s="60"/>
      <c r="AI40" s="60">
        <v>80</v>
      </c>
      <c r="AJ40" s="60">
        <v>319</v>
      </c>
      <c r="AK40" s="60">
        <v>507</v>
      </c>
      <c r="AL40" s="60">
        <v>1181</v>
      </c>
      <c r="AM40" s="60">
        <v>149</v>
      </c>
      <c r="AN40" s="60"/>
      <c r="AO40" s="60">
        <v>11701</v>
      </c>
      <c r="AP40" s="60">
        <v>330</v>
      </c>
      <c r="AQ40" s="60">
        <v>142</v>
      </c>
      <c r="AR40" s="60"/>
      <c r="AS40" s="60">
        <v>25</v>
      </c>
      <c r="AT40" s="60">
        <v>8</v>
      </c>
      <c r="AU40" s="60"/>
      <c r="AV40" s="60"/>
      <c r="AW40" s="60"/>
      <c r="AX40" s="60"/>
      <c r="AY40" s="60">
        <v>95</v>
      </c>
      <c r="AZ40" s="60">
        <v>2</v>
      </c>
      <c r="BA40" s="60">
        <v>13332</v>
      </c>
      <c r="BB40" s="60">
        <v>3</v>
      </c>
      <c r="BC40" s="60"/>
      <c r="BD40" s="60"/>
      <c r="BE40" s="60">
        <v>4189</v>
      </c>
      <c r="BF40" s="60">
        <v>2711</v>
      </c>
      <c r="BG40" s="60">
        <v>853</v>
      </c>
      <c r="BH40" s="60">
        <v>4375</v>
      </c>
      <c r="BI40" s="60">
        <v>1809</v>
      </c>
      <c r="BJ40" s="60">
        <v>172</v>
      </c>
      <c r="BK40" s="60">
        <v>18</v>
      </c>
      <c r="BL40" s="60">
        <v>319</v>
      </c>
      <c r="BM40" s="60">
        <v>2</v>
      </c>
      <c r="BN40" s="60">
        <v>848</v>
      </c>
      <c r="BO40" s="60">
        <v>234</v>
      </c>
      <c r="BP40" s="60">
        <v>668</v>
      </c>
      <c r="BQ40" s="60">
        <v>234</v>
      </c>
      <c r="BR40" s="60">
        <v>3756</v>
      </c>
      <c r="BS40" s="60">
        <v>891</v>
      </c>
      <c r="BT40" s="60">
        <v>8</v>
      </c>
      <c r="BU40" s="60">
        <v>839</v>
      </c>
      <c r="BV40" s="60">
        <v>446</v>
      </c>
      <c r="BW40" s="60">
        <v>3</v>
      </c>
      <c r="BX40" s="60">
        <v>578</v>
      </c>
      <c r="BY40" s="60">
        <v>1439</v>
      </c>
      <c r="BZ40" s="60">
        <v>1013</v>
      </c>
      <c r="CA40" s="60">
        <v>2467</v>
      </c>
      <c r="CB40" s="60">
        <v>1</v>
      </c>
      <c r="CC40" s="60">
        <v>1</v>
      </c>
      <c r="CD40" s="60">
        <v>1107</v>
      </c>
      <c r="CE40" s="60">
        <v>44</v>
      </c>
      <c r="CF40" s="60">
        <v>121</v>
      </c>
      <c r="CG40" s="60">
        <v>16</v>
      </c>
      <c r="CH40" s="60">
        <v>222</v>
      </c>
      <c r="CI40" s="60">
        <v>2</v>
      </c>
      <c r="CJ40" s="60"/>
      <c r="CK40" s="60">
        <v>210</v>
      </c>
      <c r="CL40" s="60">
        <v>9587</v>
      </c>
      <c r="CM40" s="60">
        <v>2078</v>
      </c>
      <c r="CN40" s="60">
        <v>138</v>
      </c>
      <c r="CO40" s="60">
        <v>318</v>
      </c>
      <c r="CP40" s="60">
        <v>65</v>
      </c>
      <c r="CQ40" s="60">
        <v>25</v>
      </c>
      <c r="CR40" s="60">
        <v>4</v>
      </c>
      <c r="CS40" s="60"/>
      <c r="CT40" s="60">
        <v>13937</v>
      </c>
      <c r="CU40" s="60">
        <v>56</v>
      </c>
      <c r="CV40" s="60">
        <v>13768</v>
      </c>
      <c r="CW40" s="60">
        <v>113</v>
      </c>
      <c r="CX40" s="60">
        <v>566</v>
      </c>
      <c r="CY40" s="60">
        <v>497</v>
      </c>
      <c r="CZ40" s="60"/>
      <c r="DA40" s="60"/>
      <c r="DB40" s="60">
        <v>27</v>
      </c>
      <c r="DC40" s="60">
        <v>69</v>
      </c>
      <c r="DD40" s="60">
        <v>73</v>
      </c>
      <c r="DE40" s="60">
        <v>83</v>
      </c>
      <c r="DF40" s="60">
        <v>195</v>
      </c>
      <c r="DG40" s="60">
        <v>207</v>
      </c>
      <c r="DH40" s="60">
        <v>180</v>
      </c>
      <c r="DI40" s="60">
        <v>200</v>
      </c>
      <c r="DJ40" s="60">
        <v>6</v>
      </c>
      <c r="DK40" s="60">
        <v>23</v>
      </c>
      <c r="DL40" s="60"/>
      <c r="DM40" s="60">
        <v>4</v>
      </c>
      <c r="DN40" s="60">
        <v>16</v>
      </c>
      <c r="DO40" s="60">
        <v>15</v>
      </c>
      <c r="DP40" s="60">
        <v>7</v>
      </c>
      <c r="DQ40" s="60"/>
      <c r="DR40" s="60">
        <v>918</v>
      </c>
      <c r="DS40" s="60">
        <v>103</v>
      </c>
      <c r="DT40" s="60">
        <v>42</v>
      </c>
      <c r="DU40" s="60">
        <v>25</v>
      </c>
      <c r="DV40" s="60">
        <v>35</v>
      </c>
      <c r="DW40" s="60">
        <v>142</v>
      </c>
      <c r="DX40" s="60">
        <v>14</v>
      </c>
      <c r="DY40" s="60"/>
      <c r="DZ40" s="60"/>
      <c r="EA40" s="60">
        <v>714</v>
      </c>
      <c r="EB40" s="60">
        <v>91</v>
      </c>
      <c r="EC40" s="60"/>
      <c r="ED40" s="60">
        <v>0</v>
      </c>
      <c r="EE40" s="60">
        <v>0</v>
      </c>
      <c r="EF40" s="60">
        <v>0</v>
      </c>
      <c r="EG40" s="60">
        <v>0</v>
      </c>
      <c r="EH40" s="60">
        <v>0</v>
      </c>
      <c r="EI40" s="60">
        <v>210</v>
      </c>
      <c r="EJ40" s="60">
        <v>552</v>
      </c>
      <c r="EK40" s="60">
        <v>30</v>
      </c>
      <c r="EL40" s="60">
        <v>164</v>
      </c>
      <c r="EM40" s="60">
        <v>107</v>
      </c>
      <c r="EN40" s="60">
        <v>7</v>
      </c>
      <c r="EO40" s="60">
        <v>8</v>
      </c>
      <c r="EP40" s="60">
        <v>148</v>
      </c>
      <c r="EQ40" s="60"/>
      <c r="ER40" s="60">
        <v>208</v>
      </c>
      <c r="ES40" s="60">
        <v>51</v>
      </c>
      <c r="ET40" s="60">
        <v>46</v>
      </c>
      <c r="EU40" s="60">
        <v>56</v>
      </c>
      <c r="EV40" s="60">
        <v>84</v>
      </c>
      <c r="EW40" s="60">
        <v>17</v>
      </c>
      <c r="EX40" s="60">
        <v>12</v>
      </c>
      <c r="EY40" s="60">
        <v>22</v>
      </c>
      <c r="EZ40" s="60"/>
      <c r="FA40" s="60">
        <v>10</v>
      </c>
      <c r="FB40" s="60">
        <v>257</v>
      </c>
      <c r="FC40" s="60">
        <v>73</v>
      </c>
      <c r="FD40" s="60">
        <v>60</v>
      </c>
      <c r="FE40" s="60">
        <v>3</v>
      </c>
      <c r="FF40" s="60">
        <v>1</v>
      </c>
      <c r="FG40" s="60"/>
      <c r="FH40" s="60">
        <v>32</v>
      </c>
      <c r="FI40" s="60">
        <v>18</v>
      </c>
      <c r="FJ40" s="60">
        <v>33</v>
      </c>
      <c r="FK40" s="60">
        <v>5</v>
      </c>
      <c r="FL40" s="60">
        <v>2</v>
      </c>
      <c r="FM40" s="60">
        <v>21</v>
      </c>
      <c r="FN40" s="60">
        <v>2</v>
      </c>
      <c r="FO40" s="60">
        <v>909</v>
      </c>
      <c r="FP40" s="60">
        <v>6</v>
      </c>
      <c r="FQ40" s="60">
        <v>1</v>
      </c>
      <c r="FR40" s="60">
        <v>13</v>
      </c>
      <c r="FS40" s="60">
        <v>8</v>
      </c>
      <c r="FT40" s="60">
        <v>8</v>
      </c>
      <c r="FU40" s="60">
        <v>5</v>
      </c>
      <c r="FV40" s="60"/>
      <c r="FW40" s="60"/>
      <c r="FX40" s="60">
        <v>1063</v>
      </c>
      <c r="FY40" s="60">
        <v>6</v>
      </c>
      <c r="FZ40" s="60">
        <v>1055</v>
      </c>
      <c r="GA40" s="60">
        <v>2</v>
      </c>
      <c r="GB40" s="60">
        <v>2011</v>
      </c>
    </row>
    <row r="41" spans="1:184" x14ac:dyDescent="0.3">
      <c r="A41" s="60">
        <v>106121031</v>
      </c>
      <c r="B41" s="61" t="s">
        <v>265</v>
      </c>
      <c r="C41" s="61" t="s">
        <v>266</v>
      </c>
      <c r="D41" s="61" t="s">
        <v>267</v>
      </c>
      <c r="E41" s="61" t="s">
        <v>268</v>
      </c>
      <c r="F41" s="60">
        <v>95542</v>
      </c>
      <c r="G41" s="61"/>
      <c r="H41" s="61" t="s">
        <v>1669</v>
      </c>
      <c r="I41" s="60">
        <v>1</v>
      </c>
      <c r="J41" s="60">
        <v>2</v>
      </c>
      <c r="K41" s="61" t="s">
        <v>1747</v>
      </c>
      <c r="L41" s="61"/>
      <c r="M41" s="61" t="s">
        <v>1704</v>
      </c>
      <c r="N41" s="61" t="s">
        <v>1746</v>
      </c>
      <c r="O41" s="61" t="s">
        <v>1673</v>
      </c>
      <c r="P41" s="61" t="s">
        <v>159</v>
      </c>
      <c r="Q41" s="61" t="s">
        <v>17</v>
      </c>
      <c r="R41" s="60">
        <v>9</v>
      </c>
      <c r="S41" s="61" t="s">
        <v>1706</v>
      </c>
      <c r="T41" s="60">
        <v>1068</v>
      </c>
      <c r="U41" s="60">
        <v>1496</v>
      </c>
      <c r="V41" s="60"/>
      <c r="W41" s="60"/>
      <c r="X41" s="60">
        <v>179</v>
      </c>
      <c r="Y41" s="60">
        <v>217</v>
      </c>
      <c r="Z41" s="60">
        <v>504</v>
      </c>
      <c r="AA41" s="60">
        <v>425</v>
      </c>
      <c r="AB41" s="60">
        <v>324</v>
      </c>
      <c r="AC41" s="60">
        <v>349</v>
      </c>
      <c r="AD41" s="60">
        <v>283</v>
      </c>
      <c r="AE41" s="60">
        <v>141</v>
      </c>
      <c r="AF41" s="60">
        <v>122</v>
      </c>
      <c r="AG41" s="60">
        <v>20</v>
      </c>
      <c r="AH41" s="60"/>
      <c r="AI41" s="60">
        <v>20</v>
      </c>
      <c r="AJ41" s="60">
        <v>33</v>
      </c>
      <c r="AK41" s="60">
        <v>113</v>
      </c>
      <c r="AL41" s="60">
        <v>77</v>
      </c>
      <c r="AM41" s="60">
        <v>10</v>
      </c>
      <c r="AN41" s="60">
        <v>22</v>
      </c>
      <c r="AO41" s="60">
        <v>2289</v>
      </c>
      <c r="AP41" s="60">
        <v>8</v>
      </c>
      <c r="AQ41" s="60">
        <v>82</v>
      </c>
      <c r="AR41" s="60">
        <v>215</v>
      </c>
      <c r="AS41" s="60">
        <v>1</v>
      </c>
      <c r="AT41" s="60"/>
      <c r="AU41" s="60"/>
      <c r="AV41" s="60">
        <v>1</v>
      </c>
      <c r="AW41" s="60"/>
      <c r="AX41" s="60">
        <v>16</v>
      </c>
      <c r="AY41" s="60">
        <v>8</v>
      </c>
      <c r="AZ41" s="60"/>
      <c r="BA41" s="60">
        <v>2218</v>
      </c>
      <c r="BB41" s="60"/>
      <c r="BC41" s="60"/>
      <c r="BD41" s="60">
        <v>15</v>
      </c>
      <c r="BE41" s="60">
        <v>707</v>
      </c>
      <c r="BF41" s="60">
        <v>510</v>
      </c>
      <c r="BG41" s="60">
        <v>81</v>
      </c>
      <c r="BH41" s="60">
        <v>512</v>
      </c>
      <c r="BI41" s="60">
        <v>754</v>
      </c>
      <c r="BJ41" s="60">
        <v>11</v>
      </c>
      <c r="BK41" s="60">
        <v>2</v>
      </c>
      <c r="BL41" s="60">
        <v>77</v>
      </c>
      <c r="BM41" s="60">
        <v>1</v>
      </c>
      <c r="BN41" s="60">
        <v>203</v>
      </c>
      <c r="BO41" s="60">
        <v>26</v>
      </c>
      <c r="BP41" s="60">
        <v>103</v>
      </c>
      <c r="BQ41" s="60">
        <v>80</v>
      </c>
      <c r="BR41" s="60">
        <v>791</v>
      </c>
      <c r="BS41" s="60">
        <v>132</v>
      </c>
      <c r="BT41" s="60">
        <v>6</v>
      </c>
      <c r="BU41" s="60">
        <v>159</v>
      </c>
      <c r="BV41" s="60">
        <v>40</v>
      </c>
      <c r="BW41" s="60"/>
      <c r="BX41" s="60">
        <v>113</v>
      </c>
      <c r="BY41" s="60">
        <v>191</v>
      </c>
      <c r="BZ41" s="60">
        <v>223</v>
      </c>
      <c r="CA41" s="60">
        <v>406</v>
      </c>
      <c r="CB41" s="60"/>
      <c r="CC41" s="60"/>
      <c r="CD41" s="60">
        <v>246</v>
      </c>
      <c r="CE41" s="60">
        <v>10</v>
      </c>
      <c r="CF41" s="60">
        <v>17</v>
      </c>
      <c r="CG41" s="60">
        <v>4</v>
      </c>
      <c r="CH41" s="60">
        <v>33</v>
      </c>
      <c r="CI41" s="60">
        <v>18</v>
      </c>
      <c r="CJ41" s="60">
        <v>8</v>
      </c>
      <c r="CK41" s="60">
        <v>69</v>
      </c>
      <c r="CL41" s="60">
        <v>1705</v>
      </c>
      <c r="CM41" s="60">
        <v>285</v>
      </c>
      <c r="CN41" s="60">
        <v>15</v>
      </c>
      <c r="CO41" s="60">
        <v>113</v>
      </c>
      <c r="CP41" s="60">
        <v>3</v>
      </c>
      <c r="CQ41" s="60">
        <v>20</v>
      </c>
      <c r="CR41" s="60">
        <v>18</v>
      </c>
      <c r="CS41" s="60"/>
      <c r="CT41" s="60">
        <v>2564</v>
      </c>
      <c r="CU41" s="60">
        <v>8</v>
      </c>
      <c r="CV41" s="60">
        <v>2525</v>
      </c>
      <c r="CW41" s="60">
        <v>31</v>
      </c>
      <c r="CX41" s="60">
        <v>8</v>
      </c>
      <c r="CY41" s="60">
        <v>28</v>
      </c>
      <c r="CZ41" s="60"/>
      <c r="DA41" s="60"/>
      <c r="DB41" s="60"/>
      <c r="DC41" s="60">
        <v>3</v>
      </c>
      <c r="DD41" s="60">
        <v>3</v>
      </c>
      <c r="DE41" s="60">
        <v>5</v>
      </c>
      <c r="DF41" s="60">
        <v>7</v>
      </c>
      <c r="DG41" s="60">
        <v>10</v>
      </c>
      <c r="DH41" s="60">
        <v>2</v>
      </c>
      <c r="DI41" s="60">
        <v>6</v>
      </c>
      <c r="DJ41" s="60"/>
      <c r="DK41" s="60"/>
      <c r="DL41" s="60"/>
      <c r="DM41" s="60"/>
      <c r="DN41" s="60"/>
      <c r="DO41" s="60">
        <v>2</v>
      </c>
      <c r="DP41" s="60"/>
      <c r="DQ41" s="60"/>
      <c r="DR41" s="60">
        <v>34</v>
      </c>
      <c r="DS41" s="60"/>
      <c r="DT41" s="60">
        <v>7</v>
      </c>
      <c r="DU41" s="60">
        <v>1</v>
      </c>
      <c r="DV41" s="60">
        <v>1</v>
      </c>
      <c r="DW41" s="60"/>
      <c r="DX41" s="60"/>
      <c r="DY41" s="60"/>
      <c r="DZ41" s="60"/>
      <c r="EA41" s="60">
        <v>20</v>
      </c>
      <c r="EB41" s="60">
        <v>7</v>
      </c>
      <c r="EC41" s="60"/>
      <c r="ED41" s="60">
        <v>0</v>
      </c>
      <c r="EE41" s="60">
        <v>0</v>
      </c>
      <c r="EF41" s="60">
        <v>0</v>
      </c>
      <c r="EG41" s="60">
        <v>0</v>
      </c>
      <c r="EH41" s="60">
        <v>0</v>
      </c>
      <c r="EI41" s="60">
        <v>7</v>
      </c>
      <c r="EJ41" s="60">
        <v>18</v>
      </c>
      <c r="EK41" s="60"/>
      <c r="EL41" s="60">
        <v>2</v>
      </c>
      <c r="EM41" s="60">
        <v>9</v>
      </c>
      <c r="EN41" s="60"/>
      <c r="EO41" s="60"/>
      <c r="EP41" s="60">
        <v>2</v>
      </c>
      <c r="EQ41" s="60"/>
      <c r="ER41" s="60">
        <v>3</v>
      </c>
      <c r="ES41" s="60">
        <v>4</v>
      </c>
      <c r="ET41" s="60">
        <v>1</v>
      </c>
      <c r="EU41" s="60">
        <v>3</v>
      </c>
      <c r="EV41" s="60">
        <v>2</v>
      </c>
      <c r="EW41" s="60"/>
      <c r="EX41" s="60"/>
      <c r="EY41" s="60">
        <v>3</v>
      </c>
      <c r="EZ41" s="60"/>
      <c r="FA41" s="60">
        <v>3</v>
      </c>
      <c r="FB41" s="60">
        <v>9</v>
      </c>
      <c r="FC41" s="60">
        <v>3</v>
      </c>
      <c r="FD41" s="60">
        <v>3</v>
      </c>
      <c r="FE41" s="60"/>
      <c r="FF41" s="60"/>
      <c r="FG41" s="60"/>
      <c r="FH41" s="60">
        <v>4</v>
      </c>
      <c r="FI41" s="60"/>
      <c r="FJ41" s="60"/>
      <c r="FK41" s="60"/>
      <c r="FL41" s="60"/>
      <c r="FM41" s="60"/>
      <c r="FN41" s="60"/>
      <c r="FO41" s="60">
        <v>30</v>
      </c>
      <c r="FP41" s="60">
        <v>1</v>
      </c>
      <c r="FQ41" s="60"/>
      <c r="FR41" s="60"/>
      <c r="FS41" s="60"/>
      <c r="FT41" s="60"/>
      <c r="FU41" s="60">
        <v>1</v>
      </c>
      <c r="FV41" s="60"/>
      <c r="FW41" s="60"/>
      <c r="FX41" s="60">
        <v>36</v>
      </c>
      <c r="FY41" s="60"/>
      <c r="FZ41" s="60">
        <v>34</v>
      </c>
      <c r="GA41" s="60">
        <v>2</v>
      </c>
      <c r="GB41" s="60">
        <v>2011</v>
      </c>
    </row>
    <row r="42" spans="1:184" x14ac:dyDescent="0.3">
      <c r="A42" s="60">
        <v>106121051</v>
      </c>
      <c r="B42" s="61" t="s">
        <v>269</v>
      </c>
      <c r="C42" s="61" t="s">
        <v>270</v>
      </c>
      <c r="D42" s="61" t="s">
        <v>271</v>
      </c>
      <c r="E42" s="61" t="s">
        <v>272</v>
      </c>
      <c r="F42" s="60">
        <v>95540</v>
      </c>
      <c r="G42" s="61"/>
      <c r="H42" s="61" t="s">
        <v>1669</v>
      </c>
      <c r="I42" s="60">
        <v>1</v>
      </c>
      <c r="J42" s="60">
        <v>2</v>
      </c>
      <c r="K42" s="61" t="s">
        <v>1748</v>
      </c>
      <c r="L42" s="61"/>
      <c r="M42" s="61" t="s">
        <v>1704</v>
      </c>
      <c r="N42" s="61" t="s">
        <v>1746</v>
      </c>
      <c r="O42" s="61" t="s">
        <v>1673</v>
      </c>
      <c r="P42" s="61" t="s">
        <v>1678</v>
      </c>
      <c r="Q42" s="61" t="s">
        <v>1674</v>
      </c>
      <c r="R42" s="60">
        <v>35</v>
      </c>
      <c r="S42" s="61" t="s">
        <v>1675</v>
      </c>
      <c r="T42" s="60">
        <v>5755</v>
      </c>
      <c r="U42" s="60">
        <v>4954</v>
      </c>
      <c r="V42" s="60"/>
      <c r="W42" s="60"/>
      <c r="X42" s="60">
        <v>1101</v>
      </c>
      <c r="Y42" s="60">
        <v>1215</v>
      </c>
      <c r="Z42" s="60">
        <v>1796</v>
      </c>
      <c r="AA42" s="60">
        <v>1443</v>
      </c>
      <c r="AB42" s="60">
        <v>1223</v>
      </c>
      <c r="AC42" s="60">
        <v>1450</v>
      </c>
      <c r="AD42" s="60">
        <v>882</v>
      </c>
      <c r="AE42" s="60">
        <v>611</v>
      </c>
      <c r="AF42" s="60">
        <v>738</v>
      </c>
      <c r="AG42" s="60">
        <v>250</v>
      </c>
      <c r="AH42" s="60"/>
      <c r="AI42" s="60">
        <v>57</v>
      </c>
      <c r="AJ42" s="60">
        <v>79</v>
      </c>
      <c r="AK42" s="60">
        <v>720</v>
      </c>
      <c r="AL42" s="60">
        <v>233</v>
      </c>
      <c r="AM42" s="60">
        <v>205</v>
      </c>
      <c r="AN42" s="60">
        <v>71</v>
      </c>
      <c r="AO42" s="60">
        <v>9344</v>
      </c>
      <c r="AP42" s="60">
        <v>457</v>
      </c>
      <c r="AQ42" s="60">
        <v>65</v>
      </c>
      <c r="AR42" s="60"/>
      <c r="AS42" s="60">
        <v>26</v>
      </c>
      <c r="AT42" s="60"/>
      <c r="AU42" s="60">
        <v>1</v>
      </c>
      <c r="AV42" s="60">
        <v>13</v>
      </c>
      <c r="AW42" s="60"/>
      <c r="AX42" s="60">
        <v>95</v>
      </c>
      <c r="AY42" s="60">
        <v>10</v>
      </c>
      <c r="AZ42" s="60"/>
      <c r="BA42" s="60">
        <v>10033</v>
      </c>
      <c r="BB42" s="60">
        <v>9</v>
      </c>
      <c r="BC42" s="60"/>
      <c r="BD42" s="60"/>
      <c r="BE42" s="60">
        <v>3508</v>
      </c>
      <c r="BF42" s="60">
        <v>2602</v>
      </c>
      <c r="BG42" s="60">
        <v>839</v>
      </c>
      <c r="BH42" s="60">
        <v>2249</v>
      </c>
      <c r="BI42" s="60">
        <v>1511</v>
      </c>
      <c r="BJ42" s="60">
        <v>237</v>
      </c>
      <c r="BK42" s="60">
        <v>29</v>
      </c>
      <c r="BL42" s="60">
        <v>316</v>
      </c>
      <c r="BM42" s="60"/>
      <c r="BN42" s="60">
        <v>579</v>
      </c>
      <c r="BO42" s="60">
        <v>121</v>
      </c>
      <c r="BP42" s="60">
        <v>521</v>
      </c>
      <c r="BQ42" s="60">
        <v>158</v>
      </c>
      <c r="BR42" s="60">
        <v>2598</v>
      </c>
      <c r="BS42" s="60">
        <v>769</v>
      </c>
      <c r="BT42" s="60">
        <v>10</v>
      </c>
      <c r="BU42" s="60">
        <v>819</v>
      </c>
      <c r="BV42" s="60">
        <v>190</v>
      </c>
      <c r="BW42" s="60">
        <v>15</v>
      </c>
      <c r="BX42" s="60">
        <v>227</v>
      </c>
      <c r="BY42" s="60">
        <v>967</v>
      </c>
      <c r="BZ42" s="60">
        <v>805</v>
      </c>
      <c r="CA42" s="60">
        <v>2348</v>
      </c>
      <c r="CB42" s="60"/>
      <c r="CC42" s="60"/>
      <c r="CD42" s="60">
        <v>813</v>
      </c>
      <c r="CE42" s="60">
        <v>59</v>
      </c>
      <c r="CF42" s="60">
        <v>83</v>
      </c>
      <c r="CG42" s="60">
        <v>15</v>
      </c>
      <c r="CH42" s="60">
        <v>135</v>
      </c>
      <c r="CI42" s="60">
        <v>16</v>
      </c>
      <c r="CJ42" s="60">
        <v>64</v>
      </c>
      <c r="CK42" s="60">
        <v>208</v>
      </c>
      <c r="CL42" s="60">
        <v>7692</v>
      </c>
      <c r="CM42" s="60">
        <v>1153</v>
      </c>
      <c r="CN42" s="60">
        <v>78</v>
      </c>
      <c r="CO42" s="60">
        <v>275</v>
      </c>
      <c r="CP42" s="60">
        <v>26</v>
      </c>
      <c r="CQ42" s="60">
        <v>66</v>
      </c>
      <c r="CR42" s="60">
        <v>26</v>
      </c>
      <c r="CS42" s="60"/>
      <c r="CT42" s="60">
        <v>10709</v>
      </c>
      <c r="CU42" s="60">
        <v>38</v>
      </c>
      <c r="CV42" s="60">
        <v>10312</v>
      </c>
      <c r="CW42" s="60">
        <v>359</v>
      </c>
      <c r="CX42" s="60">
        <v>411</v>
      </c>
      <c r="CY42" s="60">
        <v>326</v>
      </c>
      <c r="CZ42" s="60"/>
      <c r="DA42" s="60"/>
      <c r="DB42" s="60">
        <v>19</v>
      </c>
      <c r="DC42" s="60">
        <v>32</v>
      </c>
      <c r="DD42" s="60">
        <v>47</v>
      </c>
      <c r="DE42" s="60">
        <v>71</v>
      </c>
      <c r="DF42" s="60">
        <v>107</v>
      </c>
      <c r="DG42" s="60">
        <v>127</v>
      </c>
      <c r="DH42" s="60">
        <v>128</v>
      </c>
      <c r="DI42" s="60">
        <v>183</v>
      </c>
      <c r="DJ42" s="60">
        <v>5</v>
      </c>
      <c r="DK42" s="60">
        <v>18</v>
      </c>
      <c r="DL42" s="60"/>
      <c r="DM42" s="60">
        <v>6</v>
      </c>
      <c r="DN42" s="60">
        <v>1</v>
      </c>
      <c r="DO42" s="60">
        <v>27</v>
      </c>
      <c r="DP42" s="60">
        <v>16</v>
      </c>
      <c r="DQ42" s="60">
        <v>2</v>
      </c>
      <c r="DR42" s="60">
        <v>662</v>
      </c>
      <c r="DS42" s="60">
        <v>23</v>
      </c>
      <c r="DT42" s="60">
        <v>34</v>
      </c>
      <c r="DU42" s="60">
        <v>4</v>
      </c>
      <c r="DV42" s="60">
        <v>26</v>
      </c>
      <c r="DW42" s="60">
        <v>90</v>
      </c>
      <c r="DX42" s="60">
        <v>17</v>
      </c>
      <c r="DY42" s="60"/>
      <c r="DZ42" s="60">
        <v>7</v>
      </c>
      <c r="EA42" s="60">
        <v>436</v>
      </c>
      <c r="EB42" s="60">
        <v>123</v>
      </c>
      <c r="EC42" s="60"/>
      <c r="ED42" s="60">
        <v>0</v>
      </c>
      <c r="EE42" s="60">
        <v>0</v>
      </c>
      <c r="EF42" s="60">
        <v>0</v>
      </c>
      <c r="EG42" s="60">
        <v>0</v>
      </c>
      <c r="EH42" s="60">
        <v>0</v>
      </c>
      <c r="EI42" s="60">
        <v>120</v>
      </c>
      <c r="EJ42" s="60">
        <v>432</v>
      </c>
      <c r="EK42" s="60">
        <v>15</v>
      </c>
      <c r="EL42" s="60">
        <v>94</v>
      </c>
      <c r="EM42" s="60">
        <v>76</v>
      </c>
      <c r="EN42" s="60">
        <v>6</v>
      </c>
      <c r="EO42" s="60">
        <v>6</v>
      </c>
      <c r="EP42" s="60">
        <v>88</v>
      </c>
      <c r="EQ42" s="60">
        <v>1</v>
      </c>
      <c r="ER42" s="60">
        <v>148</v>
      </c>
      <c r="ES42" s="60">
        <v>33</v>
      </c>
      <c r="ET42" s="60">
        <v>46</v>
      </c>
      <c r="EU42" s="60">
        <v>42</v>
      </c>
      <c r="EV42" s="60">
        <v>93</v>
      </c>
      <c r="EW42" s="60">
        <v>14</v>
      </c>
      <c r="EX42" s="60">
        <v>17</v>
      </c>
      <c r="EY42" s="60">
        <v>10</v>
      </c>
      <c r="EZ42" s="60"/>
      <c r="FA42" s="60">
        <v>12</v>
      </c>
      <c r="FB42" s="60">
        <v>155</v>
      </c>
      <c r="FC42" s="60">
        <v>38</v>
      </c>
      <c r="FD42" s="60">
        <v>27</v>
      </c>
      <c r="FE42" s="60"/>
      <c r="FF42" s="60">
        <v>1</v>
      </c>
      <c r="FG42" s="60"/>
      <c r="FH42" s="60">
        <v>59</v>
      </c>
      <c r="FI42" s="60">
        <v>8</v>
      </c>
      <c r="FJ42" s="60">
        <v>68</v>
      </c>
      <c r="FK42" s="60">
        <v>3</v>
      </c>
      <c r="FL42" s="60">
        <v>5</v>
      </c>
      <c r="FM42" s="60">
        <v>9</v>
      </c>
      <c r="FN42" s="60">
        <v>2</v>
      </c>
      <c r="FO42" s="60">
        <v>543</v>
      </c>
      <c r="FP42" s="60">
        <v>13</v>
      </c>
      <c r="FQ42" s="60">
        <v>2</v>
      </c>
      <c r="FR42" s="60">
        <v>11</v>
      </c>
      <c r="FS42" s="60">
        <v>9</v>
      </c>
      <c r="FT42" s="60">
        <v>3</v>
      </c>
      <c r="FU42" s="60">
        <v>2</v>
      </c>
      <c r="FV42" s="60"/>
      <c r="FW42" s="60"/>
      <c r="FX42" s="60">
        <v>737</v>
      </c>
      <c r="FY42" s="60">
        <v>4</v>
      </c>
      <c r="FZ42" s="60">
        <v>714</v>
      </c>
      <c r="GA42" s="60">
        <v>19</v>
      </c>
      <c r="GB42" s="60">
        <v>2011</v>
      </c>
    </row>
    <row r="43" spans="1:184" x14ac:dyDescent="0.3">
      <c r="A43" s="60">
        <v>106121080</v>
      </c>
      <c r="B43" s="61" t="s">
        <v>273</v>
      </c>
      <c r="C43" s="61" t="s">
        <v>274</v>
      </c>
      <c r="D43" s="61" t="s">
        <v>275</v>
      </c>
      <c r="E43" s="61" t="s">
        <v>276</v>
      </c>
      <c r="F43" s="60">
        <v>95501</v>
      </c>
      <c r="G43" s="61"/>
      <c r="H43" s="61" t="s">
        <v>1669</v>
      </c>
      <c r="I43" s="60">
        <v>1</v>
      </c>
      <c r="J43" s="60">
        <v>2</v>
      </c>
      <c r="K43" s="61" t="s">
        <v>1745</v>
      </c>
      <c r="L43" s="61"/>
      <c r="M43" s="61" t="s">
        <v>1704</v>
      </c>
      <c r="N43" s="61" t="s">
        <v>1746</v>
      </c>
      <c r="O43" s="61" t="s">
        <v>1673</v>
      </c>
      <c r="P43" s="61" t="s">
        <v>1678</v>
      </c>
      <c r="Q43" s="61" t="s">
        <v>1674</v>
      </c>
      <c r="R43" s="60">
        <v>146</v>
      </c>
      <c r="S43" s="61" t="s">
        <v>1675</v>
      </c>
      <c r="T43" s="60">
        <v>10040</v>
      </c>
      <c r="U43" s="60">
        <v>9296</v>
      </c>
      <c r="V43" s="60"/>
      <c r="W43" s="60"/>
      <c r="X43" s="60">
        <v>1451</v>
      </c>
      <c r="Y43" s="60">
        <v>1580</v>
      </c>
      <c r="Z43" s="60">
        <v>3753</v>
      </c>
      <c r="AA43" s="60">
        <v>2998</v>
      </c>
      <c r="AB43" s="60">
        <v>2786</v>
      </c>
      <c r="AC43" s="60">
        <v>2728</v>
      </c>
      <c r="AD43" s="60">
        <v>1681</v>
      </c>
      <c r="AE43" s="60">
        <v>996</v>
      </c>
      <c r="AF43" s="60">
        <v>1066</v>
      </c>
      <c r="AG43" s="60">
        <v>297</v>
      </c>
      <c r="AH43" s="60"/>
      <c r="AI43" s="60">
        <v>357</v>
      </c>
      <c r="AJ43" s="60">
        <v>514</v>
      </c>
      <c r="AK43" s="60">
        <v>833</v>
      </c>
      <c r="AL43" s="60">
        <v>744</v>
      </c>
      <c r="AM43" s="60">
        <v>439</v>
      </c>
      <c r="AN43" s="60">
        <v>270</v>
      </c>
      <c r="AO43" s="60">
        <v>16179</v>
      </c>
      <c r="AP43" s="60">
        <v>138</v>
      </c>
      <c r="AQ43" s="60">
        <v>89</v>
      </c>
      <c r="AR43" s="60"/>
      <c r="AS43" s="60">
        <v>68</v>
      </c>
      <c r="AT43" s="60">
        <v>3</v>
      </c>
      <c r="AU43" s="60">
        <v>2</v>
      </c>
      <c r="AV43" s="60">
        <v>2</v>
      </c>
      <c r="AW43" s="60">
        <v>4</v>
      </c>
      <c r="AX43" s="60">
        <v>525</v>
      </c>
      <c r="AY43" s="60">
        <v>178</v>
      </c>
      <c r="AZ43" s="60">
        <v>1</v>
      </c>
      <c r="BA43" s="60">
        <v>18288</v>
      </c>
      <c r="BB43" s="60">
        <v>38</v>
      </c>
      <c r="BC43" s="60"/>
      <c r="BD43" s="60"/>
      <c r="BE43" s="60">
        <v>5874</v>
      </c>
      <c r="BF43" s="60">
        <v>4400</v>
      </c>
      <c r="BG43" s="60">
        <v>2183</v>
      </c>
      <c r="BH43" s="60">
        <v>4009</v>
      </c>
      <c r="BI43" s="60">
        <v>2870</v>
      </c>
      <c r="BJ43" s="60">
        <v>408</v>
      </c>
      <c r="BK43" s="60">
        <v>32</v>
      </c>
      <c r="BL43" s="60">
        <v>534</v>
      </c>
      <c r="BM43" s="60"/>
      <c r="BN43" s="60">
        <v>915</v>
      </c>
      <c r="BO43" s="60">
        <v>323</v>
      </c>
      <c r="BP43" s="60">
        <v>847</v>
      </c>
      <c r="BQ43" s="60">
        <v>307</v>
      </c>
      <c r="BR43" s="60">
        <v>4139</v>
      </c>
      <c r="BS43" s="60">
        <v>1145</v>
      </c>
      <c r="BT43" s="60">
        <v>20</v>
      </c>
      <c r="BU43" s="60">
        <v>1687</v>
      </c>
      <c r="BV43" s="60">
        <v>660</v>
      </c>
      <c r="BW43" s="60">
        <v>13</v>
      </c>
      <c r="BX43" s="60">
        <v>921</v>
      </c>
      <c r="BY43" s="60">
        <v>1529</v>
      </c>
      <c r="BZ43" s="60">
        <v>960</v>
      </c>
      <c r="CA43" s="60">
        <v>4896</v>
      </c>
      <c r="CB43" s="60"/>
      <c r="CC43" s="60"/>
      <c r="CD43" s="60">
        <v>1444</v>
      </c>
      <c r="CE43" s="60">
        <v>105</v>
      </c>
      <c r="CF43" s="60">
        <v>167</v>
      </c>
      <c r="CG43" s="60">
        <v>18</v>
      </c>
      <c r="CH43" s="60">
        <v>369</v>
      </c>
      <c r="CI43" s="60">
        <v>51</v>
      </c>
      <c r="CJ43" s="60">
        <v>173</v>
      </c>
      <c r="CK43" s="60">
        <v>180</v>
      </c>
      <c r="CL43" s="60">
        <v>14256</v>
      </c>
      <c r="CM43" s="60">
        <v>1677</v>
      </c>
      <c r="CN43" s="60">
        <v>125</v>
      </c>
      <c r="CO43" s="60">
        <v>486</v>
      </c>
      <c r="CP43" s="60">
        <v>104</v>
      </c>
      <c r="CQ43" s="60">
        <v>103</v>
      </c>
      <c r="CR43" s="60">
        <v>78</v>
      </c>
      <c r="CS43" s="60"/>
      <c r="CT43" s="60">
        <v>19336</v>
      </c>
      <c r="CU43" s="60">
        <v>216</v>
      </c>
      <c r="CV43" s="60">
        <v>18785</v>
      </c>
      <c r="CW43" s="60">
        <v>335</v>
      </c>
      <c r="CX43" s="60">
        <v>1759</v>
      </c>
      <c r="CY43" s="60">
        <v>1814</v>
      </c>
      <c r="CZ43" s="60"/>
      <c r="DA43" s="60"/>
      <c r="DB43" s="60">
        <v>83</v>
      </c>
      <c r="DC43" s="60">
        <v>194</v>
      </c>
      <c r="DD43" s="60">
        <v>276</v>
      </c>
      <c r="DE43" s="60">
        <v>356</v>
      </c>
      <c r="DF43" s="60">
        <v>631</v>
      </c>
      <c r="DG43" s="60">
        <v>667</v>
      </c>
      <c r="DH43" s="60">
        <v>568</v>
      </c>
      <c r="DI43" s="60">
        <v>717</v>
      </c>
      <c r="DJ43" s="60">
        <v>33</v>
      </c>
      <c r="DK43" s="60">
        <v>48</v>
      </c>
      <c r="DL43" s="60"/>
      <c r="DM43" s="60">
        <v>43</v>
      </c>
      <c r="DN43" s="60">
        <v>44</v>
      </c>
      <c r="DO43" s="60">
        <v>82</v>
      </c>
      <c r="DP43" s="60">
        <v>47</v>
      </c>
      <c r="DQ43" s="60">
        <v>31</v>
      </c>
      <c r="DR43" s="60">
        <v>3189</v>
      </c>
      <c r="DS43" s="60">
        <v>137</v>
      </c>
      <c r="DT43" s="60">
        <v>81</v>
      </c>
      <c r="DU43" s="60">
        <v>65</v>
      </c>
      <c r="DV43" s="60">
        <v>150</v>
      </c>
      <c r="DW43" s="60">
        <v>570</v>
      </c>
      <c r="DX43" s="60">
        <v>178</v>
      </c>
      <c r="DY43" s="60">
        <v>1</v>
      </c>
      <c r="DZ43" s="60">
        <v>29</v>
      </c>
      <c r="EA43" s="60">
        <v>2054</v>
      </c>
      <c r="EB43" s="60">
        <v>431</v>
      </c>
      <c r="EC43" s="60">
        <v>14</v>
      </c>
      <c r="ED43" s="60">
        <v>0</v>
      </c>
      <c r="EE43" s="60">
        <v>0</v>
      </c>
      <c r="EF43" s="60">
        <v>0</v>
      </c>
      <c r="EG43" s="60">
        <v>0</v>
      </c>
      <c r="EH43" s="60">
        <v>0</v>
      </c>
      <c r="EI43" s="60">
        <v>668</v>
      </c>
      <c r="EJ43" s="60">
        <v>1882</v>
      </c>
      <c r="EK43" s="60">
        <v>113</v>
      </c>
      <c r="EL43" s="60">
        <v>534</v>
      </c>
      <c r="EM43" s="60">
        <v>376</v>
      </c>
      <c r="EN43" s="60">
        <v>22</v>
      </c>
      <c r="EO43" s="60">
        <v>36</v>
      </c>
      <c r="EP43" s="60">
        <v>743</v>
      </c>
      <c r="EQ43" s="60">
        <v>6</v>
      </c>
      <c r="ER43" s="60">
        <v>525</v>
      </c>
      <c r="ES43" s="60">
        <v>124</v>
      </c>
      <c r="ET43" s="60">
        <v>190</v>
      </c>
      <c r="EU43" s="60">
        <v>242</v>
      </c>
      <c r="EV43" s="60">
        <v>535</v>
      </c>
      <c r="EW43" s="60">
        <v>82</v>
      </c>
      <c r="EX43" s="60">
        <v>110</v>
      </c>
      <c r="EY43" s="60">
        <v>73</v>
      </c>
      <c r="EZ43" s="60">
        <v>2</v>
      </c>
      <c r="FA43" s="60">
        <v>70</v>
      </c>
      <c r="FB43" s="60">
        <v>503</v>
      </c>
      <c r="FC43" s="60">
        <v>141</v>
      </c>
      <c r="FD43" s="60">
        <v>162</v>
      </c>
      <c r="FE43" s="60">
        <v>2</v>
      </c>
      <c r="FF43" s="60">
        <v>5</v>
      </c>
      <c r="FG43" s="60"/>
      <c r="FH43" s="60">
        <v>277</v>
      </c>
      <c r="FI43" s="60">
        <v>53</v>
      </c>
      <c r="FJ43" s="60">
        <v>336</v>
      </c>
      <c r="FK43" s="60">
        <v>15</v>
      </c>
      <c r="FL43" s="60">
        <v>37</v>
      </c>
      <c r="FM43" s="60">
        <v>231</v>
      </c>
      <c r="FN43" s="60">
        <v>15</v>
      </c>
      <c r="FO43" s="60">
        <v>2388</v>
      </c>
      <c r="FP43" s="60">
        <v>69</v>
      </c>
      <c r="FQ43" s="60">
        <v>13</v>
      </c>
      <c r="FR43" s="60">
        <v>55</v>
      </c>
      <c r="FS43" s="60">
        <v>61</v>
      </c>
      <c r="FT43" s="60">
        <v>8</v>
      </c>
      <c r="FU43" s="60">
        <v>13</v>
      </c>
      <c r="FV43" s="60">
        <v>2</v>
      </c>
      <c r="FW43" s="60"/>
      <c r="FX43" s="60">
        <v>3573</v>
      </c>
      <c r="FY43" s="60">
        <v>51</v>
      </c>
      <c r="FZ43" s="60">
        <v>3469</v>
      </c>
      <c r="GA43" s="60">
        <v>53</v>
      </c>
      <c r="GB43" s="60">
        <v>2011</v>
      </c>
    </row>
    <row r="44" spans="1:184" x14ac:dyDescent="0.3">
      <c r="A44" s="60">
        <v>106130699</v>
      </c>
      <c r="B44" s="61" t="s">
        <v>277</v>
      </c>
      <c r="C44" s="61" t="s">
        <v>278</v>
      </c>
      <c r="D44" s="61" t="s">
        <v>279</v>
      </c>
      <c r="E44" s="61" t="s">
        <v>280</v>
      </c>
      <c r="F44" s="60">
        <v>92243</v>
      </c>
      <c r="G44" s="61" t="s">
        <v>177</v>
      </c>
      <c r="H44" s="61" t="s">
        <v>1669</v>
      </c>
      <c r="I44" s="60">
        <v>80</v>
      </c>
      <c r="J44" s="60">
        <v>40</v>
      </c>
      <c r="K44" s="61" t="s">
        <v>1749</v>
      </c>
      <c r="L44" s="61"/>
      <c r="M44" s="61" t="s">
        <v>1750</v>
      </c>
      <c r="N44" s="61" t="s">
        <v>1751</v>
      </c>
      <c r="O44" s="61" t="s">
        <v>1673</v>
      </c>
      <c r="P44" s="61" t="s">
        <v>1690</v>
      </c>
      <c r="Q44" s="61" t="s">
        <v>1674</v>
      </c>
      <c r="R44" s="60">
        <v>165</v>
      </c>
      <c r="S44" s="61" t="s">
        <v>1675</v>
      </c>
      <c r="T44" s="60">
        <v>21356</v>
      </c>
      <c r="U44" s="60">
        <v>18729</v>
      </c>
      <c r="V44" s="60">
        <v>6</v>
      </c>
      <c r="W44" s="60"/>
      <c r="X44" s="60">
        <v>6463</v>
      </c>
      <c r="Y44" s="60">
        <v>5241</v>
      </c>
      <c r="Z44" s="60">
        <v>6010</v>
      </c>
      <c r="AA44" s="60">
        <v>4555</v>
      </c>
      <c r="AB44" s="60">
        <v>4405</v>
      </c>
      <c r="AC44" s="60">
        <v>4082</v>
      </c>
      <c r="AD44" s="60">
        <v>2898</v>
      </c>
      <c r="AE44" s="60">
        <v>2626</v>
      </c>
      <c r="AF44" s="60">
        <v>2270</v>
      </c>
      <c r="AG44" s="60">
        <v>1541</v>
      </c>
      <c r="AH44" s="60"/>
      <c r="AI44" s="60">
        <v>127</v>
      </c>
      <c r="AJ44" s="60">
        <v>834</v>
      </c>
      <c r="AK44" s="60">
        <v>32667</v>
      </c>
      <c r="AL44" s="60">
        <v>26</v>
      </c>
      <c r="AM44" s="60">
        <v>711</v>
      </c>
      <c r="AN44" s="60">
        <v>209</v>
      </c>
      <c r="AO44" s="60">
        <v>5517</v>
      </c>
      <c r="AP44" s="60">
        <v>475</v>
      </c>
      <c r="AQ44" s="60">
        <v>479</v>
      </c>
      <c r="AR44" s="60">
        <v>136</v>
      </c>
      <c r="AS44" s="60">
        <v>68</v>
      </c>
      <c r="AT44" s="60"/>
      <c r="AU44" s="60"/>
      <c r="AV44" s="60"/>
      <c r="AW44" s="60">
        <v>77</v>
      </c>
      <c r="AX44" s="60">
        <v>249</v>
      </c>
      <c r="AY44" s="60">
        <v>12</v>
      </c>
      <c r="AZ44" s="60"/>
      <c r="BA44" s="60">
        <v>38582</v>
      </c>
      <c r="BB44" s="60">
        <v>13</v>
      </c>
      <c r="BC44" s="60"/>
      <c r="BD44" s="60"/>
      <c r="BE44" s="60">
        <v>18879</v>
      </c>
      <c r="BF44" s="60">
        <v>7620</v>
      </c>
      <c r="BG44" s="60">
        <v>1567</v>
      </c>
      <c r="BH44" s="60">
        <v>8281</v>
      </c>
      <c r="BI44" s="60">
        <v>3744</v>
      </c>
      <c r="BJ44" s="60">
        <v>1073</v>
      </c>
      <c r="BK44" s="60">
        <v>254</v>
      </c>
      <c r="BL44" s="60">
        <v>1183</v>
      </c>
      <c r="BM44" s="60">
        <v>11</v>
      </c>
      <c r="BN44" s="60">
        <v>2539</v>
      </c>
      <c r="BO44" s="60">
        <v>616</v>
      </c>
      <c r="BP44" s="60">
        <v>2503</v>
      </c>
      <c r="BQ44" s="60">
        <v>825</v>
      </c>
      <c r="BR44" s="60">
        <v>8073</v>
      </c>
      <c r="BS44" s="60">
        <v>2201</v>
      </c>
      <c r="BT44" s="60">
        <v>55</v>
      </c>
      <c r="BU44" s="60">
        <v>2371</v>
      </c>
      <c r="BV44" s="60">
        <v>3002</v>
      </c>
      <c r="BW44" s="60">
        <v>105</v>
      </c>
      <c r="BX44" s="60">
        <v>965</v>
      </c>
      <c r="BY44" s="60">
        <v>5165</v>
      </c>
      <c r="BZ44" s="60">
        <v>1587</v>
      </c>
      <c r="CA44" s="60">
        <v>7561</v>
      </c>
      <c r="CB44" s="60">
        <v>1</v>
      </c>
      <c r="CC44" s="60">
        <v>1</v>
      </c>
      <c r="CD44" s="60">
        <v>2483</v>
      </c>
      <c r="CE44" s="60">
        <v>181</v>
      </c>
      <c r="CF44" s="60">
        <v>272</v>
      </c>
      <c r="CG44" s="60">
        <v>28</v>
      </c>
      <c r="CH44" s="60">
        <v>387</v>
      </c>
      <c r="CI44" s="60">
        <v>16</v>
      </c>
      <c r="CJ44" s="60">
        <v>224</v>
      </c>
      <c r="CK44" s="60">
        <v>488</v>
      </c>
      <c r="CL44" s="60">
        <v>30937</v>
      </c>
      <c r="CM44" s="60">
        <v>3738</v>
      </c>
      <c r="CN44" s="60">
        <v>133</v>
      </c>
      <c r="CO44" s="60">
        <v>873</v>
      </c>
      <c r="CP44" s="60">
        <v>66</v>
      </c>
      <c r="CQ44" s="60">
        <v>215</v>
      </c>
      <c r="CR44" s="60">
        <v>50</v>
      </c>
      <c r="CS44" s="60"/>
      <c r="CT44" s="60">
        <v>40091</v>
      </c>
      <c r="CU44" s="60">
        <v>22</v>
      </c>
      <c r="CV44" s="60">
        <v>25671</v>
      </c>
      <c r="CW44" s="60">
        <v>14398</v>
      </c>
      <c r="CX44" s="60">
        <v>1989</v>
      </c>
      <c r="CY44" s="60">
        <v>2224</v>
      </c>
      <c r="CZ44" s="60"/>
      <c r="DA44" s="60"/>
      <c r="DB44" s="60">
        <v>116</v>
      </c>
      <c r="DC44" s="60">
        <v>182</v>
      </c>
      <c r="DD44" s="60">
        <v>245</v>
      </c>
      <c r="DE44" s="60">
        <v>393</v>
      </c>
      <c r="DF44" s="60">
        <v>557</v>
      </c>
      <c r="DG44" s="60">
        <v>706</v>
      </c>
      <c r="DH44" s="60">
        <v>830</v>
      </c>
      <c r="DI44" s="60">
        <v>985</v>
      </c>
      <c r="DJ44" s="60">
        <v>83</v>
      </c>
      <c r="DK44" s="60">
        <v>116</v>
      </c>
      <c r="DL44" s="60"/>
      <c r="DM44" s="60">
        <v>18</v>
      </c>
      <c r="DN44" s="60">
        <v>94</v>
      </c>
      <c r="DO44" s="60">
        <v>3286</v>
      </c>
      <c r="DP44" s="60">
        <v>66</v>
      </c>
      <c r="DQ44" s="60">
        <v>18</v>
      </c>
      <c r="DR44" s="60">
        <v>730</v>
      </c>
      <c r="DS44" s="60">
        <v>1</v>
      </c>
      <c r="DT44" s="60">
        <v>207</v>
      </c>
      <c r="DU44" s="60">
        <v>94</v>
      </c>
      <c r="DV44" s="60">
        <v>159</v>
      </c>
      <c r="DW44" s="60">
        <v>452</v>
      </c>
      <c r="DX44" s="60">
        <v>39</v>
      </c>
      <c r="DY44" s="60">
        <v>12</v>
      </c>
      <c r="DZ44" s="60">
        <v>1</v>
      </c>
      <c r="EA44" s="60">
        <v>2833</v>
      </c>
      <c r="EB44" s="60">
        <v>382</v>
      </c>
      <c r="EC44" s="60">
        <v>34</v>
      </c>
      <c r="ED44" s="60">
        <v>0</v>
      </c>
      <c r="EE44" s="60">
        <v>0</v>
      </c>
      <c r="EF44" s="60">
        <v>0</v>
      </c>
      <c r="EG44" s="60">
        <v>0</v>
      </c>
      <c r="EH44" s="60">
        <v>0</v>
      </c>
      <c r="EI44" s="60">
        <v>848</v>
      </c>
      <c r="EJ44" s="60">
        <v>2382</v>
      </c>
      <c r="EK44" s="60">
        <v>39</v>
      </c>
      <c r="EL44" s="60">
        <v>554</v>
      </c>
      <c r="EM44" s="60">
        <v>390</v>
      </c>
      <c r="EN44" s="60">
        <v>74</v>
      </c>
      <c r="EO44" s="60">
        <v>70</v>
      </c>
      <c r="EP44" s="60">
        <v>833</v>
      </c>
      <c r="EQ44" s="60">
        <v>1</v>
      </c>
      <c r="ER44" s="60">
        <v>821</v>
      </c>
      <c r="ES44" s="60">
        <v>263</v>
      </c>
      <c r="ET44" s="60">
        <v>272</v>
      </c>
      <c r="EU44" s="60">
        <v>268</v>
      </c>
      <c r="EV44" s="60">
        <v>327</v>
      </c>
      <c r="EW44" s="60">
        <v>65</v>
      </c>
      <c r="EX44" s="60">
        <v>109</v>
      </c>
      <c r="EY44" s="60">
        <v>76</v>
      </c>
      <c r="EZ44" s="60">
        <v>11</v>
      </c>
      <c r="FA44" s="60">
        <v>26</v>
      </c>
      <c r="FB44" s="60">
        <v>634</v>
      </c>
      <c r="FC44" s="60">
        <v>95</v>
      </c>
      <c r="FD44" s="60">
        <v>251</v>
      </c>
      <c r="FE44" s="60">
        <v>3</v>
      </c>
      <c r="FF44" s="60">
        <v>14</v>
      </c>
      <c r="FG44" s="60"/>
      <c r="FH44" s="60">
        <v>211</v>
      </c>
      <c r="FI44" s="60">
        <v>25</v>
      </c>
      <c r="FJ44" s="60">
        <v>115</v>
      </c>
      <c r="FK44" s="60">
        <v>15</v>
      </c>
      <c r="FL44" s="60">
        <v>2</v>
      </c>
      <c r="FM44" s="60">
        <v>119</v>
      </c>
      <c r="FN44" s="60">
        <v>20</v>
      </c>
      <c r="FO44" s="60">
        <v>3616</v>
      </c>
      <c r="FP44" s="60">
        <v>23</v>
      </c>
      <c r="FQ44" s="60">
        <v>2</v>
      </c>
      <c r="FR44" s="60">
        <v>29</v>
      </c>
      <c r="FS44" s="60">
        <v>12</v>
      </c>
      <c r="FT44" s="60">
        <v>9</v>
      </c>
      <c r="FU44" s="60">
        <v>14</v>
      </c>
      <c r="FV44" s="60">
        <v>1</v>
      </c>
      <c r="FW44" s="60"/>
      <c r="FX44" s="60">
        <v>4213</v>
      </c>
      <c r="FY44" s="60">
        <v>2</v>
      </c>
      <c r="FZ44" s="60">
        <v>1987</v>
      </c>
      <c r="GA44" s="60">
        <v>2224</v>
      </c>
      <c r="GB44" s="60">
        <v>2011</v>
      </c>
    </row>
    <row r="45" spans="1:184" x14ac:dyDescent="0.3">
      <c r="A45" s="60">
        <v>106130760</v>
      </c>
      <c r="B45" s="61" t="s">
        <v>281</v>
      </c>
      <c r="C45" s="61" t="s">
        <v>1752</v>
      </c>
      <c r="D45" s="61" t="s">
        <v>282</v>
      </c>
      <c r="E45" s="61" t="s">
        <v>283</v>
      </c>
      <c r="F45" s="60">
        <v>92227</v>
      </c>
      <c r="G45" s="61" t="s">
        <v>177</v>
      </c>
      <c r="H45" s="61" t="s">
        <v>1669</v>
      </c>
      <c r="I45" s="60">
        <v>80</v>
      </c>
      <c r="J45" s="60">
        <v>40</v>
      </c>
      <c r="K45" s="61" t="s">
        <v>1753</v>
      </c>
      <c r="L45" s="61"/>
      <c r="M45" s="61" t="s">
        <v>1750</v>
      </c>
      <c r="N45" s="61" t="s">
        <v>1751</v>
      </c>
      <c r="O45" s="61" t="s">
        <v>1673</v>
      </c>
      <c r="P45" s="61" t="s">
        <v>159</v>
      </c>
      <c r="Q45" s="61" t="s">
        <v>1674</v>
      </c>
      <c r="R45" s="60">
        <v>107</v>
      </c>
      <c r="S45" s="61" t="s">
        <v>1675</v>
      </c>
      <c r="T45" s="60">
        <v>21605</v>
      </c>
      <c r="U45" s="60">
        <v>17012</v>
      </c>
      <c r="V45" s="60">
        <v>2</v>
      </c>
      <c r="W45" s="60"/>
      <c r="X45" s="60">
        <v>7035</v>
      </c>
      <c r="Y45" s="60">
        <v>5355</v>
      </c>
      <c r="Z45" s="60">
        <v>6512</v>
      </c>
      <c r="AA45" s="60">
        <v>5286</v>
      </c>
      <c r="AB45" s="60">
        <v>4616</v>
      </c>
      <c r="AC45" s="60">
        <v>3576</v>
      </c>
      <c r="AD45" s="60">
        <v>2027</v>
      </c>
      <c r="AE45" s="60">
        <v>1430</v>
      </c>
      <c r="AF45" s="60">
        <v>1093</v>
      </c>
      <c r="AG45" s="60">
        <v>1689</v>
      </c>
      <c r="AH45" s="60"/>
      <c r="AI45" s="60">
        <v>71</v>
      </c>
      <c r="AJ45" s="60">
        <v>661</v>
      </c>
      <c r="AK45" s="60">
        <v>30032</v>
      </c>
      <c r="AL45" s="60">
        <v>14</v>
      </c>
      <c r="AM45" s="60">
        <v>610</v>
      </c>
      <c r="AN45" s="60">
        <v>427</v>
      </c>
      <c r="AO45" s="60">
        <v>6804</v>
      </c>
      <c r="AP45" s="60">
        <v>665</v>
      </c>
      <c r="AQ45" s="60">
        <v>350</v>
      </c>
      <c r="AR45" s="60">
        <v>287</v>
      </c>
      <c r="AS45" s="60">
        <v>27</v>
      </c>
      <c r="AT45" s="60">
        <v>19</v>
      </c>
      <c r="AU45" s="60">
        <v>3</v>
      </c>
      <c r="AV45" s="60">
        <v>1</v>
      </c>
      <c r="AW45" s="60">
        <v>55</v>
      </c>
      <c r="AX45" s="60"/>
      <c r="AY45" s="60"/>
      <c r="AZ45" s="60"/>
      <c r="BA45" s="60">
        <v>37197</v>
      </c>
      <c r="BB45" s="60">
        <v>15</v>
      </c>
      <c r="BC45" s="60"/>
      <c r="BD45" s="60"/>
      <c r="BE45" s="60">
        <v>18789</v>
      </c>
      <c r="BF45" s="60">
        <v>4460</v>
      </c>
      <c r="BG45" s="60">
        <v>1539</v>
      </c>
      <c r="BH45" s="60">
        <v>10722</v>
      </c>
      <c r="BI45" s="60">
        <v>3109</v>
      </c>
      <c r="BJ45" s="60">
        <v>1156</v>
      </c>
      <c r="BK45" s="60">
        <v>125</v>
      </c>
      <c r="BL45" s="60">
        <v>495</v>
      </c>
      <c r="BM45" s="60">
        <v>4</v>
      </c>
      <c r="BN45" s="60">
        <v>1681</v>
      </c>
      <c r="BO45" s="60">
        <v>425</v>
      </c>
      <c r="BP45" s="60">
        <v>2186</v>
      </c>
      <c r="BQ45" s="60">
        <v>638</v>
      </c>
      <c r="BR45" s="60">
        <v>7666</v>
      </c>
      <c r="BS45" s="60">
        <v>2831</v>
      </c>
      <c r="BT45" s="60">
        <v>41</v>
      </c>
      <c r="BU45" s="60">
        <v>2165</v>
      </c>
      <c r="BV45" s="60">
        <v>1209</v>
      </c>
      <c r="BW45" s="60">
        <v>45</v>
      </c>
      <c r="BX45" s="60">
        <v>921</v>
      </c>
      <c r="BY45" s="60">
        <v>5349</v>
      </c>
      <c r="BZ45" s="60">
        <v>1834</v>
      </c>
      <c r="CA45" s="60">
        <v>9848</v>
      </c>
      <c r="CB45" s="60"/>
      <c r="CC45" s="60"/>
      <c r="CD45" s="60">
        <v>1952</v>
      </c>
      <c r="CE45" s="60">
        <v>91</v>
      </c>
      <c r="CF45" s="60">
        <v>390</v>
      </c>
      <c r="CG45" s="60">
        <v>29</v>
      </c>
      <c r="CH45" s="60">
        <v>215</v>
      </c>
      <c r="CI45" s="60">
        <v>18</v>
      </c>
      <c r="CJ45" s="60">
        <v>139</v>
      </c>
      <c r="CK45" s="60">
        <v>376</v>
      </c>
      <c r="CL45" s="60">
        <v>30463</v>
      </c>
      <c r="CM45" s="60">
        <v>3637</v>
      </c>
      <c r="CN45" s="60">
        <v>111</v>
      </c>
      <c r="CO45" s="60">
        <v>981</v>
      </c>
      <c r="CP45" s="60">
        <v>40</v>
      </c>
      <c r="CQ45" s="60">
        <v>151</v>
      </c>
      <c r="CR45" s="60">
        <v>26</v>
      </c>
      <c r="CS45" s="60"/>
      <c r="CT45" s="60">
        <v>38619</v>
      </c>
      <c r="CU45" s="60">
        <v>65</v>
      </c>
      <c r="CV45" s="60">
        <v>32258</v>
      </c>
      <c r="CW45" s="60">
        <v>6296</v>
      </c>
      <c r="CX45" s="60">
        <v>1555</v>
      </c>
      <c r="CY45" s="60">
        <v>1538</v>
      </c>
      <c r="CZ45" s="60"/>
      <c r="DA45" s="60"/>
      <c r="DB45" s="60">
        <v>66</v>
      </c>
      <c r="DC45" s="60">
        <v>215</v>
      </c>
      <c r="DD45" s="60">
        <v>234</v>
      </c>
      <c r="DE45" s="60">
        <v>344</v>
      </c>
      <c r="DF45" s="60">
        <v>463</v>
      </c>
      <c r="DG45" s="60">
        <v>492</v>
      </c>
      <c r="DH45" s="60">
        <v>512</v>
      </c>
      <c r="DI45" s="60">
        <v>541</v>
      </c>
      <c r="DJ45" s="60">
        <v>87</v>
      </c>
      <c r="DK45" s="60">
        <v>139</v>
      </c>
      <c r="DL45" s="60"/>
      <c r="DM45" s="60">
        <v>5</v>
      </c>
      <c r="DN45" s="60">
        <v>83</v>
      </c>
      <c r="DO45" s="60">
        <v>2156</v>
      </c>
      <c r="DP45" s="60">
        <v>44</v>
      </c>
      <c r="DQ45" s="60">
        <v>102</v>
      </c>
      <c r="DR45" s="60">
        <v>699</v>
      </c>
      <c r="DS45" s="60">
        <v>4</v>
      </c>
      <c r="DT45" s="60">
        <v>127</v>
      </c>
      <c r="DU45" s="60">
        <v>78</v>
      </c>
      <c r="DV45" s="60">
        <v>67</v>
      </c>
      <c r="DW45" s="60">
        <v>158</v>
      </c>
      <c r="DX45" s="60">
        <v>73</v>
      </c>
      <c r="DY45" s="60"/>
      <c r="DZ45" s="60"/>
      <c r="EA45" s="60">
        <v>2327</v>
      </c>
      <c r="EB45" s="60">
        <v>169</v>
      </c>
      <c r="EC45" s="60">
        <v>94</v>
      </c>
      <c r="ED45" s="60">
        <v>0</v>
      </c>
      <c r="EE45" s="60">
        <v>0</v>
      </c>
      <c r="EF45" s="60">
        <v>0</v>
      </c>
      <c r="EG45" s="60">
        <v>0</v>
      </c>
      <c r="EH45" s="60">
        <v>0</v>
      </c>
      <c r="EI45" s="60">
        <v>819</v>
      </c>
      <c r="EJ45" s="60">
        <v>1408</v>
      </c>
      <c r="EK45" s="60">
        <v>117</v>
      </c>
      <c r="EL45" s="60">
        <v>499</v>
      </c>
      <c r="EM45" s="60">
        <v>250</v>
      </c>
      <c r="EN45" s="60">
        <v>49</v>
      </c>
      <c r="EO45" s="60">
        <v>54</v>
      </c>
      <c r="EP45" s="60">
        <v>496</v>
      </c>
      <c r="EQ45" s="60">
        <v>1</v>
      </c>
      <c r="ER45" s="60">
        <v>566</v>
      </c>
      <c r="ES45" s="60">
        <v>158</v>
      </c>
      <c r="ET45" s="60">
        <v>208</v>
      </c>
      <c r="EU45" s="60">
        <v>291</v>
      </c>
      <c r="EV45" s="60">
        <v>148</v>
      </c>
      <c r="EW45" s="60">
        <v>55</v>
      </c>
      <c r="EX45" s="60">
        <v>45</v>
      </c>
      <c r="EY45" s="60">
        <v>71</v>
      </c>
      <c r="EZ45" s="60">
        <v>1</v>
      </c>
      <c r="FA45" s="60">
        <v>14</v>
      </c>
      <c r="FB45" s="60">
        <v>627</v>
      </c>
      <c r="FC45" s="60">
        <v>127</v>
      </c>
      <c r="FD45" s="60">
        <v>175</v>
      </c>
      <c r="FE45" s="60"/>
      <c r="FF45" s="60">
        <v>7</v>
      </c>
      <c r="FG45" s="60"/>
      <c r="FH45" s="60">
        <v>103</v>
      </c>
      <c r="FI45" s="60">
        <v>14</v>
      </c>
      <c r="FJ45" s="60">
        <v>88</v>
      </c>
      <c r="FK45" s="60">
        <v>5</v>
      </c>
      <c r="FL45" s="60">
        <v>2</v>
      </c>
      <c r="FM45" s="60">
        <v>49</v>
      </c>
      <c r="FN45" s="60">
        <v>16</v>
      </c>
      <c r="FO45" s="60">
        <v>2730</v>
      </c>
      <c r="FP45" s="60">
        <v>46</v>
      </c>
      <c r="FQ45" s="60">
        <v>1</v>
      </c>
      <c r="FR45" s="60">
        <v>18</v>
      </c>
      <c r="FS45" s="60">
        <v>6</v>
      </c>
      <c r="FT45" s="60">
        <v>3</v>
      </c>
      <c r="FU45" s="60">
        <v>11</v>
      </c>
      <c r="FV45" s="60">
        <v>1</v>
      </c>
      <c r="FW45" s="60"/>
      <c r="FX45" s="60">
        <v>3093</v>
      </c>
      <c r="FY45" s="60">
        <v>12</v>
      </c>
      <c r="FZ45" s="60">
        <v>2162</v>
      </c>
      <c r="GA45" s="60">
        <v>919</v>
      </c>
      <c r="GB45" s="60">
        <v>2011</v>
      </c>
    </row>
    <row r="46" spans="1:184" x14ac:dyDescent="0.3">
      <c r="A46" s="60">
        <v>106141273</v>
      </c>
      <c r="B46" s="61" t="s">
        <v>284</v>
      </c>
      <c r="C46" s="61" t="s">
        <v>285</v>
      </c>
      <c r="D46" s="61" t="s">
        <v>286</v>
      </c>
      <c r="E46" s="61" t="s">
        <v>287</v>
      </c>
      <c r="F46" s="60">
        <v>93514</v>
      </c>
      <c r="G46" s="61"/>
      <c r="H46" s="61" t="s">
        <v>1669</v>
      </c>
      <c r="I46" s="60">
        <v>34</v>
      </c>
      <c r="J46" s="60">
        <v>18</v>
      </c>
      <c r="K46" s="61" t="s">
        <v>1754</v>
      </c>
      <c r="L46" s="61"/>
      <c r="M46" s="61" t="s">
        <v>1755</v>
      </c>
      <c r="N46" s="61" t="s">
        <v>1756</v>
      </c>
      <c r="O46" s="61" t="s">
        <v>1673</v>
      </c>
      <c r="P46" s="61" t="s">
        <v>159</v>
      </c>
      <c r="Q46" s="61" t="s">
        <v>1674</v>
      </c>
      <c r="R46" s="60">
        <v>25</v>
      </c>
      <c r="S46" s="61" t="s">
        <v>1675</v>
      </c>
      <c r="T46" s="60">
        <v>3561</v>
      </c>
      <c r="U46" s="60">
        <v>3510</v>
      </c>
      <c r="V46" s="60"/>
      <c r="W46" s="60"/>
      <c r="X46" s="60">
        <v>740</v>
      </c>
      <c r="Y46" s="60">
        <v>853</v>
      </c>
      <c r="Z46" s="60">
        <v>906</v>
      </c>
      <c r="AA46" s="60">
        <v>771</v>
      </c>
      <c r="AB46" s="60">
        <v>837</v>
      </c>
      <c r="AC46" s="60">
        <v>899</v>
      </c>
      <c r="AD46" s="60">
        <v>713</v>
      </c>
      <c r="AE46" s="60">
        <v>552</v>
      </c>
      <c r="AF46" s="60">
        <v>675</v>
      </c>
      <c r="AG46" s="60">
        <v>125</v>
      </c>
      <c r="AH46" s="60"/>
      <c r="AI46" s="60">
        <v>38</v>
      </c>
      <c r="AJ46" s="60">
        <v>30</v>
      </c>
      <c r="AK46" s="60">
        <v>988</v>
      </c>
      <c r="AL46" s="60">
        <v>680</v>
      </c>
      <c r="AM46" s="60">
        <v>11</v>
      </c>
      <c r="AN46" s="60">
        <v>55</v>
      </c>
      <c r="AO46" s="60">
        <v>5269</v>
      </c>
      <c r="AP46" s="60">
        <v>164</v>
      </c>
      <c r="AQ46" s="60">
        <v>32</v>
      </c>
      <c r="AR46" s="60">
        <v>8</v>
      </c>
      <c r="AS46" s="60">
        <v>18</v>
      </c>
      <c r="AT46" s="60">
        <v>2</v>
      </c>
      <c r="AU46" s="60">
        <v>1</v>
      </c>
      <c r="AV46" s="60"/>
      <c r="AW46" s="60">
        <v>1</v>
      </c>
      <c r="AX46" s="60">
        <v>43</v>
      </c>
      <c r="AY46" s="60">
        <v>2</v>
      </c>
      <c r="AZ46" s="60"/>
      <c r="BA46" s="60">
        <v>6778</v>
      </c>
      <c r="BB46" s="60">
        <v>12</v>
      </c>
      <c r="BC46" s="60"/>
      <c r="BD46" s="60">
        <v>10</v>
      </c>
      <c r="BE46" s="60">
        <v>1902</v>
      </c>
      <c r="BF46" s="60">
        <v>1815</v>
      </c>
      <c r="BG46" s="60">
        <v>351</v>
      </c>
      <c r="BH46" s="60">
        <v>2257</v>
      </c>
      <c r="BI46" s="60">
        <v>746</v>
      </c>
      <c r="BJ46" s="60">
        <v>124</v>
      </c>
      <c r="BK46" s="60">
        <v>8</v>
      </c>
      <c r="BL46" s="60">
        <v>250</v>
      </c>
      <c r="BM46" s="60">
        <v>1</v>
      </c>
      <c r="BN46" s="60">
        <v>345</v>
      </c>
      <c r="BO46" s="60">
        <v>85</v>
      </c>
      <c r="BP46" s="60">
        <v>292</v>
      </c>
      <c r="BQ46" s="60">
        <v>131</v>
      </c>
      <c r="BR46" s="60">
        <v>2019</v>
      </c>
      <c r="BS46" s="60">
        <v>433</v>
      </c>
      <c r="BT46" s="60">
        <v>10</v>
      </c>
      <c r="BU46" s="60">
        <v>450</v>
      </c>
      <c r="BV46" s="60">
        <v>472</v>
      </c>
      <c r="BW46" s="60">
        <v>1</v>
      </c>
      <c r="BX46" s="60">
        <v>153</v>
      </c>
      <c r="BY46" s="60">
        <v>575</v>
      </c>
      <c r="BZ46" s="60">
        <v>251</v>
      </c>
      <c r="CA46" s="60">
        <v>1471</v>
      </c>
      <c r="CB46" s="60"/>
      <c r="CC46" s="60"/>
      <c r="CD46" s="60">
        <v>748</v>
      </c>
      <c r="CE46" s="60">
        <v>25</v>
      </c>
      <c r="CF46" s="60">
        <v>65</v>
      </c>
      <c r="CG46" s="60">
        <v>7</v>
      </c>
      <c r="CH46" s="60">
        <v>80</v>
      </c>
      <c r="CI46" s="60">
        <v>4</v>
      </c>
      <c r="CJ46" s="60">
        <v>46</v>
      </c>
      <c r="CK46" s="60">
        <v>133</v>
      </c>
      <c r="CL46" s="60">
        <v>4635</v>
      </c>
      <c r="CM46" s="60">
        <v>1021</v>
      </c>
      <c r="CN46" s="60">
        <v>98</v>
      </c>
      <c r="CO46" s="60">
        <v>124</v>
      </c>
      <c r="CP46" s="60">
        <v>15</v>
      </c>
      <c r="CQ46" s="60">
        <v>58</v>
      </c>
      <c r="CR46" s="60">
        <v>12</v>
      </c>
      <c r="CS46" s="60"/>
      <c r="CT46" s="60">
        <v>7071</v>
      </c>
      <c r="CU46" s="60">
        <v>53</v>
      </c>
      <c r="CV46" s="60">
        <v>6586</v>
      </c>
      <c r="CW46" s="60">
        <v>432</v>
      </c>
      <c r="CX46" s="60">
        <v>272</v>
      </c>
      <c r="CY46" s="60">
        <v>227</v>
      </c>
      <c r="CZ46" s="60"/>
      <c r="DA46" s="60"/>
      <c r="DB46" s="60">
        <v>14</v>
      </c>
      <c r="DC46" s="60">
        <v>29</v>
      </c>
      <c r="DD46" s="60">
        <v>26</v>
      </c>
      <c r="DE46" s="60">
        <v>35</v>
      </c>
      <c r="DF46" s="60">
        <v>58</v>
      </c>
      <c r="DG46" s="60">
        <v>77</v>
      </c>
      <c r="DH46" s="60">
        <v>92</v>
      </c>
      <c r="DI46" s="60">
        <v>151</v>
      </c>
      <c r="DJ46" s="60">
        <v>8</v>
      </c>
      <c r="DK46" s="60">
        <v>9</v>
      </c>
      <c r="DL46" s="60"/>
      <c r="DM46" s="60"/>
      <c r="DN46" s="60"/>
      <c r="DO46" s="60">
        <v>59</v>
      </c>
      <c r="DP46" s="60">
        <v>1</v>
      </c>
      <c r="DQ46" s="60">
        <v>1</v>
      </c>
      <c r="DR46" s="60">
        <v>395</v>
      </c>
      <c r="DS46" s="60">
        <v>43</v>
      </c>
      <c r="DT46" s="60">
        <v>35</v>
      </c>
      <c r="DU46" s="60">
        <v>3</v>
      </c>
      <c r="DV46" s="60">
        <v>17</v>
      </c>
      <c r="DW46" s="60">
        <v>15</v>
      </c>
      <c r="DX46" s="60">
        <v>6</v>
      </c>
      <c r="DY46" s="60">
        <v>1</v>
      </c>
      <c r="DZ46" s="60">
        <v>5</v>
      </c>
      <c r="EA46" s="60">
        <v>311</v>
      </c>
      <c r="EB46" s="60">
        <v>106</v>
      </c>
      <c r="EC46" s="60"/>
      <c r="ED46" s="60">
        <v>0</v>
      </c>
      <c r="EE46" s="60">
        <v>0</v>
      </c>
      <c r="EF46" s="60">
        <v>0</v>
      </c>
      <c r="EG46" s="60">
        <v>0</v>
      </c>
      <c r="EH46" s="60">
        <v>0</v>
      </c>
      <c r="EI46" s="60">
        <v>67</v>
      </c>
      <c r="EJ46" s="60">
        <v>293</v>
      </c>
      <c r="EK46" s="60">
        <v>6</v>
      </c>
      <c r="EL46" s="60">
        <v>101</v>
      </c>
      <c r="EM46" s="60">
        <v>32</v>
      </c>
      <c r="EN46" s="60">
        <v>16</v>
      </c>
      <c r="EO46" s="60">
        <v>3</v>
      </c>
      <c r="EP46" s="60">
        <v>57</v>
      </c>
      <c r="EQ46" s="60"/>
      <c r="ER46" s="60">
        <v>111</v>
      </c>
      <c r="ES46" s="60">
        <v>28</v>
      </c>
      <c r="ET46" s="60">
        <v>35</v>
      </c>
      <c r="EU46" s="60">
        <v>26</v>
      </c>
      <c r="EV46" s="60">
        <v>65</v>
      </c>
      <c r="EW46" s="60">
        <v>11</v>
      </c>
      <c r="EX46" s="60">
        <v>8</v>
      </c>
      <c r="EY46" s="60">
        <v>8</v>
      </c>
      <c r="EZ46" s="60"/>
      <c r="FA46" s="60">
        <v>9</v>
      </c>
      <c r="FB46" s="60">
        <v>68</v>
      </c>
      <c r="FC46" s="60">
        <v>17</v>
      </c>
      <c r="FD46" s="60">
        <v>35</v>
      </c>
      <c r="FE46" s="60"/>
      <c r="FF46" s="60">
        <v>2</v>
      </c>
      <c r="FG46" s="60"/>
      <c r="FH46" s="60">
        <v>41</v>
      </c>
      <c r="FI46" s="60">
        <v>5</v>
      </c>
      <c r="FJ46" s="60">
        <v>52</v>
      </c>
      <c r="FK46" s="60">
        <v>1</v>
      </c>
      <c r="FL46" s="60">
        <v>1</v>
      </c>
      <c r="FM46" s="60">
        <v>31</v>
      </c>
      <c r="FN46" s="60">
        <v>6</v>
      </c>
      <c r="FO46" s="60">
        <v>340</v>
      </c>
      <c r="FP46" s="60">
        <v>5</v>
      </c>
      <c r="FQ46" s="60">
        <v>3</v>
      </c>
      <c r="FR46" s="60">
        <v>3</v>
      </c>
      <c r="FS46" s="60">
        <v>1</v>
      </c>
      <c r="FT46" s="60">
        <v>6</v>
      </c>
      <c r="FU46" s="60">
        <v>3</v>
      </c>
      <c r="FV46" s="60">
        <v>1</v>
      </c>
      <c r="FW46" s="60"/>
      <c r="FX46" s="60">
        <v>499</v>
      </c>
      <c r="FY46" s="60">
        <v>2</v>
      </c>
      <c r="FZ46" s="60">
        <v>466</v>
      </c>
      <c r="GA46" s="60">
        <v>31</v>
      </c>
      <c r="GB46" s="60">
        <v>2011</v>
      </c>
    </row>
    <row r="47" spans="1:184" x14ac:dyDescent="0.3">
      <c r="A47" s="60">
        <v>106141338</v>
      </c>
      <c r="B47" s="61" t="s">
        <v>288</v>
      </c>
      <c r="C47" s="61" t="s">
        <v>289</v>
      </c>
      <c r="D47" s="61" t="s">
        <v>290</v>
      </c>
      <c r="E47" s="61" t="s">
        <v>291</v>
      </c>
      <c r="F47" s="60">
        <v>93545</v>
      </c>
      <c r="G47" s="61"/>
      <c r="H47" s="61" t="s">
        <v>1669</v>
      </c>
      <c r="I47" s="60">
        <v>34</v>
      </c>
      <c r="J47" s="60">
        <v>18</v>
      </c>
      <c r="K47" s="61" t="s">
        <v>1757</v>
      </c>
      <c r="L47" s="61"/>
      <c r="M47" s="61" t="s">
        <v>1755</v>
      </c>
      <c r="N47" s="61" t="s">
        <v>1756</v>
      </c>
      <c r="O47" s="61" t="s">
        <v>1673</v>
      </c>
      <c r="P47" s="61" t="s">
        <v>159</v>
      </c>
      <c r="Q47" s="61" t="s">
        <v>1758</v>
      </c>
      <c r="R47" s="60">
        <v>4</v>
      </c>
      <c r="S47" s="61" t="s">
        <v>1706</v>
      </c>
      <c r="T47" s="60">
        <v>523</v>
      </c>
      <c r="U47" s="60">
        <v>598</v>
      </c>
      <c r="V47" s="60"/>
      <c r="W47" s="60"/>
      <c r="X47" s="60">
        <v>92</v>
      </c>
      <c r="Y47" s="60">
        <v>147</v>
      </c>
      <c r="Z47" s="60">
        <v>129</v>
      </c>
      <c r="AA47" s="60">
        <v>121</v>
      </c>
      <c r="AB47" s="60">
        <v>138</v>
      </c>
      <c r="AC47" s="60">
        <v>170</v>
      </c>
      <c r="AD47" s="60">
        <v>139</v>
      </c>
      <c r="AE47" s="60">
        <v>72</v>
      </c>
      <c r="AF47" s="60">
        <v>70</v>
      </c>
      <c r="AG47" s="60">
        <v>43</v>
      </c>
      <c r="AH47" s="60"/>
      <c r="AI47" s="60">
        <v>7</v>
      </c>
      <c r="AJ47" s="60">
        <v>16</v>
      </c>
      <c r="AK47" s="60">
        <v>173</v>
      </c>
      <c r="AL47" s="60">
        <v>86</v>
      </c>
      <c r="AM47" s="60">
        <v>8</v>
      </c>
      <c r="AN47" s="60"/>
      <c r="AO47" s="60">
        <v>831</v>
      </c>
      <c r="AP47" s="60">
        <v>55</v>
      </c>
      <c r="AQ47" s="60">
        <v>6</v>
      </c>
      <c r="AR47" s="60"/>
      <c r="AS47" s="60">
        <v>7</v>
      </c>
      <c r="AT47" s="60">
        <v>1</v>
      </c>
      <c r="AU47" s="60"/>
      <c r="AV47" s="60"/>
      <c r="AW47" s="60"/>
      <c r="AX47" s="60">
        <v>31</v>
      </c>
      <c r="AY47" s="60">
        <v>1</v>
      </c>
      <c r="AZ47" s="60"/>
      <c r="BA47" s="60">
        <v>1019</v>
      </c>
      <c r="BB47" s="60">
        <v>1</v>
      </c>
      <c r="BC47" s="60"/>
      <c r="BD47" s="60"/>
      <c r="BE47" s="60">
        <v>255</v>
      </c>
      <c r="BF47" s="60">
        <v>211</v>
      </c>
      <c r="BG47" s="60">
        <v>91</v>
      </c>
      <c r="BH47" s="60">
        <v>388</v>
      </c>
      <c r="BI47" s="60">
        <v>176</v>
      </c>
      <c r="BJ47" s="60">
        <v>23</v>
      </c>
      <c r="BK47" s="60">
        <v>3</v>
      </c>
      <c r="BL47" s="60">
        <v>42</v>
      </c>
      <c r="BM47" s="60"/>
      <c r="BN47" s="60">
        <v>50</v>
      </c>
      <c r="BO47" s="60">
        <v>30</v>
      </c>
      <c r="BP47" s="60">
        <v>28</v>
      </c>
      <c r="BQ47" s="60">
        <v>31</v>
      </c>
      <c r="BR47" s="60">
        <v>368</v>
      </c>
      <c r="BS47" s="60">
        <v>73</v>
      </c>
      <c r="BT47" s="60">
        <v>3</v>
      </c>
      <c r="BU47" s="60">
        <v>57</v>
      </c>
      <c r="BV47" s="60">
        <v>7</v>
      </c>
      <c r="BW47" s="60">
        <v>1</v>
      </c>
      <c r="BX47" s="60">
        <v>31</v>
      </c>
      <c r="BY47" s="60">
        <v>66</v>
      </c>
      <c r="BZ47" s="60">
        <v>45</v>
      </c>
      <c r="CA47" s="60">
        <v>263</v>
      </c>
      <c r="CB47" s="60"/>
      <c r="CC47" s="60"/>
      <c r="CD47" s="60">
        <v>139</v>
      </c>
      <c r="CE47" s="60">
        <v>6</v>
      </c>
      <c r="CF47" s="60">
        <v>4</v>
      </c>
      <c r="CG47" s="60"/>
      <c r="CH47" s="60">
        <v>12</v>
      </c>
      <c r="CI47" s="60">
        <v>1</v>
      </c>
      <c r="CJ47" s="60"/>
      <c r="CK47" s="60">
        <v>14</v>
      </c>
      <c r="CL47" s="60">
        <v>709</v>
      </c>
      <c r="CM47" s="60">
        <v>183</v>
      </c>
      <c r="CN47" s="60">
        <v>8</v>
      </c>
      <c r="CO47" s="60">
        <v>33</v>
      </c>
      <c r="CP47" s="60">
        <v>3</v>
      </c>
      <c r="CQ47" s="60">
        <v>8</v>
      </c>
      <c r="CR47" s="60">
        <v>1</v>
      </c>
      <c r="CS47" s="60"/>
      <c r="CT47" s="60">
        <v>1121</v>
      </c>
      <c r="CU47" s="60">
        <v>3</v>
      </c>
      <c r="CV47" s="60">
        <v>1098</v>
      </c>
      <c r="CW47" s="60">
        <v>20</v>
      </c>
      <c r="CX47" s="60">
        <v>40</v>
      </c>
      <c r="CY47" s="60">
        <v>34</v>
      </c>
      <c r="CZ47" s="60"/>
      <c r="DA47" s="60"/>
      <c r="DB47" s="60"/>
      <c r="DC47" s="60">
        <v>7</v>
      </c>
      <c r="DD47" s="60">
        <v>1</v>
      </c>
      <c r="DE47" s="60">
        <v>12</v>
      </c>
      <c r="DF47" s="60">
        <v>10</v>
      </c>
      <c r="DG47" s="60">
        <v>14</v>
      </c>
      <c r="DH47" s="60">
        <v>15</v>
      </c>
      <c r="DI47" s="60">
        <v>14</v>
      </c>
      <c r="DJ47" s="60">
        <v>1</v>
      </c>
      <c r="DK47" s="60"/>
      <c r="DL47" s="60"/>
      <c r="DM47" s="60"/>
      <c r="DN47" s="60"/>
      <c r="DO47" s="60">
        <v>22</v>
      </c>
      <c r="DP47" s="60"/>
      <c r="DQ47" s="60"/>
      <c r="DR47" s="60">
        <v>51</v>
      </c>
      <c r="DS47" s="60">
        <v>1</v>
      </c>
      <c r="DT47" s="60">
        <v>1</v>
      </c>
      <c r="DU47" s="60">
        <v>3</v>
      </c>
      <c r="DV47" s="60">
        <v>3</v>
      </c>
      <c r="DW47" s="60"/>
      <c r="DX47" s="60"/>
      <c r="DY47" s="60"/>
      <c r="DZ47" s="60"/>
      <c r="EA47" s="60">
        <v>58</v>
      </c>
      <c r="EB47" s="60">
        <v>9</v>
      </c>
      <c r="EC47" s="60"/>
      <c r="ED47" s="60">
        <v>0</v>
      </c>
      <c r="EE47" s="60">
        <v>0</v>
      </c>
      <c r="EF47" s="60">
        <v>0</v>
      </c>
      <c r="EG47" s="60">
        <v>0</v>
      </c>
      <c r="EH47" s="60">
        <v>0</v>
      </c>
      <c r="EI47" s="60">
        <v>12</v>
      </c>
      <c r="EJ47" s="60">
        <v>31</v>
      </c>
      <c r="EK47" s="60">
        <v>2</v>
      </c>
      <c r="EL47" s="60">
        <v>22</v>
      </c>
      <c r="EM47" s="60">
        <v>7</v>
      </c>
      <c r="EN47" s="60"/>
      <c r="EO47" s="60"/>
      <c r="EP47" s="60">
        <v>3</v>
      </c>
      <c r="EQ47" s="60"/>
      <c r="ER47" s="60">
        <v>5</v>
      </c>
      <c r="ES47" s="60">
        <v>4</v>
      </c>
      <c r="ET47" s="60">
        <v>4</v>
      </c>
      <c r="EU47" s="60">
        <v>1</v>
      </c>
      <c r="EV47" s="60">
        <v>17</v>
      </c>
      <c r="EW47" s="60">
        <v>4</v>
      </c>
      <c r="EX47" s="60">
        <v>1</v>
      </c>
      <c r="EY47" s="60">
        <v>2</v>
      </c>
      <c r="EZ47" s="60"/>
      <c r="FA47" s="60"/>
      <c r="FB47" s="60">
        <v>19</v>
      </c>
      <c r="FC47" s="60">
        <v>2</v>
      </c>
      <c r="FD47" s="60">
        <v>12</v>
      </c>
      <c r="FE47" s="60"/>
      <c r="FF47" s="60"/>
      <c r="FG47" s="60"/>
      <c r="FH47" s="60">
        <v>3</v>
      </c>
      <c r="FI47" s="60">
        <v>1</v>
      </c>
      <c r="FJ47" s="60"/>
      <c r="FK47" s="60"/>
      <c r="FL47" s="60">
        <v>2</v>
      </c>
      <c r="FM47" s="60"/>
      <c r="FN47" s="60">
        <v>12</v>
      </c>
      <c r="FO47" s="60">
        <v>55</v>
      </c>
      <c r="FP47" s="60">
        <v>1</v>
      </c>
      <c r="FQ47" s="60"/>
      <c r="FR47" s="60"/>
      <c r="FS47" s="60"/>
      <c r="FT47" s="60"/>
      <c r="FU47" s="60"/>
      <c r="FV47" s="60"/>
      <c r="FW47" s="60"/>
      <c r="FX47" s="60">
        <v>74</v>
      </c>
      <c r="FY47" s="60"/>
      <c r="FZ47" s="60">
        <v>70</v>
      </c>
      <c r="GA47" s="60">
        <v>4</v>
      </c>
      <c r="GB47" s="60">
        <v>2011</v>
      </c>
    </row>
    <row r="48" spans="1:184" x14ac:dyDescent="0.3">
      <c r="A48" s="60">
        <v>106150706</v>
      </c>
      <c r="B48" s="61" t="s">
        <v>292</v>
      </c>
      <c r="C48" s="61" t="s">
        <v>293</v>
      </c>
      <c r="D48" s="61" t="s">
        <v>294</v>
      </c>
      <c r="E48" s="61" t="s">
        <v>295</v>
      </c>
      <c r="F48" s="60">
        <v>93215</v>
      </c>
      <c r="G48" s="61"/>
      <c r="H48" s="61" t="s">
        <v>1669</v>
      </c>
      <c r="I48" s="60">
        <v>30</v>
      </c>
      <c r="J48" s="60">
        <v>16</v>
      </c>
      <c r="K48" s="61" t="s">
        <v>1759</v>
      </c>
      <c r="L48" s="61"/>
      <c r="M48" s="61" t="s">
        <v>1733</v>
      </c>
      <c r="N48" s="61" t="s">
        <v>1760</v>
      </c>
      <c r="O48" s="61" t="s">
        <v>1673</v>
      </c>
      <c r="P48" s="61" t="s">
        <v>1678</v>
      </c>
      <c r="Q48" s="61" t="s">
        <v>1674</v>
      </c>
      <c r="R48" s="60">
        <v>111</v>
      </c>
      <c r="S48" s="61" t="s">
        <v>1675</v>
      </c>
      <c r="T48" s="60">
        <v>10756</v>
      </c>
      <c r="U48" s="60">
        <v>9798</v>
      </c>
      <c r="V48" s="60"/>
      <c r="W48" s="60"/>
      <c r="X48" s="60">
        <v>4972</v>
      </c>
      <c r="Y48" s="60">
        <v>3001</v>
      </c>
      <c r="Z48" s="60">
        <v>3217</v>
      </c>
      <c r="AA48" s="60">
        <v>2446</v>
      </c>
      <c r="AB48" s="60">
        <v>1918</v>
      </c>
      <c r="AC48" s="60">
        <v>1469</v>
      </c>
      <c r="AD48" s="60">
        <v>908</v>
      </c>
      <c r="AE48" s="60">
        <v>692</v>
      </c>
      <c r="AF48" s="60">
        <v>505</v>
      </c>
      <c r="AG48" s="60">
        <v>1426</v>
      </c>
      <c r="AH48" s="60"/>
      <c r="AI48" s="60">
        <v>800</v>
      </c>
      <c r="AJ48" s="60">
        <v>422</v>
      </c>
      <c r="AK48" s="60">
        <v>17168</v>
      </c>
      <c r="AL48" s="60">
        <v>7</v>
      </c>
      <c r="AM48" s="60">
        <v>502</v>
      </c>
      <c r="AN48" s="60">
        <v>26</v>
      </c>
      <c r="AO48" s="60">
        <v>1629</v>
      </c>
      <c r="AP48" s="60">
        <v>468</v>
      </c>
      <c r="AQ48" s="60"/>
      <c r="AR48" s="60"/>
      <c r="AS48" s="60">
        <v>57</v>
      </c>
      <c r="AT48" s="60"/>
      <c r="AU48" s="60"/>
      <c r="AV48" s="60"/>
      <c r="AW48" s="60"/>
      <c r="AX48" s="60"/>
      <c r="AY48" s="60">
        <v>1</v>
      </c>
      <c r="AZ48" s="60">
        <v>546</v>
      </c>
      <c r="BA48" s="60">
        <v>19404</v>
      </c>
      <c r="BB48" s="60">
        <v>78</v>
      </c>
      <c r="BC48" s="60"/>
      <c r="BD48" s="60"/>
      <c r="BE48" s="60">
        <v>10999</v>
      </c>
      <c r="BF48" s="60">
        <v>1810</v>
      </c>
      <c r="BG48" s="60">
        <v>1134</v>
      </c>
      <c r="BH48" s="60">
        <v>3473</v>
      </c>
      <c r="BI48" s="60">
        <v>3138</v>
      </c>
      <c r="BJ48" s="60">
        <v>637</v>
      </c>
      <c r="BK48" s="60">
        <v>60</v>
      </c>
      <c r="BL48" s="60">
        <v>380</v>
      </c>
      <c r="BM48" s="60">
        <v>9</v>
      </c>
      <c r="BN48" s="60">
        <v>1322</v>
      </c>
      <c r="BO48" s="60">
        <v>323</v>
      </c>
      <c r="BP48" s="60">
        <v>1161</v>
      </c>
      <c r="BQ48" s="60">
        <v>660</v>
      </c>
      <c r="BR48" s="60">
        <v>4663</v>
      </c>
      <c r="BS48" s="60">
        <v>627</v>
      </c>
      <c r="BT48" s="60">
        <v>11</v>
      </c>
      <c r="BU48" s="60">
        <v>1100</v>
      </c>
      <c r="BV48" s="60">
        <v>791</v>
      </c>
      <c r="BW48" s="60">
        <v>36</v>
      </c>
      <c r="BX48" s="60">
        <v>582</v>
      </c>
      <c r="BY48" s="60">
        <v>3005</v>
      </c>
      <c r="BZ48" s="60">
        <v>906</v>
      </c>
      <c r="CA48" s="60">
        <v>4281</v>
      </c>
      <c r="CB48" s="60"/>
      <c r="CC48" s="60"/>
      <c r="CD48" s="60">
        <v>1487</v>
      </c>
      <c r="CE48" s="60">
        <v>61</v>
      </c>
      <c r="CF48" s="60">
        <v>131</v>
      </c>
      <c r="CG48" s="60">
        <v>15</v>
      </c>
      <c r="CH48" s="60">
        <v>339</v>
      </c>
      <c r="CI48" s="60">
        <v>10</v>
      </c>
      <c r="CJ48" s="60">
        <v>29</v>
      </c>
      <c r="CK48" s="60">
        <v>320</v>
      </c>
      <c r="CL48" s="60">
        <v>15707</v>
      </c>
      <c r="CM48" s="60">
        <v>1642</v>
      </c>
      <c r="CN48" s="60">
        <v>76</v>
      </c>
      <c r="CO48" s="60">
        <v>501</v>
      </c>
      <c r="CP48" s="60">
        <v>65</v>
      </c>
      <c r="CQ48" s="60">
        <v>155</v>
      </c>
      <c r="CR48" s="60">
        <v>16</v>
      </c>
      <c r="CS48" s="60"/>
      <c r="CT48" s="60">
        <v>20554</v>
      </c>
      <c r="CU48" s="60">
        <v>70</v>
      </c>
      <c r="CV48" s="60">
        <v>13847</v>
      </c>
      <c r="CW48" s="60">
        <v>6637</v>
      </c>
      <c r="CX48" s="60">
        <v>876</v>
      </c>
      <c r="CY48" s="60">
        <v>853</v>
      </c>
      <c r="CZ48" s="60"/>
      <c r="DA48" s="60"/>
      <c r="DB48" s="60">
        <v>65</v>
      </c>
      <c r="DC48" s="60">
        <v>118</v>
      </c>
      <c r="DD48" s="60">
        <v>119</v>
      </c>
      <c r="DE48" s="60">
        <v>180</v>
      </c>
      <c r="DF48" s="60">
        <v>251</v>
      </c>
      <c r="DG48" s="60">
        <v>216</v>
      </c>
      <c r="DH48" s="60">
        <v>268</v>
      </c>
      <c r="DI48" s="60">
        <v>307</v>
      </c>
      <c r="DJ48" s="60">
        <v>94</v>
      </c>
      <c r="DK48" s="60">
        <v>111</v>
      </c>
      <c r="DL48" s="60"/>
      <c r="DM48" s="60">
        <v>144</v>
      </c>
      <c r="DN48" s="60">
        <v>79</v>
      </c>
      <c r="DO48" s="60">
        <v>1248</v>
      </c>
      <c r="DP48" s="60">
        <v>29</v>
      </c>
      <c r="DQ48" s="60"/>
      <c r="DR48" s="60">
        <v>229</v>
      </c>
      <c r="DS48" s="60"/>
      <c r="DT48" s="60">
        <v>59</v>
      </c>
      <c r="DU48" s="60">
        <v>9</v>
      </c>
      <c r="DV48" s="60">
        <v>67</v>
      </c>
      <c r="DW48" s="60">
        <v>13</v>
      </c>
      <c r="DX48" s="60">
        <v>15</v>
      </c>
      <c r="DY48" s="60">
        <v>4</v>
      </c>
      <c r="DZ48" s="60">
        <v>1</v>
      </c>
      <c r="EA48" s="60">
        <v>1260</v>
      </c>
      <c r="EB48" s="60">
        <v>242</v>
      </c>
      <c r="EC48" s="60">
        <v>59</v>
      </c>
      <c r="ED48" s="60">
        <v>0</v>
      </c>
      <c r="EE48" s="60">
        <v>0</v>
      </c>
      <c r="EF48" s="60">
        <v>0</v>
      </c>
      <c r="EG48" s="60">
        <v>0</v>
      </c>
      <c r="EH48" s="60">
        <v>0</v>
      </c>
      <c r="EI48" s="60">
        <v>651</v>
      </c>
      <c r="EJ48" s="60">
        <v>681</v>
      </c>
      <c r="EK48" s="60">
        <v>81</v>
      </c>
      <c r="EL48" s="60">
        <v>147</v>
      </c>
      <c r="EM48" s="60">
        <v>169</v>
      </c>
      <c r="EN48" s="60">
        <v>39</v>
      </c>
      <c r="EO48" s="60">
        <v>48</v>
      </c>
      <c r="EP48" s="60">
        <v>223</v>
      </c>
      <c r="EQ48" s="60">
        <v>2</v>
      </c>
      <c r="ER48" s="60">
        <v>313</v>
      </c>
      <c r="ES48" s="60">
        <v>152</v>
      </c>
      <c r="ET48" s="60">
        <v>182</v>
      </c>
      <c r="EU48" s="60">
        <v>65</v>
      </c>
      <c r="EV48" s="60">
        <v>106</v>
      </c>
      <c r="EW48" s="60">
        <v>32</v>
      </c>
      <c r="EX48" s="60">
        <v>26</v>
      </c>
      <c r="EY48" s="60">
        <v>16</v>
      </c>
      <c r="EZ48" s="60">
        <v>2</v>
      </c>
      <c r="FA48" s="60">
        <v>10</v>
      </c>
      <c r="FB48" s="60">
        <v>331</v>
      </c>
      <c r="FC48" s="60">
        <v>50</v>
      </c>
      <c r="FD48" s="60">
        <v>118</v>
      </c>
      <c r="FE48" s="60"/>
      <c r="FF48" s="60">
        <v>14</v>
      </c>
      <c r="FG48" s="60"/>
      <c r="FH48" s="60">
        <v>59</v>
      </c>
      <c r="FI48" s="60">
        <v>9</v>
      </c>
      <c r="FJ48" s="60">
        <v>46</v>
      </c>
      <c r="FK48" s="60">
        <v>3</v>
      </c>
      <c r="FL48" s="60">
        <v>1</v>
      </c>
      <c r="FM48" s="60">
        <v>90</v>
      </c>
      <c r="FN48" s="60">
        <v>2</v>
      </c>
      <c r="FO48" s="60">
        <v>1476</v>
      </c>
      <c r="FP48" s="60">
        <v>19</v>
      </c>
      <c r="FQ48" s="60">
        <v>1</v>
      </c>
      <c r="FR48" s="60">
        <v>11</v>
      </c>
      <c r="FS48" s="60">
        <v>8</v>
      </c>
      <c r="FT48" s="60">
        <v>2</v>
      </c>
      <c r="FU48" s="60">
        <v>2</v>
      </c>
      <c r="FV48" s="60"/>
      <c r="FW48" s="60"/>
      <c r="FX48" s="60">
        <v>1729</v>
      </c>
      <c r="FY48" s="60">
        <v>5</v>
      </c>
      <c r="FZ48" s="60">
        <v>1106</v>
      </c>
      <c r="GA48" s="60">
        <v>618</v>
      </c>
      <c r="GB48" s="60">
        <v>2011</v>
      </c>
    </row>
    <row r="49" spans="1:184" x14ac:dyDescent="0.3">
      <c r="A49" s="60">
        <v>106150722</v>
      </c>
      <c r="B49" s="61" t="s">
        <v>296</v>
      </c>
      <c r="C49" s="61" t="s">
        <v>1761</v>
      </c>
      <c r="D49" s="61" t="s">
        <v>1762</v>
      </c>
      <c r="E49" s="61" t="s">
        <v>297</v>
      </c>
      <c r="F49" s="60">
        <v>93301</v>
      </c>
      <c r="G49" s="61"/>
      <c r="H49" s="61" t="s">
        <v>1669</v>
      </c>
      <c r="I49" s="60">
        <v>32</v>
      </c>
      <c r="J49" s="60">
        <v>18</v>
      </c>
      <c r="K49" s="61" t="s">
        <v>1763</v>
      </c>
      <c r="L49" s="61"/>
      <c r="M49" s="61" t="s">
        <v>1733</v>
      </c>
      <c r="N49" s="61" t="s">
        <v>1760</v>
      </c>
      <c r="O49" s="61" t="s">
        <v>1673</v>
      </c>
      <c r="P49" s="61" t="s">
        <v>1678</v>
      </c>
      <c r="Q49" s="61" t="s">
        <v>1674</v>
      </c>
      <c r="R49" s="60">
        <v>418</v>
      </c>
      <c r="S49" s="61" t="s">
        <v>1675</v>
      </c>
      <c r="T49" s="60">
        <v>29152</v>
      </c>
      <c r="U49" s="60">
        <v>21492</v>
      </c>
      <c r="V49" s="60"/>
      <c r="W49" s="60"/>
      <c r="X49" s="60">
        <v>12826</v>
      </c>
      <c r="Y49" s="60">
        <v>7052</v>
      </c>
      <c r="Z49" s="60">
        <v>8692</v>
      </c>
      <c r="AA49" s="60">
        <v>5466</v>
      </c>
      <c r="AB49" s="60">
        <v>4176</v>
      </c>
      <c r="AC49" s="60">
        <v>3576</v>
      </c>
      <c r="AD49" s="60">
        <v>1991</v>
      </c>
      <c r="AE49" s="60">
        <v>1209</v>
      </c>
      <c r="AF49" s="60">
        <v>1037</v>
      </c>
      <c r="AG49" s="60">
        <v>4619</v>
      </c>
      <c r="AH49" s="60"/>
      <c r="AI49" s="60">
        <v>450</v>
      </c>
      <c r="AJ49" s="60">
        <v>5416</v>
      </c>
      <c r="AK49" s="60">
        <v>27970</v>
      </c>
      <c r="AL49" s="60">
        <v>72</v>
      </c>
      <c r="AM49" s="60">
        <v>1672</v>
      </c>
      <c r="AN49" s="60">
        <v>40</v>
      </c>
      <c r="AO49" s="60">
        <v>15024</v>
      </c>
      <c r="AP49" s="60">
        <v>262</v>
      </c>
      <c r="AQ49" s="60">
        <v>270</v>
      </c>
      <c r="AR49" s="60">
        <v>128</v>
      </c>
      <c r="AS49" s="60">
        <v>55</v>
      </c>
      <c r="AT49" s="60"/>
      <c r="AU49" s="60">
        <v>3</v>
      </c>
      <c r="AV49" s="60">
        <v>14</v>
      </c>
      <c r="AW49" s="60"/>
      <c r="AX49" s="60"/>
      <c r="AY49" s="60">
        <v>36</v>
      </c>
      <c r="AZ49" s="60">
        <v>5</v>
      </c>
      <c r="BA49" s="60">
        <v>49840</v>
      </c>
      <c r="BB49" s="60">
        <v>31</v>
      </c>
      <c r="BC49" s="60"/>
      <c r="BD49" s="60"/>
      <c r="BE49" s="60">
        <v>31638</v>
      </c>
      <c r="BF49" s="60">
        <v>5314</v>
      </c>
      <c r="BG49" s="60">
        <v>809</v>
      </c>
      <c r="BH49" s="60">
        <v>6274</v>
      </c>
      <c r="BI49" s="60">
        <v>6609</v>
      </c>
      <c r="BJ49" s="60">
        <v>2468</v>
      </c>
      <c r="BK49" s="60">
        <v>164</v>
      </c>
      <c r="BL49" s="60">
        <v>639</v>
      </c>
      <c r="BM49" s="60">
        <v>17</v>
      </c>
      <c r="BN49" s="60">
        <v>2960</v>
      </c>
      <c r="BO49" s="60">
        <v>773</v>
      </c>
      <c r="BP49" s="60">
        <v>2734</v>
      </c>
      <c r="BQ49" s="60">
        <v>1209</v>
      </c>
      <c r="BR49" s="60">
        <v>8252</v>
      </c>
      <c r="BS49" s="60">
        <v>2235</v>
      </c>
      <c r="BT49" s="60">
        <v>37</v>
      </c>
      <c r="BU49" s="60">
        <v>3405</v>
      </c>
      <c r="BV49" s="60">
        <v>1341</v>
      </c>
      <c r="BW49" s="60">
        <v>395</v>
      </c>
      <c r="BX49" s="60">
        <v>732</v>
      </c>
      <c r="BY49" s="60">
        <v>9683</v>
      </c>
      <c r="BZ49" s="60">
        <v>2929</v>
      </c>
      <c r="CA49" s="60">
        <v>10671</v>
      </c>
      <c r="CB49" s="60"/>
      <c r="CC49" s="60"/>
      <c r="CD49" s="60">
        <v>2646</v>
      </c>
      <c r="CE49" s="60">
        <v>107</v>
      </c>
      <c r="CF49" s="60">
        <v>273</v>
      </c>
      <c r="CG49" s="60">
        <v>18</v>
      </c>
      <c r="CH49" s="60">
        <v>586</v>
      </c>
      <c r="CI49" s="60">
        <v>46</v>
      </c>
      <c r="CJ49" s="60">
        <v>290</v>
      </c>
      <c r="CK49" s="60">
        <v>625</v>
      </c>
      <c r="CL49" s="60">
        <v>41235</v>
      </c>
      <c r="CM49" s="60">
        <v>3427</v>
      </c>
      <c r="CN49" s="60">
        <v>202</v>
      </c>
      <c r="CO49" s="60">
        <v>840</v>
      </c>
      <c r="CP49" s="60">
        <v>54</v>
      </c>
      <c r="CQ49" s="60">
        <v>248</v>
      </c>
      <c r="CR49" s="60">
        <v>47</v>
      </c>
      <c r="CS49" s="60"/>
      <c r="CT49" s="60">
        <v>50644</v>
      </c>
      <c r="CU49" s="60">
        <v>57</v>
      </c>
      <c r="CV49" s="60">
        <v>44657</v>
      </c>
      <c r="CW49" s="60">
        <v>5930</v>
      </c>
      <c r="CX49" s="60">
        <v>4360</v>
      </c>
      <c r="CY49" s="60">
        <v>3798</v>
      </c>
      <c r="CZ49" s="60"/>
      <c r="DA49" s="60"/>
      <c r="DB49" s="60">
        <v>304</v>
      </c>
      <c r="DC49" s="60">
        <v>576</v>
      </c>
      <c r="DD49" s="60">
        <v>583</v>
      </c>
      <c r="DE49" s="60">
        <v>905</v>
      </c>
      <c r="DF49" s="60">
        <v>1497</v>
      </c>
      <c r="DG49" s="60">
        <v>1298</v>
      </c>
      <c r="DH49" s="60">
        <v>1133</v>
      </c>
      <c r="DI49" s="60">
        <v>1104</v>
      </c>
      <c r="DJ49" s="60">
        <v>339</v>
      </c>
      <c r="DK49" s="60">
        <v>419</v>
      </c>
      <c r="DL49" s="60"/>
      <c r="DM49" s="60">
        <v>130</v>
      </c>
      <c r="DN49" s="60">
        <v>695</v>
      </c>
      <c r="DO49" s="60">
        <v>2908</v>
      </c>
      <c r="DP49" s="60">
        <v>47</v>
      </c>
      <c r="DQ49" s="60"/>
      <c r="DR49" s="60">
        <v>4361</v>
      </c>
      <c r="DS49" s="60">
        <v>17</v>
      </c>
      <c r="DT49" s="60">
        <v>126</v>
      </c>
      <c r="DU49" s="60">
        <v>151</v>
      </c>
      <c r="DV49" s="60">
        <v>263</v>
      </c>
      <c r="DW49" s="60">
        <v>531</v>
      </c>
      <c r="DX49" s="60">
        <v>363</v>
      </c>
      <c r="DY49" s="60">
        <v>106</v>
      </c>
      <c r="DZ49" s="60">
        <v>38</v>
      </c>
      <c r="EA49" s="60">
        <v>5726</v>
      </c>
      <c r="EB49" s="60">
        <v>649</v>
      </c>
      <c r="EC49" s="60">
        <v>205</v>
      </c>
      <c r="ED49" s="60">
        <v>0</v>
      </c>
      <c r="EE49" s="60">
        <v>0</v>
      </c>
      <c r="EF49" s="60">
        <v>0</v>
      </c>
      <c r="EG49" s="60">
        <v>0</v>
      </c>
      <c r="EH49" s="60">
        <v>0</v>
      </c>
      <c r="EI49" s="60">
        <v>2479</v>
      </c>
      <c r="EJ49" s="60">
        <v>3579</v>
      </c>
      <c r="EK49" s="60">
        <v>172</v>
      </c>
      <c r="EL49" s="60">
        <v>1527</v>
      </c>
      <c r="EM49" s="60">
        <v>401</v>
      </c>
      <c r="EN49" s="60">
        <v>182</v>
      </c>
      <c r="EO49" s="60">
        <v>86</v>
      </c>
      <c r="EP49" s="60">
        <v>1457</v>
      </c>
      <c r="EQ49" s="60">
        <v>10</v>
      </c>
      <c r="ER49" s="60">
        <v>1369</v>
      </c>
      <c r="ES49" s="60">
        <v>568</v>
      </c>
      <c r="ET49" s="60">
        <v>522</v>
      </c>
      <c r="EU49" s="60">
        <v>665</v>
      </c>
      <c r="EV49" s="60">
        <v>645</v>
      </c>
      <c r="EW49" s="60">
        <v>123</v>
      </c>
      <c r="EX49" s="60">
        <v>132</v>
      </c>
      <c r="EY49" s="60">
        <v>188</v>
      </c>
      <c r="EZ49" s="60">
        <v>12</v>
      </c>
      <c r="FA49" s="60">
        <v>51</v>
      </c>
      <c r="FB49" s="60">
        <v>1114</v>
      </c>
      <c r="FC49" s="60">
        <v>214</v>
      </c>
      <c r="FD49" s="60">
        <v>734</v>
      </c>
      <c r="FE49" s="60">
        <v>2</v>
      </c>
      <c r="FF49" s="60">
        <v>84</v>
      </c>
      <c r="FG49" s="60"/>
      <c r="FH49" s="60">
        <v>361</v>
      </c>
      <c r="FI49" s="60">
        <v>66</v>
      </c>
      <c r="FJ49" s="60">
        <v>350</v>
      </c>
      <c r="FK49" s="60">
        <v>5</v>
      </c>
      <c r="FL49" s="60">
        <v>21</v>
      </c>
      <c r="FM49" s="60">
        <v>551</v>
      </c>
      <c r="FN49" s="60">
        <v>33</v>
      </c>
      <c r="FO49" s="60">
        <v>6544</v>
      </c>
      <c r="FP49" s="60">
        <v>103</v>
      </c>
      <c r="FQ49" s="60">
        <v>1</v>
      </c>
      <c r="FR49" s="60">
        <v>17</v>
      </c>
      <c r="FS49" s="60">
        <v>28</v>
      </c>
      <c r="FT49" s="60">
        <v>45</v>
      </c>
      <c r="FU49" s="60">
        <v>32</v>
      </c>
      <c r="FV49" s="60">
        <v>1</v>
      </c>
      <c r="FW49" s="60"/>
      <c r="FX49" s="60">
        <v>8158</v>
      </c>
      <c r="FY49" s="60">
        <v>25</v>
      </c>
      <c r="FZ49" s="60">
        <v>7296</v>
      </c>
      <c r="GA49" s="60">
        <v>837</v>
      </c>
      <c r="GB49" s="60">
        <v>2011</v>
      </c>
    </row>
    <row r="50" spans="1:184" x14ac:dyDescent="0.3">
      <c r="A50" s="60">
        <v>106150736</v>
      </c>
      <c r="B50" s="61" t="s">
        <v>298</v>
      </c>
      <c r="C50" s="61" t="s">
        <v>299</v>
      </c>
      <c r="D50" s="61" t="s">
        <v>300</v>
      </c>
      <c r="E50" s="61" t="s">
        <v>297</v>
      </c>
      <c r="F50" s="60">
        <v>93306</v>
      </c>
      <c r="G50" s="61" t="s">
        <v>143</v>
      </c>
      <c r="H50" s="61" t="s">
        <v>1689</v>
      </c>
      <c r="I50" s="60">
        <v>32</v>
      </c>
      <c r="J50" s="60">
        <v>16</v>
      </c>
      <c r="K50" s="61" t="s">
        <v>1763</v>
      </c>
      <c r="L50" s="61"/>
      <c r="M50" s="61" t="s">
        <v>1733</v>
      </c>
      <c r="N50" s="61" t="s">
        <v>1760</v>
      </c>
      <c r="O50" s="61" t="s">
        <v>1673</v>
      </c>
      <c r="P50" s="61" t="s">
        <v>1690</v>
      </c>
      <c r="Q50" s="61" t="s">
        <v>1674</v>
      </c>
      <c r="R50" s="60">
        <v>197</v>
      </c>
      <c r="S50" s="61" t="s">
        <v>1675</v>
      </c>
      <c r="T50" s="60">
        <v>17001</v>
      </c>
      <c r="U50" s="60">
        <v>19817</v>
      </c>
      <c r="V50" s="60"/>
      <c r="W50" s="60"/>
      <c r="X50" s="60">
        <v>3582</v>
      </c>
      <c r="Y50" s="60">
        <v>3924</v>
      </c>
      <c r="Z50" s="60">
        <v>7875</v>
      </c>
      <c r="AA50" s="60">
        <v>5935</v>
      </c>
      <c r="AB50" s="60">
        <v>6373</v>
      </c>
      <c r="AC50" s="60">
        <v>5375</v>
      </c>
      <c r="AD50" s="60">
        <v>1818</v>
      </c>
      <c r="AE50" s="60">
        <v>401</v>
      </c>
      <c r="AF50" s="60">
        <v>170</v>
      </c>
      <c r="AG50" s="60">
        <v>1365</v>
      </c>
      <c r="AH50" s="60"/>
      <c r="AI50" s="60">
        <v>250</v>
      </c>
      <c r="AJ50" s="60">
        <v>4214</v>
      </c>
      <c r="AK50" s="60">
        <v>5662</v>
      </c>
      <c r="AL50" s="60">
        <v>77</v>
      </c>
      <c r="AM50" s="60">
        <v>14321</v>
      </c>
      <c r="AN50" s="60">
        <v>272</v>
      </c>
      <c r="AO50" s="60">
        <v>12022</v>
      </c>
      <c r="AP50" s="60">
        <v>9</v>
      </c>
      <c r="AQ50" s="60">
        <v>5888</v>
      </c>
      <c r="AR50" s="60"/>
      <c r="AS50" s="60">
        <v>117</v>
      </c>
      <c r="AT50" s="60"/>
      <c r="AU50" s="60">
        <v>11</v>
      </c>
      <c r="AV50" s="60"/>
      <c r="AW50" s="60">
        <v>1</v>
      </c>
      <c r="AX50" s="60">
        <v>1660</v>
      </c>
      <c r="AY50" s="60"/>
      <c r="AZ50" s="60"/>
      <c r="BA50" s="60">
        <v>28869</v>
      </c>
      <c r="BB50" s="60"/>
      <c r="BC50" s="60">
        <v>263</v>
      </c>
      <c r="BD50" s="60"/>
      <c r="BE50" s="60">
        <v>16435</v>
      </c>
      <c r="BF50" s="60">
        <v>1520</v>
      </c>
      <c r="BG50" s="60">
        <v>4087</v>
      </c>
      <c r="BH50" s="60">
        <v>4363</v>
      </c>
      <c r="BI50" s="60">
        <v>10413</v>
      </c>
      <c r="BJ50" s="60">
        <v>1413</v>
      </c>
      <c r="BK50" s="60">
        <v>108</v>
      </c>
      <c r="BL50" s="60">
        <v>655</v>
      </c>
      <c r="BM50" s="60">
        <v>23</v>
      </c>
      <c r="BN50" s="60">
        <v>2079</v>
      </c>
      <c r="BO50" s="60">
        <v>634</v>
      </c>
      <c r="BP50" s="60">
        <v>1715</v>
      </c>
      <c r="BQ50" s="60">
        <v>869</v>
      </c>
      <c r="BR50" s="60">
        <v>7830</v>
      </c>
      <c r="BS50" s="60">
        <v>2496</v>
      </c>
      <c r="BT50" s="60">
        <v>62</v>
      </c>
      <c r="BU50" s="60">
        <v>2000</v>
      </c>
      <c r="BV50" s="60">
        <v>3119</v>
      </c>
      <c r="BW50" s="60">
        <v>158</v>
      </c>
      <c r="BX50" s="60">
        <v>1129</v>
      </c>
      <c r="BY50" s="60">
        <v>3195</v>
      </c>
      <c r="BZ50" s="60">
        <v>2045</v>
      </c>
      <c r="CA50" s="60">
        <v>7286</v>
      </c>
      <c r="CB50" s="60">
        <v>2</v>
      </c>
      <c r="CC50" s="60"/>
      <c r="CD50" s="60">
        <v>1646</v>
      </c>
      <c r="CE50" s="60">
        <v>41</v>
      </c>
      <c r="CF50" s="60">
        <v>132</v>
      </c>
      <c r="CG50" s="60">
        <v>10</v>
      </c>
      <c r="CH50" s="60">
        <v>1300</v>
      </c>
      <c r="CI50" s="60">
        <v>117</v>
      </c>
      <c r="CJ50" s="60">
        <v>260</v>
      </c>
      <c r="CK50" s="60">
        <v>351</v>
      </c>
      <c r="CL50" s="60">
        <v>27664</v>
      </c>
      <c r="CM50" s="60">
        <v>2591</v>
      </c>
      <c r="CN50" s="60">
        <v>178</v>
      </c>
      <c r="CO50" s="60">
        <v>1741</v>
      </c>
      <c r="CP50" s="60">
        <v>435</v>
      </c>
      <c r="CQ50" s="60">
        <v>161</v>
      </c>
      <c r="CR50" s="60">
        <v>191</v>
      </c>
      <c r="CS50" s="60"/>
      <c r="CT50" s="60">
        <v>36818</v>
      </c>
      <c r="CU50" s="60">
        <v>150</v>
      </c>
      <c r="CV50" s="60">
        <v>29505</v>
      </c>
      <c r="CW50" s="60">
        <v>7163</v>
      </c>
      <c r="CX50" s="60">
        <v>2029</v>
      </c>
      <c r="CY50" s="60">
        <v>2890</v>
      </c>
      <c r="CZ50" s="60"/>
      <c r="DA50" s="60"/>
      <c r="DB50" s="60">
        <v>291</v>
      </c>
      <c r="DC50" s="60">
        <v>718</v>
      </c>
      <c r="DD50" s="60">
        <v>663</v>
      </c>
      <c r="DE50" s="60">
        <v>910</v>
      </c>
      <c r="DF50" s="60">
        <v>1070</v>
      </c>
      <c r="DG50" s="60">
        <v>571</v>
      </c>
      <c r="DH50" s="60">
        <v>146</v>
      </c>
      <c r="DI50" s="60">
        <v>105</v>
      </c>
      <c r="DJ50" s="60">
        <v>256</v>
      </c>
      <c r="DK50" s="60">
        <v>189</v>
      </c>
      <c r="DL50" s="60"/>
      <c r="DM50" s="60">
        <v>60</v>
      </c>
      <c r="DN50" s="60">
        <v>455</v>
      </c>
      <c r="DO50" s="60">
        <v>1304</v>
      </c>
      <c r="DP50" s="60">
        <v>107</v>
      </c>
      <c r="DQ50" s="60">
        <v>12</v>
      </c>
      <c r="DR50" s="60">
        <v>2966</v>
      </c>
      <c r="DS50" s="60">
        <v>15</v>
      </c>
      <c r="DT50" s="60">
        <v>110</v>
      </c>
      <c r="DU50" s="60">
        <v>162</v>
      </c>
      <c r="DV50" s="60">
        <v>106</v>
      </c>
      <c r="DW50" s="60">
        <v>15</v>
      </c>
      <c r="DX50" s="60">
        <v>114</v>
      </c>
      <c r="DY50" s="60">
        <v>5</v>
      </c>
      <c r="DZ50" s="60"/>
      <c r="EA50" s="60">
        <v>4156</v>
      </c>
      <c r="EB50" s="60">
        <v>91</v>
      </c>
      <c r="EC50" s="60">
        <v>160</v>
      </c>
      <c r="ED50" s="60">
        <v>0</v>
      </c>
      <c r="EE50" s="60">
        <v>0</v>
      </c>
      <c r="EF50" s="60">
        <v>0</v>
      </c>
      <c r="EG50" s="60">
        <v>0</v>
      </c>
      <c r="EH50" s="60">
        <v>0</v>
      </c>
      <c r="EI50" s="60">
        <v>2862</v>
      </c>
      <c r="EJ50" s="60">
        <v>504</v>
      </c>
      <c r="EK50" s="60">
        <v>279</v>
      </c>
      <c r="EL50" s="60">
        <v>385</v>
      </c>
      <c r="EM50" s="60">
        <v>889</v>
      </c>
      <c r="EN50" s="60">
        <v>84</v>
      </c>
      <c r="EO50" s="60">
        <v>59</v>
      </c>
      <c r="EP50" s="60">
        <v>477</v>
      </c>
      <c r="EQ50" s="60">
        <v>5</v>
      </c>
      <c r="ER50" s="60">
        <v>716</v>
      </c>
      <c r="ES50" s="60">
        <v>256</v>
      </c>
      <c r="ET50" s="60">
        <v>263</v>
      </c>
      <c r="EU50" s="60">
        <v>238</v>
      </c>
      <c r="EV50" s="60">
        <v>1242</v>
      </c>
      <c r="EW50" s="60">
        <v>87</v>
      </c>
      <c r="EX50" s="60">
        <v>134</v>
      </c>
      <c r="EY50" s="60">
        <v>115</v>
      </c>
      <c r="EZ50" s="60">
        <v>10</v>
      </c>
      <c r="FA50" s="60">
        <v>186</v>
      </c>
      <c r="FB50" s="60">
        <v>453</v>
      </c>
      <c r="FC50" s="60">
        <v>204</v>
      </c>
      <c r="FD50" s="60">
        <v>317</v>
      </c>
      <c r="FE50" s="60">
        <v>2</v>
      </c>
      <c r="FF50" s="60">
        <v>71</v>
      </c>
      <c r="FG50" s="60"/>
      <c r="FH50" s="60">
        <v>199</v>
      </c>
      <c r="FI50" s="60">
        <v>20</v>
      </c>
      <c r="FJ50" s="60">
        <v>142</v>
      </c>
      <c r="FK50" s="60">
        <v>214</v>
      </c>
      <c r="FL50" s="60">
        <v>17</v>
      </c>
      <c r="FM50" s="60">
        <v>272</v>
      </c>
      <c r="FN50" s="60">
        <v>30</v>
      </c>
      <c r="FO50" s="60">
        <v>3278</v>
      </c>
      <c r="FP50" s="60">
        <v>105</v>
      </c>
      <c r="FQ50" s="60">
        <v>36</v>
      </c>
      <c r="FR50" s="60">
        <v>488</v>
      </c>
      <c r="FS50" s="60">
        <v>80</v>
      </c>
      <c r="FT50" s="60">
        <v>16</v>
      </c>
      <c r="FU50" s="60">
        <v>19</v>
      </c>
      <c r="FV50" s="60">
        <v>3</v>
      </c>
      <c r="FW50" s="60"/>
      <c r="FX50" s="60">
        <v>4919</v>
      </c>
      <c r="FY50" s="60">
        <v>20</v>
      </c>
      <c r="FZ50" s="60">
        <v>3714</v>
      </c>
      <c r="GA50" s="60">
        <v>1185</v>
      </c>
      <c r="GB50" s="60">
        <v>2011</v>
      </c>
    </row>
    <row r="51" spans="1:184" x14ac:dyDescent="0.3">
      <c r="A51" s="60">
        <v>106150737</v>
      </c>
      <c r="B51" s="61" t="s">
        <v>301</v>
      </c>
      <c r="C51" s="61" t="s">
        <v>302</v>
      </c>
      <c r="D51" s="61" t="s">
        <v>303</v>
      </c>
      <c r="E51" s="61" t="s">
        <v>304</v>
      </c>
      <c r="F51" s="60">
        <v>93240</v>
      </c>
      <c r="G51" s="61"/>
      <c r="H51" s="61" t="s">
        <v>1669</v>
      </c>
      <c r="I51" s="60">
        <v>32</v>
      </c>
      <c r="J51" s="60">
        <v>18</v>
      </c>
      <c r="K51" s="61" t="s">
        <v>1764</v>
      </c>
      <c r="L51" s="61"/>
      <c r="M51" s="61" t="s">
        <v>1733</v>
      </c>
      <c r="N51" s="61" t="s">
        <v>1760</v>
      </c>
      <c r="O51" s="61" t="s">
        <v>1673</v>
      </c>
      <c r="P51" s="61" t="s">
        <v>159</v>
      </c>
      <c r="Q51" s="61" t="s">
        <v>1758</v>
      </c>
      <c r="R51" s="60">
        <v>27</v>
      </c>
      <c r="S51" s="61" t="s">
        <v>1706</v>
      </c>
      <c r="T51" s="60">
        <v>2981</v>
      </c>
      <c r="U51" s="60">
        <v>2730</v>
      </c>
      <c r="V51" s="60"/>
      <c r="W51" s="60"/>
      <c r="X51" s="60">
        <v>441</v>
      </c>
      <c r="Y51" s="60">
        <v>696</v>
      </c>
      <c r="Z51" s="60">
        <v>725</v>
      </c>
      <c r="AA51" s="60">
        <v>620</v>
      </c>
      <c r="AB51" s="60">
        <v>662</v>
      </c>
      <c r="AC51" s="60">
        <v>908</v>
      </c>
      <c r="AD51" s="60">
        <v>591</v>
      </c>
      <c r="AE51" s="60">
        <v>520</v>
      </c>
      <c r="AF51" s="60">
        <v>477</v>
      </c>
      <c r="AG51" s="60">
        <v>71</v>
      </c>
      <c r="AH51" s="60"/>
      <c r="AI51" s="60">
        <v>11</v>
      </c>
      <c r="AJ51" s="60">
        <v>40</v>
      </c>
      <c r="AK51" s="60">
        <v>325</v>
      </c>
      <c r="AL51" s="60">
        <v>38</v>
      </c>
      <c r="AM51" s="60">
        <v>115</v>
      </c>
      <c r="AN51" s="60">
        <v>195</v>
      </c>
      <c r="AO51" s="60">
        <v>4987</v>
      </c>
      <c r="AP51" s="60"/>
      <c r="AQ51" s="60"/>
      <c r="AR51" s="60">
        <v>3</v>
      </c>
      <c r="AS51" s="60"/>
      <c r="AT51" s="60">
        <v>201</v>
      </c>
      <c r="AU51" s="60"/>
      <c r="AV51" s="60"/>
      <c r="AW51" s="60">
        <v>34</v>
      </c>
      <c r="AX51" s="60"/>
      <c r="AY51" s="60"/>
      <c r="AZ51" s="60"/>
      <c r="BA51" s="60">
        <v>5466</v>
      </c>
      <c r="BB51" s="60">
        <v>7</v>
      </c>
      <c r="BC51" s="60"/>
      <c r="BD51" s="60"/>
      <c r="BE51" s="60">
        <v>1865</v>
      </c>
      <c r="BF51" s="60">
        <v>1751</v>
      </c>
      <c r="BG51" s="60">
        <v>200</v>
      </c>
      <c r="BH51" s="60">
        <v>1070</v>
      </c>
      <c r="BI51" s="60">
        <v>825</v>
      </c>
      <c r="BJ51" s="60">
        <v>52</v>
      </c>
      <c r="BK51" s="60">
        <v>20</v>
      </c>
      <c r="BL51" s="60">
        <v>241</v>
      </c>
      <c r="BM51" s="60">
        <v>1</v>
      </c>
      <c r="BN51" s="60">
        <v>367</v>
      </c>
      <c r="BO51" s="60">
        <v>98</v>
      </c>
      <c r="BP51" s="60">
        <v>265</v>
      </c>
      <c r="BQ51" s="60">
        <v>74</v>
      </c>
      <c r="BR51" s="60">
        <v>1736</v>
      </c>
      <c r="BS51" s="60">
        <v>283</v>
      </c>
      <c r="BT51" s="60">
        <v>11</v>
      </c>
      <c r="BU51" s="60">
        <v>309</v>
      </c>
      <c r="BV51" s="60">
        <v>111</v>
      </c>
      <c r="BW51" s="60">
        <v>3</v>
      </c>
      <c r="BX51" s="60">
        <v>126</v>
      </c>
      <c r="BY51" s="60">
        <v>593</v>
      </c>
      <c r="BZ51" s="60">
        <v>261</v>
      </c>
      <c r="CA51" s="60">
        <v>1157</v>
      </c>
      <c r="CB51" s="60"/>
      <c r="CC51" s="60">
        <v>3</v>
      </c>
      <c r="CD51" s="60">
        <v>553</v>
      </c>
      <c r="CE51" s="60">
        <v>25</v>
      </c>
      <c r="CF51" s="60">
        <v>65</v>
      </c>
      <c r="CG51" s="60">
        <v>13</v>
      </c>
      <c r="CH51" s="60">
        <v>83</v>
      </c>
      <c r="CI51" s="60">
        <v>4</v>
      </c>
      <c r="CJ51" s="60">
        <v>19</v>
      </c>
      <c r="CK51" s="60">
        <v>164</v>
      </c>
      <c r="CL51" s="60">
        <v>3665</v>
      </c>
      <c r="CM51" s="60">
        <v>817</v>
      </c>
      <c r="CN51" s="60">
        <v>57</v>
      </c>
      <c r="CO51" s="60">
        <v>143</v>
      </c>
      <c r="CP51" s="60">
        <v>41</v>
      </c>
      <c r="CQ51" s="60">
        <v>49</v>
      </c>
      <c r="CR51" s="60">
        <v>13</v>
      </c>
      <c r="CS51" s="60"/>
      <c r="CT51" s="60">
        <v>5711</v>
      </c>
      <c r="CU51" s="60">
        <v>13</v>
      </c>
      <c r="CV51" s="60">
        <v>5689</v>
      </c>
      <c r="CW51" s="60">
        <v>9</v>
      </c>
      <c r="CX51" s="60">
        <v>390</v>
      </c>
      <c r="CY51" s="60">
        <v>250</v>
      </c>
      <c r="CZ51" s="60"/>
      <c r="DA51" s="60"/>
      <c r="DB51" s="60">
        <v>4</v>
      </c>
      <c r="DC51" s="60">
        <v>17</v>
      </c>
      <c r="DD51" s="60">
        <v>19</v>
      </c>
      <c r="DE51" s="60">
        <v>49</v>
      </c>
      <c r="DF51" s="60">
        <v>100</v>
      </c>
      <c r="DG51" s="60">
        <v>136</v>
      </c>
      <c r="DH51" s="60">
        <v>124</v>
      </c>
      <c r="DI51" s="60">
        <v>191</v>
      </c>
      <c r="DJ51" s="60"/>
      <c r="DK51" s="60"/>
      <c r="DL51" s="60"/>
      <c r="DM51" s="60"/>
      <c r="DN51" s="60"/>
      <c r="DO51" s="60">
        <v>16</v>
      </c>
      <c r="DP51" s="60">
        <v>5</v>
      </c>
      <c r="DQ51" s="60">
        <v>21</v>
      </c>
      <c r="DR51" s="60">
        <v>596</v>
      </c>
      <c r="DS51" s="60">
        <v>2</v>
      </c>
      <c r="DT51" s="60">
        <v>49</v>
      </c>
      <c r="DU51" s="60">
        <v>37</v>
      </c>
      <c r="DV51" s="60">
        <v>9</v>
      </c>
      <c r="DW51" s="60">
        <v>5</v>
      </c>
      <c r="DX51" s="60"/>
      <c r="DY51" s="60"/>
      <c r="DZ51" s="60">
        <v>7</v>
      </c>
      <c r="EA51" s="60">
        <v>422</v>
      </c>
      <c r="EB51" s="60">
        <v>111</v>
      </c>
      <c r="EC51" s="60"/>
      <c r="ED51" s="60">
        <v>0</v>
      </c>
      <c r="EE51" s="60">
        <v>0</v>
      </c>
      <c r="EF51" s="60">
        <v>0</v>
      </c>
      <c r="EG51" s="60">
        <v>0</v>
      </c>
      <c r="EH51" s="60">
        <v>0</v>
      </c>
      <c r="EI51" s="60">
        <v>109</v>
      </c>
      <c r="EJ51" s="60">
        <v>421</v>
      </c>
      <c r="EK51" s="60">
        <v>39</v>
      </c>
      <c r="EL51" s="60">
        <v>13</v>
      </c>
      <c r="EM51" s="60">
        <v>58</v>
      </c>
      <c r="EN51" s="60">
        <v>3</v>
      </c>
      <c r="EO51" s="60">
        <v>12</v>
      </c>
      <c r="EP51" s="60">
        <v>107</v>
      </c>
      <c r="EQ51" s="60"/>
      <c r="ER51" s="60">
        <v>84</v>
      </c>
      <c r="ES51" s="60">
        <v>39</v>
      </c>
      <c r="ET51" s="60">
        <v>33</v>
      </c>
      <c r="EU51" s="60">
        <v>91</v>
      </c>
      <c r="EV51" s="60">
        <v>18</v>
      </c>
      <c r="EW51" s="60">
        <v>20</v>
      </c>
      <c r="EX51" s="60">
        <v>3</v>
      </c>
      <c r="EY51" s="60">
        <v>10</v>
      </c>
      <c r="EZ51" s="60"/>
      <c r="FA51" s="60">
        <v>1</v>
      </c>
      <c r="FB51" s="60">
        <v>149</v>
      </c>
      <c r="FC51" s="60">
        <v>31</v>
      </c>
      <c r="FD51" s="60">
        <v>39</v>
      </c>
      <c r="FE51" s="60"/>
      <c r="FF51" s="60"/>
      <c r="FG51" s="60"/>
      <c r="FH51" s="60">
        <v>26</v>
      </c>
      <c r="FI51" s="60">
        <v>10</v>
      </c>
      <c r="FJ51" s="60">
        <v>64</v>
      </c>
      <c r="FK51" s="60"/>
      <c r="FL51" s="60"/>
      <c r="FM51" s="60">
        <v>3</v>
      </c>
      <c r="FN51" s="60">
        <v>3</v>
      </c>
      <c r="FO51" s="60">
        <v>522</v>
      </c>
      <c r="FP51" s="60">
        <v>7</v>
      </c>
      <c r="FQ51" s="60">
        <v>1</v>
      </c>
      <c r="FR51" s="60">
        <v>1</v>
      </c>
      <c r="FS51" s="60"/>
      <c r="FT51" s="60">
        <v>3</v>
      </c>
      <c r="FU51" s="60"/>
      <c r="FV51" s="60"/>
      <c r="FW51" s="60"/>
      <c r="FX51" s="60">
        <v>640</v>
      </c>
      <c r="FY51" s="60">
        <v>3</v>
      </c>
      <c r="FZ51" s="60">
        <v>637</v>
      </c>
      <c r="GA51" s="60"/>
      <c r="GB51" s="60">
        <v>2011</v>
      </c>
    </row>
    <row r="52" spans="1:184" x14ac:dyDescent="0.3">
      <c r="A52" s="60">
        <v>106150761</v>
      </c>
      <c r="B52" s="61" t="s">
        <v>305</v>
      </c>
      <c r="C52" s="61" t="s">
        <v>306</v>
      </c>
      <c r="D52" s="61" t="s">
        <v>307</v>
      </c>
      <c r="E52" s="61" t="s">
        <v>297</v>
      </c>
      <c r="F52" s="60">
        <v>93301</v>
      </c>
      <c r="G52" s="61"/>
      <c r="H52" s="61" t="s">
        <v>1669</v>
      </c>
      <c r="I52" s="60">
        <v>32</v>
      </c>
      <c r="J52" s="60">
        <v>18</v>
      </c>
      <c r="K52" s="61" t="s">
        <v>1765</v>
      </c>
      <c r="L52" s="61"/>
      <c r="M52" s="61" t="s">
        <v>1733</v>
      </c>
      <c r="N52" s="61" t="s">
        <v>1760</v>
      </c>
      <c r="O52" s="61" t="s">
        <v>1673</v>
      </c>
      <c r="P52" s="61" t="s">
        <v>1678</v>
      </c>
      <c r="Q52" s="61" t="s">
        <v>1674</v>
      </c>
      <c r="R52" s="60">
        <v>144</v>
      </c>
      <c r="S52" s="61" t="s">
        <v>1675</v>
      </c>
      <c r="T52" s="60">
        <v>30729</v>
      </c>
      <c r="U52" s="60">
        <v>24409</v>
      </c>
      <c r="V52" s="60"/>
      <c r="W52" s="60"/>
      <c r="X52" s="60">
        <v>8997</v>
      </c>
      <c r="Y52" s="60">
        <v>7677</v>
      </c>
      <c r="Z52" s="60">
        <v>10673</v>
      </c>
      <c r="AA52" s="60">
        <v>7691</v>
      </c>
      <c r="AB52" s="60">
        <v>6183</v>
      </c>
      <c r="AC52" s="60">
        <v>5220</v>
      </c>
      <c r="AD52" s="60">
        <v>2997</v>
      </c>
      <c r="AE52" s="60">
        <v>1657</v>
      </c>
      <c r="AF52" s="60">
        <v>1655</v>
      </c>
      <c r="AG52" s="60">
        <v>2388</v>
      </c>
      <c r="AH52" s="60"/>
      <c r="AI52" s="60">
        <v>1082</v>
      </c>
      <c r="AJ52" s="60">
        <v>6411</v>
      </c>
      <c r="AK52" s="60">
        <v>21576</v>
      </c>
      <c r="AL52" s="60">
        <v>92</v>
      </c>
      <c r="AM52" s="60">
        <v>905</v>
      </c>
      <c r="AN52" s="60">
        <v>155</v>
      </c>
      <c r="AO52" s="60">
        <v>24917</v>
      </c>
      <c r="AP52" s="60">
        <v>823</v>
      </c>
      <c r="AQ52" s="60">
        <v>438</v>
      </c>
      <c r="AR52" s="60">
        <v>83</v>
      </c>
      <c r="AS52" s="60">
        <v>155</v>
      </c>
      <c r="AT52" s="60">
        <v>3</v>
      </c>
      <c r="AU52" s="60">
        <v>5</v>
      </c>
      <c r="AV52" s="60">
        <v>12</v>
      </c>
      <c r="AW52" s="60"/>
      <c r="AX52" s="60"/>
      <c r="AY52" s="60">
        <v>144</v>
      </c>
      <c r="AZ52" s="60">
        <v>21</v>
      </c>
      <c r="BA52" s="60">
        <v>53424</v>
      </c>
      <c r="BB52" s="60">
        <v>30</v>
      </c>
      <c r="BC52" s="60"/>
      <c r="BD52" s="60"/>
      <c r="BE52" s="60">
        <v>20067</v>
      </c>
      <c r="BF52" s="60">
        <v>7821</v>
      </c>
      <c r="BG52" s="60">
        <v>1568</v>
      </c>
      <c r="BH52" s="60">
        <v>15975</v>
      </c>
      <c r="BI52" s="60">
        <v>9707</v>
      </c>
      <c r="BJ52" s="60">
        <v>1935</v>
      </c>
      <c r="BK52" s="60">
        <v>224</v>
      </c>
      <c r="BL52" s="60">
        <v>773</v>
      </c>
      <c r="BM52" s="60">
        <v>21</v>
      </c>
      <c r="BN52" s="60">
        <v>3325</v>
      </c>
      <c r="BO52" s="60">
        <v>1143</v>
      </c>
      <c r="BP52" s="60">
        <v>3413</v>
      </c>
      <c r="BQ52" s="60">
        <v>1689</v>
      </c>
      <c r="BR52" s="60">
        <v>13137</v>
      </c>
      <c r="BS52" s="60">
        <v>2618</v>
      </c>
      <c r="BT52" s="60">
        <v>48</v>
      </c>
      <c r="BU52" s="60">
        <v>4694</v>
      </c>
      <c r="BV52" s="60">
        <v>1420</v>
      </c>
      <c r="BW52" s="60">
        <v>180</v>
      </c>
      <c r="BX52" s="60">
        <v>1326</v>
      </c>
      <c r="BY52" s="60">
        <v>7482</v>
      </c>
      <c r="BZ52" s="60">
        <v>2888</v>
      </c>
      <c r="CA52" s="60">
        <v>8819</v>
      </c>
      <c r="CB52" s="60"/>
      <c r="CC52" s="60">
        <v>3</v>
      </c>
      <c r="CD52" s="60">
        <v>3841</v>
      </c>
      <c r="CE52" s="60">
        <v>326</v>
      </c>
      <c r="CF52" s="60">
        <v>566</v>
      </c>
      <c r="CG52" s="60">
        <v>16</v>
      </c>
      <c r="CH52" s="60">
        <v>838</v>
      </c>
      <c r="CI52" s="60">
        <v>102</v>
      </c>
      <c r="CJ52" s="60">
        <v>456</v>
      </c>
      <c r="CK52" s="60">
        <v>599</v>
      </c>
      <c r="CL52" s="60">
        <v>40545</v>
      </c>
      <c r="CM52" s="60">
        <v>5373</v>
      </c>
      <c r="CN52" s="60">
        <v>286</v>
      </c>
      <c r="CO52" s="60">
        <v>1536</v>
      </c>
      <c r="CP52" s="60">
        <v>285</v>
      </c>
      <c r="CQ52" s="60">
        <v>323</v>
      </c>
      <c r="CR52" s="60">
        <v>46</v>
      </c>
      <c r="CS52" s="60"/>
      <c r="CT52" s="60">
        <v>55138</v>
      </c>
      <c r="CU52" s="60">
        <v>212</v>
      </c>
      <c r="CV52" s="60">
        <v>50578</v>
      </c>
      <c r="CW52" s="60">
        <v>4348</v>
      </c>
      <c r="CX52" s="60">
        <v>3830</v>
      </c>
      <c r="CY52" s="60">
        <v>4197</v>
      </c>
      <c r="CZ52" s="60"/>
      <c r="DA52" s="60"/>
      <c r="DB52" s="60">
        <v>210</v>
      </c>
      <c r="DC52" s="60">
        <v>812</v>
      </c>
      <c r="DD52" s="60">
        <v>918</v>
      </c>
      <c r="DE52" s="60">
        <v>1226</v>
      </c>
      <c r="DF52" s="60">
        <v>1512</v>
      </c>
      <c r="DG52" s="60">
        <v>1307</v>
      </c>
      <c r="DH52" s="60">
        <v>898</v>
      </c>
      <c r="DI52" s="60">
        <v>1133</v>
      </c>
      <c r="DJ52" s="60">
        <v>6</v>
      </c>
      <c r="DK52" s="60">
        <v>5</v>
      </c>
      <c r="DL52" s="60"/>
      <c r="DM52" s="60">
        <v>194</v>
      </c>
      <c r="DN52" s="60">
        <v>827</v>
      </c>
      <c r="DO52" s="60">
        <v>2315</v>
      </c>
      <c r="DP52" s="60">
        <v>88</v>
      </c>
      <c r="DQ52" s="60"/>
      <c r="DR52" s="60">
        <v>4549</v>
      </c>
      <c r="DS52" s="60">
        <v>54</v>
      </c>
      <c r="DT52" s="60">
        <v>202</v>
      </c>
      <c r="DU52" s="60">
        <v>154</v>
      </c>
      <c r="DV52" s="60">
        <v>267</v>
      </c>
      <c r="DW52" s="60">
        <v>405</v>
      </c>
      <c r="DX52" s="60">
        <v>298</v>
      </c>
      <c r="DY52" s="60">
        <v>142</v>
      </c>
      <c r="DZ52" s="60">
        <v>11</v>
      </c>
      <c r="EA52" s="60">
        <v>4551</v>
      </c>
      <c r="EB52" s="60">
        <v>864</v>
      </c>
      <c r="EC52" s="60">
        <v>1133</v>
      </c>
      <c r="ED52" s="60">
        <v>0</v>
      </c>
      <c r="EE52" s="60">
        <v>0</v>
      </c>
      <c r="EF52" s="60">
        <v>0</v>
      </c>
      <c r="EG52" s="60">
        <v>0</v>
      </c>
      <c r="EH52" s="60">
        <v>0</v>
      </c>
      <c r="EI52" s="60">
        <v>1295</v>
      </c>
      <c r="EJ52" s="60">
        <v>3007</v>
      </c>
      <c r="EK52" s="60">
        <v>176</v>
      </c>
      <c r="EL52" s="60">
        <v>2944</v>
      </c>
      <c r="EM52" s="60">
        <v>605</v>
      </c>
      <c r="EN52" s="60">
        <v>120</v>
      </c>
      <c r="EO52" s="60">
        <v>137</v>
      </c>
      <c r="EP52" s="60">
        <v>877</v>
      </c>
      <c r="EQ52" s="60">
        <v>9</v>
      </c>
      <c r="ER52" s="60">
        <v>1525</v>
      </c>
      <c r="ES52" s="60">
        <v>408</v>
      </c>
      <c r="ET52" s="60">
        <v>590</v>
      </c>
      <c r="EU52" s="60">
        <v>690</v>
      </c>
      <c r="EV52" s="60">
        <v>1123</v>
      </c>
      <c r="EW52" s="60">
        <v>173</v>
      </c>
      <c r="EX52" s="60">
        <v>162</v>
      </c>
      <c r="EY52" s="60">
        <v>348</v>
      </c>
      <c r="EZ52" s="60">
        <v>12</v>
      </c>
      <c r="FA52" s="60">
        <v>123</v>
      </c>
      <c r="FB52" s="60">
        <v>959</v>
      </c>
      <c r="FC52" s="60">
        <v>293</v>
      </c>
      <c r="FD52" s="60">
        <v>475</v>
      </c>
      <c r="FE52" s="60">
        <v>3</v>
      </c>
      <c r="FF52" s="60"/>
      <c r="FG52" s="60"/>
      <c r="FH52" s="60">
        <v>473</v>
      </c>
      <c r="FI52" s="60">
        <v>101</v>
      </c>
      <c r="FJ52" s="60">
        <v>471</v>
      </c>
      <c r="FK52" s="60">
        <v>104</v>
      </c>
      <c r="FL52" s="60">
        <v>49</v>
      </c>
      <c r="FM52" s="60">
        <v>614</v>
      </c>
      <c r="FN52" s="60">
        <v>29</v>
      </c>
      <c r="FO52" s="60">
        <v>5865</v>
      </c>
      <c r="FP52" s="60">
        <v>107</v>
      </c>
      <c r="FQ52" s="60">
        <v>11</v>
      </c>
      <c r="FR52" s="60">
        <v>41</v>
      </c>
      <c r="FS52" s="60">
        <v>97</v>
      </c>
      <c r="FT52" s="60">
        <v>45</v>
      </c>
      <c r="FU52" s="60">
        <v>13</v>
      </c>
      <c r="FV52" s="60">
        <v>7</v>
      </c>
      <c r="FW52" s="60"/>
      <c r="FX52" s="60">
        <v>8027</v>
      </c>
      <c r="FY52" s="60">
        <v>80</v>
      </c>
      <c r="FZ52" s="60">
        <v>7302</v>
      </c>
      <c r="GA52" s="60">
        <v>645</v>
      </c>
      <c r="GB52" s="60">
        <v>2011</v>
      </c>
    </row>
    <row r="53" spans="1:184" x14ac:dyDescent="0.3">
      <c r="A53" s="60">
        <v>106150782</v>
      </c>
      <c r="B53" s="61" t="s">
        <v>308</v>
      </c>
      <c r="C53" s="61" t="s">
        <v>309</v>
      </c>
      <c r="D53" s="61" t="s">
        <v>310</v>
      </c>
      <c r="E53" s="61" t="s">
        <v>311</v>
      </c>
      <c r="F53" s="60">
        <v>93555</v>
      </c>
      <c r="G53" s="61"/>
      <c r="H53" s="61" t="s">
        <v>1669</v>
      </c>
      <c r="I53" s="60">
        <v>32</v>
      </c>
      <c r="J53" s="60">
        <v>18</v>
      </c>
      <c r="K53" s="61" t="s">
        <v>1766</v>
      </c>
      <c r="L53" s="61"/>
      <c r="M53" s="61" t="s">
        <v>1733</v>
      </c>
      <c r="N53" s="61" t="s">
        <v>1760</v>
      </c>
      <c r="O53" s="61" t="s">
        <v>1673</v>
      </c>
      <c r="P53" s="61" t="s">
        <v>1678</v>
      </c>
      <c r="Q53" s="61" t="s">
        <v>1674</v>
      </c>
      <c r="R53" s="60">
        <v>98</v>
      </c>
      <c r="S53" s="61" t="s">
        <v>1675</v>
      </c>
      <c r="T53" s="60">
        <v>7969</v>
      </c>
      <c r="U53" s="60">
        <v>6403</v>
      </c>
      <c r="V53" s="60"/>
      <c r="W53" s="60"/>
      <c r="X53" s="60">
        <v>1640</v>
      </c>
      <c r="Y53" s="60">
        <v>1623</v>
      </c>
      <c r="Z53" s="60">
        <v>2423</v>
      </c>
      <c r="AA53" s="60">
        <v>1786</v>
      </c>
      <c r="AB53" s="60">
        <v>1882</v>
      </c>
      <c r="AC53" s="60">
        <v>1759</v>
      </c>
      <c r="AD53" s="60">
        <v>1128</v>
      </c>
      <c r="AE53" s="60">
        <v>891</v>
      </c>
      <c r="AF53" s="60">
        <v>831</v>
      </c>
      <c r="AG53" s="60">
        <v>409</v>
      </c>
      <c r="AH53" s="60"/>
      <c r="AI53" s="60">
        <v>219</v>
      </c>
      <c r="AJ53" s="60">
        <v>925</v>
      </c>
      <c r="AK53" s="60">
        <v>1857</v>
      </c>
      <c r="AL53" s="60">
        <v>9</v>
      </c>
      <c r="AM53" s="60">
        <v>242</v>
      </c>
      <c r="AN53" s="60">
        <v>197</v>
      </c>
      <c r="AO53" s="60">
        <v>10923</v>
      </c>
      <c r="AP53" s="60">
        <v>456</v>
      </c>
      <c r="AQ53" s="60">
        <v>157</v>
      </c>
      <c r="AR53" s="60"/>
      <c r="AS53" s="60">
        <v>36</v>
      </c>
      <c r="AT53" s="60">
        <v>3</v>
      </c>
      <c r="AU53" s="60">
        <v>3</v>
      </c>
      <c r="AV53" s="60"/>
      <c r="AW53" s="60">
        <v>1</v>
      </c>
      <c r="AX53" s="60">
        <v>74</v>
      </c>
      <c r="AY53" s="60">
        <v>16</v>
      </c>
      <c r="AZ53" s="60"/>
      <c r="BA53" s="60">
        <v>13580</v>
      </c>
      <c r="BB53" s="60">
        <v>40</v>
      </c>
      <c r="BC53" s="60">
        <v>6</v>
      </c>
      <c r="BD53" s="60"/>
      <c r="BE53" s="60">
        <v>4186</v>
      </c>
      <c r="BF53" s="60">
        <v>2827</v>
      </c>
      <c r="BG53" s="60">
        <v>1716</v>
      </c>
      <c r="BH53" s="60">
        <v>3487</v>
      </c>
      <c r="BI53" s="60">
        <v>2156</v>
      </c>
      <c r="BJ53" s="60">
        <v>270</v>
      </c>
      <c r="BK53" s="60">
        <v>60</v>
      </c>
      <c r="BL53" s="60">
        <v>612</v>
      </c>
      <c r="BM53" s="60">
        <v>6</v>
      </c>
      <c r="BN53" s="60">
        <v>894</v>
      </c>
      <c r="BO53" s="60">
        <v>220</v>
      </c>
      <c r="BP53" s="60">
        <v>872</v>
      </c>
      <c r="BQ53" s="60">
        <v>254</v>
      </c>
      <c r="BR53" s="60">
        <v>3248</v>
      </c>
      <c r="BS53" s="60">
        <v>776</v>
      </c>
      <c r="BT53" s="60">
        <v>19</v>
      </c>
      <c r="BU53" s="60">
        <v>763</v>
      </c>
      <c r="BV53" s="60">
        <v>1701</v>
      </c>
      <c r="BW53" s="60">
        <v>15</v>
      </c>
      <c r="BX53" s="60">
        <v>341</v>
      </c>
      <c r="BY53" s="60">
        <v>1420</v>
      </c>
      <c r="BZ53" s="60">
        <v>567</v>
      </c>
      <c r="CA53" s="60">
        <v>2333</v>
      </c>
      <c r="CB53" s="60"/>
      <c r="CC53" s="60">
        <v>1</v>
      </c>
      <c r="CD53" s="60">
        <v>1049</v>
      </c>
      <c r="CE53" s="60">
        <v>59</v>
      </c>
      <c r="CF53" s="60">
        <v>163</v>
      </c>
      <c r="CG53" s="60">
        <v>14</v>
      </c>
      <c r="CH53" s="60">
        <v>157</v>
      </c>
      <c r="CI53" s="60">
        <v>3</v>
      </c>
      <c r="CJ53" s="60">
        <v>132</v>
      </c>
      <c r="CK53" s="60">
        <v>169</v>
      </c>
      <c r="CL53" s="60">
        <v>10573</v>
      </c>
      <c r="CM53" s="60">
        <v>1377</v>
      </c>
      <c r="CN53" s="60">
        <v>70</v>
      </c>
      <c r="CO53" s="60">
        <v>446</v>
      </c>
      <c r="CP53" s="60">
        <v>44</v>
      </c>
      <c r="CQ53" s="60">
        <v>98</v>
      </c>
      <c r="CR53" s="60">
        <v>18</v>
      </c>
      <c r="CS53" s="60"/>
      <c r="CT53" s="60">
        <v>14372</v>
      </c>
      <c r="CU53" s="60">
        <v>42</v>
      </c>
      <c r="CV53" s="60">
        <v>13929</v>
      </c>
      <c r="CW53" s="60">
        <v>401</v>
      </c>
      <c r="CX53" s="60">
        <v>779</v>
      </c>
      <c r="CY53" s="60">
        <v>654</v>
      </c>
      <c r="CZ53" s="60"/>
      <c r="DA53" s="60"/>
      <c r="DB53" s="60">
        <v>43</v>
      </c>
      <c r="DC53" s="60">
        <v>108</v>
      </c>
      <c r="DD53" s="60">
        <v>91</v>
      </c>
      <c r="DE53" s="60">
        <v>141</v>
      </c>
      <c r="DF53" s="60">
        <v>210</v>
      </c>
      <c r="DG53" s="60">
        <v>219</v>
      </c>
      <c r="DH53" s="60">
        <v>260</v>
      </c>
      <c r="DI53" s="60">
        <v>262</v>
      </c>
      <c r="DJ53" s="60">
        <v>32</v>
      </c>
      <c r="DK53" s="60">
        <v>67</v>
      </c>
      <c r="DL53" s="60"/>
      <c r="DM53" s="60">
        <v>19</v>
      </c>
      <c r="DN53" s="60">
        <v>58</v>
      </c>
      <c r="DO53" s="60">
        <v>133</v>
      </c>
      <c r="DP53" s="60">
        <v>25</v>
      </c>
      <c r="DQ53" s="60">
        <v>8</v>
      </c>
      <c r="DR53" s="60">
        <v>1180</v>
      </c>
      <c r="DS53" s="60">
        <v>10</v>
      </c>
      <c r="DT53" s="60">
        <v>116</v>
      </c>
      <c r="DU53" s="60">
        <v>16</v>
      </c>
      <c r="DV53" s="60">
        <v>57</v>
      </c>
      <c r="DW53" s="60">
        <v>107</v>
      </c>
      <c r="DX53" s="60">
        <v>7</v>
      </c>
      <c r="DY53" s="60"/>
      <c r="DZ53" s="60"/>
      <c r="EA53" s="60">
        <v>1007</v>
      </c>
      <c r="EB53" s="60">
        <v>122</v>
      </c>
      <c r="EC53" s="60">
        <v>1</v>
      </c>
      <c r="ED53" s="60">
        <v>0</v>
      </c>
      <c r="EE53" s="60">
        <v>0</v>
      </c>
      <c r="EF53" s="60">
        <v>0</v>
      </c>
      <c r="EG53" s="60">
        <v>0</v>
      </c>
      <c r="EH53" s="60">
        <v>0</v>
      </c>
      <c r="EI53" s="60">
        <v>283</v>
      </c>
      <c r="EJ53" s="60">
        <v>680</v>
      </c>
      <c r="EK53" s="60">
        <v>44</v>
      </c>
      <c r="EL53" s="60">
        <v>335</v>
      </c>
      <c r="EM53" s="60">
        <v>91</v>
      </c>
      <c r="EN53" s="60">
        <v>40</v>
      </c>
      <c r="EO53" s="60">
        <v>24</v>
      </c>
      <c r="EP53" s="60">
        <v>184</v>
      </c>
      <c r="EQ53" s="60">
        <v>2</v>
      </c>
      <c r="ER53" s="60">
        <v>328</v>
      </c>
      <c r="ES53" s="60">
        <v>85</v>
      </c>
      <c r="ET53" s="60">
        <v>50</v>
      </c>
      <c r="EU53" s="60">
        <v>135</v>
      </c>
      <c r="EV53" s="60">
        <v>115</v>
      </c>
      <c r="EW53" s="60">
        <v>15</v>
      </c>
      <c r="EX53" s="60">
        <v>27</v>
      </c>
      <c r="EY53" s="60">
        <v>11</v>
      </c>
      <c r="EZ53" s="60">
        <v>1</v>
      </c>
      <c r="FA53" s="60">
        <v>11</v>
      </c>
      <c r="FB53" s="60">
        <v>278</v>
      </c>
      <c r="FC53" s="60">
        <v>80</v>
      </c>
      <c r="FD53" s="60">
        <v>45</v>
      </c>
      <c r="FE53" s="60">
        <v>1</v>
      </c>
      <c r="FF53" s="60">
        <v>1</v>
      </c>
      <c r="FG53" s="60"/>
      <c r="FH53" s="60">
        <v>50</v>
      </c>
      <c r="FI53" s="60">
        <v>20</v>
      </c>
      <c r="FJ53" s="60">
        <v>78</v>
      </c>
      <c r="FK53" s="60"/>
      <c r="FL53" s="60"/>
      <c r="FM53" s="60">
        <v>55</v>
      </c>
      <c r="FN53" s="60">
        <v>16</v>
      </c>
      <c r="FO53" s="60">
        <v>1145</v>
      </c>
      <c r="FP53" s="60">
        <v>14</v>
      </c>
      <c r="FQ53" s="60">
        <v>2</v>
      </c>
      <c r="FR53" s="60">
        <v>32</v>
      </c>
      <c r="FS53" s="60">
        <v>13</v>
      </c>
      <c r="FT53" s="60">
        <v>4</v>
      </c>
      <c r="FU53" s="60">
        <v>3</v>
      </c>
      <c r="FV53" s="60">
        <v>1</v>
      </c>
      <c r="FW53" s="60"/>
      <c r="FX53" s="60">
        <v>1433</v>
      </c>
      <c r="FY53" s="60">
        <v>7</v>
      </c>
      <c r="FZ53" s="60">
        <v>1381</v>
      </c>
      <c r="GA53" s="60">
        <v>45</v>
      </c>
      <c r="GB53" s="60">
        <v>2011</v>
      </c>
    </row>
    <row r="54" spans="1:184" x14ac:dyDescent="0.3">
      <c r="A54" s="60">
        <v>106150788</v>
      </c>
      <c r="B54" s="61" t="s">
        <v>312</v>
      </c>
      <c r="C54" s="61" t="s">
        <v>313</v>
      </c>
      <c r="D54" s="61" t="s">
        <v>314</v>
      </c>
      <c r="E54" s="61" t="s">
        <v>297</v>
      </c>
      <c r="F54" s="60">
        <v>93301</v>
      </c>
      <c r="G54" s="61"/>
      <c r="H54" s="61" t="s">
        <v>1669</v>
      </c>
      <c r="I54" s="60">
        <v>32</v>
      </c>
      <c r="J54" s="60">
        <v>18</v>
      </c>
      <c r="K54" s="61" t="s">
        <v>1763</v>
      </c>
      <c r="L54" s="61"/>
      <c r="M54" s="61" t="s">
        <v>1733</v>
      </c>
      <c r="N54" s="61" t="s">
        <v>1760</v>
      </c>
      <c r="O54" s="61" t="s">
        <v>1673</v>
      </c>
      <c r="P54" s="61" t="s">
        <v>1678</v>
      </c>
      <c r="Q54" s="61" t="s">
        <v>1674</v>
      </c>
      <c r="R54" s="60">
        <v>255</v>
      </c>
      <c r="S54" s="61" t="s">
        <v>1675</v>
      </c>
      <c r="T54" s="60">
        <v>29045</v>
      </c>
      <c r="U54" s="60">
        <v>21777</v>
      </c>
      <c r="V54" s="60"/>
      <c r="W54" s="60"/>
      <c r="X54" s="60">
        <v>8839</v>
      </c>
      <c r="Y54" s="60">
        <v>6361</v>
      </c>
      <c r="Z54" s="60">
        <v>9231</v>
      </c>
      <c r="AA54" s="60">
        <v>6513</v>
      </c>
      <c r="AB54" s="60">
        <v>6052</v>
      </c>
      <c r="AC54" s="60">
        <v>4867</v>
      </c>
      <c r="AD54" s="60">
        <v>2929</v>
      </c>
      <c r="AE54" s="60">
        <v>1985</v>
      </c>
      <c r="AF54" s="60">
        <v>1377</v>
      </c>
      <c r="AG54" s="60">
        <v>2662</v>
      </c>
      <c r="AH54" s="60">
        <v>6</v>
      </c>
      <c r="AI54" s="60">
        <v>419</v>
      </c>
      <c r="AJ54" s="60">
        <v>6154</v>
      </c>
      <c r="AK54" s="60">
        <v>23636</v>
      </c>
      <c r="AL54" s="60">
        <v>80</v>
      </c>
      <c r="AM54" s="60">
        <v>873</v>
      </c>
      <c r="AN54" s="60">
        <v>583</v>
      </c>
      <c r="AO54" s="60">
        <v>19077</v>
      </c>
      <c r="AP54" s="60">
        <v>629</v>
      </c>
      <c r="AQ54" s="60">
        <v>1996</v>
      </c>
      <c r="AR54" s="60">
        <v>60</v>
      </c>
      <c r="AS54" s="60">
        <v>57</v>
      </c>
      <c r="AT54" s="60">
        <v>117</v>
      </c>
      <c r="AU54" s="60">
        <v>19</v>
      </c>
      <c r="AV54" s="60">
        <v>6</v>
      </c>
      <c r="AW54" s="60">
        <v>7</v>
      </c>
      <c r="AX54" s="60">
        <v>174</v>
      </c>
      <c r="AY54" s="60">
        <v>59</v>
      </c>
      <c r="AZ54" s="60">
        <v>29</v>
      </c>
      <c r="BA54" s="60">
        <v>47306</v>
      </c>
      <c r="BB54" s="60">
        <v>233</v>
      </c>
      <c r="BC54" s="60">
        <v>128</v>
      </c>
      <c r="BD54" s="60">
        <v>2</v>
      </c>
      <c r="BE54" s="60">
        <v>20918</v>
      </c>
      <c r="BF54" s="60">
        <v>6601</v>
      </c>
      <c r="BG54" s="60">
        <v>1863</v>
      </c>
      <c r="BH54" s="60">
        <v>13331</v>
      </c>
      <c r="BI54" s="60">
        <v>8109</v>
      </c>
      <c r="BJ54" s="60">
        <v>2107</v>
      </c>
      <c r="BK54" s="60">
        <v>249</v>
      </c>
      <c r="BL54" s="60">
        <v>932</v>
      </c>
      <c r="BM54" s="60">
        <v>18</v>
      </c>
      <c r="BN54" s="60">
        <v>2993</v>
      </c>
      <c r="BO54" s="60">
        <v>724</v>
      </c>
      <c r="BP54" s="60">
        <v>3330</v>
      </c>
      <c r="BQ54" s="60">
        <v>1906</v>
      </c>
      <c r="BR54" s="60">
        <v>8829</v>
      </c>
      <c r="BS54" s="60">
        <v>2552</v>
      </c>
      <c r="BT54" s="60">
        <v>65</v>
      </c>
      <c r="BU54" s="60">
        <v>3535</v>
      </c>
      <c r="BV54" s="60">
        <v>1950</v>
      </c>
      <c r="BW54" s="60">
        <v>193</v>
      </c>
      <c r="BX54" s="60">
        <v>1148</v>
      </c>
      <c r="BY54" s="60">
        <v>6907</v>
      </c>
      <c r="BZ54" s="60">
        <v>2734</v>
      </c>
      <c r="CA54" s="60">
        <v>10649</v>
      </c>
      <c r="CB54" s="60">
        <v>1</v>
      </c>
      <c r="CC54" s="60"/>
      <c r="CD54" s="60">
        <v>2633</v>
      </c>
      <c r="CE54" s="60">
        <v>148</v>
      </c>
      <c r="CF54" s="60">
        <v>516</v>
      </c>
      <c r="CG54" s="60">
        <v>81</v>
      </c>
      <c r="CH54" s="60">
        <v>597</v>
      </c>
      <c r="CI54" s="60">
        <v>113</v>
      </c>
      <c r="CJ54" s="60">
        <v>408</v>
      </c>
      <c r="CK54" s="60">
        <v>569</v>
      </c>
      <c r="CL54" s="60">
        <v>40603</v>
      </c>
      <c r="CM54" s="60">
        <v>3690</v>
      </c>
      <c r="CN54" s="60">
        <v>183</v>
      </c>
      <c r="CO54" s="60">
        <v>897</v>
      </c>
      <c r="CP54" s="60">
        <v>90</v>
      </c>
      <c r="CQ54" s="60">
        <v>225</v>
      </c>
      <c r="CR54" s="60">
        <v>69</v>
      </c>
      <c r="CS54" s="60"/>
      <c r="CT54" s="60">
        <v>50822</v>
      </c>
      <c r="CU54" s="60">
        <v>80</v>
      </c>
      <c r="CV54" s="60">
        <v>45278</v>
      </c>
      <c r="CW54" s="60">
        <v>5464</v>
      </c>
      <c r="CX54" s="60">
        <v>6006</v>
      </c>
      <c r="CY54" s="60">
        <v>6512</v>
      </c>
      <c r="CZ54" s="60"/>
      <c r="DA54" s="60"/>
      <c r="DB54" s="60">
        <v>211</v>
      </c>
      <c r="DC54" s="60">
        <v>810</v>
      </c>
      <c r="DD54" s="60">
        <v>1088</v>
      </c>
      <c r="DE54" s="60">
        <v>1678</v>
      </c>
      <c r="DF54" s="60">
        <v>2423</v>
      </c>
      <c r="DG54" s="60">
        <v>2177</v>
      </c>
      <c r="DH54" s="60">
        <v>1988</v>
      </c>
      <c r="DI54" s="60">
        <v>1860</v>
      </c>
      <c r="DJ54" s="60">
        <v>121</v>
      </c>
      <c r="DK54" s="60">
        <v>161</v>
      </c>
      <c r="DL54" s="60">
        <v>1</v>
      </c>
      <c r="DM54" s="60">
        <v>116</v>
      </c>
      <c r="DN54" s="60">
        <v>1335</v>
      </c>
      <c r="DO54" s="60">
        <v>3730</v>
      </c>
      <c r="DP54" s="60">
        <v>213</v>
      </c>
      <c r="DQ54" s="60">
        <v>174</v>
      </c>
      <c r="DR54" s="60">
        <v>6915</v>
      </c>
      <c r="DS54" s="60">
        <v>35</v>
      </c>
      <c r="DT54" s="60">
        <v>231</v>
      </c>
      <c r="DU54" s="60">
        <v>325</v>
      </c>
      <c r="DV54" s="60">
        <v>344</v>
      </c>
      <c r="DW54" s="60">
        <v>1024</v>
      </c>
      <c r="DX54" s="60">
        <v>329</v>
      </c>
      <c r="DY54" s="60">
        <v>108</v>
      </c>
      <c r="DZ54" s="60">
        <v>29</v>
      </c>
      <c r="EA54" s="60">
        <v>7542</v>
      </c>
      <c r="EB54" s="60">
        <v>1381</v>
      </c>
      <c r="EC54" s="60">
        <v>1205</v>
      </c>
      <c r="ED54" s="60">
        <v>0</v>
      </c>
      <c r="EE54" s="60">
        <v>0</v>
      </c>
      <c r="EF54" s="60">
        <v>0</v>
      </c>
      <c r="EG54" s="60">
        <v>0</v>
      </c>
      <c r="EH54" s="60">
        <v>0</v>
      </c>
      <c r="EI54" s="60">
        <v>2076</v>
      </c>
      <c r="EJ54" s="60">
        <v>5979</v>
      </c>
      <c r="EK54" s="60">
        <v>1501</v>
      </c>
      <c r="EL54" s="60">
        <v>2208</v>
      </c>
      <c r="EM54" s="60">
        <v>754</v>
      </c>
      <c r="EN54" s="60">
        <v>106</v>
      </c>
      <c r="EO54" s="60">
        <v>188</v>
      </c>
      <c r="EP54" s="60">
        <v>2636</v>
      </c>
      <c r="EQ54" s="60">
        <v>8</v>
      </c>
      <c r="ER54" s="60">
        <v>1838</v>
      </c>
      <c r="ES54" s="60">
        <v>612</v>
      </c>
      <c r="ET54" s="60">
        <v>570</v>
      </c>
      <c r="EU54" s="60">
        <v>1148</v>
      </c>
      <c r="EV54" s="60">
        <v>1294</v>
      </c>
      <c r="EW54" s="60">
        <v>300</v>
      </c>
      <c r="EX54" s="60">
        <v>222</v>
      </c>
      <c r="EY54" s="60">
        <v>455</v>
      </c>
      <c r="EZ54" s="60">
        <v>11</v>
      </c>
      <c r="FA54" s="60">
        <v>113</v>
      </c>
      <c r="FB54" s="60">
        <v>1314</v>
      </c>
      <c r="FC54" s="60">
        <v>254</v>
      </c>
      <c r="FD54" s="60">
        <v>1410</v>
      </c>
      <c r="FE54" s="60">
        <v>1</v>
      </c>
      <c r="FF54" s="60">
        <v>38</v>
      </c>
      <c r="FG54" s="60"/>
      <c r="FH54" s="60">
        <v>711</v>
      </c>
      <c r="FI54" s="60">
        <v>60</v>
      </c>
      <c r="FJ54" s="60">
        <v>730</v>
      </c>
      <c r="FK54" s="60">
        <v>148</v>
      </c>
      <c r="FL54" s="60">
        <v>57</v>
      </c>
      <c r="FM54" s="60">
        <v>708</v>
      </c>
      <c r="FN54" s="60">
        <v>16</v>
      </c>
      <c r="FO54" s="60">
        <v>9633</v>
      </c>
      <c r="FP54" s="60">
        <v>203</v>
      </c>
      <c r="FQ54" s="60">
        <v>12</v>
      </c>
      <c r="FR54" s="60">
        <v>42</v>
      </c>
      <c r="FS54" s="60">
        <v>88</v>
      </c>
      <c r="FT54" s="60">
        <v>38</v>
      </c>
      <c r="FU54" s="60">
        <v>45</v>
      </c>
      <c r="FV54" s="60">
        <v>27</v>
      </c>
      <c r="FW54" s="60"/>
      <c r="FX54" s="60">
        <v>12518</v>
      </c>
      <c r="FY54" s="60">
        <v>42</v>
      </c>
      <c r="FZ54" s="60">
        <v>11276</v>
      </c>
      <c r="GA54" s="60">
        <v>1200</v>
      </c>
      <c r="GB54" s="60">
        <v>2011</v>
      </c>
    </row>
    <row r="55" spans="1:184" x14ac:dyDescent="0.3">
      <c r="A55" s="60">
        <v>106150808</v>
      </c>
      <c r="B55" s="61" t="s">
        <v>315</v>
      </c>
      <c r="C55" s="61" t="s">
        <v>316</v>
      </c>
      <c r="D55" s="61" t="s">
        <v>317</v>
      </c>
      <c r="E55" s="61" t="s">
        <v>318</v>
      </c>
      <c r="F55" s="60">
        <v>93561</v>
      </c>
      <c r="G55" s="61"/>
      <c r="H55" s="61" t="s">
        <v>1669</v>
      </c>
      <c r="I55" s="60">
        <v>32</v>
      </c>
      <c r="J55" s="60">
        <v>18</v>
      </c>
      <c r="K55" s="61" t="s">
        <v>1767</v>
      </c>
      <c r="L55" s="61"/>
      <c r="M55" s="61" t="s">
        <v>1733</v>
      </c>
      <c r="N55" s="61" t="s">
        <v>1760</v>
      </c>
      <c r="O55" s="61" t="s">
        <v>1673</v>
      </c>
      <c r="P55" s="61" t="s">
        <v>159</v>
      </c>
      <c r="Q55" s="61" t="s">
        <v>1674</v>
      </c>
      <c r="R55" s="60">
        <v>28</v>
      </c>
      <c r="S55" s="61" t="s">
        <v>1706</v>
      </c>
      <c r="T55" s="60">
        <v>5835</v>
      </c>
      <c r="U55" s="60">
        <v>4909</v>
      </c>
      <c r="V55" s="60"/>
      <c r="W55" s="60"/>
      <c r="X55" s="60">
        <v>1738</v>
      </c>
      <c r="Y55" s="60">
        <v>1483</v>
      </c>
      <c r="Z55" s="60">
        <v>1578</v>
      </c>
      <c r="AA55" s="60">
        <v>1283</v>
      </c>
      <c r="AB55" s="60">
        <v>1237</v>
      </c>
      <c r="AC55" s="60">
        <v>1160</v>
      </c>
      <c r="AD55" s="60">
        <v>774</v>
      </c>
      <c r="AE55" s="60">
        <v>675</v>
      </c>
      <c r="AF55" s="60">
        <v>517</v>
      </c>
      <c r="AG55" s="60">
        <v>298</v>
      </c>
      <c r="AH55" s="60">
        <v>1</v>
      </c>
      <c r="AI55" s="60">
        <v>66</v>
      </c>
      <c r="AJ55" s="60">
        <v>583</v>
      </c>
      <c r="AK55" s="60">
        <v>2033</v>
      </c>
      <c r="AL55" s="60">
        <v>22</v>
      </c>
      <c r="AM55" s="60"/>
      <c r="AN55" s="60">
        <v>62</v>
      </c>
      <c r="AO55" s="60">
        <v>7978</v>
      </c>
      <c r="AP55" s="60">
        <v>612</v>
      </c>
      <c r="AQ55" s="60">
        <v>371</v>
      </c>
      <c r="AR55" s="60">
        <v>73</v>
      </c>
      <c r="AS55" s="60">
        <v>20</v>
      </c>
      <c r="AT55" s="60"/>
      <c r="AU55" s="60"/>
      <c r="AV55" s="60"/>
      <c r="AW55" s="60">
        <v>7</v>
      </c>
      <c r="AX55" s="60"/>
      <c r="AY55" s="60"/>
      <c r="AZ55" s="60">
        <v>4</v>
      </c>
      <c r="BA55" s="60">
        <v>9657</v>
      </c>
      <c r="BB55" s="60"/>
      <c r="BC55" s="60"/>
      <c r="BD55" s="60"/>
      <c r="BE55" s="60">
        <v>3909</v>
      </c>
      <c r="BF55" s="60">
        <v>2618</v>
      </c>
      <c r="BG55" s="60"/>
      <c r="BH55" s="60"/>
      <c r="BI55" s="60">
        <v>4217</v>
      </c>
      <c r="BJ55" s="60">
        <v>164</v>
      </c>
      <c r="BK55" s="60">
        <v>29</v>
      </c>
      <c r="BL55" s="60">
        <v>289</v>
      </c>
      <c r="BM55" s="60">
        <v>4</v>
      </c>
      <c r="BN55" s="60">
        <v>577</v>
      </c>
      <c r="BO55" s="60">
        <v>197</v>
      </c>
      <c r="BP55" s="60">
        <v>629</v>
      </c>
      <c r="BQ55" s="60">
        <v>328</v>
      </c>
      <c r="BR55" s="60">
        <v>2800</v>
      </c>
      <c r="BS55" s="60">
        <v>520</v>
      </c>
      <c r="BT55" s="60">
        <v>12</v>
      </c>
      <c r="BU55" s="60">
        <v>747</v>
      </c>
      <c r="BV55" s="60">
        <v>609</v>
      </c>
      <c r="BW55" s="60">
        <v>14</v>
      </c>
      <c r="BX55" s="60">
        <v>242</v>
      </c>
      <c r="BY55" s="60">
        <v>1460</v>
      </c>
      <c r="BZ55" s="60">
        <v>470</v>
      </c>
      <c r="CA55" s="60">
        <v>1650</v>
      </c>
      <c r="CB55" s="60"/>
      <c r="CC55" s="60">
        <v>3</v>
      </c>
      <c r="CD55" s="60">
        <v>827</v>
      </c>
      <c r="CE55" s="60">
        <v>38</v>
      </c>
      <c r="CF55" s="60">
        <v>42</v>
      </c>
      <c r="CG55" s="60">
        <v>8</v>
      </c>
      <c r="CH55" s="60">
        <v>116</v>
      </c>
      <c r="CI55" s="60">
        <v>17</v>
      </c>
      <c r="CJ55" s="60">
        <v>9</v>
      </c>
      <c r="CK55" s="60">
        <v>154</v>
      </c>
      <c r="CL55" s="60">
        <v>7908</v>
      </c>
      <c r="CM55" s="60">
        <v>1117</v>
      </c>
      <c r="CN55" s="60">
        <v>125</v>
      </c>
      <c r="CO55" s="60">
        <v>253</v>
      </c>
      <c r="CP55" s="60">
        <v>53</v>
      </c>
      <c r="CQ55" s="60">
        <v>55</v>
      </c>
      <c r="CR55" s="60">
        <v>22</v>
      </c>
      <c r="CS55" s="60"/>
      <c r="CT55" s="60">
        <v>10744</v>
      </c>
      <c r="CU55" s="60">
        <v>3</v>
      </c>
      <c r="CV55" s="60">
        <v>10374</v>
      </c>
      <c r="CW55" s="60">
        <v>367</v>
      </c>
      <c r="CX55" s="60">
        <v>83</v>
      </c>
      <c r="CY55" s="60">
        <v>51</v>
      </c>
      <c r="CZ55" s="60"/>
      <c r="DA55" s="60"/>
      <c r="DB55" s="60">
        <v>6</v>
      </c>
      <c r="DC55" s="60">
        <v>8</v>
      </c>
      <c r="DD55" s="60">
        <v>5</v>
      </c>
      <c r="DE55" s="60">
        <v>14</v>
      </c>
      <c r="DF55" s="60">
        <v>28</v>
      </c>
      <c r="DG55" s="60">
        <v>20</v>
      </c>
      <c r="DH55" s="60">
        <v>15</v>
      </c>
      <c r="DI55" s="60">
        <v>25</v>
      </c>
      <c r="DJ55" s="60">
        <v>4</v>
      </c>
      <c r="DK55" s="60">
        <v>9</v>
      </c>
      <c r="DL55" s="60"/>
      <c r="DM55" s="60"/>
      <c r="DN55" s="60">
        <v>4</v>
      </c>
      <c r="DO55" s="60">
        <v>11</v>
      </c>
      <c r="DP55" s="60"/>
      <c r="DQ55" s="60"/>
      <c r="DR55" s="60">
        <v>119</v>
      </c>
      <c r="DS55" s="60"/>
      <c r="DT55" s="60">
        <v>10</v>
      </c>
      <c r="DU55" s="60">
        <v>4</v>
      </c>
      <c r="DV55" s="60"/>
      <c r="DW55" s="60">
        <v>2</v>
      </c>
      <c r="DX55" s="60"/>
      <c r="DY55" s="60"/>
      <c r="DZ55" s="60"/>
      <c r="EA55" s="60">
        <v>114</v>
      </c>
      <c r="EB55" s="60">
        <v>4</v>
      </c>
      <c r="EC55" s="60"/>
      <c r="ED55" s="60">
        <v>0</v>
      </c>
      <c r="EE55" s="60">
        <v>0</v>
      </c>
      <c r="EF55" s="60">
        <v>0</v>
      </c>
      <c r="EG55" s="60">
        <v>0</v>
      </c>
      <c r="EH55" s="60">
        <v>0</v>
      </c>
      <c r="EI55" s="60">
        <v>33</v>
      </c>
      <c r="EJ55" s="60">
        <v>58</v>
      </c>
      <c r="EK55" s="60">
        <v>1</v>
      </c>
      <c r="EL55" s="60">
        <v>34</v>
      </c>
      <c r="EM55" s="60">
        <v>8</v>
      </c>
      <c r="EN55" s="60">
        <v>1</v>
      </c>
      <c r="EO55" s="60">
        <v>1</v>
      </c>
      <c r="EP55" s="60">
        <v>7</v>
      </c>
      <c r="EQ55" s="60"/>
      <c r="ER55" s="60">
        <v>12</v>
      </c>
      <c r="ES55" s="60">
        <v>11</v>
      </c>
      <c r="ET55" s="60">
        <v>10</v>
      </c>
      <c r="EU55" s="60"/>
      <c r="EV55" s="60">
        <v>8</v>
      </c>
      <c r="EW55" s="60">
        <v>2</v>
      </c>
      <c r="EX55" s="60"/>
      <c r="EY55" s="60">
        <v>2</v>
      </c>
      <c r="EZ55" s="60"/>
      <c r="FA55" s="60">
        <v>3</v>
      </c>
      <c r="FB55" s="60">
        <v>55</v>
      </c>
      <c r="FC55" s="60">
        <v>11</v>
      </c>
      <c r="FD55" s="60">
        <v>11</v>
      </c>
      <c r="FE55" s="60"/>
      <c r="FF55" s="60"/>
      <c r="FG55" s="60"/>
      <c r="FH55" s="60">
        <v>6</v>
      </c>
      <c r="FI55" s="60">
        <v>1</v>
      </c>
      <c r="FJ55" s="60">
        <v>2</v>
      </c>
      <c r="FK55" s="60"/>
      <c r="FL55" s="60">
        <v>2</v>
      </c>
      <c r="FM55" s="60"/>
      <c r="FN55" s="60"/>
      <c r="FO55" s="60">
        <v>119</v>
      </c>
      <c r="FP55" s="60"/>
      <c r="FQ55" s="60">
        <v>2</v>
      </c>
      <c r="FR55" s="60">
        <v>2</v>
      </c>
      <c r="FS55" s="60"/>
      <c r="FT55" s="60"/>
      <c r="FU55" s="60"/>
      <c r="FV55" s="60"/>
      <c r="FW55" s="60"/>
      <c r="FX55" s="60">
        <v>134</v>
      </c>
      <c r="FY55" s="60"/>
      <c r="FZ55" s="60">
        <v>132</v>
      </c>
      <c r="GA55" s="60">
        <v>2</v>
      </c>
      <c r="GB55" s="60">
        <v>2011</v>
      </c>
    </row>
    <row r="56" spans="1:184" x14ac:dyDescent="0.3">
      <c r="A56" s="60">
        <v>106154101</v>
      </c>
      <c r="B56" s="61" t="s">
        <v>319</v>
      </c>
      <c r="C56" s="61" t="s">
        <v>320</v>
      </c>
      <c r="D56" s="61" t="s">
        <v>322</v>
      </c>
      <c r="E56" s="61" t="s">
        <v>297</v>
      </c>
      <c r="F56" s="60">
        <v>93308</v>
      </c>
      <c r="G56" s="61"/>
      <c r="H56" s="61" t="s">
        <v>1669</v>
      </c>
      <c r="I56" s="60">
        <v>32</v>
      </c>
      <c r="J56" s="60">
        <v>18</v>
      </c>
      <c r="K56" s="61" t="s">
        <v>1765</v>
      </c>
      <c r="L56" s="61"/>
      <c r="M56" s="61" t="s">
        <v>1733</v>
      </c>
      <c r="N56" s="61" t="s">
        <v>1760</v>
      </c>
      <c r="O56" s="61" t="s">
        <v>1673</v>
      </c>
      <c r="P56" s="61" t="s">
        <v>221</v>
      </c>
      <c r="Q56" s="61" t="s">
        <v>1674</v>
      </c>
      <c r="R56" s="60">
        <v>47</v>
      </c>
      <c r="S56" s="61" t="s">
        <v>1675</v>
      </c>
      <c r="T56" s="60">
        <v>4777</v>
      </c>
      <c r="U56" s="60">
        <v>4039</v>
      </c>
      <c r="V56" s="60"/>
      <c r="W56" s="60"/>
      <c r="X56" s="60">
        <v>571</v>
      </c>
      <c r="Y56" s="60">
        <v>630</v>
      </c>
      <c r="Z56" s="60">
        <v>1392</v>
      </c>
      <c r="AA56" s="60">
        <v>1272</v>
      </c>
      <c r="AB56" s="60">
        <v>1321</v>
      </c>
      <c r="AC56" s="60">
        <v>1193</v>
      </c>
      <c r="AD56" s="60">
        <v>894</v>
      </c>
      <c r="AE56" s="60">
        <v>766</v>
      </c>
      <c r="AF56" s="60">
        <v>681</v>
      </c>
      <c r="AG56" s="60">
        <v>96</v>
      </c>
      <c r="AH56" s="60"/>
      <c r="AI56" s="60">
        <v>49</v>
      </c>
      <c r="AJ56" s="60">
        <v>391</v>
      </c>
      <c r="AK56" s="60">
        <v>1815</v>
      </c>
      <c r="AL56" s="60">
        <v>1</v>
      </c>
      <c r="AM56" s="60">
        <v>99</v>
      </c>
      <c r="AN56" s="60">
        <v>1</v>
      </c>
      <c r="AO56" s="60">
        <v>6460</v>
      </c>
      <c r="AP56" s="60">
        <v>185</v>
      </c>
      <c r="AQ56" s="60">
        <v>556</v>
      </c>
      <c r="AR56" s="60">
        <v>1</v>
      </c>
      <c r="AS56" s="60">
        <v>24</v>
      </c>
      <c r="AT56" s="60">
        <v>10</v>
      </c>
      <c r="AU56" s="60">
        <v>3</v>
      </c>
      <c r="AV56" s="60">
        <v>8</v>
      </c>
      <c r="AW56" s="60"/>
      <c r="AX56" s="60">
        <v>14</v>
      </c>
      <c r="AY56" s="60">
        <v>7</v>
      </c>
      <c r="AZ56" s="60"/>
      <c r="BA56" s="60">
        <v>7899</v>
      </c>
      <c r="BB56" s="60">
        <v>13</v>
      </c>
      <c r="BC56" s="60">
        <v>96</v>
      </c>
      <c r="BD56" s="60"/>
      <c r="BE56" s="60">
        <v>2496</v>
      </c>
      <c r="BF56" s="60">
        <v>2557</v>
      </c>
      <c r="BG56" s="60">
        <v>99</v>
      </c>
      <c r="BH56" s="60">
        <v>2078</v>
      </c>
      <c r="BI56" s="60">
        <v>1586</v>
      </c>
      <c r="BJ56" s="60">
        <v>59</v>
      </c>
      <c r="BK56" s="60">
        <v>36</v>
      </c>
      <c r="BL56" s="60">
        <v>558</v>
      </c>
      <c r="BM56" s="60">
        <v>1</v>
      </c>
      <c r="BN56" s="60">
        <v>390</v>
      </c>
      <c r="BO56" s="60">
        <v>193</v>
      </c>
      <c r="BP56" s="60">
        <v>410</v>
      </c>
      <c r="BQ56" s="60">
        <v>125</v>
      </c>
      <c r="BR56" s="60">
        <v>1138</v>
      </c>
      <c r="BS56" s="60">
        <v>654</v>
      </c>
      <c r="BT56" s="60">
        <v>3</v>
      </c>
      <c r="BU56" s="60">
        <v>384</v>
      </c>
      <c r="BV56" s="60">
        <v>161</v>
      </c>
      <c r="BW56" s="60">
        <v>6</v>
      </c>
      <c r="BX56" s="60">
        <v>152</v>
      </c>
      <c r="BY56" s="60">
        <v>695</v>
      </c>
      <c r="BZ56" s="60">
        <v>469</v>
      </c>
      <c r="CA56" s="60">
        <v>3382</v>
      </c>
      <c r="CB56" s="60"/>
      <c r="CC56" s="60"/>
      <c r="CD56" s="60">
        <v>396</v>
      </c>
      <c r="CE56" s="60">
        <v>21</v>
      </c>
      <c r="CF56" s="60">
        <v>53</v>
      </c>
      <c r="CG56" s="60">
        <v>1</v>
      </c>
      <c r="CH56" s="60">
        <v>84</v>
      </c>
      <c r="CI56" s="60">
        <v>2</v>
      </c>
      <c r="CJ56" s="60">
        <v>41</v>
      </c>
      <c r="CK56" s="60">
        <v>90</v>
      </c>
      <c r="CL56" s="60">
        <v>7385</v>
      </c>
      <c r="CM56" s="60">
        <v>526</v>
      </c>
      <c r="CN56" s="60">
        <v>24</v>
      </c>
      <c r="CO56" s="60">
        <v>148</v>
      </c>
      <c r="CP56" s="60">
        <v>5</v>
      </c>
      <c r="CQ56" s="60">
        <v>30</v>
      </c>
      <c r="CR56" s="60">
        <v>10</v>
      </c>
      <c r="CS56" s="60"/>
      <c r="CT56" s="60">
        <v>8816</v>
      </c>
      <c r="CU56" s="60">
        <v>19</v>
      </c>
      <c r="CV56" s="60">
        <v>8621</v>
      </c>
      <c r="CW56" s="60">
        <v>176</v>
      </c>
      <c r="CX56" s="60">
        <v>1627</v>
      </c>
      <c r="CY56" s="60">
        <v>1752</v>
      </c>
      <c r="CZ56" s="60"/>
      <c r="DA56" s="60"/>
      <c r="DB56" s="60">
        <v>13</v>
      </c>
      <c r="DC56" s="60">
        <v>94</v>
      </c>
      <c r="DD56" s="60">
        <v>137</v>
      </c>
      <c r="DE56" s="60">
        <v>302</v>
      </c>
      <c r="DF56" s="60">
        <v>542</v>
      </c>
      <c r="DG56" s="60">
        <v>730</v>
      </c>
      <c r="DH56" s="60">
        <v>782</v>
      </c>
      <c r="DI56" s="60">
        <v>779</v>
      </c>
      <c r="DJ56" s="60"/>
      <c r="DK56" s="60"/>
      <c r="DL56" s="60"/>
      <c r="DM56" s="60">
        <v>18</v>
      </c>
      <c r="DN56" s="60">
        <v>191</v>
      </c>
      <c r="DO56" s="60">
        <v>628</v>
      </c>
      <c r="DP56" s="60">
        <v>91</v>
      </c>
      <c r="DQ56" s="60"/>
      <c r="DR56" s="60">
        <v>2449</v>
      </c>
      <c r="DS56" s="60">
        <v>2</v>
      </c>
      <c r="DT56" s="60">
        <v>131</v>
      </c>
      <c r="DU56" s="60">
        <v>65</v>
      </c>
      <c r="DV56" s="60">
        <v>102</v>
      </c>
      <c r="DW56" s="60">
        <v>189</v>
      </c>
      <c r="DX56" s="60">
        <v>136</v>
      </c>
      <c r="DY56" s="60">
        <v>3</v>
      </c>
      <c r="DZ56" s="60">
        <v>6</v>
      </c>
      <c r="EA56" s="60">
        <v>2563</v>
      </c>
      <c r="EB56" s="60">
        <v>184</v>
      </c>
      <c r="EC56" s="60"/>
      <c r="ED56" s="60">
        <v>0</v>
      </c>
      <c r="EE56" s="60">
        <v>0</v>
      </c>
      <c r="EF56" s="60">
        <v>0</v>
      </c>
      <c r="EG56" s="60">
        <v>0</v>
      </c>
      <c r="EH56" s="60">
        <v>0</v>
      </c>
      <c r="EI56" s="60">
        <v>331</v>
      </c>
      <c r="EJ56" s="60">
        <v>2216</v>
      </c>
      <c r="EK56" s="60">
        <v>100</v>
      </c>
      <c r="EL56" s="60">
        <v>571</v>
      </c>
      <c r="EM56" s="60">
        <v>161</v>
      </c>
      <c r="EN56" s="60">
        <v>2</v>
      </c>
      <c r="EO56" s="60">
        <v>37</v>
      </c>
      <c r="EP56" s="60">
        <v>1322</v>
      </c>
      <c r="EQ56" s="60"/>
      <c r="ER56" s="60">
        <v>361</v>
      </c>
      <c r="ES56" s="60">
        <v>86</v>
      </c>
      <c r="ET56" s="60">
        <v>192</v>
      </c>
      <c r="EU56" s="60">
        <v>216</v>
      </c>
      <c r="EV56" s="60">
        <v>98</v>
      </c>
      <c r="EW56" s="60">
        <v>35</v>
      </c>
      <c r="EX56" s="60">
        <v>42</v>
      </c>
      <c r="EY56" s="60">
        <v>51</v>
      </c>
      <c r="EZ56" s="60">
        <v>1</v>
      </c>
      <c r="FA56" s="60">
        <v>23</v>
      </c>
      <c r="FB56" s="60">
        <v>515</v>
      </c>
      <c r="FC56" s="60">
        <v>74</v>
      </c>
      <c r="FD56" s="60">
        <v>324</v>
      </c>
      <c r="FE56" s="60"/>
      <c r="FF56" s="60"/>
      <c r="FG56" s="60"/>
      <c r="FH56" s="60">
        <v>62</v>
      </c>
      <c r="FI56" s="60">
        <v>6</v>
      </c>
      <c r="FJ56" s="60">
        <v>132</v>
      </c>
      <c r="FK56" s="60"/>
      <c r="FL56" s="60">
        <v>3</v>
      </c>
      <c r="FM56" s="60">
        <v>95</v>
      </c>
      <c r="FN56" s="60">
        <v>4</v>
      </c>
      <c r="FO56" s="60">
        <v>3026</v>
      </c>
      <c r="FP56" s="60">
        <v>17</v>
      </c>
      <c r="FQ56" s="60">
        <v>1</v>
      </c>
      <c r="FR56" s="60">
        <v>6</v>
      </c>
      <c r="FS56" s="60">
        <v>5</v>
      </c>
      <c r="FT56" s="60">
        <v>2</v>
      </c>
      <c r="FU56" s="60">
        <v>20</v>
      </c>
      <c r="FV56" s="60"/>
      <c r="FW56" s="60"/>
      <c r="FX56" s="60">
        <v>3379</v>
      </c>
      <c r="FY56" s="60">
        <v>10</v>
      </c>
      <c r="FZ56" s="60">
        <v>3221</v>
      </c>
      <c r="GA56" s="60">
        <v>148</v>
      </c>
      <c r="GB56" s="60">
        <v>2011</v>
      </c>
    </row>
    <row r="57" spans="1:184" x14ac:dyDescent="0.3">
      <c r="A57" s="60">
        <v>106160702</v>
      </c>
      <c r="B57" s="61" t="s">
        <v>1626</v>
      </c>
      <c r="C57" s="61" t="s">
        <v>1627</v>
      </c>
      <c r="D57" s="61" t="s">
        <v>1628</v>
      </c>
      <c r="E57" s="61" t="s">
        <v>1629</v>
      </c>
      <c r="F57" s="60">
        <v>93212</v>
      </c>
      <c r="G57" s="61"/>
      <c r="H57" s="61" t="s">
        <v>1669</v>
      </c>
      <c r="I57" s="60">
        <v>30</v>
      </c>
      <c r="J57" s="60">
        <v>16</v>
      </c>
      <c r="K57" s="61" t="s">
        <v>1768</v>
      </c>
      <c r="L57" s="61"/>
      <c r="M57" s="61" t="s">
        <v>1733</v>
      </c>
      <c r="N57" s="61" t="s">
        <v>1769</v>
      </c>
      <c r="O57" s="61" t="s">
        <v>1673</v>
      </c>
      <c r="P57" s="61" t="s">
        <v>159</v>
      </c>
      <c r="Q57" s="61" t="s">
        <v>1674</v>
      </c>
      <c r="R57" s="60">
        <v>32</v>
      </c>
      <c r="S57" s="61" t="s">
        <v>1706</v>
      </c>
      <c r="T57" s="60">
        <v>3397</v>
      </c>
      <c r="U57" s="60">
        <v>2964</v>
      </c>
      <c r="V57" s="60">
        <v>1</v>
      </c>
      <c r="W57" s="60"/>
      <c r="X57" s="60">
        <v>1304</v>
      </c>
      <c r="Y57" s="60">
        <v>823</v>
      </c>
      <c r="Z57" s="60">
        <v>1107</v>
      </c>
      <c r="AA57" s="60">
        <v>869</v>
      </c>
      <c r="AB57" s="60">
        <v>922</v>
      </c>
      <c r="AC57" s="60">
        <v>522</v>
      </c>
      <c r="AD57" s="60">
        <v>345</v>
      </c>
      <c r="AE57" s="60">
        <v>148</v>
      </c>
      <c r="AF57" s="60">
        <v>74</v>
      </c>
      <c r="AG57" s="60">
        <v>248</v>
      </c>
      <c r="AH57" s="60"/>
      <c r="AI57" s="60">
        <v>6</v>
      </c>
      <c r="AJ57" s="60">
        <v>378</v>
      </c>
      <c r="AK57" s="60">
        <v>2913</v>
      </c>
      <c r="AL57" s="60">
        <v>17</v>
      </c>
      <c r="AM57" s="60">
        <v>31</v>
      </c>
      <c r="AN57" s="60">
        <v>245</v>
      </c>
      <c r="AO57" s="60">
        <v>2772</v>
      </c>
      <c r="AP57" s="60">
        <v>88</v>
      </c>
      <c r="AQ57" s="60">
        <v>31</v>
      </c>
      <c r="AR57" s="60"/>
      <c r="AS57" s="60">
        <v>11</v>
      </c>
      <c r="AT57" s="60"/>
      <c r="AU57" s="60"/>
      <c r="AV57" s="60"/>
      <c r="AW57" s="60">
        <v>8</v>
      </c>
      <c r="AX57" s="60">
        <v>1</v>
      </c>
      <c r="AY57" s="60"/>
      <c r="AZ57" s="60"/>
      <c r="BA57" s="60">
        <v>6223</v>
      </c>
      <c r="BB57" s="60"/>
      <c r="BC57" s="60"/>
      <c r="BD57" s="60"/>
      <c r="BE57" s="60">
        <v>3073</v>
      </c>
      <c r="BF57" s="60">
        <v>820</v>
      </c>
      <c r="BG57" s="60">
        <v>106</v>
      </c>
      <c r="BH57" s="60">
        <v>1240</v>
      </c>
      <c r="BI57" s="60">
        <v>1123</v>
      </c>
      <c r="BJ57" s="60">
        <v>161</v>
      </c>
      <c r="BK57" s="60">
        <v>18</v>
      </c>
      <c r="BL57" s="60">
        <v>94</v>
      </c>
      <c r="BM57" s="60"/>
      <c r="BN57" s="60">
        <v>417</v>
      </c>
      <c r="BO57" s="60">
        <v>141</v>
      </c>
      <c r="BP57" s="60">
        <v>361</v>
      </c>
      <c r="BQ57" s="60">
        <v>215</v>
      </c>
      <c r="BR57" s="60">
        <v>1207</v>
      </c>
      <c r="BS57" s="60">
        <v>399</v>
      </c>
      <c r="BT57" s="60">
        <v>7</v>
      </c>
      <c r="BU57" s="60">
        <v>788</v>
      </c>
      <c r="BV57" s="60">
        <v>165</v>
      </c>
      <c r="BW57" s="60">
        <v>3</v>
      </c>
      <c r="BX57" s="60">
        <v>215</v>
      </c>
      <c r="BY57" s="60">
        <v>900</v>
      </c>
      <c r="BZ57" s="60">
        <v>257</v>
      </c>
      <c r="CA57" s="60">
        <v>1014</v>
      </c>
      <c r="CB57" s="60"/>
      <c r="CC57" s="60"/>
      <c r="CD57" s="60">
        <v>404</v>
      </c>
      <c r="CE57" s="60">
        <v>20</v>
      </c>
      <c r="CF57" s="60">
        <v>21</v>
      </c>
      <c r="CG57" s="60">
        <v>1</v>
      </c>
      <c r="CH57" s="60">
        <v>109</v>
      </c>
      <c r="CI57" s="60">
        <v>2</v>
      </c>
      <c r="CJ57" s="60">
        <v>7</v>
      </c>
      <c r="CK57" s="60">
        <v>66</v>
      </c>
      <c r="CL57" s="60">
        <v>5101</v>
      </c>
      <c r="CM57" s="60">
        <v>497</v>
      </c>
      <c r="CN57" s="60">
        <v>29</v>
      </c>
      <c r="CO57" s="60">
        <v>53</v>
      </c>
      <c r="CP57" s="60">
        <v>18</v>
      </c>
      <c r="CQ57" s="60">
        <v>25</v>
      </c>
      <c r="CR57" s="60">
        <v>9</v>
      </c>
      <c r="CS57" s="60"/>
      <c r="CT57" s="60">
        <v>6362</v>
      </c>
      <c r="CU57" s="60">
        <v>2</v>
      </c>
      <c r="CV57" s="60">
        <v>5594</v>
      </c>
      <c r="CW57" s="60">
        <v>766</v>
      </c>
      <c r="CX57" s="60">
        <v>209</v>
      </c>
      <c r="CY57" s="60">
        <v>261</v>
      </c>
      <c r="CZ57" s="60"/>
      <c r="DA57" s="60"/>
      <c r="DB57" s="60">
        <v>15</v>
      </c>
      <c r="DC57" s="60">
        <v>58</v>
      </c>
      <c r="DD57" s="60">
        <v>59</v>
      </c>
      <c r="DE57" s="60">
        <v>104</v>
      </c>
      <c r="DF57" s="60">
        <v>68</v>
      </c>
      <c r="DG57" s="60">
        <v>58</v>
      </c>
      <c r="DH57" s="60">
        <v>51</v>
      </c>
      <c r="DI57" s="60">
        <v>53</v>
      </c>
      <c r="DJ57" s="60"/>
      <c r="DK57" s="60">
        <v>4</v>
      </c>
      <c r="DL57" s="60"/>
      <c r="DM57" s="60">
        <v>1</v>
      </c>
      <c r="DN57" s="60">
        <v>19</v>
      </c>
      <c r="DO57" s="60">
        <v>275</v>
      </c>
      <c r="DP57" s="60">
        <v>6</v>
      </c>
      <c r="DQ57" s="60">
        <v>52</v>
      </c>
      <c r="DR57" s="60">
        <v>117</v>
      </c>
      <c r="DS57" s="60"/>
      <c r="DT57" s="60">
        <v>12</v>
      </c>
      <c r="DU57" s="60">
        <v>5</v>
      </c>
      <c r="DV57" s="60">
        <v>4</v>
      </c>
      <c r="DW57" s="60"/>
      <c r="DX57" s="60"/>
      <c r="DY57" s="60"/>
      <c r="DZ57" s="60"/>
      <c r="EA57" s="60">
        <v>310</v>
      </c>
      <c r="EB57" s="60">
        <v>4</v>
      </c>
      <c r="EC57" s="60">
        <v>135</v>
      </c>
      <c r="ED57" s="60">
        <v>0</v>
      </c>
      <c r="EE57" s="60">
        <v>0</v>
      </c>
      <c r="EF57" s="60">
        <v>0</v>
      </c>
      <c r="EG57" s="60">
        <v>0</v>
      </c>
      <c r="EH57" s="60">
        <v>0</v>
      </c>
      <c r="EI57" s="60">
        <v>112</v>
      </c>
      <c r="EJ57" s="60">
        <v>107</v>
      </c>
      <c r="EK57" s="60">
        <v>154</v>
      </c>
      <c r="EL57" s="60">
        <v>39</v>
      </c>
      <c r="EM57" s="60">
        <v>58</v>
      </c>
      <c r="EN57" s="60"/>
      <c r="EO57" s="60">
        <v>7</v>
      </c>
      <c r="EP57" s="60">
        <v>12</v>
      </c>
      <c r="EQ57" s="60"/>
      <c r="ER57" s="60">
        <v>57</v>
      </c>
      <c r="ES57" s="60">
        <v>42</v>
      </c>
      <c r="ET57" s="60">
        <v>66</v>
      </c>
      <c r="EU57" s="60">
        <v>4</v>
      </c>
      <c r="EV57" s="60">
        <v>24</v>
      </c>
      <c r="EW57" s="60">
        <v>7</v>
      </c>
      <c r="EX57" s="60">
        <v>6</v>
      </c>
      <c r="EY57" s="60">
        <v>10</v>
      </c>
      <c r="EZ57" s="60">
        <v>60</v>
      </c>
      <c r="FA57" s="60">
        <v>11</v>
      </c>
      <c r="FB57" s="60">
        <v>66</v>
      </c>
      <c r="FC57" s="60">
        <v>53</v>
      </c>
      <c r="FD57" s="60">
        <v>45</v>
      </c>
      <c r="FE57" s="60"/>
      <c r="FF57" s="60"/>
      <c r="FG57" s="60"/>
      <c r="FH57" s="60">
        <v>10</v>
      </c>
      <c r="FI57" s="60">
        <v>1</v>
      </c>
      <c r="FJ57" s="60">
        <v>1</v>
      </c>
      <c r="FK57" s="60">
        <v>3</v>
      </c>
      <c r="FL57" s="60">
        <v>3</v>
      </c>
      <c r="FM57" s="60">
        <v>13</v>
      </c>
      <c r="FN57" s="60">
        <v>2</v>
      </c>
      <c r="FO57" s="60">
        <v>427</v>
      </c>
      <c r="FP57" s="60">
        <v>4</v>
      </c>
      <c r="FQ57" s="60"/>
      <c r="FR57" s="60">
        <v>1</v>
      </c>
      <c r="FS57" s="60">
        <v>3</v>
      </c>
      <c r="FT57" s="60"/>
      <c r="FU57" s="60">
        <v>2</v>
      </c>
      <c r="FV57" s="60"/>
      <c r="FW57" s="60"/>
      <c r="FX57" s="60">
        <v>470</v>
      </c>
      <c r="FY57" s="60">
        <v>1</v>
      </c>
      <c r="FZ57" s="60">
        <v>421</v>
      </c>
      <c r="GA57" s="60">
        <v>48</v>
      </c>
      <c r="GB57" s="60">
        <v>2011</v>
      </c>
    </row>
    <row r="58" spans="1:184" x14ac:dyDescent="0.3">
      <c r="A58" s="60">
        <v>106164029</v>
      </c>
      <c r="B58" s="61" t="s">
        <v>323</v>
      </c>
      <c r="C58" s="61" t="s">
        <v>324</v>
      </c>
      <c r="D58" s="61" t="s">
        <v>325</v>
      </c>
      <c r="E58" s="61" t="s">
        <v>326</v>
      </c>
      <c r="F58" s="60">
        <v>93230</v>
      </c>
      <c r="G58" s="61"/>
      <c r="H58" s="61" t="s">
        <v>1669</v>
      </c>
      <c r="I58" s="60">
        <v>30</v>
      </c>
      <c r="J58" s="60">
        <v>16</v>
      </c>
      <c r="K58" s="61" t="s">
        <v>1770</v>
      </c>
      <c r="L58" s="61"/>
      <c r="M58" s="61" t="s">
        <v>1733</v>
      </c>
      <c r="N58" s="61" t="s">
        <v>1769</v>
      </c>
      <c r="O58" s="61" t="s">
        <v>1673</v>
      </c>
      <c r="P58" s="61" t="s">
        <v>1678</v>
      </c>
      <c r="Q58" s="61" t="s">
        <v>1674</v>
      </c>
      <c r="R58" s="60">
        <v>142</v>
      </c>
      <c r="S58" s="61" t="s">
        <v>1675</v>
      </c>
      <c r="T58" s="60">
        <v>52157</v>
      </c>
      <c r="U58" s="60">
        <v>38591</v>
      </c>
      <c r="V58" s="60"/>
      <c r="W58" s="60"/>
      <c r="X58" s="60">
        <v>18659</v>
      </c>
      <c r="Y58" s="60">
        <v>12471</v>
      </c>
      <c r="Z58" s="60">
        <v>15506</v>
      </c>
      <c r="AA58" s="60">
        <v>12517</v>
      </c>
      <c r="AB58" s="60">
        <v>11156</v>
      </c>
      <c r="AC58" s="60">
        <v>7271</v>
      </c>
      <c r="AD58" s="60">
        <v>3965</v>
      </c>
      <c r="AE58" s="60">
        <v>2886</v>
      </c>
      <c r="AF58" s="60">
        <v>2237</v>
      </c>
      <c r="AG58" s="60">
        <v>4075</v>
      </c>
      <c r="AH58" s="60">
        <v>5</v>
      </c>
      <c r="AI58" s="60">
        <v>788</v>
      </c>
      <c r="AJ58" s="60">
        <v>3919</v>
      </c>
      <c r="AK58" s="60">
        <v>57635</v>
      </c>
      <c r="AL58" s="60">
        <v>438</v>
      </c>
      <c r="AM58" s="60">
        <v>1032</v>
      </c>
      <c r="AN58" s="60">
        <v>128</v>
      </c>
      <c r="AO58" s="60">
        <v>26808</v>
      </c>
      <c r="AP58" s="60">
        <v>1072</v>
      </c>
      <c r="AQ58" s="60">
        <v>841</v>
      </c>
      <c r="AR58" s="60"/>
      <c r="AS58" s="60">
        <v>87</v>
      </c>
      <c r="AT58" s="60">
        <v>152</v>
      </c>
      <c r="AU58" s="60"/>
      <c r="AV58" s="60"/>
      <c r="AW58" s="60">
        <v>9</v>
      </c>
      <c r="AX58" s="60">
        <v>120</v>
      </c>
      <c r="AY58" s="60">
        <v>271</v>
      </c>
      <c r="AZ58" s="60">
        <v>289</v>
      </c>
      <c r="BA58" s="60">
        <v>87693</v>
      </c>
      <c r="BB58" s="60">
        <v>213</v>
      </c>
      <c r="BC58" s="60">
        <v>1</v>
      </c>
      <c r="BD58" s="60"/>
      <c r="BE58" s="60">
        <v>46206</v>
      </c>
      <c r="BF58" s="60">
        <v>8906</v>
      </c>
      <c r="BG58" s="60">
        <v>5660</v>
      </c>
      <c r="BH58" s="60">
        <v>18623</v>
      </c>
      <c r="BI58" s="60">
        <v>11353</v>
      </c>
      <c r="BJ58" s="60">
        <v>2757</v>
      </c>
      <c r="BK58" s="60">
        <v>231</v>
      </c>
      <c r="BL58" s="60">
        <v>1419</v>
      </c>
      <c r="BM58" s="60">
        <v>32</v>
      </c>
      <c r="BN58" s="60">
        <v>7123</v>
      </c>
      <c r="BO58" s="60">
        <v>1081</v>
      </c>
      <c r="BP58" s="60">
        <v>6129</v>
      </c>
      <c r="BQ58" s="60">
        <v>2573</v>
      </c>
      <c r="BR58" s="60">
        <v>18280</v>
      </c>
      <c r="BS58" s="60">
        <v>5503</v>
      </c>
      <c r="BT58" s="60">
        <v>136</v>
      </c>
      <c r="BU58" s="60">
        <v>7411</v>
      </c>
      <c r="BV58" s="60">
        <v>2047</v>
      </c>
      <c r="BW58" s="60">
        <v>106</v>
      </c>
      <c r="BX58" s="60">
        <v>2797</v>
      </c>
      <c r="BY58" s="60">
        <v>14488</v>
      </c>
      <c r="BZ58" s="60">
        <v>4178</v>
      </c>
      <c r="CA58" s="60">
        <v>14453</v>
      </c>
      <c r="CB58" s="60"/>
      <c r="CC58" s="60">
        <v>4</v>
      </c>
      <c r="CD58" s="60">
        <v>5397</v>
      </c>
      <c r="CE58" s="60">
        <v>272</v>
      </c>
      <c r="CF58" s="60">
        <v>783</v>
      </c>
      <c r="CG58" s="60">
        <v>60</v>
      </c>
      <c r="CH58" s="60">
        <v>623</v>
      </c>
      <c r="CI58" s="60">
        <v>95</v>
      </c>
      <c r="CJ58" s="60">
        <v>407</v>
      </c>
      <c r="CK58" s="60">
        <v>1242</v>
      </c>
      <c r="CL58" s="60">
        <v>70855</v>
      </c>
      <c r="CM58" s="60">
        <v>8275</v>
      </c>
      <c r="CN58" s="60">
        <v>277</v>
      </c>
      <c r="CO58" s="60">
        <v>1706</v>
      </c>
      <c r="CP58" s="60">
        <v>219</v>
      </c>
      <c r="CQ58" s="60">
        <v>475</v>
      </c>
      <c r="CR58" s="60">
        <v>62</v>
      </c>
      <c r="CS58" s="60"/>
      <c r="CT58" s="60">
        <v>90748</v>
      </c>
      <c r="CU58" s="60">
        <v>167</v>
      </c>
      <c r="CV58" s="60">
        <v>74139</v>
      </c>
      <c r="CW58" s="60">
        <v>16442</v>
      </c>
      <c r="CX58" s="60">
        <v>4951</v>
      </c>
      <c r="CY58" s="60">
        <v>3894</v>
      </c>
      <c r="CZ58" s="60"/>
      <c r="DA58" s="60"/>
      <c r="DB58" s="60">
        <v>242</v>
      </c>
      <c r="DC58" s="60">
        <v>666</v>
      </c>
      <c r="DD58" s="60">
        <v>729</v>
      </c>
      <c r="DE58" s="60">
        <v>1133</v>
      </c>
      <c r="DF58" s="60">
        <v>1400</v>
      </c>
      <c r="DG58" s="60">
        <v>1365</v>
      </c>
      <c r="DH58" s="60">
        <v>1414</v>
      </c>
      <c r="DI58" s="60">
        <v>1718</v>
      </c>
      <c r="DJ58" s="60">
        <v>66</v>
      </c>
      <c r="DK58" s="60">
        <v>112</v>
      </c>
      <c r="DL58" s="60"/>
      <c r="DM58" s="60">
        <v>140</v>
      </c>
      <c r="DN58" s="60">
        <v>386</v>
      </c>
      <c r="DO58" s="60">
        <v>4217</v>
      </c>
      <c r="DP58" s="60">
        <v>65</v>
      </c>
      <c r="DQ58" s="60">
        <v>13</v>
      </c>
      <c r="DR58" s="60">
        <v>3980</v>
      </c>
      <c r="DS58" s="60">
        <v>44</v>
      </c>
      <c r="DT58" s="60">
        <v>278</v>
      </c>
      <c r="DU58" s="60">
        <v>187</v>
      </c>
      <c r="DV58" s="60">
        <v>251</v>
      </c>
      <c r="DW58" s="60">
        <v>933</v>
      </c>
      <c r="DX58" s="60">
        <v>70</v>
      </c>
      <c r="DY58" s="60"/>
      <c r="DZ58" s="60">
        <v>43</v>
      </c>
      <c r="EA58" s="60">
        <v>6192</v>
      </c>
      <c r="EB58" s="60">
        <v>879</v>
      </c>
      <c r="EC58" s="60">
        <v>12</v>
      </c>
      <c r="ED58" s="60">
        <v>0</v>
      </c>
      <c r="EE58" s="60">
        <v>0</v>
      </c>
      <c r="EF58" s="60">
        <v>0</v>
      </c>
      <c r="EG58" s="60">
        <v>0</v>
      </c>
      <c r="EH58" s="60">
        <v>0</v>
      </c>
      <c r="EI58" s="60">
        <v>2012</v>
      </c>
      <c r="EJ58" s="60">
        <v>3908</v>
      </c>
      <c r="EK58" s="60">
        <v>227</v>
      </c>
      <c r="EL58" s="60">
        <v>1675</v>
      </c>
      <c r="EM58" s="60">
        <v>1023</v>
      </c>
      <c r="EN58" s="60">
        <v>159</v>
      </c>
      <c r="EO58" s="60">
        <v>212</v>
      </c>
      <c r="EP58" s="60">
        <v>1329</v>
      </c>
      <c r="EQ58" s="60">
        <v>2</v>
      </c>
      <c r="ER58" s="60">
        <v>1626</v>
      </c>
      <c r="ES58" s="60">
        <v>605</v>
      </c>
      <c r="ET58" s="60">
        <v>678</v>
      </c>
      <c r="EU58" s="60">
        <v>609</v>
      </c>
      <c r="EV58" s="60">
        <v>554</v>
      </c>
      <c r="EW58" s="60">
        <v>138</v>
      </c>
      <c r="EX58" s="60">
        <v>148</v>
      </c>
      <c r="EY58" s="60">
        <v>182</v>
      </c>
      <c r="EZ58" s="60">
        <v>1</v>
      </c>
      <c r="FA58" s="60">
        <v>68</v>
      </c>
      <c r="FB58" s="60">
        <v>1267</v>
      </c>
      <c r="FC58" s="60">
        <v>290</v>
      </c>
      <c r="FD58" s="60">
        <v>963</v>
      </c>
      <c r="FE58" s="60">
        <v>1</v>
      </c>
      <c r="FF58" s="60">
        <v>13</v>
      </c>
      <c r="FG58" s="60"/>
      <c r="FH58" s="60">
        <v>385</v>
      </c>
      <c r="FI58" s="60">
        <v>60</v>
      </c>
      <c r="FJ58" s="60">
        <v>544</v>
      </c>
      <c r="FK58" s="60">
        <v>5</v>
      </c>
      <c r="FL58" s="60">
        <v>44</v>
      </c>
      <c r="FM58" s="60">
        <v>324</v>
      </c>
      <c r="FN58" s="60">
        <v>35</v>
      </c>
      <c r="FO58" s="60">
        <v>7239</v>
      </c>
      <c r="FP58" s="60">
        <v>121</v>
      </c>
      <c r="FQ58" s="60">
        <v>8</v>
      </c>
      <c r="FR58" s="60">
        <v>22</v>
      </c>
      <c r="FS58" s="60">
        <v>38</v>
      </c>
      <c r="FT58" s="60">
        <v>9</v>
      </c>
      <c r="FU58" s="60">
        <v>11</v>
      </c>
      <c r="FV58" s="60"/>
      <c r="FW58" s="60"/>
      <c r="FX58" s="60">
        <v>8845</v>
      </c>
      <c r="FY58" s="60">
        <v>54</v>
      </c>
      <c r="FZ58" s="60">
        <v>7233</v>
      </c>
      <c r="GA58" s="60">
        <v>1558</v>
      </c>
      <c r="GB58" s="60">
        <v>2011</v>
      </c>
    </row>
    <row r="59" spans="1:184" x14ac:dyDescent="0.3">
      <c r="A59" s="60">
        <v>106171049</v>
      </c>
      <c r="B59" s="61" t="s">
        <v>327</v>
      </c>
      <c r="C59" s="61" t="s">
        <v>328</v>
      </c>
      <c r="D59" s="61" t="s">
        <v>329</v>
      </c>
      <c r="E59" s="61" t="s">
        <v>330</v>
      </c>
      <c r="F59" s="60">
        <v>95422</v>
      </c>
      <c r="G59" s="61"/>
      <c r="H59" s="61" t="s">
        <v>1669</v>
      </c>
      <c r="I59" s="60">
        <v>1</v>
      </c>
      <c r="J59" s="60">
        <v>2</v>
      </c>
      <c r="K59" s="61" t="s">
        <v>1771</v>
      </c>
      <c r="L59" s="61"/>
      <c r="M59" s="61" t="s">
        <v>1704</v>
      </c>
      <c r="N59" s="61" t="s">
        <v>1772</v>
      </c>
      <c r="O59" s="61" t="s">
        <v>1673</v>
      </c>
      <c r="P59" s="61" t="s">
        <v>1678</v>
      </c>
      <c r="Q59" s="61" t="s">
        <v>1674</v>
      </c>
      <c r="R59" s="60">
        <v>32</v>
      </c>
      <c r="S59" s="61" t="s">
        <v>1706</v>
      </c>
      <c r="T59" s="60">
        <v>8870</v>
      </c>
      <c r="U59" s="60">
        <v>7382</v>
      </c>
      <c r="V59" s="60"/>
      <c r="W59" s="60"/>
      <c r="X59" s="60">
        <v>1486</v>
      </c>
      <c r="Y59" s="60">
        <v>1528</v>
      </c>
      <c r="Z59" s="60">
        <v>2476</v>
      </c>
      <c r="AA59" s="60">
        <v>2009</v>
      </c>
      <c r="AB59" s="60">
        <v>2151</v>
      </c>
      <c r="AC59" s="60">
        <v>2459</v>
      </c>
      <c r="AD59" s="60">
        <v>1688</v>
      </c>
      <c r="AE59" s="60">
        <v>1087</v>
      </c>
      <c r="AF59" s="60">
        <v>1025</v>
      </c>
      <c r="AG59" s="60">
        <v>343</v>
      </c>
      <c r="AH59" s="60"/>
      <c r="AI59" s="60">
        <v>69</v>
      </c>
      <c r="AJ59" s="60">
        <v>679</v>
      </c>
      <c r="AK59" s="60">
        <v>1344</v>
      </c>
      <c r="AL59" s="60">
        <v>114</v>
      </c>
      <c r="AM59" s="60">
        <v>36</v>
      </c>
      <c r="AN59" s="60">
        <v>176</v>
      </c>
      <c r="AO59" s="60">
        <v>13834</v>
      </c>
      <c r="AP59" s="60">
        <v>2329</v>
      </c>
      <c r="AQ59" s="60">
        <v>338</v>
      </c>
      <c r="AR59" s="60"/>
      <c r="AS59" s="60">
        <v>36</v>
      </c>
      <c r="AT59" s="60">
        <v>2</v>
      </c>
      <c r="AU59" s="60">
        <v>1</v>
      </c>
      <c r="AV59" s="60"/>
      <c r="AW59" s="60"/>
      <c r="AX59" s="60">
        <v>96</v>
      </c>
      <c r="AY59" s="60">
        <v>126</v>
      </c>
      <c r="AZ59" s="60">
        <v>2</v>
      </c>
      <c r="BA59" s="60">
        <v>13278</v>
      </c>
      <c r="BB59" s="60">
        <v>44</v>
      </c>
      <c r="BC59" s="60"/>
      <c r="BD59" s="60"/>
      <c r="BE59" s="60">
        <v>7566</v>
      </c>
      <c r="BF59" s="60">
        <v>4422</v>
      </c>
      <c r="BG59" s="60">
        <v>331</v>
      </c>
      <c r="BH59" s="60">
        <v>2431</v>
      </c>
      <c r="BI59" s="60">
        <v>1502</v>
      </c>
      <c r="BJ59" s="60">
        <v>339</v>
      </c>
      <c r="BK59" s="60">
        <v>26</v>
      </c>
      <c r="BL59" s="60">
        <v>387</v>
      </c>
      <c r="BM59" s="60">
        <v>1</v>
      </c>
      <c r="BN59" s="60">
        <v>643</v>
      </c>
      <c r="BO59" s="60">
        <v>166</v>
      </c>
      <c r="BP59" s="60">
        <v>462</v>
      </c>
      <c r="BQ59" s="60">
        <v>182</v>
      </c>
      <c r="BR59" s="60">
        <v>3414</v>
      </c>
      <c r="BS59" s="60">
        <v>1261</v>
      </c>
      <c r="BT59" s="60">
        <v>6</v>
      </c>
      <c r="BU59" s="60">
        <v>820</v>
      </c>
      <c r="BV59" s="60">
        <v>220</v>
      </c>
      <c r="BW59" s="60">
        <v>7</v>
      </c>
      <c r="BX59" s="60">
        <v>738</v>
      </c>
      <c r="BY59" s="60">
        <v>1160</v>
      </c>
      <c r="BZ59" s="60">
        <v>955</v>
      </c>
      <c r="CA59" s="60">
        <v>5464</v>
      </c>
      <c r="CB59" s="60"/>
      <c r="CC59" s="60">
        <v>1</v>
      </c>
      <c r="CD59" s="60">
        <v>1129</v>
      </c>
      <c r="CE59" s="60">
        <v>94</v>
      </c>
      <c r="CF59" s="60">
        <v>116</v>
      </c>
      <c r="CG59" s="60">
        <v>13</v>
      </c>
      <c r="CH59" s="60">
        <v>203</v>
      </c>
      <c r="CI59" s="60">
        <v>8</v>
      </c>
      <c r="CJ59" s="60">
        <v>148</v>
      </c>
      <c r="CK59" s="60">
        <v>239</v>
      </c>
      <c r="CL59" s="60">
        <v>12403</v>
      </c>
      <c r="CM59" s="60">
        <v>1326</v>
      </c>
      <c r="CN59" s="60">
        <v>78</v>
      </c>
      <c r="CO59" s="60">
        <v>313</v>
      </c>
      <c r="CP59" s="60">
        <v>84</v>
      </c>
      <c r="CQ59" s="60">
        <v>80</v>
      </c>
      <c r="CR59" s="60">
        <v>18</v>
      </c>
      <c r="CS59" s="60"/>
      <c r="CT59" s="60">
        <v>16252</v>
      </c>
      <c r="CU59" s="60">
        <v>15</v>
      </c>
      <c r="CV59" s="60">
        <v>15832</v>
      </c>
      <c r="CW59" s="60">
        <v>405</v>
      </c>
      <c r="CX59" s="60">
        <v>810</v>
      </c>
      <c r="CY59" s="60">
        <v>573</v>
      </c>
      <c r="CZ59" s="60"/>
      <c r="DA59" s="60"/>
      <c r="DB59" s="60">
        <v>27</v>
      </c>
      <c r="DC59" s="60">
        <v>81</v>
      </c>
      <c r="DD59" s="60">
        <v>107</v>
      </c>
      <c r="DE59" s="60">
        <v>191</v>
      </c>
      <c r="DF59" s="60">
        <v>274</v>
      </c>
      <c r="DG59" s="60">
        <v>253</v>
      </c>
      <c r="DH59" s="60">
        <v>176</v>
      </c>
      <c r="DI59" s="60">
        <v>243</v>
      </c>
      <c r="DJ59" s="60">
        <v>8</v>
      </c>
      <c r="DK59" s="60">
        <v>23</v>
      </c>
      <c r="DL59" s="60"/>
      <c r="DM59" s="60">
        <v>2</v>
      </c>
      <c r="DN59" s="60">
        <v>58</v>
      </c>
      <c r="DO59" s="60">
        <v>71</v>
      </c>
      <c r="DP59" s="60">
        <v>3</v>
      </c>
      <c r="DQ59" s="60">
        <v>12</v>
      </c>
      <c r="DR59" s="60">
        <v>1230</v>
      </c>
      <c r="DS59" s="60">
        <v>7</v>
      </c>
      <c r="DT59" s="60">
        <v>146</v>
      </c>
      <c r="DU59" s="60">
        <v>58</v>
      </c>
      <c r="DV59" s="60">
        <v>21</v>
      </c>
      <c r="DW59" s="60">
        <v>109</v>
      </c>
      <c r="DX59" s="60">
        <v>4</v>
      </c>
      <c r="DY59" s="60">
        <v>1</v>
      </c>
      <c r="DZ59" s="60"/>
      <c r="EA59" s="60">
        <v>932</v>
      </c>
      <c r="EB59" s="60">
        <v>112</v>
      </c>
      <c r="EC59" s="60"/>
      <c r="ED59" s="60">
        <v>0</v>
      </c>
      <c r="EE59" s="60">
        <v>0</v>
      </c>
      <c r="EF59" s="60">
        <v>0</v>
      </c>
      <c r="EG59" s="60">
        <v>0</v>
      </c>
      <c r="EH59" s="60">
        <v>0</v>
      </c>
      <c r="EI59" s="60">
        <v>358</v>
      </c>
      <c r="EJ59" s="60">
        <v>711</v>
      </c>
      <c r="EK59" s="60">
        <v>19</v>
      </c>
      <c r="EL59" s="60">
        <v>121</v>
      </c>
      <c r="EM59" s="60">
        <v>174</v>
      </c>
      <c r="EN59" s="60">
        <v>32</v>
      </c>
      <c r="EO59" s="60">
        <v>18</v>
      </c>
      <c r="EP59" s="60">
        <v>107</v>
      </c>
      <c r="EQ59" s="60"/>
      <c r="ER59" s="60">
        <v>266</v>
      </c>
      <c r="ES59" s="60">
        <v>99</v>
      </c>
      <c r="ET59" s="60">
        <v>90</v>
      </c>
      <c r="EU59" s="60">
        <v>78</v>
      </c>
      <c r="EV59" s="60">
        <v>91</v>
      </c>
      <c r="EW59" s="60">
        <v>21</v>
      </c>
      <c r="EX59" s="60">
        <v>19</v>
      </c>
      <c r="EY59" s="60">
        <v>22</v>
      </c>
      <c r="EZ59" s="60">
        <v>2</v>
      </c>
      <c r="FA59" s="60">
        <v>36</v>
      </c>
      <c r="FB59" s="60">
        <v>382</v>
      </c>
      <c r="FC59" s="60">
        <v>56</v>
      </c>
      <c r="FD59" s="60">
        <v>63</v>
      </c>
      <c r="FE59" s="60">
        <v>1</v>
      </c>
      <c r="FF59" s="60"/>
      <c r="FG59" s="60"/>
      <c r="FH59" s="60">
        <v>38</v>
      </c>
      <c r="FI59" s="60">
        <v>29</v>
      </c>
      <c r="FJ59" s="60">
        <v>137</v>
      </c>
      <c r="FK59" s="60">
        <v>5</v>
      </c>
      <c r="FL59" s="60">
        <v>6</v>
      </c>
      <c r="FM59" s="60">
        <v>75</v>
      </c>
      <c r="FN59" s="60">
        <v>6</v>
      </c>
      <c r="FO59" s="60">
        <v>1064</v>
      </c>
      <c r="FP59" s="60">
        <v>9</v>
      </c>
      <c r="FQ59" s="60"/>
      <c r="FR59" s="60"/>
      <c r="FS59" s="60">
        <v>6</v>
      </c>
      <c r="FT59" s="60">
        <v>5</v>
      </c>
      <c r="FU59" s="60">
        <v>1</v>
      </c>
      <c r="FV59" s="60">
        <v>2</v>
      </c>
      <c r="FW59" s="60"/>
      <c r="FX59" s="60">
        <v>1383</v>
      </c>
      <c r="FY59" s="60">
        <v>1</v>
      </c>
      <c r="FZ59" s="60">
        <v>1370</v>
      </c>
      <c r="GA59" s="60">
        <v>12</v>
      </c>
      <c r="GB59" s="60">
        <v>2011</v>
      </c>
    </row>
    <row r="60" spans="1:184" x14ac:dyDescent="0.3">
      <c r="A60" s="60">
        <v>106171395</v>
      </c>
      <c r="B60" s="61" t="s">
        <v>331</v>
      </c>
      <c r="C60" s="61" t="s">
        <v>332</v>
      </c>
      <c r="D60" s="61" t="s">
        <v>333</v>
      </c>
      <c r="E60" s="61" t="s">
        <v>334</v>
      </c>
      <c r="F60" s="60">
        <v>95453</v>
      </c>
      <c r="G60" s="61" t="s">
        <v>177</v>
      </c>
      <c r="H60" s="61" t="s">
        <v>1669</v>
      </c>
      <c r="I60" s="60">
        <v>1</v>
      </c>
      <c r="J60" s="60">
        <v>2</v>
      </c>
      <c r="K60" s="61" t="s">
        <v>1773</v>
      </c>
      <c r="L60" s="61"/>
      <c r="M60" s="61" t="s">
        <v>1704</v>
      </c>
      <c r="N60" s="61" t="s">
        <v>1772</v>
      </c>
      <c r="O60" s="61" t="s">
        <v>1673</v>
      </c>
      <c r="P60" s="61" t="s">
        <v>1678</v>
      </c>
      <c r="Q60" s="61" t="s">
        <v>1674</v>
      </c>
      <c r="R60" s="60">
        <v>49</v>
      </c>
      <c r="S60" s="61" t="s">
        <v>1675</v>
      </c>
      <c r="T60" s="60">
        <v>9682</v>
      </c>
      <c r="U60" s="60">
        <v>7715</v>
      </c>
      <c r="V60" s="60"/>
      <c r="W60" s="60"/>
      <c r="X60" s="60">
        <v>1520</v>
      </c>
      <c r="Y60" s="60">
        <v>1746</v>
      </c>
      <c r="Z60" s="60">
        <v>2502</v>
      </c>
      <c r="AA60" s="60">
        <v>2310</v>
      </c>
      <c r="AB60" s="60">
        <v>2132</v>
      </c>
      <c r="AC60" s="60">
        <v>2388</v>
      </c>
      <c r="AD60" s="60">
        <v>1767</v>
      </c>
      <c r="AE60" s="60">
        <v>1444</v>
      </c>
      <c r="AF60" s="60">
        <v>1241</v>
      </c>
      <c r="AG60" s="60">
        <v>347</v>
      </c>
      <c r="AH60" s="60"/>
      <c r="AI60" s="60">
        <v>58</v>
      </c>
      <c r="AJ60" s="60">
        <v>281</v>
      </c>
      <c r="AK60" s="60">
        <v>1983</v>
      </c>
      <c r="AL60" s="60">
        <v>694</v>
      </c>
      <c r="AM60" s="60">
        <v>121</v>
      </c>
      <c r="AN60" s="60">
        <v>27</v>
      </c>
      <c r="AO60" s="60">
        <v>14233</v>
      </c>
      <c r="AP60" s="60">
        <v>544</v>
      </c>
      <c r="AQ60" s="60">
        <v>108</v>
      </c>
      <c r="AR60" s="60"/>
      <c r="AS60" s="60">
        <v>23</v>
      </c>
      <c r="AT60" s="60"/>
      <c r="AU60" s="60"/>
      <c r="AV60" s="60"/>
      <c r="AW60" s="60">
        <v>28</v>
      </c>
      <c r="AX60" s="60">
        <v>85</v>
      </c>
      <c r="AY60" s="60">
        <v>54</v>
      </c>
      <c r="AZ60" s="60"/>
      <c r="BA60" s="60">
        <v>16551</v>
      </c>
      <c r="BB60" s="60">
        <v>3</v>
      </c>
      <c r="BC60" s="60"/>
      <c r="BD60" s="60">
        <v>1</v>
      </c>
      <c r="BE60" s="60">
        <v>6203</v>
      </c>
      <c r="BF60" s="60">
        <v>4792</v>
      </c>
      <c r="BG60" s="60">
        <v>731</v>
      </c>
      <c r="BH60" s="60">
        <v>3087</v>
      </c>
      <c r="BI60" s="60">
        <v>2584</v>
      </c>
      <c r="BJ60" s="60">
        <v>287</v>
      </c>
      <c r="BK60" s="60">
        <v>72</v>
      </c>
      <c r="BL60" s="60">
        <v>663</v>
      </c>
      <c r="BM60" s="60">
        <v>7</v>
      </c>
      <c r="BN60" s="60">
        <v>1375</v>
      </c>
      <c r="BO60" s="60">
        <v>302</v>
      </c>
      <c r="BP60" s="60">
        <v>860</v>
      </c>
      <c r="BQ60" s="60">
        <v>365</v>
      </c>
      <c r="BR60" s="60">
        <v>3844</v>
      </c>
      <c r="BS60" s="60">
        <v>1221</v>
      </c>
      <c r="BT60" s="60">
        <v>73</v>
      </c>
      <c r="BU60" s="60">
        <v>1134</v>
      </c>
      <c r="BV60" s="60">
        <v>717</v>
      </c>
      <c r="BW60" s="60">
        <v>12</v>
      </c>
      <c r="BX60" s="60">
        <v>422</v>
      </c>
      <c r="BY60" s="60">
        <v>1780</v>
      </c>
      <c r="BZ60" s="60">
        <v>888</v>
      </c>
      <c r="CA60" s="60">
        <v>3375</v>
      </c>
      <c r="CB60" s="60"/>
      <c r="CC60" s="60"/>
      <c r="CD60" s="60">
        <v>1250</v>
      </c>
      <c r="CE60" s="60">
        <v>94</v>
      </c>
      <c r="CF60" s="60">
        <v>132</v>
      </c>
      <c r="CG60" s="60">
        <v>11</v>
      </c>
      <c r="CH60" s="60">
        <v>188</v>
      </c>
      <c r="CI60" s="60">
        <v>19</v>
      </c>
      <c r="CJ60" s="60">
        <v>165</v>
      </c>
      <c r="CK60" s="60">
        <v>252</v>
      </c>
      <c r="CL60" s="60">
        <v>12870</v>
      </c>
      <c r="CM60" s="60">
        <v>1789</v>
      </c>
      <c r="CN60" s="60">
        <v>76</v>
      </c>
      <c r="CO60" s="60">
        <v>361</v>
      </c>
      <c r="CP60" s="60">
        <v>58</v>
      </c>
      <c r="CQ60" s="60">
        <v>107</v>
      </c>
      <c r="CR60" s="60">
        <v>25</v>
      </c>
      <c r="CS60" s="60"/>
      <c r="CT60" s="60">
        <v>17397</v>
      </c>
      <c r="CU60" s="60">
        <v>35</v>
      </c>
      <c r="CV60" s="60">
        <v>16563</v>
      </c>
      <c r="CW60" s="60">
        <v>799</v>
      </c>
      <c r="CX60" s="60">
        <v>723</v>
      </c>
      <c r="CY60" s="60">
        <v>624</v>
      </c>
      <c r="CZ60" s="60"/>
      <c r="DA60" s="60"/>
      <c r="DB60" s="60">
        <v>24</v>
      </c>
      <c r="DC60" s="60">
        <v>45</v>
      </c>
      <c r="DD60" s="60">
        <v>51</v>
      </c>
      <c r="DE60" s="60">
        <v>120</v>
      </c>
      <c r="DF60" s="60">
        <v>219</v>
      </c>
      <c r="DG60" s="60">
        <v>268</v>
      </c>
      <c r="DH60" s="60">
        <v>274</v>
      </c>
      <c r="DI60" s="60">
        <v>331</v>
      </c>
      <c r="DJ60" s="60">
        <v>6</v>
      </c>
      <c r="DK60" s="60">
        <v>9</v>
      </c>
      <c r="DL60" s="60"/>
      <c r="DM60" s="60">
        <v>3</v>
      </c>
      <c r="DN60" s="60">
        <v>15</v>
      </c>
      <c r="DO60" s="60">
        <v>97</v>
      </c>
      <c r="DP60" s="60">
        <v>8</v>
      </c>
      <c r="DQ60" s="60">
        <v>5</v>
      </c>
      <c r="DR60" s="60">
        <v>1185</v>
      </c>
      <c r="DS60" s="60">
        <v>34</v>
      </c>
      <c r="DT60" s="60">
        <v>108</v>
      </c>
      <c r="DU60" s="60">
        <v>14</v>
      </c>
      <c r="DV60" s="60">
        <v>30</v>
      </c>
      <c r="DW60" s="60">
        <v>301</v>
      </c>
      <c r="DX60" s="60">
        <v>14</v>
      </c>
      <c r="DY60" s="60"/>
      <c r="DZ60" s="60">
        <v>2</v>
      </c>
      <c r="EA60" s="60">
        <v>652</v>
      </c>
      <c r="EB60" s="60">
        <v>224</v>
      </c>
      <c r="EC60" s="60">
        <v>2</v>
      </c>
      <c r="ED60" s="60">
        <v>0</v>
      </c>
      <c r="EE60" s="60">
        <v>0</v>
      </c>
      <c r="EF60" s="60">
        <v>0</v>
      </c>
      <c r="EG60" s="60">
        <v>0</v>
      </c>
      <c r="EH60" s="60">
        <v>0</v>
      </c>
      <c r="EI60" s="60">
        <v>177</v>
      </c>
      <c r="EJ60" s="60">
        <v>844</v>
      </c>
      <c r="EK60" s="60">
        <v>14</v>
      </c>
      <c r="EL60" s="60">
        <v>165</v>
      </c>
      <c r="EM60" s="60">
        <v>147</v>
      </c>
      <c r="EN60" s="60">
        <v>6</v>
      </c>
      <c r="EO60" s="60">
        <v>25</v>
      </c>
      <c r="EP60" s="60">
        <v>238</v>
      </c>
      <c r="EQ60" s="60"/>
      <c r="ER60" s="60">
        <v>270</v>
      </c>
      <c r="ES60" s="60">
        <v>53</v>
      </c>
      <c r="ET60" s="60">
        <v>76</v>
      </c>
      <c r="EU60" s="60">
        <v>117</v>
      </c>
      <c r="EV60" s="60">
        <v>146</v>
      </c>
      <c r="EW60" s="60">
        <v>17</v>
      </c>
      <c r="EX60" s="60">
        <v>30</v>
      </c>
      <c r="EY60" s="60">
        <v>49</v>
      </c>
      <c r="EZ60" s="60"/>
      <c r="FA60" s="60">
        <v>14</v>
      </c>
      <c r="FB60" s="60">
        <v>227</v>
      </c>
      <c r="FC60" s="60">
        <v>46</v>
      </c>
      <c r="FD60" s="60">
        <v>29</v>
      </c>
      <c r="FE60" s="60">
        <v>1</v>
      </c>
      <c r="FF60" s="60">
        <v>3</v>
      </c>
      <c r="FG60" s="60"/>
      <c r="FH60" s="60">
        <v>85</v>
      </c>
      <c r="FI60" s="60">
        <v>42</v>
      </c>
      <c r="FJ60" s="60">
        <v>145</v>
      </c>
      <c r="FK60" s="60">
        <v>1</v>
      </c>
      <c r="FL60" s="60">
        <v>22</v>
      </c>
      <c r="FM60" s="60">
        <v>59</v>
      </c>
      <c r="FN60" s="60">
        <v>4</v>
      </c>
      <c r="FO60" s="60">
        <v>935</v>
      </c>
      <c r="FP60" s="60">
        <v>25</v>
      </c>
      <c r="FQ60" s="60">
        <v>1</v>
      </c>
      <c r="FR60" s="60">
        <v>13</v>
      </c>
      <c r="FS60" s="60">
        <v>9</v>
      </c>
      <c r="FT60" s="60">
        <v>5</v>
      </c>
      <c r="FU60" s="60"/>
      <c r="FV60" s="60">
        <v>1</v>
      </c>
      <c r="FW60" s="60"/>
      <c r="FX60" s="60">
        <v>1347</v>
      </c>
      <c r="FY60" s="60"/>
      <c r="FZ60" s="60">
        <v>1316</v>
      </c>
      <c r="GA60" s="60">
        <v>31</v>
      </c>
      <c r="GB60" s="60">
        <v>2011</v>
      </c>
    </row>
    <row r="61" spans="1:184" x14ac:dyDescent="0.3">
      <c r="A61" s="60">
        <v>106184008</v>
      </c>
      <c r="B61" s="61" t="s">
        <v>335</v>
      </c>
      <c r="C61" s="61" t="s">
        <v>336</v>
      </c>
      <c r="D61" s="61" t="s">
        <v>337</v>
      </c>
      <c r="E61" s="61" t="s">
        <v>338</v>
      </c>
      <c r="F61" s="60">
        <v>96130</v>
      </c>
      <c r="G61" s="61"/>
      <c r="H61" s="61" t="s">
        <v>1669</v>
      </c>
      <c r="I61" s="60">
        <v>3</v>
      </c>
      <c r="J61" s="60">
        <v>1</v>
      </c>
      <c r="K61" s="61" t="s">
        <v>1774</v>
      </c>
      <c r="L61" s="61"/>
      <c r="M61" s="61" t="s">
        <v>1704</v>
      </c>
      <c r="N61" s="61" t="s">
        <v>1775</v>
      </c>
      <c r="O61" s="61" t="s">
        <v>1673</v>
      </c>
      <c r="P61" s="61" t="s">
        <v>1678</v>
      </c>
      <c r="Q61" s="61" t="s">
        <v>1674</v>
      </c>
      <c r="R61" s="60">
        <v>38</v>
      </c>
      <c r="S61" s="61" t="s">
        <v>1675</v>
      </c>
      <c r="T61" s="60">
        <v>4708</v>
      </c>
      <c r="U61" s="60">
        <v>4072</v>
      </c>
      <c r="V61" s="60"/>
      <c r="W61" s="60"/>
      <c r="X61" s="60">
        <v>951</v>
      </c>
      <c r="Y61" s="60">
        <v>1106</v>
      </c>
      <c r="Z61" s="60">
        <v>1636</v>
      </c>
      <c r="AA61" s="60">
        <v>1081</v>
      </c>
      <c r="AB61" s="60">
        <v>1162</v>
      </c>
      <c r="AC61" s="60">
        <v>944</v>
      </c>
      <c r="AD61" s="60">
        <v>741</v>
      </c>
      <c r="AE61" s="60">
        <v>445</v>
      </c>
      <c r="AF61" s="60">
        <v>492</v>
      </c>
      <c r="AG61" s="60">
        <v>222</v>
      </c>
      <c r="AH61" s="60"/>
      <c r="AI61" s="60">
        <v>66</v>
      </c>
      <c r="AJ61" s="60">
        <v>177</v>
      </c>
      <c r="AK61" s="60">
        <v>579</v>
      </c>
      <c r="AL61" s="60">
        <v>371</v>
      </c>
      <c r="AM61" s="60">
        <v>31</v>
      </c>
      <c r="AN61" s="60">
        <v>27</v>
      </c>
      <c r="AO61" s="60">
        <v>7529</v>
      </c>
      <c r="AP61" s="60">
        <v>520</v>
      </c>
      <c r="AQ61" s="60">
        <v>6</v>
      </c>
      <c r="AR61" s="60"/>
      <c r="AS61" s="60">
        <v>10</v>
      </c>
      <c r="AT61" s="60">
        <v>3</v>
      </c>
      <c r="AU61" s="60"/>
      <c r="AV61" s="60"/>
      <c r="AW61" s="60">
        <v>2</v>
      </c>
      <c r="AX61" s="60"/>
      <c r="AY61" s="60">
        <v>48</v>
      </c>
      <c r="AZ61" s="60">
        <v>28</v>
      </c>
      <c r="BA61" s="60">
        <v>8065</v>
      </c>
      <c r="BB61" s="60">
        <v>98</v>
      </c>
      <c r="BC61" s="60"/>
      <c r="BD61" s="60"/>
      <c r="BE61" s="60">
        <v>2529</v>
      </c>
      <c r="BF61" s="60">
        <v>1585</v>
      </c>
      <c r="BG61" s="60">
        <v>1203</v>
      </c>
      <c r="BH61" s="60">
        <v>2569</v>
      </c>
      <c r="BI61" s="60">
        <v>894</v>
      </c>
      <c r="BJ61" s="60">
        <v>201</v>
      </c>
      <c r="BK61" s="60">
        <v>19</v>
      </c>
      <c r="BL61" s="60">
        <v>246</v>
      </c>
      <c r="BM61" s="60">
        <v>1</v>
      </c>
      <c r="BN61" s="60">
        <v>541</v>
      </c>
      <c r="BO61" s="60">
        <v>104</v>
      </c>
      <c r="BP61" s="60">
        <v>444</v>
      </c>
      <c r="BQ61" s="60">
        <v>199</v>
      </c>
      <c r="BR61" s="60">
        <v>2354</v>
      </c>
      <c r="BS61" s="60">
        <v>575</v>
      </c>
      <c r="BT61" s="60">
        <v>8</v>
      </c>
      <c r="BU61" s="60">
        <v>703</v>
      </c>
      <c r="BV61" s="60">
        <v>190</v>
      </c>
      <c r="BW61" s="60">
        <v>5</v>
      </c>
      <c r="BX61" s="60">
        <v>278</v>
      </c>
      <c r="BY61" s="60">
        <v>919</v>
      </c>
      <c r="BZ61" s="60">
        <v>272</v>
      </c>
      <c r="CA61" s="60">
        <v>1721</v>
      </c>
      <c r="CB61" s="60"/>
      <c r="CC61" s="60"/>
      <c r="CD61" s="60">
        <v>746</v>
      </c>
      <c r="CE61" s="60">
        <v>46</v>
      </c>
      <c r="CF61" s="60">
        <v>68</v>
      </c>
      <c r="CG61" s="60">
        <v>14</v>
      </c>
      <c r="CH61" s="60">
        <v>134</v>
      </c>
      <c r="CI61" s="60">
        <v>9</v>
      </c>
      <c r="CJ61" s="60">
        <v>50</v>
      </c>
      <c r="CK61" s="60">
        <v>133</v>
      </c>
      <c r="CL61" s="60">
        <v>6033</v>
      </c>
      <c r="CM61" s="60">
        <v>1164</v>
      </c>
      <c r="CN61" s="60">
        <v>44</v>
      </c>
      <c r="CO61" s="60">
        <v>225</v>
      </c>
      <c r="CP61" s="60">
        <v>55</v>
      </c>
      <c r="CQ61" s="60">
        <v>41</v>
      </c>
      <c r="CR61" s="60">
        <v>18</v>
      </c>
      <c r="CS61" s="60"/>
      <c r="CT61" s="60">
        <v>8780</v>
      </c>
      <c r="CU61" s="60">
        <v>4</v>
      </c>
      <c r="CV61" s="60">
        <v>8707</v>
      </c>
      <c r="CW61" s="60">
        <v>69</v>
      </c>
      <c r="CX61" s="60">
        <v>472</v>
      </c>
      <c r="CY61" s="60">
        <v>414</v>
      </c>
      <c r="CZ61" s="60"/>
      <c r="DA61" s="60"/>
      <c r="DB61" s="60">
        <v>37</v>
      </c>
      <c r="DC61" s="60">
        <v>92</v>
      </c>
      <c r="DD61" s="60">
        <v>73</v>
      </c>
      <c r="DE61" s="60">
        <v>114</v>
      </c>
      <c r="DF61" s="60">
        <v>127</v>
      </c>
      <c r="DG61" s="60">
        <v>124</v>
      </c>
      <c r="DH61" s="60">
        <v>114</v>
      </c>
      <c r="DI61" s="60">
        <v>168</v>
      </c>
      <c r="DJ61" s="60">
        <v>11</v>
      </c>
      <c r="DK61" s="60">
        <v>26</v>
      </c>
      <c r="DL61" s="60"/>
      <c r="DM61" s="60">
        <v>4</v>
      </c>
      <c r="DN61" s="60">
        <v>23</v>
      </c>
      <c r="DO61" s="60">
        <v>53</v>
      </c>
      <c r="DP61" s="60">
        <v>5</v>
      </c>
      <c r="DQ61" s="60">
        <v>2</v>
      </c>
      <c r="DR61" s="60">
        <v>770</v>
      </c>
      <c r="DS61" s="60">
        <v>29</v>
      </c>
      <c r="DT61" s="60">
        <v>73</v>
      </c>
      <c r="DU61" s="60">
        <v>16</v>
      </c>
      <c r="DV61" s="60">
        <v>21</v>
      </c>
      <c r="DW61" s="60">
        <v>72</v>
      </c>
      <c r="DX61" s="60">
        <v>8</v>
      </c>
      <c r="DY61" s="60"/>
      <c r="DZ61" s="60"/>
      <c r="EA61" s="60">
        <v>560</v>
      </c>
      <c r="EB61" s="60">
        <v>80</v>
      </c>
      <c r="EC61" s="60">
        <v>56</v>
      </c>
      <c r="ED61" s="60">
        <v>0</v>
      </c>
      <c r="EE61" s="60">
        <v>0</v>
      </c>
      <c r="EF61" s="60">
        <v>0</v>
      </c>
      <c r="EG61" s="60">
        <v>0</v>
      </c>
      <c r="EH61" s="60">
        <v>0</v>
      </c>
      <c r="EI61" s="60">
        <v>150</v>
      </c>
      <c r="EJ61" s="60">
        <v>386</v>
      </c>
      <c r="EK61" s="60">
        <v>77</v>
      </c>
      <c r="EL61" s="60">
        <v>202</v>
      </c>
      <c r="EM61" s="60">
        <v>71</v>
      </c>
      <c r="EN61" s="60">
        <v>21</v>
      </c>
      <c r="EO61" s="60">
        <v>12</v>
      </c>
      <c r="EP61" s="60">
        <v>78</v>
      </c>
      <c r="EQ61" s="60"/>
      <c r="ER61" s="60">
        <v>205</v>
      </c>
      <c r="ES61" s="60">
        <v>56</v>
      </c>
      <c r="ET61" s="60">
        <v>63</v>
      </c>
      <c r="EU61" s="60">
        <v>25</v>
      </c>
      <c r="EV61" s="60">
        <v>53</v>
      </c>
      <c r="EW61" s="60">
        <v>23</v>
      </c>
      <c r="EX61" s="60">
        <v>14</v>
      </c>
      <c r="EY61" s="60">
        <v>19</v>
      </c>
      <c r="EZ61" s="60">
        <v>2</v>
      </c>
      <c r="FA61" s="60">
        <v>12</v>
      </c>
      <c r="FB61" s="60">
        <v>173</v>
      </c>
      <c r="FC61" s="60">
        <v>53</v>
      </c>
      <c r="FD61" s="60">
        <v>75</v>
      </c>
      <c r="FE61" s="60"/>
      <c r="FF61" s="60">
        <v>2</v>
      </c>
      <c r="FG61" s="60"/>
      <c r="FH61" s="60">
        <v>44</v>
      </c>
      <c r="FI61" s="60">
        <v>9</v>
      </c>
      <c r="FJ61" s="60">
        <v>38</v>
      </c>
      <c r="FK61" s="60">
        <v>2</v>
      </c>
      <c r="FL61" s="60">
        <v>1</v>
      </c>
      <c r="FM61" s="60">
        <v>39</v>
      </c>
      <c r="FN61" s="60">
        <v>7</v>
      </c>
      <c r="FO61" s="60">
        <v>716</v>
      </c>
      <c r="FP61" s="60">
        <v>15</v>
      </c>
      <c r="FQ61" s="60"/>
      <c r="FR61" s="60">
        <v>2</v>
      </c>
      <c r="FS61" s="60">
        <v>5</v>
      </c>
      <c r="FT61" s="60">
        <v>7</v>
      </c>
      <c r="FU61" s="60">
        <v>1</v>
      </c>
      <c r="FV61" s="60"/>
      <c r="FW61" s="60"/>
      <c r="FX61" s="60">
        <v>886</v>
      </c>
      <c r="FY61" s="60"/>
      <c r="FZ61" s="60">
        <v>881</v>
      </c>
      <c r="GA61" s="60">
        <v>5</v>
      </c>
      <c r="GB61" s="60">
        <v>2011</v>
      </c>
    </row>
    <row r="62" spans="1:184" x14ac:dyDescent="0.3">
      <c r="A62" s="60">
        <v>106190017</v>
      </c>
      <c r="B62" s="61" t="s">
        <v>339</v>
      </c>
      <c r="C62" s="61" t="s">
        <v>1776</v>
      </c>
      <c r="D62" s="61" t="s">
        <v>342</v>
      </c>
      <c r="E62" s="61" t="s">
        <v>343</v>
      </c>
      <c r="F62" s="60">
        <v>91801</v>
      </c>
      <c r="G62" s="61"/>
      <c r="H62" s="61" t="s">
        <v>1669</v>
      </c>
      <c r="I62" s="60">
        <v>49</v>
      </c>
      <c r="J62" s="60">
        <v>22</v>
      </c>
      <c r="K62" s="61" t="s">
        <v>1777</v>
      </c>
      <c r="L62" s="61" t="s">
        <v>344</v>
      </c>
      <c r="M62" s="61" t="s">
        <v>1778</v>
      </c>
      <c r="N62" s="61" t="s">
        <v>1779</v>
      </c>
      <c r="O62" s="61" t="s">
        <v>1673</v>
      </c>
      <c r="P62" s="61" t="s">
        <v>341</v>
      </c>
      <c r="Q62" s="61" t="s">
        <v>1674</v>
      </c>
      <c r="R62" s="60">
        <v>118</v>
      </c>
      <c r="S62" s="61" t="s">
        <v>1675</v>
      </c>
      <c r="T62" s="60">
        <v>5449</v>
      </c>
      <c r="U62" s="60">
        <v>4178</v>
      </c>
      <c r="V62" s="60"/>
      <c r="W62" s="60"/>
      <c r="X62" s="60">
        <v>1037</v>
      </c>
      <c r="Y62" s="60">
        <v>1106</v>
      </c>
      <c r="Z62" s="60">
        <v>1465</v>
      </c>
      <c r="AA62" s="60">
        <v>1279</v>
      </c>
      <c r="AB62" s="60">
        <v>1364</v>
      </c>
      <c r="AC62" s="60">
        <v>1140</v>
      </c>
      <c r="AD62" s="60">
        <v>774</v>
      </c>
      <c r="AE62" s="60">
        <v>592</v>
      </c>
      <c r="AF62" s="60">
        <v>740</v>
      </c>
      <c r="AG62" s="60">
        <v>130</v>
      </c>
      <c r="AH62" s="60"/>
      <c r="AI62" s="60">
        <v>1673</v>
      </c>
      <c r="AJ62" s="60">
        <v>466</v>
      </c>
      <c r="AK62" s="60">
        <v>6131</v>
      </c>
      <c r="AL62" s="60">
        <v>3</v>
      </c>
      <c r="AM62" s="60">
        <v>90</v>
      </c>
      <c r="AN62" s="60">
        <v>7</v>
      </c>
      <c r="AO62" s="60">
        <v>1257</v>
      </c>
      <c r="AP62" s="60">
        <v>183</v>
      </c>
      <c r="AQ62" s="60">
        <v>244</v>
      </c>
      <c r="AR62" s="60">
        <v>27</v>
      </c>
      <c r="AS62" s="60">
        <v>10</v>
      </c>
      <c r="AT62" s="60">
        <v>42</v>
      </c>
      <c r="AU62" s="60"/>
      <c r="AV62" s="60">
        <v>1</v>
      </c>
      <c r="AW62" s="60"/>
      <c r="AX62" s="60">
        <v>1</v>
      </c>
      <c r="AY62" s="60">
        <v>63</v>
      </c>
      <c r="AZ62" s="60">
        <v>9</v>
      </c>
      <c r="BA62" s="60">
        <v>8809</v>
      </c>
      <c r="BB62" s="60">
        <v>237</v>
      </c>
      <c r="BC62" s="60">
        <v>1</v>
      </c>
      <c r="BD62" s="60"/>
      <c r="BE62" s="60">
        <v>1175</v>
      </c>
      <c r="BF62" s="60">
        <v>2129</v>
      </c>
      <c r="BG62" s="60">
        <v>77</v>
      </c>
      <c r="BH62" s="60">
        <v>4804</v>
      </c>
      <c r="BI62" s="60">
        <v>1442</v>
      </c>
      <c r="BJ62" s="60">
        <v>132</v>
      </c>
      <c r="BK62" s="60">
        <v>52</v>
      </c>
      <c r="BL62" s="60">
        <v>281</v>
      </c>
      <c r="BM62" s="60">
        <v>4</v>
      </c>
      <c r="BN62" s="60">
        <v>755</v>
      </c>
      <c r="BO62" s="60">
        <v>152</v>
      </c>
      <c r="BP62" s="60">
        <v>560</v>
      </c>
      <c r="BQ62" s="60">
        <v>109</v>
      </c>
      <c r="BR62" s="60">
        <v>2295</v>
      </c>
      <c r="BS62" s="60">
        <v>641</v>
      </c>
      <c r="BT62" s="60">
        <v>14</v>
      </c>
      <c r="BU62" s="60">
        <v>724</v>
      </c>
      <c r="BV62" s="60">
        <v>183</v>
      </c>
      <c r="BW62" s="60">
        <v>2</v>
      </c>
      <c r="BX62" s="60">
        <v>485</v>
      </c>
      <c r="BY62" s="60">
        <v>973</v>
      </c>
      <c r="BZ62" s="60">
        <v>375</v>
      </c>
      <c r="CA62" s="60">
        <v>1890</v>
      </c>
      <c r="CB62" s="60"/>
      <c r="CC62" s="60"/>
      <c r="CD62" s="60">
        <v>873</v>
      </c>
      <c r="CE62" s="60">
        <v>55</v>
      </c>
      <c r="CF62" s="60">
        <v>60</v>
      </c>
      <c r="CG62" s="60">
        <v>1</v>
      </c>
      <c r="CH62" s="60">
        <v>123</v>
      </c>
      <c r="CI62" s="60">
        <v>7</v>
      </c>
      <c r="CJ62" s="60">
        <v>53</v>
      </c>
      <c r="CK62" s="60">
        <v>108</v>
      </c>
      <c r="CL62" s="60">
        <v>7135</v>
      </c>
      <c r="CM62" s="60">
        <v>819</v>
      </c>
      <c r="CN62" s="60">
        <v>46</v>
      </c>
      <c r="CO62" s="60">
        <v>252</v>
      </c>
      <c r="CP62" s="60">
        <v>23</v>
      </c>
      <c r="CQ62" s="60">
        <v>55</v>
      </c>
      <c r="CR62" s="60">
        <v>17</v>
      </c>
      <c r="CS62" s="60"/>
      <c r="CT62" s="60">
        <v>9627</v>
      </c>
      <c r="CU62" s="60">
        <v>829</v>
      </c>
      <c r="CV62" s="60">
        <v>7825</v>
      </c>
      <c r="CW62" s="60">
        <v>973</v>
      </c>
      <c r="CX62" s="60">
        <v>1648</v>
      </c>
      <c r="CY62" s="60">
        <v>1332</v>
      </c>
      <c r="CZ62" s="60"/>
      <c r="DA62" s="60"/>
      <c r="DB62" s="60">
        <v>20</v>
      </c>
      <c r="DC62" s="60">
        <v>65</v>
      </c>
      <c r="DD62" s="60">
        <v>93</v>
      </c>
      <c r="DE62" s="60">
        <v>209</v>
      </c>
      <c r="DF62" s="60">
        <v>307</v>
      </c>
      <c r="DG62" s="60">
        <v>433</v>
      </c>
      <c r="DH62" s="60">
        <v>610</v>
      </c>
      <c r="DI62" s="60">
        <v>1243</v>
      </c>
      <c r="DJ62" s="60"/>
      <c r="DK62" s="60"/>
      <c r="DL62" s="60"/>
      <c r="DM62" s="60">
        <v>1460</v>
      </c>
      <c r="DN62" s="60">
        <v>77</v>
      </c>
      <c r="DO62" s="60">
        <v>1067</v>
      </c>
      <c r="DP62" s="60">
        <v>14</v>
      </c>
      <c r="DQ62" s="60"/>
      <c r="DR62" s="60">
        <v>361</v>
      </c>
      <c r="DS62" s="60">
        <v>1</v>
      </c>
      <c r="DT62" s="60">
        <v>265</v>
      </c>
      <c r="DU62" s="60">
        <v>81</v>
      </c>
      <c r="DV62" s="60">
        <v>96</v>
      </c>
      <c r="DW62" s="60">
        <v>506</v>
      </c>
      <c r="DX62" s="60">
        <v>121</v>
      </c>
      <c r="DY62" s="60">
        <v>6</v>
      </c>
      <c r="DZ62" s="60">
        <v>18</v>
      </c>
      <c r="EA62" s="60">
        <v>1023</v>
      </c>
      <c r="EB62" s="60">
        <v>861</v>
      </c>
      <c r="EC62" s="60">
        <v>3</v>
      </c>
      <c r="ED62" s="60">
        <v>0</v>
      </c>
      <c r="EE62" s="60">
        <v>0</v>
      </c>
      <c r="EF62" s="60">
        <v>0</v>
      </c>
      <c r="EG62" s="60">
        <v>0</v>
      </c>
      <c r="EH62" s="60">
        <v>0</v>
      </c>
      <c r="EI62" s="60">
        <v>642</v>
      </c>
      <c r="EJ62" s="60">
        <v>1756</v>
      </c>
      <c r="EK62" s="60">
        <v>13</v>
      </c>
      <c r="EL62" s="60">
        <v>443</v>
      </c>
      <c r="EM62" s="60">
        <v>126</v>
      </c>
      <c r="EN62" s="60"/>
      <c r="EO62" s="60">
        <v>66</v>
      </c>
      <c r="EP62" s="60">
        <v>488</v>
      </c>
      <c r="EQ62" s="60">
        <v>3</v>
      </c>
      <c r="ER62" s="60">
        <v>416</v>
      </c>
      <c r="ES62" s="60">
        <v>163</v>
      </c>
      <c r="ET62" s="60">
        <v>230</v>
      </c>
      <c r="EU62" s="60">
        <v>497</v>
      </c>
      <c r="EV62" s="60">
        <v>169</v>
      </c>
      <c r="EW62" s="60">
        <v>47</v>
      </c>
      <c r="EX62" s="60">
        <v>79</v>
      </c>
      <c r="EY62" s="60">
        <v>61</v>
      </c>
      <c r="EZ62" s="60">
        <v>1</v>
      </c>
      <c r="FA62" s="60">
        <v>13</v>
      </c>
      <c r="FB62" s="60">
        <v>492</v>
      </c>
      <c r="FC62" s="60">
        <v>67</v>
      </c>
      <c r="FD62" s="60">
        <v>188</v>
      </c>
      <c r="FE62" s="60"/>
      <c r="FF62" s="60"/>
      <c r="FG62" s="60"/>
      <c r="FH62" s="60">
        <v>182</v>
      </c>
      <c r="FI62" s="60">
        <v>15</v>
      </c>
      <c r="FJ62" s="60">
        <v>127</v>
      </c>
      <c r="FK62" s="60">
        <v>5</v>
      </c>
      <c r="FL62" s="60">
        <v>10</v>
      </c>
      <c r="FM62" s="60">
        <v>86</v>
      </c>
      <c r="FN62" s="60">
        <v>5</v>
      </c>
      <c r="FO62" s="60">
        <v>2493</v>
      </c>
      <c r="FP62" s="60">
        <v>30</v>
      </c>
      <c r="FQ62" s="60">
        <v>2</v>
      </c>
      <c r="FR62" s="60">
        <v>9</v>
      </c>
      <c r="FS62" s="60">
        <v>4</v>
      </c>
      <c r="FT62" s="60">
        <v>11</v>
      </c>
      <c r="FU62" s="60">
        <v>1</v>
      </c>
      <c r="FV62" s="60"/>
      <c r="FW62" s="60"/>
      <c r="FX62" s="60">
        <v>2980</v>
      </c>
      <c r="FY62" s="60">
        <v>1135</v>
      </c>
      <c r="FZ62" s="60">
        <v>1461</v>
      </c>
      <c r="GA62" s="60">
        <v>384</v>
      </c>
      <c r="GB62" s="60">
        <v>2011</v>
      </c>
    </row>
    <row r="63" spans="1:184" x14ac:dyDescent="0.3">
      <c r="A63" s="60">
        <v>106190034</v>
      </c>
      <c r="B63" s="61" t="s">
        <v>345</v>
      </c>
      <c r="C63" s="61" t="s">
        <v>346</v>
      </c>
      <c r="D63" s="61" t="s">
        <v>347</v>
      </c>
      <c r="E63" s="61" t="s">
        <v>348</v>
      </c>
      <c r="F63" s="60">
        <v>93534</v>
      </c>
      <c r="G63" s="61" t="s">
        <v>143</v>
      </c>
      <c r="H63" s="61" t="s">
        <v>1669</v>
      </c>
      <c r="I63" s="60">
        <v>36</v>
      </c>
      <c r="J63" s="60">
        <v>17</v>
      </c>
      <c r="K63" s="61" t="s">
        <v>1780</v>
      </c>
      <c r="L63" s="61" t="s">
        <v>349</v>
      </c>
      <c r="M63" s="61" t="s">
        <v>1778</v>
      </c>
      <c r="N63" s="61" t="s">
        <v>1779</v>
      </c>
      <c r="O63" s="61" t="s">
        <v>1673</v>
      </c>
      <c r="P63" s="61" t="s">
        <v>159</v>
      </c>
      <c r="Q63" s="61" t="s">
        <v>1674</v>
      </c>
      <c r="R63" s="60">
        <v>390</v>
      </c>
      <c r="S63" s="61" t="s">
        <v>1675</v>
      </c>
      <c r="T63" s="60">
        <v>53387</v>
      </c>
      <c r="U63" s="60">
        <v>36961</v>
      </c>
      <c r="V63" s="60"/>
      <c r="W63" s="60"/>
      <c r="X63" s="60">
        <v>14939</v>
      </c>
      <c r="Y63" s="60">
        <v>11903</v>
      </c>
      <c r="Z63" s="60">
        <v>17688</v>
      </c>
      <c r="AA63" s="60">
        <v>12484</v>
      </c>
      <c r="AB63" s="60">
        <v>10936</v>
      </c>
      <c r="AC63" s="60">
        <v>9746</v>
      </c>
      <c r="AD63" s="60">
        <v>4334</v>
      </c>
      <c r="AE63" s="60">
        <v>2364</v>
      </c>
      <c r="AF63" s="60">
        <v>1812</v>
      </c>
      <c r="AG63" s="60">
        <v>4142</v>
      </c>
      <c r="AH63" s="60"/>
      <c r="AI63" s="60">
        <v>956</v>
      </c>
      <c r="AJ63" s="60">
        <v>25970</v>
      </c>
      <c r="AK63" s="60">
        <v>31181</v>
      </c>
      <c r="AL63" s="60">
        <v>113</v>
      </c>
      <c r="AM63" s="60">
        <v>668</v>
      </c>
      <c r="AN63" s="60">
        <v>265</v>
      </c>
      <c r="AO63" s="60">
        <v>31195</v>
      </c>
      <c r="AP63" s="60">
        <v>393</v>
      </c>
      <c r="AQ63" s="60">
        <v>2869</v>
      </c>
      <c r="AR63" s="60">
        <v>61</v>
      </c>
      <c r="AS63" s="60">
        <v>139</v>
      </c>
      <c r="AT63" s="60">
        <v>10</v>
      </c>
      <c r="AU63" s="60">
        <v>8</v>
      </c>
      <c r="AV63" s="60">
        <v>1</v>
      </c>
      <c r="AW63" s="60">
        <v>5</v>
      </c>
      <c r="AX63" s="60"/>
      <c r="AY63" s="60">
        <v>60</v>
      </c>
      <c r="AZ63" s="60">
        <v>16</v>
      </c>
      <c r="BA63" s="60">
        <v>86608</v>
      </c>
      <c r="BB63" s="60">
        <v>171</v>
      </c>
      <c r="BC63" s="60">
        <v>7</v>
      </c>
      <c r="BD63" s="60"/>
      <c r="BE63" s="60">
        <v>49699</v>
      </c>
      <c r="BF63" s="60">
        <v>9688</v>
      </c>
      <c r="BG63" s="60">
        <v>2996</v>
      </c>
      <c r="BH63" s="60">
        <v>11628</v>
      </c>
      <c r="BI63" s="60">
        <v>16337</v>
      </c>
      <c r="BJ63" s="60">
        <v>4974</v>
      </c>
      <c r="BK63" s="60">
        <v>488</v>
      </c>
      <c r="BL63" s="60">
        <v>1409</v>
      </c>
      <c r="BM63" s="60">
        <v>30</v>
      </c>
      <c r="BN63" s="60">
        <v>4222</v>
      </c>
      <c r="BO63" s="60">
        <v>1142</v>
      </c>
      <c r="BP63" s="60">
        <v>5803</v>
      </c>
      <c r="BQ63" s="60">
        <v>2432</v>
      </c>
      <c r="BR63" s="60">
        <v>16194</v>
      </c>
      <c r="BS63" s="60">
        <v>3949</v>
      </c>
      <c r="BT63" s="60">
        <v>245</v>
      </c>
      <c r="BU63" s="60">
        <v>7816</v>
      </c>
      <c r="BV63" s="60">
        <v>6003</v>
      </c>
      <c r="BW63" s="60">
        <v>241</v>
      </c>
      <c r="BX63" s="60">
        <v>3049</v>
      </c>
      <c r="BY63" s="60">
        <v>12893</v>
      </c>
      <c r="BZ63" s="60">
        <v>3591</v>
      </c>
      <c r="CA63" s="60">
        <v>15866</v>
      </c>
      <c r="CB63" s="60"/>
      <c r="CC63" s="60">
        <v>1</v>
      </c>
      <c r="CD63" s="60">
        <v>4783</v>
      </c>
      <c r="CE63" s="60">
        <v>286</v>
      </c>
      <c r="CF63" s="60">
        <v>686</v>
      </c>
      <c r="CG63" s="60">
        <v>42</v>
      </c>
      <c r="CH63" s="60">
        <v>1079</v>
      </c>
      <c r="CI63" s="60">
        <v>97</v>
      </c>
      <c r="CJ63" s="60">
        <v>590</v>
      </c>
      <c r="CK63" s="60">
        <v>719</v>
      </c>
      <c r="CL63" s="60">
        <v>71723</v>
      </c>
      <c r="CM63" s="60">
        <v>6823</v>
      </c>
      <c r="CN63" s="60">
        <v>336</v>
      </c>
      <c r="CO63" s="60">
        <v>2212</v>
      </c>
      <c r="CP63" s="60">
        <v>432</v>
      </c>
      <c r="CQ63" s="60">
        <v>417</v>
      </c>
      <c r="CR63" s="60">
        <v>123</v>
      </c>
      <c r="CS63" s="60"/>
      <c r="CT63" s="60">
        <v>90348</v>
      </c>
      <c r="CU63" s="60">
        <v>194</v>
      </c>
      <c r="CV63" s="60">
        <v>83064</v>
      </c>
      <c r="CW63" s="60">
        <v>7090</v>
      </c>
      <c r="CX63" s="60">
        <v>7771</v>
      </c>
      <c r="CY63" s="60">
        <v>6913</v>
      </c>
      <c r="CZ63" s="60"/>
      <c r="DA63" s="60"/>
      <c r="DB63" s="60">
        <v>591</v>
      </c>
      <c r="DC63" s="60">
        <v>1261</v>
      </c>
      <c r="DD63" s="60">
        <v>1224</v>
      </c>
      <c r="DE63" s="60">
        <v>1768</v>
      </c>
      <c r="DF63" s="60">
        <v>2681</v>
      </c>
      <c r="DG63" s="60">
        <v>2301</v>
      </c>
      <c r="DH63" s="60">
        <v>2100</v>
      </c>
      <c r="DI63" s="60">
        <v>1980</v>
      </c>
      <c r="DJ63" s="60">
        <v>337</v>
      </c>
      <c r="DK63" s="60">
        <v>441</v>
      </c>
      <c r="DL63" s="60"/>
      <c r="DM63" s="60">
        <v>270</v>
      </c>
      <c r="DN63" s="60">
        <v>3194</v>
      </c>
      <c r="DO63" s="60">
        <v>3503</v>
      </c>
      <c r="DP63" s="60">
        <v>101</v>
      </c>
      <c r="DQ63" s="60">
        <v>1</v>
      </c>
      <c r="DR63" s="60">
        <v>7596</v>
      </c>
      <c r="DS63" s="60">
        <v>19</v>
      </c>
      <c r="DT63" s="60">
        <v>190</v>
      </c>
      <c r="DU63" s="60">
        <v>312</v>
      </c>
      <c r="DV63" s="60">
        <v>428</v>
      </c>
      <c r="DW63" s="60">
        <v>1429</v>
      </c>
      <c r="DX63" s="60">
        <v>52</v>
      </c>
      <c r="DY63" s="60">
        <v>1</v>
      </c>
      <c r="DZ63" s="60">
        <v>110</v>
      </c>
      <c r="EA63" s="60">
        <v>10859</v>
      </c>
      <c r="EB63" s="60">
        <v>1229</v>
      </c>
      <c r="EC63" s="60">
        <v>74</v>
      </c>
      <c r="ED63" s="60">
        <v>0</v>
      </c>
      <c r="EE63" s="60">
        <v>0</v>
      </c>
      <c r="EF63" s="60">
        <v>0</v>
      </c>
      <c r="EG63" s="60">
        <v>0</v>
      </c>
      <c r="EH63" s="60">
        <v>0</v>
      </c>
      <c r="EI63" s="60">
        <v>4240</v>
      </c>
      <c r="EJ63" s="60">
        <v>6119</v>
      </c>
      <c r="EK63" s="60">
        <v>502</v>
      </c>
      <c r="EL63" s="60">
        <v>2778</v>
      </c>
      <c r="EM63" s="60">
        <v>1045</v>
      </c>
      <c r="EN63" s="60">
        <v>361</v>
      </c>
      <c r="EO63" s="60">
        <v>333</v>
      </c>
      <c r="EP63" s="60">
        <v>2358</v>
      </c>
      <c r="EQ63" s="60">
        <v>14</v>
      </c>
      <c r="ER63" s="60">
        <v>2172</v>
      </c>
      <c r="ES63" s="60">
        <v>767</v>
      </c>
      <c r="ET63" s="60">
        <v>892</v>
      </c>
      <c r="EU63" s="60">
        <v>751</v>
      </c>
      <c r="EV63" s="60">
        <v>1778</v>
      </c>
      <c r="EW63" s="60">
        <v>261</v>
      </c>
      <c r="EX63" s="60">
        <v>257</v>
      </c>
      <c r="EY63" s="60">
        <v>301</v>
      </c>
      <c r="EZ63" s="60">
        <v>17</v>
      </c>
      <c r="FA63" s="60">
        <v>594</v>
      </c>
      <c r="FB63" s="60">
        <v>2150</v>
      </c>
      <c r="FC63" s="60">
        <v>308</v>
      </c>
      <c r="FD63" s="60">
        <v>1269</v>
      </c>
      <c r="FE63" s="60">
        <v>16</v>
      </c>
      <c r="FF63" s="60">
        <v>85</v>
      </c>
      <c r="FG63" s="60"/>
      <c r="FH63" s="60">
        <v>656</v>
      </c>
      <c r="FI63" s="60">
        <v>95</v>
      </c>
      <c r="FJ63" s="60">
        <v>611</v>
      </c>
      <c r="FK63" s="60">
        <v>112</v>
      </c>
      <c r="FL63" s="60">
        <v>55</v>
      </c>
      <c r="FM63" s="60">
        <v>866</v>
      </c>
      <c r="FN63" s="60">
        <v>38</v>
      </c>
      <c r="FO63" s="60">
        <v>11377</v>
      </c>
      <c r="FP63" s="60">
        <v>190</v>
      </c>
      <c r="FQ63" s="60">
        <v>39</v>
      </c>
      <c r="FR63" s="60">
        <v>401</v>
      </c>
      <c r="FS63" s="60">
        <v>197</v>
      </c>
      <c r="FT63" s="60">
        <v>36</v>
      </c>
      <c r="FU63" s="60">
        <v>8</v>
      </c>
      <c r="FV63" s="60">
        <v>3</v>
      </c>
      <c r="FW63" s="60"/>
      <c r="FX63" s="60">
        <v>14684</v>
      </c>
      <c r="FY63" s="60">
        <v>57</v>
      </c>
      <c r="FZ63" s="60">
        <v>13492</v>
      </c>
      <c r="GA63" s="60">
        <v>1135</v>
      </c>
      <c r="GB63" s="60">
        <v>2011</v>
      </c>
    </row>
    <row r="64" spans="1:184" x14ac:dyDescent="0.3">
      <c r="A64" s="60">
        <v>106190045</v>
      </c>
      <c r="B64" s="61" t="s">
        <v>350</v>
      </c>
      <c r="C64" s="61" t="s">
        <v>351</v>
      </c>
      <c r="D64" s="61" t="s">
        <v>352</v>
      </c>
      <c r="E64" s="61" t="s">
        <v>353</v>
      </c>
      <c r="F64" s="60">
        <v>90704</v>
      </c>
      <c r="G64" s="61"/>
      <c r="H64" s="61" t="s">
        <v>1669</v>
      </c>
      <c r="I64" s="60">
        <v>54</v>
      </c>
      <c r="J64" s="60">
        <v>27</v>
      </c>
      <c r="K64" s="61" t="s">
        <v>1781</v>
      </c>
      <c r="L64" s="61" t="s">
        <v>354</v>
      </c>
      <c r="M64" s="61" t="s">
        <v>1778</v>
      </c>
      <c r="N64" s="61" t="s">
        <v>1779</v>
      </c>
      <c r="O64" s="61" t="s">
        <v>1673</v>
      </c>
      <c r="P64" s="61" t="s">
        <v>1678</v>
      </c>
      <c r="Q64" s="61" t="s">
        <v>1674</v>
      </c>
      <c r="R64" s="60">
        <v>8</v>
      </c>
      <c r="S64" s="61" t="s">
        <v>1706</v>
      </c>
      <c r="T64" s="60">
        <v>767</v>
      </c>
      <c r="U64" s="60">
        <v>695</v>
      </c>
      <c r="V64" s="60"/>
      <c r="W64" s="60"/>
      <c r="X64" s="60">
        <v>200</v>
      </c>
      <c r="Y64" s="60">
        <v>216</v>
      </c>
      <c r="Z64" s="60">
        <v>198</v>
      </c>
      <c r="AA64" s="60">
        <v>148</v>
      </c>
      <c r="AB64" s="60">
        <v>152</v>
      </c>
      <c r="AC64" s="60">
        <v>196</v>
      </c>
      <c r="AD64" s="60">
        <v>141</v>
      </c>
      <c r="AE64" s="60">
        <v>91</v>
      </c>
      <c r="AF64" s="60">
        <v>88</v>
      </c>
      <c r="AG64" s="60">
        <v>31</v>
      </c>
      <c r="AH64" s="60">
        <v>1</v>
      </c>
      <c r="AI64" s="60">
        <v>14</v>
      </c>
      <c r="AJ64" s="60">
        <v>14</v>
      </c>
      <c r="AK64" s="60">
        <v>421</v>
      </c>
      <c r="AL64" s="60">
        <v>1</v>
      </c>
      <c r="AM64" s="60">
        <v>34</v>
      </c>
      <c r="AN64" s="60">
        <v>68</v>
      </c>
      <c r="AO64" s="60">
        <v>910</v>
      </c>
      <c r="AP64" s="60">
        <v>134</v>
      </c>
      <c r="AQ64" s="60">
        <v>4</v>
      </c>
      <c r="AR64" s="60"/>
      <c r="AS64" s="60">
        <v>1</v>
      </c>
      <c r="AT64" s="60"/>
      <c r="AU64" s="60"/>
      <c r="AV64" s="60"/>
      <c r="AW64" s="60"/>
      <c r="AX64" s="60"/>
      <c r="AY64" s="60">
        <v>1</v>
      </c>
      <c r="AZ64" s="60"/>
      <c r="BA64" s="60">
        <v>1320</v>
      </c>
      <c r="BB64" s="60"/>
      <c r="BC64" s="60"/>
      <c r="BD64" s="60">
        <v>2</v>
      </c>
      <c r="BE64" s="60">
        <v>291</v>
      </c>
      <c r="BF64" s="60">
        <v>220</v>
      </c>
      <c r="BG64" s="60">
        <v>34</v>
      </c>
      <c r="BH64" s="60">
        <v>654</v>
      </c>
      <c r="BI64" s="60">
        <v>263</v>
      </c>
      <c r="BJ64" s="60">
        <v>11</v>
      </c>
      <c r="BK64" s="60">
        <v>4</v>
      </c>
      <c r="BL64" s="60">
        <v>54</v>
      </c>
      <c r="BM64" s="60"/>
      <c r="BN64" s="60">
        <v>93</v>
      </c>
      <c r="BO64" s="60">
        <v>31</v>
      </c>
      <c r="BP64" s="60">
        <v>52</v>
      </c>
      <c r="BQ64" s="60">
        <v>29</v>
      </c>
      <c r="BR64" s="60">
        <v>566</v>
      </c>
      <c r="BS64" s="60">
        <v>44</v>
      </c>
      <c r="BT64" s="60">
        <v>1</v>
      </c>
      <c r="BU64" s="60">
        <v>79</v>
      </c>
      <c r="BV64" s="60">
        <v>3</v>
      </c>
      <c r="BW64" s="60">
        <v>1</v>
      </c>
      <c r="BX64" s="60">
        <v>59</v>
      </c>
      <c r="BY64" s="60">
        <v>161</v>
      </c>
      <c r="BZ64" s="60">
        <v>57</v>
      </c>
      <c r="CA64" s="60">
        <v>217</v>
      </c>
      <c r="CB64" s="60"/>
      <c r="CC64" s="60"/>
      <c r="CD64" s="60">
        <v>196</v>
      </c>
      <c r="CE64" s="60">
        <v>9</v>
      </c>
      <c r="CF64" s="60"/>
      <c r="CG64" s="60"/>
      <c r="CH64" s="60">
        <v>21</v>
      </c>
      <c r="CI64" s="60"/>
      <c r="CJ64" s="60"/>
      <c r="CK64" s="60">
        <v>18</v>
      </c>
      <c r="CL64" s="60">
        <v>901</v>
      </c>
      <c r="CM64" s="60">
        <v>244</v>
      </c>
      <c r="CN64" s="60">
        <v>35</v>
      </c>
      <c r="CO64" s="60">
        <v>15</v>
      </c>
      <c r="CP64" s="60"/>
      <c r="CQ64" s="60">
        <v>22</v>
      </c>
      <c r="CR64" s="60">
        <v>1</v>
      </c>
      <c r="CS64" s="60"/>
      <c r="CT64" s="60">
        <v>1462</v>
      </c>
      <c r="CU64" s="60">
        <v>6</v>
      </c>
      <c r="CV64" s="60">
        <v>1154</v>
      </c>
      <c r="CW64" s="60">
        <v>302</v>
      </c>
      <c r="CX64" s="60">
        <v>12</v>
      </c>
      <c r="CY64" s="60">
        <v>4</v>
      </c>
      <c r="CZ64" s="60"/>
      <c r="DA64" s="60"/>
      <c r="DB64" s="60"/>
      <c r="DC64" s="60"/>
      <c r="DD64" s="60">
        <v>1</v>
      </c>
      <c r="DE64" s="60">
        <v>1</v>
      </c>
      <c r="DF64" s="60"/>
      <c r="DG64" s="60">
        <v>3</v>
      </c>
      <c r="DH64" s="60">
        <v>3</v>
      </c>
      <c r="DI64" s="60">
        <v>8</v>
      </c>
      <c r="DJ64" s="60"/>
      <c r="DK64" s="60"/>
      <c r="DL64" s="60"/>
      <c r="DM64" s="60"/>
      <c r="DN64" s="60"/>
      <c r="DO64" s="60">
        <v>5</v>
      </c>
      <c r="DP64" s="60"/>
      <c r="DQ64" s="60"/>
      <c r="DR64" s="60">
        <v>11</v>
      </c>
      <c r="DS64" s="60"/>
      <c r="DT64" s="60"/>
      <c r="DU64" s="60"/>
      <c r="DV64" s="60">
        <v>2</v>
      </c>
      <c r="DW64" s="60"/>
      <c r="DX64" s="60"/>
      <c r="DY64" s="60"/>
      <c r="DZ64" s="60"/>
      <c r="EA64" s="60">
        <v>14</v>
      </c>
      <c r="EB64" s="60"/>
      <c r="EC64" s="60"/>
      <c r="ED64" s="60">
        <v>0</v>
      </c>
      <c r="EE64" s="60">
        <v>0</v>
      </c>
      <c r="EF64" s="60">
        <v>0</v>
      </c>
      <c r="EG64" s="60">
        <v>0</v>
      </c>
      <c r="EH64" s="60">
        <v>0</v>
      </c>
      <c r="EI64" s="60">
        <v>1</v>
      </c>
      <c r="EJ64" s="60">
        <v>12</v>
      </c>
      <c r="EK64" s="60"/>
      <c r="EL64" s="60"/>
      <c r="EM64" s="60">
        <v>3</v>
      </c>
      <c r="EN64" s="60"/>
      <c r="EO64" s="60"/>
      <c r="EP64" s="60">
        <v>2</v>
      </c>
      <c r="EQ64" s="60"/>
      <c r="ER64" s="60">
        <v>1</v>
      </c>
      <c r="ES64" s="60">
        <v>1</v>
      </c>
      <c r="ET64" s="60">
        <v>2</v>
      </c>
      <c r="EU64" s="60">
        <v>1</v>
      </c>
      <c r="EV64" s="60"/>
      <c r="EW64" s="60">
        <v>2</v>
      </c>
      <c r="EX64" s="60"/>
      <c r="EY64" s="60"/>
      <c r="EZ64" s="60"/>
      <c r="FA64" s="60"/>
      <c r="FB64" s="60">
        <v>5</v>
      </c>
      <c r="FC64" s="60">
        <v>2</v>
      </c>
      <c r="FD64" s="60"/>
      <c r="FE64" s="60"/>
      <c r="FF64" s="60"/>
      <c r="FG64" s="60"/>
      <c r="FH64" s="60"/>
      <c r="FI64" s="60"/>
      <c r="FJ64" s="60"/>
      <c r="FK64" s="60"/>
      <c r="FL64" s="60"/>
      <c r="FM64" s="60"/>
      <c r="FN64" s="60"/>
      <c r="FO64" s="60">
        <v>16</v>
      </c>
      <c r="FP64" s="60"/>
      <c r="FQ64" s="60"/>
      <c r="FR64" s="60"/>
      <c r="FS64" s="60"/>
      <c r="FT64" s="60"/>
      <c r="FU64" s="60"/>
      <c r="FV64" s="60"/>
      <c r="FW64" s="60"/>
      <c r="FX64" s="60">
        <v>16</v>
      </c>
      <c r="FY64" s="60"/>
      <c r="FZ64" s="60">
        <v>13</v>
      </c>
      <c r="GA64" s="60">
        <v>3</v>
      </c>
      <c r="GB64" s="60">
        <v>2011</v>
      </c>
    </row>
    <row r="65" spans="1:184" x14ac:dyDescent="0.3">
      <c r="A65" s="60">
        <v>106190053</v>
      </c>
      <c r="B65" s="61" t="s">
        <v>355</v>
      </c>
      <c r="C65" s="61" t="s">
        <v>1782</v>
      </c>
      <c r="D65" s="61" t="s">
        <v>1783</v>
      </c>
      <c r="E65" s="61" t="s">
        <v>356</v>
      </c>
      <c r="F65" s="60">
        <v>90801</v>
      </c>
      <c r="G65" s="61" t="s">
        <v>143</v>
      </c>
      <c r="H65" s="61" t="s">
        <v>1669</v>
      </c>
      <c r="I65" s="60">
        <v>55</v>
      </c>
      <c r="J65" s="60">
        <v>27</v>
      </c>
      <c r="K65" s="61" t="s">
        <v>1784</v>
      </c>
      <c r="L65" s="61" t="s">
        <v>354</v>
      </c>
      <c r="M65" s="61" t="s">
        <v>1778</v>
      </c>
      <c r="N65" s="61" t="s">
        <v>1779</v>
      </c>
      <c r="O65" s="61" t="s">
        <v>1673</v>
      </c>
      <c r="P65" s="61" t="s">
        <v>1678</v>
      </c>
      <c r="Q65" s="61" t="s">
        <v>1674</v>
      </c>
      <c r="R65" s="60">
        <v>389</v>
      </c>
      <c r="S65" s="61" t="s">
        <v>1675</v>
      </c>
      <c r="T65" s="60">
        <v>23967</v>
      </c>
      <c r="U65" s="60">
        <v>20385</v>
      </c>
      <c r="V65" s="60"/>
      <c r="W65" s="60"/>
      <c r="X65" s="60">
        <v>6549</v>
      </c>
      <c r="Y65" s="60">
        <v>4349</v>
      </c>
      <c r="Z65" s="60">
        <v>8105</v>
      </c>
      <c r="AA65" s="60">
        <v>6509</v>
      </c>
      <c r="AB65" s="60">
        <v>6676</v>
      </c>
      <c r="AC65" s="60">
        <v>5396</v>
      </c>
      <c r="AD65" s="60">
        <v>2654</v>
      </c>
      <c r="AE65" s="60">
        <v>1188</v>
      </c>
      <c r="AF65" s="60">
        <v>980</v>
      </c>
      <c r="AG65" s="60">
        <v>1946</v>
      </c>
      <c r="AH65" s="60"/>
      <c r="AI65" s="60">
        <v>1354</v>
      </c>
      <c r="AJ65" s="60">
        <v>11111</v>
      </c>
      <c r="AK65" s="60">
        <v>18811</v>
      </c>
      <c r="AL65" s="60">
        <v>281</v>
      </c>
      <c r="AM65" s="60">
        <v>597</v>
      </c>
      <c r="AN65" s="60">
        <v>538</v>
      </c>
      <c r="AO65" s="60">
        <v>11660</v>
      </c>
      <c r="AP65" s="60">
        <v>455</v>
      </c>
      <c r="AQ65" s="60">
        <v>650</v>
      </c>
      <c r="AR65" s="60"/>
      <c r="AS65" s="60">
        <v>72</v>
      </c>
      <c r="AT65" s="60">
        <v>1</v>
      </c>
      <c r="AU65" s="60">
        <v>1</v>
      </c>
      <c r="AV65" s="60"/>
      <c r="AW65" s="60">
        <v>225</v>
      </c>
      <c r="AX65" s="60"/>
      <c r="AY65" s="60"/>
      <c r="AZ65" s="60">
        <v>5</v>
      </c>
      <c r="BA65" s="60">
        <v>42898</v>
      </c>
      <c r="BB65" s="60">
        <v>45</v>
      </c>
      <c r="BC65" s="60"/>
      <c r="BD65" s="60"/>
      <c r="BE65" s="60">
        <v>22874</v>
      </c>
      <c r="BF65" s="60">
        <v>5884</v>
      </c>
      <c r="BG65" s="60">
        <v>1133</v>
      </c>
      <c r="BH65" s="60">
        <v>3822</v>
      </c>
      <c r="BI65" s="60">
        <v>10639</v>
      </c>
      <c r="BJ65" s="60">
        <v>1915</v>
      </c>
      <c r="BK65" s="60">
        <v>157</v>
      </c>
      <c r="BL65" s="60">
        <v>618</v>
      </c>
      <c r="BM65" s="60">
        <v>3</v>
      </c>
      <c r="BN65" s="60">
        <v>2576</v>
      </c>
      <c r="BO65" s="60">
        <v>500</v>
      </c>
      <c r="BP65" s="60">
        <v>2195</v>
      </c>
      <c r="BQ65" s="60">
        <v>768</v>
      </c>
      <c r="BR65" s="60">
        <v>8150</v>
      </c>
      <c r="BS65" s="60">
        <v>3301</v>
      </c>
      <c r="BT65" s="60">
        <v>39</v>
      </c>
      <c r="BU65" s="60">
        <v>2976</v>
      </c>
      <c r="BV65" s="60">
        <v>2089</v>
      </c>
      <c r="BW65" s="60">
        <v>81</v>
      </c>
      <c r="BX65" s="60">
        <v>1145</v>
      </c>
      <c r="BY65" s="60">
        <v>5202</v>
      </c>
      <c r="BZ65" s="60">
        <v>2484</v>
      </c>
      <c r="CA65" s="60">
        <v>10153</v>
      </c>
      <c r="CB65" s="60"/>
      <c r="CC65" s="60"/>
      <c r="CD65" s="60">
        <v>2598</v>
      </c>
      <c r="CE65" s="60">
        <v>152</v>
      </c>
      <c r="CF65" s="60">
        <v>156</v>
      </c>
      <c r="CG65" s="60">
        <v>12</v>
      </c>
      <c r="CH65" s="60">
        <v>908</v>
      </c>
      <c r="CI65" s="60">
        <v>51</v>
      </c>
      <c r="CJ65" s="60">
        <v>167</v>
      </c>
      <c r="CK65" s="60">
        <v>367</v>
      </c>
      <c r="CL65" s="60">
        <v>35032</v>
      </c>
      <c r="CM65" s="60">
        <v>3395</v>
      </c>
      <c r="CN65" s="60">
        <v>238</v>
      </c>
      <c r="CO65" s="60">
        <v>842</v>
      </c>
      <c r="CP65" s="60">
        <v>123</v>
      </c>
      <c r="CQ65" s="60">
        <v>227</v>
      </c>
      <c r="CR65" s="60">
        <v>83</v>
      </c>
      <c r="CS65" s="60">
        <v>1</v>
      </c>
      <c r="CT65" s="60">
        <v>44352</v>
      </c>
      <c r="CU65" s="60">
        <v>91</v>
      </c>
      <c r="CV65" s="60">
        <v>37441</v>
      </c>
      <c r="CW65" s="60">
        <v>6820</v>
      </c>
      <c r="CX65" s="60">
        <v>3270</v>
      </c>
      <c r="CY65" s="60">
        <v>3134</v>
      </c>
      <c r="CZ65" s="60"/>
      <c r="DA65" s="60"/>
      <c r="DB65" s="60">
        <v>161</v>
      </c>
      <c r="DC65" s="60">
        <v>532</v>
      </c>
      <c r="DD65" s="60">
        <v>548</v>
      </c>
      <c r="DE65" s="60">
        <v>884</v>
      </c>
      <c r="DF65" s="60">
        <v>1149</v>
      </c>
      <c r="DG65" s="60">
        <v>1045</v>
      </c>
      <c r="DH65" s="60">
        <v>807</v>
      </c>
      <c r="DI65" s="60">
        <v>954</v>
      </c>
      <c r="DJ65" s="60">
        <v>201</v>
      </c>
      <c r="DK65" s="60">
        <v>123</v>
      </c>
      <c r="DL65" s="60"/>
      <c r="DM65" s="60">
        <v>458</v>
      </c>
      <c r="DN65" s="60">
        <v>1499</v>
      </c>
      <c r="DO65" s="60">
        <v>1864</v>
      </c>
      <c r="DP65" s="60">
        <v>68</v>
      </c>
      <c r="DQ65" s="60">
        <v>47</v>
      </c>
      <c r="DR65" s="60">
        <v>2446</v>
      </c>
      <c r="DS65" s="60">
        <v>22</v>
      </c>
      <c r="DT65" s="60">
        <v>124</v>
      </c>
      <c r="DU65" s="60">
        <v>275</v>
      </c>
      <c r="DV65" s="60">
        <v>198</v>
      </c>
      <c r="DW65" s="60">
        <v>369</v>
      </c>
      <c r="DX65" s="60">
        <v>317</v>
      </c>
      <c r="DY65" s="60">
        <v>62</v>
      </c>
      <c r="DZ65" s="60">
        <v>8</v>
      </c>
      <c r="EA65" s="60">
        <v>4286</v>
      </c>
      <c r="EB65" s="60">
        <v>740</v>
      </c>
      <c r="EC65" s="60">
        <v>25</v>
      </c>
      <c r="ED65" s="60">
        <v>0</v>
      </c>
      <c r="EE65" s="60">
        <v>0</v>
      </c>
      <c r="EF65" s="60">
        <v>0</v>
      </c>
      <c r="EG65" s="60">
        <v>0</v>
      </c>
      <c r="EH65" s="60">
        <v>0</v>
      </c>
      <c r="EI65" s="60">
        <v>2306</v>
      </c>
      <c r="EJ65" s="60">
        <v>2563</v>
      </c>
      <c r="EK65" s="60">
        <v>141</v>
      </c>
      <c r="EL65" s="60">
        <v>687</v>
      </c>
      <c r="EM65" s="60">
        <v>707</v>
      </c>
      <c r="EN65" s="60">
        <v>247</v>
      </c>
      <c r="EO65" s="60">
        <v>144</v>
      </c>
      <c r="EP65" s="60">
        <v>1105</v>
      </c>
      <c r="EQ65" s="60">
        <v>4</v>
      </c>
      <c r="ER65" s="60">
        <v>769</v>
      </c>
      <c r="ES65" s="60">
        <v>424</v>
      </c>
      <c r="ET65" s="60">
        <v>313</v>
      </c>
      <c r="EU65" s="60">
        <v>558</v>
      </c>
      <c r="EV65" s="60">
        <v>702</v>
      </c>
      <c r="EW65" s="60">
        <v>147</v>
      </c>
      <c r="EX65" s="60">
        <v>111</v>
      </c>
      <c r="EY65" s="60">
        <v>171</v>
      </c>
      <c r="EZ65" s="60">
        <v>15</v>
      </c>
      <c r="FA65" s="60">
        <v>131</v>
      </c>
      <c r="FB65" s="60">
        <v>818</v>
      </c>
      <c r="FC65" s="60">
        <v>183</v>
      </c>
      <c r="FD65" s="60">
        <v>508</v>
      </c>
      <c r="FE65" s="60">
        <v>1</v>
      </c>
      <c r="FF65" s="60">
        <v>53</v>
      </c>
      <c r="FG65" s="60"/>
      <c r="FH65" s="60">
        <v>317</v>
      </c>
      <c r="FI65" s="60">
        <v>65</v>
      </c>
      <c r="FJ65" s="60">
        <v>365</v>
      </c>
      <c r="FK65" s="60">
        <v>94</v>
      </c>
      <c r="FL65" s="60">
        <v>5</v>
      </c>
      <c r="FM65" s="60">
        <v>209</v>
      </c>
      <c r="FN65" s="60">
        <v>11</v>
      </c>
      <c r="FO65" s="60">
        <v>5025</v>
      </c>
      <c r="FP65" s="60">
        <v>93</v>
      </c>
      <c r="FQ65" s="60">
        <v>10</v>
      </c>
      <c r="FR65" s="60">
        <v>99</v>
      </c>
      <c r="FS65" s="60">
        <v>59</v>
      </c>
      <c r="FT65" s="60">
        <v>14</v>
      </c>
      <c r="FU65" s="60">
        <v>35</v>
      </c>
      <c r="FV65" s="60">
        <v>3</v>
      </c>
      <c r="FW65" s="60"/>
      <c r="FX65" s="60">
        <v>6404</v>
      </c>
      <c r="FY65" s="60">
        <v>42</v>
      </c>
      <c r="FZ65" s="60">
        <v>5608</v>
      </c>
      <c r="GA65" s="60">
        <v>754</v>
      </c>
      <c r="GB65" s="60">
        <v>2011</v>
      </c>
    </row>
    <row r="66" spans="1:184" x14ac:dyDescent="0.3">
      <c r="A66" s="60">
        <v>106190066</v>
      </c>
      <c r="B66" s="61" t="s">
        <v>1630</v>
      </c>
      <c r="C66" s="61" t="s">
        <v>1785</v>
      </c>
      <c r="D66" s="61" t="s">
        <v>1786</v>
      </c>
      <c r="E66" s="61" t="s">
        <v>1631</v>
      </c>
      <c r="F66" s="60">
        <v>90706</v>
      </c>
      <c r="G66" s="61"/>
      <c r="H66" s="61" t="s">
        <v>1669</v>
      </c>
      <c r="I66" s="60">
        <v>50</v>
      </c>
      <c r="J66" s="60">
        <v>27</v>
      </c>
      <c r="K66" s="61" t="s">
        <v>1787</v>
      </c>
      <c r="L66" s="61" t="s">
        <v>357</v>
      </c>
      <c r="M66" s="61" t="s">
        <v>1778</v>
      </c>
      <c r="N66" s="61" t="s">
        <v>1779</v>
      </c>
      <c r="O66" s="61" t="s">
        <v>1673</v>
      </c>
      <c r="P66" s="61" t="s">
        <v>221</v>
      </c>
      <c r="Q66" s="61" t="s">
        <v>1674</v>
      </c>
      <c r="R66" s="60">
        <v>112</v>
      </c>
      <c r="S66" s="61" t="s">
        <v>1675</v>
      </c>
      <c r="T66" s="60">
        <v>5146</v>
      </c>
      <c r="U66" s="60">
        <v>3588</v>
      </c>
      <c r="V66" s="60"/>
      <c r="W66" s="60"/>
      <c r="X66" s="60">
        <v>1782</v>
      </c>
      <c r="Y66" s="60">
        <v>1178</v>
      </c>
      <c r="Z66" s="60">
        <v>1692</v>
      </c>
      <c r="AA66" s="60">
        <v>1255</v>
      </c>
      <c r="AB66" s="60">
        <v>1016</v>
      </c>
      <c r="AC66" s="60">
        <v>692</v>
      </c>
      <c r="AD66" s="60">
        <v>327</v>
      </c>
      <c r="AE66" s="60">
        <v>165</v>
      </c>
      <c r="AF66" s="60">
        <v>101</v>
      </c>
      <c r="AG66" s="60">
        <v>526</v>
      </c>
      <c r="AH66" s="60"/>
      <c r="AI66" s="60">
        <v>510</v>
      </c>
      <c r="AJ66" s="60">
        <v>1483</v>
      </c>
      <c r="AK66" s="60">
        <v>5343</v>
      </c>
      <c r="AL66" s="60">
        <v>56</v>
      </c>
      <c r="AM66" s="60">
        <v>45</v>
      </c>
      <c r="AN66" s="60">
        <v>36</v>
      </c>
      <c r="AO66" s="60">
        <v>1261</v>
      </c>
      <c r="AP66" s="60">
        <v>87</v>
      </c>
      <c r="AQ66" s="60">
        <v>326</v>
      </c>
      <c r="AR66" s="60">
        <v>24</v>
      </c>
      <c r="AS66" s="60">
        <v>7</v>
      </c>
      <c r="AT66" s="60">
        <v>6</v>
      </c>
      <c r="AU66" s="60">
        <v>1</v>
      </c>
      <c r="AV66" s="60">
        <v>4</v>
      </c>
      <c r="AW66" s="60">
        <v>24</v>
      </c>
      <c r="AX66" s="60"/>
      <c r="AY66" s="60"/>
      <c r="AZ66" s="60"/>
      <c r="BA66" s="60">
        <v>8223</v>
      </c>
      <c r="BB66" s="60">
        <v>32</v>
      </c>
      <c r="BC66" s="60"/>
      <c r="BD66" s="60"/>
      <c r="BE66" s="60">
        <v>4234</v>
      </c>
      <c r="BF66" s="60">
        <v>570</v>
      </c>
      <c r="BG66" s="60"/>
      <c r="BH66" s="60">
        <v>2275</v>
      </c>
      <c r="BI66" s="60">
        <v>1655</v>
      </c>
      <c r="BJ66" s="60">
        <v>680</v>
      </c>
      <c r="BK66" s="60">
        <v>17</v>
      </c>
      <c r="BL66" s="60">
        <v>129</v>
      </c>
      <c r="BM66" s="60">
        <v>4</v>
      </c>
      <c r="BN66" s="60">
        <v>485</v>
      </c>
      <c r="BO66" s="60">
        <v>73</v>
      </c>
      <c r="BP66" s="60">
        <v>580</v>
      </c>
      <c r="BQ66" s="60">
        <v>143</v>
      </c>
      <c r="BR66" s="60">
        <v>2063</v>
      </c>
      <c r="BS66" s="60">
        <v>432</v>
      </c>
      <c r="BT66" s="60">
        <v>10</v>
      </c>
      <c r="BU66" s="60">
        <v>631</v>
      </c>
      <c r="BV66" s="60">
        <v>158</v>
      </c>
      <c r="BW66" s="60">
        <v>53</v>
      </c>
      <c r="BX66" s="60">
        <v>215</v>
      </c>
      <c r="BY66" s="60">
        <v>1318</v>
      </c>
      <c r="BZ66" s="60">
        <v>376</v>
      </c>
      <c r="CA66" s="60">
        <v>1367</v>
      </c>
      <c r="CB66" s="60"/>
      <c r="CC66" s="60"/>
      <c r="CD66" s="60">
        <v>628</v>
      </c>
      <c r="CE66" s="60">
        <v>77</v>
      </c>
      <c r="CF66" s="60">
        <v>64</v>
      </c>
      <c r="CG66" s="60">
        <v>3</v>
      </c>
      <c r="CH66" s="60">
        <v>89</v>
      </c>
      <c r="CI66" s="60">
        <v>11</v>
      </c>
      <c r="CJ66" s="60">
        <v>43</v>
      </c>
      <c r="CK66" s="60">
        <v>160</v>
      </c>
      <c r="CL66" s="60">
        <v>6471</v>
      </c>
      <c r="CM66" s="60">
        <v>926</v>
      </c>
      <c r="CN66" s="60">
        <v>50</v>
      </c>
      <c r="CO66" s="60">
        <v>148</v>
      </c>
      <c r="CP66" s="60">
        <v>8</v>
      </c>
      <c r="CQ66" s="60">
        <v>46</v>
      </c>
      <c r="CR66" s="60">
        <v>10</v>
      </c>
      <c r="CS66" s="60"/>
      <c r="CT66" s="60">
        <v>8734</v>
      </c>
      <c r="CU66" s="60">
        <v>32</v>
      </c>
      <c r="CV66" s="60">
        <v>7153</v>
      </c>
      <c r="CW66" s="60">
        <v>1549</v>
      </c>
      <c r="CX66" s="60">
        <v>925</v>
      </c>
      <c r="CY66" s="60">
        <v>968</v>
      </c>
      <c r="CZ66" s="60"/>
      <c r="DA66" s="60"/>
      <c r="DB66" s="60">
        <v>47</v>
      </c>
      <c r="DC66" s="60">
        <v>283</v>
      </c>
      <c r="DD66" s="60">
        <v>289</v>
      </c>
      <c r="DE66" s="60">
        <v>324</v>
      </c>
      <c r="DF66" s="60">
        <v>381</v>
      </c>
      <c r="DG66" s="60">
        <v>226</v>
      </c>
      <c r="DH66" s="60">
        <v>144</v>
      </c>
      <c r="DI66" s="60">
        <v>198</v>
      </c>
      <c r="DJ66" s="60">
        <v>1</v>
      </c>
      <c r="DK66" s="60"/>
      <c r="DL66" s="60"/>
      <c r="DM66" s="60">
        <v>177</v>
      </c>
      <c r="DN66" s="60">
        <v>440</v>
      </c>
      <c r="DO66" s="60">
        <v>667</v>
      </c>
      <c r="DP66" s="60"/>
      <c r="DQ66" s="60">
        <v>75</v>
      </c>
      <c r="DR66" s="60">
        <v>522</v>
      </c>
      <c r="DS66" s="60">
        <v>12</v>
      </c>
      <c r="DT66" s="60">
        <v>34</v>
      </c>
      <c r="DU66" s="60">
        <v>25</v>
      </c>
      <c r="DV66" s="60">
        <v>17</v>
      </c>
      <c r="DW66" s="60">
        <v>7</v>
      </c>
      <c r="DX66" s="60">
        <v>181</v>
      </c>
      <c r="DY66" s="60">
        <v>2</v>
      </c>
      <c r="DZ66" s="60"/>
      <c r="EA66" s="60">
        <v>1299</v>
      </c>
      <c r="EB66" s="60">
        <v>328</v>
      </c>
      <c r="EC66" s="60"/>
      <c r="ED66" s="60">
        <v>0</v>
      </c>
      <c r="EE66" s="60">
        <v>0</v>
      </c>
      <c r="EF66" s="60">
        <v>0</v>
      </c>
      <c r="EG66" s="60">
        <v>0</v>
      </c>
      <c r="EH66" s="60">
        <v>0</v>
      </c>
      <c r="EI66" s="60">
        <v>814</v>
      </c>
      <c r="EJ66" s="60">
        <v>693</v>
      </c>
      <c r="EK66" s="60">
        <v>2</v>
      </c>
      <c r="EL66" s="60">
        <v>204</v>
      </c>
      <c r="EM66" s="60">
        <v>180</v>
      </c>
      <c r="EN66" s="60">
        <v>62</v>
      </c>
      <c r="EO66" s="60">
        <v>24</v>
      </c>
      <c r="EP66" s="60">
        <v>136</v>
      </c>
      <c r="EQ66" s="60"/>
      <c r="ER66" s="60">
        <v>193</v>
      </c>
      <c r="ES66" s="60">
        <v>57</v>
      </c>
      <c r="ET66" s="60">
        <v>75</v>
      </c>
      <c r="EU66" s="60">
        <v>87</v>
      </c>
      <c r="EV66" s="60">
        <v>56</v>
      </c>
      <c r="EW66" s="60">
        <v>10</v>
      </c>
      <c r="EX66" s="60">
        <v>18</v>
      </c>
      <c r="EY66" s="60">
        <v>27</v>
      </c>
      <c r="EZ66" s="60">
        <v>5</v>
      </c>
      <c r="FA66" s="60">
        <v>849</v>
      </c>
      <c r="FB66" s="60">
        <v>173</v>
      </c>
      <c r="FC66" s="60">
        <v>53</v>
      </c>
      <c r="FD66" s="60">
        <v>67</v>
      </c>
      <c r="FE66" s="60"/>
      <c r="FF66" s="60">
        <v>1</v>
      </c>
      <c r="FG66" s="60"/>
      <c r="FH66" s="60">
        <v>23</v>
      </c>
      <c r="FI66" s="60">
        <v>2</v>
      </c>
      <c r="FJ66" s="60">
        <v>22</v>
      </c>
      <c r="FK66" s="60">
        <v>8</v>
      </c>
      <c r="FL66" s="60">
        <v>1</v>
      </c>
      <c r="FM66" s="60">
        <v>57</v>
      </c>
      <c r="FN66" s="60"/>
      <c r="FO66" s="60">
        <v>1718</v>
      </c>
      <c r="FP66" s="60">
        <v>30</v>
      </c>
      <c r="FQ66" s="60"/>
      <c r="FR66" s="60">
        <v>2</v>
      </c>
      <c r="FS66" s="60">
        <v>17</v>
      </c>
      <c r="FT66" s="60">
        <v>5</v>
      </c>
      <c r="FU66" s="60">
        <v>7</v>
      </c>
      <c r="FV66" s="60">
        <v>1</v>
      </c>
      <c r="FW66" s="60"/>
      <c r="FX66" s="60">
        <v>1893</v>
      </c>
      <c r="FY66" s="60">
        <v>13</v>
      </c>
      <c r="FZ66" s="60">
        <v>1649</v>
      </c>
      <c r="GA66" s="60">
        <v>231</v>
      </c>
      <c r="GB66" s="60">
        <v>2011</v>
      </c>
    </row>
    <row r="67" spans="1:184" x14ac:dyDescent="0.3">
      <c r="A67" s="60">
        <v>106190081</v>
      </c>
      <c r="B67" s="61" t="s">
        <v>358</v>
      </c>
      <c r="C67" s="61" t="s">
        <v>359</v>
      </c>
      <c r="D67" s="61" t="s">
        <v>360</v>
      </c>
      <c r="E67" s="61" t="s">
        <v>361</v>
      </c>
      <c r="F67" s="60">
        <v>90640</v>
      </c>
      <c r="G67" s="61"/>
      <c r="H67" s="61" t="s">
        <v>1669</v>
      </c>
      <c r="I67" s="60">
        <v>58</v>
      </c>
      <c r="J67" s="60">
        <v>30</v>
      </c>
      <c r="K67" s="61" t="s">
        <v>1788</v>
      </c>
      <c r="L67" s="61" t="s">
        <v>357</v>
      </c>
      <c r="M67" s="61" t="s">
        <v>1778</v>
      </c>
      <c r="N67" s="61" t="s">
        <v>1779</v>
      </c>
      <c r="O67" s="61" t="s">
        <v>1673</v>
      </c>
      <c r="P67" s="61" t="s">
        <v>1678</v>
      </c>
      <c r="Q67" s="61" t="s">
        <v>1674</v>
      </c>
      <c r="R67" s="60">
        <v>224</v>
      </c>
      <c r="S67" s="61" t="s">
        <v>1675</v>
      </c>
      <c r="T67" s="60">
        <v>13927</v>
      </c>
      <c r="U67" s="60">
        <v>11586</v>
      </c>
      <c r="V67" s="60"/>
      <c r="W67" s="60"/>
      <c r="X67" s="60">
        <v>4651</v>
      </c>
      <c r="Y67" s="60">
        <v>3318</v>
      </c>
      <c r="Z67" s="60">
        <v>4043</v>
      </c>
      <c r="AA67" s="60">
        <v>3298</v>
      </c>
      <c r="AB67" s="60">
        <v>2634</v>
      </c>
      <c r="AC67" s="60">
        <v>2239</v>
      </c>
      <c r="AD67" s="60">
        <v>1583</v>
      </c>
      <c r="AE67" s="60">
        <v>1371</v>
      </c>
      <c r="AF67" s="60">
        <v>1389</v>
      </c>
      <c r="AG67" s="60">
        <v>987</v>
      </c>
      <c r="AH67" s="60"/>
      <c r="AI67" s="60">
        <v>362</v>
      </c>
      <c r="AJ67" s="60">
        <v>264</v>
      </c>
      <c r="AK67" s="60">
        <v>22749</v>
      </c>
      <c r="AL67" s="60">
        <v>3</v>
      </c>
      <c r="AM67" s="60">
        <v>212</v>
      </c>
      <c r="AN67" s="60">
        <v>82</v>
      </c>
      <c r="AO67" s="60">
        <v>1841</v>
      </c>
      <c r="AP67" s="60">
        <v>1</v>
      </c>
      <c r="AQ67" s="60">
        <v>1571</v>
      </c>
      <c r="AR67" s="60">
        <v>368</v>
      </c>
      <c r="AS67" s="60">
        <v>62</v>
      </c>
      <c r="AT67" s="60"/>
      <c r="AU67" s="60">
        <v>7</v>
      </c>
      <c r="AV67" s="60">
        <v>11</v>
      </c>
      <c r="AW67" s="60"/>
      <c r="AX67" s="60"/>
      <c r="AY67" s="60">
        <v>151</v>
      </c>
      <c r="AZ67" s="60">
        <v>8</v>
      </c>
      <c r="BA67" s="60">
        <v>23123</v>
      </c>
      <c r="BB67" s="60">
        <v>211</v>
      </c>
      <c r="BC67" s="60"/>
      <c r="BD67" s="60"/>
      <c r="BE67" s="60">
        <v>11443</v>
      </c>
      <c r="BF67" s="60">
        <v>6979</v>
      </c>
      <c r="BG67" s="60">
        <v>610</v>
      </c>
      <c r="BH67" s="60">
        <v>1675</v>
      </c>
      <c r="BI67" s="60">
        <v>4806</v>
      </c>
      <c r="BJ67" s="60">
        <v>518</v>
      </c>
      <c r="BK67" s="60">
        <v>58</v>
      </c>
      <c r="BL67" s="60">
        <v>416</v>
      </c>
      <c r="BM67" s="60">
        <v>7</v>
      </c>
      <c r="BN67" s="60">
        <v>981</v>
      </c>
      <c r="BO67" s="60">
        <v>315</v>
      </c>
      <c r="BP67" s="60">
        <v>1202</v>
      </c>
      <c r="BQ67" s="60">
        <v>339</v>
      </c>
      <c r="BR67" s="60">
        <v>5511</v>
      </c>
      <c r="BS67" s="60">
        <v>1470</v>
      </c>
      <c r="BT67" s="60">
        <v>25</v>
      </c>
      <c r="BU67" s="60">
        <v>1270</v>
      </c>
      <c r="BV67" s="60">
        <v>1889</v>
      </c>
      <c r="BW67" s="60">
        <v>20</v>
      </c>
      <c r="BX67" s="60">
        <v>867</v>
      </c>
      <c r="BY67" s="60">
        <v>2661</v>
      </c>
      <c r="BZ67" s="60">
        <v>1122</v>
      </c>
      <c r="CA67" s="60">
        <v>6842</v>
      </c>
      <c r="CB67" s="60"/>
      <c r="CC67" s="60"/>
      <c r="CD67" s="60">
        <v>1967</v>
      </c>
      <c r="CE67" s="60">
        <v>47</v>
      </c>
      <c r="CF67" s="60">
        <v>197</v>
      </c>
      <c r="CG67" s="60">
        <v>17</v>
      </c>
      <c r="CH67" s="60">
        <v>325</v>
      </c>
      <c r="CI67" s="60">
        <v>32</v>
      </c>
      <c r="CJ67" s="60">
        <v>81</v>
      </c>
      <c r="CK67" s="60">
        <v>317</v>
      </c>
      <c r="CL67" s="60">
        <v>19222</v>
      </c>
      <c r="CM67" s="60">
        <v>2204</v>
      </c>
      <c r="CN67" s="60">
        <v>132</v>
      </c>
      <c r="CO67" s="60">
        <v>703</v>
      </c>
      <c r="CP67" s="60">
        <v>70</v>
      </c>
      <c r="CQ67" s="60">
        <v>128</v>
      </c>
      <c r="CR67" s="60">
        <v>71</v>
      </c>
      <c r="CS67" s="60"/>
      <c r="CT67" s="60">
        <v>25513</v>
      </c>
      <c r="CU67" s="60">
        <v>338</v>
      </c>
      <c r="CV67" s="60">
        <v>20653</v>
      </c>
      <c r="CW67" s="60">
        <v>4522</v>
      </c>
      <c r="CX67" s="60">
        <v>3315</v>
      </c>
      <c r="CY67" s="60">
        <v>2794</v>
      </c>
      <c r="CZ67" s="60"/>
      <c r="DA67" s="60"/>
      <c r="DB67" s="60">
        <v>100</v>
      </c>
      <c r="DC67" s="60">
        <v>247</v>
      </c>
      <c r="DD67" s="60">
        <v>355</v>
      </c>
      <c r="DE67" s="60">
        <v>552</v>
      </c>
      <c r="DF67" s="60">
        <v>849</v>
      </c>
      <c r="DG67" s="60">
        <v>959</v>
      </c>
      <c r="DH67" s="60">
        <v>1243</v>
      </c>
      <c r="DI67" s="60">
        <v>1556</v>
      </c>
      <c r="DJ67" s="60">
        <v>90</v>
      </c>
      <c r="DK67" s="60">
        <v>158</v>
      </c>
      <c r="DL67" s="60"/>
      <c r="DM67" s="60">
        <v>160</v>
      </c>
      <c r="DN67" s="60">
        <v>60</v>
      </c>
      <c r="DO67" s="60">
        <v>5146</v>
      </c>
      <c r="DP67" s="60">
        <v>70</v>
      </c>
      <c r="DQ67" s="60">
        <v>10</v>
      </c>
      <c r="DR67" s="60">
        <v>663</v>
      </c>
      <c r="DS67" s="60"/>
      <c r="DT67" s="60">
        <v>375</v>
      </c>
      <c r="DU67" s="60">
        <v>213</v>
      </c>
      <c r="DV67" s="60">
        <v>199</v>
      </c>
      <c r="DW67" s="60">
        <v>541</v>
      </c>
      <c r="DX67" s="60">
        <v>2</v>
      </c>
      <c r="DY67" s="60">
        <v>17</v>
      </c>
      <c r="DZ67" s="60">
        <v>9</v>
      </c>
      <c r="EA67" s="60">
        <v>3782</v>
      </c>
      <c r="EB67" s="60">
        <v>971</v>
      </c>
      <c r="EC67" s="60"/>
      <c r="ED67" s="60">
        <v>0</v>
      </c>
      <c r="EE67" s="60">
        <v>0</v>
      </c>
      <c r="EF67" s="60">
        <v>0</v>
      </c>
      <c r="EG67" s="60">
        <v>0</v>
      </c>
      <c r="EH67" s="60">
        <v>0</v>
      </c>
      <c r="EI67" s="60">
        <v>1752</v>
      </c>
      <c r="EJ67" s="60">
        <v>3354</v>
      </c>
      <c r="EK67" s="60">
        <v>16</v>
      </c>
      <c r="EL67" s="60">
        <v>662</v>
      </c>
      <c r="EM67" s="60">
        <v>325</v>
      </c>
      <c r="EN67" s="60">
        <v>82</v>
      </c>
      <c r="EO67" s="60">
        <v>154</v>
      </c>
      <c r="EP67" s="60">
        <v>1179</v>
      </c>
      <c r="EQ67" s="60">
        <v>4</v>
      </c>
      <c r="ER67" s="60">
        <v>926</v>
      </c>
      <c r="ES67" s="60">
        <v>365</v>
      </c>
      <c r="ET67" s="60">
        <v>350</v>
      </c>
      <c r="EU67" s="60">
        <v>629</v>
      </c>
      <c r="EV67" s="60">
        <v>423</v>
      </c>
      <c r="EW67" s="60">
        <v>75</v>
      </c>
      <c r="EX67" s="60">
        <v>156</v>
      </c>
      <c r="EY67" s="60">
        <v>134</v>
      </c>
      <c r="EZ67" s="60">
        <v>9</v>
      </c>
      <c r="FA67" s="60">
        <v>67</v>
      </c>
      <c r="FB67" s="60">
        <v>752</v>
      </c>
      <c r="FC67" s="60">
        <v>160</v>
      </c>
      <c r="FD67" s="60">
        <v>637</v>
      </c>
      <c r="FE67" s="60"/>
      <c r="FF67" s="60">
        <v>7</v>
      </c>
      <c r="FG67" s="60"/>
      <c r="FH67" s="60">
        <v>289</v>
      </c>
      <c r="FI67" s="60">
        <v>23</v>
      </c>
      <c r="FJ67" s="60">
        <v>395</v>
      </c>
      <c r="FK67" s="60">
        <v>5</v>
      </c>
      <c r="FL67" s="60">
        <v>7</v>
      </c>
      <c r="FM67" s="60">
        <v>195</v>
      </c>
      <c r="FN67" s="60">
        <v>15</v>
      </c>
      <c r="FO67" s="60">
        <v>5060</v>
      </c>
      <c r="FP67" s="60">
        <v>64</v>
      </c>
      <c r="FQ67" s="60">
        <v>3</v>
      </c>
      <c r="FR67" s="60">
        <v>15</v>
      </c>
      <c r="FS67" s="60">
        <v>18</v>
      </c>
      <c r="FT67" s="60">
        <v>13</v>
      </c>
      <c r="FU67" s="60">
        <v>7</v>
      </c>
      <c r="FV67" s="60"/>
      <c r="FW67" s="60"/>
      <c r="FX67" s="60">
        <v>6109</v>
      </c>
      <c r="FY67" s="60">
        <v>304</v>
      </c>
      <c r="FZ67" s="60">
        <v>3208</v>
      </c>
      <c r="GA67" s="60">
        <v>2597</v>
      </c>
      <c r="GB67" s="60">
        <v>2011</v>
      </c>
    </row>
    <row r="68" spans="1:184" x14ac:dyDescent="0.3">
      <c r="A68" s="60">
        <v>106190110</v>
      </c>
      <c r="B68" s="61" t="s">
        <v>362</v>
      </c>
      <c r="C68" s="61" t="s">
        <v>1789</v>
      </c>
      <c r="D68" s="61" t="s">
        <v>363</v>
      </c>
      <c r="E68" s="61" t="s">
        <v>364</v>
      </c>
      <c r="F68" s="60">
        <v>90231</v>
      </c>
      <c r="G68" s="61"/>
      <c r="H68" s="61" t="s">
        <v>1669</v>
      </c>
      <c r="I68" s="60">
        <v>47</v>
      </c>
      <c r="J68" s="60">
        <v>26</v>
      </c>
      <c r="K68" s="61" t="s">
        <v>1790</v>
      </c>
      <c r="L68" s="61" t="s">
        <v>365</v>
      </c>
      <c r="M68" s="61" t="s">
        <v>1778</v>
      </c>
      <c r="N68" s="61" t="s">
        <v>1779</v>
      </c>
      <c r="O68" s="61" t="s">
        <v>1673</v>
      </c>
      <c r="P68" s="61" t="s">
        <v>221</v>
      </c>
      <c r="Q68" s="61" t="s">
        <v>1674</v>
      </c>
      <c r="R68" s="60">
        <v>329</v>
      </c>
      <c r="S68" s="61" t="s">
        <v>1675</v>
      </c>
      <c r="T68" s="60">
        <v>8896</v>
      </c>
      <c r="U68" s="60">
        <v>8196</v>
      </c>
      <c r="V68" s="60">
        <v>2</v>
      </c>
      <c r="W68" s="60"/>
      <c r="X68" s="60">
        <v>1662</v>
      </c>
      <c r="Y68" s="60">
        <v>1757</v>
      </c>
      <c r="Z68" s="60">
        <v>2837</v>
      </c>
      <c r="AA68" s="60">
        <v>2536</v>
      </c>
      <c r="AB68" s="60">
        <v>2768</v>
      </c>
      <c r="AC68" s="60">
        <v>2704</v>
      </c>
      <c r="AD68" s="60">
        <v>1272</v>
      </c>
      <c r="AE68" s="60">
        <v>683</v>
      </c>
      <c r="AF68" s="60">
        <v>653</v>
      </c>
      <c r="AG68" s="60">
        <v>222</v>
      </c>
      <c r="AH68" s="60"/>
      <c r="AI68" s="60">
        <v>520</v>
      </c>
      <c r="AJ68" s="60">
        <v>6750</v>
      </c>
      <c r="AK68" s="60">
        <v>4138</v>
      </c>
      <c r="AL68" s="60">
        <v>57</v>
      </c>
      <c r="AM68" s="60">
        <v>440</v>
      </c>
      <c r="AN68" s="60">
        <v>95</v>
      </c>
      <c r="AO68" s="60">
        <v>5094</v>
      </c>
      <c r="AP68" s="60">
        <v>264</v>
      </c>
      <c r="AQ68" s="60">
        <v>730</v>
      </c>
      <c r="AR68" s="60">
        <v>331</v>
      </c>
      <c r="AS68" s="60">
        <v>30</v>
      </c>
      <c r="AT68" s="60">
        <v>2</v>
      </c>
      <c r="AU68" s="60"/>
      <c r="AV68" s="60">
        <v>69</v>
      </c>
      <c r="AW68" s="60">
        <v>49</v>
      </c>
      <c r="AX68" s="60">
        <v>8</v>
      </c>
      <c r="AY68" s="60">
        <v>120</v>
      </c>
      <c r="AZ68" s="60"/>
      <c r="BA68" s="60">
        <v>15401</v>
      </c>
      <c r="BB68" s="60">
        <v>63</v>
      </c>
      <c r="BC68" s="60">
        <v>27</v>
      </c>
      <c r="BD68" s="60"/>
      <c r="BE68" s="60">
        <v>675</v>
      </c>
      <c r="BF68" s="60">
        <v>4217</v>
      </c>
      <c r="BG68" s="60">
        <v>467</v>
      </c>
      <c r="BH68" s="60">
        <v>6867</v>
      </c>
      <c r="BI68" s="60">
        <v>4868</v>
      </c>
      <c r="BJ68" s="60">
        <v>240</v>
      </c>
      <c r="BK68" s="60">
        <v>123</v>
      </c>
      <c r="BL68" s="60">
        <v>328</v>
      </c>
      <c r="BM68" s="60">
        <v>1</v>
      </c>
      <c r="BN68" s="60">
        <v>662</v>
      </c>
      <c r="BO68" s="60">
        <v>165</v>
      </c>
      <c r="BP68" s="60">
        <v>597</v>
      </c>
      <c r="BQ68" s="60">
        <v>274</v>
      </c>
      <c r="BR68" s="60">
        <v>3402</v>
      </c>
      <c r="BS68" s="60">
        <v>1694</v>
      </c>
      <c r="BT68" s="60">
        <v>14</v>
      </c>
      <c r="BU68" s="60">
        <v>987</v>
      </c>
      <c r="BV68" s="60">
        <v>1148</v>
      </c>
      <c r="BW68" s="60">
        <v>4</v>
      </c>
      <c r="BX68" s="60">
        <v>1309</v>
      </c>
      <c r="BY68" s="60">
        <v>1096</v>
      </c>
      <c r="BZ68" s="60">
        <v>645</v>
      </c>
      <c r="CA68" s="60">
        <v>4405</v>
      </c>
      <c r="CB68" s="60"/>
      <c r="CC68" s="60"/>
      <c r="CD68" s="60">
        <v>1154</v>
      </c>
      <c r="CE68" s="60">
        <v>53</v>
      </c>
      <c r="CF68" s="60">
        <v>76</v>
      </c>
      <c r="CG68" s="60">
        <v>4</v>
      </c>
      <c r="CH68" s="60">
        <v>275</v>
      </c>
      <c r="CI68" s="60">
        <v>3</v>
      </c>
      <c r="CJ68" s="60">
        <v>51</v>
      </c>
      <c r="CK68" s="60">
        <v>194</v>
      </c>
      <c r="CL68" s="60">
        <v>12683</v>
      </c>
      <c r="CM68" s="60">
        <v>1765</v>
      </c>
      <c r="CN68" s="60">
        <v>91</v>
      </c>
      <c r="CO68" s="60">
        <v>593</v>
      </c>
      <c r="CP68" s="60">
        <v>51</v>
      </c>
      <c r="CQ68" s="60">
        <v>73</v>
      </c>
      <c r="CR68" s="60">
        <v>28</v>
      </c>
      <c r="CS68" s="60"/>
      <c r="CT68" s="60">
        <v>17094</v>
      </c>
      <c r="CU68" s="60">
        <v>200</v>
      </c>
      <c r="CV68" s="60">
        <v>16207</v>
      </c>
      <c r="CW68" s="60">
        <v>687</v>
      </c>
      <c r="CX68" s="60">
        <v>3035</v>
      </c>
      <c r="CY68" s="60">
        <v>2838</v>
      </c>
      <c r="CZ68" s="60"/>
      <c r="DA68" s="60"/>
      <c r="DB68" s="60">
        <v>50</v>
      </c>
      <c r="DC68" s="60">
        <v>254</v>
      </c>
      <c r="DD68" s="60">
        <v>358</v>
      </c>
      <c r="DE68" s="60">
        <v>826</v>
      </c>
      <c r="DF68" s="60">
        <v>1284</v>
      </c>
      <c r="DG68" s="60">
        <v>1075</v>
      </c>
      <c r="DH68" s="60">
        <v>843</v>
      </c>
      <c r="DI68" s="60">
        <v>1183</v>
      </c>
      <c r="DJ68" s="60"/>
      <c r="DK68" s="60"/>
      <c r="DL68" s="60"/>
      <c r="DM68" s="60">
        <v>79</v>
      </c>
      <c r="DN68" s="60">
        <v>2433</v>
      </c>
      <c r="DO68" s="60">
        <v>915</v>
      </c>
      <c r="DP68" s="60">
        <v>125</v>
      </c>
      <c r="DQ68" s="60">
        <v>114</v>
      </c>
      <c r="DR68" s="60">
        <v>2188</v>
      </c>
      <c r="DS68" s="60">
        <v>19</v>
      </c>
      <c r="DT68" s="60">
        <v>170</v>
      </c>
      <c r="DU68" s="60">
        <v>304</v>
      </c>
      <c r="DV68" s="60">
        <v>114</v>
      </c>
      <c r="DW68" s="60">
        <v>376</v>
      </c>
      <c r="DX68" s="60">
        <v>315</v>
      </c>
      <c r="DY68" s="60">
        <v>11</v>
      </c>
      <c r="DZ68" s="60">
        <v>342</v>
      </c>
      <c r="EA68" s="60">
        <v>2751</v>
      </c>
      <c r="EB68" s="60">
        <v>1487</v>
      </c>
      <c r="EC68" s="60">
        <v>3</v>
      </c>
      <c r="ED68" s="60">
        <v>0</v>
      </c>
      <c r="EE68" s="60">
        <v>0</v>
      </c>
      <c r="EF68" s="60">
        <v>0</v>
      </c>
      <c r="EG68" s="60">
        <v>0</v>
      </c>
      <c r="EH68" s="60">
        <v>0</v>
      </c>
      <c r="EI68" s="60">
        <v>1131</v>
      </c>
      <c r="EJ68" s="60">
        <v>3243</v>
      </c>
      <c r="EK68" s="60">
        <v>36</v>
      </c>
      <c r="EL68" s="60">
        <v>1163</v>
      </c>
      <c r="EM68" s="60">
        <v>300</v>
      </c>
      <c r="EN68" s="60">
        <v>13</v>
      </c>
      <c r="EO68" s="60">
        <v>95</v>
      </c>
      <c r="EP68" s="60">
        <v>713</v>
      </c>
      <c r="EQ68" s="60">
        <v>4</v>
      </c>
      <c r="ER68" s="60">
        <v>567</v>
      </c>
      <c r="ES68" s="60">
        <v>240</v>
      </c>
      <c r="ET68" s="60">
        <v>323</v>
      </c>
      <c r="EU68" s="60">
        <v>479</v>
      </c>
      <c r="EV68" s="60">
        <v>273</v>
      </c>
      <c r="EW68" s="60">
        <v>119</v>
      </c>
      <c r="EX68" s="60">
        <v>76</v>
      </c>
      <c r="EY68" s="60">
        <v>139</v>
      </c>
      <c r="EZ68" s="60">
        <v>44</v>
      </c>
      <c r="FA68" s="60">
        <v>1469</v>
      </c>
      <c r="FB68" s="60">
        <v>636</v>
      </c>
      <c r="FC68" s="60">
        <v>123</v>
      </c>
      <c r="FD68" s="60">
        <v>560</v>
      </c>
      <c r="FE68" s="60"/>
      <c r="FF68" s="60"/>
      <c r="FG68" s="60"/>
      <c r="FH68" s="60">
        <v>159</v>
      </c>
      <c r="FI68" s="60">
        <v>17</v>
      </c>
      <c r="FJ68" s="60">
        <v>204</v>
      </c>
      <c r="FK68" s="60">
        <v>15</v>
      </c>
      <c r="FL68" s="60">
        <v>8</v>
      </c>
      <c r="FM68" s="60">
        <v>164</v>
      </c>
      <c r="FN68" s="60">
        <v>6</v>
      </c>
      <c r="FO68" s="60">
        <v>5174</v>
      </c>
      <c r="FP68" s="60">
        <v>56</v>
      </c>
      <c r="FQ68" s="60">
        <v>1</v>
      </c>
      <c r="FR68" s="60">
        <v>6</v>
      </c>
      <c r="FS68" s="60">
        <v>43</v>
      </c>
      <c r="FT68" s="60">
        <v>4</v>
      </c>
      <c r="FU68" s="60">
        <v>15</v>
      </c>
      <c r="FV68" s="60">
        <v>1</v>
      </c>
      <c r="FW68" s="60"/>
      <c r="FX68" s="60">
        <v>5873</v>
      </c>
      <c r="FY68" s="60">
        <v>98</v>
      </c>
      <c r="FZ68" s="60">
        <v>5590</v>
      </c>
      <c r="GA68" s="60">
        <v>185</v>
      </c>
      <c r="GB68" s="60">
        <v>2011</v>
      </c>
    </row>
    <row r="69" spans="1:184" x14ac:dyDescent="0.3">
      <c r="A69" s="60">
        <v>106190125</v>
      </c>
      <c r="B69" s="61" t="s">
        <v>366</v>
      </c>
      <c r="C69" s="61" t="s">
        <v>367</v>
      </c>
      <c r="D69" s="61" t="s">
        <v>368</v>
      </c>
      <c r="E69" s="61" t="s">
        <v>340</v>
      </c>
      <c r="F69" s="60">
        <v>90015</v>
      </c>
      <c r="G69" s="61" t="s">
        <v>143</v>
      </c>
      <c r="H69" s="61" t="s">
        <v>1669</v>
      </c>
      <c r="I69" s="60">
        <v>46</v>
      </c>
      <c r="J69" s="60">
        <v>22</v>
      </c>
      <c r="K69" s="61" t="s">
        <v>1791</v>
      </c>
      <c r="L69" s="61" t="s">
        <v>369</v>
      </c>
      <c r="M69" s="61" t="s">
        <v>1778</v>
      </c>
      <c r="N69" s="61" t="s">
        <v>1779</v>
      </c>
      <c r="O69" s="61" t="s">
        <v>1673</v>
      </c>
      <c r="P69" s="61" t="s">
        <v>1678</v>
      </c>
      <c r="Q69" s="61" t="s">
        <v>1674</v>
      </c>
      <c r="R69" s="60">
        <v>288</v>
      </c>
      <c r="S69" s="61" t="s">
        <v>1675</v>
      </c>
      <c r="T69" s="60">
        <v>27126</v>
      </c>
      <c r="U69" s="60">
        <v>22010</v>
      </c>
      <c r="V69" s="60">
        <v>1</v>
      </c>
      <c r="W69" s="60"/>
      <c r="X69" s="60">
        <v>7157</v>
      </c>
      <c r="Y69" s="60">
        <v>6367</v>
      </c>
      <c r="Z69" s="60">
        <v>10261</v>
      </c>
      <c r="AA69" s="60">
        <v>7464</v>
      </c>
      <c r="AB69" s="60">
        <v>6486</v>
      </c>
      <c r="AC69" s="60">
        <v>5383</v>
      </c>
      <c r="AD69" s="60">
        <v>2292</v>
      </c>
      <c r="AE69" s="60">
        <v>932</v>
      </c>
      <c r="AF69" s="60">
        <v>582</v>
      </c>
      <c r="AG69" s="60">
        <v>2213</v>
      </c>
      <c r="AH69" s="60"/>
      <c r="AI69" s="60">
        <v>138</v>
      </c>
      <c r="AJ69" s="60">
        <v>17688</v>
      </c>
      <c r="AK69" s="60">
        <v>27048</v>
      </c>
      <c r="AL69" s="60">
        <v>64</v>
      </c>
      <c r="AM69" s="60">
        <v>696</v>
      </c>
      <c r="AN69" s="60">
        <v>728</v>
      </c>
      <c r="AO69" s="60">
        <v>2775</v>
      </c>
      <c r="AP69" s="60">
        <v>434</v>
      </c>
      <c r="AQ69" s="60">
        <v>1239</v>
      </c>
      <c r="AR69" s="60">
        <v>91</v>
      </c>
      <c r="AS69" s="60">
        <v>98</v>
      </c>
      <c r="AT69" s="60">
        <v>3</v>
      </c>
      <c r="AU69" s="60"/>
      <c r="AV69" s="60"/>
      <c r="AW69" s="60">
        <v>58</v>
      </c>
      <c r="AX69" s="60"/>
      <c r="AY69" s="60">
        <v>608</v>
      </c>
      <c r="AZ69" s="60">
        <v>1</v>
      </c>
      <c r="BA69" s="60">
        <v>46585</v>
      </c>
      <c r="BB69" s="60">
        <v>10</v>
      </c>
      <c r="BC69" s="60"/>
      <c r="BD69" s="60">
        <v>10</v>
      </c>
      <c r="BE69" s="60">
        <v>26429</v>
      </c>
      <c r="BF69" s="60">
        <v>3872</v>
      </c>
      <c r="BG69" s="60">
        <v>2165</v>
      </c>
      <c r="BH69" s="60">
        <v>2750</v>
      </c>
      <c r="BI69" s="60">
        <v>13921</v>
      </c>
      <c r="BJ69" s="60">
        <v>2722</v>
      </c>
      <c r="BK69" s="60">
        <v>181</v>
      </c>
      <c r="BL69" s="60">
        <v>769</v>
      </c>
      <c r="BM69" s="60">
        <v>13</v>
      </c>
      <c r="BN69" s="60">
        <v>2830</v>
      </c>
      <c r="BO69" s="60">
        <v>1041</v>
      </c>
      <c r="BP69" s="60">
        <v>3597</v>
      </c>
      <c r="BQ69" s="60">
        <v>1116</v>
      </c>
      <c r="BR69" s="60">
        <v>10393</v>
      </c>
      <c r="BS69" s="60">
        <v>2643</v>
      </c>
      <c r="BT69" s="60">
        <v>121</v>
      </c>
      <c r="BU69" s="60">
        <v>2742</v>
      </c>
      <c r="BV69" s="60">
        <v>2496</v>
      </c>
      <c r="BW69" s="60">
        <v>122</v>
      </c>
      <c r="BX69" s="60">
        <v>2552</v>
      </c>
      <c r="BY69" s="60">
        <v>4689</v>
      </c>
      <c r="BZ69" s="60">
        <v>2076</v>
      </c>
      <c r="CA69" s="60">
        <v>9031</v>
      </c>
      <c r="CB69" s="60">
        <v>1</v>
      </c>
      <c r="CC69" s="60">
        <v>2</v>
      </c>
      <c r="CD69" s="60">
        <v>2902</v>
      </c>
      <c r="CE69" s="60">
        <v>69</v>
      </c>
      <c r="CF69" s="60">
        <v>126</v>
      </c>
      <c r="CG69" s="60">
        <v>18</v>
      </c>
      <c r="CH69" s="60">
        <v>1446</v>
      </c>
      <c r="CI69" s="60">
        <v>86</v>
      </c>
      <c r="CJ69" s="60">
        <v>110</v>
      </c>
      <c r="CK69" s="60">
        <v>522</v>
      </c>
      <c r="CL69" s="60">
        <v>37739</v>
      </c>
      <c r="CM69" s="60">
        <v>3805</v>
      </c>
      <c r="CN69" s="60">
        <v>269</v>
      </c>
      <c r="CO69" s="60">
        <v>1625</v>
      </c>
      <c r="CP69" s="60">
        <v>102</v>
      </c>
      <c r="CQ69" s="60">
        <v>264</v>
      </c>
      <c r="CR69" s="60">
        <v>54</v>
      </c>
      <c r="CS69" s="60"/>
      <c r="CT69" s="60">
        <v>49137</v>
      </c>
      <c r="CU69" s="60">
        <v>33</v>
      </c>
      <c r="CV69" s="60">
        <v>35132</v>
      </c>
      <c r="CW69" s="60">
        <v>13972</v>
      </c>
      <c r="CX69" s="60">
        <v>4528</v>
      </c>
      <c r="CY69" s="60">
        <v>4734</v>
      </c>
      <c r="CZ69" s="60"/>
      <c r="DA69" s="60"/>
      <c r="DB69" s="60">
        <v>533</v>
      </c>
      <c r="DC69" s="60">
        <v>1283</v>
      </c>
      <c r="DD69" s="60">
        <v>1137</v>
      </c>
      <c r="DE69" s="60">
        <v>1403</v>
      </c>
      <c r="DF69" s="60">
        <v>1694</v>
      </c>
      <c r="DG69" s="60">
        <v>1232</v>
      </c>
      <c r="DH69" s="60">
        <v>702</v>
      </c>
      <c r="DI69" s="60">
        <v>691</v>
      </c>
      <c r="DJ69" s="60">
        <v>303</v>
      </c>
      <c r="DK69" s="60">
        <v>284</v>
      </c>
      <c r="DL69" s="60"/>
      <c r="DM69" s="60">
        <v>37</v>
      </c>
      <c r="DN69" s="60">
        <v>3827</v>
      </c>
      <c r="DO69" s="60">
        <v>4694</v>
      </c>
      <c r="DP69" s="60">
        <v>161</v>
      </c>
      <c r="DQ69" s="60">
        <v>34</v>
      </c>
      <c r="DR69" s="60">
        <v>497</v>
      </c>
      <c r="DS69" s="60">
        <v>12</v>
      </c>
      <c r="DT69" s="60">
        <v>261</v>
      </c>
      <c r="DU69" s="60">
        <v>343</v>
      </c>
      <c r="DV69" s="60">
        <v>208</v>
      </c>
      <c r="DW69" s="60">
        <v>143</v>
      </c>
      <c r="DX69" s="60">
        <v>27</v>
      </c>
      <c r="DY69" s="60">
        <v>51</v>
      </c>
      <c r="DZ69" s="60">
        <v>8</v>
      </c>
      <c r="EA69" s="60">
        <v>7611</v>
      </c>
      <c r="EB69" s="60">
        <v>601</v>
      </c>
      <c r="EC69" s="60">
        <v>9</v>
      </c>
      <c r="ED69" s="60">
        <v>0</v>
      </c>
      <c r="EE69" s="60">
        <v>0</v>
      </c>
      <c r="EF69" s="60">
        <v>0</v>
      </c>
      <c r="EG69" s="60">
        <v>0</v>
      </c>
      <c r="EH69" s="60">
        <v>0</v>
      </c>
      <c r="EI69" s="60">
        <v>4407</v>
      </c>
      <c r="EJ69" s="60">
        <v>2056</v>
      </c>
      <c r="EK69" s="60">
        <v>239</v>
      </c>
      <c r="EL69" s="60">
        <v>526</v>
      </c>
      <c r="EM69" s="60">
        <v>2034</v>
      </c>
      <c r="EN69" s="60">
        <v>469</v>
      </c>
      <c r="EO69" s="60">
        <v>182</v>
      </c>
      <c r="EP69" s="60">
        <v>1234</v>
      </c>
      <c r="EQ69" s="60">
        <v>8</v>
      </c>
      <c r="ER69" s="60">
        <v>1283</v>
      </c>
      <c r="ES69" s="60">
        <v>424</v>
      </c>
      <c r="ET69" s="60">
        <v>459</v>
      </c>
      <c r="EU69" s="60">
        <v>318</v>
      </c>
      <c r="EV69" s="60">
        <v>1920</v>
      </c>
      <c r="EW69" s="60">
        <v>165</v>
      </c>
      <c r="EX69" s="60">
        <v>216</v>
      </c>
      <c r="EY69" s="60">
        <v>191</v>
      </c>
      <c r="EZ69" s="60">
        <v>26</v>
      </c>
      <c r="FA69" s="60">
        <v>144</v>
      </c>
      <c r="FB69" s="60">
        <v>1021</v>
      </c>
      <c r="FC69" s="60">
        <v>291</v>
      </c>
      <c r="FD69" s="60">
        <v>834</v>
      </c>
      <c r="FE69" s="60">
        <v>12</v>
      </c>
      <c r="FF69" s="60">
        <v>65</v>
      </c>
      <c r="FG69" s="60"/>
      <c r="FH69" s="60">
        <v>451</v>
      </c>
      <c r="FI69" s="60">
        <v>50</v>
      </c>
      <c r="FJ69" s="60">
        <v>211</v>
      </c>
      <c r="FK69" s="60">
        <v>550</v>
      </c>
      <c r="FL69" s="60">
        <v>20</v>
      </c>
      <c r="FM69" s="60">
        <v>253</v>
      </c>
      <c r="FN69" s="60">
        <v>33</v>
      </c>
      <c r="FO69" s="60">
        <v>6843</v>
      </c>
      <c r="FP69" s="60">
        <v>251</v>
      </c>
      <c r="FQ69" s="60">
        <v>32</v>
      </c>
      <c r="FR69" s="60">
        <v>464</v>
      </c>
      <c r="FS69" s="60">
        <v>41</v>
      </c>
      <c r="FT69" s="60">
        <v>18</v>
      </c>
      <c r="FU69" s="60">
        <v>43</v>
      </c>
      <c r="FV69" s="60">
        <v>2</v>
      </c>
      <c r="FW69" s="60"/>
      <c r="FX69" s="60">
        <v>9262</v>
      </c>
      <c r="FY69" s="60">
        <v>21</v>
      </c>
      <c r="FZ69" s="60">
        <v>6281</v>
      </c>
      <c r="GA69" s="60">
        <v>2960</v>
      </c>
      <c r="GB69" s="60">
        <v>2011</v>
      </c>
    </row>
    <row r="70" spans="1:184" x14ac:dyDescent="0.3">
      <c r="A70" s="60">
        <v>106190148</v>
      </c>
      <c r="B70" s="61" t="s">
        <v>370</v>
      </c>
      <c r="C70" s="61" t="s">
        <v>371</v>
      </c>
      <c r="D70" s="61" t="s">
        <v>372</v>
      </c>
      <c r="E70" s="61" t="s">
        <v>373</v>
      </c>
      <c r="F70" s="60">
        <v>90301</v>
      </c>
      <c r="G70" s="61"/>
      <c r="H70" s="61" t="s">
        <v>1669</v>
      </c>
      <c r="I70" s="60">
        <v>51</v>
      </c>
      <c r="J70" s="60">
        <v>25</v>
      </c>
      <c r="K70" s="61" t="s">
        <v>1792</v>
      </c>
      <c r="L70" s="61" t="s">
        <v>354</v>
      </c>
      <c r="M70" s="61" t="s">
        <v>1778</v>
      </c>
      <c r="N70" s="61" t="s">
        <v>1779</v>
      </c>
      <c r="O70" s="61" t="s">
        <v>1673</v>
      </c>
      <c r="P70" s="61" t="s">
        <v>321</v>
      </c>
      <c r="Q70" s="61" t="s">
        <v>1674</v>
      </c>
      <c r="R70" s="60">
        <v>345</v>
      </c>
      <c r="S70" s="61" t="s">
        <v>1675</v>
      </c>
      <c r="T70" s="60">
        <v>23675</v>
      </c>
      <c r="U70" s="60">
        <v>17499</v>
      </c>
      <c r="V70" s="60"/>
      <c r="W70" s="60"/>
      <c r="X70" s="60">
        <v>5132</v>
      </c>
      <c r="Y70" s="60">
        <v>5096</v>
      </c>
      <c r="Z70" s="60">
        <v>9357</v>
      </c>
      <c r="AA70" s="60">
        <v>6360</v>
      </c>
      <c r="AB70" s="60">
        <v>5984</v>
      </c>
      <c r="AC70" s="60">
        <v>5136</v>
      </c>
      <c r="AD70" s="60">
        <v>2017</v>
      </c>
      <c r="AE70" s="60">
        <v>535</v>
      </c>
      <c r="AF70" s="60">
        <v>297</v>
      </c>
      <c r="AG70" s="60">
        <v>1260</v>
      </c>
      <c r="AH70" s="60"/>
      <c r="AI70" s="60">
        <v>164</v>
      </c>
      <c r="AJ70" s="60">
        <v>25741</v>
      </c>
      <c r="AK70" s="60">
        <v>11646</v>
      </c>
      <c r="AL70" s="60"/>
      <c r="AM70" s="60">
        <v>427</v>
      </c>
      <c r="AN70" s="60"/>
      <c r="AO70" s="60">
        <v>3196</v>
      </c>
      <c r="AP70" s="60">
        <v>580</v>
      </c>
      <c r="AQ70" s="60">
        <v>656</v>
      </c>
      <c r="AR70" s="60"/>
      <c r="AS70" s="60"/>
      <c r="AT70" s="60"/>
      <c r="AU70" s="60">
        <v>2</v>
      </c>
      <c r="AV70" s="60"/>
      <c r="AW70" s="60">
        <v>179</v>
      </c>
      <c r="AX70" s="60"/>
      <c r="AY70" s="60">
        <v>493</v>
      </c>
      <c r="AZ70" s="60">
        <v>1</v>
      </c>
      <c r="BA70" s="60">
        <v>39171</v>
      </c>
      <c r="BB70" s="60">
        <v>92</v>
      </c>
      <c r="BC70" s="60"/>
      <c r="BD70" s="60"/>
      <c r="BE70" s="60">
        <v>21287</v>
      </c>
      <c r="BF70" s="60">
        <v>1638</v>
      </c>
      <c r="BG70" s="60">
        <v>225</v>
      </c>
      <c r="BH70" s="60">
        <v>4283</v>
      </c>
      <c r="BI70" s="60">
        <v>13741</v>
      </c>
      <c r="BJ70" s="60">
        <v>2531</v>
      </c>
      <c r="BK70" s="60">
        <v>144</v>
      </c>
      <c r="BL70" s="60">
        <v>627</v>
      </c>
      <c r="BM70" s="60">
        <v>4</v>
      </c>
      <c r="BN70" s="60">
        <v>1740</v>
      </c>
      <c r="BO70" s="60">
        <v>629</v>
      </c>
      <c r="BP70" s="60">
        <v>2154</v>
      </c>
      <c r="BQ70" s="60">
        <v>1009</v>
      </c>
      <c r="BR70" s="60">
        <v>8651</v>
      </c>
      <c r="BS70" s="60">
        <v>2352</v>
      </c>
      <c r="BT70" s="60">
        <v>142</v>
      </c>
      <c r="BU70" s="60">
        <v>2770</v>
      </c>
      <c r="BV70" s="60">
        <v>3186</v>
      </c>
      <c r="BW70" s="60">
        <v>103</v>
      </c>
      <c r="BX70" s="60">
        <v>2200</v>
      </c>
      <c r="BY70" s="60">
        <v>3994</v>
      </c>
      <c r="BZ70" s="60">
        <v>1396</v>
      </c>
      <c r="CA70" s="60">
        <v>7541</v>
      </c>
      <c r="CB70" s="60">
        <v>1</v>
      </c>
      <c r="CC70" s="60"/>
      <c r="CD70" s="60">
        <v>2177</v>
      </c>
      <c r="CE70" s="60">
        <v>170</v>
      </c>
      <c r="CF70" s="60">
        <v>392</v>
      </c>
      <c r="CG70" s="60">
        <v>22</v>
      </c>
      <c r="CH70" s="60">
        <v>1382</v>
      </c>
      <c r="CI70" s="60">
        <v>25</v>
      </c>
      <c r="CJ70" s="60">
        <v>156</v>
      </c>
      <c r="CK70" s="60">
        <v>354</v>
      </c>
      <c r="CL70" s="60">
        <v>31598</v>
      </c>
      <c r="CM70" s="60">
        <v>2866</v>
      </c>
      <c r="CN70" s="60">
        <v>154</v>
      </c>
      <c r="CO70" s="60">
        <v>1344</v>
      </c>
      <c r="CP70" s="60">
        <v>147</v>
      </c>
      <c r="CQ70" s="60">
        <v>199</v>
      </c>
      <c r="CR70" s="60">
        <v>188</v>
      </c>
      <c r="CS70" s="60"/>
      <c r="CT70" s="60">
        <v>41174</v>
      </c>
      <c r="CU70" s="60">
        <v>385</v>
      </c>
      <c r="CV70" s="60">
        <v>37104</v>
      </c>
      <c r="CW70" s="60">
        <v>3685</v>
      </c>
      <c r="CX70" s="60">
        <v>8975</v>
      </c>
      <c r="CY70" s="60">
        <v>6765</v>
      </c>
      <c r="CZ70" s="60"/>
      <c r="DA70" s="60"/>
      <c r="DB70" s="60">
        <v>188</v>
      </c>
      <c r="DC70" s="60">
        <v>823</v>
      </c>
      <c r="DD70" s="60">
        <v>1006</v>
      </c>
      <c r="DE70" s="60">
        <v>2051</v>
      </c>
      <c r="DF70" s="60">
        <v>3199</v>
      </c>
      <c r="DG70" s="60">
        <v>2931</v>
      </c>
      <c r="DH70" s="60">
        <v>2774</v>
      </c>
      <c r="DI70" s="60">
        <v>2763</v>
      </c>
      <c r="DJ70" s="60">
        <v>5</v>
      </c>
      <c r="DK70" s="60"/>
      <c r="DL70" s="60"/>
      <c r="DM70" s="60">
        <v>154</v>
      </c>
      <c r="DN70" s="60">
        <v>11309</v>
      </c>
      <c r="DO70" s="60">
        <v>2888</v>
      </c>
      <c r="DP70" s="60">
        <v>220</v>
      </c>
      <c r="DQ70" s="60">
        <v>1</v>
      </c>
      <c r="DR70" s="60">
        <v>1159</v>
      </c>
      <c r="DS70" s="60">
        <v>9</v>
      </c>
      <c r="DT70" s="60">
        <v>734</v>
      </c>
      <c r="DU70" s="60">
        <v>835</v>
      </c>
      <c r="DV70" s="60">
        <v>421</v>
      </c>
      <c r="DW70" s="60">
        <v>1243</v>
      </c>
      <c r="DX70" s="60">
        <v>243</v>
      </c>
      <c r="DY70" s="60">
        <v>32</v>
      </c>
      <c r="DZ70" s="60">
        <v>316</v>
      </c>
      <c r="EA70" s="60">
        <v>10296</v>
      </c>
      <c r="EB70" s="60">
        <v>1620</v>
      </c>
      <c r="EC70" s="60"/>
      <c r="ED70" s="60">
        <v>0</v>
      </c>
      <c r="EE70" s="60">
        <v>0</v>
      </c>
      <c r="EF70" s="60">
        <v>0</v>
      </c>
      <c r="EG70" s="60">
        <v>0</v>
      </c>
      <c r="EH70" s="60">
        <v>0</v>
      </c>
      <c r="EI70" s="60">
        <v>5334</v>
      </c>
      <c r="EJ70" s="60">
        <v>7724</v>
      </c>
      <c r="EK70" s="60"/>
      <c r="EL70" s="60">
        <v>1350</v>
      </c>
      <c r="EM70" s="60">
        <v>1332</v>
      </c>
      <c r="EN70" s="60">
        <v>319</v>
      </c>
      <c r="EO70" s="60">
        <v>285</v>
      </c>
      <c r="EP70" s="60">
        <v>3478</v>
      </c>
      <c r="EQ70" s="60">
        <v>5</v>
      </c>
      <c r="ER70" s="60">
        <v>1795</v>
      </c>
      <c r="ES70" s="60">
        <v>808</v>
      </c>
      <c r="ET70" s="60">
        <v>744</v>
      </c>
      <c r="EU70" s="60">
        <v>1698</v>
      </c>
      <c r="EV70" s="60">
        <v>976</v>
      </c>
      <c r="EW70" s="60">
        <v>379</v>
      </c>
      <c r="EX70" s="60">
        <v>262</v>
      </c>
      <c r="EY70" s="60">
        <v>1124</v>
      </c>
      <c r="EZ70" s="60">
        <v>25</v>
      </c>
      <c r="FA70" s="60">
        <v>214</v>
      </c>
      <c r="FB70" s="60">
        <v>1806</v>
      </c>
      <c r="FC70" s="60">
        <v>211</v>
      </c>
      <c r="FD70" s="60">
        <v>1606</v>
      </c>
      <c r="FE70" s="60">
        <v>5</v>
      </c>
      <c r="FF70" s="60"/>
      <c r="FG70" s="60"/>
      <c r="FH70" s="60">
        <v>543</v>
      </c>
      <c r="FI70" s="60">
        <v>100</v>
      </c>
      <c r="FJ70" s="60">
        <v>644</v>
      </c>
      <c r="FK70" s="60">
        <v>81</v>
      </c>
      <c r="FL70" s="60">
        <v>49</v>
      </c>
      <c r="FM70" s="60">
        <v>563</v>
      </c>
      <c r="FN70" s="60">
        <v>36</v>
      </c>
      <c r="FO70" s="60">
        <v>13321</v>
      </c>
      <c r="FP70" s="60">
        <v>160</v>
      </c>
      <c r="FQ70" s="60">
        <v>8</v>
      </c>
      <c r="FR70" s="60">
        <v>59</v>
      </c>
      <c r="FS70" s="60">
        <v>58</v>
      </c>
      <c r="FT70" s="60">
        <v>19</v>
      </c>
      <c r="FU70" s="60">
        <v>94</v>
      </c>
      <c r="FV70" s="60">
        <v>5</v>
      </c>
      <c r="FW70" s="60"/>
      <c r="FX70" s="60">
        <v>15740</v>
      </c>
      <c r="FY70" s="60">
        <v>96</v>
      </c>
      <c r="FZ70" s="60">
        <v>13996</v>
      </c>
      <c r="GA70" s="60">
        <v>1648</v>
      </c>
      <c r="GB70" s="60">
        <v>2011</v>
      </c>
    </row>
    <row r="71" spans="1:184" x14ac:dyDescent="0.3">
      <c r="A71" s="60">
        <v>106190159</v>
      </c>
      <c r="B71" s="61" t="s">
        <v>374</v>
      </c>
      <c r="C71" s="61" t="s">
        <v>1793</v>
      </c>
      <c r="D71" s="61" t="s">
        <v>375</v>
      </c>
      <c r="E71" s="61" t="s">
        <v>376</v>
      </c>
      <c r="F71" s="60">
        <v>90716</v>
      </c>
      <c r="G71" s="61"/>
      <c r="H71" s="61" t="s">
        <v>1669</v>
      </c>
      <c r="I71" s="60">
        <v>56</v>
      </c>
      <c r="J71" s="60">
        <v>27</v>
      </c>
      <c r="K71" s="61" t="s">
        <v>1794</v>
      </c>
      <c r="L71" s="61" t="s">
        <v>357</v>
      </c>
      <c r="M71" s="61" t="s">
        <v>1778</v>
      </c>
      <c r="N71" s="61" t="s">
        <v>1779</v>
      </c>
      <c r="O71" s="61" t="s">
        <v>1673</v>
      </c>
      <c r="P71" s="61" t="s">
        <v>1678</v>
      </c>
      <c r="Q71" s="61" t="s">
        <v>1674</v>
      </c>
      <c r="R71" s="60">
        <v>107</v>
      </c>
      <c r="S71" s="61" t="s">
        <v>1675</v>
      </c>
      <c r="T71" s="60">
        <v>3418</v>
      </c>
      <c r="U71" s="60">
        <v>3054</v>
      </c>
      <c r="V71" s="60"/>
      <c r="W71" s="60"/>
      <c r="X71" s="60">
        <v>691</v>
      </c>
      <c r="Y71" s="60">
        <v>782</v>
      </c>
      <c r="Z71" s="60">
        <v>1139</v>
      </c>
      <c r="AA71" s="60">
        <v>945</v>
      </c>
      <c r="AB71" s="60">
        <v>1026</v>
      </c>
      <c r="AC71" s="60">
        <v>859</v>
      </c>
      <c r="AD71" s="60">
        <v>462</v>
      </c>
      <c r="AE71" s="60">
        <v>252</v>
      </c>
      <c r="AF71" s="60">
        <v>242</v>
      </c>
      <c r="AG71" s="60">
        <v>74</v>
      </c>
      <c r="AH71" s="60"/>
      <c r="AI71" s="60">
        <v>649</v>
      </c>
      <c r="AJ71" s="60">
        <v>984</v>
      </c>
      <c r="AK71" s="60">
        <v>3012</v>
      </c>
      <c r="AL71" s="60"/>
      <c r="AM71" s="60">
        <v>7</v>
      </c>
      <c r="AN71" s="60">
        <v>2</v>
      </c>
      <c r="AO71" s="60">
        <v>1818</v>
      </c>
      <c r="AP71" s="60">
        <v>138</v>
      </c>
      <c r="AQ71" s="60">
        <v>100</v>
      </c>
      <c r="AR71" s="60"/>
      <c r="AS71" s="60">
        <v>22</v>
      </c>
      <c r="AT71" s="60"/>
      <c r="AU71" s="60">
        <v>2</v>
      </c>
      <c r="AV71" s="60"/>
      <c r="AW71" s="60"/>
      <c r="AX71" s="60"/>
      <c r="AY71" s="60">
        <v>36</v>
      </c>
      <c r="AZ71" s="60"/>
      <c r="BA71" s="60">
        <v>5974</v>
      </c>
      <c r="BB71" s="60">
        <v>200</v>
      </c>
      <c r="BC71" s="60"/>
      <c r="BD71" s="60"/>
      <c r="BE71" s="60">
        <v>1949</v>
      </c>
      <c r="BF71" s="60">
        <v>962</v>
      </c>
      <c r="BG71" s="60">
        <v>324</v>
      </c>
      <c r="BH71" s="60">
        <v>1632</v>
      </c>
      <c r="BI71" s="60">
        <v>1605</v>
      </c>
      <c r="BJ71" s="60">
        <v>88</v>
      </c>
      <c r="BK71" s="60">
        <v>30</v>
      </c>
      <c r="BL71" s="60">
        <v>236</v>
      </c>
      <c r="BM71" s="60">
        <v>3</v>
      </c>
      <c r="BN71" s="60">
        <v>506</v>
      </c>
      <c r="BO71" s="60">
        <v>150</v>
      </c>
      <c r="BP71" s="60">
        <v>381</v>
      </c>
      <c r="BQ71" s="60">
        <v>83</v>
      </c>
      <c r="BR71" s="60">
        <v>1497</v>
      </c>
      <c r="BS71" s="60">
        <v>333</v>
      </c>
      <c r="BT71" s="60">
        <v>12</v>
      </c>
      <c r="BU71" s="60">
        <v>614</v>
      </c>
      <c r="BV71" s="60">
        <v>312</v>
      </c>
      <c r="BW71" s="60"/>
      <c r="BX71" s="60">
        <v>347</v>
      </c>
      <c r="BY71" s="60">
        <v>714</v>
      </c>
      <c r="BZ71" s="60">
        <v>312</v>
      </c>
      <c r="CA71" s="60">
        <v>854</v>
      </c>
      <c r="CB71" s="60"/>
      <c r="CC71" s="60"/>
      <c r="CD71" s="60">
        <v>507</v>
      </c>
      <c r="CE71" s="60">
        <v>11</v>
      </c>
      <c r="CF71" s="60">
        <v>51</v>
      </c>
      <c r="CG71" s="60">
        <v>1</v>
      </c>
      <c r="CH71" s="60">
        <v>97</v>
      </c>
      <c r="CI71" s="60">
        <v>17</v>
      </c>
      <c r="CJ71" s="60"/>
      <c r="CK71" s="60">
        <v>52</v>
      </c>
      <c r="CL71" s="60">
        <v>4855</v>
      </c>
      <c r="CM71" s="60">
        <v>636</v>
      </c>
      <c r="CN71" s="60">
        <v>48</v>
      </c>
      <c r="CO71" s="60">
        <v>142</v>
      </c>
      <c r="CP71" s="60">
        <v>34</v>
      </c>
      <c r="CQ71" s="60">
        <v>17</v>
      </c>
      <c r="CR71" s="60">
        <v>4</v>
      </c>
      <c r="CS71" s="60"/>
      <c r="CT71" s="60">
        <v>6472</v>
      </c>
      <c r="CU71" s="60">
        <v>58</v>
      </c>
      <c r="CV71" s="60">
        <v>5794</v>
      </c>
      <c r="CW71" s="60">
        <v>620</v>
      </c>
      <c r="CX71" s="60">
        <v>1059</v>
      </c>
      <c r="CY71" s="60">
        <v>957</v>
      </c>
      <c r="CZ71" s="60"/>
      <c r="DA71" s="60"/>
      <c r="DB71" s="60">
        <v>7</v>
      </c>
      <c r="DC71" s="60">
        <v>52</v>
      </c>
      <c r="DD71" s="60">
        <v>85</v>
      </c>
      <c r="DE71" s="60">
        <v>193</v>
      </c>
      <c r="DF71" s="60">
        <v>373</v>
      </c>
      <c r="DG71" s="60">
        <v>401</v>
      </c>
      <c r="DH71" s="60">
        <v>360</v>
      </c>
      <c r="DI71" s="60">
        <v>545</v>
      </c>
      <c r="DJ71" s="60"/>
      <c r="DK71" s="60"/>
      <c r="DL71" s="60"/>
      <c r="DM71" s="60">
        <v>389</v>
      </c>
      <c r="DN71" s="60">
        <v>327</v>
      </c>
      <c r="DO71" s="60">
        <v>665</v>
      </c>
      <c r="DP71" s="60">
        <v>12</v>
      </c>
      <c r="DQ71" s="60"/>
      <c r="DR71" s="60">
        <v>616</v>
      </c>
      <c r="DS71" s="60">
        <v>7</v>
      </c>
      <c r="DT71" s="60">
        <v>262</v>
      </c>
      <c r="DU71" s="60">
        <v>35</v>
      </c>
      <c r="DV71" s="60">
        <v>48</v>
      </c>
      <c r="DW71" s="60">
        <v>116</v>
      </c>
      <c r="DX71" s="60">
        <v>22</v>
      </c>
      <c r="DY71" s="60">
        <v>5</v>
      </c>
      <c r="DZ71" s="60">
        <v>48</v>
      </c>
      <c r="EA71" s="60">
        <v>710</v>
      </c>
      <c r="EB71" s="60">
        <v>770</v>
      </c>
      <c r="EC71" s="60"/>
      <c r="ED71" s="60">
        <v>0</v>
      </c>
      <c r="EE71" s="60">
        <v>0</v>
      </c>
      <c r="EF71" s="60">
        <v>0</v>
      </c>
      <c r="EG71" s="60">
        <v>0</v>
      </c>
      <c r="EH71" s="60">
        <v>0</v>
      </c>
      <c r="EI71" s="60">
        <v>485</v>
      </c>
      <c r="EJ71" s="60">
        <v>1252</v>
      </c>
      <c r="EK71" s="60">
        <v>14</v>
      </c>
      <c r="EL71" s="60">
        <v>156</v>
      </c>
      <c r="EM71" s="60">
        <v>109</v>
      </c>
      <c r="EN71" s="60">
        <v>4</v>
      </c>
      <c r="EO71" s="60">
        <v>39</v>
      </c>
      <c r="EP71" s="60">
        <v>298</v>
      </c>
      <c r="EQ71" s="60">
        <v>1</v>
      </c>
      <c r="ER71" s="60">
        <v>308</v>
      </c>
      <c r="ES71" s="60">
        <v>142</v>
      </c>
      <c r="ET71" s="60">
        <v>197</v>
      </c>
      <c r="EU71" s="60">
        <v>269</v>
      </c>
      <c r="EV71" s="60">
        <v>126</v>
      </c>
      <c r="EW71" s="60">
        <v>29</v>
      </c>
      <c r="EX71" s="60">
        <v>34</v>
      </c>
      <c r="EY71" s="60">
        <v>29</v>
      </c>
      <c r="EZ71" s="60">
        <v>3</v>
      </c>
      <c r="FA71" s="60">
        <v>9</v>
      </c>
      <c r="FB71" s="60">
        <v>289</v>
      </c>
      <c r="FC71" s="60">
        <v>97</v>
      </c>
      <c r="FD71" s="60">
        <v>142</v>
      </c>
      <c r="FE71" s="60"/>
      <c r="FF71" s="60"/>
      <c r="FG71" s="60"/>
      <c r="FH71" s="60">
        <v>72</v>
      </c>
      <c r="FI71" s="60">
        <v>8</v>
      </c>
      <c r="FJ71" s="60">
        <v>93</v>
      </c>
      <c r="FK71" s="60">
        <v>2</v>
      </c>
      <c r="FL71" s="60">
        <v>20</v>
      </c>
      <c r="FM71" s="60">
        <v>162</v>
      </c>
      <c r="FN71" s="60"/>
      <c r="FO71" s="60">
        <v>1586</v>
      </c>
      <c r="FP71" s="60">
        <v>44</v>
      </c>
      <c r="FQ71" s="60"/>
      <c r="FR71" s="60">
        <v>4</v>
      </c>
      <c r="FS71" s="60">
        <v>6</v>
      </c>
      <c r="FT71" s="60">
        <v>15</v>
      </c>
      <c r="FU71" s="60">
        <v>3</v>
      </c>
      <c r="FV71" s="60">
        <v>1</v>
      </c>
      <c r="FW71" s="60"/>
      <c r="FX71" s="60">
        <v>2016</v>
      </c>
      <c r="FY71" s="60">
        <v>84</v>
      </c>
      <c r="FZ71" s="60">
        <v>1643</v>
      </c>
      <c r="GA71" s="60">
        <v>289</v>
      </c>
      <c r="GB71" s="60">
        <v>2011</v>
      </c>
    </row>
    <row r="72" spans="1:184" x14ac:dyDescent="0.3">
      <c r="A72" s="60">
        <v>106190170</v>
      </c>
      <c r="B72" s="61" t="s">
        <v>377</v>
      </c>
      <c r="C72" s="61" t="s">
        <v>1795</v>
      </c>
      <c r="D72" s="61" t="s">
        <v>378</v>
      </c>
      <c r="E72" s="61" t="s">
        <v>340</v>
      </c>
      <c r="F72" s="60">
        <v>90027</v>
      </c>
      <c r="G72" s="61" t="s">
        <v>140</v>
      </c>
      <c r="H72" s="61" t="s">
        <v>1669</v>
      </c>
      <c r="I72" s="60">
        <v>45</v>
      </c>
      <c r="J72" s="60">
        <v>26</v>
      </c>
      <c r="K72" s="61" t="s">
        <v>1796</v>
      </c>
      <c r="L72" s="61" t="s">
        <v>369</v>
      </c>
      <c r="M72" s="61" t="s">
        <v>1778</v>
      </c>
      <c r="N72" s="61" t="s">
        <v>1779</v>
      </c>
      <c r="O72" s="61" t="s">
        <v>1673</v>
      </c>
      <c r="P72" s="61" t="s">
        <v>1678</v>
      </c>
      <c r="Q72" s="61" t="s">
        <v>1680</v>
      </c>
      <c r="R72" s="60">
        <v>603</v>
      </c>
      <c r="S72" s="61" t="s">
        <v>1675</v>
      </c>
      <c r="T72" s="60">
        <v>26603</v>
      </c>
      <c r="U72" s="60">
        <v>30783</v>
      </c>
      <c r="V72" s="60"/>
      <c r="W72" s="60"/>
      <c r="X72" s="60">
        <v>35416</v>
      </c>
      <c r="Y72" s="60">
        <v>11328</v>
      </c>
      <c r="Z72" s="60">
        <v>332</v>
      </c>
      <c r="AA72" s="60">
        <v>53</v>
      </c>
      <c r="AB72" s="60">
        <v>28</v>
      </c>
      <c r="AC72" s="60">
        <v>26</v>
      </c>
      <c r="AD72" s="60">
        <v>6</v>
      </c>
      <c r="AE72" s="60">
        <v>1</v>
      </c>
      <c r="AF72" s="60">
        <v>1</v>
      </c>
      <c r="AG72" s="60">
        <v>10195</v>
      </c>
      <c r="AH72" s="60"/>
      <c r="AI72" s="60">
        <v>1996</v>
      </c>
      <c r="AJ72" s="60">
        <v>3627</v>
      </c>
      <c r="AK72" s="60">
        <v>45794</v>
      </c>
      <c r="AL72" s="60">
        <v>10</v>
      </c>
      <c r="AM72" s="60">
        <v>4517</v>
      </c>
      <c r="AN72" s="60"/>
      <c r="AO72" s="60">
        <v>1442</v>
      </c>
      <c r="AP72" s="60">
        <v>109</v>
      </c>
      <c r="AQ72" s="60">
        <v>1352</v>
      </c>
      <c r="AR72" s="60"/>
      <c r="AS72" s="60">
        <v>5</v>
      </c>
      <c r="AT72" s="60"/>
      <c r="AU72" s="60"/>
      <c r="AV72" s="60"/>
      <c r="AW72" s="60">
        <v>47</v>
      </c>
      <c r="AX72" s="60"/>
      <c r="AY72" s="60">
        <v>159</v>
      </c>
      <c r="AZ72" s="60"/>
      <c r="BA72" s="60">
        <v>55710</v>
      </c>
      <c r="BB72" s="60">
        <v>4</v>
      </c>
      <c r="BC72" s="60"/>
      <c r="BD72" s="60"/>
      <c r="BE72" s="60">
        <v>52717</v>
      </c>
      <c r="BF72" s="60">
        <v>25</v>
      </c>
      <c r="BG72" s="60">
        <v>209</v>
      </c>
      <c r="BH72" s="60">
        <v>4435</v>
      </c>
      <c r="BI72" s="60"/>
      <c r="BJ72" s="60">
        <v>7</v>
      </c>
      <c r="BK72" s="60">
        <v>486</v>
      </c>
      <c r="BL72" s="60">
        <v>107</v>
      </c>
      <c r="BM72" s="60">
        <v>206</v>
      </c>
      <c r="BN72" s="60">
        <v>4402</v>
      </c>
      <c r="BO72" s="60">
        <v>434</v>
      </c>
      <c r="BP72" s="60">
        <v>2073</v>
      </c>
      <c r="BQ72" s="60">
        <v>8890</v>
      </c>
      <c r="BR72" s="60">
        <v>8988</v>
      </c>
      <c r="BS72" s="60">
        <v>1375</v>
      </c>
      <c r="BT72" s="60">
        <v>111</v>
      </c>
      <c r="BU72" s="60">
        <v>6102</v>
      </c>
      <c r="BV72" s="60">
        <v>1189</v>
      </c>
      <c r="BW72" s="60">
        <v>555</v>
      </c>
      <c r="BX72" s="60">
        <v>301</v>
      </c>
      <c r="BY72" s="60">
        <v>11151</v>
      </c>
      <c r="BZ72" s="60">
        <v>2361</v>
      </c>
      <c r="CA72" s="60">
        <v>8648</v>
      </c>
      <c r="CB72" s="60"/>
      <c r="CC72" s="60"/>
      <c r="CD72" s="60">
        <v>3889</v>
      </c>
      <c r="CE72" s="60">
        <v>95</v>
      </c>
      <c r="CF72" s="60">
        <v>327</v>
      </c>
      <c r="CG72" s="60">
        <v>8</v>
      </c>
      <c r="CH72" s="60">
        <v>132</v>
      </c>
      <c r="CI72" s="60">
        <v>1</v>
      </c>
      <c r="CJ72" s="60">
        <v>387</v>
      </c>
      <c r="CK72" s="60">
        <v>563</v>
      </c>
      <c r="CL72" s="60">
        <v>47617</v>
      </c>
      <c r="CM72" s="60">
        <v>3318</v>
      </c>
      <c r="CN72" s="60">
        <v>165</v>
      </c>
      <c r="CO72" s="60">
        <v>227</v>
      </c>
      <c r="CP72" s="60">
        <v>18</v>
      </c>
      <c r="CQ72" s="60">
        <v>586</v>
      </c>
      <c r="CR72" s="60">
        <v>53</v>
      </c>
      <c r="CS72" s="60"/>
      <c r="CT72" s="60">
        <v>57386</v>
      </c>
      <c r="CU72" s="60">
        <v>407</v>
      </c>
      <c r="CV72" s="60">
        <v>30558</v>
      </c>
      <c r="CW72" s="60">
        <v>26421</v>
      </c>
      <c r="CX72" s="60">
        <v>2374</v>
      </c>
      <c r="CY72" s="60">
        <v>2868</v>
      </c>
      <c r="CZ72" s="60"/>
      <c r="DA72" s="60"/>
      <c r="DB72" s="60">
        <v>1665</v>
      </c>
      <c r="DC72" s="60">
        <v>117</v>
      </c>
      <c r="DD72" s="60"/>
      <c r="DE72" s="60"/>
      <c r="DF72" s="60"/>
      <c r="DG72" s="60"/>
      <c r="DH72" s="60"/>
      <c r="DI72" s="60"/>
      <c r="DJ72" s="60">
        <v>1078</v>
      </c>
      <c r="DK72" s="60">
        <v>2382</v>
      </c>
      <c r="DL72" s="60"/>
      <c r="DM72" s="60">
        <v>314</v>
      </c>
      <c r="DN72" s="60">
        <v>406</v>
      </c>
      <c r="DO72" s="60">
        <v>3682</v>
      </c>
      <c r="DP72" s="60">
        <v>491</v>
      </c>
      <c r="DQ72" s="60"/>
      <c r="DR72" s="60">
        <v>349</v>
      </c>
      <c r="DS72" s="60"/>
      <c r="DT72" s="60">
        <v>38</v>
      </c>
      <c r="DU72" s="60">
        <v>9</v>
      </c>
      <c r="DV72" s="60">
        <v>28</v>
      </c>
      <c r="DW72" s="60">
        <v>7</v>
      </c>
      <c r="DX72" s="60">
        <v>41</v>
      </c>
      <c r="DY72" s="60"/>
      <c r="DZ72" s="60">
        <v>17</v>
      </c>
      <c r="EA72" s="60">
        <v>5072</v>
      </c>
      <c r="EB72" s="60">
        <v>30</v>
      </c>
      <c r="EC72" s="60"/>
      <c r="ED72" s="60">
        <v>0</v>
      </c>
      <c r="EE72" s="60">
        <v>0</v>
      </c>
      <c r="EF72" s="60">
        <v>0</v>
      </c>
      <c r="EG72" s="60">
        <v>0</v>
      </c>
      <c r="EH72" s="60">
        <v>0</v>
      </c>
      <c r="EI72" s="60">
        <v>4141</v>
      </c>
      <c r="EJ72" s="60">
        <v>14</v>
      </c>
      <c r="EK72" s="60">
        <v>21</v>
      </c>
      <c r="EL72" s="60">
        <v>873</v>
      </c>
      <c r="EM72" s="60">
        <v>193</v>
      </c>
      <c r="EN72" s="60"/>
      <c r="EO72" s="60">
        <v>390</v>
      </c>
      <c r="EP72" s="60">
        <v>99</v>
      </c>
      <c r="EQ72" s="60">
        <v>135</v>
      </c>
      <c r="ER72" s="60">
        <v>912</v>
      </c>
      <c r="ES72" s="60">
        <v>171</v>
      </c>
      <c r="ET72" s="60">
        <v>168</v>
      </c>
      <c r="EU72" s="60">
        <v>196</v>
      </c>
      <c r="EV72" s="60">
        <v>829</v>
      </c>
      <c r="EW72" s="60">
        <v>147</v>
      </c>
      <c r="EX72" s="60">
        <v>131</v>
      </c>
      <c r="EY72" s="60">
        <v>328</v>
      </c>
      <c r="EZ72" s="60">
        <v>44</v>
      </c>
      <c r="FA72" s="60">
        <v>22</v>
      </c>
      <c r="FB72" s="60">
        <v>1093</v>
      </c>
      <c r="FC72" s="60">
        <v>181</v>
      </c>
      <c r="FD72" s="60">
        <v>254</v>
      </c>
      <c r="FE72" s="60"/>
      <c r="FF72" s="60">
        <v>142</v>
      </c>
      <c r="FG72" s="60"/>
      <c r="FH72" s="60">
        <v>274</v>
      </c>
      <c r="FI72" s="60">
        <v>22</v>
      </c>
      <c r="FJ72" s="60">
        <v>179</v>
      </c>
      <c r="FK72" s="60">
        <v>22</v>
      </c>
      <c r="FL72" s="60">
        <v>12</v>
      </c>
      <c r="FM72" s="60">
        <v>521</v>
      </c>
      <c r="FN72" s="60">
        <v>25</v>
      </c>
      <c r="FO72" s="60">
        <v>3936</v>
      </c>
      <c r="FP72" s="60">
        <v>111</v>
      </c>
      <c r="FQ72" s="60">
        <v>25</v>
      </c>
      <c r="FR72" s="60">
        <v>48</v>
      </c>
      <c r="FS72" s="60">
        <v>9</v>
      </c>
      <c r="FT72" s="60">
        <v>55</v>
      </c>
      <c r="FU72" s="60">
        <v>3</v>
      </c>
      <c r="FV72" s="60"/>
      <c r="FW72" s="60"/>
      <c r="FX72" s="60">
        <v>5242</v>
      </c>
      <c r="FY72" s="60">
        <v>88</v>
      </c>
      <c r="FZ72" s="60">
        <v>3054</v>
      </c>
      <c r="GA72" s="60">
        <v>2100</v>
      </c>
      <c r="GB72" s="60">
        <v>2011</v>
      </c>
    </row>
    <row r="73" spans="1:184" x14ac:dyDescent="0.3">
      <c r="A73" s="60">
        <v>106190197</v>
      </c>
      <c r="B73" s="61" t="s">
        <v>379</v>
      </c>
      <c r="C73" s="61" t="s">
        <v>380</v>
      </c>
      <c r="D73" s="61" t="s">
        <v>381</v>
      </c>
      <c r="E73" s="61" t="s">
        <v>382</v>
      </c>
      <c r="F73" s="60">
        <v>90255</v>
      </c>
      <c r="G73" s="61"/>
      <c r="H73" s="61" t="s">
        <v>1669</v>
      </c>
      <c r="I73" s="60">
        <v>46</v>
      </c>
      <c r="J73" s="60">
        <v>30</v>
      </c>
      <c r="K73" s="61" t="s">
        <v>1797</v>
      </c>
      <c r="L73" s="61" t="s">
        <v>357</v>
      </c>
      <c r="M73" s="61" t="s">
        <v>1778</v>
      </c>
      <c r="N73" s="61" t="s">
        <v>1779</v>
      </c>
      <c r="O73" s="61" t="s">
        <v>1673</v>
      </c>
      <c r="P73" s="61" t="s">
        <v>221</v>
      </c>
      <c r="Q73" s="61" t="s">
        <v>1674</v>
      </c>
      <c r="R73" s="60">
        <v>81</v>
      </c>
      <c r="S73" s="61" t="s">
        <v>1706</v>
      </c>
      <c r="T73" s="60">
        <v>14683</v>
      </c>
      <c r="U73" s="60">
        <v>11333</v>
      </c>
      <c r="V73" s="60">
        <v>3</v>
      </c>
      <c r="W73" s="60">
        <v>1</v>
      </c>
      <c r="X73" s="60">
        <v>8832</v>
      </c>
      <c r="Y73" s="60">
        <v>4568</v>
      </c>
      <c r="Z73" s="60">
        <v>3605</v>
      </c>
      <c r="AA73" s="60">
        <v>2970</v>
      </c>
      <c r="AB73" s="60">
        <v>2076</v>
      </c>
      <c r="AC73" s="60">
        <v>1144</v>
      </c>
      <c r="AD73" s="60">
        <v>657</v>
      </c>
      <c r="AE73" s="60">
        <v>366</v>
      </c>
      <c r="AF73" s="60">
        <v>195</v>
      </c>
      <c r="AG73" s="60">
        <v>1607</v>
      </c>
      <c r="AH73" s="60"/>
      <c r="AI73" s="60">
        <v>16</v>
      </c>
      <c r="AJ73" s="60">
        <v>223</v>
      </c>
      <c r="AK73" s="60">
        <v>25680</v>
      </c>
      <c r="AL73" s="60">
        <v>2</v>
      </c>
      <c r="AM73" s="60">
        <v>59</v>
      </c>
      <c r="AN73" s="60">
        <v>5</v>
      </c>
      <c r="AO73" s="60">
        <v>35</v>
      </c>
      <c r="AP73" s="60">
        <v>337</v>
      </c>
      <c r="AQ73" s="60">
        <v>361</v>
      </c>
      <c r="AR73" s="60">
        <v>3</v>
      </c>
      <c r="AS73" s="60">
        <v>3</v>
      </c>
      <c r="AT73" s="60"/>
      <c r="AU73" s="60">
        <v>8</v>
      </c>
      <c r="AV73" s="60"/>
      <c r="AW73" s="60">
        <v>1</v>
      </c>
      <c r="AX73" s="60"/>
      <c r="AY73" s="60">
        <v>14</v>
      </c>
      <c r="AZ73" s="60">
        <v>3</v>
      </c>
      <c r="BA73" s="60">
        <v>25265</v>
      </c>
      <c r="BB73" s="60">
        <v>25</v>
      </c>
      <c r="BC73" s="60"/>
      <c r="BD73" s="60"/>
      <c r="BE73" s="60">
        <v>19269</v>
      </c>
      <c r="BF73" s="60">
        <v>870</v>
      </c>
      <c r="BG73" s="60">
        <v>55</v>
      </c>
      <c r="BH73" s="60">
        <v>1830</v>
      </c>
      <c r="BI73" s="60">
        <v>3996</v>
      </c>
      <c r="BJ73" s="60">
        <v>940</v>
      </c>
      <c r="BK73" s="60">
        <v>47</v>
      </c>
      <c r="BL73" s="60">
        <v>195</v>
      </c>
      <c r="BM73" s="60">
        <v>7</v>
      </c>
      <c r="BN73" s="60">
        <v>2263</v>
      </c>
      <c r="BO73" s="60">
        <v>219</v>
      </c>
      <c r="BP73" s="60">
        <v>2693</v>
      </c>
      <c r="BQ73" s="60">
        <v>472</v>
      </c>
      <c r="BR73" s="60">
        <v>5223</v>
      </c>
      <c r="BS73" s="60">
        <v>547</v>
      </c>
      <c r="BT73" s="60">
        <v>64</v>
      </c>
      <c r="BU73" s="60">
        <v>1880</v>
      </c>
      <c r="BV73" s="60">
        <v>465</v>
      </c>
      <c r="BW73" s="60">
        <v>19</v>
      </c>
      <c r="BX73" s="60">
        <v>373</v>
      </c>
      <c r="BY73" s="60">
        <v>6536</v>
      </c>
      <c r="BZ73" s="60">
        <v>1416</v>
      </c>
      <c r="CA73" s="60">
        <v>2659</v>
      </c>
      <c r="CB73" s="60"/>
      <c r="CC73" s="60">
        <v>2</v>
      </c>
      <c r="CD73" s="60">
        <v>1708</v>
      </c>
      <c r="CE73" s="60">
        <v>55</v>
      </c>
      <c r="CF73" s="60">
        <v>158</v>
      </c>
      <c r="CG73" s="60">
        <v>3</v>
      </c>
      <c r="CH73" s="60">
        <v>234</v>
      </c>
      <c r="CI73" s="60">
        <v>13</v>
      </c>
      <c r="CJ73" s="60">
        <v>36</v>
      </c>
      <c r="CK73" s="60">
        <v>297</v>
      </c>
      <c r="CL73" s="60">
        <v>20313</v>
      </c>
      <c r="CM73" s="60">
        <v>2623</v>
      </c>
      <c r="CN73" s="60">
        <v>141</v>
      </c>
      <c r="CO73" s="60">
        <v>240</v>
      </c>
      <c r="CP73" s="60">
        <v>16</v>
      </c>
      <c r="CQ73" s="60">
        <v>174</v>
      </c>
      <c r="CR73" s="60">
        <v>9</v>
      </c>
      <c r="CS73" s="60"/>
      <c r="CT73" s="60">
        <v>26020</v>
      </c>
      <c r="CU73" s="60">
        <v>53</v>
      </c>
      <c r="CV73" s="60">
        <v>9047</v>
      </c>
      <c r="CW73" s="60">
        <v>16920</v>
      </c>
      <c r="CX73" s="60">
        <v>2154</v>
      </c>
      <c r="CY73" s="60">
        <v>1365</v>
      </c>
      <c r="CZ73" s="60"/>
      <c r="DA73" s="60"/>
      <c r="DB73" s="60">
        <v>186</v>
      </c>
      <c r="DC73" s="60">
        <v>279</v>
      </c>
      <c r="DD73" s="60">
        <v>347</v>
      </c>
      <c r="DE73" s="60">
        <v>483</v>
      </c>
      <c r="DF73" s="60">
        <v>491</v>
      </c>
      <c r="DG73" s="60">
        <v>485</v>
      </c>
      <c r="DH73" s="60">
        <v>509</v>
      </c>
      <c r="DI73" s="60">
        <v>386</v>
      </c>
      <c r="DJ73" s="60">
        <v>119</v>
      </c>
      <c r="DK73" s="60">
        <v>234</v>
      </c>
      <c r="DL73" s="60"/>
      <c r="DM73" s="60">
        <v>2</v>
      </c>
      <c r="DN73" s="60">
        <v>39</v>
      </c>
      <c r="DO73" s="60">
        <v>3469</v>
      </c>
      <c r="DP73" s="60">
        <v>4</v>
      </c>
      <c r="DQ73" s="60"/>
      <c r="DR73" s="60">
        <v>5</v>
      </c>
      <c r="DS73" s="60"/>
      <c r="DT73" s="60">
        <v>102</v>
      </c>
      <c r="DU73" s="60">
        <v>132</v>
      </c>
      <c r="DV73" s="60">
        <v>18</v>
      </c>
      <c r="DW73" s="60">
        <v>26</v>
      </c>
      <c r="DX73" s="60">
        <v>2</v>
      </c>
      <c r="DY73" s="60">
        <v>20</v>
      </c>
      <c r="DZ73" s="60">
        <v>1</v>
      </c>
      <c r="EA73" s="60">
        <v>3124</v>
      </c>
      <c r="EB73" s="60">
        <v>94</v>
      </c>
      <c r="EC73" s="60"/>
      <c r="ED73" s="60">
        <v>0</v>
      </c>
      <c r="EE73" s="60">
        <v>0</v>
      </c>
      <c r="EF73" s="60">
        <v>0</v>
      </c>
      <c r="EG73" s="60">
        <v>0</v>
      </c>
      <c r="EH73" s="60">
        <v>0</v>
      </c>
      <c r="EI73" s="60">
        <v>1846</v>
      </c>
      <c r="EJ73" s="60">
        <v>972</v>
      </c>
      <c r="EK73" s="60">
        <v>4</v>
      </c>
      <c r="EL73" s="60">
        <v>298</v>
      </c>
      <c r="EM73" s="60">
        <v>399</v>
      </c>
      <c r="EN73" s="60">
        <v>62</v>
      </c>
      <c r="EO73" s="60">
        <v>65</v>
      </c>
      <c r="EP73" s="60">
        <v>586</v>
      </c>
      <c r="EQ73" s="60"/>
      <c r="ER73" s="60">
        <v>816</v>
      </c>
      <c r="ES73" s="60">
        <v>256</v>
      </c>
      <c r="ET73" s="60">
        <v>256</v>
      </c>
      <c r="EU73" s="60">
        <v>208</v>
      </c>
      <c r="EV73" s="60">
        <v>85</v>
      </c>
      <c r="EW73" s="60">
        <v>42</v>
      </c>
      <c r="EX73" s="60">
        <v>39</v>
      </c>
      <c r="EY73" s="60">
        <v>62</v>
      </c>
      <c r="EZ73" s="60">
        <v>7</v>
      </c>
      <c r="FA73" s="60">
        <v>26</v>
      </c>
      <c r="FB73" s="60">
        <v>596</v>
      </c>
      <c r="FC73" s="60">
        <v>101</v>
      </c>
      <c r="FD73" s="60">
        <v>303</v>
      </c>
      <c r="FE73" s="60"/>
      <c r="FF73" s="60">
        <v>9</v>
      </c>
      <c r="FG73" s="60"/>
      <c r="FH73" s="60">
        <v>57</v>
      </c>
      <c r="FI73" s="60">
        <v>4</v>
      </c>
      <c r="FJ73" s="60">
        <v>90</v>
      </c>
      <c r="FK73" s="60">
        <v>4</v>
      </c>
      <c r="FL73" s="60">
        <v>3</v>
      </c>
      <c r="FM73" s="60">
        <v>6</v>
      </c>
      <c r="FN73" s="60">
        <v>3</v>
      </c>
      <c r="FO73" s="60">
        <v>3315</v>
      </c>
      <c r="FP73" s="60">
        <v>29</v>
      </c>
      <c r="FQ73" s="60"/>
      <c r="FR73" s="60">
        <v>1</v>
      </c>
      <c r="FS73" s="60">
        <v>2</v>
      </c>
      <c r="FT73" s="60">
        <v>1</v>
      </c>
      <c r="FU73" s="60">
        <v>4</v>
      </c>
      <c r="FV73" s="60"/>
      <c r="FW73" s="60"/>
      <c r="FX73" s="60">
        <v>3519</v>
      </c>
      <c r="FY73" s="60">
        <v>2</v>
      </c>
      <c r="FZ73" s="60">
        <v>744</v>
      </c>
      <c r="GA73" s="60">
        <v>2773</v>
      </c>
      <c r="GB73" s="60">
        <v>2011</v>
      </c>
    </row>
    <row r="74" spans="1:184" x14ac:dyDescent="0.3">
      <c r="A74" s="60">
        <v>106190198</v>
      </c>
      <c r="B74" s="61" t="s">
        <v>383</v>
      </c>
      <c r="C74" s="61" t="s">
        <v>384</v>
      </c>
      <c r="D74" s="61" t="s">
        <v>385</v>
      </c>
      <c r="E74" s="61" t="s">
        <v>340</v>
      </c>
      <c r="F74" s="60">
        <v>90023</v>
      </c>
      <c r="G74" s="61"/>
      <c r="H74" s="61" t="s">
        <v>1669</v>
      </c>
      <c r="I74" s="60">
        <v>58</v>
      </c>
      <c r="J74" s="60">
        <v>30</v>
      </c>
      <c r="K74" s="61" t="s">
        <v>1798</v>
      </c>
      <c r="L74" s="61" t="s">
        <v>357</v>
      </c>
      <c r="M74" s="61" t="s">
        <v>1778</v>
      </c>
      <c r="N74" s="61" t="s">
        <v>1779</v>
      </c>
      <c r="O74" s="61" t="s">
        <v>1673</v>
      </c>
      <c r="P74" s="61" t="s">
        <v>321</v>
      </c>
      <c r="Q74" s="61" t="s">
        <v>1674</v>
      </c>
      <c r="R74" s="60">
        <v>91</v>
      </c>
      <c r="S74" s="61" t="s">
        <v>1706</v>
      </c>
      <c r="T74" s="60">
        <v>4466</v>
      </c>
      <c r="U74" s="60">
        <v>4422</v>
      </c>
      <c r="V74" s="60">
        <v>1</v>
      </c>
      <c r="W74" s="60"/>
      <c r="X74" s="60">
        <v>2067</v>
      </c>
      <c r="Y74" s="60">
        <v>823</v>
      </c>
      <c r="Z74" s="60">
        <v>818</v>
      </c>
      <c r="AA74" s="60">
        <v>842</v>
      </c>
      <c r="AB74" s="60">
        <v>945</v>
      </c>
      <c r="AC74" s="60">
        <v>1138</v>
      </c>
      <c r="AD74" s="60">
        <v>765</v>
      </c>
      <c r="AE74" s="60">
        <v>532</v>
      </c>
      <c r="AF74" s="60">
        <v>437</v>
      </c>
      <c r="AG74" s="60">
        <v>522</v>
      </c>
      <c r="AH74" s="60"/>
      <c r="AI74" s="60">
        <v>99</v>
      </c>
      <c r="AJ74" s="60">
        <v>718</v>
      </c>
      <c r="AK74" s="60">
        <v>6914</v>
      </c>
      <c r="AL74" s="60">
        <v>7</v>
      </c>
      <c r="AM74" s="60">
        <v>53</v>
      </c>
      <c r="AN74" s="60">
        <v>28</v>
      </c>
      <c r="AO74" s="60">
        <v>1070</v>
      </c>
      <c r="AP74" s="60">
        <v>3874</v>
      </c>
      <c r="AQ74" s="60">
        <v>315</v>
      </c>
      <c r="AR74" s="60"/>
      <c r="AS74" s="60">
        <v>5</v>
      </c>
      <c r="AT74" s="60">
        <v>5</v>
      </c>
      <c r="AU74" s="60"/>
      <c r="AV74" s="60">
        <v>1</v>
      </c>
      <c r="AW74" s="60">
        <v>1</v>
      </c>
      <c r="AX74" s="60"/>
      <c r="AY74" s="60">
        <v>3</v>
      </c>
      <c r="AZ74" s="60">
        <v>58</v>
      </c>
      <c r="BA74" s="60">
        <v>4603</v>
      </c>
      <c r="BB74" s="60">
        <v>24</v>
      </c>
      <c r="BC74" s="60"/>
      <c r="BD74" s="60"/>
      <c r="BE74" s="60">
        <v>4342</v>
      </c>
      <c r="BF74" s="60">
        <v>2084</v>
      </c>
      <c r="BG74" s="60">
        <v>109</v>
      </c>
      <c r="BH74" s="60">
        <v>1364</v>
      </c>
      <c r="BI74" s="60">
        <v>990</v>
      </c>
      <c r="BJ74" s="60">
        <v>223</v>
      </c>
      <c r="BK74" s="60">
        <v>7</v>
      </c>
      <c r="BL74" s="60">
        <v>50</v>
      </c>
      <c r="BM74" s="60">
        <v>4</v>
      </c>
      <c r="BN74" s="60">
        <v>603</v>
      </c>
      <c r="BO74" s="60">
        <v>54</v>
      </c>
      <c r="BP74" s="60">
        <v>252</v>
      </c>
      <c r="BQ74" s="60">
        <v>101</v>
      </c>
      <c r="BR74" s="60">
        <v>907</v>
      </c>
      <c r="BS74" s="60">
        <v>161</v>
      </c>
      <c r="BT74" s="60">
        <v>4</v>
      </c>
      <c r="BU74" s="60">
        <v>257</v>
      </c>
      <c r="BV74" s="60">
        <v>3909</v>
      </c>
      <c r="BW74" s="60">
        <v>3</v>
      </c>
      <c r="BX74" s="60">
        <v>84</v>
      </c>
      <c r="BY74" s="60">
        <v>1284</v>
      </c>
      <c r="BZ74" s="60">
        <v>284</v>
      </c>
      <c r="CA74" s="60">
        <v>702</v>
      </c>
      <c r="CB74" s="60"/>
      <c r="CC74" s="60"/>
      <c r="CD74" s="60">
        <v>345</v>
      </c>
      <c r="CE74" s="60">
        <v>9</v>
      </c>
      <c r="CF74" s="60">
        <v>11</v>
      </c>
      <c r="CG74" s="60">
        <v>4</v>
      </c>
      <c r="CH74" s="60">
        <v>46</v>
      </c>
      <c r="CI74" s="60">
        <v>4</v>
      </c>
      <c r="CJ74" s="60">
        <v>3</v>
      </c>
      <c r="CK74" s="60">
        <v>61</v>
      </c>
      <c r="CL74" s="60">
        <v>7931</v>
      </c>
      <c r="CM74" s="60">
        <v>372</v>
      </c>
      <c r="CN74" s="60">
        <v>24</v>
      </c>
      <c r="CO74" s="60">
        <v>52</v>
      </c>
      <c r="CP74" s="60">
        <v>1</v>
      </c>
      <c r="CQ74" s="60">
        <v>19</v>
      </c>
      <c r="CR74" s="60">
        <v>7</v>
      </c>
      <c r="CS74" s="60"/>
      <c r="CT74" s="60">
        <v>8889</v>
      </c>
      <c r="CU74" s="60">
        <v>33</v>
      </c>
      <c r="CV74" s="60">
        <v>4515</v>
      </c>
      <c r="CW74" s="60">
        <v>4341</v>
      </c>
      <c r="CX74" s="60">
        <v>1384</v>
      </c>
      <c r="CY74" s="60">
        <v>1567</v>
      </c>
      <c r="CZ74" s="60"/>
      <c r="DA74" s="60"/>
      <c r="DB74" s="60">
        <v>60</v>
      </c>
      <c r="DC74" s="60">
        <v>113</v>
      </c>
      <c r="DD74" s="60">
        <v>151</v>
      </c>
      <c r="DE74" s="60">
        <v>369</v>
      </c>
      <c r="DF74" s="60">
        <v>648</v>
      </c>
      <c r="DG74" s="60">
        <v>482</v>
      </c>
      <c r="DH74" s="60">
        <v>312</v>
      </c>
      <c r="DI74" s="60">
        <v>288</v>
      </c>
      <c r="DJ74" s="60">
        <v>209</v>
      </c>
      <c r="DK74" s="60">
        <v>319</v>
      </c>
      <c r="DL74" s="60"/>
      <c r="DM74" s="60">
        <v>62</v>
      </c>
      <c r="DN74" s="60">
        <v>469</v>
      </c>
      <c r="DO74" s="60">
        <v>1691</v>
      </c>
      <c r="DP74" s="60">
        <v>33</v>
      </c>
      <c r="DQ74" s="60">
        <v>16</v>
      </c>
      <c r="DR74" s="60">
        <v>676</v>
      </c>
      <c r="DS74" s="60">
        <v>4</v>
      </c>
      <c r="DT74" s="60">
        <v>91</v>
      </c>
      <c r="DU74" s="60">
        <v>104</v>
      </c>
      <c r="DV74" s="60">
        <v>31</v>
      </c>
      <c r="DW74" s="60">
        <v>16</v>
      </c>
      <c r="DX74" s="60">
        <v>44</v>
      </c>
      <c r="DY74" s="60">
        <v>1</v>
      </c>
      <c r="DZ74" s="60">
        <v>1</v>
      </c>
      <c r="EA74" s="60">
        <v>1713</v>
      </c>
      <c r="EB74" s="60">
        <v>950</v>
      </c>
      <c r="EC74" s="60"/>
      <c r="ED74" s="60">
        <v>0</v>
      </c>
      <c r="EE74" s="60">
        <v>0</v>
      </c>
      <c r="EF74" s="60">
        <v>0</v>
      </c>
      <c r="EG74" s="60">
        <v>0</v>
      </c>
      <c r="EH74" s="60">
        <v>0</v>
      </c>
      <c r="EI74" s="60">
        <v>1649</v>
      </c>
      <c r="EJ74" s="60">
        <v>1200</v>
      </c>
      <c r="EK74" s="60">
        <v>20</v>
      </c>
      <c r="EL74" s="60">
        <v>33</v>
      </c>
      <c r="EM74" s="60">
        <v>49</v>
      </c>
      <c r="EN74" s="60">
        <v>29</v>
      </c>
      <c r="EO74" s="60">
        <v>40</v>
      </c>
      <c r="EP74" s="60">
        <v>247</v>
      </c>
      <c r="EQ74" s="60">
        <v>1</v>
      </c>
      <c r="ER74" s="60">
        <v>345</v>
      </c>
      <c r="ES74" s="60">
        <v>133</v>
      </c>
      <c r="ET74" s="60">
        <v>312</v>
      </c>
      <c r="EU74" s="60">
        <v>133</v>
      </c>
      <c r="EV74" s="60">
        <v>161</v>
      </c>
      <c r="EW74" s="60">
        <v>111</v>
      </c>
      <c r="EX74" s="60">
        <v>21</v>
      </c>
      <c r="EY74" s="60">
        <v>112</v>
      </c>
      <c r="EZ74" s="60">
        <v>15</v>
      </c>
      <c r="FA74" s="60">
        <v>80</v>
      </c>
      <c r="FB74" s="60">
        <v>703</v>
      </c>
      <c r="FC74" s="60">
        <v>162</v>
      </c>
      <c r="FD74" s="60">
        <v>342</v>
      </c>
      <c r="FE74" s="60"/>
      <c r="FF74" s="60">
        <v>4</v>
      </c>
      <c r="FG74" s="60"/>
      <c r="FH74" s="60">
        <v>107</v>
      </c>
      <c r="FI74" s="60">
        <v>2</v>
      </c>
      <c r="FJ74" s="60">
        <v>59</v>
      </c>
      <c r="FK74" s="60">
        <v>16</v>
      </c>
      <c r="FL74" s="60">
        <v>9</v>
      </c>
      <c r="FM74" s="60">
        <v>55</v>
      </c>
      <c r="FN74" s="60">
        <v>3</v>
      </c>
      <c r="FO74" s="60">
        <v>2645</v>
      </c>
      <c r="FP74" s="60">
        <v>29</v>
      </c>
      <c r="FQ74" s="60">
        <v>1</v>
      </c>
      <c r="FR74" s="60">
        <v>8</v>
      </c>
      <c r="FS74" s="60">
        <v>4</v>
      </c>
      <c r="FT74" s="60">
        <v>2</v>
      </c>
      <c r="FU74" s="60">
        <v>11</v>
      </c>
      <c r="FV74" s="60"/>
      <c r="FW74" s="60"/>
      <c r="FX74" s="60">
        <v>2951</v>
      </c>
      <c r="FY74" s="60">
        <v>16</v>
      </c>
      <c r="FZ74" s="60">
        <v>1830</v>
      </c>
      <c r="GA74" s="60">
        <v>1105</v>
      </c>
      <c r="GB74" s="60">
        <v>2011</v>
      </c>
    </row>
    <row r="75" spans="1:184" x14ac:dyDescent="0.3">
      <c r="A75" s="60">
        <v>106190200</v>
      </c>
      <c r="B75" s="61" t="s">
        <v>386</v>
      </c>
      <c r="C75" s="61" t="s">
        <v>387</v>
      </c>
      <c r="D75" s="61" t="s">
        <v>388</v>
      </c>
      <c r="E75" s="61" t="s">
        <v>389</v>
      </c>
      <c r="F75" s="60">
        <v>91776</v>
      </c>
      <c r="G75" s="61"/>
      <c r="H75" s="61" t="s">
        <v>1669</v>
      </c>
      <c r="I75" s="60">
        <v>49</v>
      </c>
      <c r="J75" s="60">
        <v>21</v>
      </c>
      <c r="K75" s="61" t="s">
        <v>1777</v>
      </c>
      <c r="L75" s="61" t="s">
        <v>344</v>
      </c>
      <c r="M75" s="61" t="s">
        <v>1778</v>
      </c>
      <c r="N75" s="61" t="s">
        <v>1779</v>
      </c>
      <c r="O75" s="61" t="s">
        <v>1673</v>
      </c>
      <c r="P75" s="61" t="s">
        <v>321</v>
      </c>
      <c r="Q75" s="61" t="s">
        <v>1674</v>
      </c>
      <c r="R75" s="60">
        <v>190</v>
      </c>
      <c r="S75" s="61" t="s">
        <v>1675</v>
      </c>
      <c r="T75" s="60">
        <v>10868</v>
      </c>
      <c r="U75" s="60">
        <v>8145</v>
      </c>
      <c r="V75" s="60"/>
      <c r="W75" s="60"/>
      <c r="X75" s="60">
        <v>3589</v>
      </c>
      <c r="Y75" s="60">
        <v>2510</v>
      </c>
      <c r="Z75" s="60">
        <v>2591</v>
      </c>
      <c r="AA75" s="60">
        <v>2325</v>
      </c>
      <c r="AB75" s="60">
        <v>2135</v>
      </c>
      <c r="AC75" s="60">
        <v>1731</v>
      </c>
      <c r="AD75" s="60">
        <v>1195</v>
      </c>
      <c r="AE75" s="60">
        <v>971</v>
      </c>
      <c r="AF75" s="60">
        <v>1275</v>
      </c>
      <c r="AG75" s="60">
        <v>691</v>
      </c>
      <c r="AH75" s="60"/>
      <c r="AI75" s="60">
        <v>4269</v>
      </c>
      <c r="AJ75" s="60">
        <v>136</v>
      </c>
      <c r="AK75" s="60">
        <v>5514</v>
      </c>
      <c r="AL75" s="60">
        <v>5</v>
      </c>
      <c r="AM75" s="60">
        <v>360</v>
      </c>
      <c r="AN75" s="60">
        <v>9</v>
      </c>
      <c r="AO75" s="60">
        <v>8720</v>
      </c>
      <c r="AP75" s="60">
        <v>352</v>
      </c>
      <c r="AQ75" s="60">
        <v>245</v>
      </c>
      <c r="AR75" s="60">
        <v>3</v>
      </c>
      <c r="AS75" s="60">
        <v>29</v>
      </c>
      <c r="AT75" s="60">
        <v>13</v>
      </c>
      <c r="AU75" s="60"/>
      <c r="AV75" s="60"/>
      <c r="AW75" s="60"/>
      <c r="AX75" s="60">
        <v>185</v>
      </c>
      <c r="AY75" s="60">
        <v>114</v>
      </c>
      <c r="AZ75" s="60">
        <v>7</v>
      </c>
      <c r="BA75" s="60">
        <v>17937</v>
      </c>
      <c r="BB75" s="60">
        <v>128</v>
      </c>
      <c r="BC75" s="60"/>
      <c r="BD75" s="60"/>
      <c r="BE75" s="60">
        <v>1859</v>
      </c>
      <c r="BF75" s="60">
        <v>2939</v>
      </c>
      <c r="BG75" s="60">
        <v>499</v>
      </c>
      <c r="BH75" s="60">
        <v>11029</v>
      </c>
      <c r="BI75" s="60">
        <v>2687</v>
      </c>
      <c r="BJ75" s="60">
        <v>499</v>
      </c>
      <c r="BK75" s="60">
        <v>72</v>
      </c>
      <c r="BL75" s="60">
        <v>302</v>
      </c>
      <c r="BM75" s="60">
        <v>5</v>
      </c>
      <c r="BN75" s="60">
        <v>964</v>
      </c>
      <c r="BO75" s="60">
        <v>340</v>
      </c>
      <c r="BP75" s="60">
        <v>929</v>
      </c>
      <c r="BQ75" s="60">
        <v>394</v>
      </c>
      <c r="BR75" s="60">
        <v>4860</v>
      </c>
      <c r="BS75" s="60">
        <v>978</v>
      </c>
      <c r="BT75" s="60">
        <v>31</v>
      </c>
      <c r="BU75" s="60">
        <v>1129</v>
      </c>
      <c r="BV75" s="60">
        <v>676</v>
      </c>
      <c r="BW75" s="60">
        <v>47</v>
      </c>
      <c r="BX75" s="60">
        <v>499</v>
      </c>
      <c r="BY75" s="60">
        <v>2246</v>
      </c>
      <c r="BZ75" s="60">
        <v>841</v>
      </c>
      <c r="CA75" s="60">
        <v>4201</v>
      </c>
      <c r="CB75" s="60"/>
      <c r="CC75" s="60"/>
      <c r="CD75" s="60">
        <v>1688</v>
      </c>
      <c r="CE75" s="60">
        <v>52</v>
      </c>
      <c r="CF75" s="60">
        <v>123</v>
      </c>
      <c r="CG75" s="60">
        <v>8</v>
      </c>
      <c r="CH75" s="60">
        <v>206</v>
      </c>
      <c r="CI75" s="60">
        <v>7</v>
      </c>
      <c r="CJ75" s="60">
        <v>175</v>
      </c>
      <c r="CK75" s="60">
        <v>241</v>
      </c>
      <c r="CL75" s="60">
        <v>13648</v>
      </c>
      <c r="CM75" s="60">
        <v>2091</v>
      </c>
      <c r="CN75" s="60">
        <v>93</v>
      </c>
      <c r="CO75" s="60">
        <v>481</v>
      </c>
      <c r="CP75" s="60">
        <v>55</v>
      </c>
      <c r="CQ75" s="60">
        <v>127</v>
      </c>
      <c r="CR75" s="60">
        <v>18</v>
      </c>
      <c r="CS75" s="60"/>
      <c r="CT75" s="60">
        <v>19013</v>
      </c>
      <c r="CU75" s="60">
        <v>1427</v>
      </c>
      <c r="CV75" s="60">
        <v>16330</v>
      </c>
      <c r="CW75" s="60">
        <v>1256</v>
      </c>
      <c r="CX75" s="60">
        <v>3017</v>
      </c>
      <c r="CY75" s="60">
        <v>2169</v>
      </c>
      <c r="CZ75" s="60"/>
      <c r="DA75" s="60"/>
      <c r="DB75" s="60">
        <v>72</v>
      </c>
      <c r="DC75" s="60">
        <v>180</v>
      </c>
      <c r="DD75" s="60">
        <v>238</v>
      </c>
      <c r="DE75" s="60">
        <v>444</v>
      </c>
      <c r="DF75" s="60">
        <v>655</v>
      </c>
      <c r="DG75" s="60">
        <v>730</v>
      </c>
      <c r="DH75" s="60">
        <v>927</v>
      </c>
      <c r="DI75" s="60">
        <v>1925</v>
      </c>
      <c r="DJ75" s="60">
        <v>11</v>
      </c>
      <c r="DK75" s="60">
        <v>4</v>
      </c>
      <c r="DL75" s="60"/>
      <c r="DM75" s="60">
        <v>2312</v>
      </c>
      <c r="DN75" s="60">
        <v>101</v>
      </c>
      <c r="DO75" s="60">
        <v>1574</v>
      </c>
      <c r="DP75" s="60">
        <v>164</v>
      </c>
      <c r="DQ75" s="60">
        <v>2</v>
      </c>
      <c r="DR75" s="60">
        <v>1030</v>
      </c>
      <c r="DS75" s="60">
        <v>3</v>
      </c>
      <c r="DT75" s="60">
        <v>145</v>
      </c>
      <c r="DU75" s="60">
        <v>119</v>
      </c>
      <c r="DV75" s="60">
        <v>169</v>
      </c>
      <c r="DW75" s="60">
        <v>563</v>
      </c>
      <c r="DX75" s="60">
        <v>145</v>
      </c>
      <c r="DY75" s="60">
        <v>80</v>
      </c>
      <c r="DZ75" s="60">
        <v>23</v>
      </c>
      <c r="EA75" s="60">
        <v>2652</v>
      </c>
      <c r="EB75" s="60">
        <v>1289</v>
      </c>
      <c r="EC75" s="60">
        <v>1</v>
      </c>
      <c r="ED75" s="60">
        <v>0</v>
      </c>
      <c r="EE75" s="60">
        <v>0</v>
      </c>
      <c r="EF75" s="60">
        <v>0</v>
      </c>
      <c r="EG75" s="60">
        <v>0</v>
      </c>
      <c r="EH75" s="60">
        <v>0</v>
      </c>
      <c r="EI75" s="60">
        <v>888</v>
      </c>
      <c r="EJ75" s="60">
        <v>2948</v>
      </c>
      <c r="EK75" s="60">
        <v>23</v>
      </c>
      <c r="EL75" s="60">
        <v>1106</v>
      </c>
      <c r="EM75" s="60">
        <v>221</v>
      </c>
      <c r="EN75" s="60">
        <v>87</v>
      </c>
      <c r="EO75" s="60">
        <v>109</v>
      </c>
      <c r="EP75" s="60">
        <v>884</v>
      </c>
      <c r="EQ75" s="60">
        <v>2</v>
      </c>
      <c r="ER75" s="60">
        <v>703</v>
      </c>
      <c r="ES75" s="60">
        <v>265</v>
      </c>
      <c r="ET75" s="60">
        <v>370</v>
      </c>
      <c r="EU75" s="60">
        <v>643</v>
      </c>
      <c r="EV75" s="60">
        <v>343</v>
      </c>
      <c r="EW75" s="60">
        <v>82</v>
      </c>
      <c r="EX75" s="60">
        <v>178</v>
      </c>
      <c r="EY75" s="60">
        <v>141</v>
      </c>
      <c r="EZ75" s="60">
        <v>9</v>
      </c>
      <c r="FA75" s="60">
        <v>73</v>
      </c>
      <c r="FB75" s="60">
        <v>629</v>
      </c>
      <c r="FC75" s="60">
        <v>123</v>
      </c>
      <c r="FD75" s="60">
        <v>535</v>
      </c>
      <c r="FE75" s="60"/>
      <c r="FF75" s="60">
        <v>10</v>
      </c>
      <c r="FG75" s="60"/>
      <c r="FH75" s="60">
        <v>259</v>
      </c>
      <c r="FI75" s="60">
        <v>13</v>
      </c>
      <c r="FJ75" s="60">
        <v>297</v>
      </c>
      <c r="FK75" s="60">
        <v>2</v>
      </c>
      <c r="FL75" s="60">
        <v>16</v>
      </c>
      <c r="FM75" s="60">
        <v>238</v>
      </c>
      <c r="FN75" s="60">
        <v>7</v>
      </c>
      <c r="FO75" s="60">
        <v>4261</v>
      </c>
      <c r="FP75" s="60">
        <v>53</v>
      </c>
      <c r="FQ75" s="60"/>
      <c r="FR75" s="60">
        <v>3</v>
      </c>
      <c r="FS75" s="60">
        <v>16</v>
      </c>
      <c r="FT75" s="60">
        <v>17</v>
      </c>
      <c r="FU75" s="60">
        <v>4</v>
      </c>
      <c r="FV75" s="60"/>
      <c r="FW75" s="60"/>
      <c r="FX75" s="60">
        <v>5186</v>
      </c>
      <c r="FY75" s="60">
        <v>1377</v>
      </c>
      <c r="FZ75" s="60">
        <v>3396</v>
      </c>
      <c r="GA75" s="60">
        <v>413</v>
      </c>
      <c r="GB75" s="60">
        <v>2011</v>
      </c>
    </row>
    <row r="76" spans="1:184" x14ac:dyDescent="0.3">
      <c r="A76" s="60">
        <v>106190240</v>
      </c>
      <c r="B76" s="61" t="s">
        <v>390</v>
      </c>
      <c r="C76" s="61" t="s">
        <v>391</v>
      </c>
      <c r="D76" s="61" t="s">
        <v>392</v>
      </c>
      <c r="E76" s="61" t="s">
        <v>393</v>
      </c>
      <c r="F76" s="60">
        <v>90712</v>
      </c>
      <c r="G76" s="61"/>
      <c r="H76" s="61" t="s">
        <v>1669</v>
      </c>
      <c r="I76" s="60">
        <v>55</v>
      </c>
      <c r="J76" s="60">
        <v>27</v>
      </c>
      <c r="K76" s="61" t="s">
        <v>1794</v>
      </c>
      <c r="L76" s="61" t="s">
        <v>354</v>
      </c>
      <c r="M76" s="61" t="s">
        <v>1778</v>
      </c>
      <c r="N76" s="61" t="s">
        <v>1779</v>
      </c>
      <c r="O76" s="61" t="s">
        <v>1673</v>
      </c>
      <c r="P76" s="61" t="s">
        <v>221</v>
      </c>
      <c r="Q76" s="61" t="s">
        <v>1674</v>
      </c>
      <c r="R76" s="60">
        <v>172</v>
      </c>
      <c r="S76" s="61" t="s">
        <v>1675</v>
      </c>
      <c r="T76" s="60">
        <v>21156</v>
      </c>
      <c r="U76" s="60">
        <v>15280</v>
      </c>
      <c r="V76" s="60"/>
      <c r="W76" s="60"/>
      <c r="X76" s="60">
        <v>4276</v>
      </c>
      <c r="Y76" s="60">
        <v>4191</v>
      </c>
      <c r="Z76" s="60">
        <v>6088</v>
      </c>
      <c r="AA76" s="60">
        <v>5044</v>
      </c>
      <c r="AB76" s="60">
        <v>5161</v>
      </c>
      <c r="AC76" s="60">
        <v>4312</v>
      </c>
      <c r="AD76" s="60">
        <v>2634</v>
      </c>
      <c r="AE76" s="60">
        <v>2053</v>
      </c>
      <c r="AF76" s="60">
        <v>1908</v>
      </c>
      <c r="AG76" s="60">
        <v>769</v>
      </c>
      <c r="AH76" s="60"/>
      <c r="AI76" s="60">
        <v>1957</v>
      </c>
      <c r="AJ76" s="60">
        <v>11111</v>
      </c>
      <c r="AK76" s="60">
        <v>12052</v>
      </c>
      <c r="AL76" s="60">
        <v>30</v>
      </c>
      <c r="AM76" s="60">
        <v>1552</v>
      </c>
      <c r="AN76" s="60">
        <v>449</v>
      </c>
      <c r="AO76" s="60">
        <v>9285</v>
      </c>
      <c r="AP76" s="60">
        <v>517</v>
      </c>
      <c r="AQ76" s="60">
        <v>1068</v>
      </c>
      <c r="AR76" s="60">
        <v>2</v>
      </c>
      <c r="AS76" s="60">
        <v>95</v>
      </c>
      <c r="AT76" s="60">
        <v>187</v>
      </c>
      <c r="AU76" s="60">
        <v>12</v>
      </c>
      <c r="AV76" s="60">
        <v>3</v>
      </c>
      <c r="AW76" s="60"/>
      <c r="AX76" s="60"/>
      <c r="AY76" s="60">
        <v>177</v>
      </c>
      <c r="AZ76" s="60"/>
      <c r="BA76" s="60">
        <v>34090</v>
      </c>
      <c r="BB76" s="60">
        <v>282</v>
      </c>
      <c r="BC76" s="60"/>
      <c r="BD76" s="60">
        <v>3</v>
      </c>
      <c r="BE76" s="60">
        <v>3989</v>
      </c>
      <c r="BF76" s="60">
        <v>6814</v>
      </c>
      <c r="BG76" s="60">
        <v>771</v>
      </c>
      <c r="BH76" s="60">
        <v>17947</v>
      </c>
      <c r="BI76" s="60">
        <v>6915</v>
      </c>
      <c r="BJ76" s="60">
        <v>863</v>
      </c>
      <c r="BK76" s="60">
        <v>165</v>
      </c>
      <c r="BL76" s="60">
        <v>998</v>
      </c>
      <c r="BM76" s="60">
        <v>6</v>
      </c>
      <c r="BN76" s="60">
        <v>2045</v>
      </c>
      <c r="BO76" s="60">
        <v>744</v>
      </c>
      <c r="BP76" s="60">
        <v>2378</v>
      </c>
      <c r="BQ76" s="60">
        <v>1280</v>
      </c>
      <c r="BR76" s="60">
        <v>7762</v>
      </c>
      <c r="BS76" s="60">
        <v>3088</v>
      </c>
      <c r="BT76" s="60">
        <v>19</v>
      </c>
      <c r="BU76" s="60">
        <v>2334</v>
      </c>
      <c r="BV76" s="60">
        <v>1259</v>
      </c>
      <c r="BW76" s="60">
        <v>22</v>
      </c>
      <c r="BX76" s="60">
        <v>1061</v>
      </c>
      <c r="BY76" s="60">
        <v>3927</v>
      </c>
      <c r="BZ76" s="60">
        <v>1477</v>
      </c>
      <c r="CA76" s="60">
        <v>7006</v>
      </c>
      <c r="CB76" s="60"/>
      <c r="CC76" s="60">
        <v>2</v>
      </c>
      <c r="CD76" s="60">
        <v>2482</v>
      </c>
      <c r="CE76" s="60">
        <v>137</v>
      </c>
      <c r="CF76" s="60">
        <v>490</v>
      </c>
      <c r="CG76" s="60">
        <v>19</v>
      </c>
      <c r="CH76" s="60">
        <v>514</v>
      </c>
      <c r="CI76" s="60">
        <v>12</v>
      </c>
      <c r="CJ76" s="60">
        <v>244</v>
      </c>
      <c r="CK76" s="60">
        <v>359</v>
      </c>
      <c r="CL76" s="60">
        <v>27635</v>
      </c>
      <c r="CM76" s="60">
        <v>3102</v>
      </c>
      <c r="CN76" s="60">
        <v>155</v>
      </c>
      <c r="CO76" s="60">
        <v>1005</v>
      </c>
      <c r="CP76" s="60">
        <v>73</v>
      </c>
      <c r="CQ76" s="60">
        <v>182</v>
      </c>
      <c r="CR76" s="60">
        <v>27</v>
      </c>
      <c r="CS76" s="60"/>
      <c r="CT76" s="60">
        <v>36436</v>
      </c>
      <c r="CU76" s="60">
        <v>193</v>
      </c>
      <c r="CV76" s="60">
        <v>34500</v>
      </c>
      <c r="CW76" s="60">
        <v>1743</v>
      </c>
      <c r="CX76" s="60">
        <v>3137</v>
      </c>
      <c r="CY76" s="60">
        <v>2730</v>
      </c>
      <c r="CZ76" s="60"/>
      <c r="DA76" s="60"/>
      <c r="DB76" s="60">
        <v>37</v>
      </c>
      <c r="DC76" s="60">
        <v>272</v>
      </c>
      <c r="DD76" s="60">
        <v>365</v>
      </c>
      <c r="DE76" s="60">
        <v>673</v>
      </c>
      <c r="DF76" s="60">
        <v>1101</v>
      </c>
      <c r="DG76" s="60">
        <v>1120</v>
      </c>
      <c r="DH76" s="60">
        <v>1092</v>
      </c>
      <c r="DI76" s="60">
        <v>1207</v>
      </c>
      <c r="DJ76" s="60"/>
      <c r="DK76" s="60"/>
      <c r="DL76" s="60"/>
      <c r="DM76" s="60">
        <v>502</v>
      </c>
      <c r="DN76" s="60">
        <v>1442</v>
      </c>
      <c r="DO76" s="60">
        <v>1641</v>
      </c>
      <c r="DP76" s="60">
        <v>240</v>
      </c>
      <c r="DQ76" s="60">
        <v>78</v>
      </c>
      <c r="DR76" s="60">
        <v>1958</v>
      </c>
      <c r="DS76" s="60">
        <v>6</v>
      </c>
      <c r="DT76" s="60">
        <v>150</v>
      </c>
      <c r="DU76" s="60">
        <v>136</v>
      </c>
      <c r="DV76" s="60">
        <v>245</v>
      </c>
      <c r="DW76" s="60">
        <v>662</v>
      </c>
      <c r="DX76" s="60">
        <v>50</v>
      </c>
      <c r="DY76" s="60">
        <v>7</v>
      </c>
      <c r="DZ76" s="60">
        <v>27</v>
      </c>
      <c r="EA76" s="60">
        <v>3532</v>
      </c>
      <c r="EB76" s="60">
        <v>1053</v>
      </c>
      <c r="EC76" s="60">
        <v>5</v>
      </c>
      <c r="ED76" s="60">
        <v>0</v>
      </c>
      <c r="EE76" s="60">
        <v>0</v>
      </c>
      <c r="EF76" s="60">
        <v>0</v>
      </c>
      <c r="EG76" s="60">
        <v>0</v>
      </c>
      <c r="EH76" s="60">
        <v>0</v>
      </c>
      <c r="EI76" s="60">
        <v>1200</v>
      </c>
      <c r="EJ76" s="60">
        <v>3142</v>
      </c>
      <c r="EK76" s="60">
        <v>49</v>
      </c>
      <c r="EL76" s="60">
        <v>1023</v>
      </c>
      <c r="EM76" s="60">
        <v>453</v>
      </c>
      <c r="EN76" s="60">
        <v>23</v>
      </c>
      <c r="EO76" s="60">
        <v>138</v>
      </c>
      <c r="EP76" s="60">
        <v>1374</v>
      </c>
      <c r="EQ76" s="60">
        <v>1</v>
      </c>
      <c r="ER76" s="60">
        <v>890</v>
      </c>
      <c r="ES76" s="60">
        <v>396</v>
      </c>
      <c r="ET76" s="60">
        <v>358</v>
      </c>
      <c r="EU76" s="60">
        <v>343</v>
      </c>
      <c r="EV76" s="60">
        <v>482</v>
      </c>
      <c r="EW76" s="60">
        <v>101</v>
      </c>
      <c r="EX76" s="60">
        <v>130</v>
      </c>
      <c r="EY76" s="60">
        <v>134</v>
      </c>
      <c r="EZ76" s="60">
        <v>5</v>
      </c>
      <c r="FA76" s="60">
        <v>82</v>
      </c>
      <c r="FB76" s="60">
        <v>754</v>
      </c>
      <c r="FC76" s="60">
        <v>138</v>
      </c>
      <c r="FD76" s="60">
        <v>518</v>
      </c>
      <c r="FE76" s="60"/>
      <c r="FF76" s="60"/>
      <c r="FG76" s="60"/>
      <c r="FH76" s="60">
        <v>241</v>
      </c>
      <c r="FI76" s="60">
        <v>37</v>
      </c>
      <c r="FJ76" s="60">
        <v>296</v>
      </c>
      <c r="FK76" s="60">
        <v>10</v>
      </c>
      <c r="FL76" s="60">
        <v>14</v>
      </c>
      <c r="FM76" s="60">
        <v>405</v>
      </c>
      <c r="FN76" s="60">
        <v>8</v>
      </c>
      <c r="FO76" s="60">
        <v>4738</v>
      </c>
      <c r="FP76" s="60">
        <v>44</v>
      </c>
      <c r="FQ76" s="60">
        <v>2</v>
      </c>
      <c r="FR76" s="60">
        <v>17</v>
      </c>
      <c r="FS76" s="60">
        <v>22</v>
      </c>
      <c r="FT76" s="60">
        <v>21</v>
      </c>
      <c r="FU76" s="60">
        <v>12</v>
      </c>
      <c r="FV76" s="60"/>
      <c r="FW76" s="60"/>
      <c r="FX76" s="60">
        <v>5867</v>
      </c>
      <c r="FY76" s="60">
        <v>77</v>
      </c>
      <c r="FZ76" s="60">
        <v>5323</v>
      </c>
      <c r="GA76" s="60">
        <v>467</v>
      </c>
      <c r="GB76" s="60">
        <v>2011</v>
      </c>
    </row>
    <row r="77" spans="1:184" x14ac:dyDescent="0.3">
      <c r="A77" s="60">
        <v>106190243</v>
      </c>
      <c r="B77" s="61" t="s">
        <v>394</v>
      </c>
      <c r="C77" s="61" t="s">
        <v>1799</v>
      </c>
      <c r="D77" s="61" t="s">
        <v>395</v>
      </c>
      <c r="E77" s="61" t="s">
        <v>396</v>
      </c>
      <c r="F77" s="60">
        <v>90241</v>
      </c>
      <c r="G77" s="61"/>
      <c r="H77" s="61" t="s">
        <v>1669</v>
      </c>
      <c r="I77" s="60">
        <v>58</v>
      </c>
      <c r="J77" s="60">
        <v>27</v>
      </c>
      <c r="K77" s="61" t="s">
        <v>1800</v>
      </c>
      <c r="L77" s="61" t="s">
        <v>357</v>
      </c>
      <c r="M77" s="61" t="s">
        <v>1778</v>
      </c>
      <c r="N77" s="61" t="s">
        <v>1779</v>
      </c>
      <c r="O77" s="61" t="s">
        <v>1673</v>
      </c>
      <c r="P77" s="61" t="s">
        <v>1678</v>
      </c>
      <c r="Q77" s="61" t="s">
        <v>1674</v>
      </c>
      <c r="R77" s="60">
        <v>199</v>
      </c>
      <c r="S77" s="61" t="s">
        <v>1675</v>
      </c>
      <c r="T77" s="60">
        <v>23579</v>
      </c>
      <c r="U77" s="60">
        <v>17982</v>
      </c>
      <c r="V77" s="60"/>
      <c r="W77" s="60"/>
      <c r="X77" s="60">
        <v>8491</v>
      </c>
      <c r="Y77" s="60">
        <v>6000</v>
      </c>
      <c r="Z77" s="60">
        <v>6290</v>
      </c>
      <c r="AA77" s="60">
        <v>5207</v>
      </c>
      <c r="AB77" s="60">
        <v>4139</v>
      </c>
      <c r="AC77" s="60">
        <v>3215</v>
      </c>
      <c r="AD77" s="60">
        <v>2391</v>
      </c>
      <c r="AE77" s="60">
        <v>2029</v>
      </c>
      <c r="AF77" s="60">
        <v>1939</v>
      </c>
      <c r="AG77" s="60">
        <v>1860</v>
      </c>
      <c r="AH77" s="60"/>
      <c r="AI77" s="60">
        <v>417</v>
      </c>
      <c r="AJ77" s="60">
        <v>2102</v>
      </c>
      <c r="AK77" s="60">
        <v>33364</v>
      </c>
      <c r="AL77" s="60">
        <v>26</v>
      </c>
      <c r="AM77" s="60">
        <v>1503</v>
      </c>
      <c r="AN77" s="60">
        <v>19</v>
      </c>
      <c r="AO77" s="60">
        <v>4130</v>
      </c>
      <c r="AP77" s="60">
        <v>424</v>
      </c>
      <c r="AQ77" s="60">
        <v>1418</v>
      </c>
      <c r="AR77" s="60">
        <v>348</v>
      </c>
      <c r="AS77" s="60">
        <v>32</v>
      </c>
      <c r="AT77" s="60">
        <v>2</v>
      </c>
      <c r="AU77" s="60">
        <v>8</v>
      </c>
      <c r="AV77" s="60">
        <v>6</v>
      </c>
      <c r="AW77" s="60">
        <v>21</v>
      </c>
      <c r="AX77" s="60"/>
      <c r="AY77" s="60">
        <v>95</v>
      </c>
      <c r="AZ77" s="60">
        <v>1</v>
      </c>
      <c r="BA77" s="60">
        <v>39059</v>
      </c>
      <c r="BB77" s="60">
        <v>144</v>
      </c>
      <c r="BC77" s="60">
        <v>3</v>
      </c>
      <c r="BD77" s="60"/>
      <c r="BE77" s="60">
        <v>18949</v>
      </c>
      <c r="BF77" s="60">
        <v>5693</v>
      </c>
      <c r="BG77" s="60">
        <v>799</v>
      </c>
      <c r="BH77" s="60">
        <v>9984</v>
      </c>
      <c r="BI77" s="60">
        <v>6136</v>
      </c>
      <c r="BJ77" s="60">
        <v>1492</v>
      </c>
      <c r="BK77" s="60">
        <v>110</v>
      </c>
      <c r="BL77" s="60">
        <v>717</v>
      </c>
      <c r="BM77" s="60">
        <v>3</v>
      </c>
      <c r="BN77" s="60">
        <v>2639</v>
      </c>
      <c r="BO77" s="60">
        <v>436</v>
      </c>
      <c r="BP77" s="60">
        <v>2136</v>
      </c>
      <c r="BQ77" s="60">
        <v>654</v>
      </c>
      <c r="BR77" s="60">
        <v>8968</v>
      </c>
      <c r="BS77" s="60">
        <v>2123</v>
      </c>
      <c r="BT77" s="60">
        <v>41</v>
      </c>
      <c r="BU77" s="60">
        <v>2392</v>
      </c>
      <c r="BV77" s="60">
        <v>1421</v>
      </c>
      <c r="BW77" s="60">
        <v>80</v>
      </c>
      <c r="BX77" s="60">
        <v>1076</v>
      </c>
      <c r="BY77" s="60">
        <v>5357</v>
      </c>
      <c r="BZ77" s="60">
        <v>1643</v>
      </c>
      <c r="CA77" s="60">
        <v>10273</v>
      </c>
      <c r="CB77" s="60"/>
      <c r="CC77" s="60"/>
      <c r="CD77" s="60">
        <v>3228</v>
      </c>
      <c r="CE77" s="60">
        <v>85</v>
      </c>
      <c r="CF77" s="60">
        <v>449</v>
      </c>
      <c r="CG77" s="60">
        <v>13</v>
      </c>
      <c r="CH77" s="60">
        <v>452</v>
      </c>
      <c r="CI77" s="60">
        <v>2</v>
      </c>
      <c r="CJ77" s="60">
        <v>266</v>
      </c>
      <c r="CK77" s="60">
        <v>347</v>
      </c>
      <c r="CL77" s="60">
        <v>31902</v>
      </c>
      <c r="CM77" s="60">
        <v>3323</v>
      </c>
      <c r="CN77" s="60">
        <v>201</v>
      </c>
      <c r="CO77" s="60">
        <v>941</v>
      </c>
      <c r="CP77" s="60">
        <v>88</v>
      </c>
      <c r="CQ77" s="60">
        <v>226</v>
      </c>
      <c r="CR77" s="60">
        <v>38</v>
      </c>
      <c r="CS77" s="60"/>
      <c r="CT77" s="60">
        <v>41561</v>
      </c>
      <c r="CU77" s="60">
        <v>121</v>
      </c>
      <c r="CV77" s="60">
        <v>33881</v>
      </c>
      <c r="CW77" s="60">
        <v>7559</v>
      </c>
      <c r="CX77" s="60">
        <v>4548</v>
      </c>
      <c r="CY77" s="60">
        <v>3530</v>
      </c>
      <c r="CZ77" s="60"/>
      <c r="DA77" s="60"/>
      <c r="DB77" s="60">
        <v>53</v>
      </c>
      <c r="DC77" s="60">
        <v>303</v>
      </c>
      <c r="DD77" s="60">
        <v>474</v>
      </c>
      <c r="DE77" s="60">
        <v>748</v>
      </c>
      <c r="DF77" s="60">
        <v>1163</v>
      </c>
      <c r="DG77" s="60">
        <v>1491</v>
      </c>
      <c r="DH77" s="60">
        <v>1666</v>
      </c>
      <c r="DI77" s="60">
        <v>2163</v>
      </c>
      <c r="DJ77" s="60">
        <v>17</v>
      </c>
      <c r="DK77" s="60"/>
      <c r="DL77" s="60"/>
      <c r="DM77" s="60">
        <v>211</v>
      </c>
      <c r="DN77" s="60">
        <v>437</v>
      </c>
      <c r="DO77" s="60">
        <v>5156</v>
      </c>
      <c r="DP77" s="60">
        <v>338</v>
      </c>
      <c r="DQ77" s="60">
        <v>6</v>
      </c>
      <c r="DR77" s="60">
        <v>1921</v>
      </c>
      <c r="DS77" s="60">
        <v>9</v>
      </c>
      <c r="DT77" s="60">
        <v>327</v>
      </c>
      <c r="DU77" s="60">
        <v>166</v>
      </c>
      <c r="DV77" s="60">
        <v>216</v>
      </c>
      <c r="DW77" s="60">
        <v>779</v>
      </c>
      <c r="DX77" s="60">
        <v>28</v>
      </c>
      <c r="DY77" s="60">
        <v>55</v>
      </c>
      <c r="DZ77" s="60">
        <v>74</v>
      </c>
      <c r="EA77" s="60">
        <v>5221</v>
      </c>
      <c r="EB77" s="60">
        <v>1208</v>
      </c>
      <c r="EC77" s="60">
        <v>4</v>
      </c>
      <c r="ED77" s="60">
        <v>0</v>
      </c>
      <c r="EE77" s="60">
        <v>0</v>
      </c>
      <c r="EF77" s="60">
        <v>0</v>
      </c>
      <c r="EG77" s="60">
        <v>0</v>
      </c>
      <c r="EH77" s="60">
        <v>0</v>
      </c>
      <c r="EI77" s="60">
        <v>1585</v>
      </c>
      <c r="EJ77" s="60">
        <v>4052</v>
      </c>
      <c r="EK77" s="60">
        <v>35</v>
      </c>
      <c r="EL77" s="60">
        <v>1953</v>
      </c>
      <c r="EM77" s="60">
        <v>453</v>
      </c>
      <c r="EN77" s="60">
        <v>102</v>
      </c>
      <c r="EO77" s="60">
        <v>228</v>
      </c>
      <c r="EP77" s="60">
        <v>1566</v>
      </c>
      <c r="EQ77" s="60">
        <v>1</v>
      </c>
      <c r="ER77" s="60">
        <v>1235</v>
      </c>
      <c r="ES77" s="60">
        <v>511</v>
      </c>
      <c r="ET77" s="60">
        <v>577</v>
      </c>
      <c r="EU77" s="60">
        <v>722</v>
      </c>
      <c r="EV77" s="60">
        <v>484</v>
      </c>
      <c r="EW77" s="60">
        <v>187</v>
      </c>
      <c r="EX77" s="60">
        <v>223</v>
      </c>
      <c r="EY77" s="60">
        <v>163</v>
      </c>
      <c r="EZ77" s="60">
        <v>11</v>
      </c>
      <c r="FA77" s="60">
        <v>49</v>
      </c>
      <c r="FB77" s="60">
        <v>881</v>
      </c>
      <c r="FC77" s="60">
        <v>178</v>
      </c>
      <c r="FD77" s="60">
        <v>944</v>
      </c>
      <c r="FE77" s="60">
        <v>1</v>
      </c>
      <c r="FF77" s="60">
        <v>15</v>
      </c>
      <c r="FG77" s="60"/>
      <c r="FH77" s="60">
        <v>356</v>
      </c>
      <c r="FI77" s="60">
        <v>25</v>
      </c>
      <c r="FJ77" s="60">
        <v>449</v>
      </c>
      <c r="FK77" s="60">
        <v>7</v>
      </c>
      <c r="FL77" s="60">
        <v>57</v>
      </c>
      <c r="FM77" s="60">
        <v>328</v>
      </c>
      <c r="FN77" s="60">
        <v>5</v>
      </c>
      <c r="FO77" s="60">
        <v>6710</v>
      </c>
      <c r="FP77" s="60">
        <v>87</v>
      </c>
      <c r="FQ77" s="60">
        <v>2</v>
      </c>
      <c r="FR77" s="60">
        <v>15</v>
      </c>
      <c r="FS77" s="60">
        <v>17</v>
      </c>
      <c r="FT77" s="60">
        <v>14</v>
      </c>
      <c r="FU77" s="60">
        <v>6</v>
      </c>
      <c r="FV77" s="60"/>
      <c r="FW77" s="60"/>
      <c r="FX77" s="60">
        <v>8078</v>
      </c>
      <c r="FY77" s="60">
        <v>99</v>
      </c>
      <c r="FZ77" s="60">
        <v>5303</v>
      </c>
      <c r="GA77" s="60">
        <v>2676</v>
      </c>
      <c r="GB77" s="60">
        <v>2011</v>
      </c>
    </row>
    <row r="78" spans="1:184" x14ac:dyDescent="0.3">
      <c r="A78" s="60">
        <v>106190256</v>
      </c>
      <c r="B78" s="61" t="s">
        <v>397</v>
      </c>
      <c r="C78" s="61" t="s">
        <v>398</v>
      </c>
      <c r="D78" s="61" t="s">
        <v>399</v>
      </c>
      <c r="E78" s="61" t="s">
        <v>340</v>
      </c>
      <c r="F78" s="60">
        <v>90023</v>
      </c>
      <c r="G78" s="61"/>
      <c r="H78" s="61" t="s">
        <v>1669</v>
      </c>
      <c r="I78" s="60">
        <v>58</v>
      </c>
      <c r="J78" s="60">
        <v>30</v>
      </c>
      <c r="K78" s="61" t="s">
        <v>1798</v>
      </c>
      <c r="L78" s="61" t="s">
        <v>357</v>
      </c>
      <c r="M78" s="61" t="s">
        <v>1778</v>
      </c>
      <c r="N78" s="61" t="s">
        <v>1779</v>
      </c>
      <c r="O78" s="61" t="s">
        <v>1673</v>
      </c>
      <c r="P78" s="61" t="s">
        <v>341</v>
      </c>
      <c r="Q78" s="61" t="s">
        <v>1674</v>
      </c>
      <c r="R78" s="60">
        <v>102</v>
      </c>
      <c r="S78" s="61" t="s">
        <v>1675</v>
      </c>
      <c r="T78" s="60">
        <v>7867</v>
      </c>
      <c r="U78" s="60">
        <v>6812</v>
      </c>
      <c r="V78" s="60"/>
      <c r="W78" s="60"/>
      <c r="X78" s="60">
        <v>3100</v>
      </c>
      <c r="Y78" s="60">
        <v>2085</v>
      </c>
      <c r="Z78" s="60">
        <v>2470</v>
      </c>
      <c r="AA78" s="60">
        <v>2077</v>
      </c>
      <c r="AB78" s="60">
        <v>1693</v>
      </c>
      <c r="AC78" s="60">
        <v>1303</v>
      </c>
      <c r="AD78" s="60">
        <v>681</v>
      </c>
      <c r="AE78" s="60">
        <v>361</v>
      </c>
      <c r="AF78" s="60">
        <v>286</v>
      </c>
      <c r="AG78" s="60">
        <v>623</v>
      </c>
      <c r="AH78" s="60"/>
      <c r="AI78" s="60">
        <v>70</v>
      </c>
      <c r="AJ78" s="60">
        <v>1230</v>
      </c>
      <c r="AK78" s="60">
        <v>12895</v>
      </c>
      <c r="AL78" s="60">
        <v>64</v>
      </c>
      <c r="AM78" s="60">
        <v>51</v>
      </c>
      <c r="AN78" s="60">
        <v>17</v>
      </c>
      <c r="AO78" s="60">
        <v>352</v>
      </c>
      <c r="AP78" s="60">
        <v>269</v>
      </c>
      <c r="AQ78" s="60">
        <v>240</v>
      </c>
      <c r="AR78" s="60">
        <v>4</v>
      </c>
      <c r="AS78" s="60">
        <v>16</v>
      </c>
      <c r="AT78" s="60">
        <v>2</v>
      </c>
      <c r="AU78" s="60"/>
      <c r="AV78" s="60"/>
      <c r="AW78" s="60">
        <v>1</v>
      </c>
      <c r="AX78" s="60"/>
      <c r="AY78" s="60">
        <v>63</v>
      </c>
      <c r="AZ78" s="60"/>
      <c r="BA78" s="60">
        <v>14052</v>
      </c>
      <c r="BB78" s="60">
        <v>32</v>
      </c>
      <c r="BC78" s="60"/>
      <c r="BD78" s="60"/>
      <c r="BE78" s="60">
        <v>6876</v>
      </c>
      <c r="BF78" s="60">
        <v>757</v>
      </c>
      <c r="BG78" s="60">
        <v>120</v>
      </c>
      <c r="BH78" s="60">
        <v>2690</v>
      </c>
      <c r="BI78" s="60">
        <v>4236</v>
      </c>
      <c r="BJ78" s="60">
        <v>751</v>
      </c>
      <c r="BK78" s="60">
        <v>47</v>
      </c>
      <c r="BL78" s="60">
        <v>221</v>
      </c>
      <c r="BM78" s="60">
        <v>5</v>
      </c>
      <c r="BN78" s="60">
        <v>1325</v>
      </c>
      <c r="BO78" s="60">
        <v>220</v>
      </c>
      <c r="BP78" s="60">
        <v>785</v>
      </c>
      <c r="BQ78" s="60">
        <v>350</v>
      </c>
      <c r="BR78" s="60">
        <v>2943</v>
      </c>
      <c r="BS78" s="60">
        <v>421</v>
      </c>
      <c r="BT78" s="60">
        <v>27</v>
      </c>
      <c r="BU78" s="60">
        <v>975</v>
      </c>
      <c r="BV78" s="60">
        <v>1610</v>
      </c>
      <c r="BW78" s="60">
        <v>44</v>
      </c>
      <c r="BX78" s="60">
        <v>962</v>
      </c>
      <c r="BY78" s="60">
        <v>2026</v>
      </c>
      <c r="BZ78" s="60">
        <v>462</v>
      </c>
      <c r="CA78" s="60">
        <v>1505</v>
      </c>
      <c r="CB78" s="60"/>
      <c r="CC78" s="60"/>
      <c r="CD78" s="60">
        <v>826</v>
      </c>
      <c r="CE78" s="60">
        <v>44</v>
      </c>
      <c r="CF78" s="60">
        <v>153</v>
      </c>
      <c r="CG78" s="60">
        <v>3</v>
      </c>
      <c r="CH78" s="60">
        <v>186</v>
      </c>
      <c r="CI78" s="60"/>
      <c r="CJ78" s="60">
        <v>33</v>
      </c>
      <c r="CK78" s="60">
        <v>173</v>
      </c>
      <c r="CL78" s="60">
        <v>11261</v>
      </c>
      <c r="CM78" s="60">
        <v>1344</v>
      </c>
      <c r="CN78" s="60">
        <v>65</v>
      </c>
      <c r="CO78" s="60">
        <v>459</v>
      </c>
      <c r="CP78" s="60">
        <v>37</v>
      </c>
      <c r="CQ78" s="60">
        <v>87</v>
      </c>
      <c r="CR78" s="60">
        <v>8</v>
      </c>
      <c r="CS78" s="60"/>
      <c r="CT78" s="60">
        <v>14679</v>
      </c>
      <c r="CU78" s="60">
        <v>19</v>
      </c>
      <c r="CV78" s="60">
        <v>6451</v>
      </c>
      <c r="CW78" s="60">
        <v>8209</v>
      </c>
      <c r="CX78" s="60">
        <v>1470</v>
      </c>
      <c r="CY78" s="60">
        <v>1115</v>
      </c>
      <c r="CZ78" s="60"/>
      <c r="DA78" s="60"/>
      <c r="DB78" s="60">
        <v>112</v>
      </c>
      <c r="DC78" s="60">
        <v>145</v>
      </c>
      <c r="DD78" s="60">
        <v>173</v>
      </c>
      <c r="DE78" s="60">
        <v>293</v>
      </c>
      <c r="DF78" s="60">
        <v>357</v>
      </c>
      <c r="DG78" s="60">
        <v>379</v>
      </c>
      <c r="DH78" s="60">
        <v>390</v>
      </c>
      <c r="DI78" s="60">
        <v>525</v>
      </c>
      <c r="DJ78" s="60">
        <v>49</v>
      </c>
      <c r="DK78" s="60">
        <v>162</v>
      </c>
      <c r="DL78" s="60"/>
      <c r="DM78" s="60">
        <v>14</v>
      </c>
      <c r="DN78" s="60">
        <v>162</v>
      </c>
      <c r="DO78" s="60">
        <v>2283</v>
      </c>
      <c r="DP78" s="60">
        <v>14</v>
      </c>
      <c r="DQ78" s="60">
        <v>3</v>
      </c>
      <c r="DR78" s="60">
        <v>98</v>
      </c>
      <c r="DS78" s="60">
        <v>11</v>
      </c>
      <c r="DT78" s="60">
        <v>163</v>
      </c>
      <c r="DU78" s="60">
        <v>188</v>
      </c>
      <c r="DV78" s="60">
        <v>79</v>
      </c>
      <c r="DW78" s="60">
        <v>141</v>
      </c>
      <c r="DX78" s="60">
        <v>9</v>
      </c>
      <c r="DY78" s="60">
        <v>5</v>
      </c>
      <c r="DZ78" s="60">
        <v>1</v>
      </c>
      <c r="EA78" s="60">
        <v>1542</v>
      </c>
      <c r="EB78" s="60">
        <v>457</v>
      </c>
      <c r="EC78" s="60"/>
      <c r="ED78" s="60">
        <v>0</v>
      </c>
      <c r="EE78" s="60">
        <v>0</v>
      </c>
      <c r="EF78" s="60">
        <v>0</v>
      </c>
      <c r="EG78" s="60">
        <v>0</v>
      </c>
      <c r="EH78" s="60">
        <v>0</v>
      </c>
      <c r="EI78" s="60">
        <v>1065</v>
      </c>
      <c r="EJ78" s="60">
        <v>1019</v>
      </c>
      <c r="EK78" s="60">
        <v>9</v>
      </c>
      <c r="EL78" s="60">
        <v>298</v>
      </c>
      <c r="EM78" s="60">
        <v>194</v>
      </c>
      <c r="EN78" s="60">
        <v>126</v>
      </c>
      <c r="EO78" s="60">
        <v>37</v>
      </c>
      <c r="EP78" s="60">
        <v>452</v>
      </c>
      <c r="EQ78" s="60">
        <v>1</v>
      </c>
      <c r="ER78" s="60">
        <v>439</v>
      </c>
      <c r="ES78" s="60">
        <v>199</v>
      </c>
      <c r="ET78" s="60">
        <v>177</v>
      </c>
      <c r="EU78" s="60">
        <v>282</v>
      </c>
      <c r="EV78" s="60">
        <v>123</v>
      </c>
      <c r="EW78" s="60">
        <v>42</v>
      </c>
      <c r="EX78" s="60">
        <v>43</v>
      </c>
      <c r="EY78" s="60">
        <v>78</v>
      </c>
      <c r="EZ78" s="60">
        <v>5</v>
      </c>
      <c r="FA78" s="60">
        <v>15</v>
      </c>
      <c r="FB78" s="60">
        <v>375</v>
      </c>
      <c r="FC78" s="60">
        <v>98</v>
      </c>
      <c r="FD78" s="60">
        <v>84</v>
      </c>
      <c r="FE78" s="60"/>
      <c r="FF78" s="60">
        <v>9</v>
      </c>
      <c r="FG78" s="60"/>
      <c r="FH78" s="60">
        <v>63</v>
      </c>
      <c r="FI78" s="60">
        <v>6</v>
      </c>
      <c r="FJ78" s="60">
        <v>113</v>
      </c>
      <c r="FK78" s="60">
        <v>1</v>
      </c>
      <c r="FL78" s="60">
        <v>7</v>
      </c>
      <c r="FM78" s="60">
        <v>104</v>
      </c>
      <c r="FN78" s="60">
        <v>3</v>
      </c>
      <c r="FO78" s="60">
        <v>2171</v>
      </c>
      <c r="FP78" s="60">
        <v>98</v>
      </c>
      <c r="FQ78" s="60">
        <v>1</v>
      </c>
      <c r="FR78" s="60">
        <v>3</v>
      </c>
      <c r="FS78" s="60">
        <v>4</v>
      </c>
      <c r="FT78" s="60">
        <v>5</v>
      </c>
      <c r="FU78" s="60">
        <v>6</v>
      </c>
      <c r="FV78" s="60"/>
      <c r="FW78" s="60"/>
      <c r="FX78" s="60">
        <v>2585</v>
      </c>
      <c r="FY78" s="60">
        <v>12</v>
      </c>
      <c r="FZ78" s="60">
        <v>946</v>
      </c>
      <c r="GA78" s="60">
        <v>1627</v>
      </c>
      <c r="GB78" s="60">
        <v>2011</v>
      </c>
    </row>
    <row r="79" spans="1:184" x14ac:dyDescent="0.3">
      <c r="A79" s="60">
        <v>106190280</v>
      </c>
      <c r="B79" s="61" t="s">
        <v>400</v>
      </c>
      <c r="C79" s="61" t="s">
        <v>401</v>
      </c>
      <c r="D79" s="61" t="s">
        <v>402</v>
      </c>
      <c r="E79" s="61" t="s">
        <v>403</v>
      </c>
      <c r="F79" s="60">
        <v>91436</v>
      </c>
      <c r="G79" s="61"/>
      <c r="H79" s="61" t="s">
        <v>1669</v>
      </c>
      <c r="I79" s="60">
        <v>41</v>
      </c>
      <c r="J79" s="60">
        <v>23</v>
      </c>
      <c r="K79" s="61" t="s">
        <v>1801</v>
      </c>
      <c r="L79" s="61" t="s">
        <v>404</v>
      </c>
      <c r="M79" s="61" t="s">
        <v>1778</v>
      </c>
      <c r="N79" s="61" t="s">
        <v>1779</v>
      </c>
      <c r="O79" s="61" t="s">
        <v>1673</v>
      </c>
      <c r="P79" s="61" t="s">
        <v>1678</v>
      </c>
      <c r="Q79" s="61" t="s">
        <v>1674</v>
      </c>
      <c r="R79" s="60">
        <v>109</v>
      </c>
      <c r="S79" s="61" t="s">
        <v>1675</v>
      </c>
      <c r="T79" s="60">
        <v>4150</v>
      </c>
      <c r="U79" s="60">
        <v>3391</v>
      </c>
      <c r="V79" s="60">
        <v>1</v>
      </c>
      <c r="W79" s="60"/>
      <c r="X79" s="60">
        <v>622</v>
      </c>
      <c r="Y79" s="60">
        <v>635</v>
      </c>
      <c r="Z79" s="60">
        <v>1329</v>
      </c>
      <c r="AA79" s="60">
        <v>1213</v>
      </c>
      <c r="AB79" s="60">
        <v>1353</v>
      </c>
      <c r="AC79" s="60">
        <v>1041</v>
      </c>
      <c r="AD79" s="60">
        <v>511</v>
      </c>
      <c r="AE79" s="60">
        <v>341</v>
      </c>
      <c r="AF79" s="60">
        <v>430</v>
      </c>
      <c r="AG79" s="60">
        <v>67</v>
      </c>
      <c r="AH79" s="60"/>
      <c r="AI79" s="60">
        <v>135</v>
      </c>
      <c r="AJ79" s="60">
        <v>756</v>
      </c>
      <c r="AK79" s="60">
        <v>855</v>
      </c>
      <c r="AL79" s="60"/>
      <c r="AM79" s="60">
        <v>426</v>
      </c>
      <c r="AN79" s="60">
        <v>4</v>
      </c>
      <c r="AO79" s="60">
        <v>5366</v>
      </c>
      <c r="AP79" s="60">
        <v>166</v>
      </c>
      <c r="AQ79" s="60">
        <v>240</v>
      </c>
      <c r="AR79" s="60"/>
      <c r="AS79" s="60">
        <v>8</v>
      </c>
      <c r="AT79" s="60"/>
      <c r="AU79" s="60"/>
      <c r="AV79" s="60"/>
      <c r="AW79" s="60">
        <v>26</v>
      </c>
      <c r="AX79" s="60">
        <v>16</v>
      </c>
      <c r="AY79" s="60"/>
      <c r="AZ79" s="60">
        <v>2</v>
      </c>
      <c r="BA79" s="60">
        <v>7082</v>
      </c>
      <c r="BB79" s="60">
        <v>2</v>
      </c>
      <c r="BC79" s="60"/>
      <c r="BD79" s="60"/>
      <c r="BE79" s="60">
        <v>1662</v>
      </c>
      <c r="BF79" s="60">
        <v>1310</v>
      </c>
      <c r="BG79" s="60">
        <v>140</v>
      </c>
      <c r="BH79" s="60">
        <v>2387</v>
      </c>
      <c r="BI79" s="60">
        <v>2043</v>
      </c>
      <c r="BJ79" s="60">
        <v>85</v>
      </c>
      <c r="BK79" s="60">
        <v>25</v>
      </c>
      <c r="BL79" s="60">
        <v>106</v>
      </c>
      <c r="BM79" s="60">
        <v>2</v>
      </c>
      <c r="BN79" s="60">
        <v>422</v>
      </c>
      <c r="BO79" s="60">
        <v>93</v>
      </c>
      <c r="BP79" s="60">
        <v>411</v>
      </c>
      <c r="BQ79" s="60">
        <v>111</v>
      </c>
      <c r="BR79" s="60">
        <v>2073</v>
      </c>
      <c r="BS79" s="60">
        <v>634</v>
      </c>
      <c r="BT79" s="60">
        <v>9</v>
      </c>
      <c r="BU79" s="60">
        <v>563</v>
      </c>
      <c r="BV79" s="60">
        <v>487</v>
      </c>
      <c r="BW79" s="60">
        <v>1</v>
      </c>
      <c r="BX79" s="60">
        <v>310</v>
      </c>
      <c r="BY79" s="60">
        <v>715</v>
      </c>
      <c r="BZ79" s="60">
        <v>323</v>
      </c>
      <c r="CA79" s="60">
        <v>1172</v>
      </c>
      <c r="CB79" s="60"/>
      <c r="CC79" s="60"/>
      <c r="CD79" s="60">
        <v>710</v>
      </c>
      <c r="CE79" s="60">
        <v>29</v>
      </c>
      <c r="CF79" s="60">
        <v>52</v>
      </c>
      <c r="CG79" s="60">
        <v>4</v>
      </c>
      <c r="CH79" s="60">
        <v>72</v>
      </c>
      <c r="CI79" s="60">
        <v>1</v>
      </c>
      <c r="CJ79" s="60">
        <v>36</v>
      </c>
      <c r="CK79" s="60">
        <v>120</v>
      </c>
      <c r="CL79" s="60">
        <v>5239</v>
      </c>
      <c r="CM79" s="60">
        <v>840</v>
      </c>
      <c r="CN79" s="60">
        <v>15</v>
      </c>
      <c r="CO79" s="60">
        <v>375</v>
      </c>
      <c r="CP79" s="60">
        <v>10</v>
      </c>
      <c r="CQ79" s="60">
        <v>31</v>
      </c>
      <c r="CR79" s="60">
        <v>8</v>
      </c>
      <c r="CS79" s="60"/>
      <c r="CT79" s="60">
        <v>7542</v>
      </c>
      <c r="CU79" s="60">
        <v>162</v>
      </c>
      <c r="CV79" s="60">
        <v>7241</v>
      </c>
      <c r="CW79" s="60">
        <v>139</v>
      </c>
      <c r="CX79" s="60">
        <v>1019</v>
      </c>
      <c r="CY79" s="60">
        <v>641</v>
      </c>
      <c r="CZ79" s="60"/>
      <c r="DA79" s="60"/>
      <c r="DB79" s="60">
        <v>8</v>
      </c>
      <c r="DC79" s="60">
        <v>54</v>
      </c>
      <c r="DD79" s="60">
        <v>71</v>
      </c>
      <c r="DE79" s="60">
        <v>147</v>
      </c>
      <c r="DF79" s="60">
        <v>215</v>
      </c>
      <c r="DG79" s="60">
        <v>235</v>
      </c>
      <c r="DH79" s="60">
        <v>298</v>
      </c>
      <c r="DI79" s="60">
        <v>632</v>
      </c>
      <c r="DJ79" s="60"/>
      <c r="DK79" s="60"/>
      <c r="DL79" s="60"/>
      <c r="DM79" s="60">
        <v>28</v>
      </c>
      <c r="DN79" s="60">
        <v>98</v>
      </c>
      <c r="DO79" s="60">
        <v>136</v>
      </c>
      <c r="DP79" s="60">
        <v>76</v>
      </c>
      <c r="DQ79" s="60">
        <v>6</v>
      </c>
      <c r="DR79" s="60">
        <v>1316</v>
      </c>
      <c r="DS79" s="60"/>
      <c r="DT79" s="60">
        <v>75</v>
      </c>
      <c r="DU79" s="60">
        <v>40</v>
      </c>
      <c r="DV79" s="60">
        <v>32</v>
      </c>
      <c r="DW79" s="60">
        <v>238</v>
      </c>
      <c r="DX79" s="60">
        <v>34</v>
      </c>
      <c r="DY79" s="60"/>
      <c r="DZ79" s="60">
        <v>101</v>
      </c>
      <c r="EA79" s="60">
        <v>762</v>
      </c>
      <c r="EB79" s="60">
        <v>378</v>
      </c>
      <c r="EC79" s="60"/>
      <c r="ED79" s="60">
        <v>0</v>
      </c>
      <c r="EE79" s="60">
        <v>0</v>
      </c>
      <c r="EF79" s="60">
        <v>0</v>
      </c>
      <c r="EG79" s="60">
        <v>0</v>
      </c>
      <c r="EH79" s="60">
        <v>0</v>
      </c>
      <c r="EI79" s="60">
        <v>151</v>
      </c>
      <c r="EJ79" s="60">
        <v>1184</v>
      </c>
      <c r="EK79" s="60">
        <v>15</v>
      </c>
      <c r="EL79" s="60">
        <v>228</v>
      </c>
      <c r="EM79" s="60">
        <v>82</v>
      </c>
      <c r="EN79" s="60">
        <v>3</v>
      </c>
      <c r="EO79" s="60">
        <v>12</v>
      </c>
      <c r="EP79" s="60">
        <v>192</v>
      </c>
      <c r="EQ79" s="60"/>
      <c r="ER79" s="60">
        <v>254</v>
      </c>
      <c r="ES79" s="60">
        <v>46</v>
      </c>
      <c r="ET79" s="60">
        <v>108</v>
      </c>
      <c r="EU79" s="60">
        <v>273</v>
      </c>
      <c r="EV79" s="60">
        <v>109</v>
      </c>
      <c r="EW79" s="60">
        <v>38</v>
      </c>
      <c r="EX79" s="60">
        <v>14</v>
      </c>
      <c r="EY79" s="60">
        <v>47</v>
      </c>
      <c r="EZ79" s="60"/>
      <c r="FA79" s="60">
        <v>244</v>
      </c>
      <c r="FB79" s="60">
        <v>110</v>
      </c>
      <c r="FC79" s="60">
        <v>29</v>
      </c>
      <c r="FD79" s="60">
        <v>181</v>
      </c>
      <c r="FE79" s="60"/>
      <c r="FF79" s="60"/>
      <c r="FG79" s="60"/>
      <c r="FH79" s="60">
        <v>101</v>
      </c>
      <c r="FI79" s="60">
        <v>11</v>
      </c>
      <c r="FJ79" s="60">
        <v>167</v>
      </c>
      <c r="FK79" s="60">
        <v>4</v>
      </c>
      <c r="FL79" s="60">
        <v>36</v>
      </c>
      <c r="FM79" s="60">
        <v>21</v>
      </c>
      <c r="FN79" s="60">
        <v>4</v>
      </c>
      <c r="FO79" s="60">
        <v>1264</v>
      </c>
      <c r="FP79" s="60">
        <v>30</v>
      </c>
      <c r="FQ79" s="60"/>
      <c r="FR79" s="60">
        <v>9</v>
      </c>
      <c r="FS79" s="60">
        <v>8</v>
      </c>
      <c r="FT79" s="60">
        <v>1</v>
      </c>
      <c r="FU79" s="60">
        <v>4</v>
      </c>
      <c r="FV79" s="60"/>
      <c r="FW79" s="60"/>
      <c r="FX79" s="60">
        <v>1660</v>
      </c>
      <c r="FY79" s="60">
        <v>91</v>
      </c>
      <c r="FZ79" s="60">
        <v>1534</v>
      </c>
      <c r="GA79" s="60">
        <v>35</v>
      </c>
      <c r="GB79" s="60">
        <v>2011</v>
      </c>
    </row>
    <row r="80" spans="1:184" x14ac:dyDescent="0.3">
      <c r="A80" s="60">
        <v>106190298</v>
      </c>
      <c r="B80" s="61" t="s">
        <v>405</v>
      </c>
      <c r="C80" s="61" t="s">
        <v>406</v>
      </c>
      <c r="D80" s="61" t="s">
        <v>407</v>
      </c>
      <c r="E80" s="61" t="s">
        <v>408</v>
      </c>
      <c r="F80" s="60">
        <v>91741</v>
      </c>
      <c r="G80" s="61"/>
      <c r="H80" s="61" t="s">
        <v>1669</v>
      </c>
      <c r="I80" s="60">
        <v>59</v>
      </c>
      <c r="J80" s="60">
        <v>29</v>
      </c>
      <c r="K80" s="61" t="s">
        <v>1802</v>
      </c>
      <c r="L80" s="61" t="s">
        <v>344</v>
      </c>
      <c r="M80" s="61" t="s">
        <v>1778</v>
      </c>
      <c r="N80" s="61" t="s">
        <v>1779</v>
      </c>
      <c r="O80" s="61" t="s">
        <v>1673</v>
      </c>
      <c r="P80" s="61" t="s">
        <v>1678</v>
      </c>
      <c r="Q80" s="61" t="s">
        <v>1674</v>
      </c>
      <c r="R80" s="60">
        <v>105</v>
      </c>
      <c r="S80" s="61" t="s">
        <v>1675</v>
      </c>
      <c r="T80" s="60">
        <v>11955</v>
      </c>
      <c r="U80" s="60">
        <v>9322</v>
      </c>
      <c r="V80" s="60">
        <v>4</v>
      </c>
      <c r="W80" s="60"/>
      <c r="X80" s="60">
        <v>3384</v>
      </c>
      <c r="Y80" s="60">
        <v>3243</v>
      </c>
      <c r="Z80" s="60">
        <v>3511</v>
      </c>
      <c r="AA80" s="60">
        <v>2603</v>
      </c>
      <c r="AB80" s="60">
        <v>2495</v>
      </c>
      <c r="AC80" s="60">
        <v>2272</v>
      </c>
      <c r="AD80" s="60">
        <v>1398</v>
      </c>
      <c r="AE80" s="60">
        <v>930</v>
      </c>
      <c r="AF80" s="60">
        <v>759</v>
      </c>
      <c r="AG80" s="60">
        <v>686</v>
      </c>
      <c r="AH80" s="60"/>
      <c r="AI80" s="60">
        <v>507</v>
      </c>
      <c r="AJ80" s="60">
        <v>702</v>
      </c>
      <c r="AK80" s="60">
        <v>9968</v>
      </c>
      <c r="AL80" s="60">
        <v>41</v>
      </c>
      <c r="AM80" s="60">
        <v>346</v>
      </c>
      <c r="AN80" s="60">
        <v>32</v>
      </c>
      <c r="AO80" s="60">
        <v>9685</v>
      </c>
      <c r="AP80" s="60">
        <v>248</v>
      </c>
      <c r="AQ80" s="60">
        <v>179</v>
      </c>
      <c r="AR80" s="60">
        <v>1</v>
      </c>
      <c r="AS80" s="60">
        <v>25</v>
      </c>
      <c r="AT80" s="60">
        <v>7</v>
      </c>
      <c r="AU80" s="60">
        <v>3</v>
      </c>
      <c r="AV80" s="60">
        <v>1</v>
      </c>
      <c r="AW80" s="60">
        <v>2</v>
      </c>
      <c r="AX80" s="60"/>
      <c r="AY80" s="60">
        <v>55</v>
      </c>
      <c r="AZ80" s="60">
        <v>9</v>
      </c>
      <c r="BA80" s="60">
        <v>20705</v>
      </c>
      <c r="BB80" s="60">
        <v>46</v>
      </c>
      <c r="BC80" s="60"/>
      <c r="BD80" s="60"/>
      <c r="BE80" s="60">
        <v>2021</v>
      </c>
      <c r="BF80" s="60">
        <v>2673</v>
      </c>
      <c r="BG80" s="60">
        <v>88</v>
      </c>
      <c r="BH80" s="60">
        <v>12658</v>
      </c>
      <c r="BI80" s="60">
        <v>3841</v>
      </c>
      <c r="BJ80" s="60">
        <v>468</v>
      </c>
      <c r="BK80" s="60">
        <v>90</v>
      </c>
      <c r="BL80" s="60">
        <v>323</v>
      </c>
      <c r="BM80" s="60">
        <v>8</v>
      </c>
      <c r="BN80" s="60">
        <v>943</v>
      </c>
      <c r="BO80" s="60">
        <v>268</v>
      </c>
      <c r="BP80" s="60">
        <v>995</v>
      </c>
      <c r="BQ80" s="60">
        <v>370</v>
      </c>
      <c r="BR80" s="60">
        <v>5307</v>
      </c>
      <c r="BS80" s="60">
        <v>1186</v>
      </c>
      <c r="BT80" s="60">
        <v>90</v>
      </c>
      <c r="BU80" s="60">
        <v>1208</v>
      </c>
      <c r="BV80" s="60">
        <v>566</v>
      </c>
      <c r="BW80" s="60">
        <v>23</v>
      </c>
      <c r="BX80" s="60">
        <v>554</v>
      </c>
      <c r="BY80" s="60">
        <v>2390</v>
      </c>
      <c r="BZ80" s="60">
        <v>886</v>
      </c>
      <c r="CA80" s="60">
        <v>5606</v>
      </c>
      <c r="CB80" s="60"/>
      <c r="CC80" s="60"/>
      <c r="CD80" s="60">
        <v>1619</v>
      </c>
      <c r="CE80" s="60">
        <v>48</v>
      </c>
      <c r="CF80" s="60">
        <v>146</v>
      </c>
      <c r="CG80" s="60">
        <v>8</v>
      </c>
      <c r="CH80" s="60">
        <v>207</v>
      </c>
      <c r="CI80" s="60">
        <v>2</v>
      </c>
      <c r="CJ80" s="60">
        <v>80</v>
      </c>
      <c r="CK80" s="60">
        <v>267</v>
      </c>
      <c r="CL80" s="60">
        <v>15800</v>
      </c>
      <c r="CM80" s="60">
        <v>2135</v>
      </c>
      <c r="CN80" s="60">
        <v>157</v>
      </c>
      <c r="CO80" s="60">
        <v>651</v>
      </c>
      <c r="CP80" s="60">
        <v>44</v>
      </c>
      <c r="CQ80" s="60">
        <v>95</v>
      </c>
      <c r="CR80" s="60">
        <v>22</v>
      </c>
      <c r="CS80" s="60"/>
      <c r="CT80" s="60">
        <v>21281</v>
      </c>
      <c r="CU80" s="60">
        <v>385</v>
      </c>
      <c r="CV80" s="60">
        <v>18927</v>
      </c>
      <c r="CW80" s="60">
        <v>1969</v>
      </c>
      <c r="CX80" s="60">
        <v>1995</v>
      </c>
      <c r="CY80" s="60">
        <v>1680</v>
      </c>
      <c r="CZ80" s="60"/>
      <c r="DA80" s="60"/>
      <c r="DB80" s="60">
        <v>69</v>
      </c>
      <c r="DC80" s="60">
        <v>213</v>
      </c>
      <c r="DD80" s="60">
        <v>221</v>
      </c>
      <c r="DE80" s="60">
        <v>359</v>
      </c>
      <c r="DF80" s="60">
        <v>556</v>
      </c>
      <c r="DG80" s="60">
        <v>574</v>
      </c>
      <c r="DH80" s="60">
        <v>777</v>
      </c>
      <c r="DI80" s="60">
        <v>902</v>
      </c>
      <c r="DJ80" s="60">
        <v>3</v>
      </c>
      <c r="DK80" s="60">
        <v>1</v>
      </c>
      <c r="DL80" s="60"/>
      <c r="DM80" s="60">
        <v>144</v>
      </c>
      <c r="DN80" s="60">
        <v>95</v>
      </c>
      <c r="DO80" s="60">
        <v>1096</v>
      </c>
      <c r="DP80" s="60">
        <v>32</v>
      </c>
      <c r="DQ80" s="60">
        <v>3</v>
      </c>
      <c r="DR80" s="60">
        <v>2302</v>
      </c>
      <c r="DS80" s="60">
        <v>3</v>
      </c>
      <c r="DT80" s="60">
        <v>260</v>
      </c>
      <c r="DU80" s="60">
        <v>65</v>
      </c>
      <c r="DV80" s="60">
        <v>91</v>
      </c>
      <c r="DW80" s="60">
        <v>196</v>
      </c>
      <c r="DX80" s="60">
        <v>50</v>
      </c>
      <c r="DY80" s="60">
        <v>50</v>
      </c>
      <c r="DZ80" s="60">
        <v>35</v>
      </c>
      <c r="EA80" s="60">
        <v>2257</v>
      </c>
      <c r="EB80" s="60">
        <v>671</v>
      </c>
      <c r="EC80" s="60"/>
      <c r="ED80" s="60">
        <v>0</v>
      </c>
      <c r="EE80" s="60">
        <v>0</v>
      </c>
      <c r="EF80" s="60">
        <v>0</v>
      </c>
      <c r="EG80" s="60">
        <v>0</v>
      </c>
      <c r="EH80" s="60">
        <v>0</v>
      </c>
      <c r="EI80" s="60">
        <v>499</v>
      </c>
      <c r="EJ80" s="60">
        <v>2033</v>
      </c>
      <c r="EK80" s="60">
        <v>48</v>
      </c>
      <c r="EL80" s="60">
        <v>878</v>
      </c>
      <c r="EM80" s="60">
        <v>217</v>
      </c>
      <c r="EN80" s="60">
        <v>49</v>
      </c>
      <c r="EO80" s="60">
        <v>50</v>
      </c>
      <c r="EP80" s="60">
        <v>639</v>
      </c>
      <c r="EQ80" s="60">
        <v>2</v>
      </c>
      <c r="ER80" s="60">
        <v>625</v>
      </c>
      <c r="ES80" s="60">
        <v>181</v>
      </c>
      <c r="ET80" s="60">
        <v>261</v>
      </c>
      <c r="EU80" s="60">
        <v>312</v>
      </c>
      <c r="EV80" s="60">
        <v>307</v>
      </c>
      <c r="EW80" s="60">
        <v>66</v>
      </c>
      <c r="EX80" s="60">
        <v>104</v>
      </c>
      <c r="EY80" s="60">
        <v>86</v>
      </c>
      <c r="EZ80" s="60">
        <v>1</v>
      </c>
      <c r="FA80" s="60">
        <v>33</v>
      </c>
      <c r="FB80" s="60">
        <v>431</v>
      </c>
      <c r="FC80" s="60">
        <v>81</v>
      </c>
      <c r="FD80" s="60">
        <v>444</v>
      </c>
      <c r="FE80" s="60">
        <v>3</v>
      </c>
      <c r="FF80" s="60"/>
      <c r="FG80" s="60"/>
      <c r="FH80" s="60">
        <v>188</v>
      </c>
      <c r="FI80" s="60">
        <v>21</v>
      </c>
      <c r="FJ80" s="60">
        <v>174</v>
      </c>
      <c r="FK80" s="60">
        <v>3</v>
      </c>
      <c r="FL80" s="60">
        <v>8</v>
      </c>
      <c r="FM80" s="60">
        <v>80</v>
      </c>
      <c r="FN80" s="60">
        <v>8</v>
      </c>
      <c r="FO80" s="60">
        <v>3126</v>
      </c>
      <c r="FP80" s="60">
        <v>22</v>
      </c>
      <c r="FQ80" s="60">
        <v>4</v>
      </c>
      <c r="FR80" s="60">
        <v>16</v>
      </c>
      <c r="FS80" s="60">
        <v>11</v>
      </c>
      <c r="FT80" s="60">
        <v>8</v>
      </c>
      <c r="FU80" s="60">
        <v>4</v>
      </c>
      <c r="FV80" s="60">
        <v>2</v>
      </c>
      <c r="FW80" s="60"/>
      <c r="FX80" s="60">
        <v>3675</v>
      </c>
      <c r="FY80" s="60">
        <v>121</v>
      </c>
      <c r="FZ80" s="60">
        <v>3231</v>
      </c>
      <c r="GA80" s="60">
        <v>323</v>
      </c>
      <c r="GB80" s="60">
        <v>2011</v>
      </c>
    </row>
    <row r="81" spans="1:184" x14ac:dyDescent="0.3">
      <c r="A81" s="60">
        <v>106190315</v>
      </c>
      <c r="B81" s="61" t="s">
        <v>409</v>
      </c>
      <c r="C81" s="61" t="s">
        <v>410</v>
      </c>
      <c r="D81" s="61" t="s">
        <v>411</v>
      </c>
      <c r="E81" s="61" t="s">
        <v>412</v>
      </c>
      <c r="F81" s="60">
        <v>91754</v>
      </c>
      <c r="G81" s="61"/>
      <c r="H81" s="61" t="s">
        <v>1669</v>
      </c>
      <c r="I81" s="60">
        <v>49</v>
      </c>
      <c r="J81" s="60">
        <v>24</v>
      </c>
      <c r="K81" s="61" t="s">
        <v>1803</v>
      </c>
      <c r="L81" s="61" t="s">
        <v>344</v>
      </c>
      <c r="M81" s="61" t="s">
        <v>1778</v>
      </c>
      <c r="N81" s="61" t="s">
        <v>1779</v>
      </c>
      <c r="O81" s="61" t="s">
        <v>1673</v>
      </c>
      <c r="P81" s="61" t="s">
        <v>341</v>
      </c>
      <c r="Q81" s="61" t="s">
        <v>1674</v>
      </c>
      <c r="R81" s="60">
        <v>210</v>
      </c>
      <c r="S81" s="61" t="s">
        <v>1675</v>
      </c>
      <c r="T81" s="60">
        <v>8542</v>
      </c>
      <c r="U81" s="60">
        <v>7181</v>
      </c>
      <c r="V81" s="60">
        <v>1</v>
      </c>
      <c r="W81" s="60"/>
      <c r="X81" s="60">
        <v>2998</v>
      </c>
      <c r="Y81" s="60">
        <v>1752</v>
      </c>
      <c r="Z81" s="60">
        <v>2194</v>
      </c>
      <c r="AA81" s="60">
        <v>1730</v>
      </c>
      <c r="AB81" s="60">
        <v>1693</v>
      </c>
      <c r="AC81" s="60">
        <v>1427</v>
      </c>
      <c r="AD81" s="60">
        <v>1149</v>
      </c>
      <c r="AE81" s="60">
        <v>953</v>
      </c>
      <c r="AF81" s="60">
        <v>1090</v>
      </c>
      <c r="AG81" s="60">
        <v>738</v>
      </c>
      <c r="AH81" s="60"/>
      <c r="AI81" s="60">
        <v>5901</v>
      </c>
      <c r="AJ81" s="60">
        <v>315</v>
      </c>
      <c r="AK81" s="60">
        <v>8353</v>
      </c>
      <c r="AL81" s="60">
        <v>3</v>
      </c>
      <c r="AM81" s="60">
        <v>56</v>
      </c>
      <c r="AN81" s="60"/>
      <c r="AO81" s="60">
        <v>1096</v>
      </c>
      <c r="AP81" s="60">
        <v>244</v>
      </c>
      <c r="AQ81" s="60">
        <v>273</v>
      </c>
      <c r="AR81" s="60">
        <v>9</v>
      </c>
      <c r="AS81" s="60">
        <v>43</v>
      </c>
      <c r="AT81" s="60">
        <v>29</v>
      </c>
      <c r="AU81" s="60">
        <v>1</v>
      </c>
      <c r="AV81" s="60">
        <v>2</v>
      </c>
      <c r="AW81" s="60">
        <v>1</v>
      </c>
      <c r="AX81" s="60"/>
      <c r="AY81" s="60">
        <v>120</v>
      </c>
      <c r="AZ81" s="60"/>
      <c r="BA81" s="60">
        <v>14943</v>
      </c>
      <c r="BB81" s="60">
        <v>59</v>
      </c>
      <c r="BC81" s="60"/>
      <c r="BD81" s="60"/>
      <c r="BE81" s="60">
        <v>1951</v>
      </c>
      <c r="BF81" s="60">
        <v>2742</v>
      </c>
      <c r="BG81" s="60">
        <v>502</v>
      </c>
      <c r="BH81" s="60">
        <v>8430</v>
      </c>
      <c r="BI81" s="60">
        <v>2099</v>
      </c>
      <c r="BJ81" s="60">
        <v>643</v>
      </c>
      <c r="BK81" s="60">
        <v>57</v>
      </c>
      <c r="BL81" s="60">
        <v>404</v>
      </c>
      <c r="BM81" s="60">
        <v>2</v>
      </c>
      <c r="BN81" s="60">
        <v>762</v>
      </c>
      <c r="BO81" s="60">
        <v>218</v>
      </c>
      <c r="BP81" s="60">
        <v>882</v>
      </c>
      <c r="BQ81" s="60">
        <v>169</v>
      </c>
      <c r="BR81" s="60">
        <v>3560</v>
      </c>
      <c r="BS81" s="60">
        <v>680</v>
      </c>
      <c r="BT81" s="60">
        <v>29</v>
      </c>
      <c r="BU81" s="60">
        <v>781</v>
      </c>
      <c r="BV81" s="60">
        <v>224</v>
      </c>
      <c r="BW81" s="60">
        <v>47</v>
      </c>
      <c r="BX81" s="60">
        <v>452</v>
      </c>
      <c r="BY81" s="60">
        <v>1741</v>
      </c>
      <c r="BZ81" s="60">
        <v>633</v>
      </c>
      <c r="CA81" s="60">
        <v>4438</v>
      </c>
      <c r="CB81" s="60"/>
      <c r="CC81" s="60">
        <v>2</v>
      </c>
      <c r="CD81" s="60">
        <v>1402</v>
      </c>
      <c r="CE81" s="60">
        <v>38</v>
      </c>
      <c r="CF81" s="60">
        <v>140</v>
      </c>
      <c r="CG81" s="60">
        <v>9</v>
      </c>
      <c r="CH81" s="60">
        <v>147</v>
      </c>
      <c r="CI81" s="60">
        <v>18</v>
      </c>
      <c r="CJ81" s="60">
        <v>88</v>
      </c>
      <c r="CK81" s="60">
        <v>203</v>
      </c>
      <c r="CL81" s="60">
        <v>11620</v>
      </c>
      <c r="CM81" s="60">
        <v>1444</v>
      </c>
      <c r="CN81" s="60">
        <v>84</v>
      </c>
      <c r="CO81" s="60">
        <v>398</v>
      </c>
      <c r="CP81" s="60">
        <v>30</v>
      </c>
      <c r="CQ81" s="60">
        <v>84</v>
      </c>
      <c r="CR81" s="60">
        <v>19</v>
      </c>
      <c r="CS81" s="60"/>
      <c r="CT81" s="60">
        <v>15724</v>
      </c>
      <c r="CU81" s="60">
        <v>1519</v>
      </c>
      <c r="CV81" s="60">
        <v>12027</v>
      </c>
      <c r="CW81" s="60">
        <v>2178</v>
      </c>
      <c r="CX81" s="60">
        <v>3168</v>
      </c>
      <c r="CY81" s="60">
        <v>2754</v>
      </c>
      <c r="CZ81" s="60"/>
      <c r="DA81" s="60"/>
      <c r="DB81" s="60">
        <v>86</v>
      </c>
      <c r="DC81" s="60">
        <v>176</v>
      </c>
      <c r="DD81" s="60">
        <v>245</v>
      </c>
      <c r="DE81" s="60">
        <v>495</v>
      </c>
      <c r="DF81" s="60">
        <v>711</v>
      </c>
      <c r="DG81" s="60">
        <v>916</v>
      </c>
      <c r="DH81" s="60">
        <v>1223</v>
      </c>
      <c r="DI81" s="60">
        <v>2006</v>
      </c>
      <c r="DJ81" s="60">
        <v>13</v>
      </c>
      <c r="DK81" s="60">
        <v>51</v>
      </c>
      <c r="DL81" s="60"/>
      <c r="DM81" s="60">
        <v>3737</v>
      </c>
      <c r="DN81" s="60">
        <v>148</v>
      </c>
      <c r="DO81" s="60">
        <v>1514</v>
      </c>
      <c r="DP81" s="60">
        <v>4</v>
      </c>
      <c r="DQ81" s="60"/>
      <c r="DR81" s="60">
        <v>519</v>
      </c>
      <c r="DS81" s="60"/>
      <c r="DT81" s="60">
        <v>118</v>
      </c>
      <c r="DU81" s="60">
        <v>155</v>
      </c>
      <c r="DV81" s="60">
        <v>245</v>
      </c>
      <c r="DW81" s="60">
        <v>1234</v>
      </c>
      <c r="DX81" s="60">
        <v>345</v>
      </c>
      <c r="DY81" s="60">
        <v>7</v>
      </c>
      <c r="DZ81" s="60"/>
      <c r="EA81" s="60">
        <v>3068</v>
      </c>
      <c r="EB81" s="60">
        <v>749</v>
      </c>
      <c r="EC81" s="60">
        <v>1</v>
      </c>
      <c r="ED81" s="60">
        <v>0</v>
      </c>
      <c r="EE81" s="60">
        <v>0</v>
      </c>
      <c r="EF81" s="60">
        <v>0</v>
      </c>
      <c r="EG81" s="60">
        <v>0</v>
      </c>
      <c r="EH81" s="60">
        <v>0</v>
      </c>
      <c r="EI81" s="60">
        <v>1515</v>
      </c>
      <c r="EJ81" s="60">
        <v>3045</v>
      </c>
      <c r="EK81" s="60">
        <v>66</v>
      </c>
      <c r="EL81" s="60">
        <v>982</v>
      </c>
      <c r="EM81" s="60">
        <v>314</v>
      </c>
      <c r="EN81" s="60">
        <v>118</v>
      </c>
      <c r="EO81" s="60">
        <v>139</v>
      </c>
      <c r="EP81" s="60">
        <v>1391</v>
      </c>
      <c r="EQ81" s="60">
        <v>5</v>
      </c>
      <c r="ER81" s="60">
        <v>813</v>
      </c>
      <c r="ES81" s="60">
        <v>282</v>
      </c>
      <c r="ET81" s="60">
        <v>327</v>
      </c>
      <c r="EU81" s="60">
        <v>447</v>
      </c>
      <c r="EV81" s="60">
        <v>362</v>
      </c>
      <c r="EW81" s="60">
        <v>96</v>
      </c>
      <c r="EX81" s="60">
        <v>230</v>
      </c>
      <c r="EY81" s="60">
        <v>123</v>
      </c>
      <c r="EZ81" s="60">
        <v>8</v>
      </c>
      <c r="FA81" s="60">
        <v>47</v>
      </c>
      <c r="FB81" s="60">
        <v>839</v>
      </c>
      <c r="FC81" s="60">
        <v>120</v>
      </c>
      <c r="FD81" s="60">
        <v>564</v>
      </c>
      <c r="FE81" s="60"/>
      <c r="FF81" s="60">
        <v>11</v>
      </c>
      <c r="FG81" s="60"/>
      <c r="FH81" s="60">
        <v>286</v>
      </c>
      <c r="FI81" s="60">
        <v>18</v>
      </c>
      <c r="FJ81" s="60">
        <v>196</v>
      </c>
      <c r="FK81" s="60">
        <v>10</v>
      </c>
      <c r="FL81" s="60">
        <v>13</v>
      </c>
      <c r="FM81" s="60">
        <v>236</v>
      </c>
      <c r="FN81" s="60">
        <v>9</v>
      </c>
      <c r="FO81" s="60">
        <v>5051</v>
      </c>
      <c r="FP81" s="60">
        <v>55</v>
      </c>
      <c r="FQ81" s="60">
        <v>2</v>
      </c>
      <c r="FR81" s="60">
        <v>11</v>
      </c>
      <c r="FS81" s="60">
        <v>13</v>
      </c>
      <c r="FT81" s="60">
        <v>19</v>
      </c>
      <c r="FU81" s="60">
        <v>2</v>
      </c>
      <c r="FV81" s="60">
        <v>1</v>
      </c>
      <c r="FW81" s="60"/>
      <c r="FX81" s="60">
        <v>5922</v>
      </c>
      <c r="FY81" s="60">
        <v>1425</v>
      </c>
      <c r="FZ81" s="60">
        <v>4000</v>
      </c>
      <c r="GA81" s="60">
        <v>497</v>
      </c>
      <c r="GB81" s="60">
        <v>2011</v>
      </c>
    </row>
    <row r="82" spans="1:184" x14ac:dyDescent="0.3">
      <c r="A82" s="60">
        <v>106190323</v>
      </c>
      <c r="B82" s="61" t="s">
        <v>413</v>
      </c>
      <c r="C82" s="61" t="s">
        <v>1804</v>
      </c>
      <c r="D82" s="61" t="s">
        <v>1805</v>
      </c>
      <c r="E82" s="61" t="s">
        <v>414</v>
      </c>
      <c r="F82" s="60">
        <v>91206</v>
      </c>
      <c r="G82" s="61"/>
      <c r="H82" s="61" t="s">
        <v>1669</v>
      </c>
      <c r="I82" s="60">
        <v>43</v>
      </c>
      <c r="J82" s="60">
        <v>21</v>
      </c>
      <c r="K82" s="61" t="s">
        <v>1806</v>
      </c>
      <c r="L82" s="61" t="s">
        <v>404</v>
      </c>
      <c r="M82" s="61" t="s">
        <v>1778</v>
      </c>
      <c r="N82" s="61" t="s">
        <v>1779</v>
      </c>
      <c r="O82" s="61" t="s">
        <v>1673</v>
      </c>
      <c r="P82" s="61" t="s">
        <v>1678</v>
      </c>
      <c r="Q82" s="61" t="s">
        <v>1674</v>
      </c>
      <c r="R82" s="60">
        <v>357</v>
      </c>
      <c r="S82" s="61" t="s">
        <v>1675</v>
      </c>
      <c r="T82" s="60">
        <v>16386</v>
      </c>
      <c r="U82" s="60">
        <v>12839</v>
      </c>
      <c r="V82" s="60">
        <v>1</v>
      </c>
      <c r="W82" s="60"/>
      <c r="X82" s="60">
        <v>3724</v>
      </c>
      <c r="Y82" s="60">
        <v>3249</v>
      </c>
      <c r="Z82" s="60">
        <v>4680</v>
      </c>
      <c r="AA82" s="60">
        <v>4049</v>
      </c>
      <c r="AB82" s="60">
        <v>3745</v>
      </c>
      <c r="AC82" s="60">
        <v>3279</v>
      </c>
      <c r="AD82" s="60">
        <v>2218</v>
      </c>
      <c r="AE82" s="60">
        <v>1749</v>
      </c>
      <c r="AF82" s="60">
        <v>1714</v>
      </c>
      <c r="AG82" s="60">
        <v>816</v>
      </c>
      <c r="AH82" s="60">
        <v>3</v>
      </c>
      <c r="AI82" s="60">
        <v>1627</v>
      </c>
      <c r="AJ82" s="60">
        <v>807</v>
      </c>
      <c r="AK82" s="60">
        <v>8797</v>
      </c>
      <c r="AL82" s="60">
        <v>14</v>
      </c>
      <c r="AM82" s="60">
        <v>1</v>
      </c>
      <c r="AN82" s="60">
        <v>37</v>
      </c>
      <c r="AO82" s="60">
        <v>17943</v>
      </c>
      <c r="AP82" s="60">
        <v>623</v>
      </c>
      <c r="AQ82" s="60">
        <v>554</v>
      </c>
      <c r="AR82" s="60">
        <v>68</v>
      </c>
      <c r="AS82" s="60">
        <v>49</v>
      </c>
      <c r="AT82" s="60">
        <v>38</v>
      </c>
      <c r="AU82" s="60"/>
      <c r="AV82" s="60">
        <v>12</v>
      </c>
      <c r="AW82" s="60">
        <v>8</v>
      </c>
      <c r="AX82" s="60">
        <v>99</v>
      </c>
      <c r="AY82" s="60"/>
      <c r="AZ82" s="60">
        <v>3</v>
      </c>
      <c r="BA82" s="60">
        <v>27195</v>
      </c>
      <c r="BB82" s="60">
        <v>263</v>
      </c>
      <c r="BC82" s="60">
        <v>314</v>
      </c>
      <c r="BD82" s="60"/>
      <c r="BE82" s="60">
        <v>10459</v>
      </c>
      <c r="BF82" s="60">
        <v>4879</v>
      </c>
      <c r="BG82" s="60">
        <v>565</v>
      </c>
      <c r="BH82" s="60">
        <v>9020</v>
      </c>
      <c r="BI82" s="60">
        <v>4303</v>
      </c>
      <c r="BJ82" s="60">
        <v>1050</v>
      </c>
      <c r="BK82" s="60">
        <v>71</v>
      </c>
      <c r="BL82" s="60">
        <v>806</v>
      </c>
      <c r="BM82" s="60">
        <v>10</v>
      </c>
      <c r="BN82" s="60">
        <v>1751</v>
      </c>
      <c r="BO82" s="60">
        <v>366</v>
      </c>
      <c r="BP82" s="60">
        <v>1698</v>
      </c>
      <c r="BQ82" s="60">
        <v>709</v>
      </c>
      <c r="BR82" s="60">
        <v>6873</v>
      </c>
      <c r="BS82" s="60">
        <v>1701</v>
      </c>
      <c r="BT82" s="60">
        <v>34</v>
      </c>
      <c r="BU82" s="60">
        <v>1289</v>
      </c>
      <c r="BV82" s="60">
        <v>649</v>
      </c>
      <c r="BW82" s="60">
        <v>46</v>
      </c>
      <c r="BX82" s="60">
        <v>1428</v>
      </c>
      <c r="BY82" s="60">
        <v>2893</v>
      </c>
      <c r="BZ82" s="60">
        <v>1263</v>
      </c>
      <c r="CA82" s="60">
        <v>6589</v>
      </c>
      <c r="CB82" s="60"/>
      <c r="CC82" s="60"/>
      <c r="CD82" s="60">
        <v>2223</v>
      </c>
      <c r="CE82" s="60">
        <v>90</v>
      </c>
      <c r="CF82" s="60">
        <v>241</v>
      </c>
      <c r="CG82" s="60">
        <v>16</v>
      </c>
      <c r="CH82" s="60">
        <v>267</v>
      </c>
      <c r="CI82" s="60">
        <v>16</v>
      </c>
      <c r="CJ82" s="60">
        <v>19</v>
      </c>
      <c r="CK82" s="60">
        <v>336</v>
      </c>
      <c r="CL82" s="60">
        <v>21992</v>
      </c>
      <c r="CM82" s="60">
        <v>2993</v>
      </c>
      <c r="CN82" s="60">
        <v>97</v>
      </c>
      <c r="CO82" s="60">
        <v>721</v>
      </c>
      <c r="CP82" s="60">
        <v>29</v>
      </c>
      <c r="CQ82" s="60">
        <v>173</v>
      </c>
      <c r="CR82" s="60">
        <v>13</v>
      </c>
      <c r="CS82" s="60"/>
      <c r="CT82" s="60">
        <v>29226</v>
      </c>
      <c r="CU82" s="60">
        <v>2301</v>
      </c>
      <c r="CV82" s="60">
        <v>25574</v>
      </c>
      <c r="CW82" s="60">
        <v>1351</v>
      </c>
      <c r="CX82" s="60">
        <v>6494</v>
      </c>
      <c r="CY82" s="60">
        <v>6103</v>
      </c>
      <c r="CZ82" s="60"/>
      <c r="DA82" s="60"/>
      <c r="DB82" s="60">
        <v>138</v>
      </c>
      <c r="DC82" s="60">
        <v>766</v>
      </c>
      <c r="DD82" s="60">
        <v>974</v>
      </c>
      <c r="DE82" s="60">
        <v>1339</v>
      </c>
      <c r="DF82" s="60">
        <v>2091</v>
      </c>
      <c r="DG82" s="60">
        <v>1917</v>
      </c>
      <c r="DH82" s="60">
        <v>2259</v>
      </c>
      <c r="DI82" s="60">
        <v>3107</v>
      </c>
      <c r="DJ82" s="60">
        <v>4</v>
      </c>
      <c r="DK82" s="60">
        <v>1</v>
      </c>
      <c r="DL82" s="60">
        <v>1</v>
      </c>
      <c r="DM82" s="60">
        <v>867</v>
      </c>
      <c r="DN82" s="60">
        <v>374</v>
      </c>
      <c r="DO82" s="60">
        <v>2345</v>
      </c>
      <c r="DP82" s="60">
        <v>1</v>
      </c>
      <c r="DQ82" s="60">
        <v>184</v>
      </c>
      <c r="DR82" s="60">
        <v>8824</v>
      </c>
      <c r="DS82" s="60">
        <v>2</v>
      </c>
      <c r="DT82" s="60">
        <v>207</v>
      </c>
      <c r="DU82" s="60">
        <v>463</v>
      </c>
      <c r="DV82" s="60">
        <v>382</v>
      </c>
      <c r="DW82" s="60">
        <v>1041</v>
      </c>
      <c r="DX82" s="60">
        <v>623</v>
      </c>
      <c r="DY82" s="60"/>
      <c r="DZ82" s="60">
        <v>267</v>
      </c>
      <c r="EA82" s="60">
        <v>7984</v>
      </c>
      <c r="EB82" s="60">
        <v>1626</v>
      </c>
      <c r="EC82" s="60">
        <v>4</v>
      </c>
      <c r="ED82" s="60">
        <v>0</v>
      </c>
      <c r="EE82" s="60">
        <v>0</v>
      </c>
      <c r="EF82" s="60">
        <v>0</v>
      </c>
      <c r="EG82" s="60">
        <v>0</v>
      </c>
      <c r="EH82" s="60">
        <v>0</v>
      </c>
      <c r="EI82" s="60">
        <v>3639</v>
      </c>
      <c r="EJ82" s="60">
        <v>5483</v>
      </c>
      <c r="EK82" s="60">
        <v>382</v>
      </c>
      <c r="EL82" s="60">
        <v>2380</v>
      </c>
      <c r="EM82" s="60">
        <v>713</v>
      </c>
      <c r="EN82" s="60">
        <v>156</v>
      </c>
      <c r="EO82" s="60">
        <v>147</v>
      </c>
      <c r="EP82" s="60">
        <v>2549</v>
      </c>
      <c r="EQ82" s="60">
        <v>4</v>
      </c>
      <c r="ER82" s="60">
        <v>1353</v>
      </c>
      <c r="ES82" s="60">
        <v>512</v>
      </c>
      <c r="ET82" s="60">
        <v>591</v>
      </c>
      <c r="EU82" s="60">
        <v>856</v>
      </c>
      <c r="EV82" s="60">
        <v>854</v>
      </c>
      <c r="EW82" s="60">
        <v>325</v>
      </c>
      <c r="EX82" s="60">
        <v>272</v>
      </c>
      <c r="EY82" s="60">
        <v>405</v>
      </c>
      <c r="EZ82" s="60">
        <v>17</v>
      </c>
      <c r="FA82" s="60">
        <v>1831</v>
      </c>
      <c r="FB82" s="60">
        <v>1150</v>
      </c>
      <c r="FC82" s="60">
        <v>225</v>
      </c>
      <c r="FD82" s="60">
        <v>1346</v>
      </c>
      <c r="FE82" s="60"/>
      <c r="FF82" s="60">
        <v>4</v>
      </c>
      <c r="FG82" s="60"/>
      <c r="FH82" s="60">
        <v>670</v>
      </c>
      <c r="FI82" s="60">
        <v>31</v>
      </c>
      <c r="FJ82" s="60">
        <v>612</v>
      </c>
      <c r="FK82" s="60">
        <v>32</v>
      </c>
      <c r="FL82" s="60">
        <v>30</v>
      </c>
      <c r="FM82" s="60">
        <v>161</v>
      </c>
      <c r="FN82" s="60">
        <v>18</v>
      </c>
      <c r="FO82" s="60">
        <v>10674</v>
      </c>
      <c r="FP82" s="60">
        <v>149</v>
      </c>
      <c r="FQ82" s="60">
        <v>12</v>
      </c>
      <c r="FR82" s="60">
        <v>35</v>
      </c>
      <c r="FS82" s="60">
        <v>92</v>
      </c>
      <c r="FT82" s="60">
        <v>17</v>
      </c>
      <c r="FU82" s="60">
        <v>61</v>
      </c>
      <c r="FV82" s="60">
        <v>3</v>
      </c>
      <c r="FW82" s="60"/>
      <c r="FX82" s="60">
        <v>12597</v>
      </c>
      <c r="FY82" s="60">
        <v>2514</v>
      </c>
      <c r="FZ82" s="60">
        <v>9310</v>
      </c>
      <c r="GA82" s="60">
        <v>773</v>
      </c>
      <c r="GB82" s="60">
        <v>2011</v>
      </c>
    </row>
    <row r="83" spans="1:184" x14ac:dyDescent="0.3">
      <c r="A83" s="60">
        <v>106190328</v>
      </c>
      <c r="B83" s="61" t="s">
        <v>415</v>
      </c>
      <c r="C83" s="61" t="s">
        <v>1807</v>
      </c>
      <c r="D83" s="61" t="s">
        <v>416</v>
      </c>
      <c r="E83" s="61" t="s">
        <v>408</v>
      </c>
      <c r="F83" s="60">
        <v>91740</v>
      </c>
      <c r="G83" s="61"/>
      <c r="H83" s="61" t="s">
        <v>1669</v>
      </c>
      <c r="I83" s="60">
        <v>59</v>
      </c>
      <c r="J83" s="60">
        <v>29</v>
      </c>
      <c r="K83" s="61" t="s">
        <v>1802</v>
      </c>
      <c r="L83" s="61" t="s">
        <v>344</v>
      </c>
      <c r="M83" s="61" t="s">
        <v>1778</v>
      </c>
      <c r="N83" s="61" t="s">
        <v>1779</v>
      </c>
      <c r="O83" s="61" t="s">
        <v>1673</v>
      </c>
      <c r="P83" s="61" t="s">
        <v>341</v>
      </c>
      <c r="Q83" s="61" t="s">
        <v>1674</v>
      </c>
      <c r="R83" s="60">
        <v>107</v>
      </c>
      <c r="S83" s="61" t="s">
        <v>1675</v>
      </c>
      <c r="T83" s="60">
        <v>1604</v>
      </c>
      <c r="U83" s="60">
        <v>1330</v>
      </c>
      <c r="V83" s="60"/>
      <c r="W83" s="60"/>
      <c r="X83" s="60">
        <v>470</v>
      </c>
      <c r="Y83" s="60">
        <v>395</v>
      </c>
      <c r="Z83" s="60">
        <v>519</v>
      </c>
      <c r="AA83" s="60">
        <v>468</v>
      </c>
      <c r="AB83" s="60">
        <v>378</v>
      </c>
      <c r="AC83" s="60">
        <v>323</v>
      </c>
      <c r="AD83" s="60">
        <v>159</v>
      </c>
      <c r="AE83" s="60">
        <v>83</v>
      </c>
      <c r="AF83" s="60">
        <v>58</v>
      </c>
      <c r="AG83" s="60">
        <v>81</v>
      </c>
      <c r="AH83" s="60"/>
      <c r="AI83" s="60">
        <v>224</v>
      </c>
      <c r="AJ83" s="60">
        <v>2</v>
      </c>
      <c r="AK83" s="60">
        <v>1315</v>
      </c>
      <c r="AL83" s="60">
        <v>1036</v>
      </c>
      <c r="AM83" s="60"/>
      <c r="AN83" s="60">
        <v>8</v>
      </c>
      <c r="AO83" s="60">
        <v>349</v>
      </c>
      <c r="AP83" s="60">
        <v>64</v>
      </c>
      <c r="AQ83" s="60">
        <v>138</v>
      </c>
      <c r="AR83" s="60">
        <v>10</v>
      </c>
      <c r="AS83" s="60">
        <v>3</v>
      </c>
      <c r="AT83" s="60"/>
      <c r="AU83" s="60"/>
      <c r="AV83" s="60">
        <v>3</v>
      </c>
      <c r="AW83" s="60"/>
      <c r="AX83" s="60"/>
      <c r="AY83" s="60"/>
      <c r="AZ83" s="60">
        <v>54</v>
      </c>
      <c r="BA83" s="60">
        <v>2543</v>
      </c>
      <c r="BB83" s="60">
        <v>119</v>
      </c>
      <c r="BC83" s="60"/>
      <c r="BD83" s="60"/>
      <c r="BE83" s="60">
        <v>1454</v>
      </c>
      <c r="BF83" s="60">
        <v>590</v>
      </c>
      <c r="BG83" s="60">
        <v>24</v>
      </c>
      <c r="BH83" s="60">
        <v>199</v>
      </c>
      <c r="BI83" s="60">
        <v>667</v>
      </c>
      <c r="BJ83" s="60">
        <v>115</v>
      </c>
      <c r="BK83" s="60">
        <v>7</v>
      </c>
      <c r="BL83" s="60">
        <v>44</v>
      </c>
      <c r="BM83" s="60">
        <v>1</v>
      </c>
      <c r="BN83" s="60">
        <v>211</v>
      </c>
      <c r="BO83" s="60">
        <v>45</v>
      </c>
      <c r="BP83" s="60">
        <v>157</v>
      </c>
      <c r="BQ83" s="60">
        <v>46</v>
      </c>
      <c r="BR83" s="60">
        <v>709</v>
      </c>
      <c r="BS83" s="60">
        <v>192</v>
      </c>
      <c r="BT83" s="60">
        <v>3</v>
      </c>
      <c r="BU83" s="60">
        <v>205</v>
      </c>
      <c r="BV83" s="60">
        <v>96</v>
      </c>
      <c r="BW83" s="60">
        <v>3</v>
      </c>
      <c r="BX83" s="60">
        <v>161</v>
      </c>
      <c r="BY83" s="60">
        <v>397</v>
      </c>
      <c r="BZ83" s="60">
        <v>149</v>
      </c>
      <c r="CA83" s="60">
        <v>392</v>
      </c>
      <c r="CB83" s="60"/>
      <c r="CC83" s="60">
        <v>1</v>
      </c>
      <c r="CD83" s="60">
        <v>224</v>
      </c>
      <c r="CE83" s="60">
        <v>6</v>
      </c>
      <c r="CF83" s="60">
        <v>19</v>
      </c>
      <c r="CG83" s="60">
        <v>2</v>
      </c>
      <c r="CH83" s="60">
        <v>46</v>
      </c>
      <c r="CI83" s="60">
        <v>7</v>
      </c>
      <c r="CJ83" s="60">
        <v>19</v>
      </c>
      <c r="CK83" s="60">
        <v>55</v>
      </c>
      <c r="CL83" s="60">
        <v>2123</v>
      </c>
      <c r="CM83" s="60">
        <v>325</v>
      </c>
      <c r="CN83" s="60">
        <v>21</v>
      </c>
      <c r="CO83" s="60">
        <v>52</v>
      </c>
      <c r="CP83" s="60">
        <v>7</v>
      </c>
      <c r="CQ83" s="60">
        <v>24</v>
      </c>
      <c r="CR83" s="60">
        <v>4</v>
      </c>
      <c r="CS83" s="60"/>
      <c r="CT83" s="60">
        <v>2934</v>
      </c>
      <c r="CU83" s="60">
        <v>23</v>
      </c>
      <c r="CV83" s="60">
        <v>2426</v>
      </c>
      <c r="CW83" s="60">
        <v>485</v>
      </c>
      <c r="CX83" s="60">
        <v>728</v>
      </c>
      <c r="CY83" s="60">
        <v>654</v>
      </c>
      <c r="CZ83" s="60"/>
      <c r="DA83" s="60"/>
      <c r="DB83" s="60">
        <v>6</v>
      </c>
      <c r="DC83" s="60">
        <v>44</v>
      </c>
      <c r="DD83" s="60">
        <v>46</v>
      </c>
      <c r="DE83" s="60">
        <v>94</v>
      </c>
      <c r="DF83" s="60">
        <v>221</v>
      </c>
      <c r="DG83" s="60">
        <v>350</v>
      </c>
      <c r="DH83" s="60">
        <v>290</v>
      </c>
      <c r="DI83" s="60">
        <v>331</v>
      </c>
      <c r="DJ83" s="60"/>
      <c r="DK83" s="60"/>
      <c r="DL83" s="60"/>
      <c r="DM83" s="60">
        <v>69</v>
      </c>
      <c r="DN83" s="60">
        <v>100</v>
      </c>
      <c r="DO83" s="60">
        <v>386</v>
      </c>
      <c r="DP83" s="60">
        <v>105</v>
      </c>
      <c r="DQ83" s="60">
        <v>6</v>
      </c>
      <c r="DR83" s="60">
        <v>716</v>
      </c>
      <c r="DS83" s="60"/>
      <c r="DT83" s="60">
        <v>39</v>
      </c>
      <c r="DU83" s="60">
        <v>20</v>
      </c>
      <c r="DV83" s="60">
        <v>20</v>
      </c>
      <c r="DW83" s="60">
        <v>31</v>
      </c>
      <c r="DX83" s="60">
        <v>27</v>
      </c>
      <c r="DY83" s="60">
        <v>4</v>
      </c>
      <c r="DZ83" s="60">
        <v>54</v>
      </c>
      <c r="EA83" s="60">
        <v>236</v>
      </c>
      <c r="EB83" s="60">
        <v>951</v>
      </c>
      <c r="EC83" s="60"/>
      <c r="ED83" s="60">
        <v>0</v>
      </c>
      <c r="EE83" s="60">
        <v>0</v>
      </c>
      <c r="EF83" s="60">
        <v>0</v>
      </c>
      <c r="EG83" s="60">
        <v>0</v>
      </c>
      <c r="EH83" s="60">
        <v>0</v>
      </c>
      <c r="EI83" s="60">
        <v>217</v>
      </c>
      <c r="EJ83" s="60">
        <v>1116</v>
      </c>
      <c r="EK83" s="60">
        <v>1</v>
      </c>
      <c r="EL83" s="60">
        <v>29</v>
      </c>
      <c r="EM83" s="60">
        <v>19</v>
      </c>
      <c r="EN83" s="60">
        <v>41</v>
      </c>
      <c r="EO83" s="60">
        <v>25</v>
      </c>
      <c r="EP83" s="60">
        <v>107</v>
      </c>
      <c r="EQ83" s="60"/>
      <c r="ER83" s="60">
        <v>134</v>
      </c>
      <c r="ES83" s="60">
        <v>79</v>
      </c>
      <c r="ET83" s="60">
        <v>103</v>
      </c>
      <c r="EU83" s="60">
        <v>85</v>
      </c>
      <c r="EV83" s="60">
        <v>38</v>
      </c>
      <c r="EW83" s="60">
        <v>37</v>
      </c>
      <c r="EX83" s="60">
        <v>19</v>
      </c>
      <c r="EY83" s="60">
        <v>46</v>
      </c>
      <c r="EZ83" s="60">
        <v>5</v>
      </c>
      <c r="FA83" s="60">
        <v>351</v>
      </c>
      <c r="FB83" s="60">
        <v>208</v>
      </c>
      <c r="FC83" s="60">
        <v>47</v>
      </c>
      <c r="FD83" s="60">
        <v>57</v>
      </c>
      <c r="FE83" s="60"/>
      <c r="FF83" s="60"/>
      <c r="FG83" s="60"/>
      <c r="FH83" s="60">
        <v>46</v>
      </c>
      <c r="FI83" s="60">
        <v>1</v>
      </c>
      <c r="FJ83" s="60">
        <v>45</v>
      </c>
      <c r="FK83" s="60"/>
      <c r="FL83" s="60">
        <v>10</v>
      </c>
      <c r="FM83" s="60">
        <v>63</v>
      </c>
      <c r="FN83" s="60"/>
      <c r="FO83" s="60">
        <v>1174</v>
      </c>
      <c r="FP83" s="60">
        <v>33</v>
      </c>
      <c r="FQ83" s="60"/>
      <c r="FR83" s="60">
        <v>1</v>
      </c>
      <c r="FS83" s="60">
        <v>2</v>
      </c>
      <c r="FT83" s="60">
        <v>3</v>
      </c>
      <c r="FU83" s="60">
        <v>4</v>
      </c>
      <c r="FV83" s="60"/>
      <c r="FW83" s="60"/>
      <c r="FX83" s="60">
        <v>1382</v>
      </c>
      <c r="FY83" s="60">
        <v>30</v>
      </c>
      <c r="FZ83" s="60">
        <v>1220</v>
      </c>
      <c r="GA83" s="60">
        <v>132</v>
      </c>
      <c r="GB83" s="60">
        <v>2011</v>
      </c>
    </row>
    <row r="84" spans="1:184" x14ac:dyDescent="0.3">
      <c r="A84" s="60">
        <v>106190352</v>
      </c>
      <c r="B84" s="61" t="s">
        <v>417</v>
      </c>
      <c r="C84" s="61" t="s">
        <v>418</v>
      </c>
      <c r="D84" s="61" t="s">
        <v>419</v>
      </c>
      <c r="E84" s="61" t="s">
        <v>420</v>
      </c>
      <c r="F84" s="60">
        <v>91733</v>
      </c>
      <c r="G84" s="61"/>
      <c r="H84" s="61" t="s">
        <v>1669</v>
      </c>
      <c r="I84" s="60">
        <v>49</v>
      </c>
      <c r="J84" s="60">
        <v>30</v>
      </c>
      <c r="K84" s="61" t="s">
        <v>1808</v>
      </c>
      <c r="L84" s="61" t="s">
        <v>344</v>
      </c>
      <c r="M84" s="61" t="s">
        <v>1778</v>
      </c>
      <c r="N84" s="61" t="s">
        <v>1779</v>
      </c>
      <c r="O84" s="61" t="s">
        <v>1673</v>
      </c>
      <c r="P84" s="61" t="s">
        <v>321</v>
      </c>
      <c r="Q84" s="61" t="s">
        <v>1674</v>
      </c>
      <c r="R84" s="60">
        <v>104</v>
      </c>
      <c r="S84" s="61" t="s">
        <v>1675</v>
      </c>
      <c r="T84" s="60">
        <v>7876</v>
      </c>
      <c r="U84" s="60">
        <v>6981</v>
      </c>
      <c r="V84" s="60"/>
      <c r="W84" s="60"/>
      <c r="X84" s="60">
        <v>3572</v>
      </c>
      <c r="Y84" s="60">
        <v>2449</v>
      </c>
      <c r="Z84" s="60">
        <v>2397</v>
      </c>
      <c r="AA84" s="60">
        <v>2007</v>
      </c>
      <c r="AB84" s="60">
        <v>1684</v>
      </c>
      <c r="AC84" s="60">
        <v>1023</v>
      </c>
      <c r="AD84" s="60">
        <v>487</v>
      </c>
      <c r="AE84" s="60">
        <v>263</v>
      </c>
      <c r="AF84" s="60">
        <v>195</v>
      </c>
      <c r="AG84" s="60">
        <v>780</v>
      </c>
      <c r="AH84" s="60"/>
      <c r="AI84" s="60">
        <v>643</v>
      </c>
      <c r="AJ84" s="60">
        <v>182</v>
      </c>
      <c r="AK84" s="60">
        <v>13326</v>
      </c>
      <c r="AL84" s="60"/>
      <c r="AM84" s="60">
        <v>42</v>
      </c>
      <c r="AN84" s="60">
        <v>9</v>
      </c>
      <c r="AO84" s="60">
        <v>655</v>
      </c>
      <c r="AP84" s="60">
        <v>454</v>
      </c>
      <c r="AQ84" s="60">
        <v>312</v>
      </c>
      <c r="AR84" s="60">
        <v>3</v>
      </c>
      <c r="AS84" s="60">
        <v>18</v>
      </c>
      <c r="AT84" s="60"/>
      <c r="AU84" s="60"/>
      <c r="AV84" s="60"/>
      <c r="AW84" s="60"/>
      <c r="AX84" s="60"/>
      <c r="AY84" s="60">
        <v>139</v>
      </c>
      <c r="AZ84" s="60"/>
      <c r="BA84" s="60">
        <v>13920</v>
      </c>
      <c r="BB84" s="60">
        <v>11</v>
      </c>
      <c r="BC84" s="60"/>
      <c r="BD84" s="60"/>
      <c r="BE84" s="60">
        <v>2946</v>
      </c>
      <c r="BF84" s="60">
        <v>619</v>
      </c>
      <c r="BG84" s="60">
        <v>398</v>
      </c>
      <c r="BH84" s="60">
        <v>8205</v>
      </c>
      <c r="BI84" s="60">
        <v>2689</v>
      </c>
      <c r="BJ84" s="60">
        <v>559</v>
      </c>
      <c r="BK84" s="60">
        <v>19</v>
      </c>
      <c r="BL84" s="60">
        <v>161</v>
      </c>
      <c r="BM84" s="60">
        <v>1</v>
      </c>
      <c r="BN84" s="60">
        <v>819</v>
      </c>
      <c r="BO84" s="60">
        <v>146</v>
      </c>
      <c r="BP84" s="60">
        <v>742</v>
      </c>
      <c r="BQ84" s="60">
        <v>215</v>
      </c>
      <c r="BR84" s="60">
        <v>2729</v>
      </c>
      <c r="BS84" s="60">
        <v>1288</v>
      </c>
      <c r="BT84" s="60">
        <v>11</v>
      </c>
      <c r="BU84" s="60">
        <v>1169</v>
      </c>
      <c r="BV84" s="60">
        <v>465</v>
      </c>
      <c r="BW84" s="60">
        <v>18</v>
      </c>
      <c r="BX84" s="60">
        <v>738</v>
      </c>
      <c r="BY84" s="60">
        <v>2140</v>
      </c>
      <c r="BZ84" s="60">
        <v>475</v>
      </c>
      <c r="CA84" s="60">
        <v>3162</v>
      </c>
      <c r="CB84" s="60"/>
      <c r="CC84" s="60"/>
      <c r="CD84" s="60">
        <v>1009</v>
      </c>
      <c r="CE84" s="60">
        <v>44</v>
      </c>
      <c r="CF84" s="60">
        <v>18</v>
      </c>
      <c r="CG84" s="60">
        <v>8</v>
      </c>
      <c r="CH84" s="60">
        <v>252</v>
      </c>
      <c r="CI84" s="60">
        <v>13</v>
      </c>
      <c r="CJ84" s="60">
        <v>32</v>
      </c>
      <c r="CK84" s="60">
        <v>224</v>
      </c>
      <c r="CL84" s="60">
        <v>11320</v>
      </c>
      <c r="CM84" s="60">
        <v>1318</v>
      </c>
      <c r="CN84" s="60">
        <v>34</v>
      </c>
      <c r="CO84" s="60">
        <v>451</v>
      </c>
      <c r="CP84" s="60">
        <v>35</v>
      </c>
      <c r="CQ84" s="60">
        <v>90</v>
      </c>
      <c r="CR84" s="60">
        <v>9</v>
      </c>
      <c r="CS84" s="60"/>
      <c r="CT84" s="60">
        <v>14857</v>
      </c>
      <c r="CU84" s="60">
        <v>89</v>
      </c>
      <c r="CV84" s="60">
        <v>9355</v>
      </c>
      <c r="CW84" s="60">
        <v>5413</v>
      </c>
      <c r="CX84" s="60">
        <v>1554</v>
      </c>
      <c r="CY84" s="60">
        <v>1235</v>
      </c>
      <c r="CZ84" s="60"/>
      <c r="DA84" s="60"/>
      <c r="DB84" s="60">
        <v>132</v>
      </c>
      <c r="DC84" s="60">
        <v>196</v>
      </c>
      <c r="DD84" s="60">
        <v>262</v>
      </c>
      <c r="DE84" s="60">
        <v>361</v>
      </c>
      <c r="DF84" s="60">
        <v>439</v>
      </c>
      <c r="DG84" s="60">
        <v>397</v>
      </c>
      <c r="DH84" s="60">
        <v>309</v>
      </c>
      <c r="DI84" s="60">
        <v>359</v>
      </c>
      <c r="DJ84" s="60">
        <v>96</v>
      </c>
      <c r="DK84" s="60">
        <v>238</v>
      </c>
      <c r="DL84" s="60"/>
      <c r="DM84" s="60">
        <v>362</v>
      </c>
      <c r="DN84" s="60">
        <v>36</v>
      </c>
      <c r="DO84" s="60">
        <v>2092</v>
      </c>
      <c r="DP84" s="60">
        <v>45</v>
      </c>
      <c r="DQ84" s="60"/>
      <c r="DR84" s="60">
        <v>254</v>
      </c>
      <c r="DS84" s="60"/>
      <c r="DT84" s="60">
        <v>140</v>
      </c>
      <c r="DU84" s="60">
        <v>122</v>
      </c>
      <c r="DV84" s="60">
        <v>76</v>
      </c>
      <c r="DW84" s="60">
        <v>123</v>
      </c>
      <c r="DX84" s="60"/>
      <c r="DY84" s="60">
        <v>10</v>
      </c>
      <c r="DZ84" s="60">
        <v>3</v>
      </c>
      <c r="EA84" s="60">
        <v>1942</v>
      </c>
      <c r="EB84" s="60">
        <v>373</v>
      </c>
      <c r="EC84" s="60"/>
      <c r="ED84" s="60">
        <v>0</v>
      </c>
      <c r="EE84" s="60">
        <v>0</v>
      </c>
      <c r="EF84" s="60">
        <v>0</v>
      </c>
      <c r="EG84" s="60">
        <v>0</v>
      </c>
      <c r="EH84" s="60">
        <v>0</v>
      </c>
      <c r="EI84" s="60">
        <v>1387</v>
      </c>
      <c r="EJ84" s="60">
        <v>825</v>
      </c>
      <c r="EK84" s="60">
        <v>180</v>
      </c>
      <c r="EL84" s="60">
        <v>189</v>
      </c>
      <c r="EM84" s="60">
        <v>208</v>
      </c>
      <c r="EN84" s="60">
        <v>185</v>
      </c>
      <c r="EO84" s="60">
        <v>25</v>
      </c>
      <c r="EP84" s="60">
        <v>346</v>
      </c>
      <c r="EQ84" s="60"/>
      <c r="ER84" s="60">
        <v>405</v>
      </c>
      <c r="ES84" s="60">
        <v>176</v>
      </c>
      <c r="ET84" s="60">
        <v>179</v>
      </c>
      <c r="EU84" s="60">
        <v>334</v>
      </c>
      <c r="EV84" s="60">
        <v>80</v>
      </c>
      <c r="EW84" s="60">
        <v>44</v>
      </c>
      <c r="EX84" s="60">
        <v>26</v>
      </c>
      <c r="EY84" s="60">
        <v>92</v>
      </c>
      <c r="EZ84" s="60">
        <v>1</v>
      </c>
      <c r="FA84" s="60">
        <v>18</v>
      </c>
      <c r="FB84" s="60">
        <v>555</v>
      </c>
      <c r="FC84" s="60">
        <v>117</v>
      </c>
      <c r="FD84" s="60">
        <v>200</v>
      </c>
      <c r="FE84" s="60">
        <v>1</v>
      </c>
      <c r="FF84" s="60">
        <v>5</v>
      </c>
      <c r="FG84" s="60"/>
      <c r="FH84" s="60">
        <v>78</v>
      </c>
      <c r="FI84" s="60">
        <v>5</v>
      </c>
      <c r="FJ84" s="60">
        <v>42</v>
      </c>
      <c r="FK84" s="60">
        <v>6</v>
      </c>
      <c r="FL84" s="60"/>
      <c r="FM84" s="60">
        <v>60</v>
      </c>
      <c r="FN84" s="60">
        <v>9</v>
      </c>
      <c r="FO84" s="60">
        <v>2526</v>
      </c>
      <c r="FP84" s="60">
        <v>22</v>
      </c>
      <c r="FQ84" s="60">
        <v>1</v>
      </c>
      <c r="FR84" s="60">
        <v>7</v>
      </c>
      <c r="FS84" s="60">
        <v>12</v>
      </c>
      <c r="FT84" s="60">
        <v>2</v>
      </c>
      <c r="FU84" s="60">
        <v>19</v>
      </c>
      <c r="FV84" s="60"/>
      <c r="FW84" s="60"/>
      <c r="FX84" s="60">
        <v>2789</v>
      </c>
      <c r="FY84" s="60">
        <v>89</v>
      </c>
      <c r="FZ84" s="60">
        <v>1667</v>
      </c>
      <c r="GA84" s="60">
        <v>1033</v>
      </c>
      <c r="GB84" s="60">
        <v>2011</v>
      </c>
    </row>
    <row r="85" spans="1:184" x14ac:dyDescent="0.3">
      <c r="A85" s="60">
        <v>106190382</v>
      </c>
      <c r="B85" s="61" t="s">
        <v>421</v>
      </c>
      <c r="C85" s="61" t="s">
        <v>422</v>
      </c>
      <c r="D85" s="61" t="s">
        <v>423</v>
      </c>
      <c r="E85" s="61" t="s">
        <v>340</v>
      </c>
      <c r="F85" s="60">
        <v>90027</v>
      </c>
      <c r="G85" s="61"/>
      <c r="H85" s="61" t="s">
        <v>1669</v>
      </c>
      <c r="I85" s="60">
        <v>45</v>
      </c>
      <c r="J85" s="60">
        <v>26</v>
      </c>
      <c r="K85" s="61" t="s">
        <v>1796</v>
      </c>
      <c r="L85" s="61" t="s">
        <v>369</v>
      </c>
      <c r="M85" s="61" t="s">
        <v>1778</v>
      </c>
      <c r="N85" s="61" t="s">
        <v>1779</v>
      </c>
      <c r="O85" s="61" t="s">
        <v>1673</v>
      </c>
      <c r="P85" s="61" t="s">
        <v>221</v>
      </c>
      <c r="Q85" s="61" t="s">
        <v>1674</v>
      </c>
      <c r="R85" s="60">
        <v>345</v>
      </c>
      <c r="S85" s="61" t="s">
        <v>1675</v>
      </c>
      <c r="T85" s="60">
        <v>13754</v>
      </c>
      <c r="U85" s="60">
        <v>12540</v>
      </c>
      <c r="V85" s="60">
        <v>1</v>
      </c>
      <c r="W85" s="60"/>
      <c r="X85" s="60">
        <v>535</v>
      </c>
      <c r="Y85" s="60">
        <v>2140</v>
      </c>
      <c r="Z85" s="60">
        <v>6241</v>
      </c>
      <c r="AA85" s="60">
        <v>5275</v>
      </c>
      <c r="AB85" s="60">
        <v>4472</v>
      </c>
      <c r="AC85" s="60">
        <v>3699</v>
      </c>
      <c r="AD85" s="60">
        <v>1974</v>
      </c>
      <c r="AE85" s="60">
        <v>1065</v>
      </c>
      <c r="AF85" s="60">
        <v>716</v>
      </c>
      <c r="AG85" s="60">
        <v>178</v>
      </c>
      <c r="AH85" s="60"/>
      <c r="AI85" s="60">
        <v>1643</v>
      </c>
      <c r="AJ85" s="60">
        <v>3892</v>
      </c>
      <c r="AK85" s="60">
        <v>10833</v>
      </c>
      <c r="AL85" s="60">
        <v>8</v>
      </c>
      <c r="AM85" s="60">
        <v>4486</v>
      </c>
      <c r="AN85" s="60">
        <v>45</v>
      </c>
      <c r="AO85" s="60">
        <v>5388</v>
      </c>
      <c r="AP85" s="60">
        <v>325</v>
      </c>
      <c r="AQ85" s="60">
        <v>2692</v>
      </c>
      <c r="AR85" s="60">
        <v>1</v>
      </c>
      <c r="AS85" s="60">
        <v>61</v>
      </c>
      <c r="AT85" s="60">
        <v>23</v>
      </c>
      <c r="AU85" s="60">
        <v>6</v>
      </c>
      <c r="AV85" s="60">
        <v>1</v>
      </c>
      <c r="AW85" s="60">
        <v>118</v>
      </c>
      <c r="AX85" s="60"/>
      <c r="AY85" s="60">
        <v>291</v>
      </c>
      <c r="AZ85" s="60">
        <v>12</v>
      </c>
      <c r="BA85" s="60">
        <v>22602</v>
      </c>
      <c r="BB85" s="60">
        <v>163</v>
      </c>
      <c r="BC85" s="60"/>
      <c r="BD85" s="60"/>
      <c r="BE85" s="60">
        <v>5504</v>
      </c>
      <c r="BF85" s="60">
        <v>2827</v>
      </c>
      <c r="BG85" s="60">
        <v>890</v>
      </c>
      <c r="BH85" s="60">
        <v>9241</v>
      </c>
      <c r="BI85" s="60">
        <v>7833</v>
      </c>
      <c r="BJ85" s="60">
        <v>1827</v>
      </c>
      <c r="BK85" s="60">
        <v>94</v>
      </c>
      <c r="BL85" s="60">
        <v>598</v>
      </c>
      <c r="BM85" s="60">
        <v>6</v>
      </c>
      <c r="BN85" s="60">
        <v>1359</v>
      </c>
      <c r="BO85" s="60">
        <v>324</v>
      </c>
      <c r="BP85" s="60">
        <v>1589</v>
      </c>
      <c r="BQ85" s="60">
        <v>477</v>
      </c>
      <c r="BR85" s="60">
        <v>5033</v>
      </c>
      <c r="BS85" s="60">
        <v>1941</v>
      </c>
      <c r="BT85" s="60">
        <v>80</v>
      </c>
      <c r="BU85" s="60">
        <v>1345</v>
      </c>
      <c r="BV85" s="60">
        <v>2013</v>
      </c>
      <c r="BW85" s="60">
        <v>58</v>
      </c>
      <c r="BX85" s="60">
        <v>1888</v>
      </c>
      <c r="BY85" s="60">
        <v>1919</v>
      </c>
      <c r="BZ85" s="60">
        <v>1114</v>
      </c>
      <c r="CA85" s="60">
        <v>4629</v>
      </c>
      <c r="CB85" s="60">
        <v>1</v>
      </c>
      <c r="CC85" s="60"/>
      <c r="CD85" s="60">
        <v>1373</v>
      </c>
      <c r="CE85" s="60">
        <v>49</v>
      </c>
      <c r="CF85" s="60">
        <v>215</v>
      </c>
      <c r="CG85" s="60">
        <v>16</v>
      </c>
      <c r="CH85" s="60">
        <v>567</v>
      </c>
      <c r="CI85" s="60">
        <v>21</v>
      </c>
      <c r="CJ85" s="60">
        <v>130</v>
      </c>
      <c r="CK85" s="60">
        <v>211</v>
      </c>
      <c r="CL85" s="60">
        <v>20646</v>
      </c>
      <c r="CM85" s="60">
        <v>1897</v>
      </c>
      <c r="CN85" s="60">
        <v>103</v>
      </c>
      <c r="CO85" s="60">
        <v>743</v>
      </c>
      <c r="CP85" s="60">
        <v>104</v>
      </c>
      <c r="CQ85" s="60">
        <v>88</v>
      </c>
      <c r="CR85" s="60">
        <v>132</v>
      </c>
      <c r="CS85" s="60"/>
      <c r="CT85" s="60">
        <v>26295</v>
      </c>
      <c r="CU85" s="60">
        <v>1559</v>
      </c>
      <c r="CV85" s="60">
        <v>18630</v>
      </c>
      <c r="CW85" s="60">
        <v>6106</v>
      </c>
      <c r="CX85" s="60">
        <v>3022</v>
      </c>
      <c r="CY85" s="60">
        <v>2792</v>
      </c>
      <c r="CZ85" s="60"/>
      <c r="DA85" s="60"/>
      <c r="DB85" s="60">
        <v>76</v>
      </c>
      <c r="DC85" s="60">
        <v>326</v>
      </c>
      <c r="DD85" s="60">
        <v>448</v>
      </c>
      <c r="DE85" s="60">
        <v>687</v>
      </c>
      <c r="DF85" s="60">
        <v>957</v>
      </c>
      <c r="DG85" s="60">
        <v>961</v>
      </c>
      <c r="DH85" s="60">
        <v>986</v>
      </c>
      <c r="DI85" s="60">
        <v>1337</v>
      </c>
      <c r="DJ85" s="60">
        <v>28</v>
      </c>
      <c r="DK85" s="60">
        <v>8</v>
      </c>
      <c r="DL85" s="60"/>
      <c r="DM85" s="60">
        <v>1130</v>
      </c>
      <c r="DN85" s="60">
        <v>657</v>
      </c>
      <c r="DO85" s="60">
        <v>1792</v>
      </c>
      <c r="DP85" s="60">
        <v>1112</v>
      </c>
      <c r="DQ85" s="60">
        <v>4</v>
      </c>
      <c r="DR85" s="60">
        <v>1116</v>
      </c>
      <c r="DS85" s="60">
        <v>3</v>
      </c>
      <c r="DT85" s="60">
        <v>35</v>
      </c>
      <c r="DU85" s="60">
        <v>218</v>
      </c>
      <c r="DV85" s="60">
        <v>187</v>
      </c>
      <c r="DW85" s="60">
        <v>222</v>
      </c>
      <c r="DX85" s="60">
        <v>270</v>
      </c>
      <c r="DY85" s="60">
        <v>48</v>
      </c>
      <c r="DZ85" s="60"/>
      <c r="EA85" s="60">
        <v>3904</v>
      </c>
      <c r="EB85" s="60">
        <v>927</v>
      </c>
      <c r="EC85" s="60">
        <v>3</v>
      </c>
      <c r="ED85" s="60">
        <v>0</v>
      </c>
      <c r="EE85" s="60">
        <v>0</v>
      </c>
      <c r="EF85" s="60">
        <v>0</v>
      </c>
      <c r="EG85" s="60">
        <v>0</v>
      </c>
      <c r="EH85" s="60">
        <v>0</v>
      </c>
      <c r="EI85" s="60">
        <v>1941</v>
      </c>
      <c r="EJ85" s="60">
        <v>2319</v>
      </c>
      <c r="EK85" s="60">
        <v>889</v>
      </c>
      <c r="EL85" s="60">
        <v>109</v>
      </c>
      <c r="EM85" s="60">
        <v>556</v>
      </c>
      <c r="EN85" s="60">
        <v>105</v>
      </c>
      <c r="EO85" s="60">
        <v>104</v>
      </c>
      <c r="EP85" s="60">
        <v>1140</v>
      </c>
      <c r="EQ85" s="60">
        <v>5</v>
      </c>
      <c r="ER85" s="60">
        <v>867</v>
      </c>
      <c r="ES85" s="60">
        <v>280</v>
      </c>
      <c r="ET85" s="60">
        <v>304</v>
      </c>
      <c r="EU85" s="60">
        <v>564</v>
      </c>
      <c r="EV85" s="60">
        <v>522</v>
      </c>
      <c r="EW85" s="60">
        <v>152</v>
      </c>
      <c r="EX85" s="60">
        <v>184</v>
      </c>
      <c r="EY85" s="60">
        <v>142</v>
      </c>
      <c r="EZ85" s="60">
        <v>11</v>
      </c>
      <c r="FA85" s="60">
        <v>80</v>
      </c>
      <c r="FB85" s="60">
        <v>626</v>
      </c>
      <c r="FC85" s="60">
        <v>150</v>
      </c>
      <c r="FD85" s="60">
        <v>551</v>
      </c>
      <c r="FE85" s="60"/>
      <c r="FF85" s="60">
        <v>27</v>
      </c>
      <c r="FG85" s="60"/>
      <c r="FH85" s="60">
        <v>316</v>
      </c>
      <c r="FI85" s="60">
        <v>39</v>
      </c>
      <c r="FJ85" s="60">
        <v>257</v>
      </c>
      <c r="FK85" s="60">
        <v>26</v>
      </c>
      <c r="FL85" s="60">
        <v>35</v>
      </c>
      <c r="FM85" s="60">
        <v>282</v>
      </c>
      <c r="FN85" s="60">
        <v>12</v>
      </c>
      <c r="FO85" s="60">
        <v>4679</v>
      </c>
      <c r="FP85" s="60">
        <v>66</v>
      </c>
      <c r="FQ85" s="60">
        <v>2</v>
      </c>
      <c r="FR85" s="60">
        <v>21</v>
      </c>
      <c r="FS85" s="60">
        <v>40</v>
      </c>
      <c r="FT85" s="60">
        <v>18</v>
      </c>
      <c r="FU85" s="60">
        <v>19</v>
      </c>
      <c r="FV85" s="60">
        <v>2</v>
      </c>
      <c r="FW85" s="60"/>
      <c r="FX85" s="60">
        <v>5814</v>
      </c>
      <c r="FY85" s="60">
        <v>1232</v>
      </c>
      <c r="FZ85" s="60">
        <v>3238</v>
      </c>
      <c r="GA85" s="60">
        <v>1344</v>
      </c>
      <c r="GB85" s="60">
        <v>2011</v>
      </c>
    </row>
    <row r="86" spans="1:184" x14ac:dyDescent="0.3">
      <c r="A86" s="60">
        <v>106190385</v>
      </c>
      <c r="B86" s="61" t="s">
        <v>424</v>
      </c>
      <c r="C86" s="61" t="s">
        <v>425</v>
      </c>
      <c r="D86" s="61" t="s">
        <v>426</v>
      </c>
      <c r="E86" s="61" t="s">
        <v>427</v>
      </c>
      <c r="F86" s="60">
        <v>91345</v>
      </c>
      <c r="G86" s="61" t="s">
        <v>143</v>
      </c>
      <c r="H86" s="61" t="s">
        <v>1669</v>
      </c>
      <c r="I86" s="60">
        <v>39</v>
      </c>
      <c r="J86" s="60">
        <v>20</v>
      </c>
      <c r="K86" s="61" t="s">
        <v>1809</v>
      </c>
      <c r="L86" s="61" t="s">
        <v>404</v>
      </c>
      <c r="M86" s="61" t="s">
        <v>1778</v>
      </c>
      <c r="N86" s="61" t="s">
        <v>1779</v>
      </c>
      <c r="O86" s="61" t="s">
        <v>1673</v>
      </c>
      <c r="P86" s="61" t="s">
        <v>1678</v>
      </c>
      <c r="Q86" s="61" t="s">
        <v>1674</v>
      </c>
      <c r="R86" s="60">
        <v>329</v>
      </c>
      <c r="S86" s="61" t="s">
        <v>1675</v>
      </c>
      <c r="T86" s="60">
        <v>31320</v>
      </c>
      <c r="U86" s="60">
        <v>24541</v>
      </c>
      <c r="V86" s="60">
        <v>7</v>
      </c>
      <c r="W86" s="60"/>
      <c r="X86" s="60">
        <v>13293</v>
      </c>
      <c r="Y86" s="60">
        <v>7488</v>
      </c>
      <c r="Z86" s="60">
        <v>8548</v>
      </c>
      <c r="AA86" s="60">
        <v>6377</v>
      </c>
      <c r="AB86" s="60">
        <v>5525</v>
      </c>
      <c r="AC86" s="60">
        <v>4305</v>
      </c>
      <c r="AD86" s="60">
        <v>3052</v>
      </c>
      <c r="AE86" s="60">
        <v>2422</v>
      </c>
      <c r="AF86" s="60">
        <v>2415</v>
      </c>
      <c r="AG86" s="60">
        <v>2443</v>
      </c>
      <c r="AH86" s="60"/>
      <c r="AI86" s="60">
        <v>1078</v>
      </c>
      <c r="AJ86" s="60">
        <v>2197</v>
      </c>
      <c r="AK86" s="60">
        <v>40354</v>
      </c>
      <c r="AL86" s="60">
        <v>13</v>
      </c>
      <c r="AM86" s="60">
        <v>946</v>
      </c>
      <c r="AN86" s="60">
        <v>73</v>
      </c>
      <c r="AO86" s="60">
        <v>11207</v>
      </c>
      <c r="AP86" s="60">
        <v>638</v>
      </c>
      <c r="AQ86" s="60">
        <v>232</v>
      </c>
      <c r="AR86" s="60"/>
      <c r="AS86" s="60">
        <v>74</v>
      </c>
      <c r="AT86" s="60">
        <v>3</v>
      </c>
      <c r="AU86" s="60">
        <v>4</v>
      </c>
      <c r="AV86" s="60">
        <v>5</v>
      </c>
      <c r="AW86" s="60"/>
      <c r="AX86" s="60"/>
      <c r="AY86" s="60">
        <v>132</v>
      </c>
      <c r="AZ86" s="60">
        <v>3</v>
      </c>
      <c r="BA86" s="60">
        <v>54568</v>
      </c>
      <c r="BB86" s="60">
        <v>205</v>
      </c>
      <c r="BC86" s="60">
        <v>4</v>
      </c>
      <c r="BD86" s="60"/>
      <c r="BE86" s="60">
        <v>23563</v>
      </c>
      <c r="BF86" s="60">
        <v>7785</v>
      </c>
      <c r="BG86" s="60">
        <v>1312</v>
      </c>
      <c r="BH86" s="60">
        <v>14334</v>
      </c>
      <c r="BI86" s="60">
        <v>8874</v>
      </c>
      <c r="BJ86" s="60">
        <v>1461</v>
      </c>
      <c r="BK86" s="60">
        <v>204</v>
      </c>
      <c r="BL86" s="60">
        <v>960</v>
      </c>
      <c r="BM86" s="60">
        <v>11</v>
      </c>
      <c r="BN86" s="60">
        <v>3352</v>
      </c>
      <c r="BO86" s="60">
        <v>510</v>
      </c>
      <c r="BP86" s="60">
        <v>3440</v>
      </c>
      <c r="BQ86" s="60">
        <v>1701</v>
      </c>
      <c r="BR86" s="60">
        <v>12293</v>
      </c>
      <c r="BS86" s="60">
        <v>2704</v>
      </c>
      <c r="BT86" s="60">
        <v>63</v>
      </c>
      <c r="BU86" s="60">
        <v>3932</v>
      </c>
      <c r="BV86" s="60">
        <v>1448</v>
      </c>
      <c r="BW86" s="60">
        <v>56</v>
      </c>
      <c r="BX86" s="60">
        <v>1156</v>
      </c>
      <c r="BY86" s="60">
        <v>9169</v>
      </c>
      <c r="BZ86" s="60">
        <v>2245</v>
      </c>
      <c r="CA86" s="60">
        <v>11163</v>
      </c>
      <c r="CB86" s="60"/>
      <c r="CC86" s="60"/>
      <c r="CD86" s="60">
        <v>3739</v>
      </c>
      <c r="CE86" s="60">
        <v>167</v>
      </c>
      <c r="CF86" s="60">
        <v>684</v>
      </c>
      <c r="CG86" s="60">
        <v>28</v>
      </c>
      <c r="CH86" s="60">
        <v>474</v>
      </c>
      <c r="CI86" s="60">
        <v>61</v>
      </c>
      <c r="CJ86" s="60">
        <v>302</v>
      </c>
      <c r="CK86" s="60">
        <v>724</v>
      </c>
      <c r="CL86" s="60">
        <v>42515</v>
      </c>
      <c r="CM86" s="60">
        <v>5187</v>
      </c>
      <c r="CN86" s="60">
        <v>217</v>
      </c>
      <c r="CO86" s="60">
        <v>1357</v>
      </c>
      <c r="CP86" s="60">
        <v>56</v>
      </c>
      <c r="CQ86" s="60">
        <v>321</v>
      </c>
      <c r="CR86" s="60">
        <v>36</v>
      </c>
      <c r="CS86" s="60"/>
      <c r="CT86" s="60">
        <v>55868</v>
      </c>
      <c r="CU86" s="60">
        <v>493</v>
      </c>
      <c r="CV86" s="60">
        <v>43755</v>
      </c>
      <c r="CW86" s="60">
        <v>11620</v>
      </c>
      <c r="CX86" s="60">
        <v>4989</v>
      </c>
      <c r="CY86" s="60">
        <v>4716</v>
      </c>
      <c r="CZ86" s="60"/>
      <c r="DA86" s="60"/>
      <c r="DB86" s="60">
        <v>232</v>
      </c>
      <c r="DC86" s="60">
        <v>668</v>
      </c>
      <c r="DD86" s="60">
        <v>683</v>
      </c>
      <c r="DE86" s="60">
        <v>1019</v>
      </c>
      <c r="DF86" s="60">
        <v>1428</v>
      </c>
      <c r="DG86" s="60">
        <v>1618</v>
      </c>
      <c r="DH86" s="60">
        <v>1781</v>
      </c>
      <c r="DI86" s="60">
        <v>2254</v>
      </c>
      <c r="DJ86" s="60">
        <v>21</v>
      </c>
      <c r="DK86" s="60">
        <v>1</v>
      </c>
      <c r="DL86" s="60"/>
      <c r="DM86" s="60">
        <v>472</v>
      </c>
      <c r="DN86" s="60">
        <v>415</v>
      </c>
      <c r="DO86" s="60">
        <v>4833</v>
      </c>
      <c r="DP86" s="60">
        <v>165</v>
      </c>
      <c r="DQ86" s="60">
        <v>7</v>
      </c>
      <c r="DR86" s="60">
        <v>3811</v>
      </c>
      <c r="DS86" s="60">
        <v>2</v>
      </c>
      <c r="DT86" s="60">
        <v>231</v>
      </c>
      <c r="DU86" s="60">
        <v>146</v>
      </c>
      <c r="DV86" s="60">
        <v>338</v>
      </c>
      <c r="DW86" s="60">
        <v>1257</v>
      </c>
      <c r="DX86" s="60">
        <v>184</v>
      </c>
      <c r="DY86" s="60">
        <v>42</v>
      </c>
      <c r="DZ86" s="60">
        <v>83</v>
      </c>
      <c r="EA86" s="60">
        <v>5949</v>
      </c>
      <c r="EB86" s="60">
        <v>1458</v>
      </c>
      <c r="EC86" s="60">
        <v>17</v>
      </c>
      <c r="ED86" s="60">
        <v>0</v>
      </c>
      <c r="EE86" s="60">
        <v>0</v>
      </c>
      <c r="EF86" s="60">
        <v>0</v>
      </c>
      <c r="EG86" s="60">
        <v>0</v>
      </c>
      <c r="EH86" s="60">
        <v>0</v>
      </c>
      <c r="EI86" s="60">
        <v>1871</v>
      </c>
      <c r="EJ86" s="60">
        <v>4986</v>
      </c>
      <c r="EK86" s="60">
        <v>143</v>
      </c>
      <c r="EL86" s="60">
        <v>2005</v>
      </c>
      <c r="EM86" s="60">
        <v>700</v>
      </c>
      <c r="EN86" s="60">
        <v>126</v>
      </c>
      <c r="EO86" s="60">
        <v>176</v>
      </c>
      <c r="EP86" s="60">
        <v>1813</v>
      </c>
      <c r="EQ86" s="60">
        <v>6</v>
      </c>
      <c r="ER86" s="60">
        <v>1623</v>
      </c>
      <c r="ES86" s="60">
        <v>357</v>
      </c>
      <c r="ET86" s="60">
        <v>645</v>
      </c>
      <c r="EU86" s="60">
        <v>680</v>
      </c>
      <c r="EV86" s="60">
        <v>1565</v>
      </c>
      <c r="EW86" s="60">
        <v>145</v>
      </c>
      <c r="EX86" s="60">
        <v>264</v>
      </c>
      <c r="EY86" s="60">
        <v>219</v>
      </c>
      <c r="EZ86" s="60">
        <v>16</v>
      </c>
      <c r="FA86" s="60">
        <v>58</v>
      </c>
      <c r="FB86" s="60">
        <v>1060</v>
      </c>
      <c r="FC86" s="60">
        <v>241</v>
      </c>
      <c r="FD86" s="60">
        <v>696</v>
      </c>
      <c r="FE86" s="60">
        <v>1</v>
      </c>
      <c r="FF86" s="60">
        <v>14</v>
      </c>
      <c r="FG86" s="60"/>
      <c r="FH86" s="60">
        <v>582</v>
      </c>
      <c r="FI86" s="60">
        <v>34</v>
      </c>
      <c r="FJ86" s="60">
        <v>832</v>
      </c>
      <c r="FK86" s="60">
        <v>141</v>
      </c>
      <c r="FL86" s="60">
        <v>55</v>
      </c>
      <c r="FM86" s="60">
        <v>412</v>
      </c>
      <c r="FN86" s="60">
        <v>26</v>
      </c>
      <c r="FO86" s="60">
        <v>7010</v>
      </c>
      <c r="FP86" s="60">
        <v>143</v>
      </c>
      <c r="FQ86" s="60">
        <v>31</v>
      </c>
      <c r="FR86" s="60">
        <v>361</v>
      </c>
      <c r="FS86" s="60">
        <v>49</v>
      </c>
      <c r="FT86" s="60">
        <v>19</v>
      </c>
      <c r="FU86" s="60">
        <v>9</v>
      </c>
      <c r="FV86" s="60">
        <v>1</v>
      </c>
      <c r="FW86" s="60"/>
      <c r="FX86" s="60">
        <v>9705</v>
      </c>
      <c r="FY86" s="60">
        <v>334</v>
      </c>
      <c r="FZ86" s="60">
        <v>6984</v>
      </c>
      <c r="GA86" s="60">
        <v>2387</v>
      </c>
      <c r="GB86" s="60">
        <v>2011</v>
      </c>
    </row>
    <row r="87" spans="1:184" x14ac:dyDescent="0.3">
      <c r="A87" s="60">
        <v>106190392</v>
      </c>
      <c r="B87" s="61" t="s">
        <v>428</v>
      </c>
      <c r="C87" s="61" t="s">
        <v>429</v>
      </c>
      <c r="D87" s="61" t="s">
        <v>430</v>
      </c>
      <c r="E87" s="61" t="s">
        <v>340</v>
      </c>
      <c r="F87" s="60">
        <v>90017</v>
      </c>
      <c r="G87" s="61"/>
      <c r="H87" s="61" t="s">
        <v>1669</v>
      </c>
      <c r="I87" s="60">
        <v>46</v>
      </c>
      <c r="J87" s="60">
        <v>22</v>
      </c>
      <c r="K87" s="61" t="s">
        <v>1791</v>
      </c>
      <c r="L87" s="61" t="s">
        <v>369</v>
      </c>
      <c r="M87" s="61" t="s">
        <v>1778</v>
      </c>
      <c r="N87" s="61" t="s">
        <v>1779</v>
      </c>
      <c r="O87" s="61" t="s">
        <v>1673</v>
      </c>
      <c r="P87" s="61" t="s">
        <v>1678</v>
      </c>
      <c r="Q87" s="61" t="s">
        <v>1674</v>
      </c>
      <c r="R87" s="60">
        <v>380</v>
      </c>
      <c r="S87" s="61" t="s">
        <v>1675</v>
      </c>
      <c r="T87" s="60">
        <v>12707</v>
      </c>
      <c r="U87" s="60">
        <v>11338</v>
      </c>
      <c r="V87" s="60"/>
      <c r="W87" s="60"/>
      <c r="X87" s="60">
        <v>1178</v>
      </c>
      <c r="Y87" s="60">
        <v>1891</v>
      </c>
      <c r="Z87" s="60">
        <v>5083</v>
      </c>
      <c r="AA87" s="60">
        <v>4074</v>
      </c>
      <c r="AB87" s="60">
        <v>3781</v>
      </c>
      <c r="AC87" s="60">
        <v>3329</v>
      </c>
      <c r="AD87" s="60">
        <v>2058</v>
      </c>
      <c r="AE87" s="60">
        <v>1219</v>
      </c>
      <c r="AF87" s="60">
        <v>983</v>
      </c>
      <c r="AG87" s="60">
        <v>449</v>
      </c>
      <c r="AH87" s="60"/>
      <c r="AI87" s="60">
        <v>2226</v>
      </c>
      <c r="AJ87" s="60">
        <v>4591</v>
      </c>
      <c r="AK87" s="60">
        <v>11350</v>
      </c>
      <c r="AL87" s="60">
        <v>44</v>
      </c>
      <c r="AM87" s="60">
        <v>219</v>
      </c>
      <c r="AN87" s="60">
        <v>64</v>
      </c>
      <c r="AO87" s="60">
        <v>5551</v>
      </c>
      <c r="AP87" s="60">
        <v>745</v>
      </c>
      <c r="AQ87" s="60">
        <v>1789</v>
      </c>
      <c r="AR87" s="60"/>
      <c r="AS87" s="60">
        <v>74</v>
      </c>
      <c r="AT87" s="60">
        <v>1</v>
      </c>
      <c r="AU87" s="60"/>
      <c r="AV87" s="60"/>
      <c r="AW87" s="60"/>
      <c r="AX87" s="60"/>
      <c r="AY87" s="60">
        <v>420</v>
      </c>
      <c r="AZ87" s="60"/>
      <c r="BA87" s="60">
        <v>21007</v>
      </c>
      <c r="BB87" s="60">
        <v>9</v>
      </c>
      <c r="BC87" s="60"/>
      <c r="BD87" s="60"/>
      <c r="BE87" s="60">
        <v>4801</v>
      </c>
      <c r="BF87" s="60">
        <v>3385</v>
      </c>
      <c r="BG87" s="60">
        <v>495</v>
      </c>
      <c r="BH87" s="60">
        <v>6931</v>
      </c>
      <c r="BI87" s="60">
        <v>8433</v>
      </c>
      <c r="BJ87" s="60">
        <v>1069</v>
      </c>
      <c r="BK87" s="60">
        <v>100</v>
      </c>
      <c r="BL87" s="60">
        <v>667</v>
      </c>
      <c r="BM87" s="60">
        <v>4</v>
      </c>
      <c r="BN87" s="60">
        <v>1603</v>
      </c>
      <c r="BO87" s="60">
        <v>321</v>
      </c>
      <c r="BP87" s="60">
        <v>1175</v>
      </c>
      <c r="BQ87" s="60">
        <v>328</v>
      </c>
      <c r="BR87" s="60">
        <v>5457</v>
      </c>
      <c r="BS87" s="60">
        <v>1288</v>
      </c>
      <c r="BT87" s="60">
        <v>44</v>
      </c>
      <c r="BU87" s="60">
        <v>1408</v>
      </c>
      <c r="BV87" s="60">
        <v>698</v>
      </c>
      <c r="BW87" s="60">
        <v>44</v>
      </c>
      <c r="BX87" s="60">
        <v>1594</v>
      </c>
      <c r="BY87" s="60">
        <v>1870</v>
      </c>
      <c r="BZ87" s="60">
        <v>865</v>
      </c>
      <c r="CA87" s="60">
        <v>5510</v>
      </c>
      <c r="CB87" s="60"/>
      <c r="CC87" s="60"/>
      <c r="CD87" s="60">
        <v>1544</v>
      </c>
      <c r="CE87" s="60">
        <v>43</v>
      </c>
      <c r="CF87" s="60">
        <v>94</v>
      </c>
      <c r="CG87" s="60">
        <v>10</v>
      </c>
      <c r="CH87" s="60">
        <v>633</v>
      </c>
      <c r="CI87" s="60">
        <v>12</v>
      </c>
      <c r="CJ87" s="60">
        <v>33</v>
      </c>
      <c r="CK87" s="60">
        <v>167</v>
      </c>
      <c r="CL87" s="60">
        <v>18184</v>
      </c>
      <c r="CM87" s="60">
        <v>2259</v>
      </c>
      <c r="CN87" s="60">
        <v>83</v>
      </c>
      <c r="CO87" s="60">
        <v>717</v>
      </c>
      <c r="CP87" s="60">
        <v>91</v>
      </c>
      <c r="CQ87" s="60">
        <v>77</v>
      </c>
      <c r="CR87" s="60">
        <v>98</v>
      </c>
      <c r="CS87" s="60"/>
      <c r="CT87" s="60">
        <v>24045</v>
      </c>
      <c r="CU87" s="60">
        <v>1186</v>
      </c>
      <c r="CV87" s="60">
        <v>15289</v>
      </c>
      <c r="CW87" s="60">
        <v>7570</v>
      </c>
      <c r="CX87" s="60">
        <v>2997</v>
      </c>
      <c r="CY87" s="60">
        <v>2931</v>
      </c>
      <c r="CZ87" s="60"/>
      <c r="DA87" s="60"/>
      <c r="DB87" s="60">
        <v>69</v>
      </c>
      <c r="DC87" s="60">
        <v>325</v>
      </c>
      <c r="DD87" s="60">
        <v>337</v>
      </c>
      <c r="DE87" s="60">
        <v>571</v>
      </c>
      <c r="DF87" s="60">
        <v>754</v>
      </c>
      <c r="DG87" s="60">
        <v>989</v>
      </c>
      <c r="DH87" s="60">
        <v>1270</v>
      </c>
      <c r="DI87" s="60">
        <v>1610</v>
      </c>
      <c r="DJ87" s="60">
        <v>3</v>
      </c>
      <c r="DK87" s="60"/>
      <c r="DL87" s="60"/>
      <c r="DM87" s="60">
        <v>1523</v>
      </c>
      <c r="DN87" s="60">
        <v>1025</v>
      </c>
      <c r="DO87" s="60">
        <v>2160</v>
      </c>
      <c r="DP87" s="60">
        <v>22</v>
      </c>
      <c r="DQ87" s="60">
        <v>5</v>
      </c>
      <c r="DR87" s="60">
        <v>1185</v>
      </c>
      <c r="DS87" s="60">
        <v>8</v>
      </c>
      <c r="DT87" s="60">
        <v>143</v>
      </c>
      <c r="DU87" s="60">
        <v>127</v>
      </c>
      <c r="DV87" s="60">
        <v>304</v>
      </c>
      <c r="DW87" s="60">
        <v>484</v>
      </c>
      <c r="DX87" s="60">
        <v>157</v>
      </c>
      <c r="DY87" s="60">
        <v>8</v>
      </c>
      <c r="DZ87" s="60">
        <v>26</v>
      </c>
      <c r="EA87" s="60">
        <v>3597</v>
      </c>
      <c r="EB87" s="60">
        <v>1082</v>
      </c>
      <c r="EC87" s="60"/>
      <c r="ED87" s="60">
        <v>0</v>
      </c>
      <c r="EE87" s="60">
        <v>0</v>
      </c>
      <c r="EF87" s="60">
        <v>0</v>
      </c>
      <c r="EG87" s="60">
        <v>0</v>
      </c>
      <c r="EH87" s="60">
        <v>0</v>
      </c>
      <c r="EI87" s="60">
        <v>886</v>
      </c>
      <c r="EJ87" s="60">
        <v>3032</v>
      </c>
      <c r="EK87" s="60">
        <v>29</v>
      </c>
      <c r="EL87" s="60">
        <v>1316</v>
      </c>
      <c r="EM87" s="60">
        <v>665</v>
      </c>
      <c r="EN87" s="60">
        <v>92</v>
      </c>
      <c r="EO87" s="60">
        <v>102</v>
      </c>
      <c r="EP87" s="60">
        <v>1362</v>
      </c>
      <c r="EQ87" s="60">
        <v>4</v>
      </c>
      <c r="ER87" s="60">
        <v>828</v>
      </c>
      <c r="ES87" s="60">
        <v>350</v>
      </c>
      <c r="ET87" s="60">
        <v>320</v>
      </c>
      <c r="EU87" s="60">
        <v>551</v>
      </c>
      <c r="EV87" s="60">
        <v>467</v>
      </c>
      <c r="EW87" s="60">
        <v>151</v>
      </c>
      <c r="EX87" s="60">
        <v>166</v>
      </c>
      <c r="EY87" s="60">
        <v>151</v>
      </c>
      <c r="EZ87" s="60">
        <v>10</v>
      </c>
      <c r="FA87" s="60">
        <v>52</v>
      </c>
      <c r="FB87" s="60">
        <v>669</v>
      </c>
      <c r="FC87" s="60">
        <v>109</v>
      </c>
      <c r="FD87" s="60">
        <v>541</v>
      </c>
      <c r="FE87" s="60">
        <v>1</v>
      </c>
      <c r="FF87" s="60">
        <v>2</v>
      </c>
      <c r="FG87" s="60"/>
      <c r="FH87" s="60">
        <v>334</v>
      </c>
      <c r="FI87" s="60">
        <v>22</v>
      </c>
      <c r="FJ87" s="60">
        <v>266</v>
      </c>
      <c r="FK87" s="60">
        <v>35</v>
      </c>
      <c r="FL87" s="60">
        <v>9</v>
      </c>
      <c r="FM87" s="60">
        <v>172</v>
      </c>
      <c r="FN87" s="60">
        <v>14</v>
      </c>
      <c r="FO87" s="60">
        <v>4950</v>
      </c>
      <c r="FP87" s="60">
        <v>63</v>
      </c>
      <c r="FQ87" s="60">
        <v>4</v>
      </c>
      <c r="FR87" s="60">
        <v>15</v>
      </c>
      <c r="FS87" s="60">
        <v>16</v>
      </c>
      <c r="FT87" s="60">
        <v>9</v>
      </c>
      <c r="FU87" s="60">
        <v>19</v>
      </c>
      <c r="FV87" s="60"/>
      <c r="FW87" s="60"/>
      <c r="FX87" s="60">
        <v>5928</v>
      </c>
      <c r="FY87" s="60">
        <v>1183</v>
      </c>
      <c r="FZ87" s="60">
        <v>3006</v>
      </c>
      <c r="GA87" s="60">
        <v>1739</v>
      </c>
      <c r="GB87" s="60">
        <v>2011</v>
      </c>
    </row>
    <row r="88" spans="1:184" x14ac:dyDescent="0.3">
      <c r="A88" s="60">
        <v>106190400</v>
      </c>
      <c r="B88" s="61" t="s">
        <v>431</v>
      </c>
      <c r="C88" s="61" t="s">
        <v>432</v>
      </c>
      <c r="D88" s="61" t="s">
        <v>433</v>
      </c>
      <c r="E88" s="61" t="s">
        <v>434</v>
      </c>
      <c r="F88" s="60">
        <v>91105</v>
      </c>
      <c r="G88" s="61" t="s">
        <v>143</v>
      </c>
      <c r="H88" s="61" t="s">
        <v>1669</v>
      </c>
      <c r="I88" s="60">
        <v>44</v>
      </c>
      <c r="J88" s="60">
        <v>21</v>
      </c>
      <c r="K88" s="61" t="s">
        <v>1810</v>
      </c>
      <c r="L88" s="61" t="s">
        <v>344</v>
      </c>
      <c r="M88" s="61" t="s">
        <v>1778</v>
      </c>
      <c r="N88" s="61" t="s">
        <v>1779</v>
      </c>
      <c r="O88" s="61" t="s">
        <v>1673</v>
      </c>
      <c r="P88" s="61" t="s">
        <v>1678</v>
      </c>
      <c r="Q88" s="61" t="s">
        <v>1674</v>
      </c>
      <c r="R88" s="60">
        <v>585</v>
      </c>
      <c r="S88" s="61" t="s">
        <v>1675</v>
      </c>
      <c r="T88" s="60">
        <v>22715</v>
      </c>
      <c r="U88" s="60">
        <v>19235</v>
      </c>
      <c r="V88" s="60">
        <v>2</v>
      </c>
      <c r="W88" s="60"/>
      <c r="X88" s="60">
        <v>5628</v>
      </c>
      <c r="Y88" s="60">
        <v>4582</v>
      </c>
      <c r="Z88" s="60">
        <v>6525</v>
      </c>
      <c r="AA88" s="60">
        <v>5613</v>
      </c>
      <c r="AB88" s="60">
        <v>5402</v>
      </c>
      <c r="AC88" s="60">
        <v>4749</v>
      </c>
      <c r="AD88" s="60">
        <v>3203</v>
      </c>
      <c r="AE88" s="60">
        <v>2278</v>
      </c>
      <c r="AF88" s="60">
        <v>2570</v>
      </c>
      <c r="AG88" s="60">
        <v>1402</v>
      </c>
      <c r="AH88" s="60"/>
      <c r="AI88" s="60">
        <v>2643</v>
      </c>
      <c r="AJ88" s="60">
        <v>7152</v>
      </c>
      <c r="AK88" s="60">
        <v>14632</v>
      </c>
      <c r="AL88" s="60">
        <v>26</v>
      </c>
      <c r="AM88" s="60">
        <v>1347</v>
      </c>
      <c r="AN88" s="60">
        <v>42</v>
      </c>
      <c r="AO88" s="60">
        <v>16110</v>
      </c>
      <c r="AP88" s="60">
        <v>206</v>
      </c>
      <c r="AQ88" s="60">
        <v>325</v>
      </c>
      <c r="AR88" s="60">
        <v>760</v>
      </c>
      <c r="AS88" s="60">
        <v>110</v>
      </c>
      <c r="AT88" s="60">
        <v>4</v>
      </c>
      <c r="AU88" s="60"/>
      <c r="AV88" s="60">
        <v>3</v>
      </c>
      <c r="AW88" s="60">
        <v>301</v>
      </c>
      <c r="AX88" s="60"/>
      <c r="AY88" s="60">
        <v>154</v>
      </c>
      <c r="AZ88" s="60">
        <v>51</v>
      </c>
      <c r="BA88" s="60">
        <v>39882</v>
      </c>
      <c r="BB88" s="60">
        <v>156</v>
      </c>
      <c r="BC88" s="60"/>
      <c r="BD88" s="60"/>
      <c r="BE88" s="60">
        <v>11885</v>
      </c>
      <c r="BF88" s="60">
        <v>7575</v>
      </c>
      <c r="BG88" s="60">
        <v>969</v>
      </c>
      <c r="BH88" s="60">
        <v>14792</v>
      </c>
      <c r="BI88" s="60">
        <v>6731</v>
      </c>
      <c r="BJ88" s="60">
        <v>1181</v>
      </c>
      <c r="BK88" s="60">
        <v>100</v>
      </c>
      <c r="BL88" s="60">
        <v>878</v>
      </c>
      <c r="BM88" s="60">
        <v>9</v>
      </c>
      <c r="BN88" s="60">
        <v>2245</v>
      </c>
      <c r="BO88" s="60">
        <v>573</v>
      </c>
      <c r="BP88" s="60">
        <v>2273</v>
      </c>
      <c r="BQ88" s="60">
        <v>730</v>
      </c>
      <c r="BR88" s="60">
        <v>10604</v>
      </c>
      <c r="BS88" s="60">
        <v>2321</v>
      </c>
      <c r="BT88" s="60">
        <v>61</v>
      </c>
      <c r="BU88" s="60">
        <v>2382</v>
      </c>
      <c r="BV88" s="60">
        <v>1478</v>
      </c>
      <c r="BW88" s="60">
        <v>89</v>
      </c>
      <c r="BX88" s="60">
        <v>2092</v>
      </c>
      <c r="BY88" s="60">
        <v>3955</v>
      </c>
      <c r="BZ88" s="60">
        <v>1408</v>
      </c>
      <c r="CA88" s="60">
        <v>9573</v>
      </c>
      <c r="CB88" s="60"/>
      <c r="CC88" s="60"/>
      <c r="CD88" s="60">
        <v>3784</v>
      </c>
      <c r="CE88" s="60">
        <v>86</v>
      </c>
      <c r="CF88" s="60">
        <v>216</v>
      </c>
      <c r="CG88" s="60">
        <v>22</v>
      </c>
      <c r="CH88" s="60">
        <v>507</v>
      </c>
      <c r="CI88" s="60">
        <v>8</v>
      </c>
      <c r="CJ88" s="60">
        <v>308</v>
      </c>
      <c r="CK88" s="60">
        <v>411</v>
      </c>
      <c r="CL88" s="60">
        <v>30081</v>
      </c>
      <c r="CM88" s="60">
        <v>4378</v>
      </c>
      <c r="CN88" s="60">
        <v>245</v>
      </c>
      <c r="CO88" s="60">
        <v>1524</v>
      </c>
      <c r="CP88" s="60">
        <v>92</v>
      </c>
      <c r="CQ88" s="60">
        <v>254</v>
      </c>
      <c r="CR88" s="60">
        <v>36</v>
      </c>
      <c r="CS88" s="60"/>
      <c r="CT88" s="60">
        <v>41952</v>
      </c>
      <c r="CU88" s="60">
        <v>926</v>
      </c>
      <c r="CV88" s="60">
        <v>36592</v>
      </c>
      <c r="CW88" s="60">
        <v>4434</v>
      </c>
      <c r="CX88" s="60">
        <v>8344</v>
      </c>
      <c r="CY88" s="60">
        <v>7380</v>
      </c>
      <c r="CZ88" s="60"/>
      <c r="DA88" s="60"/>
      <c r="DB88" s="60">
        <v>410</v>
      </c>
      <c r="DC88" s="60">
        <v>1024</v>
      </c>
      <c r="DD88" s="60">
        <v>1158</v>
      </c>
      <c r="DE88" s="60">
        <v>1752</v>
      </c>
      <c r="DF88" s="60">
        <v>2261</v>
      </c>
      <c r="DG88" s="60">
        <v>2442</v>
      </c>
      <c r="DH88" s="60">
        <v>2370</v>
      </c>
      <c r="DI88" s="60">
        <v>3723</v>
      </c>
      <c r="DJ88" s="60">
        <v>231</v>
      </c>
      <c r="DK88" s="60">
        <v>353</v>
      </c>
      <c r="DL88" s="60"/>
      <c r="DM88" s="60">
        <v>1202</v>
      </c>
      <c r="DN88" s="60">
        <v>2418</v>
      </c>
      <c r="DO88" s="60">
        <v>3806</v>
      </c>
      <c r="DP88" s="60">
        <v>406</v>
      </c>
      <c r="DQ88" s="60">
        <v>28</v>
      </c>
      <c r="DR88" s="60">
        <v>7855</v>
      </c>
      <c r="DS88" s="60">
        <v>9</v>
      </c>
      <c r="DT88" s="60">
        <v>383</v>
      </c>
      <c r="DU88" s="60">
        <v>207</v>
      </c>
      <c r="DV88" s="60">
        <v>373</v>
      </c>
      <c r="DW88" s="60">
        <v>1814</v>
      </c>
      <c r="DX88" s="60">
        <v>367</v>
      </c>
      <c r="DY88" s="60"/>
      <c r="DZ88" s="60">
        <v>462</v>
      </c>
      <c r="EA88" s="60">
        <v>9876</v>
      </c>
      <c r="EB88" s="60">
        <v>2225</v>
      </c>
      <c r="EC88" s="60">
        <v>17</v>
      </c>
      <c r="ED88" s="60">
        <v>0</v>
      </c>
      <c r="EE88" s="60">
        <v>0</v>
      </c>
      <c r="EF88" s="60">
        <v>0</v>
      </c>
      <c r="EG88" s="60">
        <v>0</v>
      </c>
      <c r="EH88" s="60">
        <v>0</v>
      </c>
      <c r="EI88" s="60">
        <v>2823</v>
      </c>
      <c r="EJ88" s="60">
        <v>7737</v>
      </c>
      <c r="EK88" s="60">
        <v>105</v>
      </c>
      <c r="EL88" s="60">
        <v>3999</v>
      </c>
      <c r="EM88" s="60">
        <v>1060</v>
      </c>
      <c r="EN88" s="60">
        <v>175</v>
      </c>
      <c r="EO88" s="60">
        <v>301</v>
      </c>
      <c r="EP88" s="60">
        <v>2580</v>
      </c>
      <c r="EQ88" s="60">
        <v>16</v>
      </c>
      <c r="ER88" s="60">
        <v>2271</v>
      </c>
      <c r="ES88" s="60">
        <v>705</v>
      </c>
      <c r="ET88" s="60">
        <v>768</v>
      </c>
      <c r="EU88" s="60">
        <v>1072</v>
      </c>
      <c r="EV88" s="60">
        <v>1976</v>
      </c>
      <c r="EW88" s="60">
        <v>460</v>
      </c>
      <c r="EX88" s="60">
        <v>411</v>
      </c>
      <c r="EY88" s="60">
        <v>549</v>
      </c>
      <c r="EZ88" s="60">
        <v>12</v>
      </c>
      <c r="FA88" s="60">
        <v>1084</v>
      </c>
      <c r="FB88" s="60">
        <v>1445</v>
      </c>
      <c r="FC88" s="60">
        <v>385</v>
      </c>
      <c r="FD88" s="60">
        <v>1468</v>
      </c>
      <c r="FE88" s="60">
        <v>5</v>
      </c>
      <c r="FF88" s="60">
        <v>41</v>
      </c>
      <c r="FG88" s="60"/>
      <c r="FH88" s="60">
        <v>999</v>
      </c>
      <c r="FI88" s="60">
        <v>160</v>
      </c>
      <c r="FJ88" s="60">
        <v>1600</v>
      </c>
      <c r="FK88" s="60">
        <v>112</v>
      </c>
      <c r="FL88" s="60">
        <v>138</v>
      </c>
      <c r="FM88" s="60">
        <v>754</v>
      </c>
      <c r="FN88" s="60">
        <v>54</v>
      </c>
      <c r="FO88" s="60">
        <v>11073</v>
      </c>
      <c r="FP88" s="60">
        <v>283</v>
      </c>
      <c r="FQ88" s="60">
        <v>46</v>
      </c>
      <c r="FR88" s="60">
        <v>245</v>
      </c>
      <c r="FS88" s="60">
        <v>162</v>
      </c>
      <c r="FT88" s="60">
        <v>68</v>
      </c>
      <c r="FU88" s="60">
        <v>25</v>
      </c>
      <c r="FV88" s="60">
        <v>5</v>
      </c>
      <c r="FW88" s="60"/>
      <c r="FX88" s="60">
        <v>15724</v>
      </c>
      <c r="FY88" s="60">
        <v>796</v>
      </c>
      <c r="FZ88" s="60">
        <v>13316</v>
      </c>
      <c r="GA88" s="60">
        <v>1612</v>
      </c>
      <c r="GB88" s="60">
        <v>2011</v>
      </c>
    </row>
    <row r="89" spans="1:184" x14ac:dyDescent="0.3">
      <c r="A89" s="60">
        <v>106190413</v>
      </c>
      <c r="B89" s="61" t="s">
        <v>435</v>
      </c>
      <c r="C89" s="61" t="s">
        <v>436</v>
      </c>
      <c r="D89" s="61" t="s">
        <v>437</v>
      </c>
      <c r="E89" s="61" t="s">
        <v>438</v>
      </c>
      <c r="F89" s="60">
        <v>91723</v>
      </c>
      <c r="G89" s="61"/>
      <c r="H89" s="61" t="s">
        <v>1669</v>
      </c>
      <c r="I89" s="60">
        <v>57</v>
      </c>
      <c r="J89" s="60">
        <v>24</v>
      </c>
      <c r="K89" s="61" t="s">
        <v>1802</v>
      </c>
      <c r="L89" s="61" t="s">
        <v>344</v>
      </c>
      <c r="M89" s="61" t="s">
        <v>1778</v>
      </c>
      <c r="N89" s="61" t="s">
        <v>1779</v>
      </c>
      <c r="O89" s="61" t="s">
        <v>1673</v>
      </c>
      <c r="P89" s="61" t="s">
        <v>1678</v>
      </c>
      <c r="Q89" s="61" t="s">
        <v>1674</v>
      </c>
      <c r="R89" s="60">
        <v>138</v>
      </c>
      <c r="S89" s="61" t="s">
        <v>1675</v>
      </c>
      <c r="T89" s="60">
        <v>6591</v>
      </c>
      <c r="U89" s="60">
        <v>4920</v>
      </c>
      <c r="V89" s="60">
        <v>1</v>
      </c>
      <c r="W89" s="60"/>
      <c r="X89" s="60">
        <v>1060</v>
      </c>
      <c r="Y89" s="60">
        <v>1326</v>
      </c>
      <c r="Z89" s="60">
        <v>1938</v>
      </c>
      <c r="AA89" s="60">
        <v>1541</v>
      </c>
      <c r="AB89" s="60">
        <v>1570</v>
      </c>
      <c r="AC89" s="60">
        <v>1558</v>
      </c>
      <c r="AD89" s="60">
        <v>943</v>
      </c>
      <c r="AE89" s="60">
        <v>743</v>
      </c>
      <c r="AF89" s="60">
        <v>628</v>
      </c>
      <c r="AG89" s="60">
        <v>205</v>
      </c>
      <c r="AH89" s="60"/>
      <c r="AI89" s="60">
        <v>621</v>
      </c>
      <c r="AJ89" s="60">
        <v>660</v>
      </c>
      <c r="AK89" s="60">
        <v>6230</v>
      </c>
      <c r="AL89" s="60">
        <v>11</v>
      </c>
      <c r="AM89" s="60">
        <v>149</v>
      </c>
      <c r="AN89" s="60">
        <v>11</v>
      </c>
      <c r="AO89" s="60">
        <v>3830</v>
      </c>
      <c r="AP89" s="60">
        <v>249</v>
      </c>
      <c r="AQ89" s="60">
        <v>278</v>
      </c>
      <c r="AR89" s="60">
        <v>1</v>
      </c>
      <c r="AS89" s="60">
        <v>35</v>
      </c>
      <c r="AT89" s="60">
        <v>1</v>
      </c>
      <c r="AU89" s="60">
        <v>2</v>
      </c>
      <c r="AV89" s="60"/>
      <c r="AW89" s="60">
        <v>29</v>
      </c>
      <c r="AX89" s="60"/>
      <c r="AY89" s="60">
        <v>226</v>
      </c>
      <c r="AZ89" s="60">
        <v>5</v>
      </c>
      <c r="BA89" s="60">
        <v>10522</v>
      </c>
      <c r="BB89" s="60">
        <v>164</v>
      </c>
      <c r="BC89" s="60"/>
      <c r="BD89" s="60"/>
      <c r="BE89" s="60">
        <v>1182</v>
      </c>
      <c r="BF89" s="60">
        <v>2295</v>
      </c>
      <c r="BG89" s="60">
        <v>143</v>
      </c>
      <c r="BH89" s="60">
        <v>5631</v>
      </c>
      <c r="BI89" s="60">
        <v>2261</v>
      </c>
      <c r="BJ89" s="60">
        <v>212</v>
      </c>
      <c r="BK89" s="60">
        <v>85</v>
      </c>
      <c r="BL89" s="60">
        <v>344</v>
      </c>
      <c r="BM89" s="60">
        <v>4</v>
      </c>
      <c r="BN89" s="60">
        <v>602</v>
      </c>
      <c r="BO89" s="60">
        <v>161</v>
      </c>
      <c r="BP89" s="60">
        <v>541</v>
      </c>
      <c r="BQ89" s="60">
        <v>113</v>
      </c>
      <c r="BR89" s="60">
        <v>2042</v>
      </c>
      <c r="BS89" s="60">
        <v>954</v>
      </c>
      <c r="BT89" s="60">
        <v>60</v>
      </c>
      <c r="BU89" s="60">
        <v>527</v>
      </c>
      <c r="BV89" s="60">
        <v>564</v>
      </c>
      <c r="BW89" s="60">
        <v>7</v>
      </c>
      <c r="BX89" s="60">
        <v>471</v>
      </c>
      <c r="BY89" s="60">
        <v>1035</v>
      </c>
      <c r="BZ89" s="60">
        <v>507</v>
      </c>
      <c r="CA89" s="60">
        <v>3282</v>
      </c>
      <c r="CB89" s="60"/>
      <c r="CC89" s="60">
        <v>1</v>
      </c>
      <c r="CD89" s="60">
        <v>716</v>
      </c>
      <c r="CE89" s="60">
        <v>50</v>
      </c>
      <c r="CF89" s="60">
        <v>103</v>
      </c>
      <c r="CG89" s="60">
        <v>6</v>
      </c>
      <c r="CH89" s="60">
        <v>112</v>
      </c>
      <c r="CI89" s="60">
        <v>1</v>
      </c>
      <c r="CJ89" s="60">
        <v>113</v>
      </c>
      <c r="CK89" s="60">
        <v>96</v>
      </c>
      <c r="CL89" s="60">
        <v>9294</v>
      </c>
      <c r="CM89" s="60">
        <v>655</v>
      </c>
      <c r="CN89" s="60">
        <v>50</v>
      </c>
      <c r="CO89" s="60">
        <v>221</v>
      </c>
      <c r="CP89" s="60">
        <v>40</v>
      </c>
      <c r="CQ89" s="60">
        <v>38</v>
      </c>
      <c r="CR89" s="60">
        <v>17</v>
      </c>
      <c r="CS89" s="60"/>
      <c r="CT89" s="60">
        <v>11512</v>
      </c>
      <c r="CU89" s="60">
        <v>352</v>
      </c>
      <c r="CV89" s="60">
        <v>9750</v>
      </c>
      <c r="CW89" s="60">
        <v>1410</v>
      </c>
      <c r="CX89" s="60">
        <v>3304</v>
      </c>
      <c r="CY89" s="60">
        <v>3120</v>
      </c>
      <c r="CZ89" s="60"/>
      <c r="DA89" s="60"/>
      <c r="DB89" s="60">
        <v>104</v>
      </c>
      <c r="DC89" s="60">
        <v>531</v>
      </c>
      <c r="DD89" s="60">
        <v>514</v>
      </c>
      <c r="DE89" s="60">
        <v>760</v>
      </c>
      <c r="DF89" s="60">
        <v>1046</v>
      </c>
      <c r="DG89" s="60">
        <v>994</v>
      </c>
      <c r="DH89" s="60">
        <v>1093</v>
      </c>
      <c r="DI89" s="60">
        <v>1382</v>
      </c>
      <c r="DJ89" s="60"/>
      <c r="DK89" s="60"/>
      <c r="DL89" s="60"/>
      <c r="DM89" s="60">
        <v>495</v>
      </c>
      <c r="DN89" s="60">
        <v>356</v>
      </c>
      <c r="DO89" s="60">
        <v>2626</v>
      </c>
      <c r="DP89" s="60">
        <v>72</v>
      </c>
      <c r="DQ89" s="60">
        <v>6</v>
      </c>
      <c r="DR89" s="60">
        <v>2865</v>
      </c>
      <c r="DS89" s="60">
        <v>4</v>
      </c>
      <c r="DT89" s="60">
        <v>235</v>
      </c>
      <c r="DU89" s="60">
        <v>163</v>
      </c>
      <c r="DV89" s="60">
        <v>154</v>
      </c>
      <c r="DW89" s="60">
        <v>295</v>
      </c>
      <c r="DX89" s="60">
        <v>103</v>
      </c>
      <c r="DY89" s="60">
        <v>57</v>
      </c>
      <c r="DZ89" s="60">
        <v>127</v>
      </c>
      <c r="EA89" s="60">
        <v>4080</v>
      </c>
      <c r="EB89" s="60">
        <v>1202</v>
      </c>
      <c r="EC89" s="60">
        <v>8</v>
      </c>
      <c r="ED89" s="60">
        <v>0</v>
      </c>
      <c r="EE89" s="60">
        <v>0</v>
      </c>
      <c r="EF89" s="60">
        <v>0</v>
      </c>
      <c r="EG89" s="60">
        <v>0</v>
      </c>
      <c r="EH89" s="60">
        <v>0</v>
      </c>
      <c r="EI89" s="60">
        <v>1801</v>
      </c>
      <c r="EJ89" s="60">
        <v>3180</v>
      </c>
      <c r="EK89" s="60">
        <v>29</v>
      </c>
      <c r="EL89" s="60">
        <v>879</v>
      </c>
      <c r="EM89" s="60">
        <v>535</v>
      </c>
      <c r="EN89" s="60">
        <v>13</v>
      </c>
      <c r="EO89" s="60">
        <v>106</v>
      </c>
      <c r="EP89" s="60">
        <v>1144</v>
      </c>
      <c r="EQ89" s="60">
        <v>3</v>
      </c>
      <c r="ER89" s="60">
        <v>767</v>
      </c>
      <c r="ES89" s="60">
        <v>244</v>
      </c>
      <c r="ET89" s="60">
        <v>251</v>
      </c>
      <c r="EU89" s="60">
        <v>389</v>
      </c>
      <c r="EV89" s="60">
        <v>415</v>
      </c>
      <c r="EW89" s="60">
        <v>94</v>
      </c>
      <c r="EX89" s="60">
        <v>150</v>
      </c>
      <c r="EY89" s="60">
        <v>136</v>
      </c>
      <c r="EZ89" s="60">
        <v>12</v>
      </c>
      <c r="FA89" s="60">
        <v>1287</v>
      </c>
      <c r="FB89" s="60">
        <v>622</v>
      </c>
      <c r="FC89" s="60">
        <v>125</v>
      </c>
      <c r="FD89" s="60">
        <v>666</v>
      </c>
      <c r="FE89" s="60"/>
      <c r="FF89" s="60"/>
      <c r="FG89" s="60"/>
      <c r="FH89" s="60">
        <v>217</v>
      </c>
      <c r="FI89" s="60">
        <v>28</v>
      </c>
      <c r="FJ89" s="60">
        <v>248</v>
      </c>
      <c r="FK89" s="60">
        <v>8</v>
      </c>
      <c r="FL89" s="60">
        <v>16</v>
      </c>
      <c r="FM89" s="60">
        <v>170</v>
      </c>
      <c r="FN89" s="60">
        <v>4</v>
      </c>
      <c r="FO89" s="60">
        <v>5568</v>
      </c>
      <c r="FP89" s="60">
        <v>62</v>
      </c>
      <c r="FQ89" s="60">
        <v>3</v>
      </c>
      <c r="FR89" s="60">
        <v>11</v>
      </c>
      <c r="FS89" s="60">
        <v>74</v>
      </c>
      <c r="FT89" s="60">
        <v>11</v>
      </c>
      <c r="FU89" s="60">
        <v>3</v>
      </c>
      <c r="FV89" s="60">
        <v>1</v>
      </c>
      <c r="FW89" s="60"/>
      <c r="FX89" s="60">
        <v>6424</v>
      </c>
      <c r="FY89" s="60">
        <v>350</v>
      </c>
      <c r="FZ89" s="60">
        <v>5134</v>
      </c>
      <c r="GA89" s="60">
        <v>940</v>
      </c>
      <c r="GB89" s="60">
        <v>2011</v>
      </c>
    </row>
    <row r="90" spans="1:184" x14ac:dyDescent="0.3">
      <c r="A90" s="60">
        <v>106190422</v>
      </c>
      <c r="B90" s="61" t="s">
        <v>439</v>
      </c>
      <c r="C90" s="61" t="s">
        <v>440</v>
      </c>
      <c r="D90" s="61" t="s">
        <v>1811</v>
      </c>
      <c r="E90" s="61" t="s">
        <v>441</v>
      </c>
      <c r="F90" s="60">
        <v>90505</v>
      </c>
      <c r="G90" s="61"/>
      <c r="H90" s="61" t="s">
        <v>1669</v>
      </c>
      <c r="I90" s="60">
        <v>53</v>
      </c>
      <c r="J90" s="60">
        <v>28</v>
      </c>
      <c r="K90" s="61" t="s">
        <v>1812</v>
      </c>
      <c r="L90" s="61" t="s">
        <v>354</v>
      </c>
      <c r="M90" s="61" t="s">
        <v>1778</v>
      </c>
      <c r="N90" s="61" t="s">
        <v>1779</v>
      </c>
      <c r="O90" s="61" t="s">
        <v>1673</v>
      </c>
      <c r="P90" s="61" t="s">
        <v>1678</v>
      </c>
      <c r="Q90" s="61" t="s">
        <v>1674</v>
      </c>
      <c r="R90" s="60">
        <v>361</v>
      </c>
      <c r="S90" s="61" t="s">
        <v>1675</v>
      </c>
      <c r="T90" s="60">
        <v>23478</v>
      </c>
      <c r="U90" s="60">
        <v>17858</v>
      </c>
      <c r="V90" s="60">
        <v>1</v>
      </c>
      <c r="W90" s="60"/>
      <c r="X90" s="60">
        <v>4674</v>
      </c>
      <c r="Y90" s="60">
        <v>4453</v>
      </c>
      <c r="Z90" s="60">
        <v>5076</v>
      </c>
      <c r="AA90" s="60">
        <v>5004</v>
      </c>
      <c r="AB90" s="60">
        <v>5286</v>
      </c>
      <c r="AC90" s="60">
        <v>4736</v>
      </c>
      <c r="AD90" s="60">
        <v>3651</v>
      </c>
      <c r="AE90" s="60">
        <v>3520</v>
      </c>
      <c r="AF90" s="60">
        <v>4013</v>
      </c>
      <c r="AG90" s="60">
        <v>924</v>
      </c>
      <c r="AH90" s="60"/>
      <c r="AI90" s="60">
        <v>4991</v>
      </c>
      <c r="AJ90" s="60">
        <v>5089</v>
      </c>
      <c r="AK90" s="60">
        <v>10733</v>
      </c>
      <c r="AL90" s="60">
        <v>144</v>
      </c>
      <c r="AM90" s="60">
        <v>3066</v>
      </c>
      <c r="AN90" s="60">
        <v>48</v>
      </c>
      <c r="AO90" s="60">
        <v>17266</v>
      </c>
      <c r="AP90" s="60">
        <v>296</v>
      </c>
      <c r="AQ90" s="60">
        <v>164</v>
      </c>
      <c r="AR90" s="60"/>
      <c r="AS90" s="60">
        <v>56</v>
      </c>
      <c r="AT90" s="60">
        <v>2</v>
      </c>
      <c r="AU90" s="60">
        <v>1</v>
      </c>
      <c r="AV90" s="60"/>
      <c r="AW90" s="60">
        <v>9</v>
      </c>
      <c r="AX90" s="60"/>
      <c r="AY90" s="60"/>
      <c r="AZ90" s="60">
        <v>4</v>
      </c>
      <c r="BA90" s="60">
        <v>40053</v>
      </c>
      <c r="BB90" s="60">
        <v>752</v>
      </c>
      <c r="BC90" s="60"/>
      <c r="BD90" s="60"/>
      <c r="BE90" s="60">
        <v>6338</v>
      </c>
      <c r="BF90" s="60">
        <v>9083</v>
      </c>
      <c r="BG90" s="60">
        <v>765</v>
      </c>
      <c r="BH90" s="60">
        <v>20918</v>
      </c>
      <c r="BI90" s="60">
        <v>4233</v>
      </c>
      <c r="BJ90" s="60">
        <v>419</v>
      </c>
      <c r="BK90" s="60">
        <v>113</v>
      </c>
      <c r="BL90" s="60">
        <v>1062</v>
      </c>
      <c r="BM90" s="60">
        <v>6</v>
      </c>
      <c r="BN90" s="60">
        <v>915</v>
      </c>
      <c r="BO90" s="60">
        <v>388</v>
      </c>
      <c r="BP90" s="60">
        <v>1789</v>
      </c>
      <c r="BQ90" s="60">
        <v>154</v>
      </c>
      <c r="BR90" s="60">
        <v>9342</v>
      </c>
      <c r="BS90" s="60">
        <v>3727</v>
      </c>
      <c r="BT90" s="60">
        <v>58</v>
      </c>
      <c r="BU90" s="60">
        <v>1385</v>
      </c>
      <c r="BV90" s="60">
        <v>528</v>
      </c>
      <c r="BW90" s="60">
        <v>34</v>
      </c>
      <c r="BX90" s="60">
        <v>619</v>
      </c>
      <c r="BY90" s="60">
        <v>2116</v>
      </c>
      <c r="BZ90" s="60">
        <v>1338</v>
      </c>
      <c r="CA90" s="60">
        <v>17344</v>
      </c>
      <c r="CB90" s="60"/>
      <c r="CC90" s="60"/>
      <c r="CD90" s="60">
        <v>3325</v>
      </c>
      <c r="CE90" s="60">
        <v>67</v>
      </c>
      <c r="CF90" s="60">
        <v>444</v>
      </c>
      <c r="CG90" s="60">
        <v>13</v>
      </c>
      <c r="CH90" s="60">
        <v>255</v>
      </c>
      <c r="CI90" s="60">
        <v>922</v>
      </c>
      <c r="CJ90" s="60">
        <v>62</v>
      </c>
      <c r="CK90" s="60">
        <v>322</v>
      </c>
      <c r="CL90" s="60">
        <v>31596</v>
      </c>
      <c r="CM90" s="60">
        <v>3108</v>
      </c>
      <c r="CN90" s="60">
        <v>133</v>
      </c>
      <c r="CO90" s="60">
        <v>855</v>
      </c>
      <c r="CP90" s="60">
        <v>42</v>
      </c>
      <c r="CQ90" s="60">
        <v>149</v>
      </c>
      <c r="CR90" s="60">
        <v>44</v>
      </c>
      <c r="CS90" s="60"/>
      <c r="CT90" s="60">
        <v>41337</v>
      </c>
      <c r="CU90" s="60">
        <v>958</v>
      </c>
      <c r="CV90" s="60">
        <v>37521</v>
      </c>
      <c r="CW90" s="60">
        <v>2858</v>
      </c>
      <c r="CX90" s="60">
        <v>7190</v>
      </c>
      <c r="CY90" s="60">
        <v>6030</v>
      </c>
      <c r="CZ90" s="60"/>
      <c r="DA90" s="60"/>
      <c r="DB90" s="60">
        <v>243</v>
      </c>
      <c r="DC90" s="60">
        <v>493</v>
      </c>
      <c r="DD90" s="60">
        <v>699</v>
      </c>
      <c r="DE90" s="60">
        <v>1096</v>
      </c>
      <c r="DF90" s="60">
        <v>1690</v>
      </c>
      <c r="DG90" s="60">
        <v>2131</v>
      </c>
      <c r="DH90" s="60">
        <v>2592</v>
      </c>
      <c r="DI90" s="60">
        <v>3902</v>
      </c>
      <c r="DJ90" s="60">
        <v>150</v>
      </c>
      <c r="DK90" s="60">
        <v>224</v>
      </c>
      <c r="DL90" s="60"/>
      <c r="DM90" s="60">
        <v>1860</v>
      </c>
      <c r="DN90" s="60">
        <v>1310</v>
      </c>
      <c r="DO90" s="60">
        <v>1979</v>
      </c>
      <c r="DP90" s="60">
        <v>899</v>
      </c>
      <c r="DQ90" s="60">
        <v>88</v>
      </c>
      <c r="DR90" s="60">
        <v>7038</v>
      </c>
      <c r="DS90" s="60">
        <v>46</v>
      </c>
      <c r="DT90" s="60">
        <v>160</v>
      </c>
      <c r="DU90" s="60">
        <v>127</v>
      </c>
      <c r="DV90" s="60">
        <v>434</v>
      </c>
      <c r="DW90" s="60">
        <v>1150</v>
      </c>
      <c r="DX90" s="60">
        <v>163</v>
      </c>
      <c r="DY90" s="60">
        <v>34</v>
      </c>
      <c r="DZ90" s="60">
        <v>162</v>
      </c>
      <c r="EA90" s="60">
        <v>8525</v>
      </c>
      <c r="EB90" s="60">
        <v>2462</v>
      </c>
      <c r="EC90" s="60">
        <v>3</v>
      </c>
      <c r="ED90" s="60">
        <v>0</v>
      </c>
      <c r="EE90" s="60">
        <v>0</v>
      </c>
      <c r="EF90" s="60">
        <v>0</v>
      </c>
      <c r="EG90" s="60">
        <v>0</v>
      </c>
      <c r="EH90" s="60">
        <v>0</v>
      </c>
      <c r="EI90" s="60">
        <v>853</v>
      </c>
      <c r="EJ90" s="60">
        <v>6615</v>
      </c>
      <c r="EK90" s="60">
        <v>67</v>
      </c>
      <c r="EL90" s="60">
        <v>5185</v>
      </c>
      <c r="EM90" s="60">
        <v>500</v>
      </c>
      <c r="EN90" s="60">
        <v>108</v>
      </c>
      <c r="EO90" s="60">
        <v>244</v>
      </c>
      <c r="EP90" s="60">
        <v>2876</v>
      </c>
      <c r="EQ90" s="60">
        <v>7</v>
      </c>
      <c r="ER90" s="60">
        <v>2280</v>
      </c>
      <c r="ES90" s="60">
        <v>662</v>
      </c>
      <c r="ET90" s="60">
        <v>667</v>
      </c>
      <c r="EU90" s="60">
        <v>931</v>
      </c>
      <c r="EV90" s="60">
        <v>1218</v>
      </c>
      <c r="EW90" s="60">
        <v>255</v>
      </c>
      <c r="EX90" s="60">
        <v>381</v>
      </c>
      <c r="EY90" s="60">
        <v>283</v>
      </c>
      <c r="EZ90" s="60">
        <v>16</v>
      </c>
      <c r="FA90" s="60">
        <v>122</v>
      </c>
      <c r="FB90" s="60">
        <v>1549</v>
      </c>
      <c r="FC90" s="60">
        <v>292</v>
      </c>
      <c r="FD90" s="60">
        <v>1301</v>
      </c>
      <c r="FE90" s="60">
        <v>1</v>
      </c>
      <c r="FF90" s="60">
        <v>27</v>
      </c>
      <c r="FG90" s="60"/>
      <c r="FH90" s="60">
        <v>730</v>
      </c>
      <c r="FI90" s="60">
        <v>59</v>
      </c>
      <c r="FJ90" s="60">
        <v>906</v>
      </c>
      <c r="FK90" s="60">
        <v>14</v>
      </c>
      <c r="FL90" s="60">
        <v>34</v>
      </c>
      <c r="FM90" s="60">
        <v>703</v>
      </c>
      <c r="FN90" s="60">
        <v>30</v>
      </c>
      <c r="FO90" s="60">
        <v>10376</v>
      </c>
      <c r="FP90" s="60">
        <v>209</v>
      </c>
      <c r="FQ90" s="60">
        <v>13</v>
      </c>
      <c r="FR90" s="60">
        <v>22</v>
      </c>
      <c r="FS90" s="60">
        <v>52</v>
      </c>
      <c r="FT90" s="60">
        <v>46</v>
      </c>
      <c r="FU90" s="60">
        <v>17</v>
      </c>
      <c r="FV90" s="60">
        <v>9</v>
      </c>
      <c r="FW90" s="60"/>
      <c r="FX90" s="60">
        <v>13220</v>
      </c>
      <c r="FY90" s="60">
        <v>637</v>
      </c>
      <c r="FZ90" s="60">
        <v>11662</v>
      </c>
      <c r="GA90" s="60">
        <v>921</v>
      </c>
      <c r="GB90" s="60">
        <v>2011</v>
      </c>
    </row>
    <row r="91" spans="1:184" x14ac:dyDescent="0.3">
      <c r="A91" s="60">
        <v>106190429</v>
      </c>
      <c r="B91" s="61" t="s">
        <v>442</v>
      </c>
      <c r="C91" s="61" t="s">
        <v>1813</v>
      </c>
      <c r="D91" s="61" t="s">
        <v>443</v>
      </c>
      <c r="E91" s="61" t="s">
        <v>340</v>
      </c>
      <c r="F91" s="60">
        <v>90027</v>
      </c>
      <c r="G91" s="61"/>
      <c r="H91" s="61" t="s">
        <v>1689</v>
      </c>
      <c r="I91" s="60">
        <v>45</v>
      </c>
      <c r="J91" s="60">
        <v>26</v>
      </c>
      <c r="K91" s="61" t="s">
        <v>1796</v>
      </c>
      <c r="L91" s="61" t="s">
        <v>369</v>
      </c>
      <c r="M91" s="61" t="s">
        <v>1778</v>
      </c>
      <c r="N91" s="61" t="s">
        <v>1779</v>
      </c>
      <c r="O91" s="61" t="s">
        <v>1673</v>
      </c>
      <c r="P91" s="61" t="s">
        <v>1678</v>
      </c>
      <c r="Q91" s="61" t="s">
        <v>1674</v>
      </c>
      <c r="R91" s="60">
        <v>396</v>
      </c>
      <c r="S91" s="61" t="s">
        <v>1675</v>
      </c>
      <c r="T91" s="60">
        <v>31948</v>
      </c>
      <c r="U91" s="60">
        <v>29548</v>
      </c>
      <c r="V91" s="60"/>
      <c r="W91" s="60"/>
      <c r="X91" s="60">
        <v>4652</v>
      </c>
      <c r="Y91" s="60">
        <v>4943</v>
      </c>
      <c r="Z91" s="60">
        <v>10530</v>
      </c>
      <c r="AA91" s="60">
        <v>9215</v>
      </c>
      <c r="AB91" s="60">
        <v>8836</v>
      </c>
      <c r="AC91" s="60">
        <v>8446</v>
      </c>
      <c r="AD91" s="60">
        <v>6287</v>
      </c>
      <c r="AE91" s="60">
        <v>4390</v>
      </c>
      <c r="AF91" s="60">
        <v>3253</v>
      </c>
      <c r="AG91" s="60">
        <v>944</v>
      </c>
      <c r="AH91" s="60"/>
      <c r="AI91" s="60">
        <v>6760</v>
      </c>
      <c r="AJ91" s="60">
        <v>8459</v>
      </c>
      <c r="AK91" s="60">
        <v>25681</v>
      </c>
      <c r="AL91" s="60">
        <v>139</v>
      </c>
      <c r="AM91" s="60">
        <v>4385</v>
      </c>
      <c r="AN91" s="60">
        <v>822</v>
      </c>
      <c r="AO91" s="60">
        <v>15250</v>
      </c>
      <c r="AP91" s="60">
        <v>370</v>
      </c>
      <c r="AQ91" s="60">
        <v>961</v>
      </c>
      <c r="AR91" s="60"/>
      <c r="AS91" s="60">
        <v>20</v>
      </c>
      <c r="AT91" s="60">
        <v>97</v>
      </c>
      <c r="AU91" s="60">
        <v>23</v>
      </c>
      <c r="AV91" s="60">
        <v>2</v>
      </c>
      <c r="AW91" s="60">
        <v>2</v>
      </c>
      <c r="AX91" s="60">
        <v>30</v>
      </c>
      <c r="AY91" s="60">
        <v>635</v>
      </c>
      <c r="AZ91" s="60">
        <v>2</v>
      </c>
      <c r="BA91" s="60">
        <v>59027</v>
      </c>
      <c r="BB91" s="60">
        <v>88</v>
      </c>
      <c r="BC91" s="60">
        <v>239</v>
      </c>
      <c r="BD91" s="60"/>
      <c r="BE91" s="60">
        <v>9974</v>
      </c>
      <c r="BF91" s="60">
        <v>11240</v>
      </c>
      <c r="BG91" s="60">
        <v>267</v>
      </c>
      <c r="BH91" s="60">
        <v>35643</v>
      </c>
      <c r="BI91" s="60">
        <v>4372</v>
      </c>
      <c r="BJ91" s="60">
        <v>1147</v>
      </c>
      <c r="BK91" s="60">
        <v>308</v>
      </c>
      <c r="BL91" s="60">
        <v>1568</v>
      </c>
      <c r="BM91" s="60">
        <v>21</v>
      </c>
      <c r="BN91" s="60">
        <v>4084</v>
      </c>
      <c r="BO91" s="60">
        <v>1289</v>
      </c>
      <c r="BP91" s="60">
        <v>3849</v>
      </c>
      <c r="BQ91" s="60">
        <v>1095</v>
      </c>
      <c r="BR91" s="60">
        <v>12641</v>
      </c>
      <c r="BS91" s="60">
        <v>4504</v>
      </c>
      <c r="BT91" s="60">
        <v>166</v>
      </c>
      <c r="BU91" s="60">
        <v>3628</v>
      </c>
      <c r="BV91" s="60">
        <v>1858</v>
      </c>
      <c r="BW91" s="60">
        <v>36</v>
      </c>
      <c r="BX91" s="60">
        <v>2007</v>
      </c>
      <c r="BY91" s="60">
        <v>6009</v>
      </c>
      <c r="BZ91" s="60">
        <v>2655</v>
      </c>
      <c r="CA91" s="60">
        <v>14630</v>
      </c>
      <c r="CB91" s="60">
        <v>1</v>
      </c>
      <c r="CC91" s="60"/>
      <c r="CD91" s="60">
        <v>3973</v>
      </c>
      <c r="CE91" s="60">
        <v>77</v>
      </c>
      <c r="CF91" s="60">
        <v>648</v>
      </c>
      <c r="CG91" s="60">
        <v>16</v>
      </c>
      <c r="CH91" s="60">
        <v>667</v>
      </c>
      <c r="CI91" s="60">
        <v>26</v>
      </c>
      <c r="CJ91" s="60">
        <v>340</v>
      </c>
      <c r="CK91" s="60">
        <v>538</v>
      </c>
      <c r="CL91" s="60">
        <v>47121</v>
      </c>
      <c r="CM91" s="60">
        <v>5942</v>
      </c>
      <c r="CN91" s="60">
        <v>250</v>
      </c>
      <c r="CO91" s="60">
        <v>1502</v>
      </c>
      <c r="CP91" s="60">
        <v>95</v>
      </c>
      <c r="CQ91" s="60">
        <v>265</v>
      </c>
      <c r="CR91" s="60">
        <v>36</v>
      </c>
      <c r="CS91" s="60"/>
      <c r="CT91" s="60">
        <v>61496</v>
      </c>
      <c r="CU91" s="60">
        <v>1806</v>
      </c>
      <c r="CV91" s="60">
        <v>49262</v>
      </c>
      <c r="CW91" s="60">
        <v>10428</v>
      </c>
      <c r="CX91" s="60">
        <v>4878</v>
      </c>
      <c r="CY91" s="60">
        <v>5289</v>
      </c>
      <c r="CZ91" s="60"/>
      <c r="DA91" s="60"/>
      <c r="DB91" s="60">
        <v>361</v>
      </c>
      <c r="DC91" s="60">
        <v>712</v>
      </c>
      <c r="DD91" s="60">
        <v>738</v>
      </c>
      <c r="DE91" s="60">
        <v>1141</v>
      </c>
      <c r="DF91" s="60">
        <v>1642</v>
      </c>
      <c r="DG91" s="60">
        <v>1871</v>
      </c>
      <c r="DH91" s="60">
        <v>1660</v>
      </c>
      <c r="DI91" s="60">
        <v>1585</v>
      </c>
      <c r="DJ91" s="60">
        <v>129</v>
      </c>
      <c r="DK91" s="60">
        <v>328</v>
      </c>
      <c r="DL91" s="60"/>
      <c r="DM91" s="60">
        <v>1331</v>
      </c>
      <c r="DN91" s="60">
        <v>1460</v>
      </c>
      <c r="DO91" s="60">
        <v>3894</v>
      </c>
      <c r="DP91" s="60">
        <v>239</v>
      </c>
      <c r="DQ91" s="60">
        <v>54</v>
      </c>
      <c r="DR91" s="60">
        <v>3161</v>
      </c>
      <c r="DS91" s="60">
        <v>28</v>
      </c>
      <c r="DT91" s="60">
        <v>214</v>
      </c>
      <c r="DU91" s="60">
        <v>185</v>
      </c>
      <c r="DV91" s="60">
        <v>259</v>
      </c>
      <c r="DW91" s="60">
        <v>1436</v>
      </c>
      <c r="DX91" s="60">
        <v>91</v>
      </c>
      <c r="DY91" s="60">
        <v>7</v>
      </c>
      <c r="DZ91" s="60">
        <v>52</v>
      </c>
      <c r="EA91" s="60">
        <v>7218</v>
      </c>
      <c r="EB91" s="60">
        <v>705</v>
      </c>
      <c r="EC91" s="60"/>
      <c r="ED91" s="60">
        <v>0</v>
      </c>
      <c r="EE91" s="60">
        <v>0</v>
      </c>
      <c r="EF91" s="60">
        <v>0</v>
      </c>
      <c r="EG91" s="60">
        <v>0</v>
      </c>
      <c r="EH91" s="60">
        <v>0</v>
      </c>
      <c r="EI91" s="60">
        <v>481</v>
      </c>
      <c r="EJ91" s="60">
        <v>4245</v>
      </c>
      <c r="EK91" s="60">
        <v>10</v>
      </c>
      <c r="EL91" s="60">
        <v>4881</v>
      </c>
      <c r="EM91" s="60">
        <v>550</v>
      </c>
      <c r="EN91" s="60">
        <v>128</v>
      </c>
      <c r="EO91" s="60">
        <v>213</v>
      </c>
      <c r="EP91" s="60">
        <v>1772</v>
      </c>
      <c r="EQ91" s="60">
        <v>27</v>
      </c>
      <c r="ER91" s="60">
        <v>2024</v>
      </c>
      <c r="ES91" s="60">
        <v>536</v>
      </c>
      <c r="ET91" s="60">
        <v>608</v>
      </c>
      <c r="EU91" s="60">
        <v>850</v>
      </c>
      <c r="EV91" s="60">
        <v>839</v>
      </c>
      <c r="EW91" s="60">
        <v>342</v>
      </c>
      <c r="EX91" s="60">
        <v>393</v>
      </c>
      <c r="EY91" s="60">
        <v>292</v>
      </c>
      <c r="EZ91" s="60">
        <v>42</v>
      </c>
      <c r="FA91" s="60">
        <v>466</v>
      </c>
      <c r="FB91" s="60">
        <v>749</v>
      </c>
      <c r="FC91" s="60">
        <v>216</v>
      </c>
      <c r="FD91" s="60">
        <v>657</v>
      </c>
      <c r="FE91" s="60">
        <v>2</v>
      </c>
      <c r="FF91" s="60">
        <v>10</v>
      </c>
      <c r="FG91" s="60">
        <v>1</v>
      </c>
      <c r="FH91" s="60">
        <v>360</v>
      </c>
      <c r="FI91" s="60">
        <v>25</v>
      </c>
      <c r="FJ91" s="60">
        <v>621</v>
      </c>
      <c r="FK91" s="60">
        <v>27</v>
      </c>
      <c r="FL91" s="60">
        <v>31</v>
      </c>
      <c r="FM91" s="60">
        <v>403</v>
      </c>
      <c r="FN91" s="60">
        <v>12</v>
      </c>
      <c r="FO91" s="60">
        <v>8520</v>
      </c>
      <c r="FP91" s="60">
        <v>80</v>
      </c>
      <c r="FQ91" s="60">
        <v>8</v>
      </c>
      <c r="FR91" s="60">
        <v>25</v>
      </c>
      <c r="FS91" s="60">
        <v>29</v>
      </c>
      <c r="FT91" s="60">
        <v>15</v>
      </c>
      <c r="FU91" s="60">
        <v>10</v>
      </c>
      <c r="FV91" s="60">
        <v>1</v>
      </c>
      <c r="FW91" s="60"/>
      <c r="FX91" s="60">
        <v>10167</v>
      </c>
      <c r="FY91" s="60">
        <v>381</v>
      </c>
      <c r="FZ91" s="60">
        <v>8068</v>
      </c>
      <c r="GA91" s="60">
        <v>1718</v>
      </c>
      <c r="GB91" s="60">
        <v>2011</v>
      </c>
    </row>
    <row r="92" spans="1:184" x14ac:dyDescent="0.3">
      <c r="A92" s="60">
        <v>106190431</v>
      </c>
      <c r="B92" s="61" t="s">
        <v>444</v>
      </c>
      <c r="C92" s="61" t="s">
        <v>1814</v>
      </c>
      <c r="D92" s="61" t="s">
        <v>445</v>
      </c>
      <c r="E92" s="61" t="s">
        <v>446</v>
      </c>
      <c r="F92" s="60">
        <v>90710</v>
      </c>
      <c r="G92" s="61"/>
      <c r="H92" s="61" t="s">
        <v>1669</v>
      </c>
      <c r="I92" s="60">
        <v>55</v>
      </c>
      <c r="J92" s="60">
        <v>28</v>
      </c>
      <c r="K92" s="61" t="s">
        <v>1812</v>
      </c>
      <c r="L92" s="61" t="s">
        <v>354</v>
      </c>
      <c r="M92" s="61" t="s">
        <v>1778</v>
      </c>
      <c r="N92" s="61" t="s">
        <v>1779</v>
      </c>
      <c r="O92" s="61" t="s">
        <v>1673</v>
      </c>
      <c r="P92" s="61" t="s">
        <v>1678</v>
      </c>
      <c r="Q92" s="61" t="s">
        <v>1674</v>
      </c>
      <c r="R92" s="60">
        <v>235</v>
      </c>
      <c r="S92" s="61" t="s">
        <v>1675</v>
      </c>
      <c r="T92" s="60">
        <v>26237</v>
      </c>
      <c r="U92" s="60">
        <v>20554</v>
      </c>
      <c r="V92" s="60">
        <v>2</v>
      </c>
      <c r="W92" s="60"/>
      <c r="X92" s="60">
        <v>4631</v>
      </c>
      <c r="Y92" s="60">
        <v>4779</v>
      </c>
      <c r="Z92" s="60">
        <v>6366</v>
      </c>
      <c r="AA92" s="60">
        <v>5335</v>
      </c>
      <c r="AB92" s="60">
        <v>6104</v>
      </c>
      <c r="AC92" s="60">
        <v>5890</v>
      </c>
      <c r="AD92" s="60">
        <v>5109</v>
      </c>
      <c r="AE92" s="60">
        <v>4362</v>
      </c>
      <c r="AF92" s="60">
        <v>3395</v>
      </c>
      <c r="AG92" s="60">
        <v>822</v>
      </c>
      <c r="AH92" s="60"/>
      <c r="AI92" s="60">
        <v>3733</v>
      </c>
      <c r="AJ92" s="60">
        <v>14567</v>
      </c>
      <c r="AK92" s="60">
        <v>13274</v>
      </c>
      <c r="AL92" s="60">
        <v>92</v>
      </c>
      <c r="AM92" s="60">
        <v>2485</v>
      </c>
      <c r="AN92" s="60">
        <v>3340</v>
      </c>
      <c r="AO92" s="60">
        <v>9302</v>
      </c>
      <c r="AP92" s="60">
        <v>531</v>
      </c>
      <c r="AQ92" s="60">
        <v>516</v>
      </c>
      <c r="AR92" s="60"/>
      <c r="AS92" s="60">
        <v>22</v>
      </c>
      <c r="AT92" s="60">
        <v>156</v>
      </c>
      <c r="AU92" s="60">
        <v>16</v>
      </c>
      <c r="AV92" s="60"/>
      <c r="AW92" s="60">
        <v>5</v>
      </c>
      <c r="AX92" s="60">
        <v>12</v>
      </c>
      <c r="AY92" s="60">
        <v>403</v>
      </c>
      <c r="AZ92" s="60">
        <v>1</v>
      </c>
      <c r="BA92" s="60">
        <v>44987</v>
      </c>
      <c r="BB92" s="60">
        <v>122</v>
      </c>
      <c r="BC92" s="60">
        <v>21</v>
      </c>
      <c r="BD92" s="60">
        <v>1</v>
      </c>
      <c r="BE92" s="60">
        <v>5337</v>
      </c>
      <c r="BF92" s="60">
        <v>10210</v>
      </c>
      <c r="BG92" s="60">
        <v>207</v>
      </c>
      <c r="BH92" s="60">
        <v>27731</v>
      </c>
      <c r="BI92" s="60">
        <v>3308</v>
      </c>
      <c r="BJ92" s="60">
        <v>1275</v>
      </c>
      <c r="BK92" s="60">
        <v>242</v>
      </c>
      <c r="BL92" s="60">
        <v>1671</v>
      </c>
      <c r="BM92" s="60">
        <v>9</v>
      </c>
      <c r="BN92" s="60">
        <v>2207</v>
      </c>
      <c r="BO92" s="60">
        <v>1233</v>
      </c>
      <c r="BP92" s="60">
        <v>2761</v>
      </c>
      <c r="BQ92" s="60">
        <v>866</v>
      </c>
      <c r="BR92" s="60">
        <v>11147</v>
      </c>
      <c r="BS92" s="60">
        <v>3228</v>
      </c>
      <c r="BT92" s="60">
        <v>84</v>
      </c>
      <c r="BU92" s="60">
        <v>2266</v>
      </c>
      <c r="BV92" s="60">
        <v>1437</v>
      </c>
      <c r="BW92" s="60">
        <v>70</v>
      </c>
      <c r="BX92" s="60">
        <v>1305</v>
      </c>
      <c r="BY92" s="60">
        <v>3697</v>
      </c>
      <c r="BZ92" s="60">
        <v>1633</v>
      </c>
      <c r="CA92" s="60">
        <v>11661</v>
      </c>
      <c r="CB92" s="60">
        <v>1</v>
      </c>
      <c r="CC92" s="60"/>
      <c r="CD92" s="60">
        <v>3416</v>
      </c>
      <c r="CE92" s="60">
        <v>134</v>
      </c>
      <c r="CF92" s="60">
        <v>542</v>
      </c>
      <c r="CG92" s="60">
        <v>21</v>
      </c>
      <c r="CH92" s="60">
        <v>369</v>
      </c>
      <c r="CI92" s="60">
        <v>29</v>
      </c>
      <c r="CJ92" s="60">
        <v>310</v>
      </c>
      <c r="CK92" s="60">
        <v>413</v>
      </c>
      <c r="CL92" s="60">
        <v>34116</v>
      </c>
      <c r="CM92" s="60">
        <v>5604</v>
      </c>
      <c r="CN92" s="60">
        <v>186</v>
      </c>
      <c r="CO92" s="60">
        <v>1256</v>
      </c>
      <c r="CP92" s="60">
        <v>136</v>
      </c>
      <c r="CQ92" s="60">
        <v>245</v>
      </c>
      <c r="CR92" s="60">
        <v>16</v>
      </c>
      <c r="CS92" s="60"/>
      <c r="CT92" s="60">
        <v>46793</v>
      </c>
      <c r="CU92" s="60">
        <v>504</v>
      </c>
      <c r="CV92" s="60">
        <v>42017</v>
      </c>
      <c r="CW92" s="60">
        <v>4272</v>
      </c>
      <c r="CX92" s="60">
        <v>4291</v>
      </c>
      <c r="CY92" s="60">
        <v>3763</v>
      </c>
      <c r="CZ92" s="60"/>
      <c r="DA92" s="60"/>
      <c r="DB92" s="60">
        <v>156</v>
      </c>
      <c r="DC92" s="60">
        <v>388</v>
      </c>
      <c r="DD92" s="60">
        <v>410</v>
      </c>
      <c r="DE92" s="60">
        <v>731</v>
      </c>
      <c r="DF92" s="60">
        <v>1170</v>
      </c>
      <c r="DG92" s="60">
        <v>1456</v>
      </c>
      <c r="DH92" s="60">
        <v>1746</v>
      </c>
      <c r="DI92" s="60">
        <v>1853</v>
      </c>
      <c r="DJ92" s="60">
        <v>41</v>
      </c>
      <c r="DK92" s="60">
        <v>103</v>
      </c>
      <c r="DL92" s="60"/>
      <c r="DM92" s="60">
        <v>827</v>
      </c>
      <c r="DN92" s="60">
        <v>2743</v>
      </c>
      <c r="DO92" s="60">
        <v>1670</v>
      </c>
      <c r="DP92" s="60">
        <v>157</v>
      </c>
      <c r="DQ92" s="60">
        <v>42</v>
      </c>
      <c r="DR92" s="60">
        <v>2594</v>
      </c>
      <c r="DS92" s="60">
        <v>21</v>
      </c>
      <c r="DT92" s="60">
        <v>283</v>
      </c>
      <c r="DU92" s="60">
        <v>73</v>
      </c>
      <c r="DV92" s="60">
        <v>255</v>
      </c>
      <c r="DW92" s="60">
        <v>1227</v>
      </c>
      <c r="DX92" s="60">
        <v>36</v>
      </c>
      <c r="DY92" s="60">
        <v>3</v>
      </c>
      <c r="DZ92" s="60">
        <v>95</v>
      </c>
      <c r="EA92" s="60">
        <v>5520</v>
      </c>
      <c r="EB92" s="60">
        <v>561</v>
      </c>
      <c r="EC92" s="60">
        <v>1</v>
      </c>
      <c r="ED92" s="60">
        <v>0</v>
      </c>
      <c r="EE92" s="60">
        <v>0</v>
      </c>
      <c r="EF92" s="60">
        <v>0</v>
      </c>
      <c r="EG92" s="60">
        <v>0</v>
      </c>
      <c r="EH92" s="60">
        <v>0</v>
      </c>
      <c r="EI92" s="60">
        <v>257</v>
      </c>
      <c r="EJ92" s="60">
        <v>4411</v>
      </c>
      <c r="EK92" s="60">
        <v>11</v>
      </c>
      <c r="EL92" s="60">
        <v>3083</v>
      </c>
      <c r="EM92" s="60">
        <v>292</v>
      </c>
      <c r="EN92" s="60">
        <v>66</v>
      </c>
      <c r="EO92" s="60">
        <v>215</v>
      </c>
      <c r="EP92" s="60">
        <v>1359</v>
      </c>
      <c r="EQ92" s="60">
        <v>1</v>
      </c>
      <c r="ER92" s="60">
        <v>1442</v>
      </c>
      <c r="ES92" s="60">
        <v>524</v>
      </c>
      <c r="ET92" s="60">
        <v>555</v>
      </c>
      <c r="EU92" s="60">
        <v>935</v>
      </c>
      <c r="EV92" s="60">
        <v>622</v>
      </c>
      <c r="EW92" s="60">
        <v>217</v>
      </c>
      <c r="EX92" s="60">
        <v>247</v>
      </c>
      <c r="EY92" s="60">
        <v>163</v>
      </c>
      <c r="EZ92" s="60">
        <v>12</v>
      </c>
      <c r="FA92" s="60">
        <v>104</v>
      </c>
      <c r="FB92" s="60">
        <v>837</v>
      </c>
      <c r="FC92" s="60">
        <v>237</v>
      </c>
      <c r="FD92" s="60">
        <v>509</v>
      </c>
      <c r="FE92" s="60"/>
      <c r="FF92" s="60">
        <v>9</v>
      </c>
      <c r="FG92" s="60"/>
      <c r="FH92" s="60">
        <v>346</v>
      </c>
      <c r="FI92" s="60">
        <v>29</v>
      </c>
      <c r="FJ92" s="60">
        <v>664</v>
      </c>
      <c r="FK92" s="60">
        <v>13</v>
      </c>
      <c r="FL92" s="60">
        <v>14</v>
      </c>
      <c r="FM92" s="60">
        <v>382</v>
      </c>
      <c r="FN92" s="60">
        <v>13</v>
      </c>
      <c r="FO92" s="60">
        <v>6342</v>
      </c>
      <c r="FP92" s="60">
        <v>178</v>
      </c>
      <c r="FQ92" s="60">
        <v>10</v>
      </c>
      <c r="FR92" s="60">
        <v>22</v>
      </c>
      <c r="FS92" s="60">
        <v>18</v>
      </c>
      <c r="FT92" s="60">
        <v>14</v>
      </c>
      <c r="FU92" s="60">
        <v>9</v>
      </c>
      <c r="FV92" s="60"/>
      <c r="FW92" s="60"/>
      <c r="FX92" s="60">
        <v>8054</v>
      </c>
      <c r="FY92" s="60">
        <v>145</v>
      </c>
      <c r="FZ92" s="60">
        <v>7327</v>
      </c>
      <c r="GA92" s="60">
        <v>582</v>
      </c>
      <c r="GB92" s="60">
        <v>2011</v>
      </c>
    </row>
    <row r="93" spans="1:184" x14ac:dyDescent="0.3">
      <c r="A93" s="60">
        <v>106190432</v>
      </c>
      <c r="B93" s="61" t="s">
        <v>447</v>
      </c>
      <c r="C93" s="61" t="s">
        <v>1815</v>
      </c>
      <c r="D93" s="61" t="s">
        <v>448</v>
      </c>
      <c r="E93" s="61" t="s">
        <v>449</v>
      </c>
      <c r="F93" s="60">
        <v>91402</v>
      </c>
      <c r="G93" s="61"/>
      <c r="H93" s="61" t="s">
        <v>1669</v>
      </c>
      <c r="I93" s="60">
        <v>39</v>
      </c>
      <c r="J93" s="60">
        <v>20</v>
      </c>
      <c r="K93" s="61" t="s">
        <v>1816</v>
      </c>
      <c r="L93" s="61" t="s">
        <v>404</v>
      </c>
      <c r="M93" s="61" t="s">
        <v>1778</v>
      </c>
      <c r="N93" s="61" t="s">
        <v>1779</v>
      </c>
      <c r="O93" s="61" t="s">
        <v>1673</v>
      </c>
      <c r="P93" s="61" t="s">
        <v>1678</v>
      </c>
      <c r="Q93" s="61" t="s">
        <v>1674</v>
      </c>
      <c r="R93" s="60">
        <v>218</v>
      </c>
      <c r="S93" s="61" t="s">
        <v>1675</v>
      </c>
      <c r="T93" s="60">
        <v>24020</v>
      </c>
      <c r="U93" s="60">
        <v>20212</v>
      </c>
      <c r="V93" s="60"/>
      <c r="W93" s="60"/>
      <c r="X93" s="60">
        <v>4509</v>
      </c>
      <c r="Y93" s="60">
        <v>4660</v>
      </c>
      <c r="Z93" s="60">
        <v>6453</v>
      </c>
      <c r="AA93" s="60">
        <v>5249</v>
      </c>
      <c r="AB93" s="60">
        <v>5607</v>
      </c>
      <c r="AC93" s="60">
        <v>5674</v>
      </c>
      <c r="AD93" s="60">
        <v>4319</v>
      </c>
      <c r="AE93" s="60">
        <v>3486</v>
      </c>
      <c r="AF93" s="60">
        <v>3370</v>
      </c>
      <c r="AG93" s="60">
        <v>905</v>
      </c>
      <c r="AH93" s="60"/>
      <c r="AI93" s="60">
        <v>3669</v>
      </c>
      <c r="AJ93" s="60">
        <v>2930</v>
      </c>
      <c r="AK93" s="60">
        <v>19038</v>
      </c>
      <c r="AL93" s="60">
        <v>133</v>
      </c>
      <c r="AM93" s="60">
        <v>691</v>
      </c>
      <c r="AN93" s="60">
        <v>3779</v>
      </c>
      <c r="AO93" s="60">
        <v>13992</v>
      </c>
      <c r="AP93" s="60">
        <v>158</v>
      </c>
      <c r="AQ93" s="60">
        <v>361</v>
      </c>
      <c r="AR93" s="60"/>
      <c r="AS93" s="60">
        <v>28</v>
      </c>
      <c r="AT93" s="60">
        <v>30</v>
      </c>
      <c r="AU93" s="60">
        <v>24</v>
      </c>
      <c r="AV93" s="60">
        <v>13</v>
      </c>
      <c r="AW93" s="60">
        <v>19</v>
      </c>
      <c r="AX93" s="60">
        <v>17</v>
      </c>
      <c r="AY93" s="60">
        <v>372</v>
      </c>
      <c r="AZ93" s="60">
        <v>8</v>
      </c>
      <c r="BA93" s="60">
        <v>42615</v>
      </c>
      <c r="BB93" s="60">
        <v>49</v>
      </c>
      <c r="BC93" s="60">
        <v>537</v>
      </c>
      <c r="BD93" s="60">
        <v>1</v>
      </c>
      <c r="BE93" s="60">
        <v>5318</v>
      </c>
      <c r="BF93" s="60">
        <v>9279</v>
      </c>
      <c r="BG93" s="60">
        <v>131</v>
      </c>
      <c r="BH93" s="60">
        <v>24483</v>
      </c>
      <c r="BI93" s="60">
        <v>5021</v>
      </c>
      <c r="BJ93" s="60">
        <v>555</v>
      </c>
      <c r="BK93" s="60">
        <v>167</v>
      </c>
      <c r="BL93" s="60">
        <v>1356</v>
      </c>
      <c r="BM93" s="60">
        <v>17</v>
      </c>
      <c r="BN93" s="60">
        <v>2403</v>
      </c>
      <c r="BO93" s="60">
        <v>765</v>
      </c>
      <c r="BP93" s="60">
        <v>2604</v>
      </c>
      <c r="BQ93" s="60">
        <v>970</v>
      </c>
      <c r="BR93" s="60">
        <v>8746</v>
      </c>
      <c r="BS93" s="60">
        <v>2721</v>
      </c>
      <c r="BT93" s="60">
        <v>118</v>
      </c>
      <c r="BU93" s="60">
        <v>2376</v>
      </c>
      <c r="BV93" s="60">
        <v>934</v>
      </c>
      <c r="BW93" s="60">
        <v>18</v>
      </c>
      <c r="BX93" s="60">
        <v>1735</v>
      </c>
      <c r="BY93" s="60">
        <v>3897</v>
      </c>
      <c r="BZ93" s="60">
        <v>1409</v>
      </c>
      <c r="CA93" s="60">
        <v>13440</v>
      </c>
      <c r="CB93" s="60">
        <v>1</v>
      </c>
      <c r="CC93" s="60"/>
      <c r="CD93" s="60">
        <v>2922</v>
      </c>
      <c r="CE93" s="60">
        <v>97</v>
      </c>
      <c r="CF93" s="60">
        <v>369</v>
      </c>
      <c r="CG93" s="60">
        <v>19</v>
      </c>
      <c r="CH93" s="60">
        <v>349</v>
      </c>
      <c r="CI93" s="60">
        <v>229</v>
      </c>
      <c r="CJ93" s="60">
        <v>195</v>
      </c>
      <c r="CK93" s="60">
        <v>468</v>
      </c>
      <c r="CL93" s="60">
        <v>34307</v>
      </c>
      <c r="CM93" s="60">
        <v>3676</v>
      </c>
      <c r="CN93" s="60">
        <v>188</v>
      </c>
      <c r="CO93" s="60">
        <v>1049</v>
      </c>
      <c r="CP93" s="60">
        <v>108</v>
      </c>
      <c r="CQ93" s="60">
        <v>221</v>
      </c>
      <c r="CR93" s="60">
        <v>35</v>
      </c>
      <c r="CS93" s="60"/>
      <c r="CT93" s="60">
        <v>44232</v>
      </c>
      <c r="CU93" s="60">
        <v>1191</v>
      </c>
      <c r="CV93" s="60">
        <v>36418</v>
      </c>
      <c r="CW93" s="60">
        <v>6623</v>
      </c>
      <c r="CX93" s="60">
        <v>3791</v>
      </c>
      <c r="CY93" s="60">
        <v>3605</v>
      </c>
      <c r="CZ93" s="60"/>
      <c r="DA93" s="60"/>
      <c r="DB93" s="60">
        <v>168</v>
      </c>
      <c r="DC93" s="60">
        <v>364</v>
      </c>
      <c r="DD93" s="60">
        <v>432</v>
      </c>
      <c r="DE93" s="60">
        <v>643</v>
      </c>
      <c r="DF93" s="60">
        <v>1032</v>
      </c>
      <c r="DG93" s="60">
        <v>1300</v>
      </c>
      <c r="DH93" s="60">
        <v>1374</v>
      </c>
      <c r="DI93" s="60">
        <v>1886</v>
      </c>
      <c r="DJ93" s="60">
        <v>58</v>
      </c>
      <c r="DK93" s="60">
        <v>139</v>
      </c>
      <c r="DL93" s="60"/>
      <c r="DM93" s="60">
        <v>654</v>
      </c>
      <c r="DN93" s="60">
        <v>519</v>
      </c>
      <c r="DO93" s="60">
        <v>2272</v>
      </c>
      <c r="DP93" s="60">
        <v>59</v>
      </c>
      <c r="DQ93" s="60">
        <v>77</v>
      </c>
      <c r="DR93" s="60">
        <v>3797</v>
      </c>
      <c r="DS93" s="60">
        <v>18</v>
      </c>
      <c r="DT93" s="60">
        <v>276</v>
      </c>
      <c r="DU93" s="60">
        <v>70</v>
      </c>
      <c r="DV93" s="60">
        <v>182</v>
      </c>
      <c r="DW93" s="60">
        <v>911</v>
      </c>
      <c r="DX93" s="60">
        <v>88</v>
      </c>
      <c r="DY93" s="60">
        <v>17</v>
      </c>
      <c r="DZ93" s="60">
        <v>81</v>
      </c>
      <c r="EA93" s="60">
        <v>5037</v>
      </c>
      <c r="EB93" s="60">
        <v>734</v>
      </c>
      <c r="EC93" s="60"/>
      <c r="ED93" s="60">
        <v>0</v>
      </c>
      <c r="EE93" s="60">
        <v>0</v>
      </c>
      <c r="EF93" s="60">
        <v>0</v>
      </c>
      <c r="EG93" s="60">
        <v>0</v>
      </c>
      <c r="EH93" s="60">
        <v>0</v>
      </c>
      <c r="EI93" s="60">
        <v>261</v>
      </c>
      <c r="EJ93" s="60">
        <v>3993</v>
      </c>
      <c r="EK93" s="60">
        <v>8</v>
      </c>
      <c r="EL93" s="60">
        <v>2850</v>
      </c>
      <c r="EM93" s="60">
        <v>284</v>
      </c>
      <c r="EN93" s="60">
        <v>52</v>
      </c>
      <c r="EO93" s="60">
        <v>144</v>
      </c>
      <c r="EP93" s="60">
        <v>1447</v>
      </c>
      <c r="EQ93" s="60">
        <v>4</v>
      </c>
      <c r="ER93" s="60">
        <v>1567</v>
      </c>
      <c r="ES93" s="60">
        <v>415</v>
      </c>
      <c r="ET93" s="60">
        <v>547</v>
      </c>
      <c r="EU93" s="60">
        <v>584</v>
      </c>
      <c r="EV93" s="60">
        <v>623</v>
      </c>
      <c r="EW93" s="60">
        <v>115</v>
      </c>
      <c r="EX93" s="60">
        <v>178</v>
      </c>
      <c r="EY93" s="60">
        <v>153</v>
      </c>
      <c r="EZ93" s="60">
        <v>5</v>
      </c>
      <c r="FA93" s="60">
        <v>109</v>
      </c>
      <c r="FB93" s="60">
        <v>947</v>
      </c>
      <c r="FC93" s="60">
        <v>138</v>
      </c>
      <c r="FD93" s="60">
        <v>364</v>
      </c>
      <c r="FE93" s="60"/>
      <c r="FF93" s="60">
        <v>4</v>
      </c>
      <c r="FG93" s="60"/>
      <c r="FH93" s="60">
        <v>440</v>
      </c>
      <c r="FI93" s="60">
        <v>30</v>
      </c>
      <c r="FJ93" s="60">
        <v>485</v>
      </c>
      <c r="FK93" s="60">
        <v>12</v>
      </c>
      <c r="FL93" s="60">
        <v>49</v>
      </c>
      <c r="FM93" s="60">
        <v>391</v>
      </c>
      <c r="FN93" s="60">
        <v>19</v>
      </c>
      <c r="FO93" s="60">
        <v>5780</v>
      </c>
      <c r="FP93" s="60">
        <v>93</v>
      </c>
      <c r="FQ93" s="60">
        <v>12</v>
      </c>
      <c r="FR93" s="60">
        <v>27</v>
      </c>
      <c r="FS93" s="60">
        <v>20</v>
      </c>
      <c r="FT93" s="60">
        <v>17</v>
      </c>
      <c r="FU93" s="60">
        <v>19</v>
      </c>
      <c r="FV93" s="60">
        <v>2</v>
      </c>
      <c r="FW93" s="60"/>
      <c r="FX93" s="60">
        <v>7396</v>
      </c>
      <c r="FY93" s="60">
        <v>290</v>
      </c>
      <c r="FZ93" s="60">
        <v>6166</v>
      </c>
      <c r="GA93" s="60">
        <v>940</v>
      </c>
      <c r="GB93" s="60">
        <v>2011</v>
      </c>
    </row>
    <row r="94" spans="1:184" x14ac:dyDescent="0.3">
      <c r="A94" s="60">
        <v>106190434</v>
      </c>
      <c r="B94" s="61" t="s">
        <v>450</v>
      </c>
      <c r="C94" s="61" t="s">
        <v>1817</v>
      </c>
      <c r="D94" s="61" t="s">
        <v>451</v>
      </c>
      <c r="E94" s="61" t="s">
        <v>340</v>
      </c>
      <c r="F94" s="60">
        <v>90034</v>
      </c>
      <c r="G94" s="61"/>
      <c r="H94" s="61" t="s">
        <v>1669</v>
      </c>
      <c r="I94" s="60">
        <v>47</v>
      </c>
      <c r="J94" s="60">
        <v>26</v>
      </c>
      <c r="K94" s="61" t="s">
        <v>1818</v>
      </c>
      <c r="L94" s="61" t="s">
        <v>369</v>
      </c>
      <c r="M94" s="61" t="s">
        <v>1778</v>
      </c>
      <c r="N94" s="61" t="s">
        <v>1779</v>
      </c>
      <c r="O94" s="61" t="s">
        <v>1673</v>
      </c>
      <c r="P94" s="61" t="s">
        <v>1678</v>
      </c>
      <c r="Q94" s="61" t="s">
        <v>1674</v>
      </c>
      <c r="R94" s="60">
        <v>305</v>
      </c>
      <c r="S94" s="61" t="s">
        <v>1675</v>
      </c>
      <c r="T94" s="60">
        <v>32846</v>
      </c>
      <c r="U94" s="60">
        <v>24762</v>
      </c>
      <c r="V94" s="60">
        <v>2</v>
      </c>
      <c r="W94" s="60"/>
      <c r="X94" s="60">
        <v>4762</v>
      </c>
      <c r="Y94" s="60">
        <v>4893</v>
      </c>
      <c r="Z94" s="60">
        <v>9086</v>
      </c>
      <c r="AA94" s="60">
        <v>6949</v>
      </c>
      <c r="AB94" s="60">
        <v>7342</v>
      </c>
      <c r="AC94" s="60">
        <v>7601</v>
      </c>
      <c r="AD94" s="60">
        <v>6238</v>
      </c>
      <c r="AE94" s="60">
        <v>5028</v>
      </c>
      <c r="AF94" s="60">
        <v>4795</v>
      </c>
      <c r="AG94" s="60">
        <v>916</v>
      </c>
      <c r="AH94" s="60"/>
      <c r="AI94" s="60">
        <v>2024</v>
      </c>
      <c r="AJ94" s="60">
        <v>27417</v>
      </c>
      <c r="AK94" s="60">
        <v>12419</v>
      </c>
      <c r="AL94" s="60">
        <v>228</v>
      </c>
      <c r="AM94" s="60">
        <v>2542</v>
      </c>
      <c r="AN94" s="60">
        <v>2652</v>
      </c>
      <c r="AO94" s="60">
        <v>10328</v>
      </c>
      <c r="AP94" s="60">
        <v>808</v>
      </c>
      <c r="AQ94" s="60">
        <v>539</v>
      </c>
      <c r="AR94" s="60">
        <v>5</v>
      </c>
      <c r="AS94" s="60">
        <v>65</v>
      </c>
      <c r="AT94" s="60">
        <v>255</v>
      </c>
      <c r="AU94" s="60">
        <v>64</v>
      </c>
      <c r="AV94" s="60">
        <v>6</v>
      </c>
      <c r="AW94" s="60">
        <v>15</v>
      </c>
      <c r="AX94" s="60">
        <v>11</v>
      </c>
      <c r="AY94" s="60">
        <v>417</v>
      </c>
      <c r="AZ94" s="60">
        <v>4</v>
      </c>
      <c r="BA94" s="60">
        <v>55076</v>
      </c>
      <c r="BB94" s="60">
        <v>76</v>
      </c>
      <c r="BC94" s="60">
        <v>254</v>
      </c>
      <c r="BD94" s="60">
        <v>15</v>
      </c>
      <c r="BE94" s="60">
        <v>8006</v>
      </c>
      <c r="BF94" s="60">
        <v>12804</v>
      </c>
      <c r="BG94" s="60">
        <v>216</v>
      </c>
      <c r="BH94" s="60">
        <v>30583</v>
      </c>
      <c r="BI94" s="60">
        <v>6001</v>
      </c>
      <c r="BJ94" s="60">
        <v>1309</v>
      </c>
      <c r="BK94" s="60">
        <v>309</v>
      </c>
      <c r="BL94" s="60">
        <v>1851</v>
      </c>
      <c r="BM94" s="60">
        <v>10</v>
      </c>
      <c r="BN94" s="60">
        <v>2677</v>
      </c>
      <c r="BO94" s="60">
        <v>1193</v>
      </c>
      <c r="BP94" s="60">
        <v>2802</v>
      </c>
      <c r="BQ94" s="60">
        <v>863</v>
      </c>
      <c r="BR94" s="60">
        <v>13447</v>
      </c>
      <c r="BS94" s="60">
        <v>4329</v>
      </c>
      <c r="BT94" s="60">
        <v>121</v>
      </c>
      <c r="BU94" s="60">
        <v>2748</v>
      </c>
      <c r="BV94" s="60">
        <v>1372</v>
      </c>
      <c r="BW94" s="60">
        <v>27</v>
      </c>
      <c r="BX94" s="60">
        <v>1794</v>
      </c>
      <c r="BY94" s="60">
        <v>4942</v>
      </c>
      <c r="BZ94" s="60">
        <v>2948</v>
      </c>
      <c r="CA94" s="60">
        <v>14867</v>
      </c>
      <c r="CB94" s="60">
        <v>1</v>
      </c>
      <c r="CC94" s="60"/>
      <c r="CD94" s="60">
        <v>3949</v>
      </c>
      <c r="CE94" s="60">
        <v>102</v>
      </c>
      <c r="CF94" s="60">
        <v>541</v>
      </c>
      <c r="CG94" s="60">
        <v>20</v>
      </c>
      <c r="CH94" s="60">
        <v>560</v>
      </c>
      <c r="CI94" s="60">
        <v>48</v>
      </c>
      <c r="CJ94" s="60">
        <v>432</v>
      </c>
      <c r="CK94" s="60">
        <v>528</v>
      </c>
      <c r="CL94" s="60">
        <v>42840</v>
      </c>
      <c r="CM94" s="60">
        <v>6112</v>
      </c>
      <c r="CN94" s="60">
        <v>230</v>
      </c>
      <c r="CO94" s="60">
        <v>1774</v>
      </c>
      <c r="CP94" s="60">
        <v>129</v>
      </c>
      <c r="CQ94" s="60">
        <v>266</v>
      </c>
      <c r="CR94" s="60">
        <v>78</v>
      </c>
      <c r="CS94" s="60">
        <v>1</v>
      </c>
      <c r="CT94" s="60">
        <v>57610</v>
      </c>
      <c r="CU94" s="60">
        <v>586</v>
      </c>
      <c r="CV94" s="60">
        <v>52236</v>
      </c>
      <c r="CW94" s="60">
        <v>4788</v>
      </c>
      <c r="CX94" s="60">
        <v>3569</v>
      </c>
      <c r="CY94" s="60">
        <v>3004</v>
      </c>
      <c r="CZ94" s="60"/>
      <c r="DA94" s="60"/>
      <c r="DB94" s="60">
        <v>101</v>
      </c>
      <c r="DC94" s="60">
        <v>371</v>
      </c>
      <c r="DD94" s="60">
        <v>383</v>
      </c>
      <c r="DE94" s="60">
        <v>557</v>
      </c>
      <c r="DF94" s="60">
        <v>861</v>
      </c>
      <c r="DG94" s="60">
        <v>1173</v>
      </c>
      <c r="DH94" s="60">
        <v>1388</v>
      </c>
      <c r="DI94" s="60">
        <v>1738</v>
      </c>
      <c r="DJ94" s="60">
        <v>1</v>
      </c>
      <c r="DK94" s="60"/>
      <c r="DL94" s="60"/>
      <c r="DM94" s="60">
        <v>266</v>
      </c>
      <c r="DN94" s="60">
        <v>3573</v>
      </c>
      <c r="DO94" s="60">
        <v>950</v>
      </c>
      <c r="DP94" s="60">
        <v>115</v>
      </c>
      <c r="DQ94" s="60">
        <v>36</v>
      </c>
      <c r="DR94" s="60">
        <v>1614</v>
      </c>
      <c r="DS94" s="60">
        <v>19</v>
      </c>
      <c r="DT94" s="60">
        <v>259</v>
      </c>
      <c r="DU94" s="60">
        <v>56</v>
      </c>
      <c r="DV94" s="60">
        <v>239</v>
      </c>
      <c r="DW94" s="60">
        <v>960</v>
      </c>
      <c r="DX94" s="60">
        <v>78</v>
      </c>
      <c r="DY94" s="60">
        <v>31</v>
      </c>
      <c r="DZ94" s="60">
        <v>40</v>
      </c>
      <c r="EA94" s="60">
        <v>4292</v>
      </c>
      <c r="EB94" s="60">
        <v>617</v>
      </c>
      <c r="EC94" s="60">
        <v>1</v>
      </c>
      <c r="ED94" s="60">
        <v>0</v>
      </c>
      <c r="EE94" s="60">
        <v>0</v>
      </c>
      <c r="EF94" s="60">
        <v>0</v>
      </c>
      <c r="EG94" s="60">
        <v>0</v>
      </c>
      <c r="EH94" s="60">
        <v>0</v>
      </c>
      <c r="EI94" s="60">
        <v>264</v>
      </c>
      <c r="EJ94" s="60">
        <v>3681</v>
      </c>
      <c r="EK94" s="60">
        <v>7</v>
      </c>
      <c r="EL94" s="60">
        <v>2367</v>
      </c>
      <c r="EM94" s="60">
        <v>254</v>
      </c>
      <c r="EN94" s="60">
        <v>125</v>
      </c>
      <c r="EO94" s="60">
        <v>205</v>
      </c>
      <c r="EP94" s="60">
        <v>1298</v>
      </c>
      <c r="EQ94" s="60">
        <v>2</v>
      </c>
      <c r="ER94" s="60">
        <v>1185</v>
      </c>
      <c r="ES94" s="60">
        <v>364</v>
      </c>
      <c r="ET94" s="60">
        <v>358</v>
      </c>
      <c r="EU94" s="60">
        <v>963</v>
      </c>
      <c r="EV94" s="60">
        <v>349</v>
      </c>
      <c r="EW94" s="60">
        <v>207</v>
      </c>
      <c r="EX94" s="60">
        <v>187</v>
      </c>
      <c r="EY94" s="60">
        <v>115</v>
      </c>
      <c r="EZ94" s="60">
        <v>12</v>
      </c>
      <c r="FA94" s="60">
        <v>72</v>
      </c>
      <c r="FB94" s="60">
        <v>649</v>
      </c>
      <c r="FC94" s="60">
        <v>128</v>
      </c>
      <c r="FD94" s="60">
        <v>354</v>
      </c>
      <c r="FE94" s="60"/>
      <c r="FF94" s="60"/>
      <c r="FG94" s="60"/>
      <c r="FH94" s="60">
        <v>186</v>
      </c>
      <c r="FI94" s="60">
        <v>31</v>
      </c>
      <c r="FJ94" s="60">
        <v>433</v>
      </c>
      <c r="FK94" s="60">
        <v>9</v>
      </c>
      <c r="FL94" s="60">
        <v>13</v>
      </c>
      <c r="FM94" s="60">
        <v>400</v>
      </c>
      <c r="FN94" s="60">
        <v>19</v>
      </c>
      <c r="FO94" s="60">
        <v>5363</v>
      </c>
      <c r="FP94" s="60">
        <v>62</v>
      </c>
      <c r="FQ94" s="60">
        <v>3</v>
      </c>
      <c r="FR94" s="60">
        <v>14</v>
      </c>
      <c r="FS94" s="60">
        <v>17</v>
      </c>
      <c r="FT94" s="60">
        <v>14</v>
      </c>
      <c r="FU94" s="60">
        <v>8</v>
      </c>
      <c r="FV94" s="60">
        <v>1</v>
      </c>
      <c r="FW94" s="60"/>
      <c r="FX94" s="60">
        <v>6573</v>
      </c>
      <c r="FY94" s="60">
        <v>79</v>
      </c>
      <c r="FZ94" s="60">
        <v>6073</v>
      </c>
      <c r="GA94" s="60">
        <v>421</v>
      </c>
      <c r="GB94" s="60">
        <v>2011</v>
      </c>
    </row>
    <row r="95" spans="1:184" x14ac:dyDescent="0.3">
      <c r="A95" s="60">
        <v>106190470</v>
      </c>
      <c r="B95" s="61" t="s">
        <v>452</v>
      </c>
      <c r="C95" s="61" t="s">
        <v>1819</v>
      </c>
      <c r="D95" s="61" t="s">
        <v>453</v>
      </c>
      <c r="E95" s="61" t="s">
        <v>441</v>
      </c>
      <c r="F95" s="60">
        <v>90503</v>
      </c>
      <c r="G95" s="61"/>
      <c r="H95" s="61" t="s">
        <v>1669</v>
      </c>
      <c r="I95" s="60">
        <v>53</v>
      </c>
      <c r="J95" s="60">
        <v>28</v>
      </c>
      <c r="K95" s="61" t="s">
        <v>1820</v>
      </c>
      <c r="L95" s="61" t="s">
        <v>354</v>
      </c>
      <c r="M95" s="61" t="s">
        <v>1778</v>
      </c>
      <c r="N95" s="61" t="s">
        <v>1779</v>
      </c>
      <c r="O95" s="61" t="s">
        <v>1673</v>
      </c>
      <c r="P95" s="61" t="s">
        <v>1678</v>
      </c>
      <c r="Q95" s="61" t="s">
        <v>1674</v>
      </c>
      <c r="R95" s="60">
        <v>327</v>
      </c>
      <c r="S95" s="61" t="s">
        <v>1675</v>
      </c>
      <c r="T95" s="60">
        <v>28416</v>
      </c>
      <c r="U95" s="60">
        <v>21781</v>
      </c>
      <c r="V95" s="60">
        <v>2</v>
      </c>
      <c r="W95" s="60"/>
      <c r="X95" s="60">
        <v>7901</v>
      </c>
      <c r="Y95" s="60">
        <v>5294</v>
      </c>
      <c r="Z95" s="60">
        <v>7845</v>
      </c>
      <c r="AA95" s="60">
        <v>6597</v>
      </c>
      <c r="AB95" s="60">
        <v>6029</v>
      </c>
      <c r="AC95" s="60">
        <v>5161</v>
      </c>
      <c r="AD95" s="60">
        <v>3353</v>
      </c>
      <c r="AE95" s="60">
        <v>2927</v>
      </c>
      <c r="AF95" s="60">
        <v>3113</v>
      </c>
      <c r="AG95" s="60">
        <v>1979</v>
      </c>
      <c r="AH95" s="60"/>
      <c r="AI95" s="60">
        <v>3859</v>
      </c>
      <c r="AJ95" s="60">
        <v>8021</v>
      </c>
      <c r="AK95" s="60">
        <v>16219</v>
      </c>
      <c r="AL95" s="60">
        <v>24</v>
      </c>
      <c r="AM95" s="60">
        <v>2126</v>
      </c>
      <c r="AN95" s="60">
        <v>169</v>
      </c>
      <c r="AO95" s="60">
        <v>19781</v>
      </c>
      <c r="AP95" s="60">
        <v>916</v>
      </c>
      <c r="AQ95" s="60">
        <v>482</v>
      </c>
      <c r="AR95" s="60"/>
      <c r="AS95" s="60">
        <v>81</v>
      </c>
      <c r="AT95" s="60">
        <v>31</v>
      </c>
      <c r="AU95" s="60">
        <v>6</v>
      </c>
      <c r="AV95" s="60">
        <v>3</v>
      </c>
      <c r="AW95" s="60">
        <v>60</v>
      </c>
      <c r="AX95" s="60">
        <v>74</v>
      </c>
      <c r="AY95" s="60">
        <v>214</v>
      </c>
      <c r="AZ95" s="60">
        <v>1</v>
      </c>
      <c r="BA95" s="60">
        <v>47863</v>
      </c>
      <c r="BB95" s="60">
        <v>468</v>
      </c>
      <c r="BC95" s="60"/>
      <c r="BD95" s="60"/>
      <c r="BE95" s="60">
        <v>13927</v>
      </c>
      <c r="BF95" s="60">
        <v>8554</v>
      </c>
      <c r="BG95" s="60">
        <v>1869</v>
      </c>
      <c r="BH95" s="60">
        <v>18563</v>
      </c>
      <c r="BI95" s="60">
        <v>7286</v>
      </c>
      <c r="BJ95" s="60">
        <v>1499</v>
      </c>
      <c r="BK95" s="60">
        <v>214</v>
      </c>
      <c r="BL95" s="60">
        <v>1184</v>
      </c>
      <c r="BM95" s="60">
        <v>16</v>
      </c>
      <c r="BN95" s="60">
        <v>2309</v>
      </c>
      <c r="BO95" s="60">
        <v>740</v>
      </c>
      <c r="BP95" s="60">
        <v>2625</v>
      </c>
      <c r="BQ95" s="60">
        <v>1123</v>
      </c>
      <c r="BR95" s="60">
        <v>11257</v>
      </c>
      <c r="BS95" s="60">
        <v>2701</v>
      </c>
      <c r="BT95" s="60">
        <v>112</v>
      </c>
      <c r="BU95" s="60">
        <v>2988</v>
      </c>
      <c r="BV95" s="60">
        <v>2533</v>
      </c>
      <c r="BW95" s="60">
        <v>50</v>
      </c>
      <c r="BX95" s="60">
        <v>1443</v>
      </c>
      <c r="BY95" s="60">
        <v>5342</v>
      </c>
      <c r="BZ95" s="60">
        <v>1864</v>
      </c>
      <c r="CA95" s="60">
        <v>12199</v>
      </c>
      <c r="CB95" s="60"/>
      <c r="CC95" s="60"/>
      <c r="CD95" s="60">
        <v>3886</v>
      </c>
      <c r="CE95" s="60">
        <v>178</v>
      </c>
      <c r="CF95" s="60">
        <v>380</v>
      </c>
      <c r="CG95" s="60">
        <v>24</v>
      </c>
      <c r="CH95" s="60">
        <v>435</v>
      </c>
      <c r="CI95" s="60">
        <v>24</v>
      </c>
      <c r="CJ95" s="60">
        <v>108</v>
      </c>
      <c r="CK95" s="60">
        <v>421</v>
      </c>
      <c r="CL95" s="60">
        <v>38281</v>
      </c>
      <c r="CM95" s="60">
        <v>4595</v>
      </c>
      <c r="CN95" s="60">
        <v>259</v>
      </c>
      <c r="CO95" s="60">
        <v>1243</v>
      </c>
      <c r="CP95" s="60">
        <v>78</v>
      </c>
      <c r="CQ95" s="60">
        <v>227</v>
      </c>
      <c r="CR95" s="60">
        <v>60</v>
      </c>
      <c r="CS95" s="60"/>
      <c r="CT95" s="60">
        <v>50199</v>
      </c>
      <c r="CU95" s="60">
        <v>1056</v>
      </c>
      <c r="CV95" s="60">
        <v>45795</v>
      </c>
      <c r="CW95" s="60">
        <v>3348</v>
      </c>
      <c r="CX95" s="60">
        <v>7249</v>
      </c>
      <c r="CY95" s="60">
        <v>5797</v>
      </c>
      <c r="CZ95" s="60"/>
      <c r="DA95" s="60"/>
      <c r="DB95" s="60">
        <v>237</v>
      </c>
      <c r="DC95" s="60">
        <v>608</v>
      </c>
      <c r="DD95" s="60">
        <v>801</v>
      </c>
      <c r="DE95" s="60">
        <v>1390</v>
      </c>
      <c r="DF95" s="60">
        <v>1871</v>
      </c>
      <c r="DG95" s="60">
        <v>2065</v>
      </c>
      <c r="DH95" s="60">
        <v>2118</v>
      </c>
      <c r="DI95" s="60">
        <v>3505</v>
      </c>
      <c r="DJ95" s="60">
        <v>179</v>
      </c>
      <c r="DK95" s="60">
        <v>272</v>
      </c>
      <c r="DL95" s="60"/>
      <c r="DM95" s="60">
        <v>1590</v>
      </c>
      <c r="DN95" s="60">
        <v>1998</v>
      </c>
      <c r="DO95" s="60">
        <v>2754</v>
      </c>
      <c r="DP95" s="60">
        <v>504</v>
      </c>
      <c r="DQ95" s="60">
        <v>39</v>
      </c>
      <c r="DR95" s="60">
        <v>6150</v>
      </c>
      <c r="DS95" s="60">
        <v>11</v>
      </c>
      <c r="DT95" s="60">
        <v>240</v>
      </c>
      <c r="DU95" s="60">
        <v>195</v>
      </c>
      <c r="DV95" s="60">
        <v>363</v>
      </c>
      <c r="DW95" s="60">
        <v>966</v>
      </c>
      <c r="DX95" s="60">
        <v>234</v>
      </c>
      <c r="DY95" s="60">
        <v>23</v>
      </c>
      <c r="DZ95" s="60">
        <v>69</v>
      </c>
      <c r="EA95" s="60">
        <v>8713</v>
      </c>
      <c r="EB95" s="60">
        <v>2242</v>
      </c>
      <c r="EC95" s="60">
        <v>1</v>
      </c>
      <c r="ED95" s="60">
        <v>0</v>
      </c>
      <c r="EE95" s="60">
        <v>0</v>
      </c>
      <c r="EF95" s="60">
        <v>0</v>
      </c>
      <c r="EG95" s="60">
        <v>0</v>
      </c>
      <c r="EH95" s="60">
        <v>0</v>
      </c>
      <c r="EI95" s="60">
        <v>2288</v>
      </c>
      <c r="EJ95" s="60">
        <v>5412</v>
      </c>
      <c r="EK95" s="60">
        <v>315</v>
      </c>
      <c r="EL95" s="60">
        <v>4512</v>
      </c>
      <c r="EM95" s="60">
        <v>519</v>
      </c>
      <c r="EN95" s="60">
        <v>130</v>
      </c>
      <c r="EO95" s="60">
        <v>232</v>
      </c>
      <c r="EP95" s="60">
        <v>2609</v>
      </c>
      <c r="EQ95" s="60">
        <v>12</v>
      </c>
      <c r="ER95" s="60">
        <v>2140</v>
      </c>
      <c r="ES95" s="60">
        <v>535</v>
      </c>
      <c r="ET95" s="60">
        <v>764</v>
      </c>
      <c r="EU95" s="60">
        <v>1212</v>
      </c>
      <c r="EV95" s="60">
        <v>1111</v>
      </c>
      <c r="EW95" s="60">
        <v>306</v>
      </c>
      <c r="EX95" s="60">
        <v>370</v>
      </c>
      <c r="EY95" s="60">
        <v>321</v>
      </c>
      <c r="EZ95" s="60">
        <v>12</v>
      </c>
      <c r="FA95" s="60">
        <v>167</v>
      </c>
      <c r="FB95" s="60">
        <v>1444</v>
      </c>
      <c r="FC95" s="60">
        <v>325</v>
      </c>
      <c r="FD95" s="60">
        <v>1316</v>
      </c>
      <c r="FE95" s="60">
        <v>7</v>
      </c>
      <c r="FF95" s="60">
        <v>33</v>
      </c>
      <c r="FG95" s="60"/>
      <c r="FH95" s="60">
        <v>674</v>
      </c>
      <c r="FI95" s="60">
        <v>44</v>
      </c>
      <c r="FJ95" s="60">
        <v>489</v>
      </c>
      <c r="FK95" s="60">
        <v>14</v>
      </c>
      <c r="FL95" s="60">
        <v>12</v>
      </c>
      <c r="FM95" s="60">
        <v>144</v>
      </c>
      <c r="FN95" s="60">
        <v>26</v>
      </c>
      <c r="FO95" s="60">
        <v>11364</v>
      </c>
      <c r="FP95" s="60">
        <v>132</v>
      </c>
      <c r="FQ95" s="60">
        <v>27</v>
      </c>
      <c r="FR95" s="60">
        <v>34</v>
      </c>
      <c r="FS95" s="60">
        <v>38</v>
      </c>
      <c r="FT95" s="60">
        <v>17</v>
      </c>
      <c r="FU95" s="60">
        <v>31</v>
      </c>
      <c r="FV95" s="60"/>
      <c r="FW95" s="60"/>
      <c r="FX95" s="60">
        <v>13046</v>
      </c>
      <c r="FY95" s="60">
        <v>601</v>
      </c>
      <c r="FZ95" s="60">
        <v>11505</v>
      </c>
      <c r="GA95" s="60">
        <v>940</v>
      </c>
      <c r="GB95" s="60">
        <v>2011</v>
      </c>
    </row>
    <row r="96" spans="1:184" x14ac:dyDescent="0.3">
      <c r="A96" s="60">
        <v>106190475</v>
      </c>
      <c r="B96" s="61" t="s">
        <v>454</v>
      </c>
      <c r="C96" s="61" t="s">
        <v>1821</v>
      </c>
      <c r="D96" s="61" t="s">
        <v>455</v>
      </c>
      <c r="E96" s="61" t="s">
        <v>356</v>
      </c>
      <c r="F96" s="60">
        <v>90804</v>
      </c>
      <c r="G96" s="61"/>
      <c r="H96" s="61" t="s">
        <v>1669</v>
      </c>
      <c r="I96" s="60">
        <v>54</v>
      </c>
      <c r="J96" s="60">
        <v>27</v>
      </c>
      <c r="K96" s="61" t="s">
        <v>1822</v>
      </c>
      <c r="L96" s="61" t="s">
        <v>354</v>
      </c>
      <c r="M96" s="61" t="s">
        <v>1778</v>
      </c>
      <c r="N96" s="61" t="s">
        <v>1779</v>
      </c>
      <c r="O96" s="61" t="s">
        <v>1673</v>
      </c>
      <c r="P96" s="61" t="s">
        <v>1678</v>
      </c>
      <c r="Q96" s="61" t="s">
        <v>1674</v>
      </c>
      <c r="R96" s="60">
        <v>163</v>
      </c>
      <c r="S96" s="61" t="s">
        <v>1675</v>
      </c>
      <c r="T96" s="60">
        <v>10324</v>
      </c>
      <c r="U96" s="60">
        <v>8492</v>
      </c>
      <c r="V96" s="60"/>
      <c r="W96" s="60"/>
      <c r="X96" s="60">
        <v>1752</v>
      </c>
      <c r="Y96" s="60">
        <v>2011</v>
      </c>
      <c r="Z96" s="60">
        <v>3897</v>
      </c>
      <c r="AA96" s="60">
        <v>2935</v>
      </c>
      <c r="AB96" s="60">
        <v>3118</v>
      </c>
      <c r="AC96" s="60">
        <v>2277</v>
      </c>
      <c r="AD96" s="60">
        <v>1116</v>
      </c>
      <c r="AE96" s="60">
        <v>610</v>
      </c>
      <c r="AF96" s="60">
        <v>867</v>
      </c>
      <c r="AG96" s="60">
        <v>233</v>
      </c>
      <c r="AH96" s="60"/>
      <c r="AI96" s="60">
        <v>699</v>
      </c>
      <c r="AJ96" s="60">
        <v>4544</v>
      </c>
      <c r="AK96" s="60">
        <v>4085</v>
      </c>
      <c r="AL96" s="60">
        <v>9</v>
      </c>
      <c r="AM96" s="60">
        <v>270</v>
      </c>
      <c r="AN96" s="60">
        <v>5</v>
      </c>
      <c r="AO96" s="60">
        <v>9204</v>
      </c>
      <c r="AP96" s="60">
        <v>896</v>
      </c>
      <c r="AQ96" s="60">
        <v>444</v>
      </c>
      <c r="AR96" s="60">
        <v>820</v>
      </c>
      <c r="AS96" s="60">
        <v>41</v>
      </c>
      <c r="AT96" s="60">
        <v>5</v>
      </c>
      <c r="AU96" s="60">
        <v>1</v>
      </c>
      <c r="AV96" s="60"/>
      <c r="AW96" s="60">
        <v>114</v>
      </c>
      <c r="AX96" s="60"/>
      <c r="AY96" s="60">
        <v>42</v>
      </c>
      <c r="AZ96" s="60"/>
      <c r="BA96" s="60">
        <v>16325</v>
      </c>
      <c r="BB96" s="60">
        <v>128</v>
      </c>
      <c r="BC96" s="60"/>
      <c r="BD96" s="60"/>
      <c r="BE96" s="60">
        <v>5312</v>
      </c>
      <c r="BF96" s="60">
        <v>2912</v>
      </c>
      <c r="BG96" s="60">
        <v>756</v>
      </c>
      <c r="BH96" s="60">
        <v>5540</v>
      </c>
      <c r="BI96" s="60">
        <v>4296</v>
      </c>
      <c r="BJ96" s="60">
        <v>428</v>
      </c>
      <c r="BK96" s="60">
        <v>99</v>
      </c>
      <c r="BL96" s="60">
        <v>489</v>
      </c>
      <c r="BM96" s="60">
        <v>4</v>
      </c>
      <c r="BN96" s="60">
        <v>1082</v>
      </c>
      <c r="BO96" s="60">
        <v>321</v>
      </c>
      <c r="BP96" s="60">
        <v>992</v>
      </c>
      <c r="BQ96" s="60">
        <v>405</v>
      </c>
      <c r="BR96" s="60">
        <v>4657</v>
      </c>
      <c r="BS96" s="60">
        <v>1276</v>
      </c>
      <c r="BT96" s="60">
        <v>44</v>
      </c>
      <c r="BU96" s="60">
        <v>1229</v>
      </c>
      <c r="BV96" s="60">
        <v>433</v>
      </c>
      <c r="BW96" s="60">
        <v>3</v>
      </c>
      <c r="BX96" s="60">
        <v>843</v>
      </c>
      <c r="BY96" s="60">
        <v>2057</v>
      </c>
      <c r="BZ96" s="60">
        <v>1043</v>
      </c>
      <c r="CA96" s="60">
        <v>3411</v>
      </c>
      <c r="CB96" s="60"/>
      <c r="CC96" s="60"/>
      <c r="CD96" s="60">
        <v>1549</v>
      </c>
      <c r="CE96" s="60">
        <v>45</v>
      </c>
      <c r="CF96" s="60">
        <v>171</v>
      </c>
      <c r="CG96" s="60">
        <v>12</v>
      </c>
      <c r="CH96" s="60">
        <v>451</v>
      </c>
      <c r="CI96" s="60">
        <v>22</v>
      </c>
      <c r="CJ96" s="60">
        <v>46</v>
      </c>
      <c r="CK96" s="60">
        <v>255</v>
      </c>
      <c r="CL96" s="60">
        <v>13616</v>
      </c>
      <c r="CM96" s="60">
        <v>1789</v>
      </c>
      <c r="CN96" s="60">
        <v>111</v>
      </c>
      <c r="CO96" s="60">
        <v>566</v>
      </c>
      <c r="CP96" s="60">
        <v>33</v>
      </c>
      <c r="CQ96" s="60">
        <v>86</v>
      </c>
      <c r="CR96" s="60">
        <v>64</v>
      </c>
      <c r="CS96" s="60"/>
      <c r="CT96" s="60">
        <v>18816</v>
      </c>
      <c r="CU96" s="60">
        <v>93</v>
      </c>
      <c r="CV96" s="60">
        <v>18174</v>
      </c>
      <c r="CW96" s="60">
        <v>549</v>
      </c>
      <c r="CX96" s="60">
        <v>1893</v>
      </c>
      <c r="CY96" s="60">
        <v>1843</v>
      </c>
      <c r="CZ96" s="60"/>
      <c r="DA96" s="60"/>
      <c r="DB96" s="60">
        <v>62</v>
      </c>
      <c r="DC96" s="60">
        <v>361</v>
      </c>
      <c r="DD96" s="60">
        <v>329</v>
      </c>
      <c r="DE96" s="60">
        <v>615</v>
      </c>
      <c r="DF96" s="60">
        <v>695</v>
      </c>
      <c r="DG96" s="60">
        <v>501</v>
      </c>
      <c r="DH96" s="60">
        <v>412</v>
      </c>
      <c r="DI96" s="60">
        <v>761</v>
      </c>
      <c r="DJ96" s="60"/>
      <c r="DK96" s="60"/>
      <c r="DL96" s="60"/>
      <c r="DM96" s="60">
        <v>170</v>
      </c>
      <c r="DN96" s="60">
        <v>636</v>
      </c>
      <c r="DO96" s="60">
        <v>492</v>
      </c>
      <c r="DP96" s="60">
        <v>28</v>
      </c>
      <c r="DQ96" s="60"/>
      <c r="DR96" s="60">
        <v>2403</v>
      </c>
      <c r="DS96" s="60">
        <v>7</v>
      </c>
      <c r="DT96" s="60">
        <v>227</v>
      </c>
      <c r="DU96" s="60">
        <v>148</v>
      </c>
      <c r="DV96" s="60">
        <v>128</v>
      </c>
      <c r="DW96" s="60">
        <v>187</v>
      </c>
      <c r="DX96" s="60">
        <v>103</v>
      </c>
      <c r="DY96" s="60">
        <v>5</v>
      </c>
      <c r="DZ96" s="60">
        <v>17</v>
      </c>
      <c r="EA96" s="60">
        <v>2333</v>
      </c>
      <c r="EB96" s="60">
        <v>582</v>
      </c>
      <c r="EC96" s="60">
        <v>6</v>
      </c>
      <c r="ED96" s="60">
        <v>0</v>
      </c>
      <c r="EE96" s="60">
        <v>0</v>
      </c>
      <c r="EF96" s="60">
        <v>0</v>
      </c>
      <c r="EG96" s="60">
        <v>0</v>
      </c>
      <c r="EH96" s="60">
        <v>0</v>
      </c>
      <c r="EI96" s="60">
        <v>697</v>
      </c>
      <c r="EJ96" s="60">
        <v>1970</v>
      </c>
      <c r="EK96" s="60">
        <v>34</v>
      </c>
      <c r="EL96" s="60">
        <v>520</v>
      </c>
      <c r="EM96" s="60">
        <v>515</v>
      </c>
      <c r="EN96" s="60">
        <v>14</v>
      </c>
      <c r="EO96" s="60">
        <v>62</v>
      </c>
      <c r="EP96" s="60">
        <v>444</v>
      </c>
      <c r="EQ96" s="60">
        <v>1</v>
      </c>
      <c r="ER96" s="60">
        <v>337</v>
      </c>
      <c r="ES96" s="60">
        <v>156</v>
      </c>
      <c r="ET96" s="60">
        <v>126</v>
      </c>
      <c r="EU96" s="60">
        <v>284</v>
      </c>
      <c r="EV96" s="60">
        <v>234</v>
      </c>
      <c r="EW96" s="60">
        <v>46</v>
      </c>
      <c r="EX96" s="60">
        <v>45</v>
      </c>
      <c r="EY96" s="60">
        <v>83</v>
      </c>
      <c r="EZ96" s="60">
        <v>3</v>
      </c>
      <c r="FA96" s="60">
        <v>1150</v>
      </c>
      <c r="FB96" s="60">
        <v>418</v>
      </c>
      <c r="FC96" s="60">
        <v>38</v>
      </c>
      <c r="FD96" s="60">
        <v>295</v>
      </c>
      <c r="FE96" s="60"/>
      <c r="FF96" s="60"/>
      <c r="FG96" s="60"/>
      <c r="FH96" s="60">
        <v>206</v>
      </c>
      <c r="FI96" s="60">
        <v>8</v>
      </c>
      <c r="FJ96" s="60">
        <v>127</v>
      </c>
      <c r="FK96" s="60">
        <v>15</v>
      </c>
      <c r="FL96" s="60">
        <v>3</v>
      </c>
      <c r="FM96" s="60">
        <v>68</v>
      </c>
      <c r="FN96" s="60">
        <v>6</v>
      </c>
      <c r="FO96" s="60">
        <v>3090</v>
      </c>
      <c r="FP96" s="60">
        <v>62</v>
      </c>
      <c r="FQ96" s="60">
        <v>3</v>
      </c>
      <c r="FR96" s="60">
        <v>7</v>
      </c>
      <c r="FS96" s="60">
        <v>107</v>
      </c>
      <c r="FT96" s="60">
        <v>5</v>
      </c>
      <c r="FU96" s="60">
        <v>28</v>
      </c>
      <c r="FV96" s="60">
        <v>1</v>
      </c>
      <c r="FW96" s="60"/>
      <c r="FX96" s="60">
        <v>3736</v>
      </c>
      <c r="FY96" s="60">
        <v>36</v>
      </c>
      <c r="FZ96" s="60">
        <v>3611</v>
      </c>
      <c r="GA96" s="60">
        <v>89</v>
      </c>
      <c r="GB96" s="60">
        <v>2011</v>
      </c>
    </row>
    <row r="97" spans="1:184" x14ac:dyDescent="0.3">
      <c r="A97" s="60">
        <v>106190500</v>
      </c>
      <c r="B97" s="61" t="s">
        <v>456</v>
      </c>
      <c r="C97" s="61" t="s">
        <v>457</v>
      </c>
      <c r="D97" s="61" t="s">
        <v>458</v>
      </c>
      <c r="E97" s="61" t="s">
        <v>459</v>
      </c>
      <c r="F97" s="60">
        <v>90291</v>
      </c>
      <c r="G97" s="61"/>
      <c r="H97" s="61" t="s">
        <v>1669</v>
      </c>
      <c r="I97" s="60">
        <v>53</v>
      </c>
      <c r="J97" s="60">
        <v>28</v>
      </c>
      <c r="K97" s="61" t="s">
        <v>1823</v>
      </c>
      <c r="L97" s="61" t="s">
        <v>365</v>
      </c>
      <c r="M97" s="61" t="s">
        <v>1778</v>
      </c>
      <c r="N97" s="61" t="s">
        <v>1779</v>
      </c>
      <c r="O97" s="61" t="s">
        <v>1673</v>
      </c>
      <c r="P97" s="61" t="s">
        <v>221</v>
      </c>
      <c r="Q97" s="61" t="s">
        <v>1674</v>
      </c>
      <c r="R97" s="60">
        <v>105</v>
      </c>
      <c r="S97" s="61" t="s">
        <v>1675</v>
      </c>
      <c r="T97" s="60">
        <v>9384</v>
      </c>
      <c r="U97" s="60">
        <v>8690</v>
      </c>
      <c r="V97" s="60"/>
      <c r="W97" s="60"/>
      <c r="X97" s="60">
        <v>937</v>
      </c>
      <c r="Y97" s="60">
        <v>1462</v>
      </c>
      <c r="Z97" s="60">
        <v>3641</v>
      </c>
      <c r="AA97" s="60">
        <v>3133</v>
      </c>
      <c r="AB97" s="60">
        <v>2882</v>
      </c>
      <c r="AC97" s="60">
        <v>2425</v>
      </c>
      <c r="AD97" s="60">
        <v>1451</v>
      </c>
      <c r="AE97" s="60">
        <v>964</v>
      </c>
      <c r="AF97" s="60">
        <v>1066</v>
      </c>
      <c r="AG97" s="60">
        <v>113</v>
      </c>
      <c r="AH97" s="60"/>
      <c r="AI97" s="60">
        <v>633</v>
      </c>
      <c r="AJ97" s="60">
        <v>4189</v>
      </c>
      <c r="AK97" s="60">
        <v>2418</v>
      </c>
      <c r="AL97" s="60">
        <v>32</v>
      </c>
      <c r="AM97" s="60">
        <v>1417</v>
      </c>
      <c r="AN97" s="60">
        <v>501</v>
      </c>
      <c r="AO97" s="60">
        <v>8884</v>
      </c>
      <c r="AP97" s="60">
        <v>434</v>
      </c>
      <c r="AQ97" s="60">
        <v>855</v>
      </c>
      <c r="AR97" s="60"/>
      <c r="AS97" s="60">
        <v>39</v>
      </c>
      <c r="AT97" s="60">
        <v>11</v>
      </c>
      <c r="AU97" s="60">
        <v>5</v>
      </c>
      <c r="AV97" s="60">
        <v>2</v>
      </c>
      <c r="AW97" s="60"/>
      <c r="AX97" s="60"/>
      <c r="AY97" s="60">
        <v>147</v>
      </c>
      <c r="AZ97" s="60"/>
      <c r="BA97" s="60">
        <v>16546</v>
      </c>
      <c r="BB97" s="60">
        <v>35</v>
      </c>
      <c r="BC97" s="60"/>
      <c r="BD97" s="60"/>
      <c r="BE97" s="60">
        <v>931</v>
      </c>
      <c r="BF97" s="60">
        <v>2961</v>
      </c>
      <c r="BG97" s="60">
        <v>567</v>
      </c>
      <c r="BH97" s="60">
        <v>9457</v>
      </c>
      <c r="BI97" s="60">
        <v>4158</v>
      </c>
      <c r="BJ97" s="60">
        <v>232</v>
      </c>
      <c r="BK97" s="60">
        <v>63</v>
      </c>
      <c r="BL97" s="60">
        <v>424</v>
      </c>
      <c r="BM97" s="60">
        <v>3</v>
      </c>
      <c r="BN97" s="60">
        <v>830</v>
      </c>
      <c r="BO97" s="60">
        <v>251</v>
      </c>
      <c r="BP97" s="60">
        <v>981</v>
      </c>
      <c r="BQ97" s="60">
        <v>277</v>
      </c>
      <c r="BR97" s="60">
        <v>5685</v>
      </c>
      <c r="BS97" s="60">
        <v>808</v>
      </c>
      <c r="BT97" s="60">
        <v>15</v>
      </c>
      <c r="BU97" s="60">
        <v>1377</v>
      </c>
      <c r="BV97" s="60">
        <v>740</v>
      </c>
      <c r="BW97" s="60">
        <v>5</v>
      </c>
      <c r="BX97" s="60">
        <v>993</v>
      </c>
      <c r="BY97" s="60">
        <v>1515</v>
      </c>
      <c r="BZ97" s="60">
        <v>781</v>
      </c>
      <c r="CA97" s="60">
        <v>3094</v>
      </c>
      <c r="CB97" s="60"/>
      <c r="CC97" s="60"/>
      <c r="CD97" s="60">
        <v>1682</v>
      </c>
      <c r="CE97" s="60">
        <v>78</v>
      </c>
      <c r="CF97" s="60">
        <v>240</v>
      </c>
      <c r="CG97" s="60">
        <v>9</v>
      </c>
      <c r="CH97" s="60">
        <v>268</v>
      </c>
      <c r="CI97" s="60">
        <v>11</v>
      </c>
      <c r="CJ97" s="60">
        <v>57</v>
      </c>
      <c r="CK97" s="60">
        <v>247</v>
      </c>
      <c r="CL97" s="60">
        <v>11826</v>
      </c>
      <c r="CM97" s="60">
        <v>2445</v>
      </c>
      <c r="CN97" s="60">
        <v>187</v>
      </c>
      <c r="CO97" s="60">
        <v>802</v>
      </c>
      <c r="CP97" s="60">
        <v>82</v>
      </c>
      <c r="CQ97" s="60">
        <v>80</v>
      </c>
      <c r="CR97" s="60">
        <v>60</v>
      </c>
      <c r="CS97" s="60"/>
      <c r="CT97" s="60">
        <v>18074</v>
      </c>
      <c r="CU97" s="60">
        <v>265</v>
      </c>
      <c r="CV97" s="60">
        <v>17185</v>
      </c>
      <c r="CW97" s="60">
        <v>624</v>
      </c>
      <c r="CX97" s="60">
        <v>1508</v>
      </c>
      <c r="CY97" s="60">
        <v>1389</v>
      </c>
      <c r="CZ97" s="60"/>
      <c r="DA97" s="60"/>
      <c r="DB97" s="60">
        <v>30</v>
      </c>
      <c r="DC97" s="60">
        <v>117</v>
      </c>
      <c r="DD97" s="60">
        <v>153</v>
      </c>
      <c r="DE97" s="60">
        <v>272</v>
      </c>
      <c r="DF97" s="60">
        <v>390</v>
      </c>
      <c r="DG97" s="60">
        <v>504</v>
      </c>
      <c r="DH97" s="60">
        <v>526</v>
      </c>
      <c r="DI97" s="60">
        <v>905</v>
      </c>
      <c r="DJ97" s="60"/>
      <c r="DK97" s="60"/>
      <c r="DL97" s="60"/>
      <c r="DM97" s="60">
        <v>135</v>
      </c>
      <c r="DN97" s="60">
        <v>631</v>
      </c>
      <c r="DO97" s="60">
        <v>197</v>
      </c>
      <c r="DP97" s="60">
        <v>168</v>
      </c>
      <c r="DQ97" s="60">
        <v>61</v>
      </c>
      <c r="DR97" s="60">
        <v>1699</v>
      </c>
      <c r="DS97" s="60">
        <v>6</v>
      </c>
      <c r="DT97" s="60">
        <v>192</v>
      </c>
      <c r="DU97" s="60">
        <v>147</v>
      </c>
      <c r="DV97" s="60">
        <v>72</v>
      </c>
      <c r="DW97" s="60">
        <v>256</v>
      </c>
      <c r="DX97" s="60">
        <v>64</v>
      </c>
      <c r="DY97" s="60">
        <v>3</v>
      </c>
      <c r="DZ97" s="60">
        <v>8</v>
      </c>
      <c r="EA97" s="60">
        <v>1642</v>
      </c>
      <c r="EB97" s="60">
        <v>508</v>
      </c>
      <c r="EC97" s="60">
        <v>5</v>
      </c>
      <c r="ED97" s="60">
        <v>0</v>
      </c>
      <c r="EE97" s="60">
        <v>0</v>
      </c>
      <c r="EF97" s="60">
        <v>0</v>
      </c>
      <c r="EG97" s="60">
        <v>0</v>
      </c>
      <c r="EH97" s="60">
        <v>0</v>
      </c>
      <c r="EI97" s="60">
        <v>177</v>
      </c>
      <c r="EJ97" s="60">
        <v>1730</v>
      </c>
      <c r="EK97" s="60">
        <v>36</v>
      </c>
      <c r="EL97" s="60">
        <v>759</v>
      </c>
      <c r="EM97" s="60">
        <v>195</v>
      </c>
      <c r="EN97" s="60">
        <v>8</v>
      </c>
      <c r="EO97" s="60">
        <v>49</v>
      </c>
      <c r="EP97" s="60">
        <v>602</v>
      </c>
      <c r="EQ97" s="60"/>
      <c r="ER97" s="60">
        <v>445</v>
      </c>
      <c r="ES97" s="60">
        <v>110</v>
      </c>
      <c r="ET97" s="60">
        <v>157</v>
      </c>
      <c r="EU97" s="60">
        <v>364</v>
      </c>
      <c r="EV97" s="60">
        <v>260</v>
      </c>
      <c r="EW97" s="60">
        <v>79</v>
      </c>
      <c r="EX97" s="60">
        <v>53</v>
      </c>
      <c r="EY97" s="60">
        <v>76</v>
      </c>
      <c r="EZ97" s="60">
        <v>2</v>
      </c>
      <c r="FA97" s="60">
        <v>26</v>
      </c>
      <c r="FB97" s="60">
        <v>302</v>
      </c>
      <c r="FC97" s="60">
        <v>56</v>
      </c>
      <c r="FD97" s="60">
        <v>308</v>
      </c>
      <c r="FE97" s="60"/>
      <c r="FF97" s="60"/>
      <c r="FG97" s="60"/>
      <c r="FH97" s="60">
        <v>206</v>
      </c>
      <c r="FI97" s="60">
        <v>14</v>
      </c>
      <c r="FJ97" s="60">
        <v>138</v>
      </c>
      <c r="FK97" s="60">
        <v>3</v>
      </c>
      <c r="FL97" s="60">
        <v>6</v>
      </c>
      <c r="FM97" s="60">
        <v>97</v>
      </c>
      <c r="FN97" s="60">
        <v>5</v>
      </c>
      <c r="FO97" s="60">
        <v>2322</v>
      </c>
      <c r="FP97" s="60">
        <v>55</v>
      </c>
      <c r="FQ97" s="60">
        <v>7</v>
      </c>
      <c r="FR97" s="60">
        <v>5</v>
      </c>
      <c r="FS97" s="60">
        <v>14</v>
      </c>
      <c r="FT97" s="60">
        <v>6</v>
      </c>
      <c r="FU97" s="60">
        <v>19</v>
      </c>
      <c r="FV97" s="60"/>
      <c r="FW97" s="60"/>
      <c r="FX97" s="60">
        <v>2897</v>
      </c>
      <c r="FY97" s="60">
        <v>33</v>
      </c>
      <c r="FZ97" s="60">
        <v>2777</v>
      </c>
      <c r="GA97" s="60">
        <v>87</v>
      </c>
      <c r="GB97" s="60">
        <v>2011</v>
      </c>
    </row>
    <row r="98" spans="1:184" x14ac:dyDescent="0.3">
      <c r="A98" s="60">
        <v>106190517</v>
      </c>
      <c r="B98" s="61" t="s">
        <v>460</v>
      </c>
      <c r="C98" s="61" t="s">
        <v>461</v>
      </c>
      <c r="D98" s="61" t="s">
        <v>462</v>
      </c>
      <c r="E98" s="61" t="s">
        <v>463</v>
      </c>
      <c r="F98" s="60">
        <v>91356</v>
      </c>
      <c r="G98" s="61"/>
      <c r="H98" s="61" t="s">
        <v>1669</v>
      </c>
      <c r="I98" s="60">
        <v>41</v>
      </c>
      <c r="J98" s="60">
        <v>23</v>
      </c>
      <c r="K98" s="61" t="s">
        <v>1801</v>
      </c>
      <c r="L98" s="61" t="s">
        <v>404</v>
      </c>
      <c r="M98" s="61" t="s">
        <v>1778</v>
      </c>
      <c r="N98" s="61" t="s">
        <v>1779</v>
      </c>
      <c r="O98" s="61" t="s">
        <v>1673</v>
      </c>
      <c r="P98" s="61" t="s">
        <v>1678</v>
      </c>
      <c r="Q98" s="61" t="s">
        <v>1674</v>
      </c>
      <c r="R98" s="60">
        <v>249</v>
      </c>
      <c r="S98" s="61" t="s">
        <v>1675</v>
      </c>
      <c r="T98" s="60">
        <v>13902</v>
      </c>
      <c r="U98" s="60">
        <v>10555</v>
      </c>
      <c r="V98" s="60"/>
      <c r="W98" s="60"/>
      <c r="X98" s="60">
        <v>3639</v>
      </c>
      <c r="Y98" s="60">
        <v>2656</v>
      </c>
      <c r="Z98" s="60">
        <v>3178</v>
      </c>
      <c r="AA98" s="60">
        <v>3150</v>
      </c>
      <c r="AB98" s="60">
        <v>2864</v>
      </c>
      <c r="AC98" s="60">
        <v>2699</v>
      </c>
      <c r="AD98" s="60">
        <v>1810</v>
      </c>
      <c r="AE98" s="60">
        <v>1532</v>
      </c>
      <c r="AF98" s="60">
        <v>2134</v>
      </c>
      <c r="AG98" s="60">
        <v>795</v>
      </c>
      <c r="AH98" s="60"/>
      <c r="AI98" s="60">
        <v>405</v>
      </c>
      <c r="AJ98" s="60">
        <v>1420</v>
      </c>
      <c r="AK98" s="60">
        <v>4215</v>
      </c>
      <c r="AL98" s="60">
        <v>5</v>
      </c>
      <c r="AM98" s="60">
        <v>325</v>
      </c>
      <c r="AN98" s="60">
        <v>12</v>
      </c>
      <c r="AO98" s="60">
        <v>18075</v>
      </c>
      <c r="AP98" s="60">
        <v>309</v>
      </c>
      <c r="AQ98" s="60">
        <v>217</v>
      </c>
      <c r="AR98" s="60"/>
      <c r="AS98" s="60">
        <v>34</v>
      </c>
      <c r="AT98" s="60">
        <v>21</v>
      </c>
      <c r="AU98" s="60">
        <v>13</v>
      </c>
      <c r="AV98" s="60">
        <v>3</v>
      </c>
      <c r="AW98" s="60">
        <v>25</v>
      </c>
      <c r="AX98" s="60">
        <v>4</v>
      </c>
      <c r="AY98" s="60">
        <v>97</v>
      </c>
      <c r="AZ98" s="60">
        <v>23</v>
      </c>
      <c r="BA98" s="60">
        <v>23615</v>
      </c>
      <c r="BB98" s="60">
        <v>96</v>
      </c>
      <c r="BC98" s="60"/>
      <c r="BD98" s="60"/>
      <c r="BE98" s="60">
        <v>5871</v>
      </c>
      <c r="BF98" s="60">
        <v>4704</v>
      </c>
      <c r="BG98" s="60">
        <v>756</v>
      </c>
      <c r="BH98" s="60">
        <v>8267</v>
      </c>
      <c r="BI98" s="60">
        <v>4859</v>
      </c>
      <c r="BJ98" s="60">
        <v>728</v>
      </c>
      <c r="BK98" s="60">
        <v>82</v>
      </c>
      <c r="BL98" s="60">
        <v>498</v>
      </c>
      <c r="BM98" s="60"/>
      <c r="BN98" s="60">
        <v>1043</v>
      </c>
      <c r="BO98" s="60">
        <v>220</v>
      </c>
      <c r="BP98" s="60">
        <v>1151</v>
      </c>
      <c r="BQ98" s="60">
        <v>478</v>
      </c>
      <c r="BR98" s="60">
        <v>5771</v>
      </c>
      <c r="BS98" s="60">
        <v>1307</v>
      </c>
      <c r="BT98" s="60">
        <v>23</v>
      </c>
      <c r="BU98" s="60">
        <v>2156</v>
      </c>
      <c r="BV98" s="60">
        <v>1134</v>
      </c>
      <c r="BW98" s="60">
        <v>27</v>
      </c>
      <c r="BX98" s="60">
        <v>729</v>
      </c>
      <c r="BY98" s="60">
        <v>2546</v>
      </c>
      <c r="BZ98" s="60">
        <v>891</v>
      </c>
      <c r="CA98" s="60">
        <v>5673</v>
      </c>
      <c r="CB98" s="60"/>
      <c r="CC98" s="60"/>
      <c r="CD98" s="60">
        <v>1990</v>
      </c>
      <c r="CE98" s="60">
        <v>103</v>
      </c>
      <c r="CF98" s="60">
        <v>274</v>
      </c>
      <c r="CG98" s="60">
        <v>16</v>
      </c>
      <c r="CH98" s="60">
        <v>171</v>
      </c>
      <c r="CI98" s="60">
        <v>16</v>
      </c>
      <c r="CJ98" s="60">
        <v>230</v>
      </c>
      <c r="CK98" s="60">
        <v>306</v>
      </c>
      <c r="CL98" s="60">
        <v>17640</v>
      </c>
      <c r="CM98" s="60">
        <v>2677</v>
      </c>
      <c r="CN98" s="60">
        <v>115</v>
      </c>
      <c r="CO98" s="60">
        <v>734</v>
      </c>
      <c r="CP98" s="60">
        <v>47</v>
      </c>
      <c r="CQ98" s="60">
        <v>108</v>
      </c>
      <c r="CR98" s="60">
        <v>30</v>
      </c>
      <c r="CS98" s="60"/>
      <c r="CT98" s="60">
        <v>24457</v>
      </c>
      <c r="CU98" s="60">
        <v>91</v>
      </c>
      <c r="CV98" s="60">
        <v>23689</v>
      </c>
      <c r="CW98" s="60">
        <v>677</v>
      </c>
      <c r="CX98" s="60">
        <v>4690</v>
      </c>
      <c r="CY98" s="60">
        <v>3498</v>
      </c>
      <c r="CZ98" s="60"/>
      <c r="DA98" s="60"/>
      <c r="DB98" s="60">
        <v>199</v>
      </c>
      <c r="DC98" s="60">
        <v>219</v>
      </c>
      <c r="DD98" s="60">
        <v>361</v>
      </c>
      <c r="DE98" s="60">
        <v>541</v>
      </c>
      <c r="DF98" s="60">
        <v>798</v>
      </c>
      <c r="DG98" s="60">
        <v>1051</v>
      </c>
      <c r="DH98" s="60">
        <v>1492</v>
      </c>
      <c r="DI98" s="60">
        <v>3144</v>
      </c>
      <c r="DJ98" s="60">
        <v>131</v>
      </c>
      <c r="DK98" s="60">
        <v>252</v>
      </c>
      <c r="DL98" s="60"/>
      <c r="DM98" s="60">
        <v>164</v>
      </c>
      <c r="DN98" s="60">
        <v>222</v>
      </c>
      <c r="DO98" s="60">
        <v>686</v>
      </c>
      <c r="DP98" s="60">
        <v>69</v>
      </c>
      <c r="DQ98" s="60">
        <v>1</v>
      </c>
      <c r="DR98" s="60">
        <v>7046</v>
      </c>
      <c r="DS98" s="60"/>
      <c r="DT98" s="60">
        <v>104</v>
      </c>
      <c r="DU98" s="60">
        <v>129</v>
      </c>
      <c r="DV98" s="60">
        <v>281</v>
      </c>
      <c r="DW98" s="60">
        <v>1253</v>
      </c>
      <c r="DX98" s="60">
        <v>101</v>
      </c>
      <c r="DY98" s="60">
        <v>34</v>
      </c>
      <c r="DZ98" s="60">
        <v>179</v>
      </c>
      <c r="EA98" s="60">
        <v>4625</v>
      </c>
      <c r="EB98" s="60">
        <v>1482</v>
      </c>
      <c r="EC98" s="60"/>
      <c r="ED98" s="60">
        <v>0</v>
      </c>
      <c r="EE98" s="60">
        <v>0</v>
      </c>
      <c r="EF98" s="60">
        <v>0</v>
      </c>
      <c r="EG98" s="60">
        <v>0</v>
      </c>
      <c r="EH98" s="60">
        <v>0</v>
      </c>
      <c r="EI98" s="60">
        <v>1022</v>
      </c>
      <c r="EJ98" s="60">
        <v>4706</v>
      </c>
      <c r="EK98" s="60">
        <v>103</v>
      </c>
      <c r="EL98" s="60">
        <v>2177</v>
      </c>
      <c r="EM98" s="60">
        <v>180</v>
      </c>
      <c r="EN98" s="60">
        <v>111</v>
      </c>
      <c r="EO98" s="60">
        <v>139</v>
      </c>
      <c r="EP98" s="60">
        <v>1549</v>
      </c>
      <c r="EQ98" s="60">
        <v>14</v>
      </c>
      <c r="ER98" s="60">
        <v>1172</v>
      </c>
      <c r="ES98" s="60">
        <v>363</v>
      </c>
      <c r="ET98" s="60">
        <v>507</v>
      </c>
      <c r="EU98" s="60">
        <v>858</v>
      </c>
      <c r="EV98" s="60">
        <v>772</v>
      </c>
      <c r="EW98" s="60">
        <v>193</v>
      </c>
      <c r="EX98" s="60">
        <v>210</v>
      </c>
      <c r="EY98" s="60">
        <v>209</v>
      </c>
      <c r="EZ98" s="60">
        <v>16</v>
      </c>
      <c r="FA98" s="60">
        <v>74</v>
      </c>
      <c r="FB98" s="60">
        <v>995</v>
      </c>
      <c r="FC98" s="60">
        <v>245</v>
      </c>
      <c r="FD98" s="60">
        <v>748</v>
      </c>
      <c r="FE98" s="60"/>
      <c r="FF98" s="60">
        <v>13</v>
      </c>
      <c r="FG98" s="60"/>
      <c r="FH98" s="60">
        <v>543</v>
      </c>
      <c r="FI98" s="60">
        <v>49</v>
      </c>
      <c r="FJ98" s="60">
        <v>682</v>
      </c>
      <c r="FK98" s="60">
        <v>6</v>
      </c>
      <c r="FL98" s="60">
        <v>16</v>
      </c>
      <c r="FM98" s="60">
        <v>521</v>
      </c>
      <c r="FN98" s="60">
        <v>22</v>
      </c>
      <c r="FO98" s="60">
        <v>6098</v>
      </c>
      <c r="FP98" s="60">
        <v>135</v>
      </c>
      <c r="FQ98" s="60">
        <v>5</v>
      </c>
      <c r="FR98" s="60">
        <v>29</v>
      </c>
      <c r="FS98" s="60">
        <v>18</v>
      </c>
      <c r="FT98" s="60">
        <v>37</v>
      </c>
      <c r="FU98" s="60">
        <v>26</v>
      </c>
      <c r="FV98" s="60">
        <v>1</v>
      </c>
      <c r="FW98" s="60"/>
      <c r="FX98" s="60">
        <v>8188</v>
      </c>
      <c r="FY98" s="60">
        <v>166</v>
      </c>
      <c r="FZ98" s="60">
        <v>7869</v>
      </c>
      <c r="GA98" s="60">
        <v>153</v>
      </c>
      <c r="GB98" s="60">
        <v>2011</v>
      </c>
    </row>
    <row r="99" spans="1:184" x14ac:dyDescent="0.3">
      <c r="A99" s="60">
        <v>106190521</v>
      </c>
      <c r="B99" s="61" t="s">
        <v>464</v>
      </c>
      <c r="C99" s="61" t="s">
        <v>465</v>
      </c>
      <c r="D99" s="61" t="s">
        <v>466</v>
      </c>
      <c r="E99" s="61" t="s">
        <v>467</v>
      </c>
      <c r="F99" s="60">
        <v>90247</v>
      </c>
      <c r="G99" s="61"/>
      <c r="H99" s="61" t="s">
        <v>1669</v>
      </c>
      <c r="I99" s="60">
        <v>51</v>
      </c>
      <c r="J99" s="60">
        <v>25</v>
      </c>
      <c r="K99" s="61" t="s">
        <v>1824</v>
      </c>
      <c r="L99" s="61" t="s">
        <v>354</v>
      </c>
      <c r="M99" s="61" t="s">
        <v>1778</v>
      </c>
      <c r="N99" s="61" t="s">
        <v>1779</v>
      </c>
      <c r="O99" s="61" t="s">
        <v>1673</v>
      </c>
      <c r="P99" s="61" t="s">
        <v>341</v>
      </c>
      <c r="Q99" s="61" t="s">
        <v>1674</v>
      </c>
      <c r="R99" s="60">
        <v>103</v>
      </c>
      <c r="S99" s="61" t="s">
        <v>1675</v>
      </c>
      <c r="T99" s="60">
        <v>16185</v>
      </c>
      <c r="U99" s="60">
        <v>11861</v>
      </c>
      <c r="V99" s="60"/>
      <c r="W99" s="60"/>
      <c r="X99" s="60">
        <v>4112</v>
      </c>
      <c r="Y99" s="60">
        <v>3610</v>
      </c>
      <c r="Z99" s="60">
        <v>5794</v>
      </c>
      <c r="AA99" s="60">
        <v>4080</v>
      </c>
      <c r="AB99" s="60">
        <v>3590</v>
      </c>
      <c r="AC99" s="60">
        <v>3057</v>
      </c>
      <c r="AD99" s="60">
        <v>1519</v>
      </c>
      <c r="AE99" s="60">
        <v>767</v>
      </c>
      <c r="AF99" s="60">
        <v>561</v>
      </c>
      <c r="AG99" s="60">
        <v>956</v>
      </c>
      <c r="AH99" s="60"/>
      <c r="AI99" s="60">
        <v>734</v>
      </c>
      <c r="AJ99" s="60">
        <v>15145</v>
      </c>
      <c r="AK99" s="60">
        <v>9955</v>
      </c>
      <c r="AL99" s="60">
        <v>55</v>
      </c>
      <c r="AM99" s="60">
        <v>354</v>
      </c>
      <c r="AN99" s="60">
        <v>38</v>
      </c>
      <c r="AO99" s="60">
        <v>1765</v>
      </c>
      <c r="AP99" s="60">
        <v>862</v>
      </c>
      <c r="AQ99" s="60">
        <v>2461</v>
      </c>
      <c r="AR99" s="60">
        <v>11</v>
      </c>
      <c r="AS99" s="60">
        <v>88</v>
      </c>
      <c r="AT99" s="60">
        <v>4</v>
      </c>
      <c r="AU99" s="60"/>
      <c r="AV99" s="60"/>
      <c r="AW99" s="60">
        <v>1</v>
      </c>
      <c r="AX99" s="60"/>
      <c r="AY99" s="60">
        <v>77</v>
      </c>
      <c r="AZ99" s="60">
        <v>40</v>
      </c>
      <c r="BA99" s="60">
        <v>24350</v>
      </c>
      <c r="BB99" s="60">
        <v>152</v>
      </c>
      <c r="BC99" s="60"/>
      <c r="BD99" s="60"/>
      <c r="BE99" s="60">
        <v>12127</v>
      </c>
      <c r="BF99" s="60">
        <v>2174</v>
      </c>
      <c r="BG99" s="60">
        <v>652</v>
      </c>
      <c r="BH99" s="60">
        <v>5323</v>
      </c>
      <c r="BI99" s="60">
        <v>7770</v>
      </c>
      <c r="BJ99" s="60">
        <v>1453</v>
      </c>
      <c r="BK99" s="60">
        <v>78</v>
      </c>
      <c r="BL99" s="60">
        <v>613</v>
      </c>
      <c r="BM99" s="60">
        <v>14</v>
      </c>
      <c r="BN99" s="60">
        <v>1376</v>
      </c>
      <c r="BO99" s="60">
        <v>446</v>
      </c>
      <c r="BP99" s="60">
        <v>1591</v>
      </c>
      <c r="BQ99" s="60">
        <v>464</v>
      </c>
      <c r="BR99" s="60">
        <v>5887</v>
      </c>
      <c r="BS99" s="60">
        <v>1500</v>
      </c>
      <c r="BT99" s="60">
        <v>86</v>
      </c>
      <c r="BU99" s="60">
        <v>1723</v>
      </c>
      <c r="BV99" s="60">
        <v>1296</v>
      </c>
      <c r="BW99" s="60">
        <v>23</v>
      </c>
      <c r="BX99" s="60">
        <v>1180</v>
      </c>
      <c r="BY99" s="60">
        <v>3372</v>
      </c>
      <c r="BZ99" s="60">
        <v>1199</v>
      </c>
      <c r="CA99" s="60">
        <v>5745</v>
      </c>
      <c r="CB99" s="60"/>
      <c r="CC99" s="60"/>
      <c r="CD99" s="60">
        <v>1745</v>
      </c>
      <c r="CE99" s="60">
        <v>42</v>
      </c>
      <c r="CF99" s="60">
        <v>239</v>
      </c>
      <c r="CG99" s="60">
        <v>16</v>
      </c>
      <c r="CH99" s="60">
        <v>576</v>
      </c>
      <c r="CI99" s="60">
        <v>105</v>
      </c>
      <c r="CJ99" s="60">
        <v>88</v>
      </c>
      <c r="CK99" s="60">
        <v>328</v>
      </c>
      <c r="CL99" s="60">
        <v>21209</v>
      </c>
      <c r="CM99" s="60">
        <v>2321</v>
      </c>
      <c r="CN99" s="60">
        <v>156</v>
      </c>
      <c r="CO99" s="60">
        <v>924</v>
      </c>
      <c r="CP99" s="60">
        <v>118</v>
      </c>
      <c r="CQ99" s="60">
        <v>134</v>
      </c>
      <c r="CR99" s="60">
        <v>45</v>
      </c>
      <c r="CS99" s="60"/>
      <c r="CT99" s="60">
        <v>28046</v>
      </c>
      <c r="CU99" s="60">
        <v>127</v>
      </c>
      <c r="CV99" s="60">
        <v>23424</v>
      </c>
      <c r="CW99" s="60">
        <v>4495</v>
      </c>
      <c r="CX99" s="60">
        <v>3299</v>
      </c>
      <c r="CY99" s="60">
        <v>2115</v>
      </c>
      <c r="CZ99" s="60"/>
      <c r="DA99" s="60"/>
      <c r="DB99" s="60">
        <v>137</v>
      </c>
      <c r="DC99" s="60">
        <v>576</v>
      </c>
      <c r="DD99" s="60">
        <v>523</v>
      </c>
      <c r="DE99" s="60">
        <v>657</v>
      </c>
      <c r="DF99" s="60">
        <v>1008</v>
      </c>
      <c r="DG99" s="60">
        <v>897</v>
      </c>
      <c r="DH99" s="60">
        <v>749</v>
      </c>
      <c r="DI99" s="60">
        <v>864</v>
      </c>
      <c r="DJ99" s="60">
        <v>3</v>
      </c>
      <c r="DK99" s="60"/>
      <c r="DL99" s="60"/>
      <c r="DM99" s="60">
        <v>256</v>
      </c>
      <c r="DN99" s="60">
        <v>2899</v>
      </c>
      <c r="DO99" s="60">
        <v>1615</v>
      </c>
      <c r="DP99" s="60">
        <v>81</v>
      </c>
      <c r="DQ99" s="60">
        <v>15</v>
      </c>
      <c r="DR99" s="60">
        <v>533</v>
      </c>
      <c r="DS99" s="60">
        <v>15</v>
      </c>
      <c r="DT99" s="60">
        <v>237</v>
      </c>
      <c r="DU99" s="60">
        <v>272</v>
      </c>
      <c r="DV99" s="60">
        <v>136</v>
      </c>
      <c r="DW99" s="60">
        <v>215</v>
      </c>
      <c r="DX99" s="60">
        <v>30</v>
      </c>
      <c r="DY99" s="60">
        <v>48</v>
      </c>
      <c r="DZ99" s="60">
        <v>33</v>
      </c>
      <c r="EA99" s="60">
        <v>3384</v>
      </c>
      <c r="EB99" s="60">
        <v>1059</v>
      </c>
      <c r="EC99" s="60"/>
      <c r="ED99" s="60">
        <v>0</v>
      </c>
      <c r="EE99" s="60">
        <v>0</v>
      </c>
      <c r="EF99" s="60">
        <v>0</v>
      </c>
      <c r="EG99" s="60">
        <v>0</v>
      </c>
      <c r="EH99" s="60">
        <v>0</v>
      </c>
      <c r="EI99" s="60">
        <v>2169</v>
      </c>
      <c r="EJ99" s="60">
        <v>2138</v>
      </c>
      <c r="EK99" s="60">
        <v>34</v>
      </c>
      <c r="EL99" s="60">
        <v>500</v>
      </c>
      <c r="EM99" s="60">
        <v>573</v>
      </c>
      <c r="EN99" s="60">
        <v>671</v>
      </c>
      <c r="EO99" s="60">
        <v>71</v>
      </c>
      <c r="EP99" s="60">
        <v>1026</v>
      </c>
      <c r="EQ99" s="60">
        <v>2</v>
      </c>
      <c r="ER99" s="60">
        <v>672</v>
      </c>
      <c r="ES99" s="60">
        <v>293</v>
      </c>
      <c r="ET99" s="60">
        <v>291</v>
      </c>
      <c r="EU99" s="60">
        <v>615</v>
      </c>
      <c r="EV99" s="60">
        <v>282</v>
      </c>
      <c r="EW99" s="60">
        <v>75</v>
      </c>
      <c r="EX99" s="60">
        <v>87</v>
      </c>
      <c r="EY99" s="60">
        <v>195</v>
      </c>
      <c r="EZ99" s="60">
        <v>8</v>
      </c>
      <c r="FA99" s="60">
        <v>53</v>
      </c>
      <c r="FB99" s="60">
        <v>656</v>
      </c>
      <c r="FC99" s="60">
        <v>126</v>
      </c>
      <c r="FD99" s="60">
        <v>288</v>
      </c>
      <c r="FE99" s="60">
        <v>3</v>
      </c>
      <c r="FF99" s="60"/>
      <c r="FG99" s="60"/>
      <c r="FH99" s="60">
        <v>214</v>
      </c>
      <c r="FI99" s="60">
        <v>14</v>
      </c>
      <c r="FJ99" s="60">
        <v>171</v>
      </c>
      <c r="FK99" s="60">
        <v>13</v>
      </c>
      <c r="FL99" s="60">
        <v>45</v>
      </c>
      <c r="FM99" s="60">
        <v>262</v>
      </c>
      <c r="FN99" s="60">
        <v>8</v>
      </c>
      <c r="FO99" s="60">
        <v>4536</v>
      </c>
      <c r="FP99" s="60">
        <v>73</v>
      </c>
      <c r="FQ99" s="60">
        <v>5</v>
      </c>
      <c r="FR99" s="60">
        <v>15</v>
      </c>
      <c r="FS99" s="60">
        <v>24</v>
      </c>
      <c r="FT99" s="60">
        <v>5</v>
      </c>
      <c r="FU99" s="60">
        <v>26</v>
      </c>
      <c r="FV99" s="60">
        <v>3</v>
      </c>
      <c r="FW99" s="60"/>
      <c r="FX99" s="60">
        <v>5414</v>
      </c>
      <c r="FY99" s="60">
        <v>39</v>
      </c>
      <c r="FZ99" s="60">
        <v>4476</v>
      </c>
      <c r="GA99" s="60">
        <v>899</v>
      </c>
      <c r="GB99" s="60">
        <v>2011</v>
      </c>
    </row>
    <row r="100" spans="1:184" x14ac:dyDescent="0.3">
      <c r="A100" s="60">
        <v>106190522</v>
      </c>
      <c r="B100" s="61" t="s">
        <v>468</v>
      </c>
      <c r="C100" s="61" t="s">
        <v>469</v>
      </c>
      <c r="D100" s="61" t="s">
        <v>470</v>
      </c>
      <c r="E100" s="61" t="s">
        <v>414</v>
      </c>
      <c r="F100" s="60">
        <v>91204</v>
      </c>
      <c r="G100" s="61"/>
      <c r="H100" s="61" t="s">
        <v>1669</v>
      </c>
      <c r="I100" s="60">
        <v>43</v>
      </c>
      <c r="J100" s="60">
        <v>21</v>
      </c>
      <c r="K100" s="61" t="s">
        <v>1806</v>
      </c>
      <c r="L100" s="61" t="s">
        <v>404</v>
      </c>
      <c r="M100" s="61" t="s">
        <v>1778</v>
      </c>
      <c r="N100" s="61" t="s">
        <v>1779</v>
      </c>
      <c r="O100" s="61" t="s">
        <v>1673</v>
      </c>
      <c r="P100" s="61" t="s">
        <v>1678</v>
      </c>
      <c r="Q100" s="61" t="s">
        <v>1674</v>
      </c>
      <c r="R100" s="60">
        <v>255</v>
      </c>
      <c r="S100" s="61" t="s">
        <v>1675</v>
      </c>
      <c r="T100" s="60">
        <v>12440</v>
      </c>
      <c r="U100" s="60">
        <v>10453</v>
      </c>
      <c r="V100" s="60"/>
      <c r="W100" s="60"/>
      <c r="X100" s="60">
        <v>2617</v>
      </c>
      <c r="Y100" s="60">
        <v>2216</v>
      </c>
      <c r="Z100" s="60">
        <v>3482</v>
      </c>
      <c r="AA100" s="60">
        <v>3116</v>
      </c>
      <c r="AB100" s="60">
        <v>2936</v>
      </c>
      <c r="AC100" s="60">
        <v>2585</v>
      </c>
      <c r="AD100" s="60">
        <v>2082</v>
      </c>
      <c r="AE100" s="60">
        <v>1736</v>
      </c>
      <c r="AF100" s="60">
        <v>1519</v>
      </c>
      <c r="AG100" s="60">
        <v>604</v>
      </c>
      <c r="AH100" s="60"/>
      <c r="AI100" s="60">
        <v>1342</v>
      </c>
      <c r="AJ100" s="60">
        <v>781</v>
      </c>
      <c r="AK100" s="60">
        <v>9166</v>
      </c>
      <c r="AL100" s="60">
        <v>3</v>
      </c>
      <c r="AM100" s="60">
        <v>2368</v>
      </c>
      <c r="AN100" s="60">
        <v>36</v>
      </c>
      <c r="AO100" s="60">
        <v>9197</v>
      </c>
      <c r="AP100" s="60">
        <v>86</v>
      </c>
      <c r="AQ100" s="60">
        <v>556</v>
      </c>
      <c r="AR100" s="60">
        <v>407</v>
      </c>
      <c r="AS100" s="60">
        <v>35</v>
      </c>
      <c r="AT100" s="60">
        <v>10</v>
      </c>
      <c r="AU100" s="60">
        <v>2</v>
      </c>
      <c r="AV100" s="60">
        <v>2</v>
      </c>
      <c r="AW100" s="60"/>
      <c r="AX100" s="60"/>
      <c r="AY100" s="60">
        <v>42</v>
      </c>
      <c r="AZ100" s="60"/>
      <c r="BA100" s="60">
        <v>21696</v>
      </c>
      <c r="BB100" s="60">
        <v>57</v>
      </c>
      <c r="BC100" s="60"/>
      <c r="BD100" s="60"/>
      <c r="BE100" s="60">
        <v>8774</v>
      </c>
      <c r="BF100" s="60">
        <v>4502</v>
      </c>
      <c r="BG100" s="60">
        <v>974</v>
      </c>
      <c r="BH100" s="60">
        <v>4850</v>
      </c>
      <c r="BI100" s="60">
        <v>3793</v>
      </c>
      <c r="BJ100" s="60">
        <v>673</v>
      </c>
      <c r="BK100" s="60">
        <v>55</v>
      </c>
      <c r="BL100" s="60">
        <v>562</v>
      </c>
      <c r="BM100" s="60"/>
      <c r="BN100" s="60">
        <v>982</v>
      </c>
      <c r="BO100" s="60">
        <v>236</v>
      </c>
      <c r="BP100" s="60">
        <v>1305</v>
      </c>
      <c r="BQ100" s="60">
        <v>448</v>
      </c>
      <c r="BR100" s="60">
        <v>5303</v>
      </c>
      <c r="BS100" s="60">
        <v>1219</v>
      </c>
      <c r="BT100" s="60">
        <v>18</v>
      </c>
      <c r="BU100" s="60">
        <v>1183</v>
      </c>
      <c r="BV100" s="60">
        <v>917</v>
      </c>
      <c r="BW100" s="60">
        <v>49</v>
      </c>
      <c r="BX100" s="60">
        <v>866</v>
      </c>
      <c r="BY100" s="60">
        <v>2045</v>
      </c>
      <c r="BZ100" s="60">
        <v>983</v>
      </c>
      <c r="CA100" s="60">
        <v>6049</v>
      </c>
      <c r="CB100" s="60"/>
      <c r="CC100" s="60"/>
      <c r="CD100" s="60">
        <v>1737</v>
      </c>
      <c r="CE100" s="60">
        <v>51</v>
      </c>
      <c r="CF100" s="60">
        <v>199</v>
      </c>
      <c r="CG100" s="60">
        <v>7</v>
      </c>
      <c r="CH100" s="60">
        <v>211</v>
      </c>
      <c r="CI100" s="60">
        <v>13</v>
      </c>
      <c r="CJ100" s="60">
        <v>20</v>
      </c>
      <c r="CK100" s="60">
        <v>227</v>
      </c>
      <c r="CL100" s="60">
        <v>17191</v>
      </c>
      <c r="CM100" s="60">
        <v>2343</v>
      </c>
      <c r="CN100" s="60">
        <v>87</v>
      </c>
      <c r="CO100" s="60">
        <v>609</v>
      </c>
      <c r="CP100" s="60">
        <v>30</v>
      </c>
      <c r="CQ100" s="60">
        <v>159</v>
      </c>
      <c r="CR100" s="60">
        <v>9</v>
      </c>
      <c r="CS100" s="60"/>
      <c r="CT100" s="60">
        <v>22893</v>
      </c>
      <c r="CU100" s="60">
        <v>1787</v>
      </c>
      <c r="CV100" s="60">
        <v>18558</v>
      </c>
      <c r="CW100" s="60">
        <v>2548</v>
      </c>
      <c r="CX100" s="60">
        <v>3495</v>
      </c>
      <c r="CY100" s="60">
        <v>3182</v>
      </c>
      <c r="CZ100" s="60"/>
      <c r="DA100" s="60"/>
      <c r="DB100" s="60">
        <v>52</v>
      </c>
      <c r="DC100" s="60">
        <v>257</v>
      </c>
      <c r="DD100" s="60">
        <v>344</v>
      </c>
      <c r="DE100" s="60">
        <v>509</v>
      </c>
      <c r="DF100" s="60">
        <v>892</v>
      </c>
      <c r="DG100" s="60">
        <v>1161</v>
      </c>
      <c r="DH100" s="60">
        <v>1443</v>
      </c>
      <c r="DI100" s="60">
        <v>1969</v>
      </c>
      <c r="DJ100" s="60">
        <v>48</v>
      </c>
      <c r="DK100" s="60">
        <v>2</v>
      </c>
      <c r="DL100" s="60"/>
      <c r="DM100" s="60">
        <v>575</v>
      </c>
      <c r="DN100" s="60">
        <v>206</v>
      </c>
      <c r="DO100" s="60">
        <v>1681</v>
      </c>
      <c r="DP100" s="60">
        <v>612</v>
      </c>
      <c r="DQ100" s="60">
        <v>20</v>
      </c>
      <c r="DR100" s="60">
        <v>3582</v>
      </c>
      <c r="DS100" s="60">
        <v>1</v>
      </c>
      <c r="DT100" s="60">
        <v>119</v>
      </c>
      <c r="DU100" s="60">
        <v>209</v>
      </c>
      <c r="DV100" s="60">
        <v>257</v>
      </c>
      <c r="DW100" s="60">
        <v>807</v>
      </c>
      <c r="DX100" s="60">
        <v>172</v>
      </c>
      <c r="DY100" s="60">
        <v>54</v>
      </c>
      <c r="DZ100" s="60">
        <v>105</v>
      </c>
      <c r="EA100" s="60">
        <v>3908</v>
      </c>
      <c r="EB100" s="60">
        <v>1046</v>
      </c>
      <c r="EC100" s="60"/>
      <c r="ED100" s="60">
        <v>0</v>
      </c>
      <c r="EE100" s="60">
        <v>0</v>
      </c>
      <c r="EF100" s="60">
        <v>0</v>
      </c>
      <c r="EG100" s="60">
        <v>0</v>
      </c>
      <c r="EH100" s="60">
        <v>0</v>
      </c>
      <c r="EI100" s="60">
        <v>1929</v>
      </c>
      <c r="EJ100" s="60">
        <v>3642</v>
      </c>
      <c r="EK100" s="60">
        <v>37</v>
      </c>
      <c r="EL100" s="60">
        <v>770</v>
      </c>
      <c r="EM100" s="60">
        <v>299</v>
      </c>
      <c r="EN100" s="60">
        <v>101</v>
      </c>
      <c r="EO100" s="60">
        <v>99</v>
      </c>
      <c r="EP100" s="60">
        <v>1623</v>
      </c>
      <c r="EQ100" s="60">
        <v>3</v>
      </c>
      <c r="ER100" s="60">
        <v>992</v>
      </c>
      <c r="ES100" s="60">
        <v>273</v>
      </c>
      <c r="ET100" s="60">
        <v>400</v>
      </c>
      <c r="EU100" s="60">
        <v>671</v>
      </c>
      <c r="EV100" s="60">
        <v>457</v>
      </c>
      <c r="EW100" s="60">
        <v>157</v>
      </c>
      <c r="EX100" s="60">
        <v>199</v>
      </c>
      <c r="EY100" s="60">
        <v>168</v>
      </c>
      <c r="EZ100" s="60">
        <v>21</v>
      </c>
      <c r="FA100" s="60">
        <v>71</v>
      </c>
      <c r="FB100" s="60">
        <v>806</v>
      </c>
      <c r="FC100" s="60">
        <v>149</v>
      </c>
      <c r="FD100" s="60">
        <v>450</v>
      </c>
      <c r="FE100" s="60"/>
      <c r="FF100" s="60">
        <v>37</v>
      </c>
      <c r="FG100" s="60"/>
      <c r="FH100" s="60">
        <v>340</v>
      </c>
      <c r="FI100" s="60">
        <v>24</v>
      </c>
      <c r="FJ100" s="60">
        <v>346</v>
      </c>
      <c r="FK100" s="60">
        <v>5</v>
      </c>
      <c r="FL100" s="60">
        <v>23</v>
      </c>
      <c r="FM100" s="60">
        <v>170</v>
      </c>
      <c r="FN100" s="60">
        <v>15</v>
      </c>
      <c r="FO100" s="60">
        <v>5629</v>
      </c>
      <c r="FP100" s="60">
        <v>64</v>
      </c>
      <c r="FQ100" s="60">
        <v>5</v>
      </c>
      <c r="FR100" s="60">
        <v>24</v>
      </c>
      <c r="FS100" s="60">
        <v>10</v>
      </c>
      <c r="FT100" s="60">
        <v>8</v>
      </c>
      <c r="FU100" s="60">
        <v>13</v>
      </c>
      <c r="FV100" s="60">
        <v>1</v>
      </c>
      <c r="FW100" s="60"/>
      <c r="FX100" s="60">
        <v>6677</v>
      </c>
      <c r="FY100" s="60">
        <v>1471</v>
      </c>
      <c r="FZ100" s="60">
        <v>4395</v>
      </c>
      <c r="GA100" s="60">
        <v>811</v>
      </c>
      <c r="GB100" s="60">
        <v>2011</v>
      </c>
    </row>
    <row r="101" spans="1:184" x14ac:dyDescent="0.3">
      <c r="A101" s="60">
        <v>106190524</v>
      </c>
      <c r="B101" s="61" t="s">
        <v>471</v>
      </c>
      <c r="C101" s="61" t="s">
        <v>472</v>
      </c>
      <c r="D101" s="61" t="s">
        <v>473</v>
      </c>
      <c r="E101" s="61" t="s">
        <v>449</v>
      </c>
      <c r="F101" s="60">
        <v>91402</v>
      </c>
      <c r="G101" s="61"/>
      <c r="H101" s="61" t="s">
        <v>1669</v>
      </c>
      <c r="I101" s="60">
        <v>39</v>
      </c>
      <c r="J101" s="60">
        <v>20</v>
      </c>
      <c r="K101" s="61" t="s">
        <v>1816</v>
      </c>
      <c r="L101" s="61" t="s">
        <v>404</v>
      </c>
      <c r="M101" s="61" t="s">
        <v>1778</v>
      </c>
      <c r="N101" s="61" t="s">
        <v>1779</v>
      </c>
      <c r="O101" s="61" t="s">
        <v>1673</v>
      </c>
      <c r="P101" s="61" t="s">
        <v>1678</v>
      </c>
      <c r="Q101" s="61" t="s">
        <v>1674</v>
      </c>
      <c r="R101" s="60">
        <v>85</v>
      </c>
      <c r="S101" s="61" t="s">
        <v>1675</v>
      </c>
      <c r="T101" s="60">
        <v>7094</v>
      </c>
      <c r="U101" s="60">
        <v>5864</v>
      </c>
      <c r="V101" s="60"/>
      <c r="W101" s="60"/>
      <c r="X101" s="60">
        <v>1879</v>
      </c>
      <c r="Y101" s="60">
        <v>1949</v>
      </c>
      <c r="Z101" s="60">
        <v>2068</v>
      </c>
      <c r="AA101" s="60">
        <v>1931</v>
      </c>
      <c r="AB101" s="60">
        <v>1939</v>
      </c>
      <c r="AC101" s="60">
        <v>1407</v>
      </c>
      <c r="AD101" s="60">
        <v>785</v>
      </c>
      <c r="AE101" s="60">
        <v>389</v>
      </c>
      <c r="AF101" s="60">
        <v>340</v>
      </c>
      <c r="AG101" s="60">
        <v>271</v>
      </c>
      <c r="AH101" s="60"/>
      <c r="AI101" s="60">
        <v>717</v>
      </c>
      <c r="AJ101" s="60">
        <v>1390</v>
      </c>
      <c r="AK101" s="60">
        <v>8160</v>
      </c>
      <c r="AL101" s="60">
        <v>9</v>
      </c>
      <c r="AM101" s="60">
        <v>35</v>
      </c>
      <c r="AN101" s="60">
        <v>1</v>
      </c>
      <c r="AO101" s="60">
        <v>2646</v>
      </c>
      <c r="AP101" s="60">
        <v>158</v>
      </c>
      <c r="AQ101" s="60">
        <v>201</v>
      </c>
      <c r="AR101" s="60">
        <v>37</v>
      </c>
      <c r="AS101" s="60">
        <v>15</v>
      </c>
      <c r="AT101" s="60">
        <v>38</v>
      </c>
      <c r="AU101" s="60">
        <v>3</v>
      </c>
      <c r="AV101" s="60"/>
      <c r="AW101" s="60">
        <v>1</v>
      </c>
      <c r="AX101" s="60">
        <v>95</v>
      </c>
      <c r="AY101" s="60">
        <v>28</v>
      </c>
      <c r="AZ101" s="60">
        <v>5</v>
      </c>
      <c r="BA101" s="60">
        <v>11859</v>
      </c>
      <c r="BB101" s="60">
        <v>201</v>
      </c>
      <c r="BC101" s="60">
        <v>314</v>
      </c>
      <c r="BD101" s="60">
        <v>3</v>
      </c>
      <c r="BE101" s="60">
        <v>7349</v>
      </c>
      <c r="BF101" s="60">
        <v>1675</v>
      </c>
      <c r="BG101" s="60">
        <v>263</v>
      </c>
      <c r="BH101" s="60">
        <v>883</v>
      </c>
      <c r="BI101" s="60">
        <v>2788</v>
      </c>
      <c r="BJ101" s="60">
        <v>151</v>
      </c>
      <c r="BK101" s="60">
        <v>66</v>
      </c>
      <c r="BL101" s="60">
        <v>253</v>
      </c>
      <c r="BM101" s="60">
        <v>7</v>
      </c>
      <c r="BN101" s="60">
        <v>720</v>
      </c>
      <c r="BO101" s="60">
        <v>166</v>
      </c>
      <c r="BP101" s="60">
        <v>761</v>
      </c>
      <c r="BQ101" s="60">
        <v>370</v>
      </c>
      <c r="BR101" s="60">
        <v>2620</v>
      </c>
      <c r="BS101" s="60">
        <v>820</v>
      </c>
      <c r="BT101" s="60">
        <v>20</v>
      </c>
      <c r="BU101" s="60">
        <v>1044</v>
      </c>
      <c r="BV101" s="60">
        <v>525</v>
      </c>
      <c r="BW101" s="60">
        <v>6</v>
      </c>
      <c r="BX101" s="60">
        <v>1021</v>
      </c>
      <c r="BY101" s="60">
        <v>1734</v>
      </c>
      <c r="BZ101" s="60">
        <v>581</v>
      </c>
      <c r="CA101" s="60">
        <v>2093</v>
      </c>
      <c r="CB101" s="60"/>
      <c r="CC101" s="60"/>
      <c r="CD101" s="60">
        <v>832</v>
      </c>
      <c r="CE101" s="60">
        <v>35</v>
      </c>
      <c r="CF101" s="60">
        <v>80</v>
      </c>
      <c r="CG101" s="60">
        <v>2</v>
      </c>
      <c r="CH101" s="60">
        <v>260</v>
      </c>
      <c r="CI101" s="60">
        <v>17</v>
      </c>
      <c r="CJ101" s="60">
        <v>17</v>
      </c>
      <c r="CK101" s="60">
        <v>163</v>
      </c>
      <c r="CL101" s="60">
        <v>10076</v>
      </c>
      <c r="CM101" s="60">
        <v>1010</v>
      </c>
      <c r="CN101" s="60">
        <v>32</v>
      </c>
      <c r="CO101" s="60">
        <v>317</v>
      </c>
      <c r="CP101" s="60">
        <v>32</v>
      </c>
      <c r="CQ101" s="60">
        <v>41</v>
      </c>
      <c r="CR101" s="60">
        <v>44</v>
      </c>
      <c r="CS101" s="60"/>
      <c r="CT101" s="60">
        <v>12958</v>
      </c>
      <c r="CU101" s="60">
        <v>249</v>
      </c>
      <c r="CV101" s="60">
        <v>8320</v>
      </c>
      <c r="CW101" s="60">
        <v>4389</v>
      </c>
      <c r="CX101" s="60">
        <v>2237</v>
      </c>
      <c r="CY101" s="60">
        <v>2544</v>
      </c>
      <c r="CZ101" s="60"/>
      <c r="DA101" s="60"/>
      <c r="DB101" s="60">
        <v>87</v>
      </c>
      <c r="DC101" s="60">
        <v>464</v>
      </c>
      <c r="DD101" s="60">
        <v>548</v>
      </c>
      <c r="DE101" s="60">
        <v>813</v>
      </c>
      <c r="DF101" s="60">
        <v>935</v>
      </c>
      <c r="DG101" s="60">
        <v>593</v>
      </c>
      <c r="DH101" s="60">
        <v>532</v>
      </c>
      <c r="DI101" s="60">
        <v>809</v>
      </c>
      <c r="DJ101" s="60"/>
      <c r="DK101" s="60"/>
      <c r="DL101" s="60"/>
      <c r="DM101" s="60">
        <v>389</v>
      </c>
      <c r="DN101" s="60">
        <v>722</v>
      </c>
      <c r="DO101" s="60">
        <v>1540</v>
      </c>
      <c r="DP101" s="60">
        <v>15</v>
      </c>
      <c r="DQ101" s="60">
        <v>3</v>
      </c>
      <c r="DR101" s="60">
        <v>2109</v>
      </c>
      <c r="DS101" s="60">
        <v>3</v>
      </c>
      <c r="DT101" s="60">
        <v>19</v>
      </c>
      <c r="DU101" s="60">
        <v>174</v>
      </c>
      <c r="DV101" s="60">
        <v>82</v>
      </c>
      <c r="DW101" s="60">
        <v>316</v>
      </c>
      <c r="DX101" s="60">
        <v>172</v>
      </c>
      <c r="DY101" s="60">
        <v>26</v>
      </c>
      <c r="DZ101" s="60"/>
      <c r="EA101" s="60">
        <v>2983</v>
      </c>
      <c r="EB101" s="60">
        <v>1007</v>
      </c>
      <c r="EC101" s="60">
        <v>2</v>
      </c>
      <c r="ED101" s="60">
        <v>0</v>
      </c>
      <c r="EE101" s="60">
        <v>0</v>
      </c>
      <c r="EF101" s="60">
        <v>0</v>
      </c>
      <c r="EG101" s="60">
        <v>0</v>
      </c>
      <c r="EH101" s="60">
        <v>0</v>
      </c>
      <c r="EI101" s="60">
        <v>1603</v>
      </c>
      <c r="EJ101" s="60">
        <v>2246</v>
      </c>
      <c r="EK101" s="60">
        <v>70</v>
      </c>
      <c r="EL101" s="60">
        <v>390</v>
      </c>
      <c r="EM101" s="60">
        <v>472</v>
      </c>
      <c r="EN101" s="60">
        <v>2</v>
      </c>
      <c r="EO101" s="60">
        <v>48</v>
      </c>
      <c r="EP101" s="60">
        <v>459</v>
      </c>
      <c r="EQ101" s="60">
        <v>1</v>
      </c>
      <c r="ER101" s="60">
        <v>351</v>
      </c>
      <c r="ES101" s="60">
        <v>169</v>
      </c>
      <c r="ET101" s="60">
        <v>180</v>
      </c>
      <c r="EU101" s="60">
        <v>441</v>
      </c>
      <c r="EV101" s="60">
        <v>233</v>
      </c>
      <c r="EW101" s="60">
        <v>50</v>
      </c>
      <c r="EX101" s="60">
        <v>36</v>
      </c>
      <c r="EY101" s="60">
        <v>146</v>
      </c>
      <c r="EZ101" s="60">
        <v>2</v>
      </c>
      <c r="FA101" s="60">
        <v>1974</v>
      </c>
      <c r="FB101" s="60">
        <v>371</v>
      </c>
      <c r="FC101" s="60">
        <v>112</v>
      </c>
      <c r="FD101" s="60">
        <v>206</v>
      </c>
      <c r="FE101" s="60"/>
      <c r="FF101" s="60"/>
      <c r="FG101" s="60"/>
      <c r="FH101" s="60">
        <v>143</v>
      </c>
      <c r="FI101" s="60">
        <v>11</v>
      </c>
      <c r="FJ101" s="60">
        <v>109</v>
      </c>
      <c r="FK101" s="60">
        <v>17</v>
      </c>
      <c r="FL101" s="60">
        <v>41</v>
      </c>
      <c r="FM101" s="60">
        <v>138</v>
      </c>
      <c r="FN101" s="60">
        <v>6</v>
      </c>
      <c r="FO101" s="60">
        <v>4115</v>
      </c>
      <c r="FP101" s="60">
        <v>78</v>
      </c>
      <c r="FQ101" s="60">
        <v>1</v>
      </c>
      <c r="FR101" s="60">
        <v>8</v>
      </c>
      <c r="FS101" s="60">
        <v>92</v>
      </c>
      <c r="FT101" s="60">
        <v>4</v>
      </c>
      <c r="FU101" s="60">
        <v>18</v>
      </c>
      <c r="FV101" s="60"/>
      <c r="FW101" s="60"/>
      <c r="FX101" s="60">
        <v>4781</v>
      </c>
      <c r="FY101" s="60">
        <v>317</v>
      </c>
      <c r="FZ101" s="60">
        <v>3721</v>
      </c>
      <c r="GA101" s="60">
        <v>743</v>
      </c>
      <c r="GB101" s="60">
        <v>2011</v>
      </c>
    </row>
    <row r="102" spans="1:184" x14ac:dyDescent="0.3">
      <c r="A102" s="60">
        <v>106190525</v>
      </c>
      <c r="B102" s="61" t="s">
        <v>474</v>
      </c>
      <c r="C102" s="61" t="s">
        <v>475</v>
      </c>
      <c r="D102" s="61" t="s">
        <v>476</v>
      </c>
      <c r="E102" s="61" t="s">
        <v>356</v>
      </c>
      <c r="F102" s="60">
        <v>90806</v>
      </c>
      <c r="G102" s="61" t="s">
        <v>477</v>
      </c>
      <c r="H102" s="61" t="s">
        <v>1689</v>
      </c>
      <c r="I102" s="60">
        <v>54</v>
      </c>
      <c r="J102" s="60">
        <v>27</v>
      </c>
      <c r="K102" s="61" t="s">
        <v>1822</v>
      </c>
      <c r="L102" s="61" t="s">
        <v>354</v>
      </c>
      <c r="M102" s="61" t="s">
        <v>1778</v>
      </c>
      <c r="N102" s="61" t="s">
        <v>1779</v>
      </c>
      <c r="O102" s="61" t="s">
        <v>1673</v>
      </c>
      <c r="P102" s="61" t="s">
        <v>1678</v>
      </c>
      <c r="Q102" s="61" t="s">
        <v>1674</v>
      </c>
      <c r="R102" s="60">
        <v>420</v>
      </c>
      <c r="S102" s="61" t="s">
        <v>1675</v>
      </c>
      <c r="T102" s="60">
        <v>36887</v>
      </c>
      <c r="U102" s="60">
        <v>29358</v>
      </c>
      <c r="V102" s="60"/>
      <c r="W102" s="60"/>
      <c r="X102" s="60">
        <v>16222</v>
      </c>
      <c r="Y102" s="60">
        <v>8788</v>
      </c>
      <c r="Z102" s="60">
        <v>10156</v>
      </c>
      <c r="AA102" s="60">
        <v>7246</v>
      </c>
      <c r="AB102" s="60">
        <v>6615</v>
      </c>
      <c r="AC102" s="60">
        <v>5171</v>
      </c>
      <c r="AD102" s="60">
        <v>3051</v>
      </c>
      <c r="AE102" s="60">
        <v>1911</v>
      </c>
      <c r="AF102" s="60">
        <v>1758</v>
      </c>
      <c r="AG102" s="60">
        <v>5327</v>
      </c>
      <c r="AH102" s="60"/>
      <c r="AI102" s="60">
        <v>5055</v>
      </c>
      <c r="AJ102" s="60">
        <v>16398</v>
      </c>
      <c r="AK102" s="60">
        <v>31714</v>
      </c>
      <c r="AL102" s="60">
        <v>106</v>
      </c>
      <c r="AM102" s="60">
        <v>1376</v>
      </c>
      <c r="AN102" s="60">
        <v>35</v>
      </c>
      <c r="AO102" s="60">
        <v>11561</v>
      </c>
      <c r="AP102" s="60">
        <v>605</v>
      </c>
      <c r="AQ102" s="60">
        <v>2957</v>
      </c>
      <c r="AR102" s="60">
        <v>130</v>
      </c>
      <c r="AS102" s="60">
        <v>81</v>
      </c>
      <c r="AT102" s="60">
        <v>15</v>
      </c>
      <c r="AU102" s="60"/>
      <c r="AV102" s="60">
        <v>16</v>
      </c>
      <c r="AW102" s="60">
        <v>3</v>
      </c>
      <c r="AX102" s="60"/>
      <c r="AY102" s="60">
        <v>300</v>
      </c>
      <c r="AZ102" s="60"/>
      <c r="BA102" s="60">
        <v>61829</v>
      </c>
      <c r="BB102" s="60">
        <v>309</v>
      </c>
      <c r="BC102" s="60"/>
      <c r="BD102" s="60"/>
      <c r="BE102" s="60">
        <v>9954</v>
      </c>
      <c r="BF102" s="60">
        <v>5680</v>
      </c>
      <c r="BG102" s="60">
        <v>3832</v>
      </c>
      <c r="BH102" s="60">
        <v>36998</v>
      </c>
      <c r="BI102" s="60">
        <v>9781</v>
      </c>
      <c r="BJ102" s="60">
        <v>2600</v>
      </c>
      <c r="BK102" s="60">
        <v>345</v>
      </c>
      <c r="BL102" s="60">
        <v>1054</v>
      </c>
      <c r="BM102" s="60">
        <v>19</v>
      </c>
      <c r="BN102" s="60">
        <v>3074</v>
      </c>
      <c r="BO102" s="60">
        <v>600</v>
      </c>
      <c r="BP102" s="60">
        <v>3766</v>
      </c>
      <c r="BQ102" s="60">
        <v>1411</v>
      </c>
      <c r="BR102" s="60">
        <v>12022</v>
      </c>
      <c r="BS102" s="60">
        <v>3459</v>
      </c>
      <c r="BT102" s="60">
        <v>66</v>
      </c>
      <c r="BU102" s="60">
        <v>4083</v>
      </c>
      <c r="BV102" s="60">
        <v>2067</v>
      </c>
      <c r="BW102" s="60">
        <v>220</v>
      </c>
      <c r="BX102" s="60">
        <v>1216</v>
      </c>
      <c r="BY102" s="60">
        <v>8589</v>
      </c>
      <c r="BZ102" s="60">
        <v>2523</v>
      </c>
      <c r="CA102" s="60">
        <v>19125</v>
      </c>
      <c r="CB102" s="60">
        <v>4</v>
      </c>
      <c r="CC102" s="60">
        <v>2</v>
      </c>
      <c r="CD102" s="60">
        <v>4197</v>
      </c>
      <c r="CE102" s="60">
        <v>124</v>
      </c>
      <c r="CF102" s="60">
        <v>201</v>
      </c>
      <c r="CG102" s="60">
        <v>22</v>
      </c>
      <c r="CH102" s="60">
        <v>666</v>
      </c>
      <c r="CI102" s="60">
        <v>3</v>
      </c>
      <c r="CJ102" s="60">
        <v>7</v>
      </c>
      <c r="CK102" s="60">
        <v>463</v>
      </c>
      <c r="CL102" s="60">
        <v>53982</v>
      </c>
      <c r="CM102" s="60">
        <v>4299</v>
      </c>
      <c r="CN102" s="60">
        <v>305</v>
      </c>
      <c r="CO102" s="60">
        <v>1620</v>
      </c>
      <c r="CP102" s="60">
        <v>75</v>
      </c>
      <c r="CQ102" s="60">
        <v>261</v>
      </c>
      <c r="CR102" s="60">
        <v>20</v>
      </c>
      <c r="CS102" s="60"/>
      <c r="CT102" s="60">
        <v>66245</v>
      </c>
      <c r="CU102" s="60">
        <v>806</v>
      </c>
      <c r="CV102" s="60">
        <v>55533</v>
      </c>
      <c r="CW102" s="60">
        <v>9906</v>
      </c>
      <c r="CX102" s="60">
        <v>8015</v>
      </c>
      <c r="CY102" s="60">
        <v>6698</v>
      </c>
      <c r="CZ102" s="60"/>
      <c r="DA102" s="60"/>
      <c r="DB102" s="60">
        <v>220</v>
      </c>
      <c r="DC102" s="60">
        <v>1332</v>
      </c>
      <c r="DD102" s="60">
        <v>1204</v>
      </c>
      <c r="DE102" s="60">
        <v>1782</v>
      </c>
      <c r="DF102" s="60">
        <v>2590</v>
      </c>
      <c r="DG102" s="60">
        <v>2400</v>
      </c>
      <c r="DH102" s="60">
        <v>2330</v>
      </c>
      <c r="DI102" s="60">
        <v>2839</v>
      </c>
      <c r="DJ102" s="60">
        <v>6</v>
      </c>
      <c r="DK102" s="60">
        <v>10</v>
      </c>
      <c r="DL102" s="60"/>
      <c r="DM102" s="60">
        <v>1866</v>
      </c>
      <c r="DN102" s="60">
        <v>3305</v>
      </c>
      <c r="DO102" s="60">
        <v>3839</v>
      </c>
      <c r="DP102" s="60">
        <v>133</v>
      </c>
      <c r="DQ102" s="60">
        <v>27</v>
      </c>
      <c r="DR102" s="60">
        <v>5520</v>
      </c>
      <c r="DS102" s="60">
        <v>23</v>
      </c>
      <c r="DT102" s="60">
        <v>607</v>
      </c>
      <c r="DU102" s="60">
        <v>400</v>
      </c>
      <c r="DV102" s="60">
        <v>396</v>
      </c>
      <c r="DW102" s="60">
        <v>1271</v>
      </c>
      <c r="DX102" s="60">
        <v>250</v>
      </c>
      <c r="DY102" s="60">
        <v>7</v>
      </c>
      <c r="DZ102" s="60">
        <v>57</v>
      </c>
      <c r="EA102" s="60">
        <v>9920</v>
      </c>
      <c r="EB102" s="60">
        <v>1797</v>
      </c>
      <c r="EC102" s="60">
        <v>8</v>
      </c>
      <c r="ED102" s="60">
        <v>0</v>
      </c>
      <c r="EE102" s="60">
        <v>0</v>
      </c>
      <c r="EF102" s="60">
        <v>0</v>
      </c>
      <c r="EG102" s="60">
        <v>0</v>
      </c>
      <c r="EH102" s="60">
        <v>0</v>
      </c>
      <c r="EI102" s="60">
        <v>3126</v>
      </c>
      <c r="EJ102" s="60">
        <v>6604</v>
      </c>
      <c r="EK102" s="60">
        <v>182</v>
      </c>
      <c r="EL102" s="60">
        <v>2994</v>
      </c>
      <c r="EM102" s="60">
        <v>1807</v>
      </c>
      <c r="EN102" s="60">
        <v>164</v>
      </c>
      <c r="EO102" s="60">
        <v>441</v>
      </c>
      <c r="EP102" s="60">
        <v>2952</v>
      </c>
      <c r="EQ102" s="60">
        <v>5</v>
      </c>
      <c r="ER102" s="60">
        <v>2143</v>
      </c>
      <c r="ES102" s="60">
        <v>808</v>
      </c>
      <c r="ET102" s="60">
        <v>862</v>
      </c>
      <c r="EU102" s="60">
        <v>692</v>
      </c>
      <c r="EV102" s="60">
        <v>1689</v>
      </c>
      <c r="EW102" s="60">
        <v>391</v>
      </c>
      <c r="EX102" s="60">
        <v>466</v>
      </c>
      <c r="EY102" s="60">
        <v>377</v>
      </c>
      <c r="EZ102" s="60">
        <v>37</v>
      </c>
      <c r="FA102" s="60">
        <v>171</v>
      </c>
      <c r="FB102" s="60">
        <v>1370</v>
      </c>
      <c r="FC102" s="60">
        <v>366</v>
      </c>
      <c r="FD102" s="60">
        <v>1778</v>
      </c>
      <c r="FE102" s="60"/>
      <c r="FF102" s="60">
        <v>1</v>
      </c>
      <c r="FG102" s="60"/>
      <c r="FH102" s="60">
        <v>712</v>
      </c>
      <c r="FI102" s="60">
        <v>57</v>
      </c>
      <c r="FJ102" s="60">
        <v>442</v>
      </c>
      <c r="FK102" s="60">
        <v>126</v>
      </c>
      <c r="FL102" s="60">
        <v>5</v>
      </c>
      <c r="FM102" s="60">
        <v>15</v>
      </c>
      <c r="FN102" s="60">
        <v>12</v>
      </c>
      <c r="FO102" s="60">
        <v>12796</v>
      </c>
      <c r="FP102" s="60">
        <v>107</v>
      </c>
      <c r="FQ102" s="60">
        <v>41</v>
      </c>
      <c r="FR102" s="60">
        <v>326</v>
      </c>
      <c r="FS102" s="60">
        <v>41</v>
      </c>
      <c r="FT102" s="60">
        <v>15</v>
      </c>
      <c r="FU102" s="60">
        <v>16</v>
      </c>
      <c r="FV102" s="60">
        <v>1</v>
      </c>
      <c r="FW102" s="60">
        <v>1</v>
      </c>
      <c r="FX102" s="60">
        <v>14713</v>
      </c>
      <c r="FY102" s="60">
        <v>642</v>
      </c>
      <c r="FZ102" s="60">
        <v>12454</v>
      </c>
      <c r="GA102" s="60">
        <v>1617</v>
      </c>
      <c r="GB102" s="60">
        <v>2011</v>
      </c>
    </row>
    <row r="103" spans="1:184" x14ac:dyDescent="0.3">
      <c r="A103" s="60">
        <v>106190529</v>
      </c>
      <c r="B103" s="61" t="s">
        <v>478</v>
      </c>
      <c r="C103" s="61" t="s">
        <v>479</v>
      </c>
      <c r="D103" s="61" t="s">
        <v>480</v>
      </c>
      <c r="E103" s="61" t="s">
        <v>481</v>
      </c>
      <c r="F103" s="60">
        <v>91007</v>
      </c>
      <c r="G103" s="61"/>
      <c r="H103" s="61" t="s">
        <v>1669</v>
      </c>
      <c r="I103" s="60">
        <v>44</v>
      </c>
      <c r="J103" s="60">
        <v>29</v>
      </c>
      <c r="K103" s="61" t="s">
        <v>1825</v>
      </c>
      <c r="L103" s="61" t="s">
        <v>344</v>
      </c>
      <c r="M103" s="61" t="s">
        <v>1778</v>
      </c>
      <c r="N103" s="61" t="s">
        <v>1779</v>
      </c>
      <c r="O103" s="61" t="s">
        <v>1673</v>
      </c>
      <c r="P103" s="61" t="s">
        <v>1678</v>
      </c>
      <c r="Q103" s="61" t="s">
        <v>1674</v>
      </c>
      <c r="R103" s="60">
        <v>574</v>
      </c>
      <c r="S103" s="61" t="s">
        <v>1675</v>
      </c>
      <c r="T103" s="60">
        <v>15192</v>
      </c>
      <c r="U103" s="60">
        <v>12285</v>
      </c>
      <c r="V103" s="60"/>
      <c r="W103" s="60"/>
      <c r="X103" s="60">
        <v>4003</v>
      </c>
      <c r="Y103" s="60">
        <v>3045</v>
      </c>
      <c r="Z103" s="60">
        <v>3968</v>
      </c>
      <c r="AA103" s="60">
        <v>3167</v>
      </c>
      <c r="AB103" s="60">
        <v>3272</v>
      </c>
      <c r="AC103" s="60">
        <v>2832</v>
      </c>
      <c r="AD103" s="60">
        <v>2204</v>
      </c>
      <c r="AE103" s="60">
        <v>1819</v>
      </c>
      <c r="AF103" s="60">
        <v>2368</v>
      </c>
      <c r="AG103" s="60">
        <v>799</v>
      </c>
      <c r="AH103" s="60"/>
      <c r="AI103" s="60">
        <v>3232</v>
      </c>
      <c r="AJ103" s="60">
        <v>2054</v>
      </c>
      <c r="AK103" s="60">
        <v>11722</v>
      </c>
      <c r="AL103" s="60">
        <v>15</v>
      </c>
      <c r="AM103" s="60">
        <v>1024</v>
      </c>
      <c r="AN103" s="60"/>
      <c r="AO103" s="60">
        <v>9430</v>
      </c>
      <c r="AP103" s="60">
        <v>722</v>
      </c>
      <c r="AQ103" s="60">
        <v>582</v>
      </c>
      <c r="AR103" s="60"/>
      <c r="AS103" s="60">
        <v>88</v>
      </c>
      <c r="AT103" s="60">
        <v>5</v>
      </c>
      <c r="AU103" s="60">
        <v>5</v>
      </c>
      <c r="AV103" s="60">
        <v>9</v>
      </c>
      <c r="AW103" s="60">
        <v>3</v>
      </c>
      <c r="AX103" s="60">
        <v>397</v>
      </c>
      <c r="AY103" s="60">
        <v>59</v>
      </c>
      <c r="AZ103" s="60">
        <v>3</v>
      </c>
      <c r="BA103" s="60">
        <v>25307</v>
      </c>
      <c r="BB103" s="60">
        <v>296</v>
      </c>
      <c r="BC103" s="60">
        <v>1</v>
      </c>
      <c r="BD103" s="60"/>
      <c r="BE103" s="60">
        <v>2205</v>
      </c>
      <c r="BF103" s="60">
        <v>5896</v>
      </c>
      <c r="BG103" s="60">
        <v>559</v>
      </c>
      <c r="BH103" s="60">
        <v>14150</v>
      </c>
      <c r="BI103" s="60">
        <v>4667</v>
      </c>
      <c r="BJ103" s="60">
        <v>602</v>
      </c>
      <c r="BK103" s="60">
        <v>55</v>
      </c>
      <c r="BL103" s="60">
        <v>736</v>
      </c>
      <c r="BM103" s="60">
        <v>7</v>
      </c>
      <c r="BN103" s="60">
        <v>1101</v>
      </c>
      <c r="BO103" s="60">
        <v>362</v>
      </c>
      <c r="BP103" s="60">
        <v>1318</v>
      </c>
      <c r="BQ103" s="60">
        <v>331</v>
      </c>
      <c r="BR103" s="60">
        <v>7074</v>
      </c>
      <c r="BS103" s="60">
        <v>1498</v>
      </c>
      <c r="BT103" s="60">
        <v>36</v>
      </c>
      <c r="BU103" s="60">
        <v>1416</v>
      </c>
      <c r="BV103" s="60">
        <v>1164</v>
      </c>
      <c r="BW103" s="60">
        <v>33</v>
      </c>
      <c r="BX103" s="60">
        <v>874</v>
      </c>
      <c r="BY103" s="60">
        <v>2467</v>
      </c>
      <c r="BZ103" s="60">
        <v>963</v>
      </c>
      <c r="CA103" s="60">
        <v>7440</v>
      </c>
      <c r="CB103" s="60"/>
      <c r="CC103" s="60"/>
      <c r="CD103" s="60">
        <v>2549</v>
      </c>
      <c r="CE103" s="60">
        <v>91</v>
      </c>
      <c r="CF103" s="60">
        <v>219</v>
      </c>
      <c r="CG103" s="60">
        <v>20</v>
      </c>
      <c r="CH103" s="60">
        <v>324</v>
      </c>
      <c r="CI103" s="60">
        <v>215</v>
      </c>
      <c r="CJ103" s="60">
        <v>169</v>
      </c>
      <c r="CK103" s="60">
        <v>335</v>
      </c>
      <c r="CL103" s="60">
        <v>19071</v>
      </c>
      <c r="CM103" s="60">
        <v>3128</v>
      </c>
      <c r="CN103" s="60">
        <v>140</v>
      </c>
      <c r="CO103" s="60">
        <v>895</v>
      </c>
      <c r="CP103" s="60">
        <v>105</v>
      </c>
      <c r="CQ103" s="60">
        <v>186</v>
      </c>
      <c r="CR103" s="60">
        <v>29</v>
      </c>
      <c r="CS103" s="60">
        <v>1</v>
      </c>
      <c r="CT103" s="60">
        <v>27477</v>
      </c>
      <c r="CU103" s="60">
        <v>707</v>
      </c>
      <c r="CV103" s="60">
        <v>24809</v>
      </c>
      <c r="CW103" s="60">
        <v>1961</v>
      </c>
      <c r="CX103" s="60">
        <v>5635</v>
      </c>
      <c r="CY103" s="60">
        <v>4893</v>
      </c>
      <c r="CZ103" s="60"/>
      <c r="DA103" s="60"/>
      <c r="DB103" s="60">
        <v>147</v>
      </c>
      <c r="DC103" s="60">
        <v>359</v>
      </c>
      <c r="DD103" s="60">
        <v>481</v>
      </c>
      <c r="DE103" s="60">
        <v>975</v>
      </c>
      <c r="DF103" s="60">
        <v>1337</v>
      </c>
      <c r="DG103" s="60">
        <v>1690</v>
      </c>
      <c r="DH103" s="60">
        <v>1902</v>
      </c>
      <c r="DI103" s="60">
        <v>3517</v>
      </c>
      <c r="DJ103" s="60">
        <v>24</v>
      </c>
      <c r="DK103" s="60">
        <v>96</v>
      </c>
      <c r="DL103" s="60"/>
      <c r="DM103" s="60">
        <v>1669</v>
      </c>
      <c r="DN103" s="60">
        <v>527</v>
      </c>
      <c r="DO103" s="60">
        <v>2902</v>
      </c>
      <c r="DP103" s="60">
        <v>328</v>
      </c>
      <c r="DQ103" s="60">
        <v>1</v>
      </c>
      <c r="DR103" s="60">
        <v>5096</v>
      </c>
      <c r="DS103" s="60">
        <v>5</v>
      </c>
      <c r="DT103" s="60">
        <v>224</v>
      </c>
      <c r="DU103" s="60">
        <v>139</v>
      </c>
      <c r="DV103" s="60">
        <v>385</v>
      </c>
      <c r="DW103" s="60">
        <v>727</v>
      </c>
      <c r="DX103" s="60">
        <v>501</v>
      </c>
      <c r="DY103" s="60">
        <v>80</v>
      </c>
      <c r="DZ103" s="60"/>
      <c r="EA103" s="60">
        <v>6127</v>
      </c>
      <c r="EB103" s="60">
        <v>2344</v>
      </c>
      <c r="EC103" s="60">
        <v>1</v>
      </c>
      <c r="ED103" s="60">
        <v>0</v>
      </c>
      <c r="EE103" s="60">
        <v>0</v>
      </c>
      <c r="EF103" s="60">
        <v>0</v>
      </c>
      <c r="EG103" s="60">
        <v>0</v>
      </c>
      <c r="EH103" s="60">
        <v>0</v>
      </c>
      <c r="EI103" s="60">
        <v>820</v>
      </c>
      <c r="EJ103" s="60">
        <v>6425</v>
      </c>
      <c r="EK103" s="60">
        <v>74</v>
      </c>
      <c r="EL103" s="60">
        <v>2631</v>
      </c>
      <c r="EM103" s="60">
        <v>578</v>
      </c>
      <c r="EN103" s="60">
        <v>97</v>
      </c>
      <c r="EO103" s="60">
        <v>146</v>
      </c>
      <c r="EP103" s="60">
        <v>2132</v>
      </c>
      <c r="EQ103" s="60">
        <v>1</v>
      </c>
      <c r="ER103" s="60">
        <v>1408</v>
      </c>
      <c r="ES103" s="60">
        <v>463</v>
      </c>
      <c r="ET103" s="60">
        <v>596</v>
      </c>
      <c r="EU103" s="60">
        <v>973</v>
      </c>
      <c r="EV103" s="60">
        <v>1071</v>
      </c>
      <c r="EW103" s="60">
        <v>237</v>
      </c>
      <c r="EX103" s="60">
        <v>268</v>
      </c>
      <c r="EY103" s="60">
        <v>318</v>
      </c>
      <c r="EZ103" s="60">
        <v>9</v>
      </c>
      <c r="FA103" s="60">
        <v>157</v>
      </c>
      <c r="FB103" s="60">
        <v>1337</v>
      </c>
      <c r="FC103" s="60">
        <v>256</v>
      </c>
      <c r="FD103" s="60">
        <v>1054</v>
      </c>
      <c r="FE103" s="60"/>
      <c r="FF103" s="60">
        <v>5</v>
      </c>
      <c r="FG103" s="60"/>
      <c r="FH103" s="60">
        <v>888</v>
      </c>
      <c r="FI103" s="60">
        <v>47</v>
      </c>
      <c r="FJ103" s="60">
        <v>614</v>
      </c>
      <c r="FK103" s="60">
        <v>17</v>
      </c>
      <c r="FL103" s="60">
        <v>39</v>
      </c>
      <c r="FM103" s="60">
        <v>308</v>
      </c>
      <c r="FN103" s="60">
        <v>25</v>
      </c>
      <c r="FO103" s="60">
        <v>8257</v>
      </c>
      <c r="FP103" s="60">
        <v>167</v>
      </c>
      <c r="FQ103" s="60">
        <v>18</v>
      </c>
      <c r="FR103" s="60">
        <v>45</v>
      </c>
      <c r="FS103" s="60">
        <v>32</v>
      </c>
      <c r="FT103" s="60">
        <v>53</v>
      </c>
      <c r="FU103" s="60">
        <v>15</v>
      </c>
      <c r="FV103" s="60">
        <v>3</v>
      </c>
      <c r="FW103" s="60"/>
      <c r="FX103" s="60">
        <v>10528</v>
      </c>
      <c r="FY103" s="60">
        <v>902</v>
      </c>
      <c r="FZ103" s="60">
        <v>8753</v>
      </c>
      <c r="GA103" s="60">
        <v>873</v>
      </c>
      <c r="GB103" s="60">
        <v>2011</v>
      </c>
    </row>
    <row r="104" spans="1:184" x14ac:dyDescent="0.3">
      <c r="A104" s="60">
        <v>106190534</v>
      </c>
      <c r="B104" s="61" t="s">
        <v>482</v>
      </c>
      <c r="C104" s="61" t="s">
        <v>483</v>
      </c>
      <c r="D104" s="61" t="s">
        <v>1826</v>
      </c>
      <c r="E104" s="61" t="s">
        <v>340</v>
      </c>
      <c r="F104" s="60">
        <v>90036</v>
      </c>
      <c r="G104" s="61"/>
      <c r="H104" s="61" t="s">
        <v>1669</v>
      </c>
      <c r="I104" s="60">
        <v>47</v>
      </c>
      <c r="J104" s="60">
        <v>26</v>
      </c>
      <c r="K104" s="61" t="s">
        <v>1818</v>
      </c>
      <c r="L104" s="61" t="s">
        <v>369</v>
      </c>
      <c r="M104" s="61" t="s">
        <v>1778</v>
      </c>
      <c r="N104" s="61" t="s">
        <v>1779</v>
      </c>
      <c r="O104" s="61" t="s">
        <v>1673</v>
      </c>
      <c r="P104" s="61" t="s">
        <v>321</v>
      </c>
      <c r="Q104" s="61" t="s">
        <v>1674</v>
      </c>
      <c r="R104" s="60">
        <v>204</v>
      </c>
      <c r="S104" s="61" t="s">
        <v>1675</v>
      </c>
      <c r="T104" s="60">
        <v>10411</v>
      </c>
      <c r="U104" s="60">
        <v>8695</v>
      </c>
      <c r="V104" s="60"/>
      <c r="W104" s="60"/>
      <c r="X104" s="60">
        <v>1002</v>
      </c>
      <c r="Y104" s="60">
        <v>1464</v>
      </c>
      <c r="Z104" s="60">
        <v>3404</v>
      </c>
      <c r="AA104" s="60">
        <v>3150</v>
      </c>
      <c r="AB104" s="60">
        <v>3194</v>
      </c>
      <c r="AC104" s="60">
        <v>2964</v>
      </c>
      <c r="AD104" s="60">
        <v>1637</v>
      </c>
      <c r="AE104" s="60">
        <v>943</v>
      </c>
      <c r="AF104" s="60">
        <v>1235</v>
      </c>
      <c r="AG104" s="60">
        <v>113</v>
      </c>
      <c r="AH104" s="60"/>
      <c r="AI104" s="60">
        <v>739</v>
      </c>
      <c r="AJ104" s="60">
        <v>8546</v>
      </c>
      <c r="AK104" s="60">
        <v>3167</v>
      </c>
      <c r="AL104" s="60"/>
      <c r="AM104" s="60">
        <v>1591</v>
      </c>
      <c r="AN104" s="60">
        <v>37</v>
      </c>
      <c r="AO104" s="60">
        <v>5026</v>
      </c>
      <c r="AP104" s="60">
        <v>879</v>
      </c>
      <c r="AQ104" s="60">
        <v>643</v>
      </c>
      <c r="AR104" s="60">
        <v>50</v>
      </c>
      <c r="AS104" s="60">
        <v>75</v>
      </c>
      <c r="AT104" s="60">
        <v>32</v>
      </c>
      <c r="AU104" s="60">
        <v>4</v>
      </c>
      <c r="AV104" s="60">
        <v>4</v>
      </c>
      <c r="AW104" s="60"/>
      <c r="AX104" s="60"/>
      <c r="AY104" s="60">
        <v>98</v>
      </c>
      <c r="AZ104" s="60"/>
      <c r="BA104" s="60">
        <v>17253</v>
      </c>
      <c r="BB104" s="60">
        <v>68</v>
      </c>
      <c r="BC104" s="60"/>
      <c r="BD104" s="60"/>
      <c r="BE104" s="60">
        <v>5930</v>
      </c>
      <c r="BF104" s="60">
        <v>3613</v>
      </c>
      <c r="BG104" s="60">
        <v>1038</v>
      </c>
      <c r="BH104" s="60">
        <v>4072</v>
      </c>
      <c r="BI104" s="60">
        <v>4453</v>
      </c>
      <c r="BJ104" s="60">
        <v>254</v>
      </c>
      <c r="BK104" s="60">
        <v>130</v>
      </c>
      <c r="BL104" s="60">
        <v>535</v>
      </c>
      <c r="BM104" s="60">
        <v>2</v>
      </c>
      <c r="BN104" s="60">
        <v>910</v>
      </c>
      <c r="BO104" s="60">
        <v>306</v>
      </c>
      <c r="BP104" s="60">
        <v>1099</v>
      </c>
      <c r="BQ104" s="60">
        <v>429</v>
      </c>
      <c r="BR104" s="60">
        <v>4908</v>
      </c>
      <c r="BS104" s="60">
        <v>927</v>
      </c>
      <c r="BT104" s="60">
        <v>22</v>
      </c>
      <c r="BU104" s="60">
        <v>1737</v>
      </c>
      <c r="BV104" s="60">
        <v>970</v>
      </c>
      <c r="BW104" s="60">
        <v>2</v>
      </c>
      <c r="BX104" s="60">
        <v>1104</v>
      </c>
      <c r="BY104" s="60">
        <v>1580</v>
      </c>
      <c r="BZ104" s="60">
        <v>898</v>
      </c>
      <c r="CA104" s="60">
        <v>3291</v>
      </c>
      <c r="CB104" s="60">
        <v>1</v>
      </c>
      <c r="CC104" s="60">
        <v>1</v>
      </c>
      <c r="CD104" s="60">
        <v>1334</v>
      </c>
      <c r="CE104" s="60">
        <v>72</v>
      </c>
      <c r="CF104" s="60">
        <v>179</v>
      </c>
      <c r="CG104" s="60">
        <v>8</v>
      </c>
      <c r="CH104" s="60">
        <v>419</v>
      </c>
      <c r="CI104" s="60">
        <v>13</v>
      </c>
      <c r="CJ104" s="60">
        <v>166</v>
      </c>
      <c r="CK104" s="60">
        <v>218</v>
      </c>
      <c r="CL104" s="60">
        <v>13413</v>
      </c>
      <c r="CM104" s="60">
        <v>2228</v>
      </c>
      <c r="CN104" s="60">
        <v>87</v>
      </c>
      <c r="CO104" s="60">
        <v>783</v>
      </c>
      <c r="CP104" s="60">
        <v>77</v>
      </c>
      <c r="CQ104" s="60">
        <v>79</v>
      </c>
      <c r="CR104" s="60">
        <v>30</v>
      </c>
      <c r="CS104" s="60"/>
      <c r="CT104" s="60">
        <v>19106</v>
      </c>
      <c r="CU104" s="60">
        <v>360</v>
      </c>
      <c r="CV104" s="60">
        <v>17528</v>
      </c>
      <c r="CW104" s="60">
        <v>1218</v>
      </c>
      <c r="CX104" s="60">
        <v>2707</v>
      </c>
      <c r="CY104" s="60">
        <v>1991</v>
      </c>
      <c r="CZ104" s="60"/>
      <c r="DA104" s="60"/>
      <c r="DB104" s="60">
        <v>20</v>
      </c>
      <c r="DC104" s="60">
        <v>147</v>
      </c>
      <c r="DD104" s="60">
        <v>206</v>
      </c>
      <c r="DE104" s="60">
        <v>396</v>
      </c>
      <c r="DF104" s="60">
        <v>582</v>
      </c>
      <c r="DG104" s="60">
        <v>776</v>
      </c>
      <c r="DH104" s="60">
        <v>916</v>
      </c>
      <c r="DI104" s="60">
        <v>1655</v>
      </c>
      <c r="DJ104" s="60"/>
      <c r="DK104" s="60"/>
      <c r="DL104" s="60"/>
      <c r="DM104" s="60">
        <v>268</v>
      </c>
      <c r="DN104" s="60">
        <v>1951</v>
      </c>
      <c r="DO104" s="60">
        <v>498</v>
      </c>
      <c r="DP104" s="60">
        <v>295</v>
      </c>
      <c r="DQ104" s="60">
        <v>6</v>
      </c>
      <c r="DR104" s="60">
        <v>1675</v>
      </c>
      <c r="DS104" s="60">
        <v>5</v>
      </c>
      <c r="DT104" s="60">
        <v>189</v>
      </c>
      <c r="DU104" s="60">
        <v>151</v>
      </c>
      <c r="DV104" s="60">
        <v>235</v>
      </c>
      <c r="DW104" s="60">
        <v>543</v>
      </c>
      <c r="DX104" s="60">
        <v>62</v>
      </c>
      <c r="DY104" s="60">
        <v>28</v>
      </c>
      <c r="DZ104" s="60">
        <v>114</v>
      </c>
      <c r="EA104" s="60">
        <v>1796</v>
      </c>
      <c r="EB104" s="60">
        <v>1579</v>
      </c>
      <c r="EC104" s="60">
        <v>1</v>
      </c>
      <c r="ED104" s="60">
        <v>0</v>
      </c>
      <c r="EE104" s="60">
        <v>0</v>
      </c>
      <c r="EF104" s="60">
        <v>0</v>
      </c>
      <c r="EG104" s="60">
        <v>0</v>
      </c>
      <c r="EH104" s="60">
        <v>0</v>
      </c>
      <c r="EI104" s="60">
        <v>481</v>
      </c>
      <c r="EJ104" s="60">
        <v>3484</v>
      </c>
      <c r="EK104" s="60">
        <v>43</v>
      </c>
      <c r="EL104" s="60">
        <v>480</v>
      </c>
      <c r="EM104" s="60">
        <v>210</v>
      </c>
      <c r="EN104" s="60">
        <v>10</v>
      </c>
      <c r="EO104" s="60">
        <v>67</v>
      </c>
      <c r="EP104" s="60">
        <v>760</v>
      </c>
      <c r="EQ104" s="60"/>
      <c r="ER104" s="60">
        <v>567</v>
      </c>
      <c r="ES104" s="60">
        <v>213</v>
      </c>
      <c r="ET104" s="60">
        <v>394</v>
      </c>
      <c r="EU104" s="60">
        <v>893</v>
      </c>
      <c r="EV104" s="60">
        <v>385</v>
      </c>
      <c r="EW104" s="60">
        <v>122</v>
      </c>
      <c r="EX104" s="60">
        <v>78</v>
      </c>
      <c r="EY104" s="60">
        <v>150</v>
      </c>
      <c r="EZ104" s="60">
        <v>3</v>
      </c>
      <c r="FA104" s="60">
        <v>55</v>
      </c>
      <c r="FB104" s="60">
        <v>493</v>
      </c>
      <c r="FC104" s="60">
        <v>104</v>
      </c>
      <c r="FD104" s="60">
        <v>404</v>
      </c>
      <c r="FE104" s="60"/>
      <c r="FF104" s="60"/>
      <c r="FG104" s="60"/>
      <c r="FH104" s="60">
        <v>260</v>
      </c>
      <c r="FI104" s="60">
        <v>30</v>
      </c>
      <c r="FJ104" s="60">
        <v>341</v>
      </c>
      <c r="FK104" s="60">
        <v>7</v>
      </c>
      <c r="FL104" s="60">
        <v>14</v>
      </c>
      <c r="FM104" s="60">
        <v>344</v>
      </c>
      <c r="FN104" s="60">
        <v>6</v>
      </c>
      <c r="FO104" s="60">
        <v>3597</v>
      </c>
      <c r="FP104" s="60">
        <v>54</v>
      </c>
      <c r="FQ104" s="60"/>
      <c r="FR104" s="60">
        <v>13</v>
      </c>
      <c r="FS104" s="60">
        <v>20</v>
      </c>
      <c r="FT104" s="60">
        <v>7</v>
      </c>
      <c r="FU104" s="60">
        <v>5</v>
      </c>
      <c r="FV104" s="60"/>
      <c r="FW104" s="60"/>
      <c r="FX104" s="60">
        <v>4698</v>
      </c>
      <c r="FY104" s="60">
        <v>273</v>
      </c>
      <c r="FZ104" s="60">
        <v>4161</v>
      </c>
      <c r="GA104" s="60">
        <v>264</v>
      </c>
      <c r="GB104" s="60">
        <v>2011</v>
      </c>
    </row>
    <row r="105" spans="1:184" x14ac:dyDescent="0.3">
      <c r="A105" s="60">
        <v>106190547</v>
      </c>
      <c r="B105" s="61" t="s">
        <v>484</v>
      </c>
      <c r="C105" s="61" t="s">
        <v>485</v>
      </c>
      <c r="D105" s="61" t="s">
        <v>486</v>
      </c>
      <c r="E105" s="61" t="s">
        <v>412</v>
      </c>
      <c r="F105" s="60">
        <v>91754</v>
      </c>
      <c r="G105" s="61"/>
      <c r="H105" s="61" t="s">
        <v>1669</v>
      </c>
      <c r="I105" s="60">
        <v>49</v>
      </c>
      <c r="J105" s="60">
        <v>24</v>
      </c>
      <c r="K105" s="61" t="s">
        <v>1827</v>
      </c>
      <c r="L105" s="61" t="s">
        <v>344</v>
      </c>
      <c r="M105" s="61" t="s">
        <v>1778</v>
      </c>
      <c r="N105" s="61" t="s">
        <v>1779</v>
      </c>
      <c r="O105" s="61" t="s">
        <v>1673</v>
      </c>
      <c r="P105" s="61" t="s">
        <v>341</v>
      </c>
      <c r="Q105" s="61" t="s">
        <v>1674</v>
      </c>
      <c r="R105" s="60">
        <v>101</v>
      </c>
      <c r="S105" s="61" t="s">
        <v>1675</v>
      </c>
      <c r="T105" s="60">
        <v>6358</v>
      </c>
      <c r="U105" s="60">
        <v>4146</v>
      </c>
      <c r="V105" s="60"/>
      <c r="W105" s="60"/>
      <c r="X105" s="60">
        <v>1647</v>
      </c>
      <c r="Y105" s="60">
        <v>1204</v>
      </c>
      <c r="Z105" s="60">
        <v>1659</v>
      </c>
      <c r="AA105" s="60">
        <v>1360</v>
      </c>
      <c r="AB105" s="60">
        <v>1119</v>
      </c>
      <c r="AC105" s="60">
        <v>965</v>
      </c>
      <c r="AD105" s="60">
        <v>795</v>
      </c>
      <c r="AE105" s="60">
        <v>641</v>
      </c>
      <c r="AF105" s="60">
        <v>684</v>
      </c>
      <c r="AG105" s="60">
        <v>430</v>
      </c>
      <c r="AH105" s="60"/>
      <c r="AI105" s="60">
        <v>467</v>
      </c>
      <c r="AJ105" s="60">
        <v>141</v>
      </c>
      <c r="AK105" s="60">
        <v>9475</v>
      </c>
      <c r="AL105" s="60">
        <v>2</v>
      </c>
      <c r="AM105" s="60">
        <v>18</v>
      </c>
      <c r="AN105" s="60"/>
      <c r="AO105" s="60">
        <v>401</v>
      </c>
      <c r="AP105" s="60">
        <v>264</v>
      </c>
      <c r="AQ105" s="60">
        <v>130</v>
      </c>
      <c r="AR105" s="60">
        <v>5</v>
      </c>
      <c r="AS105" s="60">
        <v>15</v>
      </c>
      <c r="AT105" s="60">
        <v>4</v>
      </c>
      <c r="AU105" s="60">
        <v>1</v>
      </c>
      <c r="AV105" s="60"/>
      <c r="AW105" s="60"/>
      <c r="AX105" s="60"/>
      <c r="AY105" s="60">
        <v>14</v>
      </c>
      <c r="AZ105" s="60"/>
      <c r="BA105" s="60">
        <v>10064</v>
      </c>
      <c r="BB105" s="60">
        <v>7</v>
      </c>
      <c r="BC105" s="60"/>
      <c r="BD105" s="60"/>
      <c r="BE105" s="60">
        <v>1684</v>
      </c>
      <c r="BF105" s="60">
        <v>1652</v>
      </c>
      <c r="BG105" s="60">
        <v>164</v>
      </c>
      <c r="BH105" s="60">
        <v>5680</v>
      </c>
      <c r="BI105" s="60">
        <v>1324</v>
      </c>
      <c r="BJ105" s="60">
        <v>653</v>
      </c>
      <c r="BK105" s="60">
        <v>42</v>
      </c>
      <c r="BL105" s="60">
        <v>263</v>
      </c>
      <c r="BM105" s="60">
        <v>3</v>
      </c>
      <c r="BN105" s="60">
        <v>1112</v>
      </c>
      <c r="BO105" s="60">
        <v>239</v>
      </c>
      <c r="BP105" s="60">
        <v>770</v>
      </c>
      <c r="BQ105" s="60">
        <v>221</v>
      </c>
      <c r="BR105" s="60">
        <v>2238</v>
      </c>
      <c r="BS105" s="60">
        <v>439</v>
      </c>
      <c r="BT105" s="60">
        <v>21</v>
      </c>
      <c r="BU105" s="60">
        <v>764</v>
      </c>
      <c r="BV105" s="60">
        <v>145</v>
      </c>
      <c r="BW105" s="60">
        <v>40</v>
      </c>
      <c r="BX105" s="60">
        <v>495</v>
      </c>
      <c r="BY105" s="60">
        <v>1447</v>
      </c>
      <c r="BZ105" s="60">
        <v>375</v>
      </c>
      <c r="CA105" s="60">
        <v>1237</v>
      </c>
      <c r="CB105" s="60"/>
      <c r="CC105" s="60"/>
      <c r="CD105" s="60">
        <v>770</v>
      </c>
      <c r="CE105" s="60">
        <v>27</v>
      </c>
      <c r="CF105" s="60">
        <v>166</v>
      </c>
      <c r="CG105" s="60"/>
      <c r="CH105" s="60">
        <v>74</v>
      </c>
      <c r="CI105" s="60">
        <v>6</v>
      </c>
      <c r="CJ105" s="60">
        <v>72</v>
      </c>
      <c r="CK105" s="60">
        <v>110</v>
      </c>
      <c r="CL105" s="60">
        <v>7962</v>
      </c>
      <c r="CM105" s="60">
        <v>971</v>
      </c>
      <c r="CN105" s="60">
        <v>48</v>
      </c>
      <c r="CO105" s="60">
        <v>212</v>
      </c>
      <c r="CP105" s="60">
        <v>22</v>
      </c>
      <c r="CQ105" s="60">
        <v>57</v>
      </c>
      <c r="CR105" s="60">
        <v>7</v>
      </c>
      <c r="CS105" s="60"/>
      <c r="CT105" s="60">
        <v>10504</v>
      </c>
      <c r="CU105" s="60">
        <v>28</v>
      </c>
      <c r="CV105" s="60">
        <v>6326</v>
      </c>
      <c r="CW105" s="60">
        <v>4150</v>
      </c>
      <c r="CX105" s="60">
        <v>1346</v>
      </c>
      <c r="CY105" s="60">
        <v>852</v>
      </c>
      <c r="CZ105" s="60"/>
      <c r="DA105" s="60"/>
      <c r="DB105" s="60">
        <v>43</v>
      </c>
      <c r="DC105" s="60">
        <v>128</v>
      </c>
      <c r="DD105" s="60">
        <v>178</v>
      </c>
      <c r="DE105" s="60">
        <v>211</v>
      </c>
      <c r="DF105" s="60">
        <v>274</v>
      </c>
      <c r="DG105" s="60">
        <v>362</v>
      </c>
      <c r="DH105" s="60">
        <v>407</v>
      </c>
      <c r="DI105" s="60">
        <v>554</v>
      </c>
      <c r="DJ105" s="60">
        <v>8</v>
      </c>
      <c r="DK105" s="60">
        <v>33</v>
      </c>
      <c r="DL105" s="60"/>
      <c r="DM105" s="60">
        <v>144</v>
      </c>
      <c r="DN105" s="60">
        <v>49</v>
      </c>
      <c r="DO105" s="60">
        <v>1919</v>
      </c>
      <c r="DP105" s="60">
        <v>13</v>
      </c>
      <c r="DQ105" s="60">
        <v>3</v>
      </c>
      <c r="DR105" s="60">
        <v>70</v>
      </c>
      <c r="DS105" s="60"/>
      <c r="DT105" s="60">
        <v>74</v>
      </c>
      <c r="DU105" s="60">
        <v>49</v>
      </c>
      <c r="DV105" s="60">
        <v>53</v>
      </c>
      <c r="DW105" s="60">
        <v>335</v>
      </c>
      <c r="DX105" s="60">
        <v>17</v>
      </c>
      <c r="DY105" s="60"/>
      <c r="DZ105" s="60">
        <v>1</v>
      </c>
      <c r="EA105" s="60">
        <v>1457</v>
      </c>
      <c r="EB105" s="60">
        <v>212</v>
      </c>
      <c r="EC105" s="60"/>
      <c r="ED105" s="60">
        <v>0</v>
      </c>
      <c r="EE105" s="60">
        <v>0</v>
      </c>
      <c r="EF105" s="60">
        <v>0</v>
      </c>
      <c r="EG105" s="60">
        <v>0</v>
      </c>
      <c r="EH105" s="60">
        <v>0</v>
      </c>
      <c r="EI105" s="60">
        <v>707</v>
      </c>
      <c r="EJ105" s="60">
        <v>1032</v>
      </c>
      <c r="EK105" s="60">
        <v>40</v>
      </c>
      <c r="EL105" s="60">
        <v>337</v>
      </c>
      <c r="EM105" s="60">
        <v>82</v>
      </c>
      <c r="EN105" s="60">
        <v>94</v>
      </c>
      <c r="EO105" s="60">
        <v>53</v>
      </c>
      <c r="EP105" s="60">
        <v>381</v>
      </c>
      <c r="EQ105" s="60"/>
      <c r="ER105" s="60">
        <v>398</v>
      </c>
      <c r="ES105" s="60">
        <v>124</v>
      </c>
      <c r="ET105" s="60">
        <v>174</v>
      </c>
      <c r="EU105" s="60">
        <v>148</v>
      </c>
      <c r="EV105" s="60">
        <v>130</v>
      </c>
      <c r="EW105" s="60">
        <v>25</v>
      </c>
      <c r="EX105" s="60">
        <v>41</v>
      </c>
      <c r="EY105" s="60">
        <v>48</v>
      </c>
      <c r="EZ105" s="60">
        <v>3</v>
      </c>
      <c r="FA105" s="60">
        <v>14</v>
      </c>
      <c r="FB105" s="60">
        <v>306</v>
      </c>
      <c r="FC105" s="60">
        <v>85</v>
      </c>
      <c r="FD105" s="60">
        <v>169</v>
      </c>
      <c r="FE105" s="60"/>
      <c r="FF105" s="60">
        <v>5</v>
      </c>
      <c r="FG105" s="60"/>
      <c r="FH105" s="60">
        <v>82</v>
      </c>
      <c r="FI105" s="60">
        <v>8</v>
      </c>
      <c r="FJ105" s="60">
        <v>115</v>
      </c>
      <c r="FK105" s="60">
        <v>2</v>
      </c>
      <c r="FL105" s="60">
        <v>12</v>
      </c>
      <c r="FM105" s="60">
        <v>99</v>
      </c>
      <c r="FN105" s="60">
        <v>1</v>
      </c>
      <c r="FO105" s="60">
        <v>1844</v>
      </c>
      <c r="FP105" s="60">
        <v>19</v>
      </c>
      <c r="FQ105" s="60"/>
      <c r="FR105" s="60">
        <v>5</v>
      </c>
      <c r="FS105" s="60">
        <v>3</v>
      </c>
      <c r="FT105" s="60">
        <v>5</v>
      </c>
      <c r="FU105" s="60">
        <v>3</v>
      </c>
      <c r="FV105" s="60"/>
      <c r="FW105" s="60"/>
      <c r="FX105" s="60">
        <v>2198</v>
      </c>
      <c r="FY105" s="60">
        <v>11</v>
      </c>
      <c r="FZ105" s="60">
        <v>891</v>
      </c>
      <c r="GA105" s="60">
        <v>1296</v>
      </c>
      <c r="GB105" s="60">
        <v>2011</v>
      </c>
    </row>
    <row r="106" spans="1:184" x14ac:dyDescent="0.3">
      <c r="A106" s="60">
        <v>106190555</v>
      </c>
      <c r="B106" s="61" t="s">
        <v>487</v>
      </c>
      <c r="C106" s="61" t="s">
        <v>488</v>
      </c>
      <c r="D106" s="61" t="s">
        <v>489</v>
      </c>
      <c r="E106" s="61" t="s">
        <v>340</v>
      </c>
      <c r="F106" s="60">
        <v>90048</v>
      </c>
      <c r="G106" s="61" t="s">
        <v>490</v>
      </c>
      <c r="H106" s="61" t="s">
        <v>1689</v>
      </c>
      <c r="I106" s="60">
        <v>42</v>
      </c>
      <c r="J106" s="60">
        <v>23</v>
      </c>
      <c r="K106" s="61" t="s">
        <v>1818</v>
      </c>
      <c r="L106" s="61" t="s">
        <v>369</v>
      </c>
      <c r="M106" s="61" t="s">
        <v>1778</v>
      </c>
      <c r="N106" s="61" t="s">
        <v>1779</v>
      </c>
      <c r="O106" s="61" t="s">
        <v>1673</v>
      </c>
      <c r="P106" s="61" t="s">
        <v>1678</v>
      </c>
      <c r="Q106" s="61" t="s">
        <v>1674</v>
      </c>
      <c r="R106" s="60">
        <v>896</v>
      </c>
      <c r="S106" s="61" t="s">
        <v>1675</v>
      </c>
      <c r="T106" s="60">
        <v>29723</v>
      </c>
      <c r="U106" s="60">
        <v>26249</v>
      </c>
      <c r="V106" s="60">
        <v>8</v>
      </c>
      <c r="W106" s="60"/>
      <c r="X106" s="60">
        <v>4341</v>
      </c>
      <c r="Y106" s="60">
        <v>3315</v>
      </c>
      <c r="Z106" s="60">
        <v>10227</v>
      </c>
      <c r="AA106" s="60">
        <v>9643</v>
      </c>
      <c r="AB106" s="60">
        <v>8630</v>
      </c>
      <c r="AC106" s="60">
        <v>6875</v>
      </c>
      <c r="AD106" s="60">
        <v>4886</v>
      </c>
      <c r="AE106" s="60">
        <v>3067</v>
      </c>
      <c r="AF106" s="60">
        <v>3899</v>
      </c>
      <c r="AG106" s="60">
        <v>993</v>
      </c>
      <c r="AH106" s="60">
        <v>104</v>
      </c>
      <c r="AI106" s="60">
        <v>2684</v>
      </c>
      <c r="AJ106" s="60">
        <v>12745</v>
      </c>
      <c r="AK106" s="60">
        <v>8873</v>
      </c>
      <c r="AL106" s="60">
        <v>56</v>
      </c>
      <c r="AM106" s="60">
        <v>1138</v>
      </c>
      <c r="AN106" s="60">
        <v>138</v>
      </c>
      <c r="AO106" s="60">
        <v>30346</v>
      </c>
      <c r="AP106" s="60">
        <v>107</v>
      </c>
      <c r="AQ106" s="60">
        <v>797</v>
      </c>
      <c r="AR106" s="60"/>
      <c r="AS106" s="60">
        <v>123</v>
      </c>
      <c r="AT106" s="60">
        <v>109</v>
      </c>
      <c r="AU106" s="60">
        <v>13</v>
      </c>
      <c r="AV106" s="60">
        <v>12</v>
      </c>
      <c r="AW106" s="60">
        <v>357</v>
      </c>
      <c r="AX106" s="60"/>
      <c r="AY106" s="60">
        <v>665</v>
      </c>
      <c r="AZ106" s="60">
        <v>5</v>
      </c>
      <c r="BA106" s="60">
        <v>53611</v>
      </c>
      <c r="BB106" s="60">
        <v>181</v>
      </c>
      <c r="BC106" s="60"/>
      <c r="BD106" s="60"/>
      <c r="BE106" s="60">
        <v>8749</v>
      </c>
      <c r="BF106" s="60">
        <v>10931</v>
      </c>
      <c r="BG106" s="60">
        <v>1892</v>
      </c>
      <c r="BH106" s="60">
        <v>24068</v>
      </c>
      <c r="BI106" s="60">
        <v>10340</v>
      </c>
      <c r="BJ106" s="60">
        <v>932</v>
      </c>
      <c r="BK106" s="60">
        <v>342</v>
      </c>
      <c r="BL106" s="60">
        <v>1634</v>
      </c>
      <c r="BM106" s="60">
        <v>14</v>
      </c>
      <c r="BN106" s="60">
        <v>2313</v>
      </c>
      <c r="BO106" s="60">
        <v>642</v>
      </c>
      <c r="BP106" s="60">
        <v>2870</v>
      </c>
      <c r="BQ106" s="60">
        <v>910</v>
      </c>
      <c r="BR106" s="60">
        <v>13079</v>
      </c>
      <c r="BS106" s="60">
        <v>4485</v>
      </c>
      <c r="BT106" s="60">
        <v>167</v>
      </c>
      <c r="BU106" s="60">
        <v>2345</v>
      </c>
      <c r="BV106" s="60">
        <v>2487</v>
      </c>
      <c r="BW106" s="60">
        <v>57</v>
      </c>
      <c r="BX106" s="60">
        <v>2724</v>
      </c>
      <c r="BY106" s="60">
        <v>3597</v>
      </c>
      <c r="BZ106" s="60">
        <v>2032</v>
      </c>
      <c r="CA106" s="60">
        <v>15348</v>
      </c>
      <c r="CB106" s="60"/>
      <c r="CC106" s="60">
        <v>2</v>
      </c>
      <c r="CD106" s="60">
        <v>4515</v>
      </c>
      <c r="CE106" s="60">
        <v>148</v>
      </c>
      <c r="CF106" s="60">
        <v>423</v>
      </c>
      <c r="CG106" s="60">
        <v>42</v>
      </c>
      <c r="CH106" s="60">
        <v>687</v>
      </c>
      <c r="CI106" s="60">
        <v>229</v>
      </c>
      <c r="CJ106" s="60">
        <v>385</v>
      </c>
      <c r="CK106" s="60">
        <v>481</v>
      </c>
      <c r="CL106" s="60">
        <v>40273</v>
      </c>
      <c r="CM106" s="60">
        <v>5883</v>
      </c>
      <c r="CN106" s="60">
        <v>230</v>
      </c>
      <c r="CO106" s="60">
        <v>2237</v>
      </c>
      <c r="CP106" s="60">
        <v>141</v>
      </c>
      <c r="CQ106" s="60">
        <v>230</v>
      </c>
      <c r="CR106" s="60">
        <v>76</v>
      </c>
      <c r="CS106" s="60"/>
      <c r="CT106" s="60">
        <v>55980</v>
      </c>
      <c r="CU106" s="60">
        <v>2346</v>
      </c>
      <c r="CV106" s="60">
        <v>51683</v>
      </c>
      <c r="CW106" s="60">
        <v>1951</v>
      </c>
      <c r="CX106" s="60">
        <v>12528</v>
      </c>
      <c r="CY106" s="60">
        <v>11769</v>
      </c>
      <c r="CZ106" s="60">
        <v>3</v>
      </c>
      <c r="DA106" s="60"/>
      <c r="DB106" s="60">
        <v>353</v>
      </c>
      <c r="DC106" s="60">
        <v>1475</v>
      </c>
      <c r="DD106" s="60">
        <v>1959</v>
      </c>
      <c r="DE106" s="60">
        <v>2820</v>
      </c>
      <c r="DF106" s="60">
        <v>3373</v>
      </c>
      <c r="DG106" s="60">
        <v>3858</v>
      </c>
      <c r="DH106" s="60">
        <v>3737</v>
      </c>
      <c r="DI106" s="60">
        <v>6205</v>
      </c>
      <c r="DJ106" s="60">
        <v>193</v>
      </c>
      <c r="DK106" s="60">
        <v>326</v>
      </c>
      <c r="DL106" s="60">
        <v>1</v>
      </c>
      <c r="DM106" s="60">
        <v>1114</v>
      </c>
      <c r="DN106" s="60">
        <v>4749</v>
      </c>
      <c r="DO106" s="60">
        <v>3029</v>
      </c>
      <c r="DP106" s="60">
        <v>369</v>
      </c>
      <c r="DQ106" s="60">
        <v>41</v>
      </c>
      <c r="DR106" s="60">
        <v>14963</v>
      </c>
      <c r="DS106" s="60">
        <v>35</v>
      </c>
      <c r="DT106" s="60">
        <v>218</v>
      </c>
      <c r="DU106" s="60">
        <v>393</v>
      </c>
      <c r="DV106" s="60">
        <v>756</v>
      </c>
      <c r="DW106" s="60">
        <v>3866</v>
      </c>
      <c r="DX106" s="60">
        <v>562</v>
      </c>
      <c r="DY106" s="60">
        <v>119</v>
      </c>
      <c r="DZ106" s="60">
        <v>75</v>
      </c>
      <c r="EA106" s="60">
        <v>15469</v>
      </c>
      <c r="EB106" s="60">
        <v>2836</v>
      </c>
      <c r="EC106" s="60">
        <v>6</v>
      </c>
      <c r="ED106" s="60">
        <v>0</v>
      </c>
      <c r="EE106" s="60">
        <v>0</v>
      </c>
      <c r="EF106" s="60">
        <v>0</v>
      </c>
      <c r="EG106" s="60">
        <v>0</v>
      </c>
      <c r="EH106" s="60">
        <v>0</v>
      </c>
      <c r="EI106" s="60">
        <v>2780</v>
      </c>
      <c r="EJ106" s="60">
        <v>13353</v>
      </c>
      <c r="EK106" s="60">
        <v>303</v>
      </c>
      <c r="EL106" s="60">
        <v>6321</v>
      </c>
      <c r="EM106" s="60">
        <v>1543</v>
      </c>
      <c r="EN106" s="60">
        <v>200</v>
      </c>
      <c r="EO106" s="60">
        <v>489</v>
      </c>
      <c r="EP106" s="60">
        <v>4713</v>
      </c>
      <c r="EQ106" s="60">
        <v>44</v>
      </c>
      <c r="ER106" s="60">
        <v>3670</v>
      </c>
      <c r="ES106" s="60">
        <v>1082</v>
      </c>
      <c r="ET106" s="60">
        <v>1475</v>
      </c>
      <c r="EU106" s="60">
        <v>1814</v>
      </c>
      <c r="EV106" s="60">
        <v>3093</v>
      </c>
      <c r="EW106" s="60">
        <v>938</v>
      </c>
      <c r="EX106" s="60">
        <v>982</v>
      </c>
      <c r="EY106" s="60">
        <v>792</v>
      </c>
      <c r="EZ106" s="60">
        <v>27</v>
      </c>
      <c r="FA106" s="60">
        <v>308</v>
      </c>
      <c r="FB106" s="60">
        <v>2092</v>
      </c>
      <c r="FC106" s="60">
        <v>846</v>
      </c>
      <c r="FD106" s="60">
        <v>1687</v>
      </c>
      <c r="FE106" s="60">
        <v>3</v>
      </c>
      <c r="FF106" s="60">
        <v>45</v>
      </c>
      <c r="FG106" s="60"/>
      <c r="FH106" s="60">
        <v>1519</v>
      </c>
      <c r="FI106" s="60">
        <v>96</v>
      </c>
      <c r="FJ106" s="60">
        <v>1606</v>
      </c>
      <c r="FK106" s="60">
        <v>129</v>
      </c>
      <c r="FL106" s="60">
        <v>93</v>
      </c>
      <c r="FM106" s="60">
        <v>2278</v>
      </c>
      <c r="FN106" s="60">
        <v>45</v>
      </c>
      <c r="FO106" s="60">
        <v>17683</v>
      </c>
      <c r="FP106" s="60">
        <v>299</v>
      </c>
      <c r="FQ106" s="60">
        <v>27</v>
      </c>
      <c r="FR106" s="60">
        <v>356</v>
      </c>
      <c r="FS106" s="60">
        <v>72</v>
      </c>
      <c r="FT106" s="60">
        <v>50</v>
      </c>
      <c r="FU106" s="60">
        <v>42</v>
      </c>
      <c r="FV106" s="60">
        <v>5</v>
      </c>
      <c r="FW106" s="60"/>
      <c r="FX106" s="60">
        <v>24300</v>
      </c>
      <c r="FY106" s="60">
        <v>2891</v>
      </c>
      <c r="FZ106" s="60">
        <v>20187</v>
      </c>
      <c r="GA106" s="60">
        <v>1222</v>
      </c>
      <c r="GB106" s="60">
        <v>2011</v>
      </c>
    </row>
    <row r="107" spans="1:184" x14ac:dyDescent="0.3">
      <c r="A107" s="60">
        <v>106190568</v>
      </c>
      <c r="B107" s="61" t="s">
        <v>491</v>
      </c>
      <c r="C107" s="61" t="s">
        <v>492</v>
      </c>
      <c r="D107" s="61" t="s">
        <v>493</v>
      </c>
      <c r="E107" s="61" t="s">
        <v>494</v>
      </c>
      <c r="F107" s="60">
        <v>91328</v>
      </c>
      <c r="G107" s="61" t="s">
        <v>477</v>
      </c>
      <c r="H107" s="61" t="s">
        <v>1669</v>
      </c>
      <c r="I107" s="60">
        <v>40</v>
      </c>
      <c r="J107" s="60">
        <v>20</v>
      </c>
      <c r="K107" s="61" t="s">
        <v>1816</v>
      </c>
      <c r="L107" s="61" t="s">
        <v>404</v>
      </c>
      <c r="M107" s="61" t="s">
        <v>1778</v>
      </c>
      <c r="N107" s="61" t="s">
        <v>1779</v>
      </c>
      <c r="O107" s="61" t="s">
        <v>1673</v>
      </c>
      <c r="P107" s="61" t="s">
        <v>1678</v>
      </c>
      <c r="Q107" s="61" t="s">
        <v>1674</v>
      </c>
      <c r="R107" s="60">
        <v>371</v>
      </c>
      <c r="S107" s="61" t="s">
        <v>1675</v>
      </c>
      <c r="T107" s="60">
        <v>21636</v>
      </c>
      <c r="U107" s="60">
        <v>17845</v>
      </c>
      <c r="V107" s="60">
        <v>2</v>
      </c>
      <c r="W107" s="60"/>
      <c r="X107" s="60">
        <v>7033</v>
      </c>
      <c r="Y107" s="60">
        <v>5117</v>
      </c>
      <c r="Z107" s="60">
        <v>6783</v>
      </c>
      <c r="AA107" s="60">
        <v>5041</v>
      </c>
      <c r="AB107" s="60">
        <v>4746</v>
      </c>
      <c r="AC107" s="60">
        <v>3946</v>
      </c>
      <c r="AD107" s="60">
        <v>2121</v>
      </c>
      <c r="AE107" s="60">
        <v>1560</v>
      </c>
      <c r="AF107" s="60">
        <v>1660</v>
      </c>
      <c r="AG107" s="60">
        <v>1476</v>
      </c>
      <c r="AH107" s="60"/>
      <c r="AI107" s="60">
        <v>2013</v>
      </c>
      <c r="AJ107" s="60">
        <v>3058</v>
      </c>
      <c r="AK107" s="60">
        <v>18415</v>
      </c>
      <c r="AL107" s="60">
        <v>94</v>
      </c>
      <c r="AM107" s="60">
        <v>1898</v>
      </c>
      <c r="AN107" s="60">
        <v>175</v>
      </c>
      <c r="AO107" s="60">
        <v>13830</v>
      </c>
      <c r="AP107" s="60">
        <v>548</v>
      </c>
      <c r="AQ107" s="60">
        <v>344</v>
      </c>
      <c r="AR107" s="60"/>
      <c r="AS107" s="60">
        <v>59</v>
      </c>
      <c r="AT107" s="60"/>
      <c r="AU107" s="60">
        <v>34</v>
      </c>
      <c r="AV107" s="60"/>
      <c r="AW107" s="60">
        <v>83</v>
      </c>
      <c r="AX107" s="60"/>
      <c r="AY107" s="60">
        <v>35</v>
      </c>
      <c r="AZ107" s="60"/>
      <c r="BA107" s="60">
        <v>38295</v>
      </c>
      <c r="BB107" s="60">
        <v>85</v>
      </c>
      <c r="BC107" s="60"/>
      <c r="BD107" s="60"/>
      <c r="BE107" s="60">
        <v>15652</v>
      </c>
      <c r="BF107" s="60">
        <v>5508</v>
      </c>
      <c r="BG107" s="60">
        <v>1853</v>
      </c>
      <c r="BH107" s="60">
        <v>10042</v>
      </c>
      <c r="BI107" s="60">
        <v>6428</v>
      </c>
      <c r="BJ107" s="60">
        <v>1313</v>
      </c>
      <c r="BK107" s="60">
        <v>115</v>
      </c>
      <c r="BL107" s="60">
        <v>716</v>
      </c>
      <c r="BM107" s="60">
        <v>4</v>
      </c>
      <c r="BN107" s="60">
        <v>1962</v>
      </c>
      <c r="BO107" s="60">
        <v>293</v>
      </c>
      <c r="BP107" s="60">
        <v>2100</v>
      </c>
      <c r="BQ107" s="60">
        <v>986</v>
      </c>
      <c r="BR107" s="60">
        <v>9646</v>
      </c>
      <c r="BS107" s="60">
        <v>1962</v>
      </c>
      <c r="BT107" s="60">
        <v>45</v>
      </c>
      <c r="BU107" s="60">
        <v>2286</v>
      </c>
      <c r="BV107" s="60">
        <v>1904</v>
      </c>
      <c r="BW107" s="60">
        <v>98</v>
      </c>
      <c r="BX107" s="60">
        <v>1797</v>
      </c>
      <c r="BY107" s="60">
        <v>5058</v>
      </c>
      <c r="BZ107" s="60">
        <v>1419</v>
      </c>
      <c r="CA107" s="60">
        <v>7778</v>
      </c>
      <c r="CB107" s="60">
        <v>1</v>
      </c>
      <c r="CC107" s="60"/>
      <c r="CD107" s="60">
        <v>2975</v>
      </c>
      <c r="CE107" s="60">
        <v>141</v>
      </c>
      <c r="CF107" s="60">
        <v>297</v>
      </c>
      <c r="CG107" s="60">
        <v>17</v>
      </c>
      <c r="CH107" s="60">
        <v>354</v>
      </c>
      <c r="CI107" s="60">
        <v>14</v>
      </c>
      <c r="CJ107" s="60">
        <v>27</v>
      </c>
      <c r="CK107" s="60">
        <v>475</v>
      </c>
      <c r="CL107" s="60">
        <v>29487</v>
      </c>
      <c r="CM107" s="60">
        <v>3734</v>
      </c>
      <c r="CN107" s="60">
        <v>221</v>
      </c>
      <c r="CO107" s="60">
        <v>1457</v>
      </c>
      <c r="CP107" s="60">
        <v>62</v>
      </c>
      <c r="CQ107" s="60">
        <v>204</v>
      </c>
      <c r="CR107" s="60">
        <v>18</v>
      </c>
      <c r="CS107" s="60"/>
      <c r="CT107" s="60">
        <v>39483</v>
      </c>
      <c r="CU107" s="60">
        <v>600</v>
      </c>
      <c r="CV107" s="60">
        <v>32535</v>
      </c>
      <c r="CW107" s="60">
        <v>6348</v>
      </c>
      <c r="CX107" s="60">
        <v>5912</v>
      </c>
      <c r="CY107" s="60">
        <v>5461</v>
      </c>
      <c r="CZ107" s="60"/>
      <c r="DA107" s="60"/>
      <c r="DB107" s="60">
        <v>607</v>
      </c>
      <c r="DC107" s="60">
        <v>822</v>
      </c>
      <c r="DD107" s="60">
        <v>816</v>
      </c>
      <c r="DE107" s="60">
        <v>1178</v>
      </c>
      <c r="DF107" s="60">
        <v>1517</v>
      </c>
      <c r="DG107" s="60">
        <v>1464</v>
      </c>
      <c r="DH107" s="60">
        <v>1587</v>
      </c>
      <c r="DI107" s="60">
        <v>2438</v>
      </c>
      <c r="DJ107" s="60">
        <v>344</v>
      </c>
      <c r="DK107" s="60">
        <v>600</v>
      </c>
      <c r="DL107" s="60"/>
      <c r="DM107" s="60">
        <v>745</v>
      </c>
      <c r="DN107" s="60">
        <v>629</v>
      </c>
      <c r="DO107" s="60">
        <v>3219</v>
      </c>
      <c r="DP107" s="60">
        <v>771</v>
      </c>
      <c r="DQ107" s="60">
        <v>73</v>
      </c>
      <c r="DR107" s="60">
        <v>5911</v>
      </c>
      <c r="DS107" s="60">
        <v>25</v>
      </c>
      <c r="DT107" s="60">
        <v>256</v>
      </c>
      <c r="DU107" s="60">
        <v>260</v>
      </c>
      <c r="DV107" s="60">
        <v>255</v>
      </c>
      <c r="DW107" s="60">
        <v>1359</v>
      </c>
      <c r="DX107" s="60">
        <v>186</v>
      </c>
      <c r="DY107" s="60">
        <v>21</v>
      </c>
      <c r="DZ107" s="60">
        <v>254</v>
      </c>
      <c r="EA107" s="60">
        <v>7347</v>
      </c>
      <c r="EB107" s="60">
        <v>1428</v>
      </c>
      <c r="EC107" s="60">
        <v>7</v>
      </c>
      <c r="ED107" s="60">
        <v>0</v>
      </c>
      <c r="EE107" s="60">
        <v>0</v>
      </c>
      <c r="EF107" s="60">
        <v>0</v>
      </c>
      <c r="EG107" s="60">
        <v>0</v>
      </c>
      <c r="EH107" s="60">
        <v>0</v>
      </c>
      <c r="EI107" s="60">
        <v>2616</v>
      </c>
      <c r="EJ107" s="60">
        <v>5062</v>
      </c>
      <c r="EK107" s="60">
        <v>223</v>
      </c>
      <c r="EL107" s="60">
        <v>2554</v>
      </c>
      <c r="EM107" s="60">
        <v>918</v>
      </c>
      <c r="EN107" s="60">
        <v>154</v>
      </c>
      <c r="EO107" s="60">
        <v>153</v>
      </c>
      <c r="EP107" s="60">
        <v>2019</v>
      </c>
      <c r="EQ107" s="60">
        <v>23</v>
      </c>
      <c r="ER107" s="60">
        <v>1560</v>
      </c>
      <c r="ES107" s="60">
        <v>484</v>
      </c>
      <c r="ET107" s="60">
        <v>632</v>
      </c>
      <c r="EU107" s="60">
        <v>674</v>
      </c>
      <c r="EV107" s="60">
        <v>1522</v>
      </c>
      <c r="EW107" s="60">
        <v>198</v>
      </c>
      <c r="EX107" s="60">
        <v>232</v>
      </c>
      <c r="EY107" s="60">
        <v>345</v>
      </c>
      <c r="EZ107" s="60">
        <v>13</v>
      </c>
      <c r="FA107" s="60">
        <v>948</v>
      </c>
      <c r="FB107" s="60">
        <v>1426</v>
      </c>
      <c r="FC107" s="60">
        <v>321</v>
      </c>
      <c r="FD107" s="60">
        <v>602</v>
      </c>
      <c r="FE107" s="60">
        <v>1</v>
      </c>
      <c r="FF107" s="60">
        <v>66</v>
      </c>
      <c r="FG107" s="60"/>
      <c r="FH107" s="60">
        <v>872</v>
      </c>
      <c r="FI107" s="60">
        <v>60</v>
      </c>
      <c r="FJ107" s="60">
        <v>470</v>
      </c>
      <c r="FK107" s="60">
        <v>77</v>
      </c>
      <c r="FL107" s="60">
        <v>49</v>
      </c>
      <c r="FM107" s="60">
        <v>267</v>
      </c>
      <c r="FN107" s="60">
        <v>33</v>
      </c>
      <c r="FO107" s="60">
        <v>8380</v>
      </c>
      <c r="FP107" s="60">
        <v>575</v>
      </c>
      <c r="FQ107" s="60">
        <v>42</v>
      </c>
      <c r="FR107" s="60">
        <v>359</v>
      </c>
      <c r="FS107" s="60">
        <v>122</v>
      </c>
      <c r="FT107" s="60">
        <v>42</v>
      </c>
      <c r="FU107" s="60">
        <v>19</v>
      </c>
      <c r="FV107" s="60">
        <v>6</v>
      </c>
      <c r="FW107" s="60"/>
      <c r="FX107" s="60">
        <v>11373</v>
      </c>
      <c r="FY107" s="60">
        <v>547</v>
      </c>
      <c r="FZ107" s="60">
        <v>9468</v>
      </c>
      <c r="GA107" s="60">
        <v>1358</v>
      </c>
      <c r="GB107" s="60">
        <v>2011</v>
      </c>
    </row>
    <row r="108" spans="1:184" x14ac:dyDescent="0.3">
      <c r="A108" s="60">
        <v>106190570</v>
      </c>
      <c r="B108" s="61" t="s">
        <v>495</v>
      </c>
      <c r="C108" s="61" t="s">
        <v>496</v>
      </c>
      <c r="D108" s="61" t="s">
        <v>497</v>
      </c>
      <c r="E108" s="61" t="s">
        <v>498</v>
      </c>
      <c r="F108" s="60">
        <v>90650</v>
      </c>
      <c r="G108" s="61"/>
      <c r="H108" s="61" t="s">
        <v>1669</v>
      </c>
      <c r="I108" s="60">
        <v>56</v>
      </c>
      <c r="J108" s="60">
        <v>30</v>
      </c>
      <c r="K108" s="61" t="s">
        <v>1828</v>
      </c>
      <c r="L108" s="61" t="s">
        <v>357</v>
      </c>
      <c r="M108" s="61" t="s">
        <v>1778</v>
      </c>
      <c r="N108" s="61" t="s">
        <v>1779</v>
      </c>
      <c r="O108" s="61" t="s">
        <v>1673</v>
      </c>
      <c r="P108" s="61" t="s">
        <v>321</v>
      </c>
      <c r="Q108" s="61" t="s">
        <v>1674</v>
      </c>
      <c r="R108" s="60">
        <v>50</v>
      </c>
      <c r="S108" s="61" t="s">
        <v>1675</v>
      </c>
      <c r="T108" s="60">
        <v>3749</v>
      </c>
      <c r="U108" s="60">
        <v>3628</v>
      </c>
      <c r="V108" s="60"/>
      <c r="W108" s="60"/>
      <c r="X108" s="60">
        <v>687</v>
      </c>
      <c r="Y108" s="60">
        <v>672</v>
      </c>
      <c r="Z108" s="60">
        <v>932</v>
      </c>
      <c r="AA108" s="60">
        <v>916</v>
      </c>
      <c r="AB108" s="60">
        <v>1066</v>
      </c>
      <c r="AC108" s="60">
        <v>1150</v>
      </c>
      <c r="AD108" s="60">
        <v>780</v>
      </c>
      <c r="AE108" s="60">
        <v>528</v>
      </c>
      <c r="AF108" s="60">
        <v>527</v>
      </c>
      <c r="AG108" s="60">
        <v>119</v>
      </c>
      <c r="AH108" s="60"/>
      <c r="AI108" s="60">
        <v>275</v>
      </c>
      <c r="AJ108" s="60">
        <v>854</v>
      </c>
      <c r="AK108" s="60">
        <v>4183</v>
      </c>
      <c r="AL108" s="60">
        <v>2</v>
      </c>
      <c r="AM108" s="60">
        <v>133</v>
      </c>
      <c r="AN108" s="60">
        <v>141</v>
      </c>
      <c r="AO108" s="60">
        <v>1789</v>
      </c>
      <c r="AP108" s="60">
        <v>2605</v>
      </c>
      <c r="AQ108" s="60">
        <v>272</v>
      </c>
      <c r="AR108" s="60"/>
      <c r="AS108" s="60">
        <v>13</v>
      </c>
      <c r="AT108" s="60">
        <v>1</v>
      </c>
      <c r="AU108" s="60">
        <v>1</v>
      </c>
      <c r="AV108" s="60">
        <v>1</v>
      </c>
      <c r="AW108" s="60">
        <v>6</v>
      </c>
      <c r="AX108" s="60">
        <v>8</v>
      </c>
      <c r="AY108" s="60">
        <v>53</v>
      </c>
      <c r="AZ108" s="60">
        <v>36</v>
      </c>
      <c r="BA108" s="60">
        <v>4296</v>
      </c>
      <c r="BB108" s="60">
        <v>85</v>
      </c>
      <c r="BC108" s="60"/>
      <c r="BD108" s="60"/>
      <c r="BE108" s="60">
        <v>2332</v>
      </c>
      <c r="BF108" s="60">
        <v>2020</v>
      </c>
      <c r="BG108" s="60">
        <v>183</v>
      </c>
      <c r="BH108" s="60">
        <v>1302</v>
      </c>
      <c r="BI108" s="60">
        <v>1540</v>
      </c>
      <c r="BJ108" s="60">
        <v>89</v>
      </c>
      <c r="BK108" s="60">
        <v>18</v>
      </c>
      <c r="BL108" s="60">
        <v>132</v>
      </c>
      <c r="BM108" s="60">
        <v>2</v>
      </c>
      <c r="BN108" s="60">
        <v>340</v>
      </c>
      <c r="BO108" s="60">
        <v>134</v>
      </c>
      <c r="BP108" s="60">
        <v>266</v>
      </c>
      <c r="BQ108" s="60">
        <v>96</v>
      </c>
      <c r="BR108" s="60">
        <v>1125</v>
      </c>
      <c r="BS108" s="60">
        <v>338</v>
      </c>
      <c r="BT108" s="60">
        <v>10</v>
      </c>
      <c r="BU108" s="60">
        <v>327</v>
      </c>
      <c r="BV108" s="60">
        <v>2518</v>
      </c>
      <c r="BW108" s="60">
        <v>2</v>
      </c>
      <c r="BX108" s="60">
        <v>362</v>
      </c>
      <c r="BY108" s="60">
        <v>591</v>
      </c>
      <c r="BZ108" s="60">
        <v>239</v>
      </c>
      <c r="CA108" s="60">
        <v>788</v>
      </c>
      <c r="CB108" s="60"/>
      <c r="CC108" s="60"/>
      <c r="CD108" s="60">
        <v>298</v>
      </c>
      <c r="CE108" s="60">
        <v>11</v>
      </c>
      <c r="CF108" s="60">
        <v>38</v>
      </c>
      <c r="CG108" s="60">
        <v>5</v>
      </c>
      <c r="CH108" s="60">
        <v>52</v>
      </c>
      <c r="CI108" s="60"/>
      <c r="CJ108" s="60">
        <v>20</v>
      </c>
      <c r="CK108" s="60">
        <v>54</v>
      </c>
      <c r="CL108" s="60">
        <v>6133</v>
      </c>
      <c r="CM108" s="60">
        <v>536</v>
      </c>
      <c r="CN108" s="60">
        <v>26</v>
      </c>
      <c r="CO108" s="60">
        <v>159</v>
      </c>
      <c r="CP108" s="60">
        <v>12</v>
      </c>
      <c r="CQ108" s="60">
        <v>22</v>
      </c>
      <c r="CR108" s="60">
        <v>11</v>
      </c>
      <c r="CS108" s="60"/>
      <c r="CT108" s="60">
        <v>7377</v>
      </c>
      <c r="CU108" s="60">
        <v>84</v>
      </c>
      <c r="CV108" s="60">
        <v>6084</v>
      </c>
      <c r="CW108" s="60">
        <v>1209</v>
      </c>
      <c r="CX108" s="60">
        <v>1061</v>
      </c>
      <c r="CY108" s="60">
        <v>1173</v>
      </c>
      <c r="CZ108" s="60"/>
      <c r="DA108" s="60"/>
      <c r="DB108" s="60">
        <v>23</v>
      </c>
      <c r="DC108" s="60">
        <v>82</v>
      </c>
      <c r="DD108" s="60">
        <v>137</v>
      </c>
      <c r="DE108" s="60">
        <v>343</v>
      </c>
      <c r="DF108" s="60">
        <v>484</v>
      </c>
      <c r="DG108" s="60">
        <v>441</v>
      </c>
      <c r="DH108" s="60">
        <v>346</v>
      </c>
      <c r="DI108" s="60">
        <v>378</v>
      </c>
      <c r="DJ108" s="60"/>
      <c r="DK108" s="60"/>
      <c r="DL108" s="60"/>
      <c r="DM108" s="60">
        <v>128</v>
      </c>
      <c r="DN108" s="60">
        <v>358</v>
      </c>
      <c r="DO108" s="60">
        <v>939</v>
      </c>
      <c r="DP108" s="60">
        <v>33</v>
      </c>
      <c r="DQ108" s="60">
        <v>57</v>
      </c>
      <c r="DR108" s="60">
        <v>718</v>
      </c>
      <c r="DS108" s="60">
        <v>1</v>
      </c>
      <c r="DT108" s="60">
        <v>128</v>
      </c>
      <c r="DU108" s="60">
        <v>125</v>
      </c>
      <c r="DV108" s="60">
        <v>57</v>
      </c>
      <c r="DW108" s="60">
        <v>2</v>
      </c>
      <c r="DX108" s="60">
        <v>206</v>
      </c>
      <c r="DY108" s="60">
        <v>5</v>
      </c>
      <c r="DZ108" s="60"/>
      <c r="EA108" s="60">
        <v>805</v>
      </c>
      <c r="EB108" s="60">
        <v>902</v>
      </c>
      <c r="EC108" s="60">
        <v>4</v>
      </c>
      <c r="ED108" s="60">
        <v>0</v>
      </c>
      <c r="EE108" s="60">
        <v>0</v>
      </c>
      <c r="EF108" s="60">
        <v>0</v>
      </c>
      <c r="EG108" s="60">
        <v>0</v>
      </c>
      <c r="EH108" s="60">
        <v>0</v>
      </c>
      <c r="EI108" s="60">
        <v>691</v>
      </c>
      <c r="EJ108" s="60">
        <v>1296</v>
      </c>
      <c r="EK108" s="60">
        <v>42</v>
      </c>
      <c r="EL108" s="60">
        <v>92</v>
      </c>
      <c r="EM108" s="60">
        <v>113</v>
      </c>
      <c r="EN108" s="60">
        <v>7</v>
      </c>
      <c r="EO108" s="60">
        <v>59</v>
      </c>
      <c r="EP108" s="60">
        <v>247</v>
      </c>
      <c r="EQ108" s="60">
        <v>2</v>
      </c>
      <c r="ER108" s="60">
        <v>304</v>
      </c>
      <c r="ES108" s="60">
        <v>133</v>
      </c>
      <c r="ET108" s="60">
        <v>234</v>
      </c>
      <c r="EU108" s="60">
        <v>266</v>
      </c>
      <c r="EV108" s="60">
        <v>159</v>
      </c>
      <c r="EW108" s="60">
        <v>89</v>
      </c>
      <c r="EX108" s="60">
        <v>15</v>
      </c>
      <c r="EY108" s="60">
        <v>75</v>
      </c>
      <c r="EZ108" s="60">
        <v>19</v>
      </c>
      <c r="FA108" s="60">
        <v>53</v>
      </c>
      <c r="FB108" s="60">
        <v>249</v>
      </c>
      <c r="FC108" s="60">
        <v>128</v>
      </c>
      <c r="FD108" s="60">
        <v>195</v>
      </c>
      <c r="FE108" s="60"/>
      <c r="FF108" s="60"/>
      <c r="FG108" s="60"/>
      <c r="FH108" s="60">
        <v>89</v>
      </c>
      <c r="FI108" s="60">
        <v>6</v>
      </c>
      <c r="FJ108" s="60">
        <v>63</v>
      </c>
      <c r="FK108" s="60">
        <v>6</v>
      </c>
      <c r="FL108" s="60"/>
      <c r="FM108" s="60">
        <v>134</v>
      </c>
      <c r="FN108" s="60">
        <v>1</v>
      </c>
      <c r="FO108" s="60">
        <v>1833</v>
      </c>
      <c r="FP108" s="60">
        <v>59</v>
      </c>
      <c r="FQ108" s="60"/>
      <c r="FR108" s="60">
        <v>4</v>
      </c>
      <c r="FS108" s="60">
        <v>11</v>
      </c>
      <c r="FT108" s="60">
        <v>10</v>
      </c>
      <c r="FU108" s="60">
        <v>17</v>
      </c>
      <c r="FV108" s="60">
        <v>1</v>
      </c>
      <c r="FW108" s="60"/>
      <c r="FX108" s="60">
        <v>2234</v>
      </c>
      <c r="FY108" s="60">
        <v>43</v>
      </c>
      <c r="FZ108" s="60">
        <v>1811</v>
      </c>
      <c r="GA108" s="60">
        <v>380</v>
      </c>
      <c r="GB108" s="60">
        <v>2011</v>
      </c>
    </row>
    <row r="109" spans="1:184" x14ac:dyDescent="0.3">
      <c r="A109" s="60">
        <v>106190587</v>
      </c>
      <c r="B109" s="61" t="s">
        <v>499</v>
      </c>
      <c r="C109" s="61" t="s">
        <v>1829</v>
      </c>
      <c r="D109" s="61" t="s">
        <v>500</v>
      </c>
      <c r="E109" s="61" t="s">
        <v>356</v>
      </c>
      <c r="F109" s="60">
        <v>90806</v>
      </c>
      <c r="G109" s="61"/>
      <c r="H109" s="61" t="s">
        <v>1669</v>
      </c>
      <c r="I109" s="60">
        <v>54</v>
      </c>
      <c r="J109" s="60">
        <v>27</v>
      </c>
      <c r="K109" s="61" t="s">
        <v>1822</v>
      </c>
      <c r="L109" s="61" t="s">
        <v>354</v>
      </c>
      <c r="M109" s="61" t="s">
        <v>1778</v>
      </c>
      <c r="N109" s="61" t="s">
        <v>1779</v>
      </c>
      <c r="O109" s="61" t="s">
        <v>1673</v>
      </c>
      <c r="P109" s="61" t="s">
        <v>221</v>
      </c>
      <c r="Q109" s="61" t="s">
        <v>1674</v>
      </c>
      <c r="R109" s="60">
        <v>84</v>
      </c>
      <c r="S109" s="61" t="s">
        <v>1675</v>
      </c>
      <c r="T109" s="60">
        <v>5058</v>
      </c>
      <c r="U109" s="60">
        <v>4163</v>
      </c>
      <c r="V109" s="60">
        <v>1</v>
      </c>
      <c r="W109" s="60"/>
      <c r="X109" s="60">
        <v>681</v>
      </c>
      <c r="Y109" s="60">
        <v>887</v>
      </c>
      <c r="Z109" s="60">
        <v>1580</v>
      </c>
      <c r="AA109" s="60">
        <v>1495</v>
      </c>
      <c r="AB109" s="60">
        <v>1621</v>
      </c>
      <c r="AC109" s="60">
        <v>1491</v>
      </c>
      <c r="AD109" s="60">
        <v>726</v>
      </c>
      <c r="AE109" s="60">
        <v>349</v>
      </c>
      <c r="AF109" s="60">
        <v>247</v>
      </c>
      <c r="AG109" s="60">
        <v>145</v>
      </c>
      <c r="AH109" s="60"/>
      <c r="AI109" s="60">
        <v>829</v>
      </c>
      <c r="AJ109" s="60">
        <v>2972</v>
      </c>
      <c r="AK109" s="60">
        <v>2819</v>
      </c>
      <c r="AL109" s="60">
        <v>45</v>
      </c>
      <c r="AM109" s="60">
        <v>384</v>
      </c>
      <c r="AN109" s="60">
        <v>27</v>
      </c>
      <c r="AO109" s="60">
        <v>2146</v>
      </c>
      <c r="AP109" s="60">
        <v>158</v>
      </c>
      <c r="AQ109" s="60">
        <v>738</v>
      </c>
      <c r="AR109" s="60">
        <v>14</v>
      </c>
      <c r="AS109" s="60">
        <v>10</v>
      </c>
      <c r="AT109" s="60">
        <v>11</v>
      </c>
      <c r="AU109" s="60">
        <v>1</v>
      </c>
      <c r="AV109" s="60">
        <v>5</v>
      </c>
      <c r="AW109" s="60">
        <v>29</v>
      </c>
      <c r="AX109" s="60">
        <v>31</v>
      </c>
      <c r="AY109" s="60">
        <v>61</v>
      </c>
      <c r="AZ109" s="60">
        <v>27</v>
      </c>
      <c r="BA109" s="60">
        <v>8009</v>
      </c>
      <c r="BB109" s="60">
        <v>105</v>
      </c>
      <c r="BC109" s="60"/>
      <c r="BD109" s="60">
        <v>23</v>
      </c>
      <c r="BE109" s="60">
        <v>4460</v>
      </c>
      <c r="BF109" s="60">
        <v>1426</v>
      </c>
      <c r="BG109" s="60">
        <v>307</v>
      </c>
      <c r="BH109" s="60">
        <v>1092</v>
      </c>
      <c r="BI109" s="60">
        <v>1937</v>
      </c>
      <c r="BJ109" s="60">
        <v>317</v>
      </c>
      <c r="BK109" s="60">
        <v>44</v>
      </c>
      <c r="BL109" s="60">
        <v>201</v>
      </c>
      <c r="BM109" s="60">
        <v>3</v>
      </c>
      <c r="BN109" s="60">
        <v>676</v>
      </c>
      <c r="BO109" s="60">
        <v>136</v>
      </c>
      <c r="BP109" s="60">
        <v>493</v>
      </c>
      <c r="BQ109" s="60">
        <v>214</v>
      </c>
      <c r="BR109" s="60">
        <v>1768</v>
      </c>
      <c r="BS109" s="60">
        <v>864</v>
      </c>
      <c r="BT109" s="60">
        <v>30</v>
      </c>
      <c r="BU109" s="60">
        <v>533</v>
      </c>
      <c r="BV109" s="60">
        <v>486</v>
      </c>
      <c r="BW109" s="60">
        <v>4</v>
      </c>
      <c r="BX109" s="60">
        <v>723</v>
      </c>
      <c r="BY109" s="60">
        <v>891</v>
      </c>
      <c r="BZ109" s="60">
        <v>432</v>
      </c>
      <c r="CA109" s="60">
        <v>1407</v>
      </c>
      <c r="CB109" s="60"/>
      <c r="CC109" s="60"/>
      <c r="CD109" s="60">
        <v>559</v>
      </c>
      <c r="CE109" s="60">
        <v>17</v>
      </c>
      <c r="CF109" s="60">
        <v>95</v>
      </c>
      <c r="CG109" s="60">
        <v>3</v>
      </c>
      <c r="CH109" s="60">
        <v>148</v>
      </c>
      <c r="CI109" s="60">
        <v>4</v>
      </c>
      <c r="CJ109" s="60">
        <v>50</v>
      </c>
      <c r="CK109" s="60">
        <v>84</v>
      </c>
      <c r="CL109" s="60">
        <v>7100</v>
      </c>
      <c r="CM109" s="60">
        <v>886</v>
      </c>
      <c r="CN109" s="60">
        <v>37</v>
      </c>
      <c r="CO109" s="60">
        <v>155</v>
      </c>
      <c r="CP109" s="60">
        <v>21</v>
      </c>
      <c r="CQ109" s="60">
        <v>48</v>
      </c>
      <c r="CR109" s="60">
        <v>15</v>
      </c>
      <c r="CS109" s="60"/>
      <c r="CT109" s="60">
        <v>9222</v>
      </c>
      <c r="CU109" s="60">
        <v>94</v>
      </c>
      <c r="CV109" s="60">
        <v>8456</v>
      </c>
      <c r="CW109" s="60">
        <v>672</v>
      </c>
      <c r="CX109" s="60">
        <v>2005</v>
      </c>
      <c r="CY109" s="60">
        <v>2356</v>
      </c>
      <c r="CZ109" s="60"/>
      <c r="DA109" s="60"/>
      <c r="DB109" s="60">
        <v>67</v>
      </c>
      <c r="DC109" s="60">
        <v>474</v>
      </c>
      <c r="DD109" s="60">
        <v>594</v>
      </c>
      <c r="DE109" s="60">
        <v>849</v>
      </c>
      <c r="DF109" s="60">
        <v>1076</v>
      </c>
      <c r="DG109" s="60">
        <v>606</v>
      </c>
      <c r="DH109" s="60">
        <v>342</v>
      </c>
      <c r="DI109" s="60">
        <v>352</v>
      </c>
      <c r="DJ109" s="60">
        <v>1</v>
      </c>
      <c r="DK109" s="60"/>
      <c r="DL109" s="60"/>
      <c r="DM109" s="60">
        <v>434</v>
      </c>
      <c r="DN109" s="60">
        <v>1342</v>
      </c>
      <c r="DO109" s="60">
        <v>855</v>
      </c>
      <c r="DP109" s="60">
        <v>45</v>
      </c>
      <c r="DQ109" s="60">
        <v>4</v>
      </c>
      <c r="DR109" s="60">
        <v>1676</v>
      </c>
      <c r="DS109" s="60">
        <v>5</v>
      </c>
      <c r="DT109" s="60">
        <v>114</v>
      </c>
      <c r="DU109" s="60">
        <v>128</v>
      </c>
      <c r="DV109" s="60">
        <v>66</v>
      </c>
      <c r="DW109" s="60">
        <v>110</v>
      </c>
      <c r="DX109" s="60">
        <v>116</v>
      </c>
      <c r="DY109" s="60">
        <v>19</v>
      </c>
      <c r="DZ109" s="60">
        <v>519</v>
      </c>
      <c r="EA109" s="60">
        <v>2465</v>
      </c>
      <c r="EB109" s="60">
        <v>821</v>
      </c>
      <c r="EC109" s="60">
        <v>3</v>
      </c>
      <c r="ED109" s="60">
        <v>0</v>
      </c>
      <c r="EE109" s="60">
        <v>0</v>
      </c>
      <c r="EF109" s="60">
        <v>0</v>
      </c>
      <c r="EG109" s="60">
        <v>0</v>
      </c>
      <c r="EH109" s="60">
        <v>0</v>
      </c>
      <c r="EI109" s="60">
        <v>2362</v>
      </c>
      <c r="EJ109" s="60">
        <v>1726</v>
      </c>
      <c r="EK109" s="60">
        <v>79</v>
      </c>
      <c r="EL109" s="60">
        <v>182</v>
      </c>
      <c r="EM109" s="60">
        <v>12</v>
      </c>
      <c r="EN109" s="60">
        <v>34</v>
      </c>
      <c r="EO109" s="60">
        <v>65</v>
      </c>
      <c r="EP109" s="60">
        <v>281</v>
      </c>
      <c r="EQ109" s="60"/>
      <c r="ER109" s="60">
        <v>228</v>
      </c>
      <c r="ES109" s="60">
        <v>140</v>
      </c>
      <c r="ET109" s="60">
        <v>139</v>
      </c>
      <c r="EU109" s="60">
        <v>252</v>
      </c>
      <c r="EV109" s="60">
        <v>165</v>
      </c>
      <c r="EW109" s="60">
        <v>43</v>
      </c>
      <c r="EX109" s="60">
        <v>22</v>
      </c>
      <c r="EY109" s="60">
        <v>60</v>
      </c>
      <c r="EZ109" s="60">
        <v>8</v>
      </c>
      <c r="FA109" s="60">
        <v>2422</v>
      </c>
      <c r="FB109" s="60">
        <v>220</v>
      </c>
      <c r="FC109" s="60">
        <v>84</v>
      </c>
      <c r="FD109" s="60">
        <v>197</v>
      </c>
      <c r="FE109" s="60">
        <v>1</v>
      </c>
      <c r="FF109" s="60"/>
      <c r="FG109" s="60"/>
      <c r="FH109" s="60">
        <v>93</v>
      </c>
      <c r="FI109" s="60">
        <v>17</v>
      </c>
      <c r="FJ109" s="60">
        <v>190</v>
      </c>
      <c r="FK109" s="60">
        <v>18</v>
      </c>
      <c r="FL109" s="60">
        <v>25</v>
      </c>
      <c r="FM109" s="60">
        <v>114</v>
      </c>
      <c r="FN109" s="60">
        <v>4</v>
      </c>
      <c r="FO109" s="60">
        <v>3722</v>
      </c>
      <c r="FP109" s="60">
        <v>63</v>
      </c>
      <c r="FQ109" s="60">
        <v>3</v>
      </c>
      <c r="FR109" s="60">
        <v>5</v>
      </c>
      <c r="FS109" s="60">
        <v>82</v>
      </c>
      <c r="FT109" s="60">
        <v>11</v>
      </c>
      <c r="FU109" s="60">
        <v>14</v>
      </c>
      <c r="FV109" s="60"/>
      <c r="FW109" s="60"/>
      <c r="FX109" s="60">
        <v>4361</v>
      </c>
      <c r="FY109" s="60">
        <v>98</v>
      </c>
      <c r="FZ109" s="60">
        <v>4063</v>
      </c>
      <c r="GA109" s="60">
        <v>200</v>
      </c>
      <c r="GB109" s="60">
        <v>2011</v>
      </c>
    </row>
    <row r="110" spans="1:184" x14ac:dyDescent="0.3">
      <c r="A110" s="60">
        <v>106190630</v>
      </c>
      <c r="B110" s="61" t="s">
        <v>501</v>
      </c>
      <c r="C110" s="61" t="s">
        <v>502</v>
      </c>
      <c r="D110" s="61" t="s">
        <v>503</v>
      </c>
      <c r="E110" s="61" t="s">
        <v>504</v>
      </c>
      <c r="F110" s="60">
        <v>91767</v>
      </c>
      <c r="G110" s="61"/>
      <c r="H110" s="61" t="s">
        <v>1669</v>
      </c>
      <c r="I110" s="60">
        <v>61</v>
      </c>
      <c r="J110" s="60">
        <v>32</v>
      </c>
      <c r="K110" s="61" t="s">
        <v>1830</v>
      </c>
      <c r="L110" s="61" t="s">
        <v>344</v>
      </c>
      <c r="M110" s="61" t="s">
        <v>1778</v>
      </c>
      <c r="N110" s="61" t="s">
        <v>1779</v>
      </c>
      <c r="O110" s="61" t="s">
        <v>1673</v>
      </c>
      <c r="P110" s="61" t="s">
        <v>1678</v>
      </c>
      <c r="Q110" s="61" t="s">
        <v>1674</v>
      </c>
      <c r="R110" s="60">
        <v>415</v>
      </c>
      <c r="S110" s="61" t="s">
        <v>1675</v>
      </c>
      <c r="T110" s="60">
        <v>39833</v>
      </c>
      <c r="U110" s="60">
        <v>30576</v>
      </c>
      <c r="V110" s="60"/>
      <c r="W110" s="60"/>
      <c r="X110" s="60">
        <v>13573</v>
      </c>
      <c r="Y110" s="60">
        <v>8812</v>
      </c>
      <c r="Z110" s="60">
        <v>10995</v>
      </c>
      <c r="AA110" s="60">
        <v>8342</v>
      </c>
      <c r="AB110" s="60">
        <v>7817</v>
      </c>
      <c r="AC110" s="60">
        <v>6279</v>
      </c>
      <c r="AD110" s="60">
        <v>4046</v>
      </c>
      <c r="AE110" s="60">
        <v>3081</v>
      </c>
      <c r="AF110" s="60">
        <v>3355</v>
      </c>
      <c r="AG110" s="60">
        <v>4109</v>
      </c>
      <c r="AH110" s="60"/>
      <c r="AI110" s="60">
        <v>2259</v>
      </c>
      <c r="AJ110" s="60">
        <v>7135</v>
      </c>
      <c r="AK110" s="60">
        <v>37918</v>
      </c>
      <c r="AL110" s="60">
        <v>9</v>
      </c>
      <c r="AM110" s="60">
        <v>2937</v>
      </c>
      <c r="AN110" s="60">
        <v>197</v>
      </c>
      <c r="AO110" s="60">
        <v>19954</v>
      </c>
      <c r="AP110" s="60">
        <v>750</v>
      </c>
      <c r="AQ110" s="60">
        <v>2432</v>
      </c>
      <c r="AR110" s="60">
        <v>342</v>
      </c>
      <c r="AS110" s="60">
        <v>94</v>
      </c>
      <c r="AT110" s="60">
        <v>32</v>
      </c>
      <c r="AU110" s="60">
        <v>25</v>
      </c>
      <c r="AV110" s="60">
        <v>17</v>
      </c>
      <c r="AW110" s="60">
        <v>87</v>
      </c>
      <c r="AX110" s="60"/>
      <c r="AY110" s="60">
        <v>280</v>
      </c>
      <c r="AZ110" s="60">
        <v>15</v>
      </c>
      <c r="BA110" s="60">
        <v>65372</v>
      </c>
      <c r="BB110" s="60">
        <v>580</v>
      </c>
      <c r="BC110" s="60">
        <v>311</v>
      </c>
      <c r="BD110" s="60">
        <v>72</v>
      </c>
      <c r="BE110" s="60">
        <v>10591</v>
      </c>
      <c r="BF110" s="60">
        <v>9349</v>
      </c>
      <c r="BG110" s="60">
        <v>2962</v>
      </c>
      <c r="BH110" s="60">
        <v>34407</v>
      </c>
      <c r="BI110" s="60">
        <v>13100</v>
      </c>
      <c r="BJ110" s="60">
        <v>2881</v>
      </c>
      <c r="BK110" s="60">
        <v>363</v>
      </c>
      <c r="BL110" s="60">
        <v>1629</v>
      </c>
      <c r="BM110" s="60">
        <v>20</v>
      </c>
      <c r="BN110" s="60">
        <v>3611</v>
      </c>
      <c r="BO110" s="60">
        <v>938</v>
      </c>
      <c r="BP110" s="60">
        <v>3841</v>
      </c>
      <c r="BQ110" s="60">
        <v>1194</v>
      </c>
      <c r="BR110" s="60">
        <v>12909</v>
      </c>
      <c r="BS110" s="60">
        <v>4746</v>
      </c>
      <c r="BT110" s="60">
        <v>111</v>
      </c>
      <c r="BU110" s="60">
        <v>3945</v>
      </c>
      <c r="BV110" s="60">
        <v>2290</v>
      </c>
      <c r="BW110" s="60">
        <v>274</v>
      </c>
      <c r="BX110" s="60">
        <v>1747</v>
      </c>
      <c r="BY110" s="60">
        <v>8883</v>
      </c>
      <c r="BZ110" s="60">
        <v>2703</v>
      </c>
      <c r="CA110" s="60">
        <v>18324</v>
      </c>
      <c r="CB110" s="60"/>
      <c r="CC110" s="60"/>
      <c r="CD110" s="60">
        <v>4979</v>
      </c>
      <c r="CE110" s="60">
        <v>203</v>
      </c>
      <c r="CF110" s="60">
        <v>519</v>
      </c>
      <c r="CG110" s="60">
        <v>38</v>
      </c>
      <c r="CH110" s="60">
        <v>601</v>
      </c>
      <c r="CI110" s="60">
        <v>451</v>
      </c>
      <c r="CJ110" s="60">
        <v>317</v>
      </c>
      <c r="CK110" s="60">
        <v>654</v>
      </c>
      <c r="CL110" s="60">
        <v>55269</v>
      </c>
      <c r="CM110" s="60">
        <v>4911</v>
      </c>
      <c r="CN110" s="60">
        <v>295</v>
      </c>
      <c r="CO110" s="60">
        <v>1535</v>
      </c>
      <c r="CP110" s="60">
        <v>189</v>
      </c>
      <c r="CQ110" s="60">
        <v>377</v>
      </c>
      <c r="CR110" s="60">
        <v>71</v>
      </c>
      <c r="CS110" s="60"/>
      <c r="CT110" s="60">
        <v>70409</v>
      </c>
      <c r="CU110" s="60">
        <v>632</v>
      </c>
      <c r="CV110" s="60">
        <v>58553</v>
      </c>
      <c r="CW110" s="60">
        <v>11224</v>
      </c>
      <c r="CX110" s="60">
        <v>6373</v>
      </c>
      <c r="CY110" s="60">
        <v>5207</v>
      </c>
      <c r="CZ110" s="60"/>
      <c r="DA110" s="60"/>
      <c r="DB110" s="60">
        <v>446</v>
      </c>
      <c r="DC110" s="60">
        <v>1105</v>
      </c>
      <c r="DD110" s="60">
        <v>913</v>
      </c>
      <c r="DE110" s="60">
        <v>1256</v>
      </c>
      <c r="DF110" s="60">
        <v>1603</v>
      </c>
      <c r="DG110" s="60">
        <v>1560</v>
      </c>
      <c r="DH110" s="60">
        <v>1668</v>
      </c>
      <c r="DI110" s="60">
        <v>2196</v>
      </c>
      <c r="DJ110" s="60">
        <v>383</v>
      </c>
      <c r="DK110" s="60">
        <v>450</v>
      </c>
      <c r="DL110" s="60"/>
      <c r="DM110" s="60">
        <v>648</v>
      </c>
      <c r="DN110" s="60">
        <v>984</v>
      </c>
      <c r="DO110" s="60">
        <v>5069</v>
      </c>
      <c r="DP110" s="60">
        <v>563</v>
      </c>
      <c r="DQ110" s="60">
        <v>10</v>
      </c>
      <c r="DR110" s="60">
        <v>4303</v>
      </c>
      <c r="DS110" s="60">
        <v>3</v>
      </c>
      <c r="DT110" s="60">
        <v>246</v>
      </c>
      <c r="DU110" s="60">
        <v>201</v>
      </c>
      <c r="DV110" s="60">
        <v>369</v>
      </c>
      <c r="DW110" s="60">
        <v>993</v>
      </c>
      <c r="DX110" s="60">
        <v>522</v>
      </c>
      <c r="DY110" s="60"/>
      <c r="DZ110" s="60"/>
      <c r="EA110" s="60">
        <v>7986</v>
      </c>
      <c r="EB110" s="60">
        <v>1262</v>
      </c>
      <c r="EC110" s="60">
        <v>1</v>
      </c>
      <c r="ED110" s="60">
        <v>0</v>
      </c>
      <c r="EE110" s="60">
        <v>0</v>
      </c>
      <c r="EF110" s="60">
        <v>0</v>
      </c>
      <c r="EG110" s="60">
        <v>0</v>
      </c>
      <c r="EH110" s="60">
        <v>0</v>
      </c>
      <c r="EI110" s="60">
        <v>4270</v>
      </c>
      <c r="EJ110" s="60">
        <v>4016</v>
      </c>
      <c r="EK110" s="60">
        <v>52</v>
      </c>
      <c r="EL110" s="60">
        <v>2490</v>
      </c>
      <c r="EM110" s="60">
        <v>752</v>
      </c>
      <c r="EN110" s="60">
        <v>984</v>
      </c>
      <c r="EO110" s="60">
        <v>229</v>
      </c>
      <c r="EP110" s="60">
        <v>2144</v>
      </c>
      <c r="EQ110" s="60">
        <v>13</v>
      </c>
      <c r="ER110" s="60">
        <v>1862</v>
      </c>
      <c r="ES110" s="60">
        <v>548</v>
      </c>
      <c r="ET110" s="60">
        <v>607</v>
      </c>
      <c r="EU110" s="60">
        <v>1101</v>
      </c>
      <c r="EV110" s="60">
        <v>859</v>
      </c>
      <c r="EW110" s="60">
        <v>260</v>
      </c>
      <c r="EX110" s="60">
        <v>320</v>
      </c>
      <c r="EY110" s="60">
        <v>275</v>
      </c>
      <c r="EZ110" s="60">
        <v>13</v>
      </c>
      <c r="FA110" s="60">
        <v>101</v>
      </c>
      <c r="FB110" s="60">
        <v>1260</v>
      </c>
      <c r="FC110" s="60">
        <v>302</v>
      </c>
      <c r="FD110" s="60">
        <v>622</v>
      </c>
      <c r="FE110" s="60"/>
      <c r="FF110" s="60">
        <v>80</v>
      </c>
      <c r="FG110" s="60"/>
      <c r="FH110" s="60">
        <v>544</v>
      </c>
      <c r="FI110" s="60">
        <v>51</v>
      </c>
      <c r="FJ110" s="60">
        <v>364</v>
      </c>
      <c r="FK110" s="60">
        <v>34</v>
      </c>
      <c r="FL110" s="60">
        <v>35</v>
      </c>
      <c r="FM110" s="60">
        <v>528</v>
      </c>
      <c r="FN110" s="60">
        <v>29</v>
      </c>
      <c r="FO110" s="60">
        <v>9748</v>
      </c>
      <c r="FP110" s="60">
        <v>97</v>
      </c>
      <c r="FQ110" s="60">
        <v>13</v>
      </c>
      <c r="FR110" s="60">
        <v>32</v>
      </c>
      <c r="FS110" s="60">
        <v>43</v>
      </c>
      <c r="FT110" s="60">
        <v>27</v>
      </c>
      <c r="FU110" s="60">
        <v>35</v>
      </c>
      <c r="FV110" s="60"/>
      <c r="FW110" s="60"/>
      <c r="FX110" s="60">
        <v>11580</v>
      </c>
      <c r="FY110" s="60">
        <v>243</v>
      </c>
      <c r="FZ110" s="60">
        <v>9331</v>
      </c>
      <c r="GA110" s="60">
        <v>2006</v>
      </c>
      <c r="GB110" s="60">
        <v>2011</v>
      </c>
    </row>
    <row r="111" spans="1:184" x14ac:dyDescent="0.3">
      <c r="A111" s="60">
        <v>106190631</v>
      </c>
      <c r="B111" s="61" t="s">
        <v>505</v>
      </c>
      <c r="C111" s="61" t="s">
        <v>506</v>
      </c>
      <c r="D111" s="61" t="s">
        <v>507</v>
      </c>
      <c r="E111" s="61" t="s">
        <v>508</v>
      </c>
      <c r="F111" s="60">
        <v>90602</v>
      </c>
      <c r="G111" s="61"/>
      <c r="H111" s="61" t="s">
        <v>1669</v>
      </c>
      <c r="I111" s="60">
        <v>56</v>
      </c>
      <c r="J111" s="60">
        <v>30</v>
      </c>
      <c r="K111" s="61" t="s">
        <v>1831</v>
      </c>
      <c r="L111" s="61" t="s">
        <v>357</v>
      </c>
      <c r="M111" s="61" t="s">
        <v>1778</v>
      </c>
      <c r="N111" s="61" t="s">
        <v>1779</v>
      </c>
      <c r="O111" s="61" t="s">
        <v>1673</v>
      </c>
      <c r="P111" s="61" t="s">
        <v>1678</v>
      </c>
      <c r="Q111" s="61" t="s">
        <v>1674</v>
      </c>
      <c r="R111" s="60">
        <v>409</v>
      </c>
      <c r="S111" s="61" t="s">
        <v>1675</v>
      </c>
      <c r="T111" s="60">
        <v>30865</v>
      </c>
      <c r="U111" s="60">
        <v>23892</v>
      </c>
      <c r="V111" s="60">
        <v>1</v>
      </c>
      <c r="W111" s="60"/>
      <c r="X111" s="60">
        <v>9833</v>
      </c>
      <c r="Y111" s="60">
        <v>6908</v>
      </c>
      <c r="Z111" s="60">
        <v>8308</v>
      </c>
      <c r="AA111" s="60">
        <v>6510</v>
      </c>
      <c r="AB111" s="60">
        <v>5779</v>
      </c>
      <c r="AC111" s="60">
        <v>4726</v>
      </c>
      <c r="AD111" s="60">
        <v>3411</v>
      </c>
      <c r="AE111" s="60">
        <v>3028</v>
      </c>
      <c r="AF111" s="60">
        <v>3675</v>
      </c>
      <c r="AG111" s="60">
        <v>2576</v>
      </c>
      <c r="AH111" s="60">
        <v>4</v>
      </c>
      <c r="AI111" s="60">
        <v>981</v>
      </c>
      <c r="AJ111" s="60">
        <v>748</v>
      </c>
      <c r="AK111" s="60">
        <v>42667</v>
      </c>
      <c r="AL111" s="60">
        <v>20</v>
      </c>
      <c r="AM111" s="60">
        <v>80</v>
      </c>
      <c r="AN111" s="60">
        <v>16</v>
      </c>
      <c r="AO111" s="60">
        <v>10246</v>
      </c>
      <c r="AP111" s="60">
        <v>1503</v>
      </c>
      <c r="AQ111" s="60">
        <v>510</v>
      </c>
      <c r="AR111" s="60">
        <v>193</v>
      </c>
      <c r="AS111" s="60">
        <v>86</v>
      </c>
      <c r="AT111" s="60">
        <v>233</v>
      </c>
      <c r="AU111" s="60">
        <v>42</v>
      </c>
      <c r="AV111" s="60">
        <v>1</v>
      </c>
      <c r="AW111" s="60">
        <v>16</v>
      </c>
      <c r="AX111" s="60"/>
      <c r="AY111" s="60">
        <v>268</v>
      </c>
      <c r="AZ111" s="60">
        <v>47</v>
      </c>
      <c r="BA111" s="60">
        <v>51565</v>
      </c>
      <c r="BB111" s="60">
        <v>294</v>
      </c>
      <c r="BC111" s="60"/>
      <c r="BD111" s="60"/>
      <c r="BE111" s="60">
        <v>18454</v>
      </c>
      <c r="BF111" s="60">
        <v>9543</v>
      </c>
      <c r="BG111" s="60">
        <v>2547</v>
      </c>
      <c r="BH111" s="60">
        <v>16466</v>
      </c>
      <c r="BI111" s="60">
        <v>7748</v>
      </c>
      <c r="BJ111" s="60">
        <v>1813</v>
      </c>
      <c r="BK111" s="60">
        <v>138</v>
      </c>
      <c r="BL111" s="60">
        <v>1176</v>
      </c>
      <c r="BM111" s="60">
        <v>25</v>
      </c>
      <c r="BN111" s="60">
        <v>2277</v>
      </c>
      <c r="BO111" s="60">
        <v>700</v>
      </c>
      <c r="BP111" s="60">
        <v>3124</v>
      </c>
      <c r="BQ111" s="60">
        <v>1127</v>
      </c>
      <c r="BR111" s="60">
        <v>12231</v>
      </c>
      <c r="BS111" s="60">
        <v>2887</v>
      </c>
      <c r="BT111" s="60">
        <v>71</v>
      </c>
      <c r="BU111" s="60">
        <v>3414</v>
      </c>
      <c r="BV111" s="60">
        <v>1227</v>
      </c>
      <c r="BW111" s="60">
        <v>139</v>
      </c>
      <c r="BX111" s="60">
        <v>1273</v>
      </c>
      <c r="BY111" s="60">
        <v>6450</v>
      </c>
      <c r="BZ111" s="60">
        <v>2342</v>
      </c>
      <c r="CA111" s="60">
        <v>14344</v>
      </c>
      <c r="CB111" s="60"/>
      <c r="CC111" s="60"/>
      <c r="CD111" s="60">
        <v>4158</v>
      </c>
      <c r="CE111" s="60">
        <v>126</v>
      </c>
      <c r="CF111" s="60">
        <v>510</v>
      </c>
      <c r="CG111" s="60">
        <v>25</v>
      </c>
      <c r="CH111" s="60">
        <v>597</v>
      </c>
      <c r="CI111" s="60">
        <v>106</v>
      </c>
      <c r="CJ111" s="60">
        <v>363</v>
      </c>
      <c r="CK111" s="60">
        <v>609</v>
      </c>
      <c r="CL111" s="60">
        <v>40767</v>
      </c>
      <c r="CM111" s="60">
        <v>5656</v>
      </c>
      <c r="CN111" s="60">
        <v>244</v>
      </c>
      <c r="CO111" s="60">
        <v>1202</v>
      </c>
      <c r="CP111" s="60">
        <v>98</v>
      </c>
      <c r="CQ111" s="60">
        <v>264</v>
      </c>
      <c r="CR111" s="60">
        <v>33</v>
      </c>
      <c r="CS111" s="60"/>
      <c r="CT111" s="60">
        <v>54758</v>
      </c>
      <c r="CU111" s="60">
        <v>110</v>
      </c>
      <c r="CV111" s="60">
        <v>48092</v>
      </c>
      <c r="CW111" s="60">
        <v>6556</v>
      </c>
      <c r="CX111" s="60">
        <v>6074</v>
      </c>
      <c r="CY111" s="60">
        <v>4883</v>
      </c>
      <c r="CZ111" s="60"/>
      <c r="DA111" s="60"/>
      <c r="DB111" s="60">
        <v>291</v>
      </c>
      <c r="DC111" s="60">
        <v>526</v>
      </c>
      <c r="DD111" s="60">
        <v>629</v>
      </c>
      <c r="DE111" s="60">
        <v>1029</v>
      </c>
      <c r="DF111" s="60">
        <v>1433</v>
      </c>
      <c r="DG111" s="60">
        <v>1712</v>
      </c>
      <c r="DH111" s="60">
        <v>1981</v>
      </c>
      <c r="DI111" s="60">
        <v>2995</v>
      </c>
      <c r="DJ111" s="60">
        <v>170</v>
      </c>
      <c r="DK111" s="60">
        <v>191</v>
      </c>
      <c r="DL111" s="60"/>
      <c r="DM111" s="60">
        <v>344</v>
      </c>
      <c r="DN111" s="60">
        <v>124</v>
      </c>
      <c r="DO111" s="60">
        <v>6673</v>
      </c>
      <c r="DP111" s="60">
        <v>11</v>
      </c>
      <c r="DQ111" s="60"/>
      <c r="DR111" s="60">
        <v>3804</v>
      </c>
      <c r="DS111" s="60">
        <v>1</v>
      </c>
      <c r="DT111" s="60">
        <v>279</v>
      </c>
      <c r="DU111" s="60">
        <v>96</v>
      </c>
      <c r="DV111" s="60">
        <v>278</v>
      </c>
      <c r="DW111" s="60">
        <v>1927</v>
      </c>
      <c r="DX111" s="60">
        <v>134</v>
      </c>
      <c r="DY111" s="60">
        <v>1</v>
      </c>
      <c r="DZ111" s="60">
        <v>50</v>
      </c>
      <c r="EA111" s="60">
        <v>6193</v>
      </c>
      <c r="EB111" s="60">
        <v>1998</v>
      </c>
      <c r="EC111" s="60">
        <v>1</v>
      </c>
      <c r="ED111" s="60">
        <v>0</v>
      </c>
      <c r="EE111" s="60">
        <v>0</v>
      </c>
      <c r="EF111" s="60">
        <v>0</v>
      </c>
      <c r="EG111" s="60">
        <v>0</v>
      </c>
      <c r="EH111" s="60">
        <v>0</v>
      </c>
      <c r="EI111" s="60">
        <v>1400</v>
      </c>
      <c r="EJ111" s="60">
        <v>6486</v>
      </c>
      <c r="EK111" s="60">
        <v>88</v>
      </c>
      <c r="EL111" s="60">
        <v>2216</v>
      </c>
      <c r="EM111" s="60">
        <v>767</v>
      </c>
      <c r="EN111" s="60">
        <v>153</v>
      </c>
      <c r="EO111" s="60">
        <v>125</v>
      </c>
      <c r="EP111" s="60">
        <v>2479</v>
      </c>
      <c r="EQ111" s="60">
        <v>8</v>
      </c>
      <c r="ER111" s="60">
        <v>1888</v>
      </c>
      <c r="ES111" s="60">
        <v>420</v>
      </c>
      <c r="ET111" s="60">
        <v>602</v>
      </c>
      <c r="EU111" s="60">
        <v>1346</v>
      </c>
      <c r="EV111" s="60">
        <v>1039</v>
      </c>
      <c r="EW111" s="60">
        <v>182</v>
      </c>
      <c r="EX111" s="60">
        <v>343</v>
      </c>
      <c r="EY111" s="60">
        <v>225</v>
      </c>
      <c r="EZ111" s="60">
        <v>10</v>
      </c>
      <c r="FA111" s="60">
        <v>65</v>
      </c>
      <c r="FB111" s="60">
        <v>1131</v>
      </c>
      <c r="FC111" s="60">
        <v>282</v>
      </c>
      <c r="FD111" s="60">
        <v>617</v>
      </c>
      <c r="FE111" s="60">
        <v>1</v>
      </c>
      <c r="FF111" s="60">
        <v>41</v>
      </c>
      <c r="FG111" s="60"/>
      <c r="FH111" s="60">
        <v>640</v>
      </c>
      <c r="FI111" s="60">
        <v>42</v>
      </c>
      <c r="FJ111" s="60">
        <v>1030</v>
      </c>
      <c r="FK111" s="60">
        <v>24</v>
      </c>
      <c r="FL111" s="60">
        <v>67</v>
      </c>
      <c r="FM111" s="60">
        <v>600</v>
      </c>
      <c r="FN111" s="60">
        <v>25</v>
      </c>
      <c r="FO111" s="60">
        <v>8209</v>
      </c>
      <c r="FP111" s="60">
        <v>176</v>
      </c>
      <c r="FQ111" s="60">
        <v>7</v>
      </c>
      <c r="FR111" s="60">
        <v>41</v>
      </c>
      <c r="FS111" s="60">
        <v>27</v>
      </c>
      <c r="FT111" s="60">
        <v>37</v>
      </c>
      <c r="FU111" s="60">
        <v>26</v>
      </c>
      <c r="FV111" s="60">
        <v>6</v>
      </c>
      <c r="FW111" s="60"/>
      <c r="FX111" s="60">
        <v>10957</v>
      </c>
      <c r="FY111" s="60">
        <v>88</v>
      </c>
      <c r="FZ111" s="60">
        <v>9337</v>
      </c>
      <c r="GA111" s="60">
        <v>1532</v>
      </c>
      <c r="GB111" s="60">
        <v>2011</v>
      </c>
    </row>
    <row r="112" spans="1:184" x14ac:dyDescent="0.3">
      <c r="A112" s="60">
        <v>106190636</v>
      </c>
      <c r="B112" s="61" t="s">
        <v>509</v>
      </c>
      <c r="C112" s="61" t="s">
        <v>510</v>
      </c>
      <c r="D112" s="61" t="s">
        <v>511</v>
      </c>
      <c r="E112" s="61" t="s">
        <v>512</v>
      </c>
      <c r="F112" s="60">
        <v>91790</v>
      </c>
      <c r="G112" s="61"/>
      <c r="H112" s="61" t="s">
        <v>1669</v>
      </c>
      <c r="I112" s="60">
        <v>57</v>
      </c>
      <c r="J112" s="60">
        <v>24</v>
      </c>
      <c r="K112" s="61" t="s">
        <v>1832</v>
      </c>
      <c r="L112" s="61" t="s">
        <v>344</v>
      </c>
      <c r="M112" s="61" t="s">
        <v>1778</v>
      </c>
      <c r="N112" s="61" t="s">
        <v>1779</v>
      </c>
      <c r="O112" s="61" t="s">
        <v>1673</v>
      </c>
      <c r="P112" s="61" t="s">
        <v>1678</v>
      </c>
      <c r="Q112" s="61" t="s">
        <v>1674</v>
      </c>
      <c r="R112" s="60">
        <v>325</v>
      </c>
      <c r="S112" s="61" t="s">
        <v>1675</v>
      </c>
      <c r="T112" s="60">
        <v>22544</v>
      </c>
      <c r="U112" s="60">
        <v>18503</v>
      </c>
      <c r="V112" s="60">
        <v>1</v>
      </c>
      <c r="W112" s="60"/>
      <c r="X112" s="60">
        <v>8624</v>
      </c>
      <c r="Y112" s="60">
        <v>5912</v>
      </c>
      <c r="Z112" s="60">
        <v>6889</v>
      </c>
      <c r="AA112" s="60">
        <v>5137</v>
      </c>
      <c r="AB112" s="60">
        <v>4272</v>
      </c>
      <c r="AC112" s="60">
        <v>3487</v>
      </c>
      <c r="AD112" s="60">
        <v>1929</v>
      </c>
      <c r="AE112" s="60">
        <v>1285</v>
      </c>
      <c r="AF112" s="60">
        <v>1117</v>
      </c>
      <c r="AG112" s="60">
        <v>2396</v>
      </c>
      <c r="AH112" s="60"/>
      <c r="AI112" s="60">
        <v>2216</v>
      </c>
      <c r="AJ112" s="60">
        <v>1348</v>
      </c>
      <c r="AK112" s="60">
        <v>31601</v>
      </c>
      <c r="AL112" s="60">
        <v>37</v>
      </c>
      <c r="AM112" s="60">
        <v>583</v>
      </c>
      <c r="AN112" s="60">
        <v>40</v>
      </c>
      <c r="AO112" s="60">
        <v>5223</v>
      </c>
      <c r="AP112" s="60">
        <v>800</v>
      </c>
      <c r="AQ112" s="60">
        <v>295</v>
      </c>
      <c r="AR112" s="60">
        <v>64</v>
      </c>
      <c r="AS112" s="60">
        <v>38</v>
      </c>
      <c r="AT112" s="60">
        <v>2</v>
      </c>
      <c r="AU112" s="60">
        <v>1</v>
      </c>
      <c r="AV112" s="60">
        <v>1</v>
      </c>
      <c r="AW112" s="60">
        <v>43</v>
      </c>
      <c r="AX112" s="60"/>
      <c r="AY112" s="60">
        <v>146</v>
      </c>
      <c r="AZ112" s="60">
        <v>3</v>
      </c>
      <c r="BA112" s="60">
        <v>39455</v>
      </c>
      <c r="BB112" s="60">
        <v>200</v>
      </c>
      <c r="BC112" s="60"/>
      <c r="BD112" s="60"/>
      <c r="BE112" s="60">
        <v>5633</v>
      </c>
      <c r="BF112" s="60">
        <v>3937</v>
      </c>
      <c r="BG112" s="60">
        <v>855</v>
      </c>
      <c r="BH112" s="60">
        <v>22087</v>
      </c>
      <c r="BI112" s="60">
        <v>8536</v>
      </c>
      <c r="BJ112" s="60">
        <v>1688</v>
      </c>
      <c r="BK112" s="60">
        <v>133</v>
      </c>
      <c r="BL112" s="60">
        <v>586</v>
      </c>
      <c r="BM112" s="60">
        <v>16</v>
      </c>
      <c r="BN112" s="60">
        <v>1884</v>
      </c>
      <c r="BO112" s="60">
        <v>414</v>
      </c>
      <c r="BP112" s="60">
        <v>2193</v>
      </c>
      <c r="BQ112" s="60">
        <v>881</v>
      </c>
      <c r="BR112" s="60">
        <v>8455</v>
      </c>
      <c r="BS112" s="60">
        <v>2427</v>
      </c>
      <c r="BT112" s="60">
        <v>90</v>
      </c>
      <c r="BU112" s="60">
        <v>2192</v>
      </c>
      <c r="BV112" s="60">
        <v>1888</v>
      </c>
      <c r="BW112" s="60">
        <v>178</v>
      </c>
      <c r="BX112" s="60">
        <v>853</v>
      </c>
      <c r="BY112" s="60">
        <v>4845</v>
      </c>
      <c r="BZ112" s="60">
        <v>1809</v>
      </c>
      <c r="CA112" s="60">
        <v>10515</v>
      </c>
      <c r="CB112" s="60"/>
      <c r="CC112" s="60">
        <v>1</v>
      </c>
      <c r="CD112" s="60">
        <v>2796</v>
      </c>
      <c r="CE112" s="60">
        <v>77</v>
      </c>
      <c r="CF112" s="60">
        <v>369</v>
      </c>
      <c r="CG112" s="60">
        <v>20</v>
      </c>
      <c r="CH112" s="60">
        <v>483</v>
      </c>
      <c r="CI112" s="60">
        <v>8</v>
      </c>
      <c r="CJ112" s="60">
        <v>135</v>
      </c>
      <c r="CK112" s="60">
        <v>483</v>
      </c>
      <c r="CL112" s="60">
        <v>31946</v>
      </c>
      <c r="CM112" s="60">
        <v>3088</v>
      </c>
      <c r="CN112" s="60">
        <v>189</v>
      </c>
      <c r="CO112" s="60">
        <v>1123</v>
      </c>
      <c r="CP112" s="60">
        <v>55</v>
      </c>
      <c r="CQ112" s="60">
        <v>220</v>
      </c>
      <c r="CR112" s="60">
        <v>56</v>
      </c>
      <c r="CS112" s="60"/>
      <c r="CT112" s="60">
        <v>41048</v>
      </c>
      <c r="CU112" s="60">
        <v>891</v>
      </c>
      <c r="CV112" s="60">
        <v>30154</v>
      </c>
      <c r="CW112" s="60">
        <v>10003</v>
      </c>
      <c r="CX112" s="60">
        <v>4999</v>
      </c>
      <c r="CY112" s="60">
        <v>4169</v>
      </c>
      <c r="CZ112" s="60"/>
      <c r="DA112" s="60"/>
      <c r="DB112" s="60">
        <v>342</v>
      </c>
      <c r="DC112" s="60">
        <v>587</v>
      </c>
      <c r="DD112" s="60">
        <v>769</v>
      </c>
      <c r="DE112" s="60">
        <v>1094</v>
      </c>
      <c r="DF112" s="60">
        <v>1337</v>
      </c>
      <c r="DG112" s="60">
        <v>1392</v>
      </c>
      <c r="DH112" s="60">
        <v>1275</v>
      </c>
      <c r="DI112" s="60">
        <v>1650</v>
      </c>
      <c r="DJ112" s="60">
        <v>303</v>
      </c>
      <c r="DK112" s="60">
        <v>419</v>
      </c>
      <c r="DL112" s="60"/>
      <c r="DM112" s="60">
        <v>1088</v>
      </c>
      <c r="DN112" s="60">
        <v>322</v>
      </c>
      <c r="DO112" s="60">
        <v>5975</v>
      </c>
      <c r="DP112" s="60">
        <v>138</v>
      </c>
      <c r="DQ112" s="60">
        <v>3</v>
      </c>
      <c r="DR112" s="60">
        <v>1637</v>
      </c>
      <c r="DS112" s="60">
        <v>5</v>
      </c>
      <c r="DT112" s="60">
        <v>560</v>
      </c>
      <c r="DU112" s="60">
        <v>176</v>
      </c>
      <c r="DV112" s="60">
        <v>217</v>
      </c>
      <c r="DW112" s="60">
        <v>503</v>
      </c>
      <c r="DX112" s="60">
        <v>209</v>
      </c>
      <c r="DY112" s="60">
        <v>77</v>
      </c>
      <c r="DZ112" s="60">
        <v>54</v>
      </c>
      <c r="EA112" s="60">
        <v>6544</v>
      </c>
      <c r="EB112" s="60">
        <v>823</v>
      </c>
      <c r="EC112" s="60">
        <v>5</v>
      </c>
      <c r="ED112" s="60">
        <v>0</v>
      </c>
      <c r="EE112" s="60">
        <v>0</v>
      </c>
      <c r="EF112" s="60">
        <v>0</v>
      </c>
      <c r="EG112" s="60">
        <v>0</v>
      </c>
      <c r="EH112" s="60">
        <v>0</v>
      </c>
      <c r="EI112" s="60">
        <v>3411</v>
      </c>
      <c r="EJ112" s="60">
        <v>3346</v>
      </c>
      <c r="EK112" s="60">
        <v>181</v>
      </c>
      <c r="EL112" s="60">
        <v>1444</v>
      </c>
      <c r="EM112" s="60">
        <v>786</v>
      </c>
      <c r="EN112" s="60">
        <v>214</v>
      </c>
      <c r="EO112" s="60">
        <v>177</v>
      </c>
      <c r="EP112" s="60">
        <v>1258</v>
      </c>
      <c r="EQ112" s="60">
        <v>16</v>
      </c>
      <c r="ER112" s="60">
        <v>1758</v>
      </c>
      <c r="ES112" s="60">
        <v>449</v>
      </c>
      <c r="ET112" s="60">
        <v>515</v>
      </c>
      <c r="EU112" s="60">
        <v>795</v>
      </c>
      <c r="EV112" s="60">
        <v>622</v>
      </c>
      <c r="EW112" s="60">
        <v>157</v>
      </c>
      <c r="EX112" s="60">
        <v>214</v>
      </c>
      <c r="EY112" s="60">
        <v>196</v>
      </c>
      <c r="EZ112" s="60">
        <v>40</v>
      </c>
      <c r="FA112" s="60">
        <v>72</v>
      </c>
      <c r="FB112" s="60">
        <v>1267</v>
      </c>
      <c r="FC112" s="60">
        <v>227</v>
      </c>
      <c r="FD112" s="60">
        <v>1151</v>
      </c>
      <c r="FE112" s="60">
        <v>15</v>
      </c>
      <c r="FF112" s="60">
        <v>25</v>
      </c>
      <c r="FG112" s="60"/>
      <c r="FH112" s="60">
        <v>346</v>
      </c>
      <c r="FI112" s="60">
        <v>43</v>
      </c>
      <c r="FJ112" s="60">
        <v>344</v>
      </c>
      <c r="FK112" s="60">
        <v>21</v>
      </c>
      <c r="FL112" s="60">
        <v>7</v>
      </c>
      <c r="FM112" s="60">
        <v>210</v>
      </c>
      <c r="FN112" s="60">
        <v>24</v>
      </c>
      <c r="FO112" s="60">
        <v>8014</v>
      </c>
      <c r="FP112" s="60">
        <v>79</v>
      </c>
      <c r="FQ112" s="60">
        <v>8</v>
      </c>
      <c r="FR112" s="60">
        <v>34</v>
      </c>
      <c r="FS112" s="60">
        <v>24</v>
      </c>
      <c r="FT112" s="60">
        <v>8</v>
      </c>
      <c r="FU112" s="60">
        <v>4</v>
      </c>
      <c r="FV112" s="60">
        <v>2</v>
      </c>
      <c r="FW112" s="60"/>
      <c r="FX112" s="60">
        <v>9168</v>
      </c>
      <c r="FY112" s="60">
        <v>659</v>
      </c>
      <c r="FZ112" s="60">
        <v>5717</v>
      </c>
      <c r="GA112" s="60">
        <v>2792</v>
      </c>
      <c r="GB112" s="60">
        <v>2011</v>
      </c>
    </row>
    <row r="113" spans="1:184" x14ac:dyDescent="0.3">
      <c r="A113" s="60">
        <v>106190673</v>
      </c>
      <c r="B113" s="61" t="s">
        <v>513</v>
      </c>
      <c r="C113" s="61" t="s">
        <v>514</v>
      </c>
      <c r="D113" s="61" t="s">
        <v>515</v>
      </c>
      <c r="E113" s="61" t="s">
        <v>516</v>
      </c>
      <c r="F113" s="60">
        <v>91773</v>
      </c>
      <c r="G113" s="61"/>
      <c r="H113" s="61" t="s">
        <v>1669</v>
      </c>
      <c r="I113" s="60">
        <v>59</v>
      </c>
      <c r="J113" s="60">
        <v>29</v>
      </c>
      <c r="K113" s="61" t="s">
        <v>1830</v>
      </c>
      <c r="L113" s="61" t="s">
        <v>344</v>
      </c>
      <c r="M113" s="61" t="s">
        <v>1778</v>
      </c>
      <c r="N113" s="61" t="s">
        <v>1779</v>
      </c>
      <c r="O113" s="61" t="s">
        <v>1673</v>
      </c>
      <c r="P113" s="61" t="s">
        <v>321</v>
      </c>
      <c r="Q113" s="61" t="s">
        <v>1674</v>
      </c>
      <c r="R113" s="60">
        <v>64</v>
      </c>
      <c r="S113" s="61" t="s">
        <v>1675</v>
      </c>
      <c r="T113" s="60">
        <v>6344</v>
      </c>
      <c r="U113" s="60">
        <v>5363</v>
      </c>
      <c r="V113" s="60"/>
      <c r="W113" s="60"/>
      <c r="X113" s="60">
        <v>1368</v>
      </c>
      <c r="Y113" s="60">
        <v>1743</v>
      </c>
      <c r="Z113" s="60">
        <v>2103</v>
      </c>
      <c r="AA113" s="60">
        <v>1609</v>
      </c>
      <c r="AB113" s="60">
        <v>1617</v>
      </c>
      <c r="AC113" s="60">
        <v>1279</v>
      </c>
      <c r="AD113" s="60">
        <v>734</v>
      </c>
      <c r="AE113" s="60">
        <v>533</v>
      </c>
      <c r="AF113" s="60">
        <v>505</v>
      </c>
      <c r="AG113" s="60">
        <v>216</v>
      </c>
      <c r="AH113" s="60"/>
      <c r="AI113" s="60">
        <v>794</v>
      </c>
      <c r="AJ113" s="60">
        <v>768</v>
      </c>
      <c r="AK113" s="60">
        <v>4521</v>
      </c>
      <c r="AL113" s="60">
        <v>19</v>
      </c>
      <c r="AM113" s="60">
        <v>586</v>
      </c>
      <c r="AN113" s="60">
        <v>52</v>
      </c>
      <c r="AO113" s="60">
        <v>4967</v>
      </c>
      <c r="AP113" s="60">
        <v>417</v>
      </c>
      <c r="AQ113" s="60">
        <v>473</v>
      </c>
      <c r="AR113" s="60"/>
      <c r="AS113" s="60">
        <v>25</v>
      </c>
      <c r="AT113" s="60"/>
      <c r="AU113" s="60"/>
      <c r="AV113" s="60">
        <v>1</v>
      </c>
      <c r="AW113" s="60"/>
      <c r="AX113" s="60"/>
      <c r="AY113" s="60">
        <v>94</v>
      </c>
      <c r="AZ113" s="60"/>
      <c r="BA113" s="60">
        <v>10687</v>
      </c>
      <c r="BB113" s="60">
        <v>10</v>
      </c>
      <c r="BC113" s="60"/>
      <c r="BD113" s="60"/>
      <c r="BE113" s="60">
        <v>894</v>
      </c>
      <c r="BF113" s="60">
        <v>1692</v>
      </c>
      <c r="BG113" s="60">
        <v>614</v>
      </c>
      <c r="BH113" s="60">
        <v>6630</v>
      </c>
      <c r="BI113" s="60">
        <v>1877</v>
      </c>
      <c r="BJ113" s="60">
        <v>168</v>
      </c>
      <c r="BK113" s="60">
        <v>11</v>
      </c>
      <c r="BL113" s="60">
        <v>226</v>
      </c>
      <c r="BM113" s="60">
        <v>3</v>
      </c>
      <c r="BN113" s="60">
        <v>471</v>
      </c>
      <c r="BO113" s="60">
        <v>120</v>
      </c>
      <c r="BP113" s="60">
        <v>518</v>
      </c>
      <c r="BQ113" s="60">
        <v>162</v>
      </c>
      <c r="BR113" s="60">
        <v>3206</v>
      </c>
      <c r="BS113" s="60">
        <v>787</v>
      </c>
      <c r="BT113" s="60">
        <v>3</v>
      </c>
      <c r="BU113" s="60">
        <v>762</v>
      </c>
      <c r="BV113" s="60">
        <v>774</v>
      </c>
      <c r="BW113" s="60">
        <v>4</v>
      </c>
      <c r="BX113" s="60">
        <v>378</v>
      </c>
      <c r="BY113" s="60">
        <v>1031</v>
      </c>
      <c r="BZ113" s="60">
        <v>465</v>
      </c>
      <c r="CA113" s="60">
        <v>2618</v>
      </c>
      <c r="CB113" s="60"/>
      <c r="CC113" s="60"/>
      <c r="CD113" s="60">
        <v>972</v>
      </c>
      <c r="CE113" s="60">
        <v>25</v>
      </c>
      <c r="CF113" s="60">
        <v>56</v>
      </c>
      <c r="CG113" s="60">
        <v>5</v>
      </c>
      <c r="CH113" s="60">
        <v>131</v>
      </c>
      <c r="CI113" s="60">
        <v>3</v>
      </c>
      <c r="CJ113" s="60">
        <v>3</v>
      </c>
      <c r="CK113" s="60">
        <v>145</v>
      </c>
      <c r="CL113" s="60">
        <v>8352</v>
      </c>
      <c r="CM113" s="60">
        <v>1385</v>
      </c>
      <c r="CN113" s="60">
        <v>70</v>
      </c>
      <c r="CO113" s="60">
        <v>466</v>
      </c>
      <c r="CP113" s="60">
        <v>31</v>
      </c>
      <c r="CQ113" s="60">
        <v>56</v>
      </c>
      <c r="CR113" s="60">
        <v>7</v>
      </c>
      <c r="CS113" s="60"/>
      <c r="CT113" s="60">
        <v>11707</v>
      </c>
      <c r="CU113" s="60">
        <v>11</v>
      </c>
      <c r="CV113" s="60">
        <v>11606</v>
      </c>
      <c r="CW113" s="60">
        <v>90</v>
      </c>
      <c r="CX113" s="60">
        <v>1912</v>
      </c>
      <c r="CY113" s="60">
        <v>1329</v>
      </c>
      <c r="CZ113" s="60"/>
      <c r="DA113" s="60"/>
      <c r="DB113" s="60">
        <v>56</v>
      </c>
      <c r="DC113" s="60">
        <v>185</v>
      </c>
      <c r="DD113" s="60">
        <v>261</v>
      </c>
      <c r="DE113" s="60">
        <v>391</v>
      </c>
      <c r="DF113" s="60">
        <v>509</v>
      </c>
      <c r="DG113" s="60">
        <v>468</v>
      </c>
      <c r="DH113" s="60">
        <v>551</v>
      </c>
      <c r="DI113" s="60">
        <v>820</v>
      </c>
      <c r="DJ113" s="60"/>
      <c r="DK113" s="60"/>
      <c r="DL113" s="60"/>
      <c r="DM113" s="60">
        <v>263</v>
      </c>
      <c r="DN113" s="60">
        <v>200</v>
      </c>
      <c r="DO113" s="60">
        <v>920</v>
      </c>
      <c r="DP113" s="60">
        <v>147</v>
      </c>
      <c r="DQ113" s="60">
        <v>12</v>
      </c>
      <c r="DR113" s="60">
        <v>1697</v>
      </c>
      <c r="DS113" s="60">
        <v>2</v>
      </c>
      <c r="DT113" s="60">
        <v>323</v>
      </c>
      <c r="DU113" s="60">
        <v>89</v>
      </c>
      <c r="DV113" s="60">
        <v>85</v>
      </c>
      <c r="DW113" s="60">
        <v>152</v>
      </c>
      <c r="DX113" s="60">
        <v>80</v>
      </c>
      <c r="DY113" s="60">
        <v>25</v>
      </c>
      <c r="DZ113" s="60">
        <v>64</v>
      </c>
      <c r="EA113" s="60">
        <v>1959</v>
      </c>
      <c r="EB113" s="60">
        <v>462</v>
      </c>
      <c r="EC113" s="60">
        <v>2</v>
      </c>
      <c r="ED113" s="60">
        <v>0</v>
      </c>
      <c r="EE113" s="60">
        <v>0</v>
      </c>
      <c r="EF113" s="60">
        <v>0</v>
      </c>
      <c r="EG113" s="60">
        <v>0</v>
      </c>
      <c r="EH113" s="60">
        <v>0</v>
      </c>
      <c r="EI113" s="60">
        <v>415</v>
      </c>
      <c r="EJ113" s="60">
        <v>1740</v>
      </c>
      <c r="EK113" s="60">
        <v>37</v>
      </c>
      <c r="EL113" s="60">
        <v>872</v>
      </c>
      <c r="EM113" s="60">
        <v>177</v>
      </c>
      <c r="EN113" s="60">
        <v>59</v>
      </c>
      <c r="EO113" s="60">
        <v>42</v>
      </c>
      <c r="EP113" s="60">
        <v>488</v>
      </c>
      <c r="EQ113" s="60"/>
      <c r="ER113" s="60">
        <v>553</v>
      </c>
      <c r="ES113" s="60">
        <v>159</v>
      </c>
      <c r="ET113" s="60">
        <v>207</v>
      </c>
      <c r="EU113" s="60">
        <v>351</v>
      </c>
      <c r="EV113" s="60">
        <v>247</v>
      </c>
      <c r="EW113" s="60">
        <v>71</v>
      </c>
      <c r="EX113" s="60">
        <v>29</v>
      </c>
      <c r="EY113" s="60">
        <v>115</v>
      </c>
      <c r="EZ113" s="60">
        <v>3</v>
      </c>
      <c r="FA113" s="60">
        <v>52</v>
      </c>
      <c r="FB113" s="60">
        <v>314</v>
      </c>
      <c r="FC113" s="60">
        <v>79</v>
      </c>
      <c r="FD113" s="60">
        <v>472</v>
      </c>
      <c r="FE113" s="60"/>
      <c r="FF113" s="60"/>
      <c r="FG113" s="60"/>
      <c r="FH113" s="60">
        <v>164</v>
      </c>
      <c r="FI113" s="60">
        <v>17</v>
      </c>
      <c r="FJ113" s="60">
        <v>236</v>
      </c>
      <c r="FK113" s="60">
        <v>1</v>
      </c>
      <c r="FL113" s="60">
        <v>6</v>
      </c>
      <c r="FM113" s="60">
        <v>32</v>
      </c>
      <c r="FN113" s="60">
        <v>14</v>
      </c>
      <c r="FO113" s="60">
        <v>2676</v>
      </c>
      <c r="FP113" s="60">
        <v>30</v>
      </c>
      <c r="FQ113" s="60">
        <v>4</v>
      </c>
      <c r="FR113" s="60">
        <v>19</v>
      </c>
      <c r="FS113" s="60">
        <v>24</v>
      </c>
      <c r="FT113" s="60">
        <v>7</v>
      </c>
      <c r="FU113" s="60">
        <v>8</v>
      </c>
      <c r="FV113" s="60">
        <v>2</v>
      </c>
      <c r="FW113" s="60">
        <v>1</v>
      </c>
      <c r="FX113" s="60">
        <v>3241</v>
      </c>
      <c r="FY113" s="60">
        <v>2</v>
      </c>
      <c r="FZ113" s="60">
        <v>3205</v>
      </c>
      <c r="GA113" s="60">
        <v>34</v>
      </c>
      <c r="GB113" s="60">
        <v>2011</v>
      </c>
    </row>
    <row r="114" spans="1:184" x14ac:dyDescent="0.3">
      <c r="A114" s="60">
        <v>106190680</v>
      </c>
      <c r="B114" s="61" t="s">
        <v>517</v>
      </c>
      <c r="C114" s="61" t="s">
        <v>518</v>
      </c>
      <c r="D114" s="61" t="s">
        <v>519</v>
      </c>
      <c r="E114" s="61" t="s">
        <v>520</v>
      </c>
      <c r="F114" s="60">
        <v>90732</v>
      </c>
      <c r="G114" s="61"/>
      <c r="H114" s="61" t="s">
        <v>1669</v>
      </c>
      <c r="I114" s="60">
        <v>54</v>
      </c>
      <c r="J114" s="60">
        <v>28</v>
      </c>
      <c r="K114" s="61" t="s">
        <v>1833</v>
      </c>
      <c r="L114" s="61" t="s">
        <v>354</v>
      </c>
      <c r="M114" s="61" t="s">
        <v>1778</v>
      </c>
      <c r="N114" s="61" t="s">
        <v>1779</v>
      </c>
      <c r="O114" s="61" t="s">
        <v>1673</v>
      </c>
      <c r="P114" s="61" t="s">
        <v>1678</v>
      </c>
      <c r="Q114" s="61" t="s">
        <v>1674</v>
      </c>
      <c r="R114" s="60">
        <v>158</v>
      </c>
      <c r="S114" s="61" t="s">
        <v>1675</v>
      </c>
      <c r="T114" s="60">
        <v>17330</v>
      </c>
      <c r="U114" s="60">
        <v>13915</v>
      </c>
      <c r="V114" s="60"/>
      <c r="W114" s="60"/>
      <c r="X114" s="60">
        <v>4818</v>
      </c>
      <c r="Y114" s="60">
        <v>3957</v>
      </c>
      <c r="Z114" s="60">
        <v>4934</v>
      </c>
      <c r="AA114" s="60">
        <v>4088</v>
      </c>
      <c r="AB114" s="60">
        <v>4031</v>
      </c>
      <c r="AC114" s="60">
        <v>3407</v>
      </c>
      <c r="AD114" s="60">
        <v>1953</v>
      </c>
      <c r="AE114" s="60">
        <v>1375</v>
      </c>
      <c r="AF114" s="60">
        <v>1671</v>
      </c>
      <c r="AG114" s="60">
        <v>1011</v>
      </c>
      <c r="AH114" s="60"/>
      <c r="AI114" s="60">
        <v>334</v>
      </c>
      <c r="AJ114" s="60">
        <v>2770</v>
      </c>
      <c r="AK114" s="60">
        <v>15939</v>
      </c>
      <c r="AL114" s="60">
        <v>16</v>
      </c>
      <c r="AM114" s="60">
        <v>2334</v>
      </c>
      <c r="AN114" s="60">
        <v>137</v>
      </c>
      <c r="AO114" s="60">
        <v>9715</v>
      </c>
      <c r="AP114" s="60">
        <v>373</v>
      </c>
      <c r="AQ114" s="60">
        <v>137</v>
      </c>
      <c r="AR114" s="60"/>
      <c r="AS114" s="60">
        <v>36</v>
      </c>
      <c r="AT114" s="60">
        <v>11</v>
      </c>
      <c r="AU114" s="60">
        <v>2</v>
      </c>
      <c r="AV114" s="60">
        <v>5</v>
      </c>
      <c r="AW114" s="60">
        <v>34</v>
      </c>
      <c r="AX114" s="60">
        <v>18</v>
      </c>
      <c r="AY114" s="60">
        <v>124</v>
      </c>
      <c r="AZ114" s="60"/>
      <c r="BA114" s="60">
        <v>30359</v>
      </c>
      <c r="BB114" s="60">
        <v>146</v>
      </c>
      <c r="BC114" s="60"/>
      <c r="BD114" s="60"/>
      <c r="BE114" s="60">
        <v>12257</v>
      </c>
      <c r="BF114" s="60">
        <v>4813</v>
      </c>
      <c r="BG114" s="60">
        <v>1660</v>
      </c>
      <c r="BH114" s="60">
        <v>7775</v>
      </c>
      <c r="BI114" s="60">
        <v>4740</v>
      </c>
      <c r="BJ114" s="60">
        <v>824</v>
      </c>
      <c r="BK114" s="60">
        <v>69</v>
      </c>
      <c r="BL114" s="60">
        <v>527</v>
      </c>
      <c r="BM114" s="60">
        <v>1</v>
      </c>
      <c r="BN114" s="60">
        <v>1530</v>
      </c>
      <c r="BO114" s="60">
        <v>334</v>
      </c>
      <c r="BP114" s="60">
        <v>1536</v>
      </c>
      <c r="BQ114" s="60">
        <v>443</v>
      </c>
      <c r="BR114" s="60">
        <v>7205</v>
      </c>
      <c r="BS114" s="60">
        <v>1761</v>
      </c>
      <c r="BT114" s="60">
        <v>29</v>
      </c>
      <c r="BU114" s="60">
        <v>1914</v>
      </c>
      <c r="BV114" s="60">
        <v>1661</v>
      </c>
      <c r="BW114" s="60">
        <v>36</v>
      </c>
      <c r="BX114" s="60">
        <v>900</v>
      </c>
      <c r="BY114" s="60">
        <v>3672</v>
      </c>
      <c r="BZ114" s="60">
        <v>1759</v>
      </c>
      <c r="CA114" s="60">
        <v>7044</v>
      </c>
      <c r="CB114" s="60"/>
      <c r="CC114" s="60"/>
      <c r="CD114" s="60">
        <v>2293</v>
      </c>
      <c r="CE114" s="60">
        <v>136</v>
      </c>
      <c r="CF114" s="60">
        <v>174</v>
      </c>
      <c r="CG114" s="60">
        <v>12</v>
      </c>
      <c r="CH114" s="60">
        <v>478</v>
      </c>
      <c r="CI114" s="60">
        <v>21</v>
      </c>
      <c r="CJ114" s="60">
        <v>108</v>
      </c>
      <c r="CK114" s="60">
        <v>334</v>
      </c>
      <c r="CL114" s="60">
        <v>23554</v>
      </c>
      <c r="CM114" s="60">
        <v>3145</v>
      </c>
      <c r="CN114" s="60">
        <v>134</v>
      </c>
      <c r="CO114" s="60">
        <v>570</v>
      </c>
      <c r="CP114" s="60">
        <v>74</v>
      </c>
      <c r="CQ114" s="60">
        <v>165</v>
      </c>
      <c r="CR114" s="60">
        <v>47</v>
      </c>
      <c r="CS114" s="60"/>
      <c r="CT114" s="60">
        <v>31245</v>
      </c>
      <c r="CU114" s="60">
        <v>228</v>
      </c>
      <c r="CV114" s="60">
        <v>29018</v>
      </c>
      <c r="CW114" s="60">
        <v>1999</v>
      </c>
      <c r="CX114" s="60">
        <v>2010</v>
      </c>
      <c r="CY114" s="60">
        <v>1790</v>
      </c>
      <c r="CZ114" s="60"/>
      <c r="DA114" s="60"/>
      <c r="DB114" s="60">
        <v>60</v>
      </c>
      <c r="DC114" s="60">
        <v>228</v>
      </c>
      <c r="DD114" s="60">
        <v>244</v>
      </c>
      <c r="DE114" s="60">
        <v>448</v>
      </c>
      <c r="DF114" s="60">
        <v>643</v>
      </c>
      <c r="DG114" s="60">
        <v>594</v>
      </c>
      <c r="DH114" s="60">
        <v>603</v>
      </c>
      <c r="DI114" s="60">
        <v>980</v>
      </c>
      <c r="DJ114" s="60"/>
      <c r="DK114" s="60"/>
      <c r="DL114" s="60"/>
      <c r="DM114" s="60">
        <v>81</v>
      </c>
      <c r="DN114" s="60">
        <v>265</v>
      </c>
      <c r="DO114" s="60">
        <v>1157</v>
      </c>
      <c r="DP114" s="60">
        <v>295</v>
      </c>
      <c r="DQ114" s="60">
        <v>18</v>
      </c>
      <c r="DR114" s="60">
        <v>1982</v>
      </c>
      <c r="DS114" s="60">
        <v>2</v>
      </c>
      <c r="DT114" s="60">
        <v>129</v>
      </c>
      <c r="DU114" s="60">
        <v>58</v>
      </c>
      <c r="DV114" s="60">
        <v>97</v>
      </c>
      <c r="DW114" s="60">
        <v>301</v>
      </c>
      <c r="DX114" s="60">
        <v>115</v>
      </c>
      <c r="DY114" s="60">
        <v>7</v>
      </c>
      <c r="DZ114" s="60">
        <v>94</v>
      </c>
      <c r="EA114" s="60">
        <v>2203</v>
      </c>
      <c r="EB114" s="60">
        <v>764</v>
      </c>
      <c r="EC114" s="60">
        <v>32</v>
      </c>
      <c r="ED114" s="60">
        <v>0</v>
      </c>
      <c r="EE114" s="60">
        <v>0</v>
      </c>
      <c r="EF114" s="60">
        <v>0</v>
      </c>
      <c r="EG114" s="60">
        <v>0</v>
      </c>
      <c r="EH114" s="60">
        <v>0</v>
      </c>
      <c r="EI114" s="60">
        <v>718</v>
      </c>
      <c r="EJ114" s="60">
        <v>1620</v>
      </c>
      <c r="EK114" s="60">
        <v>128</v>
      </c>
      <c r="EL114" s="60">
        <v>1157</v>
      </c>
      <c r="EM114" s="60">
        <v>177</v>
      </c>
      <c r="EN114" s="60">
        <v>45</v>
      </c>
      <c r="EO114" s="60">
        <v>52</v>
      </c>
      <c r="EP114" s="60">
        <v>557</v>
      </c>
      <c r="EQ114" s="60">
        <v>2</v>
      </c>
      <c r="ER114" s="60">
        <v>588</v>
      </c>
      <c r="ES114" s="60">
        <v>173</v>
      </c>
      <c r="ET114" s="60">
        <v>192</v>
      </c>
      <c r="EU114" s="60">
        <v>439</v>
      </c>
      <c r="EV114" s="60">
        <v>301</v>
      </c>
      <c r="EW114" s="60">
        <v>70</v>
      </c>
      <c r="EX114" s="60">
        <v>65</v>
      </c>
      <c r="EY114" s="60">
        <v>120</v>
      </c>
      <c r="EZ114" s="60">
        <v>3</v>
      </c>
      <c r="FA114" s="60">
        <v>387</v>
      </c>
      <c r="FB114" s="60">
        <v>431</v>
      </c>
      <c r="FC114" s="60">
        <v>122</v>
      </c>
      <c r="FD114" s="60">
        <v>253</v>
      </c>
      <c r="FE114" s="60"/>
      <c r="FF114" s="60"/>
      <c r="FG114" s="60"/>
      <c r="FH114" s="60">
        <v>191</v>
      </c>
      <c r="FI114" s="60">
        <v>19</v>
      </c>
      <c r="FJ114" s="60">
        <v>159</v>
      </c>
      <c r="FK114" s="60">
        <v>14</v>
      </c>
      <c r="FL114" s="60">
        <v>21</v>
      </c>
      <c r="FM114" s="60">
        <v>85</v>
      </c>
      <c r="FN114" s="60">
        <v>8</v>
      </c>
      <c r="FO114" s="60">
        <v>3194</v>
      </c>
      <c r="FP114" s="60">
        <v>28</v>
      </c>
      <c r="FQ114" s="60">
        <v>6</v>
      </c>
      <c r="FR114" s="60">
        <v>9</v>
      </c>
      <c r="FS114" s="60">
        <v>41</v>
      </c>
      <c r="FT114" s="60">
        <v>8</v>
      </c>
      <c r="FU114" s="60">
        <v>16</v>
      </c>
      <c r="FV114" s="60">
        <v>1</v>
      </c>
      <c r="FW114" s="60"/>
      <c r="FX114" s="60">
        <v>3800</v>
      </c>
      <c r="FY114" s="60">
        <v>48</v>
      </c>
      <c r="FZ114" s="60">
        <v>3489</v>
      </c>
      <c r="GA114" s="60">
        <v>263</v>
      </c>
      <c r="GB114" s="60">
        <v>2011</v>
      </c>
    </row>
    <row r="115" spans="1:184" x14ac:dyDescent="0.3">
      <c r="A115" s="60">
        <v>106190687</v>
      </c>
      <c r="B115" s="61" t="s">
        <v>521</v>
      </c>
      <c r="C115" s="61" t="s">
        <v>1617</v>
      </c>
      <c r="D115" s="61" t="s">
        <v>522</v>
      </c>
      <c r="E115" s="61" t="s">
        <v>523</v>
      </c>
      <c r="F115" s="60">
        <v>90404</v>
      </c>
      <c r="G115" s="61"/>
      <c r="H115" s="61" t="s">
        <v>1669</v>
      </c>
      <c r="I115" s="60">
        <v>41</v>
      </c>
      <c r="J115" s="60">
        <v>23</v>
      </c>
      <c r="K115" s="61" t="s">
        <v>1834</v>
      </c>
      <c r="L115" s="61" t="s">
        <v>365</v>
      </c>
      <c r="M115" s="61" t="s">
        <v>1778</v>
      </c>
      <c r="N115" s="61" t="s">
        <v>1779</v>
      </c>
      <c r="O115" s="61" t="s">
        <v>1673</v>
      </c>
      <c r="P115" s="61" t="s">
        <v>1835</v>
      </c>
      <c r="Q115" s="61" t="s">
        <v>1674</v>
      </c>
      <c r="R115" s="60">
        <v>316</v>
      </c>
      <c r="S115" s="61" t="s">
        <v>1675</v>
      </c>
      <c r="T115" s="60">
        <v>15503</v>
      </c>
      <c r="U115" s="60">
        <v>14677</v>
      </c>
      <c r="V115" s="60"/>
      <c r="W115" s="60"/>
      <c r="X115" s="60">
        <v>3909</v>
      </c>
      <c r="Y115" s="60">
        <v>2884</v>
      </c>
      <c r="Z115" s="60">
        <v>4548</v>
      </c>
      <c r="AA115" s="60">
        <v>4258</v>
      </c>
      <c r="AB115" s="60">
        <v>4167</v>
      </c>
      <c r="AC115" s="60">
        <v>3767</v>
      </c>
      <c r="AD115" s="60">
        <v>2460</v>
      </c>
      <c r="AE115" s="60">
        <v>1518</v>
      </c>
      <c r="AF115" s="60">
        <v>1920</v>
      </c>
      <c r="AG115" s="60">
        <v>749</v>
      </c>
      <c r="AH115" s="60"/>
      <c r="AI115" s="60">
        <v>1407</v>
      </c>
      <c r="AJ115" s="60">
        <v>3675</v>
      </c>
      <c r="AK115" s="60">
        <v>5783</v>
      </c>
      <c r="AL115" s="60">
        <v>184</v>
      </c>
      <c r="AM115" s="60">
        <v>1252</v>
      </c>
      <c r="AN115" s="60">
        <v>409</v>
      </c>
      <c r="AO115" s="60">
        <v>17470</v>
      </c>
      <c r="AP115" s="60">
        <v>320</v>
      </c>
      <c r="AQ115" s="60">
        <v>329</v>
      </c>
      <c r="AR115" s="60">
        <v>41</v>
      </c>
      <c r="AS115" s="60">
        <v>48</v>
      </c>
      <c r="AT115" s="60"/>
      <c r="AU115" s="60"/>
      <c r="AV115" s="60">
        <v>67</v>
      </c>
      <c r="AW115" s="60">
        <v>126</v>
      </c>
      <c r="AX115" s="60"/>
      <c r="AY115" s="60">
        <v>6</v>
      </c>
      <c r="AZ115" s="60"/>
      <c r="BA115" s="60">
        <v>29238</v>
      </c>
      <c r="BB115" s="60">
        <v>5</v>
      </c>
      <c r="BC115" s="60"/>
      <c r="BD115" s="60"/>
      <c r="BE115" s="60">
        <v>5590</v>
      </c>
      <c r="BF115" s="60">
        <v>5281</v>
      </c>
      <c r="BG115" s="60">
        <v>1261</v>
      </c>
      <c r="BH115" s="60">
        <v>12542</v>
      </c>
      <c r="BI115" s="60">
        <v>5506</v>
      </c>
      <c r="BJ115" s="60">
        <v>404</v>
      </c>
      <c r="BK115" s="60">
        <v>146</v>
      </c>
      <c r="BL115" s="60">
        <v>570</v>
      </c>
      <c r="BM115" s="60">
        <v>5</v>
      </c>
      <c r="BN115" s="60">
        <v>1111</v>
      </c>
      <c r="BO115" s="60">
        <v>456</v>
      </c>
      <c r="BP115" s="60">
        <v>1609</v>
      </c>
      <c r="BQ115" s="60">
        <v>515</v>
      </c>
      <c r="BR115" s="60">
        <v>8877</v>
      </c>
      <c r="BS115" s="60">
        <v>1891</v>
      </c>
      <c r="BT115" s="60">
        <v>46</v>
      </c>
      <c r="BU115" s="60">
        <v>1579</v>
      </c>
      <c r="BV115" s="60">
        <v>1930</v>
      </c>
      <c r="BW115" s="60">
        <v>40</v>
      </c>
      <c r="BX115" s="60">
        <v>1231</v>
      </c>
      <c r="BY115" s="60">
        <v>2638</v>
      </c>
      <c r="BZ115" s="60">
        <v>1159</v>
      </c>
      <c r="CA115" s="60">
        <v>5973</v>
      </c>
      <c r="CB115" s="60"/>
      <c r="CC115" s="60"/>
      <c r="CD115" s="60">
        <v>2901</v>
      </c>
      <c r="CE115" s="60">
        <v>106</v>
      </c>
      <c r="CF115" s="60">
        <v>89</v>
      </c>
      <c r="CG115" s="60">
        <v>13</v>
      </c>
      <c r="CH115" s="60">
        <v>367</v>
      </c>
      <c r="CI115" s="60">
        <v>8</v>
      </c>
      <c r="CJ115" s="60">
        <v>105</v>
      </c>
      <c r="CK115" s="60">
        <v>387</v>
      </c>
      <c r="CL115" s="60">
        <v>20855</v>
      </c>
      <c r="CM115" s="60">
        <v>3860</v>
      </c>
      <c r="CN115" s="60">
        <v>257</v>
      </c>
      <c r="CO115" s="60">
        <v>903</v>
      </c>
      <c r="CP115" s="60">
        <v>76</v>
      </c>
      <c r="CQ115" s="60">
        <v>192</v>
      </c>
      <c r="CR115" s="60">
        <v>59</v>
      </c>
      <c r="CS115" s="60">
        <v>2</v>
      </c>
      <c r="CT115" s="60">
        <v>30180</v>
      </c>
      <c r="CU115" s="60">
        <v>529</v>
      </c>
      <c r="CV115" s="60">
        <v>28153</v>
      </c>
      <c r="CW115" s="60">
        <v>1498</v>
      </c>
      <c r="CX115" s="60">
        <v>4344</v>
      </c>
      <c r="CY115" s="60">
        <v>3797</v>
      </c>
      <c r="CZ115" s="60"/>
      <c r="DA115" s="60"/>
      <c r="DB115" s="60">
        <v>181</v>
      </c>
      <c r="DC115" s="60">
        <v>349</v>
      </c>
      <c r="DD115" s="60">
        <v>469</v>
      </c>
      <c r="DE115" s="60">
        <v>754</v>
      </c>
      <c r="DF115" s="60">
        <v>1046</v>
      </c>
      <c r="DG115" s="60">
        <v>1179</v>
      </c>
      <c r="DH115" s="60">
        <v>1218</v>
      </c>
      <c r="DI115" s="60">
        <v>2465</v>
      </c>
      <c r="DJ115" s="60">
        <v>175</v>
      </c>
      <c r="DK115" s="60">
        <v>305</v>
      </c>
      <c r="DL115" s="60"/>
      <c r="DM115" s="60">
        <v>541</v>
      </c>
      <c r="DN115" s="60">
        <v>1071</v>
      </c>
      <c r="DO115" s="60">
        <v>1261</v>
      </c>
      <c r="DP115" s="60">
        <v>271</v>
      </c>
      <c r="DQ115" s="60">
        <v>6</v>
      </c>
      <c r="DR115" s="60">
        <v>4956</v>
      </c>
      <c r="DS115" s="60">
        <v>35</v>
      </c>
      <c r="DT115" s="60">
        <v>122</v>
      </c>
      <c r="DU115" s="60">
        <v>138</v>
      </c>
      <c r="DV115" s="60">
        <v>280</v>
      </c>
      <c r="DW115" s="60">
        <v>1279</v>
      </c>
      <c r="DX115" s="60">
        <v>132</v>
      </c>
      <c r="DY115" s="60">
        <v>12</v>
      </c>
      <c r="DZ115" s="60">
        <v>98</v>
      </c>
      <c r="EA115" s="60">
        <v>4687</v>
      </c>
      <c r="EB115" s="60">
        <v>1391</v>
      </c>
      <c r="EC115" s="60">
        <v>2</v>
      </c>
      <c r="ED115" s="60">
        <v>0</v>
      </c>
      <c r="EE115" s="60">
        <v>0</v>
      </c>
      <c r="EF115" s="60">
        <v>0</v>
      </c>
      <c r="EG115" s="60">
        <v>0</v>
      </c>
      <c r="EH115" s="60">
        <v>0</v>
      </c>
      <c r="EI115" s="60">
        <v>1457</v>
      </c>
      <c r="EJ115" s="60">
        <v>4349</v>
      </c>
      <c r="EK115" s="60">
        <v>52</v>
      </c>
      <c r="EL115" s="60">
        <v>2013</v>
      </c>
      <c r="EM115" s="60">
        <v>270</v>
      </c>
      <c r="EN115" s="60">
        <v>87</v>
      </c>
      <c r="EO115" s="60">
        <v>182</v>
      </c>
      <c r="EP115" s="60">
        <v>1196</v>
      </c>
      <c r="EQ115" s="60">
        <v>22</v>
      </c>
      <c r="ER115" s="60">
        <v>1081</v>
      </c>
      <c r="ES115" s="60">
        <v>363</v>
      </c>
      <c r="ET115" s="60">
        <v>572</v>
      </c>
      <c r="EU115" s="60">
        <v>679</v>
      </c>
      <c r="EV115" s="60">
        <v>791</v>
      </c>
      <c r="EW115" s="60">
        <v>263</v>
      </c>
      <c r="EX115" s="60">
        <v>325</v>
      </c>
      <c r="EY115" s="60">
        <v>250</v>
      </c>
      <c r="EZ115" s="60">
        <v>28</v>
      </c>
      <c r="FA115" s="60">
        <v>145</v>
      </c>
      <c r="FB115" s="60">
        <v>1042</v>
      </c>
      <c r="FC115" s="60">
        <v>303</v>
      </c>
      <c r="FD115" s="60">
        <v>770</v>
      </c>
      <c r="FE115" s="60">
        <v>4</v>
      </c>
      <c r="FF115" s="60">
        <v>38</v>
      </c>
      <c r="FG115" s="60"/>
      <c r="FH115" s="60">
        <v>415</v>
      </c>
      <c r="FI115" s="60">
        <v>48</v>
      </c>
      <c r="FJ115" s="60">
        <v>571</v>
      </c>
      <c r="FK115" s="60">
        <v>10</v>
      </c>
      <c r="FL115" s="60">
        <v>24</v>
      </c>
      <c r="FM115" s="60">
        <v>436</v>
      </c>
      <c r="FN115" s="60">
        <v>25</v>
      </c>
      <c r="FO115" s="60">
        <v>6433</v>
      </c>
      <c r="FP115" s="60">
        <v>81</v>
      </c>
      <c r="FQ115" s="60">
        <v>15</v>
      </c>
      <c r="FR115" s="60">
        <v>27</v>
      </c>
      <c r="FS115" s="60">
        <v>21</v>
      </c>
      <c r="FT115" s="60">
        <v>14</v>
      </c>
      <c r="FU115" s="60">
        <v>20</v>
      </c>
      <c r="FV115" s="60">
        <v>1</v>
      </c>
      <c r="FW115" s="60"/>
      <c r="FX115" s="60">
        <v>8141</v>
      </c>
      <c r="FY115" s="60">
        <v>360</v>
      </c>
      <c r="FZ115" s="60">
        <v>7351</v>
      </c>
      <c r="GA115" s="60">
        <v>430</v>
      </c>
      <c r="GB115" s="60">
        <v>2011</v>
      </c>
    </row>
    <row r="116" spans="1:184" x14ac:dyDescent="0.3">
      <c r="A116" s="60">
        <v>106190696</v>
      </c>
      <c r="B116" s="61" t="s">
        <v>524</v>
      </c>
      <c r="C116" s="61" t="s">
        <v>525</v>
      </c>
      <c r="D116" s="61" t="s">
        <v>526</v>
      </c>
      <c r="E116" s="61" t="s">
        <v>527</v>
      </c>
      <c r="F116" s="60">
        <v>91352</v>
      </c>
      <c r="G116" s="61"/>
      <c r="H116" s="61" t="s">
        <v>1669</v>
      </c>
      <c r="I116" s="60">
        <v>39</v>
      </c>
      <c r="J116" s="60">
        <v>20</v>
      </c>
      <c r="K116" s="61" t="s">
        <v>1836</v>
      </c>
      <c r="L116" s="61" t="s">
        <v>404</v>
      </c>
      <c r="M116" s="61" t="s">
        <v>1778</v>
      </c>
      <c r="N116" s="61" t="s">
        <v>1779</v>
      </c>
      <c r="O116" s="61" t="s">
        <v>1673</v>
      </c>
      <c r="P116" s="61" t="s">
        <v>221</v>
      </c>
      <c r="Q116" s="61" t="s">
        <v>1674</v>
      </c>
      <c r="R116" s="60">
        <v>95</v>
      </c>
      <c r="S116" s="61" t="s">
        <v>1675</v>
      </c>
      <c r="T116" s="60">
        <v>6279</v>
      </c>
      <c r="U116" s="60">
        <v>6014</v>
      </c>
      <c r="V116" s="60"/>
      <c r="W116" s="60"/>
      <c r="X116" s="60">
        <v>2286</v>
      </c>
      <c r="Y116" s="60">
        <v>1894</v>
      </c>
      <c r="Z116" s="60">
        <v>2180</v>
      </c>
      <c r="AA116" s="60">
        <v>1791</v>
      </c>
      <c r="AB116" s="60">
        <v>1564</v>
      </c>
      <c r="AC116" s="60">
        <v>1076</v>
      </c>
      <c r="AD116" s="60">
        <v>507</v>
      </c>
      <c r="AE116" s="60">
        <v>234</v>
      </c>
      <c r="AF116" s="60">
        <v>181</v>
      </c>
      <c r="AG116" s="60">
        <v>580</v>
      </c>
      <c r="AH116" s="60"/>
      <c r="AI116" s="60">
        <v>154</v>
      </c>
      <c r="AJ116" s="60">
        <v>543</v>
      </c>
      <c r="AK116" s="60">
        <v>9480</v>
      </c>
      <c r="AL116" s="60">
        <v>7</v>
      </c>
      <c r="AM116" s="60">
        <v>931</v>
      </c>
      <c r="AN116" s="60">
        <v>3</v>
      </c>
      <c r="AO116" s="60">
        <v>1175</v>
      </c>
      <c r="AP116" s="60">
        <v>138</v>
      </c>
      <c r="AQ116" s="60">
        <v>185</v>
      </c>
      <c r="AR116" s="60">
        <v>79</v>
      </c>
      <c r="AS116" s="60">
        <v>25</v>
      </c>
      <c r="AT116" s="60">
        <v>1</v>
      </c>
      <c r="AU116" s="60"/>
      <c r="AV116" s="60"/>
      <c r="AW116" s="60"/>
      <c r="AX116" s="60"/>
      <c r="AY116" s="60">
        <v>7</v>
      </c>
      <c r="AZ116" s="60"/>
      <c r="BA116" s="60">
        <v>11853</v>
      </c>
      <c r="BB116" s="60">
        <v>5</v>
      </c>
      <c r="BC116" s="60"/>
      <c r="BD116" s="60"/>
      <c r="BE116" s="60">
        <v>2838</v>
      </c>
      <c r="BF116" s="60">
        <v>619</v>
      </c>
      <c r="BG116" s="60">
        <v>359</v>
      </c>
      <c r="BH116" s="60">
        <v>5010</v>
      </c>
      <c r="BI116" s="60">
        <v>3467</v>
      </c>
      <c r="BJ116" s="60">
        <v>389</v>
      </c>
      <c r="BK116" s="60">
        <v>25</v>
      </c>
      <c r="BL116" s="60">
        <v>172</v>
      </c>
      <c r="BM116" s="60">
        <v>28</v>
      </c>
      <c r="BN116" s="60">
        <v>963</v>
      </c>
      <c r="BO116" s="60">
        <v>97</v>
      </c>
      <c r="BP116" s="60">
        <v>573</v>
      </c>
      <c r="BQ116" s="60">
        <v>652</v>
      </c>
      <c r="BR116" s="60">
        <v>3254</v>
      </c>
      <c r="BS116" s="60">
        <v>449</v>
      </c>
      <c r="BT116" s="60">
        <v>8</v>
      </c>
      <c r="BU116" s="60">
        <v>578</v>
      </c>
      <c r="BV116" s="60">
        <v>215</v>
      </c>
      <c r="BW116" s="60">
        <v>5</v>
      </c>
      <c r="BX116" s="60">
        <v>736</v>
      </c>
      <c r="BY116" s="60">
        <v>1432</v>
      </c>
      <c r="BZ116" s="60">
        <v>465</v>
      </c>
      <c r="CA116" s="60">
        <v>2252</v>
      </c>
      <c r="CB116" s="60"/>
      <c r="CC116" s="60"/>
      <c r="CD116" s="60">
        <v>847</v>
      </c>
      <c r="CE116" s="60">
        <v>46</v>
      </c>
      <c r="CF116" s="60">
        <v>67</v>
      </c>
      <c r="CG116" s="60">
        <v>8</v>
      </c>
      <c r="CH116" s="60">
        <v>194</v>
      </c>
      <c r="CI116" s="60">
        <v>6</v>
      </c>
      <c r="CJ116" s="60">
        <v>3</v>
      </c>
      <c r="CK116" s="60">
        <v>164</v>
      </c>
      <c r="CL116" s="60">
        <v>9009</v>
      </c>
      <c r="CM116" s="60">
        <v>1432</v>
      </c>
      <c r="CN116" s="60">
        <v>44</v>
      </c>
      <c r="CO116" s="60">
        <v>367</v>
      </c>
      <c r="CP116" s="60">
        <v>31</v>
      </c>
      <c r="CQ116" s="60">
        <v>73</v>
      </c>
      <c r="CR116" s="60">
        <v>2</v>
      </c>
      <c r="CS116" s="60"/>
      <c r="CT116" s="60">
        <v>12293</v>
      </c>
      <c r="CU116" s="60">
        <v>74</v>
      </c>
      <c r="CV116" s="60">
        <v>7846</v>
      </c>
      <c r="CW116" s="60">
        <v>4373</v>
      </c>
      <c r="CX116" s="60">
        <v>1072</v>
      </c>
      <c r="CY116" s="60">
        <v>1083</v>
      </c>
      <c r="CZ116" s="60"/>
      <c r="DA116" s="60"/>
      <c r="DB116" s="60">
        <v>79</v>
      </c>
      <c r="DC116" s="60">
        <v>163</v>
      </c>
      <c r="DD116" s="60">
        <v>223</v>
      </c>
      <c r="DE116" s="60">
        <v>318</v>
      </c>
      <c r="DF116" s="60">
        <v>391</v>
      </c>
      <c r="DG116" s="60">
        <v>324</v>
      </c>
      <c r="DH116" s="60">
        <v>259</v>
      </c>
      <c r="DI116" s="60">
        <v>313</v>
      </c>
      <c r="DJ116" s="60">
        <v>22</v>
      </c>
      <c r="DK116" s="60">
        <v>63</v>
      </c>
      <c r="DL116" s="60"/>
      <c r="DM116" s="60">
        <v>67</v>
      </c>
      <c r="DN116" s="60">
        <v>229</v>
      </c>
      <c r="DO116" s="60">
        <v>1231</v>
      </c>
      <c r="DP116" s="60">
        <v>41</v>
      </c>
      <c r="DQ116" s="60"/>
      <c r="DR116" s="60">
        <v>579</v>
      </c>
      <c r="DS116" s="60">
        <v>8</v>
      </c>
      <c r="DT116" s="60">
        <v>67</v>
      </c>
      <c r="DU116" s="60">
        <v>119</v>
      </c>
      <c r="DV116" s="60">
        <v>63</v>
      </c>
      <c r="DW116" s="60">
        <v>86</v>
      </c>
      <c r="DX116" s="60">
        <v>25</v>
      </c>
      <c r="DY116" s="60">
        <v>1</v>
      </c>
      <c r="DZ116" s="60">
        <v>132</v>
      </c>
      <c r="EA116" s="60">
        <v>1356</v>
      </c>
      <c r="EB116" s="60">
        <v>305</v>
      </c>
      <c r="EC116" s="60">
        <v>1</v>
      </c>
      <c r="ED116" s="60">
        <v>0</v>
      </c>
      <c r="EE116" s="60">
        <v>0</v>
      </c>
      <c r="EF116" s="60">
        <v>0</v>
      </c>
      <c r="EG116" s="60">
        <v>0</v>
      </c>
      <c r="EH116" s="60">
        <v>0</v>
      </c>
      <c r="EI116" s="60">
        <v>758</v>
      </c>
      <c r="EJ116" s="60">
        <v>712</v>
      </c>
      <c r="EK116" s="60">
        <v>4</v>
      </c>
      <c r="EL116" s="60">
        <v>422</v>
      </c>
      <c r="EM116" s="60">
        <v>259</v>
      </c>
      <c r="EN116" s="60">
        <v>33</v>
      </c>
      <c r="EO116" s="60">
        <v>18</v>
      </c>
      <c r="EP116" s="60">
        <v>258</v>
      </c>
      <c r="EQ116" s="60">
        <v>1</v>
      </c>
      <c r="ER116" s="60">
        <v>279</v>
      </c>
      <c r="ES116" s="60">
        <v>131</v>
      </c>
      <c r="ET116" s="60">
        <v>116</v>
      </c>
      <c r="EU116" s="60">
        <v>105</v>
      </c>
      <c r="EV116" s="60">
        <v>122</v>
      </c>
      <c r="EW116" s="60">
        <v>41</v>
      </c>
      <c r="EX116" s="60">
        <v>24</v>
      </c>
      <c r="EY116" s="60">
        <v>30</v>
      </c>
      <c r="EZ116" s="60">
        <v>1</v>
      </c>
      <c r="FA116" s="60">
        <v>420</v>
      </c>
      <c r="FB116" s="60">
        <v>288</v>
      </c>
      <c r="FC116" s="60">
        <v>46</v>
      </c>
      <c r="FD116" s="60">
        <v>239</v>
      </c>
      <c r="FE116" s="60">
        <v>1</v>
      </c>
      <c r="FF116" s="60">
        <v>2</v>
      </c>
      <c r="FG116" s="60"/>
      <c r="FH116" s="60">
        <v>62</v>
      </c>
      <c r="FI116" s="60">
        <v>12</v>
      </c>
      <c r="FJ116" s="60">
        <v>67</v>
      </c>
      <c r="FK116" s="60">
        <v>8</v>
      </c>
      <c r="FL116" s="60">
        <v>6</v>
      </c>
      <c r="FM116" s="60">
        <v>1</v>
      </c>
      <c r="FN116" s="60">
        <v>4</v>
      </c>
      <c r="FO116" s="60">
        <v>1925</v>
      </c>
      <c r="FP116" s="60">
        <v>16</v>
      </c>
      <c r="FQ116" s="60">
        <v>5</v>
      </c>
      <c r="FR116" s="60">
        <v>10</v>
      </c>
      <c r="FS116" s="60">
        <v>36</v>
      </c>
      <c r="FT116" s="60">
        <v>1</v>
      </c>
      <c r="FU116" s="60">
        <v>1</v>
      </c>
      <c r="FV116" s="60">
        <v>1</v>
      </c>
      <c r="FW116" s="60"/>
      <c r="FX116" s="60">
        <v>2155</v>
      </c>
      <c r="FY116" s="60">
        <v>10</v>
      </c>
      <c r="FZ116" s="60">
        <v>1485</v>
      </c>
      <c r="GA116" s="60">
        <v>660</v>
      </c>
      <c r="GB116" s="60">
        <v>2011</v>
      </c>
    </row>
    <row r="117" spans="1:184" x14ac:dyDescent="0.3">
      <c r="A117" s="60">
        <v>106190708</v>
      </c>
      <c r="B117" s="61" t="s">
        <v>528</v>
      </c>
      <c r="C117" s="61" t="s">
        <v>529</v>
      </c>
      <c r="D117" s="61" t="s">
        <v>530</v>
      </c>
      <c r="E117" s="61" t="s">
        <v>531</v>
      </c>
      <c r="F117" s="60">
        <v>91403</v>
      </c>
      <c r="G117" s="61"/>
      <c r="H117" s="61" t="s">
        <v>1669</v>
      </c>
      <c r="I117" s="60">
        <v>42</v>
      </c>
      <c r="J117" s="60">
        <v>21</v>
      </c>
      <c r="K117" s="61" t="s">
        <v>1837</v>
      </c>
      <c r="L117" s="61" t="s">
        <v>404</v>
      </c>
      <c r="M117" s="61" t="s">
        <v>1778</v>
      </c>
      <c r="N117" s="61" t="s">
        <v>1779</v>
      </c>
      <c r="O117" s="61" t="s">
        <v>1673</v>
      </c>
      <c r="P117" s="61" t="s">
        <v>221</v>
      </c>
      <c r="Q117" s="61" t="s">
        <v>1674</v>
      </c>
      <c r="R117" s="60">
        <v>112</v>
      </c>
      <c r="S117" s="61" t="s">
        <v>1675</v>
      </c>
      <c r="T117" s="60">
        <v>7834</v>
      </c>
      <c r="U117" s="60">
        <v>7702</v>
      </c>
      <c r="V117" s="60"/>
      <c r="W117" s="60"/>
      <c r="X117" s="60">
        <v>1191</v>
      </c>
      <c r="Y117" s="60">
        <v>1336</v>
      </c>
      <c r="Z117" s="60">
        <v>2880</v>
      </c>
      <c r="AA117" s="60">
        <v>2702</v>
      </c>
      <c r="AB117" s="60">
        <v>2492</v>
      </c>
      <c r="AC117" s="60">
        <v>2292</v>
      </c>
      <c r="AD117" s="60">
        <v>1096</v>
      </c>
      <c r="AE117" s="60">
        <v>658</v>
      </c>
      <c r="AF117" s="60">
        <v>736</v>
      </c>
      <c r="AG117" s="60">
        <v>153</v>
      </c>
      <c r="AH117" s="60"/>
      <c r="AI117" s="60">
        <v>286</v>
      </c>
      <c r="AJ117" s="60">
        <v>1726</v>
      </c>
      <c r="AK117" s="60">
        <v>2271</v>
      </c>
      <c r="AL117" s="60">
        <v>8</v>
      </c>
      <c r="AM117" s="60">
        <v>1732</v>
      </c>
      <c r="AN117" s="60">
        <v>109</v>
      </c>
      <c r="AO117" s="60">
        <v>9404</v>
      </c>
      <c r="AP117" s="60">
        <v>411</v>
      </c>
      <c r="AQ117" s="60">
        <v>1109</v>
      </c>
      <c r="AR117" s="60"/>
      <c r="AS117" s="60">
        <v>25</v>
      </c>
      <c r="AT117" s="60">
        <v>1</v>
      </c>
      <c r="AU117" s="60"/>
      <c r="AV117" s="60">
        <v>2</v>
      </c>
      <c r="AW117" s="60">
        <v>68</v>
      </c>
      <c r="AX117" s="60"/>
      <c r="AY117" s="60">
        <v>495</v>
      </c>
      <c r="AZ117" s="60"/>
      <c r="BA117" s="60">
        <v>13342</v>
      </c>
      <c r="BB117" s="60">
        <v>83</v>
      </c>
      <c r="BC117" s="60"/>
      <c r="BD117" s="60"/>
      <c r="BE117" s="60">
        <v>4134</v>
      </c>
      <c r="BF117" s="60">
        <v>2699</v>
      </c>
      <c r="BG117" s="60">
        <v>453</v>
      </c>
      <c r="BH117" s="60">
        <v>4295</v>
      </c>
      <c r="BI117" s="60">
        <v>3955</v>
      </c>
      <c r="BJ117" s="60">
        <v>176</v>
      </c>
      <c r="BK117" s="60">
        <v>37</v>
      </c>
      <c r="BL117" s="60">
        <v>280</v>
      </c>
      <c r="BM117" s="60">
        <v>4</v>
      </c>
      <c r="BN117" s="60">
        <v>612</v>
      </c>
      <c r="BO117" s="60">
        <v>134</v>
      </c>
      <c r="BP117" s="60">
        <v>681</v>
      </c>
      <c r="BQ117" s="60">
        <v>241</v>
      </c>
      <c r="BR117" s="60">
        <v>3754</v>
      </c>
      <c r="BS117" s="60">
        <v>877</v>
      </c>
      <c r="BT117" s="60">
        <v>17</v>
      </c>
      <c r="BU117" s="60">
        <v>982</v>
      </c>
      <c r="BV117" s="60">
        <v>1886</v>
      </c>
      <c r="BW117" s="60">
        <v>3</v>
      </c>
      <c r="BX117" s="60">
        <v>1026</v>
      </c>
      <c r="BY117" s="60">
        <v>1254</v>
      </c>
      <c r="BZ117" s="60">
        <v>616</v>
      </c>
      <c r="CA117" s="60">
        <v>2955</v>
      </c>
      <c r="CB117" s="60">
        <v>1</v>
      </c>
      <c r="CC117" s="60"/>
      <c r="CD117" s="60">
        <v>1237</v>
      </c>
      <c r="CE117" s="60">
        <v>135</v>
      </c>
      <c r="CF117" s="60">
        <v>106</v>
      </c>
      <c r="CG117" s="60">
        <v>9</v>
      </c>
      <c r="CH117" s="60">
        <v>286</v>
      </c>
      <c r="CI117" s="60">
        <v>97</v>
      </c>
      <c r="CJ117" s="60">
        <v>45</v>
      </c>
      <c r="CK117" s="60">
        <v>197</v>
      </c>
      <c r="CL117" s="60">
        <v>10873</v>
      </c>
      <c r="CM117" s="60">
        <v>1407</v>
      </c>
      <c r="CN117" s="60">
        <v>64</v>
      </c>
      <c r="CO117" s="60">
        <v>867</v>
      </c>
      <c r="CP117" s="60">
        <v>72</v>
      </c>
      <c r="CQ117" s="60">
        <v>92</v>
      </c>
      <c r="CR117" s="60">
        <v>49</v>
      </c>
      <c r="CS117" s="60"/>
      <c r="CT117" s="60">
        <v>15536</v>
      </c>
      <c r="CU117" s="60">
        <v>240</v>
      </c>
      <c r="CV117" s="60">
        <v>14842</v>
      </c>
      <c r="CW117" s="60">
        <v>454</v>
      </c>
      <c r="CX117" s="60">
        <v>2126</v>
      </c>
      <c r="CY117" s="60">
        <v>1809</v>
      </c>
      <c r="CZ117" s="60"/>
      <c r="DA117" s="60"/>
      <c r="DB117" s="60">
        <v>25</v>
      </c>
      <c r="DC117" s="60">
        <v>130</v>
      </c>
      <c r="DD117" s="60">
        <v>213</v>
      </c>
      <c r="DE117" s="60">
        <v>387</v>
      </c>
      <c r="DF117" s="60">
        <v>634</v>
      </c>
      <c r="DG117" s="60">
        <v>678</v>
      </c>
      <c r="DH117" s="60">
        <v>647</v>
      </c>
      <c r="DI117" s="60">
        <v>1221</v>
      </c>
      <c r="DJ117" s="60"/>
      <c r="DK117" s="60"/>
      <c r="DL117" s="60"/>
      <c r="DM117" s="60">
        <v>84</v>
      </c>
      <c r="DN117" s="60">
        <v>314</v>
      </c>
      <c r="DO117" s="60">
        <v>437</v>
      </c>
      <c r="DP117" s="60">
        <v>381</v>
      </c>
      <c r="DQ117" s="60">
        <v>38</v>
      </c>
      <c r="DR117" s="60">
        <v>2676</v>
      </c>
      <c r="DS117" s="60">
        <v>5</v>
      </c>
      <c r="DT117" s="60">
        <v>194</v>
      </c>
      <c r="DU117" s="60">
        <v>118</v>
      </c>
      <c r="DV117" s="60">
        <v>135</v>
      </c>
      <c r="DW117" s="60">
        <v>600</v>
      </c>
      <c r="DX117" s="60">
        <v>232</v>
      </c>
      <c r="DY117" s="60">
        <v>10</v>
      </c>
      <c r="DZ117" s="60">
        <v>37</v>
      </c>
      <c r="EA117" s="60">
        <v>1664</v>
      </c>
      <c r="EB117" s="60">
        <v>940</v>
      </c>
      <c r="EC117" s="60">
        <v>5</v>
      </c>
      <c r="ED117" s="60">
        <v>0</v>
      </c>
      <c r="EE117" s="60">
        <v>0</v>
      </c>
      <c r="EF117" s="60">
        <v>0</v>
      </c>
      <c r="EG117" s="60">
        <v>0</v>
      </c>
      <c r="EH117" s="60">
        <v>0</v>
      </c>
      <c r="EI117" s="60">
        <v>778</v>
      </c>
      <c r="EJ117" s="60">
        <v>2419</v>
      </c>
      <c r="EK117" s="60">
        <v>16</v>
      </c>
      <c r="EL117" s="60">
        <v>533</v>
      </c>
      <c r="EM117" s="60">
        <v>189</v>
      </c>
      <c r="EN117" s="60">
        <v>21</v>
      </c>
      <c r="EO117" s="60">
        <v>86</v>
      </c>
      <c r="EP117" s="60">
        <v>614</v>
      </c>
      <c r="EQ117" s="60"/>
      <c r="ER117" s="60">
        <v>498</v>
      </c>
      <c r="ES117" s="60">
        <v>170</v>
      </c>
      <c r="ET117" s="60">
        <v>173</v>
      </c>
      <c r="EU117" s="60">
        <v>511</v>
      </c>
      <c r="EV117" s="60">
        <v>437</v>
      </c>
      <c r="EW117" s="60">
        <v>104</v>
      </c>
      <c r="EX117" s="60">
        <v>40</v>
      </c>
      <c r="EY117" s="60">
        <v>151</v>
      </c>
      <c r="EZ117" s="60">
        <v>16</v>
      </c>
      <c r="FA117" s="60">
        <v>336</v>
      </c>
      <c r="FB117" s="60">
        <v>374</v>
      </c>
      <c r="FC117" s="60">
        <v>69</v>
      </c>
      <c r="FD117" s="60">
        <v>335</v>
      </c>
      <c r="FE117" s="60"/>
      <c r="FF117" s="60"/>
      <c r="FG117" s="60"/>
      <c r="FH117" s="60">
        <v>256</v>
      </c>
      <c r="FI117" s="60">
        <v>37</v>
      </c>
      <c r="FJ117" s="60">
        <v>247</v>
      </c>
      <c r="FK117" s="60">
        <v>3</v>
      </c>
      <c r="FL117" s="60">
        <v>24</v>
      </c>
      <c r="FM117" s="60">
        <v>69</v>
      </c>
      <c r="FN117" s="60">
        <v>8</v>
      </c>
      <c r="FO117" s="60">
        <v>3165</v>
      </c>
      <c r="FP117" s="60">
        <v>54</v>
      </c>
      <c r="FQ117" s="60">
        <v>1</v>
      </c>
      <c r="FR117" s="60">
        <v>15</v>
      </c>
      <c r="FS117" s="60">
        <v>35</v>
      </c>
      <c r="FT117" s="60">
        <v>12</v>
      </c>
      <c r="FU117" s="60">
        <v>9</v>
      </c>
      <c r="FV117" s="60"/>
      <c r="FW117" s="60"/>
      <c r="FX117" s="60">
        <v>3935</v>
      </c>
      <c r="FY117" s="60">
        <v>119</v>
      </c>
      <c r="FZ117" s="60">
        <v>3680</v>
      </c>
      <c r="GA117" s="60">
        <v>136</v>
      </c>
      <c r="GB117" s="60">
        <v>2011</v>
      </c>
    </row>
    <row r="118" spans="1:184" x14ac:dyDescent="0.3">
      <c r="A118" s="60">
        <v>106190754</v>
      </c>
      <c r="B118" s="61" t="s">
        <v>532</v>
      </c>
      <c r="C118" s="61" t="s">
        <v>533</v>
      </c>
      <c r="D118" s="61" t="s">
        <v>1838</v>
      </c>
      <c r="E118" s="61" t="s">
        <v>534</v>
      </c>
      <c r="F118" s="60">
        <v>90262</v>
      </c>
      <c r="G118" s="61" t="s">
        <v>143</v>
      </c>
      <c r="H118" s="61" t="s">
        <v>1669</v>
      </c>
      <c r="I118" s="60">
        <v>50</v>
      </c>
      <c r="J118" s="60">
        <v>27</v>
      </c>
      <c r="K118" s="61" t="s">
        <v>1839</v>
      </c>
      <c r="L118" s="61" t="s">
        <v>535</v>
      </c>
      <c r="M118" s="61" t="s">
        <v>1778</v>
      </c>
      <c r="N118" s="61" t="s">
        <v>1779</v>
      </c>
      <c r="O118" s="61" t="s">
        <v>1673</v>
      </c>
      <c r="P118" s="61" t="s">
        <v>1678</v>
      </c>
      <c r="Q118" s="61" t="s">
        <v>1674</v>
      </c>
      <c r="R118" s="60">
        <v>314</v>
      </c>
      <c r="S118" s="61" t="s">
        <v>1675</v>
      </c>
      <c r="T118" s="60">
        <v>32318</v>
      </c>
      <c r="U118" s="60">
        <v>24974</v>
      </c>
      <c r="V118" s="60"/>
      <c r="W118" s="60"/>
      <c r="X118" s="60">
        <v>11777</v>
      </c>
      <c r="Y118" s="60">
        <v>8078</v>
      </c>
      <c r="Z118" s="60">
        <v>11096</v>
      </c>
      <c r="AA118" s="60">
        <v>7323</v>
      </c>
      <c r="AB118" s="60">
        <v>5552</v>
      </c>
      <c r="AC118" s="60">
        <v>4838</v>
      </c>
      <c r="AD118" s="60">
        <v>2534</v>
      </c>
      <c r="AE118" s="60">
        <v>1404</v>
      </c>
      <c r="AF118" s="60">
        <v>988</v>
      </c>
      <c r="AG118" s="60">
        <v>3702</v>
      </c>
      <c r="AH118" s="60"/>
      <c r="AI118" s="60">
        <v>176</v>
      </c>
      <c r="AJ118" s="60">
        <v>13489</v>
      </c>
      <c r="AK118" s="60">
        <v>40082</v>
      </c>
      <c r="AL118" s="60">
        <v>6</v>
      </c>
      <c r="AM118" s="60">
        <v>1900</v>
      </c>
      <c r="AN118" s="60">
        <v>21</v>
      </c>
      <c r="AO118" s="60">
        <v>1618</v>
      </c>
      <c r="AP118" s="60">
        <v>1015</v>
      </c>
      <c r="AQ118" s="60">
        <v>7067</v>
      </c>
      <c r="AR118" s="60"/>
      <c r="AS118" s="60">
        <v>169</v>
      </c>
      <c r="AT118" s="60">
        <v>2</v>
      </c>
      <c r="AU118" s="60">
        <v>1</v>
      </c>
      <c r="AV118" s="60"/>
      <c r="AW118" s="60">
        <v>200</v>
      </c>
      <c r="AX118" s="60"/>
      <c r="AY118" s="60">
        <v>31</v>
      </c>
      <c r="AZ118" s="60">
        <v>17</v>
      </c>
      <c r="BA118" s="60">
        <v>48517</v>
      </c>
      <c r="BB118" s="60">
        <v>273</v>
      </c>
      <c r="BC118" s="60"/>
      <c r="BD118" s="60"/>
      <c r="BE118" s="60">
        <v>30014</v>
      </c>
      <c r="BF118" s="60">
        <v>4370</v>
      </c>
      <c r="BG118" s="60">
        <v>281</v>
      </c>
      <c r="BH118" s="60">
        <v>4863</v>
      </c>
      <c r="BI118" s="60">
        <v>17764</v>
      </c>
      <c r="BJ118" s="60">
        <v>3244</v>
      </c>
      <c r="BK118" s="60">
        <v>237</v>
      </c>
      <c r="BL118" s="60">
        <v>834</v>
      </c>
      <c r="BM118" s="60">
        <v>22</v>
      </c>
      <c r="BN118" s="60">
        <v>2572</v>
      </c>
      <c r="BO118" s="60">
        <v>705</v>
      </c>
      <c r="BP118" s="60">
        <v>2610</v>
      </c>
      <c r="BQ118" s="60">
        <v>1614</v>
      </c>
      <c r="BR118" s="60">
        <v>10645</v>
      </c>
      <c r="BS118" s="60">
        <v>2775</v>
      </c>
      <c r="BT118" s="60">
        <v>115</v>
      </c>
      <c r="BU118" s="60">
        <v>2860</v>
      </c>
      <c r="BV118" s="60">
        <v>9309</v>
      </c>
      <c r="BW118" s="60">
        <v>204</v>
      </c>
      <c r="BX118" s="60">
        <v>1512</v>
      </c>
      <c r="BY118" s="60">
        <v>6167</v>
      </c>
      <c r="BZ118" s="60">
        <v>2255</v>
      </c>
      <c r="CA118" s="60">
        <v>9610</v>
      </c>
      <c r="CB118" s="60"/>
      <c r="CC118" s="60">
        <v>2</v>
      </c>
      <c r="CD118" s="60">
        <v>3273</v>
      </c>
      <c r="CE118" s="60">
        <v>176</v>
      </c>
      <c r="CF118" s="60">
        <v>370</v>
      </c>
      <c r="CG118" s="60">
        <v>22</v>
      </c>
      <c r="CH118" s="60">
        <v>1258</v>
      </c>
      <c r="CI118" s="60">
        <v>31</v>
      </c>
      <c r="CJ118" s="60">
        <v>230</v>
      </c>
      <c r="CK118" s="60">
        <v>532</v>
      </c>
      <c r="CL118" s="60">
        <v>45013</v>
      </c>
      <c r="CM118" s="60">
        <v>4188</v>
      </c>
      <c r="CN118" s="60">
        <v>236</v>
      </c>
      <c r="CO118" s="60">
        <v>1573</v>
      </c>
      <c r="CP118" s="60">
        <v>55</v>
      </c>
      <c r="CQ118" s="60">
        <v>326</v>
      </c>
      <c r="CR118" s="60">
        <v>9</v>
      </c>
      <c r="CS118" s="60"/>
      <c r="CT118" s="60">
        <v>57292</v>
      </c>
      <c r="CU118" s="60">
        <v>304</v>
      </c>
      <c r="CV118" s="60">
        <v>40158</v>
      </c>
      <c r="CW118" s="60">
        <v>16830</v>
      </c>
      <c r="CX118" s="60">
        <v>5178</v>
      </c>
      <c r="CY118" s="60">
        <v>5088</v>
      </c>
      <c r="CZ118" s="60"/>
      <c r="DA118" s="60"/>
      <c r="DB118" s="60">
        <v>468</v>
      </c>
      <c r="DC118" s="60">
        <v>1099</v>
      </c>
      <c r="DD118" s="60">
        <v>1078</v>
      </c>
      <c r="DE118" s="60">
        <v>1390</v>
      </c>
      <c r="DF118" s="60">
        <v>1873</v>
      </c>
      <c r="DG118" s="60">
        <v>1475</v>
      </c>
      <c r="DH118" s="60">
        <v>1182</v>
      </c>
      <c r="DI118" s="60">
        <v>1140</v>
      </c>
      <c r="DJ118" s="60">
        <v>227</v>
      </c>
      <c r="DK118" s="60">
        <v>334</v>
      </c>
      <c r="DL118" s="60"/>
      <c r="DM118" s="60">
        <v>66</v>
      </c>
      <c r="DN118" s="60">
        <v>3002</v>
      </c>
      <c r="DO118" s="60">
        <v>6189</v>
      </c>
      <c r="DP118" s="60">
        <v>445</v>
      </c>
      <c r="DQ118" s="60">
        <v>3</v>
      </c>
      <c r="DR118" s="60">
        <v>560</v>
      </c>
      <c r="DS118" s="60">
        <v>1</v>
      </c>
      <c r="DT118" s="60">
        <v>350</v>
      </c>
      <c r="DU118" s="60">
        <v>303</v>
      </c>
      <c r="DV118" s="60">
        <v>281</v>
      </c>
      <c r="DW118" s="60">
        <v>460</v>
      </c>
      <c r="DX118" s="60">
        <v>198</v>
      </c>
      <c r="DY118" s="60">
        <v>41</v>
      </c>
      <c r="DZ118" s="60">
        <v>267</v>
      </c>
      <c r="EA118" s="60">
        <v>7375</v>
      </c>
      <c r="EB118" s="60">
        <v>953</v>
      </c>
      <c r="EC118" s="60">
        <v>38</v>
      </c>
      <c r="ED118" s="60">
        <v>0</v>
      </c>
      <c r="EE118" s="60">
        <v>0</v>
      </c>
      <c r="EF118" s="60">
        <v>0</v>
      </c>
      <c r="EG118" s="60">
        <v>0</v>
      </c>
      <c r="EH118" s="60">
        <v>0</v>
      </c>
      <c r="EI118" s="60">
        <v>3854</v>
      </c>
      <c r="EJ118" s="60">
        <v>3648</v>
      </c>
      <c r="EK118" s="60">
        <v>33</v>
      </c>
      <c r="EL118" s="60">
        <v>705</v>
      </c>
      <c r="EM118" s="60">
        <v>2026</v>
      </c>
      <c r="EN118" s="60">
        <v>277</v>
      </c>
      <c r="EO118" s="60">
        <v>196</v>
      </c>
      <c r="EP118" s="60">
        <v>1569</v>
      </c>
      <c r="EQ118" s="60">
        <v>5</v>
      </c>
      <c r="ER118" s="60">
        <v>1351</v>
      </c>
      <c r="ES118" s="60">
        <v>483</v>
      </c>
      <c r="ET118" s="60">
        <v>603</v>
      </c>
      <c r="EU118" s="60">
        <v>618</v>
      </c>
      <c r="EV118" s="60">
        <v>1406</v>
      </c>
      <c r="EW118" s="60">
        <v>150</v>
      </c>
      <c r="EX118" s="60">
        <v>205</v>
      </c>
      <c r="EY118" s="60">
        <v>166</v>
      </c>
      <c r="EZ118" s="60">
        <v>9</v>
      </c>
      <c r="FA118" s="60">
        <v>1288</v>
      </c>
      <c r="FB118" s="60">
        <v>1027</v>
      </c>
      <c r="FC118" s="60">
        <v>237</v>
      </c>
      <c r="FD118" s="60">
        <v>635</v>
      </c>
      <c r="FE118" s="60">
        <v>7</v>
      </c>
      <c r="FF118" s="60">
        <v>34</v>
      </c>
      <c r="FG118" s="60"/>
      <c r="FH118" s="60">
        <v>397</v>
      </c>
      <c r="FI118" s="60">
        <v>43</v>
      </c>
      <c r="FJ118" s="60">
        <v>596</v>
      </c>
      <c r="FK118" s="60">
        <v>343</v>
      </c>
      <c r="FL118" s="60">
        <v>26</v>
      </c>
      <c r="FM118" s="60">
        <v>72</v>
      </c>
      <c r="FN118" s="60">
        <v>21</v>
      </c>
      <c r="FO118" s="60">
        <v>8127</v>
      </c>
      <c r="FP118" s="60">
        <v>146</v>
      </c>
      <c r="FQ118" s="60">
        <v>21</v>
      </c>
      <c r="FR118" s="60">
        <v>317</v>
      </c>
      <c r="FS118" s="60">
        <v>97</v>
      </c>
      <c r="FT118" s="60">
        <v>31</v>
      </c>
      <c r="FU118" s="60">
        <v>27</v>
      </c>
      <c r="FV118" s="60">
        <v>2</v>
      </c>
      <c r="FW118" s="60"/>
      <c r="FX118" s="60">
        <v>10266</v>
      </c>
      <c r="FY118" s="60">
        <v>49</v>
      </c>
      <c r="FZ118" s="60">
        <v>6575</v>
      </c>
      <c r="GA118" s="60">
        <v>3642</v>
      </c>
      <c r="GB118" s="60">
        <v>2011</v>
      </c>
    </row>
    <row r="119" spans="1:184" x14ac:dyDescent="0.3">
      <c r="A119" s="60">
        <v>106190756</v>
      </c>
      <c r="B119" s="61" t="s">
        <v>536</v>
      </c>
      <c r="C119" s="61" t="s">
        <v>1840</v>
      </c>
      <c r="D119" s="61" t="s">
        <v>1841</v>
      </c>
      <c r="E119" s="61" t="s">
        <v>523</v>
      </c>
      <c r="F119" s="60">
        <v>90404</v>
      </c>
      <c r="G119" s="61"/>
      <c r="H119" s="61" t="s">
        <v>1669</v>
      </c>
      <c r="I119" s="60">
        <v>41</v>
      </c>
      <c r="J119" s="60">
        <v>23</v>
      </c>
      <c r="K119" s="61" t="s">
        <v>1834</v>
      </c>
      <c r="L119" s="61" t="s">
        <v>365</v>
      </c>
      <c r="M119" s="61" t="s">
        <v>1778</v>
      </c>
      <c r="N119" s="61" t="s">
        <v>1779</v>
      </c>
      <c r="O119" s="61" t="s">
        <v>1673</v>
      </c>
      <c r="P119" s="61" t="s">
        <v>1678</v>
      </c>
      <c r="Q119" s="61" t="s">
        <v>1674</v>
      </c>
      <c r="R119" s="60">
        <v>266</v>
      </c>
      <c r="S119" s="61" t="s">
        <v>1675</v>
      </c>
      <c r="T119" s="60">
        <v>11096</v>
      </c>
      <c r="U119" s="60">
        <v>10476</v>
      </c>
      <c r="V119" s="60">
        <v>1</v>
      </c>
      <c r="W119" s="60"/>
      <c r="X119" s="60">
        <v>997</v>
      </c>
      <c r="Y119" s="60">
        <v>1294</v>
      </c>
      <c r="Z119" s="60">
        <v>3263</v>
      </c>
      <c r="AA119" s="60">
        <v>3217</v>
      </c>
      <c r="AB119" s="60">
        <v>2984</v>
      </c>
      <c r="AC119" s="60">
        <v>3226</v>
      </c>
      <c r="AD119" s="60">
        <v>2223</v>
      </c>
      <c r="AE119" s="60">
        <v>1745</v>
      </c>
      <c r="AF119" s="60">
        <v>2471</v>
      </c>
      <c r="AG119" s="60">
        <v>153</v>
      </c>
      <c r="AH119" s="60"/>
      <c r="AI119" s="60">
        <v>930</v>
      </c>
      <c r="AJ119" s="60">
        <v>1704</v>
      </c>
      <c r="AK119" s="60">
        <v>2216</v>
      </c>
      <c r="AL119" s="60">
        <v>6</v>
      </c>
      <c r="AM119" s="60">
        <v>1417</v>
      </c>
      <c r="AN119" s="60">
        <v>109</v>
      </c>
      <c r="AO119" s="60">
        <v>15191</v>
      </c>
      <c r="AP119" s="60">
        <v>246</v>
      </c>
      <c r="AQ119" s="60">
        <v>272</v>
      </c>
      <c r="AR119" s="60"/>
      <c r="AS119" s="60">
        <v>36</v>
      </c>
      <c r="AT119" s="60"/>
      <c r="AU119" s="60"/>
      <c r="AV119" s="60"/>
      <c r="AW119" s="60">
        <v>7</v>
      </c>
      <c r="AX119" s="60"/>
      <c r="AY119" s="60">
        <v>119</v>
      </c>
      <c r="AZ119" s="60"/>
      <c r="BA119" s="60">
        <v>20875</v>
      </c>
      <c r="BB119" s="60">
        <v>18</v>
      </c>
      <c r="BC119" s="60"/>
      <c r="BD119" s="60"/>
      <c r="BE119" s="60">
        <v>1091</v>
      </c>
      <c r="BF119" s="60">
        <v>5561</v>
      </c>
      <c r="BG119" s="60">
        <v>601</v>
      </c>
      <c r="BH119" s="60">
        <v>10139</v>
      </c>
      <c r="BI119" s="60">
        <v>4181</v>
      </c>
      <c r="BJ119" s="60">
        <v>265</v>
      </c>
      <c r="BK119" s="60">
        <v>152</v>
      </c>
      <c r="BL119" s="60">
        <v>525</v>
      </c>
      <c r="BM119" s="60"/>
      <c r="BN119" s="60">
        <v>970</v>
      </c>
      <c r="BO119" s="60">
        <v>250</v>
      </c>
      <c r="BP119" s="60">
        <v>1073</v>
      </c>
      <c r="BQ119" s="60">
        <v>318</v>
      </c>
      <c r="BR119" s="60">
        <v>6606</v>
      </c>
      <c r="BS119" s="60">
        <v>1115</v>
      </c>
      <c r="BT119" s="60">
        <v>45</v>
      </c>
      <c r="BU119" s="60">
        <v>879</v>
      </c>
      <c r="BV119" s="60">
        <v>1139</v>
      </c>
      <c r="BW119" s="60">
        <v>8</v>
      </c>
      <c r="BX119" s="60">
        <v>1049</v>
      </c>
      <c r="BY119" s="60">
        <v>1215</v>
      </c>
      <c r="BZ119" s="60">
        <v>911</v>
      </c>
      <c r="CA119" s="60">
        <v>5053</v>
      </c>
      <c r="CB119" s="60"/>
      <c r="CC119" s="60"/>
      <c r="CD119" s="60">
        <v>2225</v>
      </c>
      <c r="CE119" s="60">
        <v>80</v>
      </c>
      <c r="CF119" s="60">
        <v>293</v>
      </c>
      <c r="CG119" s="60">
        <v>11</v>
      </c>
      <c r="CH119" s="60">
        <v>169</v>
      </c>
      <c r="CI119" s="60">
        <v>46</v>
      </c>
      <c r="CJ119" s="60">
        <v>233</v>
      </c>
      <c r="CK119" s="60">
        <v>276</v>
      </c>
      <c r="CL119" s="60">
        <v>14246</v>
      </c>
      <c r="CM119" s="60">
        <v>2831</v>
      </c>
      <c r="CN119" s="60">
        <v>226</v>
      </c>
      <c r="CO119" s="60">
        <v>744</v>
      </c>
      <c r="CP119" s="60">
        <v>43</v>
      </c>
      <c r="CQ119" s="60">
        <v>115</v>
      </c>
      <c r="CR119" s="60">
        <v>35</v>
      </c>
      <c r="CS119" s="60"/>
      <c r="CT119" s="60">
        <v>21573</v>
      </c>
      <c r="CU119" s="60">
        <v>381</v>
      </c>
      <c r="CV119" s="60">
        <v>20474</v>
      </c>
      <c r="CW119" s="60">
        <v>718</v>
      </c>
      <c r="CX119" s="60">
        <v>3333</v>
      </c>
      <c r="CY119" s="60">
        <v>2810</v>
      </c>
      <c r="CZ119" s="60"/>
      <c r="DA119" s="60"/>
      <c r="DB119" s="60">
        <v>49</v>
      </c>
      <c r="DC119" s="60">
        <v>185</v>
      </c>
      <c r="DD119" s="60">
        <v>280</v>
      </c>
      <c r="DE119" s="60">
        <v>430</v>
      </c>
      <c r="DF119" s="60">
        <v>695</v>
      </c>
      <c r="DG119" s="60">
        <v>896</v>
      </c>
      <c r="DH119" s="60">
        <v>1095</v>
      </c>
      <c r="DI119" s="60">
        <v>2512</v>
      </c>
      <c r="DJ119" s="60"/>
      <c r="DK119" s="60">
        <v>1</v>
      </c>
      <c r="DL119" s="60"/>
      <c r="DM119" s="60">
        <v>308</v>
      </c>
      <c r="DN119" s="60">
        <v>348</v>
      </c>
      <c r="DO119" s="60">
        <v>528</v>
      </c>
      <c r="DP119" s="60">
        <v>233</v>
      </c>
      <c r="DQ119" s="60">
        <v>16</v>
      </c>
      <c r="DR119" s="60">
        <v>4705</v>
      </c>
      <c r="DS119" s="60">
        <v>5</v>
      </c>
      <c r="DT119" s="60">
        <v>88</v>
      </c>
      <c r="DU119" s="60">
        <v>66</v>
      </c>
      <c r="DV119" s="60">
        <v>249</v>
      </c>
      <c r="DW119" s="60">
        <v>1167</v>
      </c>
      <c r="DX119" s="60">
        <v>105</v>
      </c>
      <c r="DY119" s="60">
        <v>111</v>
      </c>
      <c r="DZ119" s="60">
        <v>36</v>
      </c>
      <c r="EA119" s="60">
        <v>3172</v>
      </c>
      <c r="EB119" s="60">
        <v>1148</v>
      </c>
      <c r="EC119" s="60">
        <v>1</v>
      </c>
      <c r="ED119" s="60">
        <v>0</v>
      </c>
      <c r="EE119" s="60">
        <v>0</v>
      </c>
      <c r="EF119" s="60">
        <v>0</v>
      </c>
      <c r="EG119" s="60">
        <v>0</v>
      </c>
      <c r="EH119" s="60">
        <v>0</v>
      </c>
      <c r="EI119" s="60">
        <v>157</v>
      </c>
      <c r="EJ119" s="60">
        <v>4127</v>
      </c>
      <c r="EK119" s="60">
        <v>23</v>
      </c>
      <c r="EL119" s="60">
        <v>1679</v>
      </c>
      <c r="EM119" s="60">
        <v>157</v>
      </c>
      <c r="EN119" s="60">
        <v>28</v>
      </c>
      <c r="EO119" s="60">
        <v>81</v>
      </c>
      <c r="EP119" s="60">
        <v>1118</v>
      </c>
      <c r="EQ119" s="60">
        <v>2</v>
      </c>
      <c r="ER119" s="60">
        <v>973</v>
      </c>
      <c r="ES119" s="60">
        <v>235</v>
      </c>
      <c r="ET119" s="60">
        <v>382</v>
      </c>
      <c r="EU119" s="60">
        <v>558</v>
      </c>
      <c r="EV119" s="60">
        <v>771</v>
      </c>
      <c r="EW119" s="60">
        <v>159</v>
      </c>
      <c r="EX119" s="60">
        <v>245</v>
      </c>
      <c r="EY119" s="60">
        <v>153</v>
      </c>
      <c r="EZ119" s="60">
        <v>2</v>
      </c>
      <c r="FA119" s="60">
        <v>55</v>
      </c>
      <c r="FB119" s="60">
        <v>847</v>
      </c>
      <c r="FC119" s="60">
        <v>197</v>
      </c>
      <c r="FD119" s="60">
        <v>337</v>
      </c>
      <c r="FE119" s="60"/>
      <c r="FF119" s="60"/>
      <c r="FG119" s="60"/>
      <c r="FH119" s="60">
        <v>545</v>
      </c>
      <c r="FI119" s="60">
        <v>41</v>
      </c>
      <c r="FJ119" s="60">
        <v>665</v>
      </c>
      <c r="FK119" s="60">
        <v>5</v>
      </c>
      <c r="FL119" s="60">
        <v>19</v>
      </c>
      <c r="FM119" s="60">
        <v>502</v>
      </c>
      <c r="FN119" s="60">
        <v>23</v>
      </c>
      <c r="FO119" s="60">
        <v>4133</v>
      </c>
      <c r="FP119" s="60">
        <v>117</v>
      </c>
      <c r="FQ119" s="60">
        <v>12</v>
      </c>
      <c r="FR119" s="60">
        <v>28</v>
      </c>
      <c r="FS119" s="60">
        <v>24</v>
      </c>
      <c r="FT119" s="60">
        <v>20</v>
      </c>
      <c r="FU119" s="60">
        <v>5</v>
      </c>
      <c r="FV119" s="60">
        <v>4</v>
      </c>
      <c r="FW119" s="60"/>
      <c r="FX119" s="60">
        <v>6143</v>
      </c>
      <c r="FY119" s="60">
        <v>185</v>
      </c>
      <c r="FZ119" s="60">
        <v>5683</v>
      </c>
      <c r="GA119" s="60">
        <v>275</v>
      </c>
      <c r="GB119" s="60">
        <v>2011</v>
      </c>
    </row>
    <row r="120" spans="1:184" x14ac:dyDescent="0.3">
      <c r="A120" s="60">
        <v>106190758</v>
      </c>
      <c r="B120" s="61" t="s">
        <v>537</v>
      </c>
      <c r="C120" s="61" t="s">
        <v>538</v>
      </c>
      <c r="D120" s="61" t="s">
        <v>539</v>
      </c>
      <c r="E120" s="61" t="s">
        <v>540</v>
      </c>
      <c r="F120" s="60">
        <v>91505</v>
      </c>
      <c r="G120" s="61"/>
      <c r="H120" s="61" t="s">
        <v>1669</v>
      </c>
      <c r="I120" s="60">
        <v>43</v>
      </c>
      <c r="J120" s="60">
        <v>21</v>
      </c>
      <c r="K120" s="61" t="s">
        <v>1842</v>
      </c>
      <c r="L120" s="61" t="s">
        <v>404</v>
      </c>
      <c r="M120" s="61" t="s">
        <v>1778</v>
      </c>
      <c r="N120" s="61" t="s">
        <v>1779</v>
      </c>
      <c r="O120" s="61" t="s">
        <v>1673</v>
      </c>
      <c r="P120" s="61" t="s">
        <v>1678</v>
      </c>
      <c r="Q120" s="61" t="s">
        <v>1674</v>
      </c>
      <c r="R120" s="60">
        <v>360</v>
      </c>
      <c r="S120" s="61" t="s">
        <v>1675</v>
      </c>
      <c r="T120" s="60">
        <v>26539</v>
      </c>
      <c r="U120" s="60">
        <v>22053</v>
      </c>
      <c r="V120" s="60">
        <v>9</v>
      </c>
      <c r="W120" s="60"/>
      <c r="X120" s="60">
        <v>5983</v>
      </c>
      <c r="Y120" s="60">
        <v>4581</v>
      </c>
      <c r="Z120" s="60">
        <v>8337</v>
      </c>
      <c r="AA120" s="60">
        <v>6973</v>
      </c>
      <c r="AB120" s="60">
        <v>6845</v>
      </c>
      <c r="AC120" s="60">
        <v>5326</v>
      </c>
      <c r="AD120" s="60">
        <v>3601</v>
      </c>
      <c r="AE120" s="60">
        <v>2622</v>
      </c>
      <c r="AF120" s="60">
        <v>2950</v>
      </c>
      <c r="AG120" s="60">
        <v>1383</v>
      </c>
      <c r="AH120" s="60"/>
      <c r="AI120" s="60">
        <v>1509</v>
      </c>
      <c r="AJ120" s="60">
        <v>2879</v>
      </c>
      <c r="AK120" s="60">
        <v>15449</v>
      </c>
      <c r="AL120" s="60">
        <v>35</v>
      </c>
      <c r="AM120" s="60">
        <v>3985</v>
      </c>
      <c r="AN120" s="60">
        <v>19</v>
      </c>
      <c r="AO120" s="60">
        <v>24725</v>
      </c>
      <c r="AP120" s="60">
        <v>765</v>
      </c>
      <c r="AQ120" s="60">
        <v>189</v>
      </c>
      <c r="AR120" s="60"/>
      <c r="AS120" s="60">
        <v>92</v>
      </c>
      <c r="AT120" s="60">
        <v>2</v>
      </c>
      <c r="AU120" s="60">
        <v>6</v>
      </c>
      <c r="AV120" s="60">
        <v>8</v>
      </c>
      <c r="AW120" s="60"/>
      <c r="AX120" s="60"/>
      <c r="AY120" s="60">
        <v>95</v>
      </c>
      <c r="AZ120" s="60">
        <v>4</v>
      </c>
      <c r="BA120" s="60">
        <v>47182</v>
      </c>
      <c r="BB120" s="60">
        <v>242</v>
      </c>
      <c r="BC120" s="60">
        <v>16</v>
      </c>
      <c r="BD120" s="60"/>
      <c r="BE120" s="60">
        <v>13219</v>
      </c>
      <c r="BF120" s="60">
        <v>7769</v>
      </c>
      <c r="BG120" s="60">
        <v>2716</v>
      </c>
      <c r="BH120" s="60">
        <v>17365</v>
      </c>
      <c r="BI120" s="60">
        <v>7532</v>
      </c>
      <c r="BJ120" s="60">
        <v>1274</v>
      </c>
      <c r="BK120" s="60">
        <v>121</v>
      </c>
      <c r="BL120" s="60">
        <v>1227</v>
      </c>
      <c r="BM120" s="60">
        <v>8</v>
      </c>
      <c r="BN120" s="60">
        <v>2658</v>
      </c>
      <c r="BO120" s="60">
        <v>563</v>
      </c>
      <c r="BP120" s="60">
        <v>3125</v>
      </c>
      <c r="BQ120" s="60">
        <v>1064</v>
      </c>
      <c r="BR120" s="60">
        <v>11866</v>
      </c>
      <c r="BS120" s="60">
        <v>2856</v>
      </c>
      <c r="BT120" s="60">
        <v>92</v>
      </c>
      <c r="BU120" s="60">
        <v>3115</v>
      </c>
      <c r="BV120" s="60">
        <v>2079</v>
      </c>
      <c r="BW120" s="60">
        <v>93</v>
      </c>
      <c r="BX120" s="60">
        <v>2104</v>
      </c>
      <c r="BY120" s="60">
        <v>4334</v>
      </c>
      <c r="BZ120" s="60">
        <v>1854</v>
      </c>
      <c r="CA120" s="60">
        <v>10168</v>
      </c>
      <c r="CB120" s="60"/>
      <c r="CC120" s="60"/>
      <c r="CD120" s="60">
        <v>3788</v>
      </c>
      <c r="CE120" s="60">
        <v>213</v>
      </c>
      <c r="CF120" s="60">
        <v>502</v>
      </c>
      <c r="CG120" s="60">
        <v>19</v>
      </c>
      <c r="CH120" s="60">
        <v>457</v>
      </c>
      <c r="CI120" s="60">
        <v>42</v>
      </c>
      <c r="CJ120" s="60">
        <v>202</v>
      </c>
      <c r="CK120" s="60">
        <v>560</v>
      </c>
      <c r="CL120" s="60">
        <v>35605</v>
      </c>
      <c r="CM120" s="60">
        <v>4959</v>
      </c>
      <c r="CN120" s="60">
        <v>257</v>
      </c>
      <c r="CO120" s="60">
        <v>1586</v>
      </c>
      <c r="CP120" s="60">
        <v>135</v>
      </c>
      <c r="CQ120" s="60">
        <v>213</v>
      </c>
      <c r="CR120" s="60">
        <v>63</v>
      </c>
      <c r="CS120" s="60"/>
      <c r="CT120" s="60">
        <v>48601</v>
      </c>
      <c r="CU120" s="60">
        <v>3395</v>
      </c>
      <c r="CV120" s="60">
        <v>39474</v>
      </c>
      <c r="CW120" s="60">
        <v>5732</v>
      </c>
      <c r="CX120" s="60">
        <v>5770</v>
      </c>
      <c r="CY120" s="60">
        <v>4597</v>
      </c>
      <c r="CZ120" s="60"/>
      <c r="DA120" s="60"/>
      <c r="DB120" s="60">
        <v>129</v>
      </c>
      <c r="DC120" s="60">
        <v>657</v>
      </c>
      <c r="DD120" s="60">
        <v>859</v>
      </c>
      <c r="DE120" s="60">
        <v>976</v>
      </c>
      <c r="DF120" s="60">
        <v>1416</v>
      </c>
      <c r="DG120" s="60">
        <v>1592</v>
      </c>
      <c r="DH120" s="60">
        <v>1815</v>
      </c>
      <c r="DI120" s="60">
        <v>2875</v>
      </c>
      <c r="DJ120" s="60">
        <v>47</v>
      </c>
      <c r="DK120" s="60">
        <v>1</v>
      </c>
      <c r="DL120" s="60"/>
      <c r="DM120" s="60">
        <v>408</v>
      </c>
      <c r="DN120" s="60">
        <v>434</v>
      </c>
      <c r="DO120" s="60">
        <v>2030</v>
      </c>
      <c r="DP120" s="60">
        <v>941</v>
      </c>
      <c r="DQ120" s="60">
        <v>1</v>
      </c>
      <c r="DR120" s="60">
        <v>6542</v>
      </c>
      <c r="DS120" s="60">
        <v>11</v>
      </c>
      <c r="DT120" s="60">
        <v>159</v>
      </c>
      <c r="DU120" s="60">
        <v>151</v>
      </c>
      <c r="DV120" s="60">
        <v>372</v>
      </c>
      <c r="DW120" s="60">
        <v>1305</v>
      </c>
      <c r="DX120" s="60">
        <v>224</v>
      </c>
      <c r="DY120" s="60">
        <v>14</v>
      </c>
      <c r="DZ120" s="60">
        <v>106</v>
      </c>
      <c r="EA120" s="60">
        <v>6360</v>
      </c>
      <c r="EB120" s="60">
        <v>1674</v>
      </c>
      <c r="EC120" s="60">
        <v>2</v>
      </c>
      <c r="ED120" s="60">
        <v>0</v>
      </c>
      <c r="EE120" s="60">
        <v>0</v>
      </c>
      <c r="EF120" s="60">
        <v>0</v>
      </c>
      <c r="EG120" s="60">
        <v>0</v>
      </c>
      <c r="EH120" s="60">
        <v>0</v>
      </c>
      <c r="EI120" s="60">
        <v>1935</v>
      </c>
      <c r="EJ120" s="60">
        <v>5361</v>
      </c>
      <c r="EK120" s="60">
        <v>63</v>
      </c>
      <c r="EL120" s="60">
        <v>2596</v>
      </c>
      <c r="EM120" s="60">
        <v>412</v>
      </c>
      <c r="EN120" s="60">
        <v>556</v>
      </c>
      <c r="EO120" s="60">
        <v>174</v>
      </c>
      <c r="EP120" s="60">
        <v>2074</v>
      </c>
      <c r="EQ120" s="60">
        <v>8</v>
      </c>
      <c r="ER120" s="60">
        <v>1642</v>
      </c>
      <c r="ES120" s="60">
        <v>307</v>
      </c>
      <c r="ET120" s="60">
        <v>705</v>
      </c>
      <c r="EU120" s="60">
        <v>906</v>
      </c>
      <c r="EV120" s="60">
        <v>855</v>
      </c>
      <c r="EW120" s="60">
        <v>251</v>
      </c>
      <c r="EX120" s="60">
        <v>342</v>
      </c>
      <c r="EY120" s="60">
        <v>335</v>
      </c>
      <c r="EZ120" s="60">
        <v>8</v>
      </c>
      <c r="FA120" s="60">
        <v>72</v>
      </c>
      <c r="FB120" s="60">
        <v>1021</v>
      </c>
      <c r="FC120" s="60">
        <v>214</v>
      </c>
      <c r="FD120" s="60">
        <v>857</v>
      </c>
      <c r="FE120" s="60">
        <v>8</v>
      </c>
      <c r="FF120" s="60">
        <v>32</v>
      </c>
      <c r="FG120" s="60"/>
      <c r="FH120" s="60">
        <v>590</v>
      </c>
      <c r="FI120" s="60">
        <v>30</v>
      </c>
      <c r="FJ120" s="60">
        <v>411</v>
      </c>
      <c r="FK120" s="60">
        <v>7</v>
      </c>
      <c r="FL120" s="60">
        <v>10</v>
      </c>
      <c r="FM120" s="60">
        <v>204</v>
      </c>
      <c r="FN120" s="60">
        <v>23</v>
      </c>
      <c r="FO120" s="60">
        <v>8807</v>
      </c>
      <c r="FP120" s="60">
        <v>118</v>
      </c>
      <c r="FQ120" s="60">
        <v>19</v>
      </c>
      <c r="FR120" s="60">
        <v>52</v>
      </c>
      <c r="FS120" s="60">
        <v>40</v>
      </c>
      <c r="FT120" s="60">
        <v>30</v>
      </c>
      <c r="FU120" s="60">
        <v>26</v>
      </c>
      <c r="FV120" s="60"/>
      <c r="FW120" s="60"/>
      <c r="FX120" s="60">
        <v>10367</v>
      </c>
      <c r="FY120" s="60">
        <v>1312</v>
      </c>
      <c r="FZ120" s="60">
        <v>7936</v>
      </c>
      <c r="GA120" s="60">
        <v>1119</v>
      </c>
      <c r="GB120" s="60">
        <v>2011</v>
      </c>
    </row>
    <row r="121" spans="1:184" x14ac:dyDescent="0.3">
      <c r="A121" s="60">
        <v>106190762</v>
      </c>
      <c r="B121" s="61" t="s">
        <v>541</v>
      </c>
      <c r="C121" s="61" t="s">
        <v>542</v>
      </c>
      <c r="D121" s="61" t="s">
        <v>543</v>
      </c>
      <c r="E121" s="61" t="s">
        <v>340</v>
      </c>
      <c r="F121" s="60">
        <v>90057</v>
      </c>
      <c r="G121" s="61"/>
      <c r="H121" s="61" t="s">
        <v>1669</v>
      </c>
      <c r="I121" s="60">
        <v>46</v>
      </c>
      <c r="J121" s="60">
        <v>22</v>
      </c>
      <c r="K121" s="61" t="s">
        <v>1791</v>
      </c>
      <c r="L121" s="61" t="s">
        <v>369</v>
      </c>
      <c r="M121" s="61" t="s">
        <v>1778</v>
      </c>
      <c r="N121" s="61" t="s">
        <v>1779</v>
      </c>
      <c r="O121" s="61" t="s">
        <v>1673</v>
      </c>
      <c r="P121" s="61" t="s">
        <v>1678</v>
      </c>
      <c r="Q121" s="61" t="s">
        <v>1674</v>
      </c>
      <c r="R121" s="60">
        <v>339</v>
      </c>
      <c r="S121" s="61" t="s">
        <v>1706</v>
      </c>
      <c r="T121" s="60">
        <v>4873</v>
      </c>
      <c r="U121" s="60">
        <v>3660</v>
      </c>
      <c r="V121" s="60"/>
      <c r="W121" s="60"/>
      <c r="X121" s="60">
        <v>222</v>
      </c>
      <c r="Y121" s="60">
        <v>381</v>
      </c>
      <c r="Z121" s="60">
        <v>1190</v>
      </c>
      <c r="AA121" s="60">
        <v>1080</v>
      </c>
      <c r="AB121" s="60">
        <v>1242</v>
      </c>
      <c r="AC121" s="60">
        <v>1236</v>
      </c>
      <c r="AD121" s="60">
        <v>1180</v>
      </c>
      <c r="AE121" s="60">
        <v>1069</v>
      </c>
      <c r="AF121" s="60">
        <v>897</v>
      </c>
      <c r="AG121" s="60">
        <v>36</v>
      </c>
      <c r="AH121" s="60"/>
      <c r="AI121" s="60">
        <v>1725</v>
      </c>
      <c r="AJ121" s="60">
        <v>1416</v>
      </c>
      <c r="AK121" s="60">
        <v>3862</v>
      </c>
      <c r="AL121" s="60">
        <v>17</v>
      </c>
      <c r="AM121" s="60">
        <v>49</v>
      </c>
      <c r="AN121" s="60">
        <v>108</v>
      </c>
      <c r="AO121" s="60">
        <v>1356</v>
      </c>
      <c r="AP121" s="60">
        <v>60</v>
      </c>
      <c r="AQ121" s="60">
        <v>199</v>
      </c>
      <c r="AR121" s="60">
        <v>61</v>
      </c>
      <c r="AS121" s="60">
        <v>6</v>
      </c>
      <c r="AT121" s="60">
        <v>1</v>
      </c>
      <c r="AU121" s="60"/>
      <c r="AV121" s="60">
        <v>2</v>
      </c>
      <c r="AW121" s="60">
        <v>1</v>
      </c>
      <c r="AX121" s="60"/>
      <c r="AY121" s="60"/>
      <c r="AZ121" s="60"/>
      <c r="BA121" s="60">
        <v>8128</v>
      </c>
      <c r="BB121" s="60">
        <v>75</v>
      </c>
      <c r="BC121" s="60"/>
      <c r="BD121" s="60"/>
      <c r="BE121" s="60">
        <v>2183</v>
      </c>
      <c r="BF121" s="60">
        <v>3812</v>
      </c>
      <c r="BG121" s="60">
        <v>309</v>
      </c>
      <c r="BH121" s="60">
        <v>862</v>
      </c>
      <c r="BI121" s="60">
        <v>1367</v>
      </c>
      <c r="BJ121" s="60">
        <v>53</v>
      </c>
      <c r="BK121" s="60">
        <v>44</v>
      </c>
      <c r="BL121" s="60">
        <v>252</v>
      </c>
      <c r="BM121" s="60"/>
      <c r="BN121" s="60">
        <v>555</v>
      </c>
      <c r="BO121" s="60">
        <v>190</v>
      </c>
      <c r="BP121" s="60">
        <v>665</v>
      </c>
      <c r="BQ121" s="60">
        <v>195</v>
      </c>
      <c r="BR121" s="60">
        <v>1547</v>
      </c>
      <c r="BS121" s="60">
        <v>916</v>
      </c>
      <c r="BT121" s="60">
        <v>16</v>
      </c>
      <c r="BU121" s="60">
        <v>388</v>
      </c>
      <c r="BV121" s="60">
        <v>226</v>
      </c>
      <c r="BW121" s="60">
        <v>1</v>
      </c>
      <c r="BX121" s="60">
        <v>230</v>
      </c>
      <c r="BY121" s="60">
        <v>794</v>
      </c>
      <c r="BZ121" s="60">
        <v>387</v>
      </c>
      <c r="CA121" s="60">
        <v>2074</v>
      </c>
      <c r="CB121" s="60"/>
      <c r="CC121" s="60"/>
      <c r="CD121" s="60">
        <v>675</v>
      </c>
      <c r="CE121" s="60">
        <v>17</v>
      </c>
      <c r="CF121" s="60">
        <v>96</v>
      </c>
      <c r="CG121" s="60"/>
      <c r="CH121" s="60">
        <v>69</v>
      </c>
      <c r="CI121" s="60">
        <v>2</v>
      </c>
      <c r="CJ121" s="60">
        <v>11</v>
      </c>
      <c r="CK121" s="60">
        <v>83</v>
      </c>
      <c r="CL121" s="60">
        <v>6817</v>
      </c>
      <c r="CM121" s="60">
        <v>566</v>
      </c>
      <c r="CN121" s="60">
        <v>26</v>
      </c>
      <c r="CO121" s="60">
        <v>129</v>
      </c>
      <c r="CP121" s="60">
        <v>1</v>
      </c>
      <c r="CQ121" s="60">
        <v>28</v>
      </c>
      <c r="CR121" s="60">
        <v>13</v>
      </c>
      <c r="CS121" s="60"/>
      <c r="CT121" s="60">
        <v>8533</v>
      </c>
      <c r="CU121" s="60">
        <v>808</v>
      </c>
      <c r="CV121" s="60">
        <v>5765</v>
      </c>
      <c r="CW121" s="60">
        <v>1960</v>
      </c>
      <c r="CX121" s="60">
        <v>2399</v>
      </c>
      <c r="CY121" s="60">
        <v>1914</v>
      </c>
      <c r="CZ121" s="60"/>
      <c r="DA121" s="60"/>
      <c r="DB121" s="60">
        <v>9</v>
      </c>
      <c r="DC121" s="60">
        <v>118</v>
      </c>
      <c r="DD121" s="60">
        <v>165</v>
      </c>
      <c r="DE121" s="60">
        <v>389</v>
      </c>
      <c r="DF121" s="60">
        <v>581</v>
      </c>
      <c r="DG121" s="60">
        <v>724</v>
      </c>
      <c r="DH121" s="60">
        <v>971</v>
      </c>
      <c r="DI121" s="60">
        <v>1355</v>
      </c>
      <c r="DJ121" s="60"/>
      <c r="DK121" s="60">
        <v>1</v>
      </c>
      <c r="DL121" s="60"/>
      <c r="DM121" s="60">
        <v>1597</v>
      </c>
      <c r="DN121" s="60">
        <v>509</v>
      </c>
      <c r="DO121" s="60">
        <v>1657</v>
      </c>
      <c r="DP121" s="60">
        <v>52</v>
      </c>
      <c r="DQ121" s="60">
        <v>16</v>
      </c>
      <c r="DR121" s="60">
        <v>481</v>
      </c>
      <c r="DS121" s="60">
        <v>1</v>
      </c>
      <c r="DT121" s="60">
        <v>18</v>
      </c>
      <c r="DU121" s="60">
        <v>90</v>
      </c>
      <c r="DV121" s="60">
        <v>112</v>
      </c>
      <c r="DW121" s="60">
        <v>428</v>
      </c>
      <c r="DX121" s="60">
        <v>136</v>
      </c>
      <c r="DY121" s="60">
        <v>47</v>
      </c>
      <c r="DZ121" s="60">
        <v>4</v>
      </c>
      <c r="EA121" s="60">
        <v>2648</v>
      </c>
      <c r="EB121" s="60">
        <v>830</v>
      </c>
      <c r="EC121" s="60"/>
      <c r="ED121" s="60">
        <v>0</v>
      </c>
      <c r="EE121" s="60">
        <v>0</v>
      </c>
      <c r="EF121" s="60">
        <v>0</v>
      </c>
      <c r="EG121" s="60">
        <v>0</v>
      </c>
      <c r="EH121" s="60">
        <v>0</v>
      </c>
      <c r="EI121" s="60">
        <v>824</v>
      </c>
      <c r="EJ121" s="60">
        <v>2327</v>
      </c>
      <c r="EK121" s="60">
        <v>13</v>
      </c>
      <c r="EL121" s="60">
        <v>1026</v>
      </c>
      <c r="EM121" s="60">
        <v>123</v>
      </c>
      <c r="EN121" s="60"/>
      <c r="EO121" s="60">
        <v>103</v>
      </c>
      <c r="EP121" s="60">
        <v>823</v>
      </c>
      <c r="EQ121" s="60">
        <v>2</v>
      </c>
      <c r="ER121" s="60">
        <v>618</v>
      </c>
      <c r="ES121" s="60">
        <v>205</v>
      </c>
      <c r="ET121" s="60">
        <v>303</v>
      </c>
      <c r="EU121" s="60">
        <v>492</v>
      </c>
      <c r="EV121" s="60">
        <v>497</v>
      </c>
      <c r="EW121" s="60">
        <v>93</v>
      </c>
      <c r="EX121" s="60">
        <v>153</v>
      </c>
      <c r="EY121" s="60">
        <v>74</v>
      </c>
      <c r="EZ121" s="60">
        <v>3</v>
      </c>
      <c r="FA121" s="60">
        <v>27</v>
      </c>
      <c r="FB121" s="60">
        <v>541</v>
      </c>
      <c r="FC121" s="60">
        <v>96</v>
      </c>
      <c r="FD121" s="60">
        <v>283</v>
      </c>
      <c r="FE121" s="60"/>
      <c r="FF121" s="60"/>
      <c r="FG121" s="60"/>
      <c r="FH121" s="60">
        <v>138</v>
      </c>
      <c r="FI121" s="60">
        <v>8</v>
      </c>
      <c r="FJ121" s="60">
        <v>274</v>
      </c>
      <c r="FK121" s="60">
        <v>1</v>
      </c>
      <c r="FL121" s="60">
        <v>11</v>
      </c>
      <c r="FM121" s="60">
        <v>41</v>
      </c>
      <c r="FN121" s="60">
        <v>2</v>
      </c>
      <c r="FO121" s="60">
        <v>3785</v>
      </c>
      <c r="FP121" s="60">
        <v>34</v>
      </c>
      <c r="FQ121" s="60"/>
      <c r="FR121" s="60">
        <v>9</v>
      </c>
      <c r="FS121" s="60">
        <v>3</v>
      </c>
      <c r="FT121" s="60">
        <v>4</v>
      </c>
      <c r="FU121" s="60">
        <v>3</v>
      </c>
      <c r="FV121" s="60"/>
      <c r="FW121" s="60"/>
      <c r="FX121" s="60">
        <v>4313</v>
      </c>
      <c r="FY121" s="60">
        <v>1159</v>
      </c>
      <c r="FZ121" s="60">
        <v>1981</v>
      </c>
      <c r="GA121" s="60">
        <v>1173</v>
      </c>
      <c r="GB121" s="60">
        <v>2011</v>
      </c>
    </row>
    <row r="122" spans="1:184" x14ac:dyDescent="0.3">
      <c r="A122" s="60">
        <v>106190766</v>
      </c>
      <c r="B122" s="61" t="s">
        <v>544</v>
      </c>
      <c r="C122" s="61" t="s">
        <v>1843</v>
      </c>
      <c r="D122" s="61" t="s">
        <v>545</v>
      </c>
      <c r="E122" s="61" t="s">
        <v>498</v>
      </c>
      <c r="F122" s="60">
        <v>90650</v>
      </c>
      <c r="G122" s="61"/>
      <c r="H122" s="61" t="s">
        <v>1669</v>
      </c>
      <c r="I122" s="60">
        <v>56</v>
      </c>
      <c r="J122" s="60">
        <v>30</v>
      </c>
      <c r="K122" s="61" t="s">
        <v>1828</v>
      </c>
      <c r="L122" s="61" t="s">
        <v>357</v>
      </c>
      <c r="M122" s="61" t="s">
        <v>1778</v>
      </c>
      <c r="N122" s="61" t="s">
        <v>1779</v>
      </c>
      <c r="O122" s="61" t="s">
        <v>1673</v>
      </c>
      <c r="P122" s="61" t="s">
        <v>321</v>
      </c>
      <c r="Q122" s="61" t="s">
        <v>1674</v>
      </c>
      <c r="R122" s="60">
        <v>105</v>
      </c>
      <c r="S122" s="61" t="s">
        <v>1675</v>
      </c>
      <c r="T122" s="60">
        <v>5069</v>
      </c>
      <c r="U122" s="60">
        <v>4593</v>
      </c>
      <c r="V122" s="60"/>
      <c r="W122" s="60"/>
      <c r="X122" s="60">
        <v>1549</v>
      </c>
      <c r="Y122" s="60">
        <v>1446</v>
      </c>
      <c r="Z122" s="60">
        <v>1845</v>
      </c>
      <c r="AA122" s="60">
        <v>1482</v>
      </c>
      <c r="AB122" s="60">
        <v>1270</v>
      </c>
      <c r="AC122" s="60">
        <v>932</v>
      </c>
      <c r="AD122" s="60">
        <v>463</v>
      </c>
      <c r="AE122" s="60">
        <v>223</v>
      </c>
      <c r="AF122" s="60">
        <v>192</v>
      </c>
      <c r="AG122" s="60">
        <v>260</v>
      </c>
      <c r="AH122" s="60"/>
      <c r="AI122" s="60">
        <v>214</v>
      </c>
      <c r="AJ122" s="60">
        <v>788</v>
      </c>
      <c r="AK122" s="60">
        <v>6364</v>
      </c>
      <c r="AL122" s="60">
        <v>8</v>
      </c>
      <c r="AM122" s="60">
        <v>220</v>
      </c>
      <c r="AN122" s="60">
        <v>73</v>
      </c>
      <c r="AO122" s="60">
        <v>1995</v>
      </c>
      <c r="AP122" s="60">
        <v>132</v>
      </c>
      <c r="AQ122" s="60">
        <v>515</v>
      </c>
      <c r="AR122" s="60"/>
      <c r="AS122" s="60">
        <v>28</v>
      </c>
      <c r="AT122" s="60"/>
      <c r="AU122" s="60">
        <v>3</v>
      </c>
      <c r="AV122" s="60"/>
      <c r="AW122" s="60">
        <v>12</v>
      </c>
      <c r="AX122" s="60"/>
      <c r="AY122" s="60">
        <v>270</v>
      </c>
      <c r="AZ122" s="60">
        <v>29</v>
      </c>
      <c r="BA122" s="60">
        <v>8629</v>
      </c>
      <c r="BB122" s="60">
        <v>44</v>
      </c>
      <c r="BC122" s="60"/>
      <c r="BD122" s="60"/>
      <c r="BE122" s="60">
        <v>4641</v>
      </c>
      <c r="BF122" s="60">
        <v>699</v>
      </c>
      <c r="BG122" s="60">
        <v>149</v>
      </c>
      <c r="BH122" s="60">
        <v>1919</v>
      </c>
      <c r="BI122" s="60">
        <v>2254</v>
      </c>
      <c r="BJ122" s="60">
        <v>175</v>
      </c>
      <c r="BK122" s="60">
        <v>34</v>
      </c>
      <c r="BL122" s="60">
        <v>214</v>
      </c>
      <c r="BM122" s="60">
        <v>2</v>
      </c>
      <c r="BN122" s="60">
        <v>622</v>
      </c>
      <c r="BO122" s="60">
        <v>162</v>
      </c>
      <c r="BP122" s="60">
        <v>476</v>
      </c>
      <c r="BQ122" s="60">
        <v>156</v>
      </c>
      <c r="BR122" s="60">
        <v>2548</v>
      </c>
      <c r="BS122" s="60">
        <v>570</v>
      </c>
      <c r="BT122" s="60">
        <v>14</v>
      </c>
      <c r="BU122" s="60">
        <v>778</v>
      </c>
      <c r="BV122" s="60">
        <v>503</v>
      </c>
      <c r="BW122" s="60">
        <v>4</v>
      </c>
      <c r="BX122" s="60">
        <v>516</v>
      </c>
      <c r="BY122" s="60">
        <v>1373</v>
      </c>
      <c r="BZ122" s="60">
        <v>388</v>
      </c>
      <c r="CA122" s="60">
        <v>1126</v>
      </c>
      <c r="CB122" s="60"/>
      <c r="CC122" s="60">
        <v>1</v>
      </c>
      <c r="CD122" s="60">
        <v>725</v>
      </c>
      <c r="CE122" s="60">
        <v>9</v>
      </c>
      <c r="CF122" s="60">
        <v>131</v>
      </c>
      <c r="CG122" s="60">
        <v>1</v>
      </c>
      <c r="CH122" s="60">
        <v>205</v>
      </c>
      <c r="CI122" s="60">
        <v>1</v>
      </c>
      <c r="CJ122" s="60">
        <v>33</v>
      </c>
      <c r="CK122" s="60">
        <v>128</v>
      </c>
      <c r="CL122" s="60">
        <v>6905</v>
      </c>
      <c r="CM122" s="60">
        <v>1044</v>
      </c>
      <c r="CN122" s="60">
        <v>67</v>
      </c>
      <c r="CO122" s="60">
        <v>289</v>
      </c>
      <c r="CP122" s="60">
        <v>36</v>
      </c>
      <c r="CQ122" s="60">
        <v>51</v>
      </c>
      <c r="CR122" s="60">
        <v>37</v>
      </c>
      <c r="CS122" s="60"/>
      <c r="CT122" s="60">
        <v>9662</v>
      </c>
      <c r="CU122" s="60">
        <v>32</v>
      </c>
      <c r="CV122" s="60">
        <v>8396</v>
      </c>
      <c r="CW122" s="60">
        <v>1234</v>
      </c>
      <c r="CX122" s="60">
        <v>1774</v>
      </c>
      <c r="CY122" s="60">
        <v>1563</v>
      </c>
      <c r="CZ122" s="60"/>
      <c r="DA122" s="60"/>
      <c r="DB122" s="60">
        <v>167</v>
      </c>
      <c r="DC122" s="60">
        <v>228</v>
      </c>
      <c r="DD122" s="60">
        <v>278</v>
      </c>
      <c r="DE122" s="60">
        <v>353</v>
      </c>
      <c r="DF122" s="60">
        <v>527</v>
      </c>
      <c r="DG122" s="60">
        <v>495</v>
      </c>
      <c r="DH122" s="60">
        <v>427</v>
      </c>
      <c r="DI122" s="60">
        <v>572</v>
      </c>
      <c r="DJ122" s="60">
        <v>47</v>
      </c>
      <c r="DK122" s="60">
        <v>243</v>
      </c>
      <c r="DL122" s="60"/>
      <c r="DM122" s="60">
        <v>172</v>
      </c>
      <c r="DN122" s="60">
        <v>280</v>
      </c>
      <c r="DO122" s="60">
        <v>1773</v>
      </c>
      <c r="DP122" s="60">
        <v>89</v>
      </c>
      <c r="DQ122" s="60">
        <v>32</v>
      </c>
      <c r="DR122" s="60">
        <v>985</v>
      </c>
      <c r="DS122" s="60">
        <v>6</v>
      </c>
      <c r="DT122" s="60">
        <v>320</v>
      </c>
      <c r="DU122" s="60">
        <v>207</v>
      </c>
      <c r="DV122" s="60">
        <v>72</v>
      </c>
      <c r="DW122" s="60">
        <v>138</v>
      </c>
      <c r="DX122" s="60">
        <v>100</v>
      </c>
      <c r="DY122" s="60">
        <v>2</v>
      </c>
      <c r="DZ122" s="60">
        <v>62</v>
      </c>
      <c r="EA122" s="60">
        <v>2011</v>
      </c>
      <c r="EB122" s="60">
        <v>424</v>
      </c>
      <c r="EC122" s="60">
        <v>1</v>
      </c>
      <c r="ED122" s="60">
        <v>0</v>
      </c>
      <c r="EE122" s="60">
        <v>0</v>
      </c>
      <c r="EF122" s="60">
        <v>0</v>
      </c>
      <c r="EG122" s="60">
        <v>0</v>
      </c>
      <c r="EH122" s="60">
        <v>0</v>
      </c>
      <c r="EI122" s="60">
        <v>1147</v>
      </c>
      <c r="EJ122" s="60">
        <v>1481</v>
      </c>
      <c r="EK122" s="60">
        <v>215</v>
      </c>
      <c r="EL122" s="60">
        <v>358</v>
      </c>
      <c r="EM122" s="60">
        <v>136</v>
      </c>
      <c r="EN122" s="60">
        <v>23</v>
      </c>
      <c r="EO122" s="60">
        <v>42</v>
      </c>
      <c r="EP122" s="60">
        <v>436</v>
      </c>
      <c r="EQ122" s="60">
        <v>3</v>
      </c>
      <c r="ER122" s="60">
        <v>409</v>
      </c>
      <c r="ES122" s="60">
        <v>270</v>
      </c>
      <c r="ET122" s="60">
        <v>214</v>
      </c>
      <c r="EU122" s="60">
        <v>234</v>
      </c>
      <c r="EV122" s="60">
        <v>189</v>
      </c>
      <c r="EW122" s="60">
        <v>107</v>
      </c>
      <c r="EX122" s="60">
        <v>34</v>
      </c>
      <c r="EY122" s="60">
        <v>159</v>
      </c>
      <c r="EZ122" s="60">
        <v>2</v>
      </c>
      <c r="FA122" s="60">
        <v>62</v>
      </c>
      <c r="FB122" s="60">
        <v>556</v>
      </c>
      <c r="FC122" s="60">
        <v>164</v>
      </c>
      <c r="FD122" s="60">
        <v>433</v>
      </c>
      <c r="FE122" s="60"/>
      <c r="FF122" s="60"/>
      <c r="FG122" s="60"/>
      <c r="FH122" s="60">
        <v>131</v>
      </c>
      <c r="FI122" s="60">
        <v>16</v>
      </c>
      <c r="FJ122" s="60">
        <v>109</v>
      </c>
      <c r="FK122" s="60">
        <v>14</v>
      </c>
      <c r="FL122" s="60">
        <v>11</v>
      </c>
      <c r="FM122" s="60">
        <v>82</v>
      </c>
      <c r="FN122" s="60">
        <v>4</v>
      </c>
      <c r="FO122" s="60">
        <v>2843</v>
      </c>
      <c r="FP122" s="60">
        <v>68</v>
      </c>
      <c r="FQ122" s="60">
        <v>2</v>
      </c>
      <c r="FR122" s="60">
        <v>16</v>
      </c>
      <c r="FS122" s="60">
        <v>18</v>
      </c>
      <c r="FT122" s="60">
        <v>11</v>
      </c>
      <c r="FU122" s="60">
        <v>12</v>
      </c>
      <c r="FV122" s="60"/>
      <c r="FW122" s="60"/>
      <c r="FX122" s="60">
        <v>3337</v>
      </c>
      <c r="FY122" s="60">
        <v>55</v>
      </c>
      <c r="FZ122" s="60">
        <v>2714</v>
      </c>
      <c r="GA122" s="60">
        <v>568</v>
      </c>
      <c r="GB122" s="60">
        <v>2011</v>
      </c>
    </row>
    <row r="123" spans="1:184" x14ac:dyDescent="0.3">
      <c r="A123" s="60">
        <v>106190796</v>
      </c>
      <c r="B123" s="61" t="s">
        <v>546</v>
      </c>
      <c r="C123" s="61" t="s">
        <v>547</v>
      </c>
      <c r="D123" s="61" t="s">
        <v>548</v>
      </c>
      <c r="E123" s="61" t="s">
        <v>340</v>
      </c>
      <c r="F123" s="60">
        <v>90095</v>
      </c>
      <c r="G123" s="61" t="s">
        <v>549</v>
      </c>
      <c r="H123" s="61" t="s">
        <v>1689</v>
      </c>
      <c r="I123" s="60">
        <v>47</v>
      </c>
      <c r="J123" s="60">
        <v>23</v>
      </c>
      <c r="K123" s="61" t="s">
        <v>1844</v>
      </c>
      <c r="L123" s="61" t="s">
        <v>365</v>
      </c>
      <c r="M123" s="61" t="s">
        <v>1778</v>
      </c>
      <c r="N123" s="61" t="s">
        <v>1779</v>
      </c>
      <c r="O123" s="61" t="s">
        <v>1673</v>
      </c>
      <c r="P123" s="61" t="s">
        <v>1835</v>
      </c>
      <c r="Q123" s="61" t="s">
        <v>1674</v>
      </c>
      <c r="R123" s="60">
        <v>466</v>
      </c>
      <c r="S123" s="61" t="s">
        <v>1738</v>
      </c>
      <c r="T123" s="60">
        <v>17253</v>
      </c>
      <c r="U123" s="60">
        <v>15804</v>
      </c>
      <c r="V123" s="60"/>
      <c r="W123" s="60"/>
      <c r="X123" s="60">
        <v>2531</v>
      </c>
      <c r="Y123" s="60">
        <v>3463</v>
      </c>
      <c r="Z123" s="60">
        <v>7501</v>
      </c>
      <c r="AA123" s="60">
        <v>4685</v>
      </c>
      <c r="AB123" s="60">
        <v>4139</v>
      </c>
      <c r="AC123" s="60">
        <v>3820</v>
      </c>
      <c r="AD123" s="60">
        <v>2845</v>
      </c>
      <c r="AE123" s="60">
        <v>1650</v>
      </c>
      <c r="AF123" s="60">
        <v>1761</v>
      </c>
      <c r="AG123" s="60">
        <v>662</v>
      </c>
      <c r="AH123" s="60"/>
      <c r="AI123" s="60">
        <v>2774</v>
      </c>
      <c r="AJ123" s="60">
        <v>4365</v>
      </c>
      <c r="AK123" s="60">
        <v>6196</v>
      </c>
      <c r="AL123" s="60">
        <v>148</v>
      </c>
      <c r="AM123" s="60">
        <v>1880</v>
      </c>
      <c r="AN123" s="60">
        <v>344</v>
      </c>
      <c r="AO123" s="60">
        <v>17350</v>
      </c>
      <c r="AP123" s="60">
        <v>1075</v>
      </c>
      <c r="AQ123" s="60">
        <v>651</v>
      </c>
      <c r="AR123" s="60"/>
      <c r="AS123" s="60">
        <v>54</v>
      </c>
      <c r="AT123" s="60">
        <v>11</v>
      </c>
      <c r="AU123" s="60"/>
      <c r="AV123" s="60">
        <v>191</v>
      </c>
      <c r="AW123" s="60">
        <v>33</v>
      </c>
      <c r="AX123" s="60"/>
      <c r="AY123" s="60">
        <v>1188</v>
      </c>
      <c r="AZ123" s="60"/>
      <c r="BA123" s="60">
        <v>29847</v>
      </c>
      <c r="BB123" s="60">
        <v>7</v>
      </c>
      <c r="BC123" s="60"/>
      <c r="BD123" s="60"/>
      <c r="BE123" s="60">
        <v>5196</v>
      </c>
      <c r="BF123" s="60">
        <v>5849</v>
      </c>
      <c r="BG123" s="60">
        <v>1301</v>
      </c>
      <c r="BH123" s="60">
        <v>15723</v>
      </c>
      <c r="BI123" s="60">
        <v>4988</v>
      </c>
      <c r="BJ123" s="60">
        <v>575</v>
      </c>
      <c r="BK123" s="60">
        <v>351</v>
      </c>
      <c r="BL123" s="60">
        <v>638</v>
      </c>
      <c r="BM123" s="60">
        <v>21</v>
      </c>
      <c r="BN123" s="60">
        <v>1561</v>
      </c>
      <c r="BO123" s="60">
        <v>399</v>
      </c>
      <c r="BP123" s="60">
        <v>1984</v>
      </c>
      <c r="BQ123" s="60">
        <v>641</v>
      </c>
      <c r="BR123" s="60">
        <v>6907</v>
      </c>
      <c r="BS123" s="60">
        <v>2514</v>
      </c>
      <c r="BT123" s="60">
        <v>84</v>
      </c>
      <c r="BU123" s="60">
        <v>2054</v>
      </c>
      <c r="BV123" s="60">
        <v>1305</v>
      </c>
      <c r="BW123" s="60">
        <v>34</v>
      </c>
      <c r="BX123" s="60">
        <v>2845</v>
      </c>
      <c r="BY123" s="60">
        <v>2187</v>
      </c>
      <c r="BZ123" s="60">
        <v>1187</v>
      </c>
      <c r="CA123" s="60">
        <v>7769</v>
      </c>
      <c r="CB123" s="60"/>
      <c r="CC123" s="60">
        <v>1</v>
      </c>
      <c r="CD123" s="60">
        <v>2106</v>
      </c>
      <c r="CE123" s="60">
        <v>97</v>
      </c>
      <c r="CF123" s="60">
        <v>237</v>
      </c>
      <c r="CG123" s="60">
        <v>12</v>
      </c>
      <c r="CH123" s="60">
        <v>269</v>
      </c>
      <c r="CI123" s="60">
        <v>23</v>
      </c>
      <c r="CJ123" s="60">
        <v>390</v>
      </c>
      <c r="CK123" s="60">
        <v>242</v>
      </c>
      <c r="CL123" s="60">
        <v>25211</v>
      </c>
      <c r="CM123" s="60">
        <v>3035</v>
      </c>
      <c r="CN123" s="60">
        <v>157</v>
      </c>
      <c r="CO123" s="60">
        <v>1014</v>
      </c>
      <c r="CP123" s="60">
        <v>90</v>
      </c>
      <c r="CQ123" s="60">
        <v>144</v>
      </c>
      <c r="CR123" s="60">
        <v>30</v>
      </c>
      <c r="CS123" s="60"/>
      <c r="CT123" s="60">
        <v>33057</v>
      </c>
      <c r="CU123" s="60">
        <v>989</v>
      </c>
      <c r="CV123" s="60">
        <v>30265</v>
      </c>
      <c r="CW123" s="60">
        <v>1803</v>
      </c>
      <c r="CX123" s="60">
        <v>4750</v>
      </c>
      <c r="CY123" s="60">
        <v>5283</v>
      </c>
      <c r="CZ123" s="60"/>
      <c r="DA123" s="60"/>
      <c r="DB123" s="60">
        <v>535</v>
      </c>
      <c r="DC123" s="60">
        <v>939</v>
      </c>
      <c r="DD123" s="60">
        <v>881</v>
      </c>
      <c r="DE123" s="60">
        <v>1146</v>
      </c>
      <c r="DF123" s="60">
        <v>1675</v>
      </c>
      <c r="DG123" s="60">
        <v>1604</v>
      </c>
      <c r="DH123" s="60">
        <v>1140</v>
      </c>
      <c r="DI123" s="60">
        <v>1411</v>
      </c>
      <c r="DJ123" s="60">
        <v>160</v>
      </c>
      <c r="DK123" s="60">
        <v>542</v>
      </c>
      <c r="DL123" s="60"/>
      <c r="DM123" s="60">
        <v>714</v>
      </c>
      <c r="DN123" s="60">
        <v>1243</v>
      </c>
      <c r="DO123" s="60">
        <v>2428</v>
      </c>
      <c r="DP123" s="60">
        <v>281</v>
      </c>
      <c r="DQ123" s="60">
        <v>26</v>
      </c>
      <c r="DR123" s="60">
        <v>5313</v>
      </c>
      <c r="DS123" s="60">
        <v>28</v>
      </c>
      <c r="DT123" s="60">
        <v>229</v>
      </c>
      <c r="DU123" s="60">
        <v>89</v>
      </c>
      <c r="DV123" s="60">
        <v>334</v>
      </c>
      <c r="DW123" s="60">
        <v>2046</v>
      </c>
      <c r="DX123" s="60">
        <v>344</v>
      </c>
      <c r="DY123" s="60">
        <v>10</v>
      </c>
      <c r="DZ123" s="60">
        <v>28</v>
      </c>
      <c r="EA123" s="60">
        <v>6292</v>
      </c>
      <c r="EB123" s="60">
        <v>657</v>
      </c>
      <c r="EC123" s="60">
        <v>4</v>
      </c>
      <c r="ED123" s="60">
        <v>0</v>
      </c>
      <c r="EE123" s="60">
        <v>0</v>
      </c>
      <c r="EF123" s="60">
        <v>0</v>
      </c>
      <c r="EG123" s="60">
        <v>0</v>
      </c>
      <c r="EH123" s="60">
        <v>0</v>
      </c>
      <c r="EI123" s="60">
        <v>1724</v>
      </c>
      <c r="EJ123" s="60">
        <v>3918</v>
      </c>
      <c r="EK123" s="60">
        <v>484</v>
      </c>
      <c r="EL123" s="60">
        <v>3343</v>
      </c>
      <c r="EM123" s="60">
        <v>564</v>
      </c>
      <c r="EN123" s="60">
        <v>88</v>
      </c>
      <c r="EO123" s="60">
        <v>274</v>
      </c>
      <c r="EP123" s="60">
        <v>1817</v>
      </c>
      <c r="EQ123" s="60">
        <v>43</v>
      </c>
      <c r="ER123" s="60">
        <v>1202</v>
      </c>
      <c r="ES123" s="60">
        <v>389</v>
      </c>
      <c r="ET123" s="60">
        <v>529</v>
      </c>
      <c r="EU123" s="60">
        <v>685</v>
      </c>
      <c r="EV123" s="60">
        <v>2198</v>
      </c>
      <c r="EW123" s="60">
        <v>208</v>
      </c>
      <c r="EX123" s="60">
        <v>476</v>
      </c>
      <c r="EY123" s="60">
        <v>462</v>
      </c>
      <c r="EZ123" s="60">
        <v>42</v>
      </c>
      <c r="FA123" s="60">
        <v>108</v>
      </c>
      <c r="FB123" s="60">
        <v>702</v>
      </c>
      <c r="FC123" s="60">
        <v>112</v>
      </c>
      <c r="FD123" s="60">
        <v>693</v>
      </c>
      <c r="FE123" s="60">
        <v>1</v>
      </c>
      <c r="FF123" s="60">
        <v>4</v>
      </c>
      <c r="FG123" s="60"/>
      <c r="FH123" s="60">
        <v>413</v>
      </c>
      <c r="FI123" s="60">
        <v>45</v>
      </c>
      <c r="FJ123" s="60">
        <v>741</v>
      </c>
      <c r="FK123" s="60">
        <v>98</v>
      </c>
      <c r="FL123" s="60">
        <v>30</v>
      </c>
      <c r="FM123" s="60">
        <v>1783</v>
      </c>
      <c r="FN123" s="60">
        <v>14</v>
      </c>
      <c r="FO123" s="60">
        <v>6295</v>
      </c>
      <c r="FP123" s="60">
        <v>122</v>
      </c>
      <c r="FQ123" s="60">
        <v>33</v>
      </c>
      <c r="FR123" s="60">
        <v>343</v>
      </c>
      <c r="FS123" s="60">
        <v>67</v>
      </c>
      <c r="FT123" s="60">
        <v>27</v>
      </c>
      <c r="FU123" s="60">
        <v>22</v>
      </c>
      <c r="FV123" s="60"/>
      <c r="FW123" s="60"/>
      <c r="FX123" s="60">
        <v>10033</v>
      </c>
      <c r="FY123" s="60">
        <v>416</v>
      </c>
      <c r="FZ123" s="60">
        <v>8868</v>
      </c>
      <c r="GA123" s="60">
        <v>749</v>
      </c>
      <c r="GB123" s="60">
        <v>2011</v>
      </c>
    </row>
    <row r="124" spans="1:184" x14ac:dyDescent="0.3">
      <c r="A124" s="60">
        <v>106190812</v>
      </c>
      <c r="B124" s="61" t="s">
        <v>550</v>
      </c>
      <c r="C124" s="61" t="s">
        <v>551</v>
      </c>
      <c r="D124" s="61" t="s">
        <v>552</v>
      </c>
      <c r="E124" s="61" t="s">
        <v>553</v>
      </c>
      <c r="F124" s="60">
        <v>91405</v>
      </c>
      <c r="G124" s="61"/>
      <c r="H124" s="61" t="s">
        <v>1669</v>
      </c>
      <c r="I124" s="60">
        <v>40</v>
      </c>
      <c r="J124" s="60">
        <v>20</v>
      </c>
      <c r="K124" s="61" t="s">
        <v>1816</v>
      </c>
      <c r="L124" s="61" t="s">
        <v>404</v>
      </c>
      <c r="M124" s="61" t="s">
        <v>1778</v>
      </c>
      <c r="N124" s="61" t="s">
        <v>1779</v>
      </c>
      <c r="O124" s="61" t="s">
        <v>1673</v>
      </c>
      <c r="P124" s="61" t="s">
        <v>1678</v>
      </c>
      <c r="Q124" s="61" t="s">
        <v>1674</v>
      </c>
      <c r="R124" s="60">
        <v>350</v>
      </c>
      <c r="S124" s="61" t="s">
        <v>1675</v>
      </c>
      <c r="T124" s="60">
        <v>27292</v>
      </c>
      <c r="U124" s="60">
        <v>21948</v>
      </c>
      <c r="V124" s="60"/>
      <c r="W124" s="60"/>
      <c r="X124" s="60">
        <v>13148</v>
      </c>
      <c r="Y124" s="60">
        <v>6726</v>
      </c>
      <c r="Z124" s="60">
        <v>7624</v>
      </c>
      <c r="AA124" s="60">
        <v>6052</v>
      </c>
      <c r="AB124" s="60">
        <v>4622</v>
      </c>
      <c r="AC124" s="60">
        <v>3293</v>
      </c>
      <c r="AD124" s="60">
        <v>1940</v>
      </c>
      <c r="AE124" s="60">
        <v>1152</v>
      </c>
      <c r="AF124" s="60">
        <v>1026</v>
      </c>
      <c r="AG124" s="60">
        <v>3657</v>
      </c>
      <c r="AH124" s="60"/>
      <c r="AI124" s="60">
        <v>767</v>
      </c>
      <c r="AJ124" s="60">
        <v>2842</v>
      </c>
      <c r="AK124" s="60">
        <v>34608</v>
      </c>
      <c r="AL124" s="60">
        <v>6</v>
      </c>
      <c r="AM124" s="60">
        <v>863</v>
      </c>
      <c r="AN124" s="60">
        <v>25</v>
      </c>
      <c r="AO124" s="60">
        <v>10129</v>
      </c>
      <c r="AP124" s="60">
        <v>393</v>
      </c>
      <c r="AQ124" s="60">
        <v>3452</v>
      </c>
      <c r="AR124" s="60">
        <v>2</v>
      </c>
      <c r="AS124" s="60">
        <v>64</v>
      </c>
      <c r="AT124" s="60">
        <v>3</v>
      </c>
      <c r="AU124" s="60">
        <v>1</v>
      </c>
      <c r="AV124" s="60">
        <v>1</v>
      </c>
      <c r="AW124" s="60"/>
      <c r="AX124" s="60">
        <v>134</v>
      </c>
      <c r="AY124" s="60">
        <v>154</v>
      </c>
      <c r="AZ124" s="60"/>
      <c r="BA124" s="60">
        <v>44964</v>
      </c>
      <c r="BB124" s="60">
        <v>72</v>
      </c>
      <c r="BC124" s="60"/>
      <c r="BD124" s="60"/>
      <c r="BE124" s="60">
        <v>8878</v>
      </c>
      <c r="BF124" s="60">
        <v>3797</v>
      </c>
      <c r="BG124" s="60">
        <v>272</v>
      </c>
      <c r="BH124" s="60">
        <v>28038</v>
      </c>
      <c r="BI124" s="60">
        <v>8255</v>
      </c>
      <c r="BJ124" s="60">
        <v>2474</v>
      </c>
      <c r="BK124" s="60">
        <v>221</v>
      </c>
      <c r="BL124" s="60">
        <v>707</v>
      </c>
      <c r="BM124" s="60">
        <v>13</v>
      </c>
      <c r="BN124" s="60">
        <v>2254</v>
      </c>
      <c r="BO124" s="60">
        <v>602</v>
      </c>
      <c r="BP124" s="60">
        <v>2794</v>
      </c>
      <c r="BQ124" s="60">
        <v>1078</v>
      </c>
      <c r="BR124" s="60">
        <v>9251</v>
      </c>
      <c r="BS124" s="60">
        <v>1811</v>
      </c>
      <c r="BT124" s="60">
        <v>108</v>
      </c>
      <c r="BU124" s="60">
        <v>3820</v>
      </c>
      <c r="BV124" s="60">
        <v>4003</v>
      </c>
      <c r="BW124" s="60">
        <v>245</v>
      </c>
      <c r="BX124" s="60">
        <v>1216</v>
      </c>
      <c r="BY124" s="60">
        <v>8745</v>
      </c>
      <c r="BZ124" s="60">
        <v>1912</v>
      </c>
      <c r="CA124" s="60">
        <v>7986</v>
      </c>
      <c r="CB124" s="60"/>
      <c r="CC124" s="60"/>
      <c r="CD124" s="60">
        <v>2954</v>
      </c>
      <c r="CE124" s="60">
        <v>129</v>
      </c>
      <c r="CF124" s="60">
        <v>326</v>
      </c>
      <c r="CG124" s="60">
        <v>21</v>
      </c>
      <c r="CH124" s="60">
        <v>500</v>
      </c>
      <c r="CI124" s="60">
        <v>8</v>
      </c>
      <c r="CJ124" s="60">
        <v>193</v>
      </c>
      <c r="CK124" s="60">
        <v>551</v>
      </c>
      <c r="CL124" s="60">
        <v>38874</v>
      </c>
      <c r="CM124" s="60">
        <v>4071</v>
      </c>
      <c r="CN124" s="60">
        <v>102</v>
      </c>
      <c r="CO124" s="60">
        <v>1072</v>
      </c>
      <c r="CP124" s="60">
        <v>78</v>
      </c>
      <c r="CQ124" s="60">
        <v>345</v>
      </c>
      <c r="CR124" s="60">
        <v>16</v>
      </c>
      <c r="CS124" s="60"/>
      <c r="CT124" s="60">
        <v>49240</v>
      </c>
      <c r="CU124" s="60">
        <v>1085</v>
      </c>
      <c r="CV124" s="60">
        <v>31419</v>
      </c>
      <c r="CW124" s="60">
        <v>16736</v>
      </c>
      <c r="CX124" s="60">
        <v>3581</v>
      </c>
      <c r="CY124" s="60">
        <v>2967</v>
      </c>
      <c r="CZ124" s="60"/>
      <c r="DA124" s="60"/>
      <c r="DB124" s="60">
        <v>257</v>
      </c>
      <c r="DC124" s="60">
        <v>401</v>
      </c>
      <c r="DD124" s="60">
        <v>535</v>
      </c>
      <c r="DE124" s="60">
        <v>719</v>
      </c>
      <c r="DF124" s="60">
        <v>912</v>
      </c>
      <c r="DG124" s="60">
        <v>968</v>
      </c>
      <c r="DH124" s="60">
        <v>923</v>
      </c>
      <c r="DI124" s="60">
        <v>1240</v>
      </c>
      <c r="DJ124" s="60">
        <v>256</v>
      </c>
      <c r="DK124" s="60">
        <v>337</v>
      </c>
      <c r="DL124" s="60"/>
      <c r="DM124" s="60">
        <v>273</v>
      </c>
      <c r="DN124" s="60">
        <v>423</v>
      </c>
      <c r="DO124" s="60">
        <v>3057</v>
      </c>
      <c r="DP124" s="60">
        <v>166</v>
      </c>
      <c r="DQ124" s="60">
        <v>8</v>
      </c>
      <c r="DR124" s="60">
        <v>2620</v>
      </c>
      <c r="DS124" s="60">
        <v>1</v>
      </c>
      <c r="DT124" s="60">
        <v>88</v>
      </c>
      <c r="DU124" s="60">
        <v>164</v>
      </c>
      <c r="DV124" s="60">
        <v>259</v>
      </c>
      <c r="DW124" s="60">
        <v>481</v>
      </c>
      <c r="DX124" s="60">
        <v>140</v>
      </c>
      <c r="DY124" s="60"/>
      <c r="DZ124" s="60">
        <v>16</v>
      </c>
      <c r="EA124" s="60">
        <v>4378</v>
      </c>
      <c r="EB124" s="60">
        <v>1015</v>
      </c>
      <c r="EC124" s="60">
        <v>7</v>
      </c>
      <c r="ED124" s="60">
        <v>0</v>
      </c>
      <c r="EE124" s="60">
        <v>0</v>
      </c>
      <c r="EF124" s="60">
        <v>0</v>
      </c>
      <c r="EG124" s="60">
        <v>0</v>
      </c>
      <c r="EH124" s="60">
        <v>0</v>
      </c>
      <c r="EI124" s="60">
        <v>1294</v>
      </c>
      <c r="EJ124" s="60">
        <v>2359</v>
      </c>
      <c r="EK124" s="60">
        <v>66</v>
      </c>
      <c r="EL124" s="60">
        <v>2279</v>
      </c>
      <c r="EM124" s="60">
        <v>550</v>
      </c>
      <c r="EN124" s="60">
        <v>161</v>
      </c>
      <c r="EO124" s="60">
        <v>123</v>
      </c>
      <c r="EP124" s="60">
        <v>1094</v>
      </c>
      <c r="EQ124" s="60">
        <v>25</v>
      </c>
      <c r="ER124" s="60">
        <v>1229</v>
      </c>
      <c r="ES124" s="60">
        <v>250</v>
      </c>
      <c r="ET124" s="60">
        <v>501</v>
      </c>
      <c r="EU124" s="60">
        <v>479</v>
      </c>
      <c r="EV124" s="60">
        <v>541</v>
      </c>
      <c r="EW124" s="60">
        <v>108</v>
      </c>
      <c r="EX124" s="60">
        <v>175</v>
      </c>
      <c r="EY124" s="60">
        <v>151</v>
      </c>
      <c r="EZ124" s="60">
        <v>9</v>
      </c>
      <c r="FA124" s="60">
        <v>48</v>
      </c>
      <c r="FB124" s="60">
        <v>837</v>
      </c>
      <c r="FC124" s="60">
        <v>196</v>
      </c>
      <c r="FD124" s="60">
        <v>566</v>
      </c>
      <c r="FE124" s="60">
        <v>3</v>
      </c>
      <c r="FF124" s="60">
        <v>52</v>
      </c>
      <c r="FG124" s="60"/>
      <c r="FH124" s="60">
        <v>267</v>
      </c>
      <c r="FI124" s="60">
        <v>25</v>
      </c>
      <c r="FJ124" s="60">
        <v>231</v>
      </c>
      <c r="FK124" s="60">
        <v>14</v>
      </c>
      <c r="FL124" s="60">
        <v>17</v>
      </c>
      <c r="FM124" s="60">
        <v>362</v>
      </c>
      <c r="FN124" s="60">
        <v>16</v>
      </c>
      <c r="FO124" s="60">
        <v>5441</v>
      </c>
      <c r="FP124" s="60">
        <v>89</v>
      </c>
      <c r="FQ124" s="60">
        <v>9</v>
      </c>
      <c r="FR124" s="60">
        <v>26</v>
      </c>
      <c r="FS124" s="60">
        <v>34</v>
      </c>
      <c r="FT124" s="60">
        <v>9</v>
      </c>
      <c r="FU124" s="60">
        <v>8</v>
      </c>
      <c r="FV124" s="60"/>
      <c r="FW124" s="60"/>
      <c r="FX124" s="60">
        <v>6548</v>
      </c>
      <c r="FY124" s="60">
        <v>596</v>
      </c>
      <c r="FZ124" s="60">
        <v>4185</v>
      </c>
      <c r="GA124" s="60">
        <v>1767</v>
      </c>
      <c r="GB124" s="60">
        <v>2011</v>
      </c>
    </row>
    <row r="125" spans="1:184" x14ac:dyDescent="0.3">
      <c r="A125" s="60">
        <v>106190818</v>
      </c>
      <c r="B125" s="61" t="s">
        <v>554</v>
      </c>
      <c r="C125" s="61" t="s">
        <v>1845</v>
      </c>
      <c r="D125" s="61" t="s">
        <v>555</v>
      </c>
      <c r="E125" s="61" t="s">
        <v>414</v>
      </c>
      <c r="F125" s="60">
        <v>91208</v>
      </c>
      <c r="G125" s="61"/>
      <c r="H125" s="61" t="s">
        <v>1669</v>
      </c>
      <c r="I125" s="60">
        <v>43</v>
      </c>
      <c r="J125" s="60">
        <v>21</v>
      </c>
      <c r="K125" s="61" t="s">
        <v>1846</v>
      </c>
      <c r="L125" s="61" t="s">
        <v>404</v>
      </c>
      <c r="M125" s="61" t="s">
        <v>1778</v>
      </c>
      <c r="N125" s="61" t="s">
        <v>1779</v>
      </c>
      <c r="O125" s="61" t="s">
        <v>1673</v>
      </c>
      <c r="P125" s="61" t="s">
        <v>1678</v>
      </c>
      <c r="Q125" s="61" t="s">
        <v>1674</v>
      </c>
      <c r="R125" s="60">
        <v>116</v>
      </c>
      <c r="S125" s="61" t="s">
        <v>1675</v>
      </c>
      <c r="T125" s="60">
        <v>8143</v>
      </c>
      <c r="U125" s="60">
        <v>6744</v>
      </c>
      <c r="V125" s="60"/>
      <c r="W125" s="60"/>
      <c r="X125" s="60">
        <v>1721</v>
      </c>
      <c r="Y125" s="60">
        <v>1833</v>
      </c>
      <c r="Z125" s="60">
        <v>1956</v>
      </c>
      <c r="AA125" s="60">
        <v>1856</v>
      </c>
      <c r="AB125" s="60">
        <v>1984</v>
      </c>
      <c r="AC125" s="60">
        <v>1844</v>
      </c>
      <c r="AD125" s="60">
        <v>1312</v>
      </c>
      <c r="AE125" s="60">
        <v>1021</v>
      </c>
      <c r="AF125" s="60">
        <v>1149</v>
      </c>
      <c r="AG125" s="60">
        <v>211</v>
      </c>
      <c r="AH125" s="60"/>
      <c r="AI125" s="60">
        <v>830</v>
      </c>
      <c r="AJ125" s="60">
        <v>661</v>
      </c>
      <c r="AK125" s="60">
        <v>1704</v>
      </c>
      <c r="AL125" s="60">
        <v>5</v>
      </c>
      <c r="AM125" s="60">
        <v>1268</v>
      </c>
      <c r="AN125" s="60">
        <v>1286</v>
      </c>
      <c r="AO125" s="60">
        <v>9133</v>
      </c>
      <c r="AP125" s="60">
        <v>408</v>
      </c>
      <c r="AQ125" s="60">
        <v>288</v>
      </c>
      <c r="AR125" s="60"/>
      <c r="AS125" s="60">
        <v>24</v>
      </c>
      <c r="AT125" s="60"/>
      <c r="AU125" s="60">
        <v>1</v>
      </c>
      <c r="AV125" s="60">
        <v>28</v>
      </c>
      <c r="AW125" s="60">
        <v>108</v>
      </c>
      <c r="AX125" s="60"/>
      <c r="AY125" s="60"/>
      <c r="AZ125" s="60">
        <v>34</v>
      </c>
      <c r="BA125" s="60">
        <v>13882</v>
      </c>
      <c r="BB125" s="60">
        <v>114</v>
      </c>
      <c r="BC125" s="60"/>
      <c r="BD125" s="60"/>
      <c r="BE125" s="60">
        <v>3212</v>
      </c>
      <c r="BF125" s="60">
        <v>2794</v>
      </c>
      <c r="BG125" s="60">
        <v>414</v>
      </c>
      <c r="BH125" s="60">
        <v>6613</v>
      </c>
      <c r="BI125" s="60">
        <v>1854</v>
      </c>
      <c r="BJ125" s="60">
        <v>234</v>
      </c>
      <c r="BK125" s="60">
        <v>21</v>
      </c>
      <c r="BL125" s="60">
        <v>383</v>
      </c>
      <c r="BM125" s="60">
        <v>2</v>
      </c>
      <c r="BN125" s="60">
        <v>819</v>
      </c>
      <c r="BO125" s="60">
        <v>184</v>
      </c>
      <c r="BP125" s="60">
        <v>821</v>
      </c>
      <c r="BQ125" s="60">
        <v>403</v>
      </c>
      <c r="BR125" s="60">
        <v>4576</v>
      </c>
      <c r="BS125" s="60">
        <v>901</v>
      </c>
      <c r="BT125" s="60">
        <v>10</v>
      </c>
      <c r="BU125" s="60">
        <v>973</v>
      </c>
      <c r="BV125" s="60">
        <v>407</v>
      </c>
      <c r="BW125" s="60">
        <v>13</v>
      </c>
      <c r="BX125" s="60">
        <v>199</v>
      </c>
      <c r="BY125" s="60">
        <v>1420</v>
      </c>
      <c r="BZ125" s="60">
        <v>674</v>
      </c>
      <c r="CA125" s="60">
        <v>2846</v>
      </c>
      <c r="CB125" s="60"/>
      <c r="CC125" s="60">
        <v>1</v>
      </c>
      <c r="CD125" s="60">
        <v>1582</v>
      </c>
      <c r="CE125" s="60">
        <v>49</v>
      </c>
      <c r="CF125" s="60">
        <v>189</v>
      </c>
      <c r="CG125" s="60">
        <v>7</v>
      </c>
      <c r="CH125" s="60">
        <v>123</v>
      </c>
      <c r="CI125" s="60">
        <v>4</v>
      </c>
      <c r="CJ125" s="60">
        <v>3</v>
      </c>
      <c r="CK125" s="60">
        <v>276</v>
      </c>
      <c r="CL125" s="60">
        <v>10149</v>
      </c>
      <c r="CM125" s="60">
        <v>1868</v>
      </c>
      <c r="CN125" s="60">
        <v>107</v>
      </c>
      <c r="CO125" s="60">
        <v>416</v>
      </c>
      <c r="CP125" s="60">
        <v>47</v>
      </c>
      <c r="CQ125" s="60">
        <v>53</v>
      </c>
      <c r="CR125" s="60">
        <v>14</v>
      </c>
      <c r="CS125" s="60"/>
      <c r="CT125" s="60">
        <v>14887</v>
      </c>
      <c r="CU125" s="60">
        <v>819</v>
      </c>
      <c r="CV125" s="60">
        <v>13659</v>
      </c>
      <c r="CW125" s="60">
        <v>409</v>
      </c>
      <c r="CX125" s="60">
        <v>1940</v>
      </c>
      <c r="CY125" s="60">
        <v>1509</v>
      </c>
      <c r="CZ125" s="60"/>
      <c r="DA125" s="60"/>
      <c r="DB125" s="60">
        <v>35</v>
      </c>
      <c r="DC125" s="60">
        <v>94</v>
      </c>
      <c r="DD125" s="60">
        <v>125</v>
      </c>
      <c r="DE125" s="60">
        <v>218</v>
      </c>
      <c r="DF125" s="60">
        <v>431</v>
      </c>
      <c r="DG125" s="60">
        <v>578</v>
      </c>
      <c r="DH125" s="60">
        <v>741</v>
      </c>
      <c r="DI125" s="60">
        <v>1227</v>
      </c>
      <c r="DJ125" s="60"/>
      <c r="DK125" s="60"/>
      <c r="DL125" s="60"/>
      <c r="DM125" s="60">
        <v>199</v>
      </c>
      <c r="DN125" s="60">
        <v>159</v>
      </c>
      <c r="DO125" s="60">
        <v>247</v>
      </c>
      <c r="DP125" s="60">
        <v>98</v>
      </c>
      <c r="DQ125" s="60">
        <v>30</v>
      </c>
      <c r="DR125" s="60">
        <v>2716</v>
      </c>
      <c r="DS125" s="60"/>
      <c r="DT125" s="60">
        <v>145</v>
      </c>
      <c r="DU125" s="60">
        <v>49</v>
      </c>
      <c r="DV125" s="60">
        <v>78</v>
      </c>
      <c r="DW125" s="60">
        <v>394</v>
      </c>
      <c r="DX125" s="60">
        <v>96</v>
      </c>
      <c r="DY125" s="60">
        <v>11</v>
      </c>
      <c r="DZ125" s="60">
        <v>83</v>
      </c>
      <c r="EA125" s="60">
        <v>1519</v>
      </c>
      <c r="EB125" s="60">
        <v>1074</v>
      </c>
      <c r="EC125" s="60"/>
      <c r="ED125" s="60">
        <v>0</v>
      </c>
      <c r="EE125" s="60">
        <v>0</v>
      </c>
      <c r="EF125" s="60">
        <v>0</v>
      </c>
      <c r="EG125" s="60">
        <v>0</v>
      </c>
      <c r="EH125" s="60">
        <v>0</v>
      </c>
      <c r="EI125" s="60">
        <v>150</v>
      </c>
      <c r="EJ125" s="60">
        <v>2309</v>
      </c>
      <c r="EK125" s="60">
        <v>21</v>
      </c>
      <c r="EL125" s="60">
        <v>837</v>
      </c>
      <c r="EM125" s="60">
        <v>132</v>
      </c>
      <c r="EN125" s="60">
        <v>30</v>
      </c>
      <c r="EO125" s="60">
        <v>44</v>
      </c>
      <c r="EP125" s="60">
        <v>583</v>
      </c>
      <c r="EQ125" s="60"/>
      <c r="ER125" s="60">
        <v>430</v>
      </c>
      <c r="ES125" s="60">
        <v>142</v>
      </c>
      <c r="ET125" s="60">
        <v>177</v>
      </c>
      <c r="EU125" s="60">
        <v>261</v>
      </c>
      <c r="EV125" s="60">
        <v>309</v>
      </c>
      <c r="EW125" s="60">
        <v>81</v>
      </c>
      <c r="EX125" s="60">
        <v>82</v>
      </c>
      <c r="EY125" s="60">
        <v>214</v>
      </c>
      <c r="EZ125" s="60">
        <v>4</v>
      </c>
      <c r="FA125" s="60">
        <v>262</v>
      </c>
      <c r="FB125" s="60">
        <v>410</v>
      </c>
      <c r="FC125" s="60">
        <v>87</v>
      </c>
      <c r="FD125" s="60">
        <v>333</v>
      </c>
      <c r="FE125" s="60"/>
      <c r="FF125" s="60"/>
      <c r="FG125" s="60"/>
      <c r="FH125" s="60">
        <v>324</v>
      </c>
      <c r="FI125" s="60">
        <v>13</v>
      </c>
      <c r="FJ125" s="60">
        <v>167</v>
      </c>
      <c r="FK125" s="60">
        <v>1</v>
      </c>
      <c r="FL125" s="60">
        <v>3</v>
      </c>
      <c r="FM125" s="60">
        <v>7</v>
      </c>
      <c r="FN125" s="60">
        <v>8</v>
      </c>
      <c r="FO125" s="60">
        <v>2836</v>
      </c>
      <c r="FP125" s="60">
        <v>55</v>
      </c>
      <c r="FQ125" s="60">
        <v>6</v>
      </c>
      <c r="FR125" s="60">
        <v>10</v>
      </c>
      <c r="FS125" s="60">
        <v>11</v>
      </c>
      <c r="FT125" s="60">
        <v>5</v>
      </c>
      <c r="FU125" s="60">
        <v>3</v>
      </c>
      <c r="FV125" s="60"/>
      <c r="FW125" s="60"/>
      <c r="FX125" s="60">
        <v>3449</v>
      </c>
      <c r="FY125" s="60">
        <v>277</v>
      </c>
      <c r="FZ125" s="60">
        <v>3068</v>
      </c>
      <c r="GA125" s="60">
        <v>104</v>
      </c>
      <c r="GB125" s="60">
        <v>2011</v>
      </c>
    </row>
    <row r="126" spans="1:184" x14ac:dyDescent="0.3">
      <c r="A126" s="60">
        <v>106190854</v>
      </c>
      <c r="B126" s="61" t="s">
        <v>1632</v>
      </c>
      <c r="C126" s="61" t="s">
        <v>1633</v>
      </c>
      <c r="D126" s="61" t="s">
        <v>1634</v>
      </c>
      <c r="E126" s="61" t="s">
        <v>340</v>
      </c>
      <c r="F126" s="60">
        <v>90018</v>
      </c>
      <c r="G126" s="61"/>
      <c r="H126" s="61" t="s">
        <v>1669</v>
      </c>
      <c r="I126" s="60">
        <v>48</v>
      </c>
      <c r="J126" s="60">
        <v>26</v>
      </c>
      <c r="K126" s="61" t="s">
        <v>1847</v>
      </c>
      <c r="L126" s="61" t="s">
        <v>535</v>
      </c>
      <c r="M126" s="61" t="s">
        <v>1778</v>
      </c>
      <c r="N126" s="61" t="s">
        <v>1779</v>
      </c>
      <c r="O126" s="61" t="s">
        <v>1673</v>
      </c>
      <c r="P126" s="61" t="s">
        <v>221</v>
      </c>
      <c r="Q126" s="61" t="s">
        <v>1674</v>
      </c>
      <c r="R126" s="60">
        <v>115</v>
      </c>
      <c r="S126" s="61" t="s">
        <v>1675</v>
      </c>
      <c r="T126" s="60">
        <v>3138</v>
      </c>
      <c r="U126" s="60">
        <v>2514</v>
      </c>
      <c r="V126" s="60"/>
      <c r="W126" s="60"/>
      <c r="X126" s="60">
        <v>677</v>
      </c>
      <c r="Y126" s="60">
        <v>620</v>
      </c>
      <c r="Z126" s="60">
        <v>1048</v>
      </c>
      <c r="AA126" s="60">
        <v>827</v>
      </c>
      <c r="AB126" s="60">
        <v>821</v>
      </c>
      <c r="AC126" s="60">
        <v>900</v>
      </c>
      <c r="AD126" s="60">
        <v>384</v>
      </c>
      <c r="AE126" s="60">
        <v>148</v>
      </c>
      <c r="AF126" s="60">
        <v>119</v>
      </c>
      <c r="AG126" s="60">
        <v>108</v>
      </c>
      <c r="AH126" s="60"/>
      <c r="AI126" s="60">
        <v>114</v>
      </c>
      <c r="AJ126" s="60">
        <v>3402</v>
      </c>
      <c r="AK126" s="60">
        <v>1575</v>
      </c>
      <c r="AL126" s="60">
        <v>9</v>
      </c>
      <c r="AM126" s="60">
        <v>3</v>
      </c>
      <c r="AN126" s="60">
        <v>10</v>
      </c>
      <c r="AO126" s="60">
        <v>539</v>
      </c>
      <c r="AP126" s="60">
        <v>105</v>
      </c>
      <c r="AQ126" s="60">
        <v>277</v>
      </c>
      <c r="AR126" s="60">
        <v>19</v>
      </c>
      <c r="AS126" s="60">
        <v>5</v>
      </c>
      <c r="AT126" s="60">
        <v>21</v>
      </c>
      <c r="AU126" s="60"/>
      <c r="AV126" s="60"/>
      <c r="AW126" s="60">
        <v>13</v>
      </c>
      <c r="AX126" s="60">
        <v>1</v>
      </c>
      <c r="AY126" s="60">
        <v>18</v>
      </c>
      <c r="AZ126" s="60">
        <v>4</v>
      </c>
      <c r="BA126" s="60">
        <v>5040</v>
      </c>
      <c r="BB126" s="60">
        <v>149</v>
      </c>
      <c r="BC126" s="60"/>
      <c r="BD126" s="60"/>
      <c r="BE126" s="60">
        <v>3265</v>
      </c>
      <c r="BF126" s="60">
        <v>648</v>
      </c>
      <c r="BG126" s="60"/>
      <c r="BH126" s="60">
        <v>585</v>
      </c>
      <c r="BI126" s="60">
        <v>1154</v>
      </c>
      <c r="BJ126" s="60">
        <v>174</v>
      </c>
      <c r="BK126" s="60">
        <v>27</v>
      </c>
      <c r="BL126" s="60">
        <v>122</v>
      </c>
      <c r="BM126" s="60">
        <v>1</v>
      </c>
      <c r="BN126" s="60">
        <v>321</v>
      </c>
      <c r="BO126" s="60">
        <v>106</v>
      </c>
      <c r="BP126" s="60">
        <v>442</v>
      </c>
      <c r="BQ126" s="60">
        <v>153</v>
      </c>
      <c r="BR126" s="60">
        <v>1135</v>
      </c>
      <c r="BS126" s="60">
        <v>382</v>
      </c>
      <c r="BT126" s="60">
        <v>14</v>
      </c>
      <c r="BU126" s="60">
        <v>353</v>
      </c>
      <c r="BV126" s="60">
        <v>227</v>
      </c>
      <c r="BW126" s="60">
        <v>5</v>
      </c>
      <c r="BX126" s="60">
        <v>352</v>
      </c>
      <c r="BY126" s="60">
        <v>755</v>
      </c>
      <c r="BZ126" s="60">
        <v>347</v>
      </c>
      <c r="CA126" s="60">
        <v>735</v>
      </c>
      <c r="CB126" s="60">
        <v>1</v>
      </c>
      <c r="CC126" s="60"/>
      <c r="CD126" s="60">
        <v>298</v>
      </c>
      <c r="CE126" s="60">
        <v>6</v>
      </c>
      <c r="CF126" s="60">
        <v>26</v>
      </c>
      <c r="CG126" s="60">
        <v>1</v>
      </c>
      <c r="CH126" s="60">
        <v>144</v>
      </c>
      <c r="CI126" s="60">
        <v>18</v>
      </c>
      <c r="CJ126" s="60">
        <v>8</v>
      </c>
      <c r="CK126" s="60">
        <v>76</v>
      </c>
      <c r="CL126" s="60">
        <v>4432</v>
      </c>
      <c r="CM126" s="60">
        <v>495</v>
      </c>
      <c r="CN126" s="60">
        <v>17</v>
      </c>
      <c r="CO126" s="60">
        <v>106</v>
      </c>
      <c r="CP126" s="60">
        <v>9</v>
      </c>
      <c r="CQ126" s="60">
        <v>9</v>
      </c>
      <c r="CR126" s="60">
        <v>7</v>
      </c>
      <c r="CS126" s="60"/>
      <c r="CT126" s="60">
        <v>5652</v>
      </c>
      <c r="CU126" s="60">
        <v>16</v>
      </c>
      <c r="CV126" s="60">
        <v>5019</v>
      </c>
      <c r="CW126" s="60">
        <v>617</v>
      </c>
      <c r="CX126" s="60">
        <v>1066</v>
      </c>
      <c r="CY126" s="60">
        <v>1391</v>
      </c>
      <c r="CZ126" s="60"/>
      <c r="DA126" s="60"/>
      <c r="DB126" s="60">
        <v>34</v>
      </c>
      <c r="DC126" s="60">
        <v>242</v>
      </c>
      <c r="DD126" s="60">
        <v>309</v>
      </c>
      <c r="DE126" s="60">
        <v>508</v>
      </c>
      <c r="DF126" s="60">
        <v>672</v>
      </c>
      <c r="DG126" s="60">
        <v>352</v>
      </c>
      <c r="DH126" s="60">
        <v>188</v>
      </c>
      <c r="DI126" s="60">
        <v>152</v>
      </c>
      <c r="DJ126" s="60"/>
      <c r="DK126" s="60"/>
      <c r="DL126" s="60"/>
      <c r="DM126" s="60">
        <v>84</v>
      </c>
      <c r="DN126" s="60">
        <v>1335</v>
      </c>
      <c r="DO126" s="60">
        <v>398</v>
      </c>
      <c r="DP126" s="60"/>
      <c r="DQ126" s="60">
        <v>8</v>
      </c>
      <c r="DR126" s="60">
        <v>627</v>
      </c>
      <c r="DS126" s="60">
        <v>5</v>
      </c>
      <c r="DT126" s="60">
        <v>50</v>
      </c>
      <c r="DU126" s="60">
        <v>75</v>
      </c>
      <c r="DV126" s="60">
        <v>19</v>
      </c>
      <c r="DW126" s="60">
        <v>8</v>
      </c>
      <c r="DX126" s="60">
        <v>144</v>
      </c>
      <c r="DY126" s="60">
        <v>4</v>
      </c>
      <c r="DZ126" s="60">
        <v>333</v>
      </c>
      <c r="EA126" s="60">
        <v>1163</v>
      </c>
      <c r="EB126" s="60">
        <v>659</v>
      </c>
      <c r="EC126" s="60">
        <v>2</v>
      </c>
      <c r="ED126" s="60">
        <v>0</v>
      </c>
      <c r="EE126" s="60">
        <v>0</v>
      </c>
      <c r="EF126" s="60">
        <v>0</v>
      </c>
      <c r="EG126" s="60">
        <v>0</v>
      </c>
      <c r="EH126" s="60">
        <v>0</v>
      </c>
      <c r="EI126" s="60">
        <v>1171</v>
      </c>
      <c r="EJ126" s="60">
        <v>1039</v>
      </c>
      <c r="EK126" s="60">
        <v>1</v>
      </c>
      <c r="EL126" s="60">
        <v>65</v>
      </c>
      <c r="EM126" s="60">
        <v>181</v>
      </c>
      <c r="EN126" s="60">
        <v>10</v>
      </c>
      <c r="EO126" s="60">
        <v>68</v>
      </c>
      <c r="EP126" s="60">
        <v>197</v>
      </c>
      <c r="EQ126" s="60">
        <v>1</v>
      </c>
      <c r="ER126" s="60">
        <v>133</v>
      </c>
      <c r="ES126" s="60">
        <v>111</v>
      </c>
      <c r="ET126" s="60">
        <v>148</v>
      </c>
      <c r="EU126" s="60">
        <v>51</v>
      </c>
      <c r="EV126" s="60">
        <v>36</v>
      </c>
      <c r="EW126" s="60">
        <v>25</v>
      </c>
      <c r="EX126" s="60">
        <v>11</v>
      </c>
      <c r="EY126" s="60">
        <v>31</v>
      </c>
      <c r="EZ126" s="60">
        <v>1</v>
      </c>
      <c r="FA126" s="60">
        <v>1356</v>
      </c>
      <c r="FB126" s="60">
        <v>150</v>
      </c>
      <c r="FC126" s="60">
        <v>69</v>
      </c>
      <c r="FD126" s="60">
        <v>59</v>
      </c>
      <c r="FE126" s="60"/>
      <c r="FF126" s="60"/>
      <c r="FG126" s="60"/>
      <c r="FH126" s="60">
        <v>37</v>
      </c>
      <c r="FI126" s="60">
        <v>2</v>
      </c>
      <c r="FJ126" s="60">
        <v>19</v>
      </c>
      <c r="FK126" s="60">
        <v>9</v>
      </c>
      <c r="FL126" s="60">
        <v>12</v>
      </c>
      <c r="FM126" s="60">
        <v>8</v>
      </c>
      <c r="FN126" s="60">
        <v>1</v>
      </c>
      <c r="FO126" s="60">
        <v>2333</v>
      </c>
      <c r="FP126" s="60">
        <v>15</v>
      </c>
      <c r="FQ126" s="60"/>
      <c r="FR126" s="60">
        <v>2</v>
      </c>
      <c r="FS126" s="60">
        <v>13</v>
      </c>
      <c r="FT126" s="60">
        <v>1</v>
      </c>
      <c r="FU126" s="60">
        <v>5</v>
      </c>
      <c r="FV126" s="60"/>
      <c r="FW126" s="60"/>
      <c r="FX126" s="60">
        <v>2457</v>
      </c>
      <c r="FY126" s="60">
        <v>13</v>
      </c>
      <c r="FZ126" s="60">
        <v>2305</v>
      </c>
      <c r="GA126" s="60">
        <v>139</v>
      </c>
      <c r="GB126" s="60">
        <v>2011</v>
      </c>
    </row>
    <row r="127" spans="1:184" x14ac:dyDescent="0.3">
      <c r="A127" s="60">
        <v>106190859</v>
      </c>
      <c r="B127" s="61" t="s">
        <v>556</v>
      </c>
      <c r="C127" s="61" t="s">
        <v>557</v>
      </c>
      <c r="D127" s="61" t="s">
        <v>558</v>
      </c>
      <c r="E127" s="61" t="s">
        <v>1848</v>
      </c>
      <c r="F127" s="60">
        <v>91307</v>
      </c>
      <c r="G127" s="61"/>
      <c r="H127" s="61" t="s">
        <v>1669</v>
      </c>
      <c r="I127" s="60">
        <v>40</v>
      </c>
      <c r="J127" s="60">
        <v>23</v>
      </c>
      <c r="K127" s="61" t="s">
        <v>1849</v>
      </c>
      <c r="L127" s="61" t="s">
        <v>404</v>
      </c>
      <c r="M127" s="61" t="s">
        <v>1778</v>
      </c>
      <c r="N127" s="61" t="s">
        <v>1779</v>
      </c>
      <c r="O127" s="61" t="s">
        <v>1673</v>
      </c>
      <c r="P127" s="61" t="s">
        <v>221</v>
      </c>
      <c r="Q127" s="61" t="s">
        <v>1674</v>
      </c>
      <c r="R127" s="60">
        <v>225</v>
      </c>
      <c r="S127" s="61" t="s">
        <v>1675</v>
      </c>
      <c r="T127" s="60">
        <v>17217</v>
      </c>
      <c r="U127" s="60">
        <v>14069</v>
      </c>
      <c r="V127" s="60"/>
      <c r="W127" s="60"/>
      <c r="X127" s="60">
        <v>3818</v>
      </c>
      <c r="Y127" s="60">
        <v>3720</v>
      </c>
      <c r="Z127" s="60">
        <v>4631</v>
      </c>
      <c r="AA127" s="60">
        <v>4174</v>
      </c>
      <c r="AB127" s="60">
        <v>4337</v>
      </c>
      <c r="AC127" s="60">
        <v>3808</v>
      </c>
      <c r="AD127" s="60">
        <v>2348</v>
      </c>
      <c r="AE127" s="60">
        <v>1766</v>
      </c>
      <c r="AF127" s="60">
        <v>2165</v>
      </c>
      <c r="AG127" s="60">
        <v>519</v>
      </c>
      <c r="AH127" s="60"/>
      <c r="AI127" s="60">
        <v>1458</v>
      </c>
      <c r="AJ127" s="60">
        <v>2142</v>
      </c>
      <c r="AK127" s="60">
        <v>8101</v>
      </c>
      <c r="AL127" s="60">
        <v>55</v>
      </c>
      <c r="AM127" s="60">
        <v>587</v>
      </c>
      <c r="AN127" s="60">
        <v>262</v>
      </c>
      <c r="AO127" s="60">
        <v>18681</v>
      </c>
      <c r="AP127" s="60">
        <v>533</v>
      </c>
      <c r="AQ127" s="60">
        <v>728</v>
      </c>
      <c r="AR127" s="60"/>
      <c r="AS127" s="60">
        <v>72</v>
      </c>
      <c r="AT127" s="60">
        <v>18</v>
      </c>
      <c r="AU127" s="60">
        <v>5</v>
      </c>
      <c r="AV127" s="60">
        <v>3</v>
      </c>
      <c r="AW127" s="60">
        <v>6</v>
      </c>
      <c r="AX127" s="60">
        <v>212</v>
      </c>
      <c r="AY127" s="60">
        <v>67</v>
      </c>
      <c r="AZ127" s="60">
        <v>16</v>
      </c>
      <c r="BA127" s="60">
        <v>29468</v>
      </c>
      <c r="BB127" s="60">
        <v>30</v>
      </c>
      <c r="BC127" s="60">
        <v>128</v>
      </c>
      <c r="BD127" s="60"/>
      <c r="BE127" s="60">
        <v>2090</v>
      </c>
      <c r="BF127" s="60">
        <v>5783</v>
      </c>
      <c r="BG127" s="60">
        <v>6376</v>
      </c>
      <c r="BH127" s="60">
        <v>11712</v>
      </c>
      <c r="BI127" s="60">
        <v>5325</v>
      </c>
      <c r="BJ127" s="60">
        <v>872</v>
      </c>
      <c r="BK127" s="60">
        <v>83</v>
      </c>
      <c r="BL127" s="60">
        <v>628</v>
      </c>
      <c r="BM127" s="60">
        <v>9</v>
      </c>
      <c r="BN127" s="60">
        <v>1422</v>
      </c>
      <c r="BO127" s="60">
        <v>311</v>
      </c>
      <c r="BP127" s="60">
        <v>1392</v>
      </c>
      <c r="BQ127" s="60">
        <v>809</v>
      </c>
      <c r="BR127" s="60">
        <v>8731</v>
      </c>
      <c r="BS127" s="60">
        <v>1720</v>
      </c>
      <c r="BT127" s="60">
        <v>46</v>
      </c>
      <c r="BU127" s="60">
        <v>1869</v>
      </c>
      <c r="BV127" s="60">
        <v>1046</v>
      </c>
      <c r="BW127" s="60">
        <v>18</v>
      </c>
      <c r="BX127" s="60">
        <v>1201</v>
      </c>
      <c r="BY127" s="60">
        <v>2429</v>
      </c>
      <c r="BZ127" s="60">
        <v>1211</v>
      </c>
      <c r="CA127" s="60">
        <v>7489</v>
      </c>
      <c r="CB127" s="60"/>
      <c r="CC127" s="60"/>
      <c r="CD127" s="60">
        <v>3000</v>
      </c>
      <c r="CE127" s="60">
        <v>174</v>
      </c>
      <c r="CF127" s="60">
        <v>357</v>
      </c>
      <c r="CG127" s="60">
        <v>58</v>
      </c>
      <c r="CH127" s="60">
        <v>301</v>
      </c>
      <c r="CI127" s="60">
        <v>57</v>
      </c>
      <c r="CJ127" s="60">
        <v>180</v>
      </c>
      <c r="CK127" s="60">
        <v>476</v>
      </c>
      <c r="CL127" s="60">
        <v>21209</v>
      </c>
      <c r="CM127" s="60">
        <v>3689</v>
      </c>
      <c r="CN127" s="60">
        <v>176</v>
      </c>
      <c r="CO127" s="60">
        <v>1245</v>
      </c>
      <c r="CP127" s="60">
        <v>130</v>
      </c>
      <c r="CQ127" s="60">
        <v>213</v>
      </c>
      <c r="CR127" s="60">
        <v>21</v>
      </c>
      <c r="CS127" s="60"/>
      <c r="CT127" s="60">
        <v>31286</v>
      </c>
      <c r="CU127" s="60">
        <v>140</v>
      </c>
      <c r="CV127" s="60">
        <v>30375</v>
      </c>
      <c r="CW127" s="60">
        <v>771</v>
      </c>
      <c r="CX127" s="60">
        <v>3018</v>
      </c>
      <c r="CY127" s="60">
        <v>2651</v>
      </c>
      <c r="CZ127" s="60"/>
      <c r="DA127" s="60"/>
      <c r="DB127" s="60">
        <v>63</v>
      </c>
      <c r="DC127" s="60">
        <v>234</v>
      </c>
      <c r="DD127" s="60">
        <v>281</v>
      </c>
      <c r="DE127" s="60">
        <v>468</v>
      </c>
      <c r="DF127" s="60">
        <v>653</v>
      </c>
      <c r="DG127" s="60">
        <v>873</v>
      </c>
      <c r="DH127" s="60">
        <v>1060</v>
      </c>
      <c r="DI127" s="60">
        <v>1993</v>
      </c>
      <c r="DJ127" s="60">
        <v>18</v>
      </c>
      <c r="DK127" s="60">
        <v>26</v>
      </c>
      <c r="DL127" s="60"/>
      <c r="DM127" s="60">
        <v>321</v>
      </c>
      <c r="DN127" s="60">
        <v>289</v>
      </c>
      <c r="DO127" s="60">
        <v>624</v>
      </c>
      <c r="DP127" s="60">
        <v>214</v>
      </c>
      <c r="DQ127" s="60">
        <v>56</v>
      </c>
      <c r="DR127" s="60">
        <v>4157</v>
      </c>
      <c r="DS127" s="60">
        <v>8</v>
      </c>
      <c r="DT127" s="60">
        <v>69</v>
      </c>
      <c r="DU127" s="60">
        <v>123</v>
      </c>
      <c r="DV127" s="60">
        <v>347</v>
      </c>
      <c r="DW127" s="60">
        <v>527</v>
      </c>
      <c r="DX127" s="60">
        <v>69</v>
      </c>
      <c r="DY127" s="60">
        <v>34</v>
      </c>
      <c r="DZ127" s="60">
        <v>63</v>
      </c>
      <c r="EA127" s="60">
        <v>3172</v>
      </c>
      <c r="EB127" s="60">
        <v>1262</v>
      </c>
      <c r="EC127" s="60">
        <v>3</v>
      </c>
      <c r="ED127" s="60">
        <v>0</v>
      </c>
      <c r="EE127" s="60">
        <v>0</v>
      </c>
      <c r="EF127" s="60">
        <v>0</v>
      </c>
      <c r="EG127" s="60">
        <v>0</v>
      </c>
      <c r="EH127" s="60">
        <v>0</v>
      </c>
      <c r="EI127" s="60">
        <v>402</v>
      </c>
      <c r="EJ127" s="60">
        <v>3612</v>
      </c>
      <c r="EK127" s="60">
        <v>68</v>
      </c>
      <c r="EL127" s="60">
        <v>1227</v>
      </c>
      <c r="EM127" s="60">
        <v>360</v>
      </c>
      <c r="EN127" s="60">
        <v>80</v>
      </c>
      <c r="EO127" s="60">
        <v>103</v>
      </c>
      <c r="EP127" s="60">
        <v>1196</v>
      </c>
      <c r="EQ127" s="60">
        <v>3</v>
      </c>
      <c r="ER127" s="60">
        <v>845</v>
      </c>
      <c r="ES127" s="60">
        <v>215</v>
      </c>
      <c r="ET127" s="60">
        <v>472</v>
      </c>
      <c r="EU127" s="60">
        <v>452</v>
      </c>
      <c r="EV127" s="60">
        <v>606</v>
      </c>
      <c r="EW127" s="60">
        <v>137</v>
      </c>
      <c r="EX127" s="60">
        <v>167</v>
      </c>
      <c r="EY127" s="60">
        <v>117</v>
      </c>
      <c r="EZ127" s="60">
        <v>7</v>
      </c>
      <c r="FA127" s="60">
        <v>55</v>
      </c>
      <c r="FB127" s="60">
        <v>773</v>
      </c>
      <c r="FC127" s="60">
        <v>144</v>
      </c>
      <c r="FD127" s="60">
        <v>288</v>
      </c>
      <c r="FE127" s="60">
        <v>1</v>
      </c>
      <c r="FF127" s="60">
        <v>8</v>
      </c>
      <c r="FG127" s="60"/>
      <c r="FH127" s="60">
        <v>362</v>
      </c>
      <c r="FI127" s="60">
        <v>37</v>
      </c>
      <c r="FJ127" s="60">
        <v>284</v>
      </c>
      <c r="FK127" s="60">
        <v>7</v>
      </c>
      <c r="FL127" s="60">
        <v>7</v>
      </c>
      <c r="FM127" s="60">
        <v>87</v>
      </c>
      <c r="FN127" s="60">
        <v>12</v>
      </c>
      <c r="FO127" s="60">
        <v>4654</v>
      </c>
      <c r="FP127" s="60">
        <v>102</v>
      </c>
      <c r="FQ127" s="60">
        <v>4</v>
      </c>
      <c r="FR127" s="60">
        <v>17</v>
      </c>
      <c r="FS127" s="60">
        <v>35</v>
      </c>
      <c r="FT127" s="60">
        <v>12</v>
      </c>
      <c r="FU127" s="60">
        <v>8</v>
      </c>
      <c r="FV127" s="60">
        <v>41</v>
      </c>
      <c r="FW127" s="60"/>
      <c r="FX127" s="60">
        <v>5669</v>
      </c>
      <c r="FY127" s="60">
        <v>123</v>
      </c>
      <c r="FZ127" s="60">
        <v>5437</v>
      </c>
      <c r="GA127" s="60">
        <v>109</v>
      </c>
      <c r="GB127" s="60">
        <v>2011</v>
      </c>
    </row>
    <row r="128" spans="1:184" x14ac:dyDescent="0.3">
      <c r="A128" s="60">
        <v>106190878</v>
      </c>
      <c r="B128" s="61" t="s">
        <v>559</v>
      </c>
      <c r="C128" s="61" t="s">
        <v>560</v>
      </c>
      <c r="D128" s="61" t="s">
        <v>561</v>
      </c>
      <c r="E128" s="61" t="s">
        <v>340</v>
      </c>
      <c r="F128" s="60">
        <v>90033</v>
      </c>
      <c r="G128" s="61"/>
      <c r="H128" s="61" t="s">
        <v>1689</v>
      </c>
      <c r="I128" s="60">
        <v>46</v>
      </c>
      <c r="J128" s="60">
        <v>22</v>
      </c>
      <c r="K128" s="61" t="s">
        <v>1791</v>
      </c>
      <c r="L128" s="61" t="s">
        <v>369</v>
      </c>
      <c r="M128" s="61" t="s">
        <v>1778</v>
      </c>
      <c r="N128" s="61" t="s">
        <v>1779</v>
      </c>
      <c r="O128" s="61" t="s">
        <v>1673</v>
      </c>
      <c r="P128" s="61" t="s">
        <v>1678</v>
      </c>
      <c r="Q128" s="61" t="s">
        <v>1674</v>
      </c>
      <c r="R128" s="60">
        <v>293</v>
      </c>
      <c r="S128" s="61" t="s">
        <v>1675</v>
      </c>
      <c r="T128" s="60">
        <v>19676</v>
      </c>
      <c r="U128" s="60">
        <v>15384</v>
      </c>
      <c r="V128" s="60"/>
      <c r="W128" s="60"/>
      <c r="X128" s="60">
        <v>7169</v>
      </c>
      <c r="Y128" s="60">
        <v>4427</v>
      </c>
      <c r="Z128" s="60">
        <v>5373</v>
      </c>
      <c r="AA128" s="60">
        <v>4205</v>
      </c>
      <c r="AB128" s="60">
        <v>3630</v>
      </c>
      <c r="AC128" s="60">
        <v>2801</v>
      </c>
      <c r="AD128" s="60">
        <v>2021</v>
      </c>
      <c r="AE128" s="60">
        <v>1655</v>
      </c>
      <c r="AF128" s="60">
        <v>1358</v>
      </c>
      <c r="AG128" s="60">
        <v>2408</v>
      </c>
      <c r="AH128" s="60">
        <v>13</v>
      </c>
      <c r="AI128" s="60">
        <v>326</v>
      </c>
      <c r="AJ128" s="60">
        <v>1118</v>
      </c>
      <c r="AK128" s="60">
        <v>31702</v>
      </c>
      <c r="AL128" s="60"/>
      <c r="AM128" s="60">
        <v>1231</v>
      </c>
      <c r="AN128" s="60">
        <v>12</v>
      </c>
      <c r="AO128" s="60">
        <v>671</v>
      </c>
      <c r="AP128" s="60">
        <v>394</v>
      </c>
      <c r="AQ128" s="60">
        <v>801</v>
      </c>
      <c r="AR128" s="60">
        <v>77</v>
      </c>
      <c r="AS128" s="60">
        <v>39</v>
      </c>
      <c r="AT128" s="60">
        <v>43</v>
      </c>
      <c r="AU128" s="60"/>
      <c r="AV128" s="60"/>
      <c r="AW128" s="60">
        <v>1</v>
      </c>
      <c r="AX128" s="60">
        <v>151</v>
      </c>
      <c r="AY128" s="60"/>
      <c r="AZ128" s="60">
        <v>7</v>
      </c>
      <c r="BA128" s="60">
        <v>33301</v>
      </c>
      <c r="BB128" s="60">
        <v>246</v>
      </c>
      <c r="BC128" s="60"/>
      <c r="BD128" s="60"/>
      <c r="BE128" s="60">
        <v>20586</v>
      </c>
      <c r="BF128" s="60">
        <v>4321</v>
      </c>
      <c r="BG128" s="60">
        <v>3150</v>
      </c>
      <c r="BH128" s="60">
        <v>5675</v>
      </c>
      <c r="BI128" s="60">
        <v>1328</v>
      </c>
      <c r="BJ128" s="60">
        <v>1470</v>
      </c>
      <c r="BK128" s="60">
        <v>86</v>
      </c>
      <c r="BL128" s="60">
        <v>641</v>
      </c>
      <c r="BM128" s="60">
        <v>10</v>
      </c>
      <c r="BN128" s="60">
        <v>2334</v>
      </c>
      <c r="BO128" s="60">
        <v>513</v>
      </c>
      <c r="BP128" s="60">
        <v>2146</v>
      </c>
      <c r="BQ128" s="60">
        <v>950</v>
      </c>
      <c r="BR128" s="60">
        <v>6902</v>
      </c>
      <c r="BS128" s="60">
        <v>1468</v>
      </c>
      <c r="BT128" s="60">
        <v>50</v>
      </c>
      <c r="BU128" s="60">
        <v>2229</v>
      </c>
      <c r="BV128" s="60">
        <v>1204</v>
      </c>
      <c r="BW128" s="60">
        <v>143</v>
      </c>
      <c r="BX128" s="60">
        <v>1266</v>
      </c>
      <c r="BY128" s="60">
        <v>4765</v>
      </c>
      <c r="BZ128" s="60">
        <v>1532</v>
      </c>
      <c r="CA128" s="60">
        <v>7351</v>
      </c>
      <c r="CB128" s="60"/>
      <c r="CC128" s="60"/>
      <c r="CD128" s="60">
        <v>2457</v>
      </c>
      <c r="CE128" s="60">
        <v>142</v>
      </c>
      <c r="CF128" s="60">
        <v>285</v>
      </c>
      <c r="CG128" s="60">
        <v>6</v>
      </c>
      <c r="CH128" s="60">
        <v>403</v>
      </c>
      <c r="CI128" s="60">
        <v>54</v>
      </c>
      <c r="CJ128" s="60">
        <v>2</v>
      </c>
      <c r="CK128" s="60">
        <v>350</v>
      </c>
      <c r="CL128" s="60">
        <v>27540</v>
      </c>
      <c r="CM128" s="60">
        <v>2721</v>
      </c>
      <c r="CN128" s="60">
        <v>158</v>
      </c>
      <c r="CO128" s="60">
        <v>715</v>
      </c>
      <c r="CP128" s="60">
        <v>20</v>
      </c>
      <c r="CQ128" s="60">
        <v>198</v>
      </c>
      <c r="CR128" s="60">
        <v>9</v>
      </c>
      <c r="CS128" s="60"/>
      <c r="CT128" s="60">
        <v>35060</v>
      </c>
      <c r="CU128" s="60">
        <v>18</v>
      </c>
      <c r="CV128" s="60">
        <v>19598</v>
      </c>
      <c r="CW128" s="60">
        <v>15444</v>
      </c>
      <c r="CX128" s="60">
        <v>4835</v>
      </c>
      <c r="CY128" s="60">
        <v>4783</v>
      </c>
      <c r="CZ128" s="60"/>
      <c r="DA128" s="60"/>
      <c r="DB128" s="60">
        <v>247</v>
      </c>
      <c r="DC128" s="60">
        <v>631</v>
      </c>
      <c r="DD128" s="60">
        <v>752</v>
      </c>
      <c r="DE128" s="60">
        <v>1166</v>
      </c>
      <c r="DF128" s="60">
        <v>1423</v>
      </c>
      <c r="DG128" s="60">
        <v>1584</v>
      </c>
      <c r="DH128" s="60">
        <v>1398</v>
      </c>
      <c r="DI128" s="60">
        <v>1740</v>
      </c>
      <c r="DJ128" s="60">
        <v>344</v>
      </c>
      <c r="DK128" s="60">
        <v>333</v>
      </c>
      <c r="DL128" s="60"/>
      <c r="DM128" s="60">
        <v>219</v>
      </c>
      <c r="DN128" s="60">
        <v>704</v>
      </c>
      <c r="DO128" s="60">
        <v>7847</v>
      </c>
      <c r="DP128" s="60">
        <v>512</v>
      </c>
      <c r="DQ128" s="60">
        <v>10</v>
      </c>
      <c r="DR128" s="60">
        <v>326</v>
      </c>
      <c r="DS128" s="60"/>
      <c r="DT128" s="60">
        <v>274</v>
      </c>
      <c r="DU128" s="60">
        <v>211</v>
      </c>
      <c r="DV128" s="60">
        <v>281</v>
      </c>
      <c r="DW128" s="60">
        <v>945</v>
      </c>
      <c r="DX128" s="60">
        <v>259</v>
      </c>
      <c r="DY128" s="60">
        <v>3</v>
      </c>
      <c r="DZ128" s="60">
        <v>74</v>
      </c>
      <c r="EA128" s="60">
        <v>6154</v>
      </c>
      <c r="EB128" s="60">
        <v>1354</v>
      </c>
      <c r="EC128" s="60">
        <v>63</v>
      </c>
      <c r="ED128" s="60">
        <v>0</v>
      </c>
      <c r="EE128" s="60">
        <v>0</v>
      </c>
      <c r="EF128" s="60">
        <v>0</v>
      </c>
      <c r="EG128" s="60">
        <v>0</v>
      </c>
      <c r="EH128" s="60">
        <v>0</v>
      </c>
      <c r="EI128" s="60">
        <v>3863</v>
      </c>
      <c r="EJ128" s="60">
        <v>4043</v>
      </c>
      <c r="EK128" s="60">
        <v>338</v>
      </c>
      <c r="EL128" s="60">
        <v>766</v>
      </c>
      <c r="EM128" s="60">
        <v>608</v>
      </c>
      <c r="EN128" s="60">
        <v>147</v>
      </c>
      <c r="EO128" s="60">
        <v>184</v>
      </c>
      <c r="EP128" s="60">
        <v>1897</v>
      </c>
      <c r="EQ128" s="60">
        <v>23</v>
      </c>
      <c r="ER128" s="60">
        <v>1256</v>
      </c>
      <c r="ES128" s="60">
        <v>645</v>
      </c>
      <c r="ET128" s="60">
        <v>536</v>
      </c>
      <c r="EU128" s="60">
        <v>778</v>
      </c>
      <c r="EV128" s="60">
        <v>684</v>
      </c>
      <c r="EW128" s="60">
        <v>174</v>
      </c>
      <c r="EX128" s="60">
        <v>159</v>
      </c>
      <c r="EY128" s="60">
        <v>260</v>
      </c>
      <c r="EZ128" s="60">
        <v>20</v>
      </c>
      <c r="FA128" s="60">
        <v>798</v>
      </c>
      <c r="FB128" s="60">
        <v>911</v>
      </c>
      <c r="FC128" s="60">
        <v>235</v>
      </c>
      <c r="FD128" s="60">
        <v>842</v>
      </c>
      <c r="FE128" s="60">
        <v>2</v>
      </c>
      <c r="FF128" s="60">
        <v>67</v>
      </c>
      <c r="FG128" s="60"/>
      <c r="FH128" s="60">
        <v>367</v>
      </c>
      <c r="FI128" s="60">
        <v>59</v>
      </c>
      <c r="FJ128" s="60">
        <v>463</v>
      </c>
      <c r="FK128" s="60">
        <v>25</v>
      </c>
      <c r="FL128" s="60">
        <v>16</v>
      </c>
      <c r="FM128" s="60">
        <v>11</v>
      </c>
      <c r="FN128" s="60">
        <v>10</v>
      </c>
      <c r="FO128" s="60">
        <v>8468</v>
      </c>
      <c r="FP128" s="60">
        <v>78</v>
      </c>
      <c r="FQ128" s="60">
        <v>2</v>
      </c>
      <c r="FR128" s="60">
        <v>18</v>
      </c>
      <c r="FS128" s="60">
        <v>74</v>
      </c>
      <c r="FT128" s="60">
        <v>19</v>
      </c>
      <c r="FU128" s="60">
        <v>7</v>
      </c>
      <c r="FV128" s="60">
        <v>1</v>
      </c>
      <c r="FW128" s="60"/>
      <c r="FX128" s="60">
        <v>9618</v>
      </c>
      <c r="FY128" s="60">
        <v>34</v>
      </c>
      <c r="FZ128" s="60">
        <v>4587</v>
      </c>
      <c r="GA128" s="60">
        <v>4997</v>
      </c>
      <c r="GB128" s="60">
        <v>2011</v>
      </c>
    </row>
    <row r="129" spans="1:184" x14ac:dyDescent="0.3">
      <c r="A129" s="60">
        <v>106190883</v>
      </c>
      <c r="B129" s="61" t="s">
        <v>562</v>
      </c>
      <c r="C129" s="61" t="s">
        <v>563</v>
      </c>
      <c r="D129" s="61" t="s">
        <v>564</v>
      </c>
      <c r="E129" s="61" t="s">
        <v>508</v>
      </c>
      <c r="F129" s="60">
        <v>90605</v>
      </c>
      <c r="G129" s="61"/>
      <c r="H129" s="61" t="s">
        <v>1669</v>
      </c>
      <c r="I129" s="60">
        <v>60</v>
      </c>
      <c r="J129" s="60">
        <v>30</v>
      </c>
      <c r="K129" s="61" t="s">
        <v>1831</v>
      </c>
      <c r="L129" s="61" t="s">
        <v>357</v>
      </c>
      <c r="M129" s="61" t="s">
        <v>1778</v>
      </c>
      <c r="N129" s="61" t="s">
        <v>1779</v>
      </c>
      <c r="O129" s="61" t="s">
        <v>1673</v>
      </c>
      <c r="P129" s="61" t="s">
        <v>221</v>
      </c>
      <c r="Q129" s="61" t="s">
        <v>1674</v>
      </c>
      <c r="R129" s="60">
        <v>156</v>
      </c>
      <c r="S129" s="61" t="s">
        <v>1675</v>
      </c>
      <c r="T129" s="60">
        <v>12019</v>
      </c>
      <c r="U129" s="60">
        <v>9332</v>
      </c>
      <c r="V129" s="60"/>
      <c r="W129" s="60"/>
      <c r="X129" s="60">
        <v>4463</v>
      </c>
      <c r="Y129" s="60">
        <v>2878</v>
      </c>
      <c r="Z129" s="60">
        <v>3558</v>
      </c>
      <c r="AA129" s="60">
        <v>2843</v>
      </c>
      <c r="AB129" s="60">
        <v>2231</v>
      </c>
      <c r="AC129" s="60">
        <v>1546</v>
      </c>
      <c r="AD129" s="60">
        <v>1022</v>
      </c>
      <c r="AE129" s="60">
        <v>858</v>
      </c>
      <c r="AF129" s="60">
        <v>971</v>
      </c>
      <c r="AG129" s="60">
        <v>981</v>
      </c>
      <c r="AH129" s="60"/>
      <c r="AI129" s="60">
        <v>1440</v>
      </c>
      <c r="AJ129" s="60">
        <v>439</v>
      </c>
      <c r="AK129" s="60">
        <v>14793</v>
      </c>
      <c r="AL129" s="60">
        <v>1</v>
      </c>
      <c r="AM129" s="60">
        <v>171</v>
      </c>
      <c r="AN129" s="60"/>
      <c r="AO129" s="60">
        <v>4507</v>
      </c>
      <c r="AP129" s="60">
        <v>988</v>
      </c>
      <c r="AQ129" s="60">
        <v>303</v>
      </c>
      <c r="AR129" s="60">
        <v>33</v>
      </c>
      <c r="AS129" s="60">
        <v>47</v>
      </c>
      <c r="AT129" s="60">
        <v>19</v>
      </c>
      <c r="AU129" s="60">
        <v>1</v>
      </c>
      <c r="AV129" s="60"/>
      <c r="AW129" s="60">
        <v>19</v>
      </c>
      <c r="AX129" s="60"/>
      <c r="AY129" s="60">
        <v>75</v>
      </c>
      <c r="AZ129" s="60"/>
      <c r="BA129" s="60">
        <v>19780</v>
      </c>
      <c r="BB129" s="60">
        <v>86</v>
      </c>
      <c r="BC129" s="60"/>
      <c r="BD129" s="60"/>
      <c r="BE129" s="60">
        <v>2236</v>
      </c>
      <c r="BF129" s="60">
        <v>2516</v>
      </c>
      <c r="BG129" s="60">
        <v>404</v>
      </c>
      <c r="BH129" s="60">
        <v>13045</v>
      </c>
      <c r="BI129" s="60">
        <v>3150</v>
      </c>
      <c r="BJ129" s="60">
        <v>863</v>
      </c>
      <c r="BK129" s="60">
        <v>63</v>
      </c>
      <c r="BL129" s="60">
        <v>380</v>
      </c>
      <c r="BM129" s="60">
        <v>6</v>
      </c>
      <c r="BN129" s="60">
        <v>1212</v>
      </c>
      <c r="BO129" s="60">
        <v>262</v>
      </c>
      <c r="BP129" s="60">
        <v>1391</v>
      </c>
      <c r="BQ129" s="60">
        <v>588</v>
      </c>
      <c r="BR129" s="60">
        <v>4972</v>
      </c>
      <c r="BS129" s="60">
        <v>1028</v>
      </c>
      <c r="BT129" s="60">
        <v>36</v>
      </c>
      <c r="BU129" s="60">
        <v>1608</v>
      </c>
      <c r="BV129" s="60">
        <v>587</v>
      </c>
      <c r="BW129" s="60">
        <v>96</v>
      </c>
      <c r="BX129" s="60">
        <v>597</v>
      </c>
      <c r="BY129" s="60">
        <v>3180</v>
      </c>
      <c r="BZ129" s="60">
        <v>952</v>
      </c>
      <c r="CA129" s="60">
        <v>3530</v>
      </c>
      <c r="CB129" s="60"/>
      <c r="CC129" s="60"/>
      <c r="CD129" s="60">
        <v>1645</v>
      </c>
      <c r="CE129" s="60">
        <v>47</v>
      </c>
      <c r="CF129" s="60">
        <v>247</v>
      </c>
      <c r="CG129" s="60">
        <v>10</v>
      </c>
      <c r="CH129" s="60">
        <v>162</v>
      </c>
      <c r="CI129" s="60">
        <v>3</v>
      </c>
      <c r="CJ129" s="60">
        <v>123</v>
      </c>
      <c r="CK129" s="60">
        <v>293</v>
      </c>
      <c r="CL129" s="60">
        <v>15811</v>
      </c>
      <c r="CM129" s="60">
        <v>2303</v>
      </c>
      <c r="CN129" s="60">
        <v>110</v>
      </c>
      <c r="CO129" s="60">
        <v>441</v>
      </c>
      <c r="CP129" s="60">
        <v>36</v>
      </c>
      <c r="CQ129" s="60">
        <v>93</v>
      </c>
      <c r="CR129" s="60">
        <v>27</v>
      </c>
      <c r="CS129" s="60"/>
      <c r="CT129" s="60">
        <v>21351</v>
      </c>
      <c r="CU129" s="60">
        <v>362</v>
      </c>
      <c r="CV129" s="60">
        <v>18267</v>
      </c>
      <c r="CW129" s="60">
        <v>2722</v>
      </c>
      <c r="CX129" s="60">
        <v>2507</v>
      </c>
      <c r="CY129" s="60">
        <v>2041</v>
      </c>
      <c r="CZ129" s="60"/>
      <c r="DA129" s="60"/>
      <c r="DB129" s="60">
        <v>86</v>
      </c>
      <c r="DC129" s="60">
        <v>335</v>
      </c>
      <c r="DD129" s="60">
        <v>375</v>
      </c>
      <c r="DE129" s="60">
        <v>557</v>
      </c>
      <c r="DF129" s="60">
        <v>635</v>
      </c>
      <c r="DG129" s="60">
        <v>616</v>
      </c>
      <c r="DH129" s="60">
        <v>669</v>
      </c>
      <c r="DI129" s="60">
        <v>1275</v>
      </c>
      <c r="DJ129" s="60"/>
      <c r="DK129" s="60"/>
      <c r="DL129" s="60"/>
      <c r="DM129" s="60">
        <v>744</v>
      </c>
      <c r="DN129" s="60">
        <v>82</v>
      </c>
      <c r="DO129" s="60">
        <v>2278</v>
      </c>
      <c r="DP129" s="60">
        <v>56</v>
      </c>
      <c r="DQ129" s="60"/>
      <c r="DR129" s="60">
        <v>1382</v>
      </c>
      <c r="DS129" s="60">
        <v>6</v>
      </c>
      <c r="DT129" s="60">
        <v>271</v>
      </c>
      <c r="DU129" s="60">
        <v>134</v>
      </c>
      <c r="DV129" s="60">
        <v>160</v>
      </c>
      <c r="DW129" s="60">
        <v>415</v>
      </c>
      <c r="DX129" s="60">
        <v>31</v>
      </c>
      <c r="DY129" s="60">
        <v>62</v>
      </c>
      <c r="DZ129" s="60">
        <v>6</v>
      </c>
      <c r="EA129" s="60">
        <v>2509</v>
      </c>
      <c r="EB129" s="60">
        <v>960</v>
      </c>
      <c r="EC129" s="60"/>
      <c r="ED129" s="60">
        <v>0</v>
      </c>
      <c r="EE129" s="60">
        <v>0</v>
      </c>
      <c r="EF129" s="60">
        <v>0</v>
      </c>
      <c r="EG129" s="60">
        <v>0</v>
      </c>
      <c r="EH129" s="60">
        <v>0</v>
      </c>
      <c r="EI129" s="60">
        <v>1041</v>
      </c>
      <c r="EJ129" s="60">
        <v>1752</v>
      </c>
      <c r="EK129" s="60">
        <v>194</v>
      </c>
      <c r="EL129" s="60">
        <v>1276</v>
      </c>
      <c r="EM129" s="60">
        <v>285</v>
      </c>
      <c r="EN129" s="60">
        <v>129</v>
      </c>
      <c r="EO129" s="60">
        <v>75</v>
      </c>
      <c r="EP129" s="60">
        <v>653</v>
      </c>
      <c r="EQ129" s="60"/>
      <c r="ER129" s="60">
        <v>829</v>
      </c>
      <c r="ES129" s="60">
        <v>211</v>
      </c>
      <c r="ET129" s="60">
        <v>460</v>
      </c>
      <c r="EU129" s="60">
        <v>549</v>
      </c>
      <c r="EV129" s="60">
        <v>346</v>
      </c>
      <c r="EW129" s="60">
        <v>63</v>
      </c>
      <c r="EX129" s="60">
        <v>111</v>
      </c>
      <c r="EY129" s="60">
        <v>99</v>
      </c>
      <c r="EZ129" s="60">
        <v>7</v>
      </c>
      <c r="FA129" s="60">
        <v>32</v>
      </c>
      <c r="FB129" s="60">
        <v>444</v>
      </c>
      <c r="FC129" s="60">
        <v>140</v>
      </c>
      <c r="FD129" s="60">
        <v>400</v>
      </c>
      <c r="FE129" s="60"/>
      <c r="FF129" s="60"/>
      <c r="FG129" s="60"/>
      <c r="FH129" s="60">
        <v>213</v>
      </c>
      <c r="FI129" s="60">
        <v>20</v>
      </c>
      <c r="FJ129" s="60">
        <v>170</v>
      </c>
      <c r="FK129" s="60">
        <v>6</v>
      </c>
      <c r="FL129" s="60">
        <v>6</v>
      </c>
      <c r="FM129" s="60">
        <v>230</v>
      </c>
      <c r="FN129" s="60">
        <v>1</v>
      </c>
      <c r="FO129" s="60">
        <v>3768</v>
      </c>
      <c r="FP129" s="60">
        <v>52</v>
      </c>
      <c r="FQ129" s="60">
        <v>5</v>
      </c>
      <c r="FR129" s="60">
        <v>18</v>
      </c>
      <c r="FS129" s="60">
        <v>39</v>
      </c>
      <c r="FT129" s="60">
        <v>9</v>
      </c>
      <c r="FU129" s="60">
        <v>10</v>
      </c>
      <c r="FV129" s="60">
        <v>1</v>
      </c>
      <c r="FW129" s="60"/>
      <c r="FX129" s="60">
        <v>4548</v>
      </c>
      <c r="FY129" s="60">
        <v>289</v>
      </c>
      <c r="FZ129" s="60">
        <v>3746</v>
      </c>
      <c r="GA129" s="60">
        <v>513</v>
      </c>
      <c r="GB129" s="60">
        <v>2011</v>
      </c>
    </row>
    <row r="130" spans="1:184" x14ac:dyDescent="0.3">
      <c r="A130" s="60">
        <v>106190949</v>
      </c>
      <c r="B130" s="61" t="s">
        <v>565</v>
      </c>
      <c r="C130" s="61" t="s">
        <v>1850</v>
      </c>
      <c r="D130" s="61" t="s">
        <v>566</v>
      </c>
      <c r="E130" s="61" t="s">
        <v>567</v>
      </c>
      <c r="F130" s="60">
        <v>91355</v>
      </c>
      <c r="G130" s="61" t="s">
        <v>143</v>
      </c>
      <c r="H130" s="61" t="s">
        <v>1669</v>
      </c>
      <c r="I130" s="60">
        <v>38</v>
      </c>
      <c r="J130" s="60">
        <v>19</v>
      </c>
      <c r="K130" s="61" t="s">
        <v>1851</v>
      </c>
      <c r="L130" s="61" t="s">
        <v>404</v>
      </c>
      <c r="M130" s="61" t="s">
        <v>1778</v>
      </c>
      <c r="N130" s="61" t="s">
        <v>1779</v>
      </c>
      <c r="O130" s="61" t="s">
        <v>1673</v>
      </c>
      <c r="P130" s="61" t="s">
        <v>1678</v>
      </c>
      <c r="Q130" s="61" t="s">
        <v>1674</v>
      </c>
      <c r="R130" s="60">
        <v>204</v>
      </c>
      <c r="S130" s="61" t="s">
        <v>1675</v>
      </c>
      <c r="T130" s="60">
        <v>19404</v>
      </c>
      <c r="U130" s="60">
        <v>16805</v>
      </c>
      <c r="V130" s="60"/>
      <c r="W130" s="60"/>
      <c r="X130" s="60">
        <v>5538</v>
      </c>
      <c r="Y130" s="60">
        <v>5072</v>
      </c>
      <c r="Z130" s="60">
        <v>6149</v>
      </c>
      <c r="AA130" s="60">
        <v>4834</v>
      </c>
      <c r="AB130" s="60">
        <v>4840</v>
      </c>
      <c r="AC130" s="60">
        <v>3386</v>
      </c>
      <c r="AD130" s="60">
        <v>2183</v>
      </c>
      <c r="AE130" s="60">
        <v>1524</v>
      </c>
      <c r="AF130" s="60">
        <v>1718</v>
      </c>
      <c r="AG130" s="60">
        <v>965</v>
      </c>
      <c r="AH130" s="60"/>
      <c r="AI130" s="60">
        <v>1051</v>
      </c>
      <c r="AJ130" s="60">
        <v>2090</v>
      </c>
      <c r="AK130" s="60">
        <v>5291</v>
      </c>
      <c r="AL130" s="60">
        <v>3</v>
      </c>
      <c r="AM130" s="60">
        <v>736</v>
      </c>
      <c r="AN130" s="60">
        <v>59</v>
      </c>
      <c r="AO130" s="60">
        <v>26979</v>
      </c>
      <c r="AP130" s="60">
        <v>1326</v>
      </c>
      <c r="AQ130" s="60">
        <v>545</v>
      </c>
      <c r="AR130" s="60">
        <v>1253</v>
      </c>
      <c r="AS130" s="60">
        <v>52</v>
      </c>
      <c r="AT130" s="60">
        <v>77</v>
      </c>
      <c r="AU130" s="60"/>
      <c r="AV130" s="60">
        <v>1</v>
      </c>
      <c r="AW130" s="60">
        <v>14</v>
      </c>
      <c r="AX130" s="60"/>
      <c r="AY130" s="60">
        <v>41</v>
      </c>
      <c r="AZ130" s="60">
        <v>13</v>
      </c>
      <c r="BA130" s="60">
        <v>32887</v>
      </c>
      <c r="BB130" s="60"/>
      <c r="BC130" s="60"/>
      <c r="BD130" s="60"/>
      <c r="BE130" s="60">
        <v>5055</v>
      </c>
      <c r="BF130" s="60">
        <v>4763</v>
      </c>
      <c r="BG130" s="60">
        <v>1958</v>
      </c>
      <c r="BH130" s="60">
        <v>18487</v>
      </c>
      <c r="BI130" s="60">
        <v>5946</v>
      </c>
      <c r="BJ130" s="60">
        <v>810</v>
      </c>
      <c r="BK130" s="60">
        <v>130</v>
      </c>
      <c r="BL130" s="60">
        <v>738</v>
      </c>
      <c r="BM130" s="60">
        <v>2</v>
      </c>
      <c r="BN130" s="60">
        <v>1566</v>
      </c>
      <c r="BO130" s="60">
        <v>349</v>
      </c>
      <c r="BP130" s="60">
        <v>1746</v>
      </c>
      <c r="BQ130" s="60">
        <v>598</v>
      </c>
      <c r="BR130" s="60">
        <v>9014</v>
      </c>
      <c r="BS130" s="60">
        <v>2058</v>
      </c>
      <c r="BT130" s="60">
        <v>28</v>
      </c>
      <c r="BU130" s="60">
        <v>1765</v>
      </c>
      <c r="BV130" s="60">
        <v>2166</v>
      </c>
      <c r="BW130" s="60">
        <v>31</v>
      </c>
      <c r="BX130" s="60">
        <v>1055</v>
      </c>
      <c r="BY130" s="60">
        <v>3603</v>
      </c>
      <c r="BZ130" s="60">
        <v>1090</v>
      </c>
      <c r="CA130" s="60">
        <v>9460</v>
      </c>
      <c r="CB130" s="60"/>
      <c r="CC130" s="60"/>
      <c r="CD130" s="60">
        <v>2846</v>
      </c>
      <c r="CE130" s="60">
        <v>132</v>
      </c>
      <c r="CF130" s="60">
        <v>301</v>
      </c>
      <c r="CG130" s="60">
        <v>15</v>
      </c>
      <c r="CH130" s="60">
        <v>429</v>
      </c>
      <c r="CI130" s="60">
        <v>30</v>
      </c>
      <c r="CJ130" s="60">
        <v>135</v>
      </c>
      <c r="CK130" s="60">
        <v>389</v>
      </c>
      <c r="CL130" s="60">
        <v>26241</v>
      </c>
      <c r="CM130" s="60">
        <v>3715</v>
      </c>
      <c r="CN130" s="60">
        <v>221</v>
      </c>
      <c r="CO130" s="60">
        <v>1436</v>
      </c>
      <c r="CP130" s="60">
        <v>68</v>
      </c>
      <c r="CQ130" s="60">
        <v>184</v>
      </c>
      <c r="CR130" s="60">
        <v>67</v>
      </c>
      <c r="CS130" s="60"/>
      <c r="CT130" s="60">
        <v>36209</v>
      </c>
      <c r="CU130" s="60">
        <v>82</v>
      </c>
      <c r="CV130" s="60">
        <v>35616</v>
      </c>
      <c r="CW130" s="60">
        <v>511</v>
      </c>
      <c r="CX130" s="60">
        <v>4624</v>
      </c>
      <c r="CY130" s="60">
        <v>3873</v>
      </c>
      <c r="CZ130" s="60"/>
      <c r="DA130" s="60"/>
      <c r="DB130" s="60">
        <v>268</v>
      </c>
      <c r="DC130" s="60">
        <v>771</v>
      </c>
      <c r="DD130" s="60">
        <v>691</v>
      </c>
      <c r="DE130" s="60">
        <v>1303</v>
      </c>
      <c r="DF130" s="60">
        <v>1324</v>
      </c>
      <c r="DG130" s="60">
        <v>1228</v>
      </c>
      <c r="DH130" s="60">
        <v>1212</v>
      </c>
      <c r="DI130" s="60">
        <v>1693</v>
      </c>
      <c r="DJ130" s="60"/>
      <c r="DK130" s="60">
        <v>7</v>
      </c>
      <c r="DL130" s="60"/>
      <c r="DM130" s="60">
        <v>162</v>
      </c>
      <c r="DN130" s="60">
        <v>391</v>
      </c>
      <c r="DO130" s="60">
        <v>1103</v>
      </c>
      <c r="DP130" s="60">
        <v>236</v>
      </c>
      <c r="DQ130" s="60">
        <v>2</v>
      </c>
      <c r="DR130" s="60">
        <v>6603</v>
      </c>
      <c r="DS130" s="60"/>
      <c r="DT130" s="60">
        <v>478</v>
      </c>
      <c r="DU130" s="60">
        <v>216</v>
      </c>
      <c r="DV130" s="60">
        <v>162</v>
      </c>
      <c r="DW130" s="60">
        <v>666</v>
      </c>
      <c r="DX130" s="60">
        <v>267</v>
      </c>
      <c r="DY130" s="60"/>
      <c r="DZ130" s="60">
        <v>111</v>
      </c>
      <c r="EA130" s="60">
        <v>5822</v>
      </c>
      <c r="EB130" s="60">
        <v>686</v>
      </c>
      <c r="EC130" s="60">
        <v>89</v>
      </c>
      <c r="ED130" s="60">
        <v>0</v>
      </c>
      <c r="EE130" s="60">
        <v>0</v>
      </c>
      <c r="EF130" s="60">
        <v>0</v>
      </c>
      <c r="EG130" s="60">
        <v>0</v>
      </c>
      <c r="EH130" s="60">
        <v>0</v>
      </c>
      <c r="EI130" s="60">
        <v>1004</v>
      </c>
      <c r="EJ130" s="60">
        <v>3750</v>
      </c>
      <c r="EK130" s="60">
        <v>159</v>
      </c>
      <c r="EL130" s="60">
        <v>2781</v>
      </c>
      <c r="EM130" s="60">
        <v>803</v>
      </c>
      <c r="EN130" s="60">
        <v>99</v>
      </c>
      <c r="EO130" s="60">
        <v>88</v>
      </c>
      <c r="EP130" s="60">
        <v>1424</v>
      </c>
      <c r="EQ130" s="60">
        <v>4</v>
      </c>
      <c r="ER130" s="60">
        <v>1307</v>
      </c>
      <c r="ES130" s="60">
        <v>306</v>
      </c>
      <c r="ET130" s="60">
        <v>488</v>
      </c>
      <c r="EU130" s="60">
        <v>482</v>
      </c>
      <c r="EV130" s="60">
        <v>1258</v>
      </c>
      <c r="EW130" s="60">
        <v>231</v>
      </c>
      <c r="EX130" s="60">
        <v>192</v>
      </c>
      <c r="EY130" s="60">
        <v>220</v>
      </c>
      <c r="EZ130" s="60">
        <v>7</v>
      </c>
      <c r="FA130" s="60">
        <v>844</v>
      </c>
      <c r="FB130" s="60">
        <v>879</v>
      </c>
      <c r="FC130" s="60">
        <v>183</v>
      </c>
      <c r="FD130" s="60">
        <v>485</v>
      </c>
      <c r="FE130" s="60"/>
      <c r="FF130" s="60"/>
      <c r="FG130" s="60"/>
      <c r="FH130" s="60">
        <v>594</v>
      </c>
      <c r="FI130" s="60">
        <v>60</v>
      </c>
      <c r="FJ130" s="60">
        <v>532</v>
      </c>
      <c r="FK130" s="60">
        <v>66</v>
      </c>
      <c r="FL130" s="60">
        <v>42</v>
      </c>
      <c r="FM130" s="60">
        <v>459</v>
      </c>
      <c r="FN130" s="60">
        <v>31</v>
      </c>
      <c r="FO130" s="60">
        <v>5971</v>
      </c>
      <c r="FP130" s="60">
        <v>208</v>
      </c>
      <c r="FQ130" s="60">
        <v>26</v>
      </c>
      <c r="FR130" s="60">
        <v>303</v>
      </c>
      <c r="FS130" s="60">
        <v>143</v>
      </c>
      <c r="FT130" s="60">
        <v>20</v>
      </c>
      <c r="FU130" s="60">
        <v>38</v>
      </c>
      <c r="FV130" s="60">
        <v>4</v>
      </c>
      <c r="FW130" s="60"/>
      <c r="FX130" s="60">
        <v>8497</v>
      </c>
      <c r="FY130" s="60">
        <v>104</v>
      </c>
      <c r="FZ130" s="60">
        <v>7846</v>
      </c>
      <c r="GA130" s="60">
        <v>547</v>
      </c>
      <c r="GB130" s="60">
        <v>2011</v>
      </c>
    </row>
    <row r="131" spans="1:184" x14ac:dyDescent="0.3">
      <c r="A131" s="60">
        <v>106191227</v>
      </c>
      <c r="B131" s="61" t="s">
        <v>568</v>
      </c>
      <c r="C131" s="61" t="s">
        <v>569</v>
      </c>
      <c r="D131" s="61" t="s">
        <v>570</v>
      </c>
      <c r="E131" s="61" t="s">
        <v>441</v>
      </c>
      <c r="F131" s="60">
        <v>90502</v>
      </c>
      <c r="G131" s="61" t="s">
        <v>490</v>
      </c>
      <c r="H131" s="61" t="s">
        <v>1689</v>
      </c>
      <c r="I131" s="60">
        <v>55</v>
      </c>
      <c r="J131" s="60">
        <v>28</v>
      </c>
      <c r="K131" s="61" t="s">
        <v>1812</v>
      </c>
      <c r="L131" s="61" t="s">
        <v>354</v>
      </c>
      <c r="M131" s="61" t="s">
        <v>1778</v>
      </c>
      <c r="N131" s="61" t="s">
        <v>1779</v>
      </c>
      <c r="O131" s="61" t="s">
        <v>1673</v>
      </c>
      <c r="P131" s="61" t="s">
        <v>1690</v>
      </c>
      <c r="Q131" s="61" t="s">
        <v>1674</v>
      </c>
      <c r="R131" s="60">
        <v>499</v>
      </c>
      <c r="S131" s="61" t="s">
        <v>1675</v>
      </c>
      <c r="T131" s="60">
        <v>27450</v>
      </c>
      <c r="U131" s="60">
        <v>27925</v>
      </c>
      <c r="V131" s="60">
        <v>4</v>
      </c>
      <c r="W131" s="60"/>
      <c r="X131" s="60">
        <v>7882</v>
      </c>
      <c r="Y131" s="60">
        <v>7160</v>
      </c>
      <c r="Z131" s="60">
        <v>8401</v>
      </c>
      <c r="AA131" s="60">
        <v>6996</v>
      </c>
      <c r="AB131" s="60">
        <v>8385</v>
      </c>
      <c r="AC131" s="60">
        <v>9196</v>
      </c>
      <c r="AD131" s="60">
        <v>3993</v>
      </c>
      <c r="AE131" s="60">
        <v>868</v>
      </c>
      <c r="AF131" s="60">
        <v>427</v>
      </c>
      <c r="AG131" s="60">
        <v>2071</v>
      </c>
      <c r="AH131" s="60"/>
      <c r="AI131" s="60">
        <v>2824</v>
      </c>
      <c r="AJ131" s="60">
        <v>13800</v>
      </c>
      <c r="AK131" s="60">
        <v>31992</v>
      </c>
      <c r="AL131" s="60">
        <v>72</v>
      </c>
      <c r="AM131" s="60">
        <v>725</v>
      </c>
      <c r="AN131" s="60">
        <v>40</v>
      </c>
      <c r="AO131" s="60">
        <v>5926</v>
      </c>
      <c r="AP131" s="60">
        <v>270</v>
      </c>
      <c r="AQ131" s="60">
        <v>4895</v>
      </c>
      <c r="AR131" s="60">
        <v>2</v>
      </c>
      <c r="AS131" s="60">
        <v>65</v>
      </c>
      <c r="AT131" s="60">
        <v>13</v>
      </c>
      <c r="AU131" s="60">
        <v>23</v>
      </c>
      <c r="AV131" s="60">
        <v>1</v>
      </c>
      <c r="AW131" s="60">
        <v>13</v>
      </c>
      <c r="AX131" s="60">
        <v>181</v>
      </c>
      <c r="AY131" s="60">
        <v>2617</v>
      </c>
      <c r="AZ131" s="60">
        <v>6</v>
      </c>
      <c r="BA131" s="60">
        <v>47261</v>
      </c>
      <c r="BB131" s="60">
        <v>12</v>
      </c>
      <c r="BC131" s="60">
        <v>20</v>
      </c>
      <c r="BD131" s="60"/>
      <c r="BE131" s="60">
        <v>20705</v>
      </c>
      <c r="BF131" s="60">
        <v>2120</v>
      </c>
      <c r="BG131" s="60">
        <v>9960</v>
      </c>
      <c r="BH131" s="60">
        <v>3054</v>
      </c>
      <c r="BI131" s="60">
        <v>19540</v>
      </c>
      <c r="BJ131" s="60">
        <v>1592</v>
      </c>
      <c r="BK131" s="60">
        <v>363</v>
      </c>
      <c r="BL131" s="60">
        <v>1453</v>
      </c>
      <c r="BM131" s="60">
        <v>54</v>
      </c>
      <c r="BN131" s="60">
        <v>2479</v>
      </c>
      <c r="BO131" s="60">
        <v>1123</v>
      </c>
      <c r="BP131" s="60">
        <v>2863</v>
      </c>
      <c r="BQ131" s="60">
        <v>1888</v>
      </c>
      <c r="BR131" s="60">
        <v>8101</v>
      </c>
      <c r="BS131" s="60">
        <v>2886</v>
      </c>
      <c r="BT131" s="60">
        <v>216</v>
      </c>
      <c r="BU131" s="60">
        <v>3049</v>
      </c>
      <c r="BV131" s="60">
        <v>2389</v>
      </c>
      <c r="BW131" s="60">
        <v>26</v>
      </c>
      <c r="BX131" s="60">
        <v>6613</v>
      </c>
      <c r="BY131" s="60">
        <v>4397</v>
      </c>
      <c r="BZ131" s="60">
        <v>2060</v>
      </c>
      <c r="CA131" s="60">
        <v>13827</v>
      </c>
      <c r="CB131" s="60"/>
      <c r="CC131" s="60"/>
      <c r="CD131" s="60">
        <v>2423</v>
      </c>
      <c r="CE131" s="60">
        <v>108</v>
      </c>
      <c r="CF131" s="60">
        <v>69</v>
      </c>
      <c r="CG131" s="60">
        <v>12</v>
      </c>
      <c r="CH131" s="60">
        <v>864</v>
      </c>
      <c r="CI131" s="60">
        <v>7</v>
      </c>
      <c r="CJ131" s="60">
        <v>109</v>
      </c>
      <c r="CK131" s="60">
        <v>269</v>
      </c>
      <c r="CL131" s="60">
        <v>47190</v>
      </c>
      <c r="CM131" s="60">
        <v>2671</v>
      </c>
      <c r="CN131" s="60">
        <v>246</v>
      </c>
      <c r="CO131" s="60">
        <v>990</v>
      </c>
      <c r="CP131" s="60">
        <v>77</v>
      </c>
      <c r="CQ131" s="60">
        <v>245</v>
      </c>
      <c r="CR131" s="60">
        <v>99</v>
      </c>
      <c r="CS131" s="60"/>
      <c r="CT131" s="60">
        <v>55379</v>
      </c>
      <c r="CU131" s="60">
        <v>670</v>
      </c>
      <c r="CV131" s="60">
        <v>35744</v>
      </c>
      <c r="CW131" s="60">
        <v>18965</v>
      </c>
      <c r="CX131" s="60">
        <v>7582</v>
      </c>
      <c r="CY131" s="60">
        <v>8236</v>
      </c>
      <c r="CZ131" s="60"/>
      <c r="DA131" s="60"/>
      <c r="DB131" s="60">
        <v>999</v>
      </c>
      <c r="DC131" s="60">
        <v>2164</v>
      </c>
      <c r="DD131" s="60">
        <v>2034</v>
      </c>
      <c r="DE131" s="60">
        <v>2671</v>
      </c>
      <c r="DF131" s="60">
        <v>3470</v>
      </c>
      <c r="DG131" s="60">
        <v>2079</v>
      </c>
      <c r="DH131" s="60">
        <v>717</v>
      </c>
      <c r="DI131" s="60">
        <v>503</v>
      </c>
      <c r="DJ131" s="60">
        <v>431</v>
      </c>
      <c r="DK131" s="60">
        <v>750</v>
      </c>
      <c r="DL131" s="60"/>
      <c r="DM131" s="60">
        <v>1190</v>
      </c>
      <c r="DN131" s="60">
        <v>3888</v>
      </c>
      <c r="DO131" s="60">
        <v>8627</v>
      </c>
      <c r="DP131" s="60">
        <v>193</v>
      </c>
      <c r="DQ131" s="60">
        <v>22</v>
      </c>
      <c r="DR131" s="60">
        <v>1881</v>
      </c>
      <c r="DS131" s="60">
        <v>17</v>
      </c>
      <c r="DT131" s="60">
        <v>314</v>
      </c>
      <c r="DU131" s="60">
        <v>284</v>
      </c>
      <c r="DV131" s="60">
        <v>327</v>
      </c>
      <c r="DW131" s="60">
        <v>131</v>
      </c>
      <c r="DX131" s="60">
        <v>119</v>
      </c>
      <c r="DY131" s="60">
        <v>110</v>
      </c>
      <c r="DZ131" s="60">
        <v>128</v>
      </c>
      <c r="EA131" s="60">
        <v>14012</v>
      </c>
      <c r="EB131" s="60">
        <v>361</v>
      </c>
      <c r="EC131" s="60">
        <v>32</v>
      </c>
      <c r="ED131" s="60">
        <v>0</v>
      </c>
      <c r="EE131" s="60">
        <v>0</v>
      </c>
      <c r="EF131" s="60">
        <v>0</v>
      </c>
      <c r="EG131" s="60">
        <v>0</v>
      </c>
      <c r="EH131" s="60">
        <v>0</v>
      </c>
      <c r="EI131" s="60">
        <v>8052</v>
      </c>
      <c r="EJ131" s="60">
        <v>1507</v>
      </c>
      <c r="EK131" s="60">
        <v>565</v>
      </c>
      <c r="EL131" s="60">
        <v>635</v>
      </c>
      <c r="EM131" s="60">
        <v>5059</v>
      </c>
      <c r="EN131" s="60">
        <v>1205</v>
      </c>
      <c r="EO131" s="60">
        <v>323</v>
      </c>
      <c r="EP131" s="60">
        <v>2268</v>
      </c>
      <c r="EQ131" s="60">
        <v>40</v>
      </c>
      <c r="ER131" s="60">
        <v>2389</v>
      </c>
      <c r="ES131" s="60">
        <v>824</v>
      </c>
      <c r="ET131" s="60">
        <v>769</v>
      </c>
      <c r="EU131" s="60">
        <v>726</v>
      </c>
      <c r="EV131" s="60">
        <v>2175</v>
      </c>
      <c r="EW131" s="60">
        <v>300</v>
      </c>
      <c r="EX131" s="60">
        <v>649</v>
      </c>
      <c r="EY131" s="60">
        <v>458</v>
      </c>
      <c r="EZ131" s="60">
        <v>205</v>
      </c>
      <c r="FA131" s="60">
        <v>989</v>
      </c>
      <c r="FB131" s="60">
        <v>1108</v>
      </c>
      <c r="FC131" s="60">
        <v>522</v>
      </c>
      <c r="FD131" s="60">
        <v>816</v>
      </c>
      <c r="FE131" s="60"/>
      <c r="FF131" s="60">
        <v>52</v>
      </c>
      <c r="FG131" s="60"/>
      <c r="FH131" s="60">
        <v>575</v>
      </c>
      <c r="FI131" s="60">
        <v>93</v>
      </c>
      <c r="FJ131" s="60">
        <v>440</v>
      </c>
      <c r="FK131" s="60">
        <v>351</v>
      </c>
      <c r="FL131" s="60">
        <v>102</v>
      </c>
      <c r="FM131" s="60">
        <v>731</v>
      </c>
      <c r="FN131" s="60">
        <v>49</v>
      </c>
      <c r="FO131" s="60">
        <v>12412</v>
      </c>
      <c r="FP131" s="60">
        <v>273</v>
      </c>
      <c r="FQ131" s="60">
        <v>58</v>
      </c>
      <c r="FR131" s="60">
        <v>558</v>
      </c>
      <c r="FS131" s="60">
        <v>76</v>
      </c>
      <c r="FT131" s="60">
        <v>44</v>
      </c>
      <c r="FU131" s="60">
        <v>50</v>
      </c>
      <c r="FV131" s="60">
        <v>6</v>
      </c>
      <c r="FW131" s="60"/>
      <c r="FX131" s="60">
        <v>15818</v>
      </c>
      <c r="FY131" s="60">
        <v>457</v>
      </c>
      <c r="FZ131" s="60">
        <v>9723</v>
      </c>
      <c r="GA131" s="60">
        <v>5638</v>
      </c>
      <c r="GB131" s="60">
        <v>2011</v>
      </c>
    </row>
    <row r="132" spans="1:184" x14ac:dyDescent="0.3">
      <c r="A132" s="60">
        <v>106191228</v>
      </c>
      <c r="B132" s="61" t="s">
        <v>571</v>
      </c>
      <c r="C132" s="61" t="s">
        <v>572</v>
      </c>
      <c r="D132" s="61" t="s">
        <v>573</v>
      </c>
      <c r="E132" s="61" t="s">
        <v>340</v>
      </c>
      <c r="F132" s="60">
        <v>90033</v>
      </c>
      <c r="G132" s="61" t="s">
        <v>490</v>
      </c>
      <c r="H132" s="61" t="s">
        <v>1689</v>
      </c>
      <c r="I132" s="60">
        <v>46</v>
      </c>
      <c r="J132" s="60">
        <v>24</v>
      </c>
      <c r="K132" s="61" t="s">
        <v>1791</v>
      </c>
      <c r="L132" s="61" t="s">
        <v>369</v>
      </c>
      <c r="M132" s="61" t="s">
        <v>1778</v>
      </c>
      <c r="N132" s="61" t="s">
        <v>1779</v>
      </c>
      <c r="O132" s="61" t="s">
        <v>1673</v>
      </c>
      <c r="P132" s="61" t="s">
        <v>1690</v>
      </c>
      <c r="Q132" s="61" t="s">
        <v>1674</v>
      </c>
      <c r="R132" s="60">
        <v>600</v>
      </c>
      <c r="S132" s="61" t="s">
        <v>1738</v>
      </c>
      <c r="T132" s="60">
        <v>53415</v>
      </c>
      <c r="U132" s="60">
        <v>65303</v>
      </c>
      <c r="V132" s="60"/>
      <c r="W132" s="60"/>
      <c r="X132" s="60">
        <v>8676</v>
      </c>
      <c r="Y132" s="60">
        <v>10772</v>
      </c>
      <c r="Z132" s="60">
        <v>20511</v>
      </c>
      <c r="AA132" s="60">
        <v>19115</v>
      </c>
      <c r="AB132" s="60">
        <v>23063</v>
      </c>
      <c r="AC132" s="60">
        <v>22552</v>
      </c>
      <c r="AD132" s="60">
        <v>9361</v>
      </c>
      <c r="AE132" s="60">
        <v>1812</v>
      </c>
      <c r="AF132" s="60">
        <v>726</v>
      </c>
      <c r="AG132" s="60">
        <v>2130</v>
      </c>
      <c r="AH132" s="60"/>
      <c r="AI132" s="60">
        <v>5611</v>
      </c>
      <c r="AJ132" s="60">
        <v>18161</v>
      </c>
      <c r="AK132" s="60">
        <v>76444</v>
      </c>
      <c r="AL132" s="60">
        <v>399</v>
      </c>
      <c r="AM132" s="60">
        <v>3768</v>
      </c>
      <c r="AN132" s="60">
        <v>955</v>
      </c>
      <c r="AO132" s="60">
        <v>13380</v>
      </c>
      <c r="AP132" s="60">
        <v>6347</v>
      </c>
      <c r="AQ132" s="60">
        <v>9682</v>
      </c>
      <c r="AR132" s="60"/>
      <c r="AS132" s="60">
        <v>110</v>
      </c>
      <c r="AT132" s="60">
        <v>1</v>
      </c>
      <c r="AU132" s="60"/>
      <c r="AV132" s="60">
        <v>32</v>
      </c>
      <c r="AW132" s="60"/>
      <c r="AX132" s="60"/>
      <c r="AY132" s="60">
        <v>116</v>
      </c>
      <c r="AZ132" s="60"/>
      <c r="BA132" s="60">
        <v>96874</v>
      </c>
      <c r="BB132" s="60">
        <v>38</v>
      </c>
      <c r="BC132" s="60">
        <v>5518</v>
      </c>
      <c r="BD132" s="60"/>
      <c r="BE132" s="60">
        <v>204</v>
      </c>
      <c r="BF132" s="60">
        <v>16</v>
      </c>
      <c r="BG132" s="60">
        <v>10529</v>
      </c>
      <c r="BH132" s="60">
        <v>180</v>
      </c>
      <c r="BI132" s="60">
        <v>107789</v>
      </c>
      <c r="BJ132" s="60">
        <v>2028</v>
      </c>
      <c r="BK132" s="60">
        <v>571</v>
      </c>
      <c r="BL132" s="60">
        <v>2746</v>
      </c>
      <c r="BM132" s="60">
        <v>140</v>
      </c>
      <c r="BN132" s="60">
        <v>7450</v>
      </c>
      <c r="BO132" s="60">
        <v>2362</v>
      </c>
      <c r="BP132" s="60">
        <v>7637</v>
      </c>
      <c r="BQ132" s="60">
        <v>2390</v>
      </c>
      <c r="BR132" s="60">
        <v>18299</v>
      </c>
      <c r="BS132" s="60">
        <v>9747</v>
      </c>
      <c r="BT132" s="60">
        <v>838</v>
      </c>
      <c r="BU132" s="60">
        <v>7632</v>
      </c>
      <c r="BV132" s="60">
        <v>9489</v>
      </c>
      <c r="BW132" s="60">
        <v>60</v>
      </c>
      <c r="BX132" s="60">
        <v>9918</v>
      </c>
      <c r="BY132" s="60">
        <v>7685</v>
      </c>
      <c r="BZ132" s="60">
        <v>4840</v>
      </c>
      <c r="CA132" s="60">
        <v>24878</v>
      </c>
      <c r="CB132" s="60">
        <v>8</v>
      </c>
      <c r="CC132" s="60"/>
      <c r="CD132" s="60">
        <v>5490</v>
      </c>
      <c r="CE132" s="60">
        <v>177</v>
      </c>
      <c r="CF132" s="60">
        <v>249</v>
      </c>
      <c r="CG132" s="60">
        <v>59</v>
      </c>
      <c r="CH132" s="60">
        <v>3289</v>
      </c>
      <c r="CI132" s="60">
        <v>310</v>
      </c>
      <c r="CJ132" s="60">
        <v>455</v>
      </c>
      <c r="CK132" s="60">
        <v>533</v>
      </c>
      <c r="CL132" s="60">
        <v>97767</v>
      </c>
      <c r="CM132" s="60">
        <v>6171</v>
      </c>
      <c r="CN132" s="60">
        <v>548</v>
      </c>
      <c r="CO132" s="60">
        <v>2509</v>
      </c>
      <c r="CP132" s="60">
        <v>335</v>
      </c>
      <c r="CQ132" s="60">
        <v>543</v>
      </c>
      <c r="CR132" s="60">
        <v>281</v>
      </c>
      <c r="CS132" s="60">
        <v>2</v>
      </c>
      <c r="CT132" s="60">
        <v>118718</v>
      </c>
      <c r="CU132" s="60">
        <v>2825</v>
      </c>
      <c r="CV132" s="60">
        <v>66843</v>
      </c>
      <c r="CW132" s="60">
        <v>49050</v>
      </c>
      <c r="CX132" s="60">
        <v>10943</v>
      </c>
      <c r="CY132" s="60">
        <v>13807</v>
      </c>
      <c r="CZ132" s="60"/>
      <c r="DA132" s="60"/>
      <c r="DB132" s="60">
        <v>1515</v>
      </c>
      <c r="DC132" s="60">
        <v>3194</v>
      </c>
      <c r="DD132" s="60">
        <v>3375</v>
      </c>
      <c r="DE132" s="60">
        <v>4618</v>
      </c>
      <c r="DF132" s="60">
        <v>5611</v>
      </c>
      <c r="DG132" s="60">
        <v>3382</v>
      </c>
      <c r="DH132" s="60">
        <v>1115</v>
      </c>
      <c r="DI132" s="60">
        <v>718</v>
      </c>
      <c r="DJ132" s="60">
        <v>373</v>
      </c>
      <c r="DK132" s="60">
        <v>849</v>
      </c>
      <c r="DL132" s="60"/>
      <c r="DM132" s="60">
        <v>1813</v>
      </c>
      <c r="DN132" s="60">
        <v>2768</v>
      </c>
      <c r="DO132" s="60">
        <v>17520</v>
      </c>
      <c r="DP132" s="60">
        <v>294</v>
      </c>
      <c r="DQ132" s="60">
        <v>81</v>
      </c>
      <c r="DR132" s="60">
        <v>2270</v>
      </c>
      <c r="DS132" s="60">
        <v>4</v>
      </c>
      <c r="DT132" s="60">
        <v>837</v>
      </c>
      <c r="DU132" s="60">
        <v>672</v>
      </c>
      <c r="DV132" s="60">
        <v>579</v>
      </c>
      <c r="DW132" s="60">
        <v>9</v>
      </c>
      <c r="DX132" s="60">
        <v>301</v>
      </c>
      <c r="DY132" s="60"/>
      <c r="DZ132" s="60">
        <v>69</v>
      </c>
      <c r="EA132" s="60">
        <v>21628</v>
      </c>
      <c r="EB132" s="60">
        <v>495</v>
      </c>
      <c r="EC132" s="60">
        <v>160</v>
      </c>
      <c r="ED132" s="60">
        <v>0</v>
      </c>
      <c r="EE132" s="60">
        <v>0</v>
      </c>
      <c r="EF132" s="60">
        <v>0</v>
      </c>
      <c r="EG132" s="60">
        <v>0</v>
      </c>
      <c r="EH132" s="60">
        <v>0</v>
      </c>
      <c r="EI132" s="60">
        <v>14057</v>
      </c>
      <c r="EJ132" s="60">
        <v>1840</v>
      </c>
      <c r="EK132" s="60">
        <v>962</v>
      </c>
      <c r="EL132" s="60">
        <v>729</v>
      </c>
      <c r="EM132" s="60">
        <v>7162</v>
      </c>
      <c r="EN132" s="60">
        <v>1347</v>
      </c>
      <c r="EO132" s="60">
        <v>498</v>
      </c>
      <c r="EP132" s="60">
        <v>3107</v>
      </c>
      <c r="EQ132" s="60">
        <v>91</v>
      </c>
      <c r="ER132" s="60">
        <v>3820</v>
      </c>
      <c r="ES132" s="60">
        <v>978</v>
      </c>
      <c r="ET132" s="60">
        <v>1248</v>
      </c>
      <c r="EU132" s="60">
        <v>858</v>
      </c>
      <c r="EV132" s="60">
        <v>3589</v>
      </c>
      <c r="EW132" s="60">
        <v>810</v>
      </c>
      <c r="EX132" s="60">
        <v>1451</v>
      </c>
      <c r="EY132" s="60">
        <v>837</v>
      </c>
      <c r="EZ132" s="60">
        <v>146</v>
      </c>
      <c r="FA132" s="60">
        <v>2182</v>
      </c>
      <c r="FB132" s="60">
        <v>1473</v>
      </c>
      <c r="FC132" s="60">
        <v>802</v>
      </c>
      <c r="FD132" s="60">
        <v>1432</v>
      </c>
      <c r="FE132" s="60">
        <v>8</v>
      </c>
      <c r="FF132" s="60">
        <v>73</v>
      </c>
      <c r="FG132" s="60"/>
      <c r="FH132" s="60">
        <v>1184</v>
      </c>
      <c r="FI132" s="60">
        <v>73</v>
      </c>
      <c r="FJ132" s="60">
        <v>493</v>
      </c>
      <c r="FK132" s="60">
        <v>508</v>
      </c>
      <c r="FL132" s="60">
        <v>141</v>
      </c>
      <c r="FM132" s="60">
        <v>730</v>
      </c>
      <c r="FN132" s="60">
        <v>81</v>
      </c>
      <c r="FO132" s="60">
        <v>19727</v>
      </c>
      <c r="FP132" s="60">
        <v>593</v>
      </c>
      <c r="FQ132" s="60">
        <v>107</v>
      </c>
      <c r="FR132" s="60">
        <v>758</v>
      </c>
      <c r="FS132" s="60">
        <v>211</v>
      </c>
      <c r="FT132" s="60">
        <v>61</v>
      </c>
      <c r="FU132" s="60">
        <v>65</v>
      </c>
      <c r="FV132" s="60">
        <v>18</v>
      </c>
      <c r="FW132" s="60"/>
      <c r="FX132" s="60">
        <v>24750</v>
      </c>
      <c r="FY132" s="60">
        <v>1371</v>
      </c>
      <c r="FZ132" s="60">
        <v>12403</v>
      </c>
      <c r="GA132" s="60">
        <v>10976</v>
      </c>
      <c r="GB132" s="60">
        <v>2011</v>
      </c>
    </row>
    <row r="133" spans="1:184" x14ac:dyDescent="0.3">
      <c r="A133" s="60">
        <v>106191231</v>
      </c>
      <c r="B133" s="61" t="s">
        <v>574</v>
      </c>
      <c r="C133" s="61" t="s">
        <v>575</v>
      </c>
      <c r="D133" s="61" t="s">
        <v>576</v>
      </c>
      <c r="E133" s="61" t="s">
        <v>577</v>
      </c>
      <c r="F133" s="60">
        <v>91342</v>
      </c>
      <c r="G133" s="61"/>
      <c r="H133" s="61" t="s">
        <v>1689</v>
      </c>
      <c r="I133" s="60">
        <v>38</v>
      </c>
      <c r="J133" s="60">
        <v>20</v>
      </c>
      <c r="K133" s="61" t="s">
        <v>1852</v>
      </c>
      <c r="L133" s="61" t="s">
        <v>404</v>
      </c>
      <c r="M133" s="61" t="s">
        <v>1778</v>
      </c>
      <c r="N133" s="61" t="s">
        <v>1779</v>
      </c>
      <c r="O133" s="61" t="s">
        <v>1673</v>
      </c>
      <c r="P133" s="61" t="s">
        <v>1690</v>
      </c>
      <c r="Q133" s="61" t="s">
        <v>1674</v>
      </c>
      <c r="R133" s="60">
        <v>327</v>
      </c>
      <c r="S133" s="61" t="s">
        <v>1675</v>
      </c>
      <c r="T133" s="60">
        <v>24632</v>
      </c>
      <c r="U133" s="60">
        <v>23385</v>
      </c>
      <c r="V133" s="60"/>
      <c r="W133" s="60"/>
      <c r="X133" s="60">
        <v>1344</v>
      </c>
      <c r="Y133" s="60">
        <v>3355</v>
      </c>
      <c r="Z133" s="60">
        <v>8471</v>
      </c>
      <c r="AA133" s="60">
        <v>8404</v>
      </c>
      <c r="AB133" s="60">
        <v>10208</v>
      </c>
      <c r="AC133" s="60">
        <v>10113</v>
      </c>
      <c r="AD133" s="60">
        <v>4622</v>
      </c>
      <c r="AE133" s="60">
        <v>830</v>
      </c>
      <c r="AF133" s="60">
        <v>371</v>
      </c>
      <c r="AG133" s="60">
        <v>299</v>
      </c>
      <c r="AH133" s="60"/>
      <c r="AI133" s="60">
        <v>2302</v>
      </c>
      <c r="AJ133" s="60">
        <v>3233</v>
      </c>
      <c r="AK133" s="60">
        <v>31109</v>
      </c>
      <c r="AL133" s="60">
        <v>131</v>
      </c>
      <c r="AM133" s="60">
        <v>855</v>
      </c>
      <c r="AN133" s="60">
        <v>46</v>
      </c>
      <c r="AO133" s="60">
        <v>10341</v>
      </c>
      <c r="AP133" s="60">
        <v>3300</v>
      </c>
      <c r="AQ133" s="60">
        <v>111</v>
      </c>
      <c r="AR133" s="60">
        <v>243</v>
      </c>
      <c r="AS133" s="60">
        <v>19</v>
      </c>
      <c r="AT133" s="60">
        <v>398</v>
      </c>
      <c r="AU133" s="60"/>
      <c r="AV133" s="60"/>
      <c r="AW133" s="60"/>
      <c r="AX133" s="60"/>
      <c r="AY133" s="60">
        <v>69</v>
      </c>
      <c r="AZ133" s="60"/>
      <c r="BA133" s="60">
        <v>43874</v>
      </c>
      <c r="BB133" s="60">
        <v>3</v>
      </c>
      <c r="BC133" s="60"/>
      <c r="BD133" s="60"/>
      <c r="BE133" s="60">
        <v>11671</v>
      </c>
      <c r="BF133" s="60">
        <v>1680</v>
      </c>
      <c r="BG133" s="60">
        <v>27</v>
      </c>
      <c r="BH133" s="60">
        <v>2743</v>
      </c>
      <c r="BI133" s="60">
        <v>31896</v>
      </c>
      <c r="BJ133" s="60">
        <v>512</v>
      </c>
      <c r="BK133" s="60">
        <v>181</v>
      </c>
      <c r="BL133" s="60">
        <v>1387</v>
      </c>
      <c r="BM133" s="60">
        <v>49</v>
      </c>
      <c r="BN133" s="60">
        <v>3566</v>
      </c>
      <c r="BO133" s="60">
        <v>1582</v>
      </c>
      <c r="BP133" s="60">
        <v>4952</v>
      </c>
      <c r="BQ133" s="60">
        <v>874</v>
      </c>
      <c r="BR133" s="60">
        <v>4369</v>
      </c>
      <c r="BS133" s="60">
        <v>3289</v>
      </c>
      <c r="BT133" s="60">
        <v>404</v>
      </c>
      <c r="BU133" s="60">
        <v>2197</v>
      </c>
      <c r="BV133" s="60">
        <v>1731</v>
      </c>
      <c r="BW133" s="60">
        <v>8</v>
      </c>
      <c r="BX133" s="60">
        <v>6832</v>
      </c>
      <c r="BY133" s="60">
        <v>2935</v>
      </c>
      <c r="BZ133" s="60">
        <v>2062</v>
      </c>
      <c r="CA133" s="60">
        <v>11086</v>
      </c>
      <c r="CB133" s="60">
        <v>1</v>
      </c>
      <c r="CC133" s="60"/>
      <c r="CD133" s="60">
        <v>780</v>
      </c>
      <c r="CE133" s="60">
        <v>46</v>
      </c>
      <c r="CF133" s="60">
        <v>62</v>
      </c>
      <c r="CG133" s="60">
        <v>11</v>
      </c>
      <c r="CH133" s="60">
        <v>222</v>
      </c>
      <c r="CI133" s="60">
        <v>2</v>
      </c>
      <c r="CJ133" s="60">
        <v>182</v>
      </c>
      <c r="CK133" s="60">
        <v>130</v>
      </c>
      <c r="CL133" s="60">
        <v>44985</v>
      </c>
      <c r="CM133" s="60">
        <v>1176</v>
      </c>
      <c r="CN133" s="60">
        <v>67</v>
      </c>
      <c r="CO133" s="60">
        <v>145</v>
      </c>
      <c r="CP133" s="60">
        <v>77</v>
      </c>
      <c r="CQ133" s="60">
        <v>116</v>
      </c>
      <c r="CR133" s="60">
        <v>16</v>
      </c>
      <c r="CS133" s="60"/>
      <c r="CT133" s="60">
        <v>48017</v>
      </c>
      <c r="CU133" s="60">
        <v>1817</v>
      </c>
      <c r="CV133" s="60">
        <v>25331</v>
      </c>
      <c r="CW133" s="60">
        <v>20869</v>
      </c>
      <c r="CX133" s="60">
        <v>4378</v>
      </c>
      <c r="CY133" s="60">
        <v>5207</v>
      </c>
      <c r="CZ133" s="60"/>
      <c r="DA133" s="60"/>
      <c r="DB133" s="60">
        <v>183</v>
      </c>
      <c r="DC133" s="60">
        <v>890</v>
      </c>
      <c r="DD133" s="60">
        <v>1162</v>
      </c>
      <c r="DE133" s="60">
        <v>1974</v>
      </c>
      <c r="DF133" s="60">
        <v>2607</v>
      </c>
      <c r="DG133" s="60">
        <v>1606</v>
      </c>
      <c r="DH133" s="60">
        <v>598</v>
      </c>
      <c r="DI133" s="60">
        <v>426</v>
      </c>
      <c r="DJ133" s="60">
        <v>43</v>
      </c>
      <c r="DK133" s="60">
        <v>96</v>
      </c>
      <c r="DL133" s="60"/>
      <c r="DM133" s="60">
        <v>620</v>
      </c>
      <c r="DN133" s="60">
        <v>567</v>
      </c>
      <c r="DO133" s="60">
        <v>6018</v>
      </c>
      <c r="DP133" s="60">
        <v>146</v>
      </c>
      <c r="DQ133" s="60">
        <v>4</v>
      </c>
      <c r="DR133" s="60">
        <v>2206</v>
      </c>
      <c r="DS133" s="60">
        <v>24</v>
      </c>
      <c r="DT133" s="60">
        <v>310</v>
      </c>
      <c r="DU133" s="60">
        <v>248</v>
      </c>
      <c r="DV133" s="60">
        <v>114</v>
      </c>
      <c r="DW133" s="60">
        <v>82</v>
      </c>
      <c r="DX133" s="60">
        <v>28</v>
      </c>
      <c r="DY133" s="60">
        <v>25</v>
      </c>
      <c r="DZ133" s="60">
        <v>10</v>
      </c>
      <c r="EA133" s="60">
        <v>8398</v>
      </c>
      <c r="EB133" s="60">
        <v>358</v>
      </c>
      <c r="EC133" s="60">
        <v>12</v>
      </c>
      <c r="ED133" s="60">
        <v>0</v>
      </c>
      <c r="EE133" s="60">
        <v>0</v>
      </c>
      <c r="EF133" s="60">
        <v>0</v>
      </c>
      <c r="EG133" s="60">
        <v>0</v>
      </c>
      <c r="EH133" s="60">
        <v>0</v>
      </c>
      <c r="EI133" s="60">
        <v>4510</v>
      </c>
      <c r="EJ133" s="60">
        <v>888</v>
      </c>
      <c r="EK133" s="60">
        <v>207</v>
      </c>
      <c r="EL133" s="60">
        <v>93</v>
      </c>
      <c r="EM133" s="60">
        <v>3887</v>
      </c>
      <c r="EN133" s="60">
        <v>155</v>
      </c>
      <c r="EO133" s="60">
        <v>216</v>
      </c>
      <c r="EP133" s="60">
        <v>1699</v>
      </c>
      <c r="EQ133" s="60">
        <v>11</v>
      </c>
      <c r="ER133" s="60">
        <v>1675</v>
      </c>
      <c r="ES133" s="60">
        <v>628</v>
      </c>
      <c r="ET133" s="60">
        <v>641</v>
      </c>
      <c r="EU133" s="60">
        <v>545</v>
      </c>
      <c r="EV133" s="60">
        <v>460</v>
      </c>
      <c r="EW133" s="60">
        <v>156</v>
      </c>
      <c r="EX133" s="60">
        <v>376</v>
      </c>
      <c r="EY133" s="60">
        <v>314</v>
      </c>
      <c r="EZ133" s="60">
        <v>21</v>
      </c>
      <c r="FA133" s="60">
        <v>339</v>
      </c>
      <c r="FB133" s="60">
        <v>769</v>
      </c>
      <c r="FC133" s="60">
        <v>498</v>
      </c>
      <c r="FD133" s="60">
        <v>1080</v>
      </c>
      <c r="FE133" s="60"/>
      <c r="FF133" s="60">
        <v>2</v>
      </c>
      <c r="FG133" s="60"/>
      <c r="FH133" s="60">
        <v>100</v>
      </c>
      <c r="FI133" s="60">
        <v>45</v>
      </c>
      <c r="FJ133" s="60">
        <v>404</v>
      </c>
      <c r="FK133" s="60">
        <v>22</v>
      </c>
      <c r="FL133" s="60">
        <v>21</v>
      </c>
      <c r="FM133" s="60">
        <v>412</v>
      </c>
      <c r="FN133" s="60">
        <v>19</v>
      </c>
      <c r="FO133" s="60">
        <v>8391</v>
      </c>
      <c r="FP133" s="60">
        <v>89</v>
      </c>
      <c r="FQ133" s="60">
        <v>3</v>
      </c>
      <c r="FR133" s="60">
        <v>17</v>
      </c>
      <c r="FS133" s="60">
        <v>26</v>
      </c>
      <c r="FT133" s="60">
        <v>17</v>
      </c>
      <c r="FU133" s="60">
        <v>19</v>
      </c>
      <c r="FV133" s="60"/>
      <c r="FW133" s="60"/>
      <c r="FX133" s="60">
        <v>9585</v>
      </c>
      <c r="FY133" s="60">
        <v>541</v>
      </c>
      <c r="FZ133" s="60">
        <v>4609</v>
      </c>
      <c r="GA133" s="60">
        <v>4435</v>
      </c>
      <c r="GB133" s="60">
        <v>2011</v>
      </c>
    </row>
    <row r="134" spans="1:184" x14ac:dyDescent="0.3">
      <c r="A134" s="60">
        <v>106191450</v>
      </c>
      <c r="B134" s="61" t="s">
        <v>578</v>
      </c>
      <c r="C134" s="61" t="s">
        <v>1853</v>
      </c>
      <c r="D134" s="61" t="s">
        <v>579</v>
      </c>
      <c r="E134" s="61" t="s">
        <v>580</v>
      </c>
      <c r="F134" s="60">
        <v>91367</v>
      </c>
      <c r="G134" s="61"/>
      <c r="H134" s="61" t="s">
        <v>1669</v>
      </c>
      <c r="I134" s="60">
        <v>41</v>
      </c>
      <c r="J134" s="60">
        <v>23</v>
      </c>
      <c r="K134" s="61" t="s">
        <v>1801</v>
      </c>
      <c r="L134" s="61" t="s">
        <v>404</v>
      </c>
      <c r="M134" s="61" t="s">
        <v>1778</v>
      </c>
      <c r="N134" s="61" t="s">
        <v>1779</v>
      </c>
      <c r="O134" s="61" t="s">
        <v>1673</v>
      </c>
      <c r="P134" s="61" t="s">
        <v>1678</v>
      </c>
      <c r="Q134" s="61" t="s">
        <v>1674</v>
      </c>
      <c r="R134" s="60">
        <v>262</v>
      </c>
      <c r="S134" s="61" t="s">
        <v>1675</v>
      </c>
      <c r="T134" s="60">
        <v>18021</v>
      </c>
      <c r="U134" s="60">
        <v>15380</v>
      </c>
      <c r="V134" s="60"/>
      <c r="W134" s="60"/>
      <c r="X134" s="60">
        <v>2233</v>
      </c>
      <c r="Y134" s="60">
        <v>2744</v>
      </c>
      <c r="Z134" s="60">
        <v>4203</v>
      </c>
      <c r="AA134" s="60">
        <v>3478</v>
      </c>
      <c r="AB134" s="60">
        <v>4040</v>
      </c>
      <c r="AC134" s="60">
        <v>4377</v>
      </c>
      <c r="AD134" s="60">
        <v>4180</v>
      </c>
      <c r="AE134" s="60">
        <v>3683</v>
      </c>
      <c r="AF134" s="60">
        <v>4083</v>
      </c>
      <c r="AG134" s="60">
        <v>380</v>
      </c>
      <c r="AH134" s="60"/>
      <c r="AI134" s="60">
        <v>2580</v>
      </c>
      <c r="AJ134" s="60">
        <v>2364</v>
      </c>
      <c r="AK134" s="60">
        <v>6230</v>
      </c>
      <c r="AL134" s="60">
        <v>68</v>
      </c>
      <c r="AM134" s="60">
        <v>894</v>
      </c>
      <c r="AN134" s="60">
        <v>603</v>
      </c>
      <c r="AO134" s="60">
        <v>20662</v>
      </c>
      <c r="AP134" s="60">
        <v>170</v>
      </c>
      <c r="AQ134" s="60">
        <v>234</v>
      </c>
      <c r="AR134" s="60"/>
      <c r="AS134" s="60">
        <v>29</v>
      </c>
      <c r="AT134" s="60">
        <v>115</v>
      </c>
      <c r="AU134" s="60">
        <v>8</v>
      </c>
      <c r="AV134" s="60">
        <v>12</v>
      </c>
      <c r="AW134" s="60"/>
      <c r="AX134" s="60">
        <v>18</v>
      </c>
      <c r="AY134" s="60">
        <v>464</v>
      </c>
      <c r="AZ134" s="60">
        <v>3</v>
      </c>
      <c r="BA134" s="60">
        <v>32112</v>
      </c>
      <c r="BB134" s="60">
        <v>132</v>
      </c>
      <c r="BC134" s="60">
        <v>104</v>
      </c>
      <c r="BD134" s="60"/>
      <c r="BE134" s="60">
        <v>1753</v>
      </c>
      <c r="BF134" s="60">
        <v>9849</v>
      </c>
      <c r="BG134" s="60">
        <v>78</v>
      </c>
      <c r="BH134" s="60">
        <v>18398</v>
      </c>
      <c r="BI134" s="60">
        <v>3323</v>
      </c>
      <c r="BJ134" s="60">
        <v>424</v>
      </c>
      <c r="BK134" s="60">
        <v>167</v>
      </c>
      <c r="BL134" s="60">
        <v>1436</v>
      </c>
      <c r="BM134" s="60">
        <v>4</v>
      </c>
      <c r="BN134" s="60">
        <v>1745</v>
      </c>
      <c r="BO134" s="60">
        <v>685</v>
      </c>
      <c r="BP134" s="60">
        <v>1901</v>
      </c>
      <c r="BQ134" s="60">
        <v>558</v>
      </c>
      <c r="BR134" s="60">
        <v>7946</v>
      </c>
      <c r="BS134" s="60">
        <v>2004</v>
      </c>
      <c r="BT134" s="60">
        <v>74</v>
      </c>
      <c r="BU134" s="60">
        <v>1883</v>
      </c>
      <c r="BV134" s="60">
        <v>697</v>
      </c>
      <c r="BW134" s="60">
        <v>27</v>
      </c>
      <c r="BX134" s="60">
        <v>1509</v>
      </c>
      <c r="BY134" s="60">
        <v>2647</v>
      </c>
      <c r="BZ134" s="60">
        <v>1147</v>
      </c>
      <c r="CA134" s="60">
        <v>8547</v>
      </c>
      <c r="CB134" s="60"/>
      <c r="CC134" s="60"/>
      <c r="CD134" s="60">
        <v>2665</v>
      </c>
      <c r="CE134" s="60">
        <v>135</v>
      </c>
      <c r="CF134" s="60">
        <v>495</v>
      </c>
      <c r="CG134" s="60">
        <v>8</v>
      </c>
      <c r="CH134" s="60">
        <v>199</v>
      </c>
      <c r="CI134" s="60">
        <v>5</v>
      </c>
      <c r="CJ134" s="60">
        <v>280</v>
      </c>
      <c r="CK134" s="60">
        <v>349</v>
      </c>
      <c r="CL134" s="60">
        <v>24593</v>
      </c>
      <c r="CM134" s="60">
        <v>3479</v>
      </c>
      <c r="CN134" s="60">
        <v>122</v>
      </c>
      <c r="CO134" s="60">
        <v>804</v>
      </c>
      <c r="CP134" s="60">
        <v>99</v>
      </c>
      <c r="CQ134" s="60">
        <v>156</v>
      </c>
      <c r="CR134" s="60">
        <v>12</v>
      </c>
      <c r="CS134" s="60"/>
      <c r="CT134" s="60">
        <v>33401</v>
      </c>
      <c r="CU134" s="60">
        <v>765</v>
      </c>
      <c r="CV134" s="60">
        <v>30737</v>
      </c>
      <c r="CW134" s="60">
        <v>1899</v>
      </c>
      <c r="CX134" s="60">
        <v>2705</v>
      </c>
      <c r="CY134" s="60">
        <v>2481</v>
      </c>
      <c r="CZ134" s="60"/>
      <c r="DA134" s="60"/>
      <c r="DB134" s="60">
        <v>92</v>
      </c>
      <c r="DC134" s="60">
        <v>179</v>
      </c>
      <c r="DD134" s="60">
        <v>223</v>
      </c>
      <c r="DE134" s="60">
        <v>302</v>
      </c>
      <c r="DF134" s="60">
        <v>542</v>
      </c>
      <c r="DG134" s="60">
        <v>898</v>
      </c>
      <c r="DH134" s="60">
        <v>1182</v>
      </c>
      <c r="DI134" s="60">
        <v>1737</v>
      </c>
      <c r="DJ134" s="60">
        <v>2</v>
      </c>
      <c r="DK134" s="60">
        <v>29</v>
      </c>
      <c r="DL134" s="60"/>
      <c r="DM134" s="60">
        <v>336</v>
      </c>
      <c r="DN134" s="60">
        <v>181</v>
      </c>
      <c r="DO134" s="60">
        <v>587</v>
      </c>
      <c r="DP134" s="60">
        <v>29</v>
      </c>
      <c r="DQ134" s="60">
        <v>6</v>
      </c>
      <c r="DR134" s="60">
        <v>4039</v>
      </c>
      <c r="DS134" s="60">
        <v>8</v>
      </c>
      <c r="DT134" s="60">
        <v>226</v>
      </c>
      <c r="DU134" s="60">
        <v>33</v>
      </c>
      <c r="DV134" s="60">
        <v>194</v>
      </c>
      <c r="DW134" s="60">
        <v>1093</v>
      </c>
      <c r="DX134" s="60">
        <v>51</v>
      </c>
      <c r="DY134" s="60">
        <v>1</v>
      </c>
      <c r="DZ134" s="60">
        <v>150</v>
      </c>
      <c r="EA134" s="60">
        <v>2863</v>
      </c>
      <c r="EB134" s="60">
        <v>575</v>
      </c>
      <c r="EC134" s="60"/>
      <c r="ED134" s="60">
        <v>0</v>
      </c>
      <c r="EE134" s="60">
        <v>0</v>
      </c>
      <c r="EF134" s="60">
        <v>0</v>
      </c>
      <c r="EG134" s="60">
        <v>0</v>
      </c>
      <c r="EH134" s="60">
        <v>0</v>
      </c>
      <c r="EI134" s="60">
        <v>94</v>
      </c>
      <c r="EJ134" s="60">
        <v>3370</v>
      </c>
      <c r="EK134" s="60">
        <v>5</v>
      </c>
      <c r="EL134" s="60">
        <v>1579</v>
      </c>
      <c r="EM134" s="60">
        <v>138</v>
      </c>
      <c r="EN134" s="60">
        <v>32</v>
      </c>
      <c r="EO134" s="60">
        <v>86</v>
      </c>
      <c r="EP134" s="60">
        <v>1001</v>
      </c>
      <c r="EQ134" s="60">
        <v>3</v>
      </c>
      <c r="ER134" s="60">
        <v>1005</v>
      </c>
      <c r="ES134" s="60">
        <v>194</v>
      </c>
      <c r="ET134" s="60">
        <v>294</v>
      </c>
      <c r="EU134" s="60">
        <v>723</v>
      </c>
      <c r="EV134" s="60">
        <v>628</v>
      </c>
      <c r="EW134" s="60">
        <v>100</v>
      </c>
      <c r="EX134" s="60">
        <v>134</v>
      </c>
      <c r="EY134" s="60">
        <v>118</v>
      </c>
      <c r="EZ134" s="60">
        <v>4</v>
      </c>
      <c r="FA134" s="60">
        <v>68</v>
      </c>
      <c r="FB134" s="60">
        <v>468</v>
      </c>
      <c r="FC134" s="60">
        <v>76</v>
      </c>
      <c r="FD134" s="60">
        <v>251</v>
      </c>
      <c r="FE134" s="60"/>
      <c r="FF134" s="60">
        <v>1</v>
      </c>
      <c r="FG134" s="60"/>
      <c r="FH134" s="60">
        <v>363</v>
      </c>
      <c r="FI134" s="60">
        <v>18</v>
      </c>
      <c r="FJ134" s="60">
        <v>329</v>
      </c>
      <c r="FK134" s="60">
        <v>5</v>
      </c>
      <c r="FL134" s="60">
        <v>8</v>
      </c>
      <c r="FM134" s="60">
        <v>403</v>
      </c>
      <c r="FN134" s="60">
        <v>13</v>
      </c>
      <c r="FO134" s="60">
        <v>3911</v>
      </c>
      <c r="FP134" s="60">
        <v>59</v>
      </c>
      <c r="FQ134" s="60">
        <v>7</v>
      </c>
      <c r="FR134" s="60">
        <v>21</v>
      </c>
      <c r="FS134" s="60">
        <v>32</v>
      </c>
      <c r="FT134" s="60">
        <v>13</v>
      </c>
      <c r="FU134" s="60">
        <v>3</v>
      </c>
      <c r="FV134" s="60">
        <v>1</v>
      </c>
      <c r="FW134" s="60"/>
      <c r="FX134" s="60">
        <v>5186</v>
      </c>
      <c r="FY134" s="60">
        <v>125</v>
      </c>
      <c r="FZ134" s="60">
        <v>4872</v>
      </c>
      <c r="GA134" s="60">
        <v>189</v>
      </c>
      <c r="GB134" s="60">
        <v>2011</v>
      </c>
    </row>
    <row r="135" spans="1:184" x14ac:dyDescent="0.3">
      <c r="A135" s="60">
        <v>106196035</v>
      </c>
      <c r="B135" s="61" t="s">
        <v>581</v>
      </c>
      <c r="C135" s="61" t="s">
        <v>1854</v>
      </c>
      <c r="D135" s="61" t="s">
        <v>582</v>
      </c>
      <c r="E135" s="61" t="s">
        <v>583</v>
      </c>
      <c r="F135" s="60">
        <v>91706</v>
      </c>
      <c r="G135" s="61"/>
      <c r="H135" s="61" t="s">
        <v>1669</v>
      </c>
      <c r="I135" s="60">
        <v>57</v>
      </c>
      <c r="J135" s="60">
        <v>24</v>
      </c>
      <c r="K135" s="61" t="s">
        <v>1808</v>
      </c>
      <c r="L135" s="61" t="s">
        <v>344</v>
      </c>
      <c r="M135" s="61" t="s">
        <v>1778</v>
      </c>
      <c r="N135" s="61" t="s">
        <v>1779</v>
      </c>
      <c r="O135" s="61" t="s">
        <v>1673</v>
      </c>
      <c r="P135" s="61" t="s">
        <v>1678</v>
      </c>
      <c r="Q135" s="61" t="s">
        <v>1674</v>
      </c>
      <c r="R135" s="60">
        <v>269</v>
      </c>
      <c r="S135" s="61" t="s">
        <v>1675</v>
      </c>
      <c r="T135" s="60">
        <v>35579</v>
      </c>
      <c r="U135" s="60">
        <v>29090</v>
      </c>
      <c r="V135" s="60">
        <v>1</v>
      </c>
      <c r="W135" s="60"/>
      <c r="X135" s="60">
        <v>8994</v>
      </c>
      <c r="Y135" s="60">
        <v>7538</v>
      </c>
      <c r="Z135" s="60">
        <v>8666</v>
      </c>
      <c r="AA135" s="60">
        <v>7806</v>
      </c>
      <c r="AB135" s="60">
        <v>7538</v>
      </c>
      <c r="AC135" s="60">
        <v>7477</v>
      </c>
      <c r="AD135" s="60">
        <v>6393</v>
      </c>
      <c r="AE135" s="60">
        <v>5064</v>
      </c>
      <c r="AF135" s="60">
        <v>3476</v>
      </c>
      <c r="AG135" s="60">
        <v>1718</v>
      </c>
      <c r="AH135" s="60"/>
      <c r="AI135" s="60">
        <v>5849</v>
      </c>
      <c r="AJ135" s="60">
        <v>2412</v>
      </c>
      <c r="AK135" s="60">
        <v>38805</v>
      </c>
      <c r="AL135" s="60">
        <v>102</v>
      </c>
      <c r="AM135" s="60">
        <v>5083</v>
      </c>
      <c r="AN135" s="60">
        <v>2375</v>
      </c>
      <c r="AO135" s="60">
        <v>10044</v>
      </c>
      <c r="AP135" s="60">
        <v>656</v>
      </c>
      <c r="AQ135" s="60">
        <v>319</v>
      </c>
      <c r="AR135" s="60"/>
      <c r="AS135" s="60">
        <v>22</v>
      </c>
      <c r="AT135" s="60">
        <v>311</v>
      </c>
      <c r="AU135" s="60">
        <v>46</v>
      </c>
      <c r="AV135" s="60">
        <v>15</v>
      </c>
      <c r="AW135" s="60">
        <v>10</v>
      </c>
      <c r="AX135" s="60">
        <v>95</v>
      </c>
      <c r="AY135" s="60">
        <v>506</v>
      </c>
      <c r="AZ135" s="60">
        <v>68</v>
      </c>
      <c r="BA135" s="60">
        <v>62370</v>
      </c>
      <c r="BB135" s="60">
        <v>135</v>
      </c>
      <c r="BC135" s="60">
        <v>116</v>
      </c>
      <c r="BD135" s="60">
        <v>1</v>
      </c>
      <c r="BE135" s="60">
        <v>9509</v>
      </c>
      <c r="BF135" s="60">
        <v>11609</v>
      </c>
      <c r="BG135" s="60">
        <v>175</v>
      </c>
      <c r="BH135" s="60">
        <v>39295</v>
      </c>
      <c r="BI135" s="60">
        <v>4082</v>
      </c>
      <c r="BJ135" s="60">
        <v>1479</v>
      </c>
      <c r="BK135" s="60">
        <v>318</v>
      </c>
      <c r="BL135" s="60">
        <v>1753</v>
      </c>
      <c r="BM135" s="60">
        <v>15</v>
      </c>
      <c r="BN135" s="60">
        <v>4486</v>
      </c>
      <c r="BO135" s="60">
        <v>1385</v>
      </c>
      <c r="BP135" s="60">
        <v>3711</v>
      </c>
      <c r="BQ135" s="60">
        <v>1404</v>
      </c>
      <c r="BR135" s="60">
        <v>15014</v>
      </c>
      <c r="BS135" s="60">
        <v>3574</v>
      </c>
      <c r="BT135" s="60">
        <v>83</v>
      </c>
      <c r="BU135" s="60">
        <v>4521</v>
      </c>
      <c r="BV135" s="60">
        <v>1521</v>
      </c>
      <c r="BW135" s="60">
        <v>71</v>
      </c>
      <c r="BX135" s="60">
        <v>2020</v>
      </c>
      <c r="BY135" s="60">
        <v>6667</v>
      </c>
      <c r="BZ135" s="60">
        <v>2642</v>
      </c>
      <c r="CA135" s="60">
        <v>14006</v>
      </c>
      <c r="CB135" s="60"/>
      <c r="CC135" s="60"/>
      <c r="CD135" s="60">
        <v>4853</v>
      </c>
      <c r="CE135" s="60">
        <v>175</v>
      </c>
      <c r="CF135" s="60">
        <v>803</v>
      </c>
      <c r="CG135" s="60">
        <v>16</v>
      </c>
      <c r="CH135" s="60">
        <v>378</v>
      </c>
      <c r="CI135" s="60">
        <v>20</v>
      </c>
      <c r="CJ135" s="60">
        <v>543</v>
      </c>
      <c r="CK135" s="60">
        <v>675</v>
      </c>
      <c r="CL135" s="60">
        <v>47492</v>
      </c>
      <c r="CM135" s="60">
        <v>7392</v>
      </c>
      <c r="CN135" s="60">
        <v>267</v>
      </c>
      <c r="CO135" s="60">
        <v>1586</v>
      </c>
      <c r="CP135" s="60">
        <v>101</v>
      </c>
      <c r="CQ135" s="60">
        <v>351</v>
      </c>
      <c r="CR135" s="60">
        <v>18</v>
      </c>
      <c r="CS135" s="60"/>
      <c r="CT135" s="60">
        <v>64670</v>
      </c>
      <c r="CU135" s="60">
        <v>1210</v>
      </c>
      <c r="CV135" s="60">
        <v>54385</v>
      </c>
      <c r="CW135" s="60">
        <v>9075</v>
      </c>
      <c r="CX135" s="60">
        <v>4236</v>
      </c>
      <c r="CY135" s="60">
        <v>4051</v>
      </c>
      <c r="CZ135" s="60"/>
      <c r="DA135" s="60"/>
      <c r="DB135" s="60">
        <v>151</v>
      </c>
      <c r="DC135" s="60">
        <v>357</v>
      </c>
      <c r="DD135" s="60">
        <v>481</v>
      </c>
      <c r="DE135" s="60">
        <v>781</v>
      </c>
      <c r="DF135" s="60">
        <v>1326</v>
      </c>
      <c r="DG135" s="60">
        <v>1709</v>
      </c>
      <c r="DH135" s="60">
        <v>1815</v>
      </c>
      <c r="DI135" s="60">
        <v>1655</v>
      </c>
      <c r="DJ135" s="60">
        <v>7</v>
      </c>
      <c r="DK135" s="60">
        <v>5</v>
      </c>
      <c r="DL135" s="60"/>
      <c r="DM135" s="60">
        <v>1118</v>
      </c>
      <c r="DN135" s="60">
        <v>465</v>
      </c>
      <c r="DO135" s="60">
        <v>3980</v>
      </c>
      <c r="DP135" s="60">
        <v>149</v>
      </c>
      <c r="DQ135" s="60">
        <v>13</v>
      </c>
      <c r="DR135" s="60">
        <v>2549</v>
      </c>
      <c r="DS135" s="60">
        <v>13</v>
      </c>
      <c r="DT135" s="60">
        <v>426</v>
      </c>
      <c r="DU135" s="60">
        <v>53</v>
      </c>
      <c r="DV135" s="60">
        <v>159</v>
      </c>
      <c r="DW135" s="60">
        <v>1762</v>
      </c>
      <c r="DX135" s="60">
        <v>46</v>
      </c>
      <c r="DY135" s="60">
        <v>42</v>
      </c>
      <c r="DZ135" s="60">
        <v>18</v>
      </c>
      <c r="EA135" s="60">
        <v>4946</v>
      </c>
      <c r="EB135" s="60">
        <v>834</v>
      </c>
      <c r="EC135" s="60">
        <v>1</v>
      </c>
      <c r="ED135" s="60">
        <v>0</v>
      </c>
      <c r="EE135" s="60">
        <v>0</v>
      </c>
      <c r="EF135" s="60">
        <v>0</v>
      </c>
      <c r="EG135" s="60">
        <v>0</v>
      </c>
      <c r="EH135" s="60">
        <v>0</v>
      </c>
      <c r="EI135" s="60">
        <v>253</v>
      </c>
      <c r="EJ135" s="60">
        <v>4384</v>
      </c>
      <c r="EK135" s="60">
        <v>13</v>
      </c>
      <c r="EL135" s="60">
        <v>3432</v>
      </c>
      <c r="EM135" s="60">
        <v>205</v>
      </c>
      <c r="EN135" s="60">
        <v>90</v>
      </c>
      <c r="EO135" s="60">
        <v>250</v>
      </c>
      <c r="EP135" s="60">
        <v>1721</v>
      </c>
      <c r="EQ135" s="60">
        <v>3</v>
      </c>
      <c r="ER135" s="60">
        <v>1715</v>
      </c>
      <c r="ES135" s="60">
        <v>568</v>
      </c>
      <c r="ET135" s="60">
        <v>510</v>
      </c>
      <c r="EU135" s="60">
        <v>551</v>
      </c>
      <c r="EV135" s="60">
        <v>583</v>
      </c>
      <c r="EW135" s="60">
        <v>150</v>
      </c>
      <c r="EX135" s="60">
        <v>205</v>
      </c>
      <c r="EY135" s="60">
        <v>157</v>
      </c>
      <c r="EZ135" s="60">
        <v>11</v>
      </c>
      <c r="FA135" s="60">
        <v>79</v>
      </c>
      <c r="FB135" s="60">
        <v>889</v>
      </c>
      <c r="FC135" s="60">
        <v>227</v>
      </c>
      <c r="FD135" s="60">
        <v>571</v>
      </c>
      <c r="FE135" s="60">
        <v>1</v>
      </c>
      <c r="FF135" s="60">
        <v>6</v>
      </c>
      <c r="FG135" s="60"/>
      <c r="FH135" s="60">
        <v>366</v>
      </c>
      <c r="FI135" s="60">
        <v>31</v>
      </c>
      <c r="FJ135" s="60">
        <v>676</v>
      </c>
      <c r="FK135" s="60">
        <v>8</v>
      </c>
      <c r="FL135" s="60">
        <v>22</v>
      </c>
      <c r="FM135" s="60">
        <v>354</v>
      </c>
      <c r="FN135" s="60">
        <v>16</v>
      </c>
      <c r="FO135" s="60">
        <v>6615</v>
      </c>
      <c r="FP135" s="60">
        <v>110</v>
      </c>
      <c r="FQ135" s="60">
        <v>5</v>
      </c>
      <c r="FR135" s="60">
        <v>33</v>
      </c>
      <c r="FS135" s="60">
        <v>25</v>
      </c>
      <c r="FT135" s="60">
        <v>15</v>
      </c>
      <c r="FU135" s="60">
        <v>8</v>
      </c>
      <c r="FV135" s="60">
        <v>3</v>
      </c>
      <c r="FW135" s="60"/>
      <c r="FX135" s="60">
        <v>8287</v>
      </c>
      <c r="FY135" s="60">
        <v>266</v>
      </c>
      <c r="FZ135" s="60">
        <v>6942</v>
      </c>
      <c r="GA135" s="60">
        <v>1079</v>
      </c>
      <c r="GB135" s="60">
        <v>2011</v>
      </c>
    </row>
    <row r="136" spans="1:184" x14ac:dyDescent="0.3">
      <c r="A136" s="60">
        <v>106196403</v>
      </c>
      <c r="B136" s="61" t="s">
        <v>584</v>
      </c>
      <c r="C136" s="61" t="s">
        <v>585</v>
      </c>
      <c r="D136" s="61" t="s">
        <v>586</v>
      </c>
      <c r="E136" s="61" t="s">
        <v>396</v>
      </c>
      <c r="F136" s="60">
        <v>90242</v>
      </c>
      <c r="G136" s="61"/>
      <c r="H136" s="61" t="s">
        <v>1669</v>
      </c>
      <c r="I136" s="60">
        <v>50</v>
      </c>
      <c r="J136" s="60">
        <v>27</v>
      </c>
      <c r="K136" s="61" t="s">
        <v>1800</v>
      </c>
      <c r="L136" s="61" t="s">
        <v>357</v>
      </c>
      <c r="M136" s="61" t="s">
        <v>1778</v>
      </c>
      <c r="N136" s="61" t="s">
        <v>1779</v>
      </c>
      <c r="O136" s="61" t="s">
        <v>1673</v>
      </c>
      <c r="P136" s="61" t="s">
        <v>1678</v>
      </c>
      <c r="Q136" s="61" t="s">
        <v>1674</v>
      </c>
      <c r="R136" s="60">
        <v>352</v>
      </c>
      <c r="S136" s="61" t="s">
        <v>1675</v>
      </c>
      <c r="T136" s="60">
        <v>45919</v>
      </c>
      <c r="U136" s="60">
        <v>34344</v>
      </c>
      <c r="V136" s="60">
        <v>1</v>
      </c>
      <c r="W136" s="60"/>
      <c r="X136" s="60">
        <v>10770</v>
      </c>
      <c r="Y136" s="60">
        <v>9158</v>
      </c>
      <c r="Z136" s="60">
        <v>11708</v>
      </c>
      <c r="AA136" s="60">
        <v>10437</v>
      </c>
      <c r="AB136" s="60">
        <v>10296</v>
      </c>
      <c r="AC136" s="60">
        <v>9579</v>
      </c>
      <c r="AD136" s="60">
        <v>7420</v>
      </c>
      <c r="AE136" s="60">
        <v>4972</v>
      </c>
      <c r="AF136" s="60">
        <v>3727</v>
      </c>
      <c r="AG136" s="60">
        <v>2196</v>
      </c>
      <c r="AH136" s="60">
        <v>1</v>
      </c>
      <c r="AI136" s="60">
        <v>4469</v>
      </c>
      <c r="AJ136" s="60">
        <v>15776</v>
      </c>
      <c r="AK136" s="60">
        <v>44795</v>
      </c>
      <c r="AL136" s="60">
        <v>156</v>
      </c>
      <c r="AM136" s="60">
        <v>2007</v>
      </c>
      <c r="AN136" s="60">
        <v>516</v>
      </c>
      <c r="AO136" s="60">
        <v>12545</v>
      </c>
      <c r="AP136" s="60">
        <v>1131</v>
      </c>
      <c r="AQ136" s="60">
        <v>601</v>
      </c>
      <c r="AR136" s="60">
        <v>15</v>
      </c>
      <c r="AS136" s="60">
        <v>18</v>
      </c>
      <c r="AT136" s="60">
        <v>350</v>
      </c>
      <c r="AU136" s="60">
        <v>41</v>
      </c>
      <c r="AV136" s="60">
        <v>8</v>
      </c>
      <c r="AW136" s="60">
        <v>3</v>
      </c>
      <c r="AX136" s="60">
        <v>26</v>
      </c>
      <c r="AY136" s="60">
        <v>618</v>
      </c>
      <c r="AZ136" s="60">
        <v>33</v>
      </c>
      <c r="BA136" s="60">
        <v>77200</v>
      </c>
      <c r="BB136" s="60">
        <v>115</v>
      </c>
      <c r="BC136" s="60">
        <v>82</v>
      </c>
      <c r="BD136" s="60">
        <v>23</v>
      </c>
      <c r="BE136" s="60">
        <v>10269</v>
      </c>
      <c r="BF136" s="60">
        <v>12767</v>
      </c>
      <c r="BG136" s="60">
        <v>183</v>
      </c>
      <c r="BH136" s="60">
        <v>50570</v>
      </c>
      <c r="BI136" s="60">
        <v>6475</v>
      </c>
      <c r="BJ136" s="60">
        <v>2839</v>
      </c>
      <c r="BK136" s="60">
        <v>515</v>
      </c>
      <c r="BL136" s="60">
        <v>2001</v>
      </c>
      <c r="BM136" s="60">
        <v>21</v>
      </c>
      <c r="BN136" s="60">
        <v>4761</v>
      </c>
      <c r="BO136" s="60">
        <v>1474</v>
      </c>
      <c r="BP136" s="60">
        <v>5058</v>
      </c>
      <c r="BQ136" s="60">
        <v>1378</v>
      </c>
      <c r="BR136" s="60">
        <v>16009</v>
      </c>
      <c r="BS136" s="60">
        <v>4825</v>
      </c>
      <c r="BT136" s="60">
        <v>145</v>
      </c>
      <c r="BU136" s="60">
        <v>5192</v>
      </c>
      <c r="BV136" s="60">
        <v>1453</v>
      </c>
      <c r="BW136" s="60">
        <v>145</v>
      </c>
      <c r="BX136" s="60">
        <v>2391</v>
      </c>
      <c r="BY136" s="60">
        <v>8240</v>
      </c>
      <c r="BZ136" s="60">
        <v>2806</v>
      </c>
      <c r="CA136" s="60">
        <v>21011</v>
      </c>
      <c r="CB136" s="60"/>
      <c r="CC136" s="60"/>
      <c r="CD136" s="60">
        <v>5106</v>
      </c>
      <c r="CE136" s="60">
        <v>225</v>
      </c>
      <c r="CF136" s="60">
        <v>930</v>
      </c>
      <c r="CG136" s="60">
        <v>25</v>
      </c>
      <c r="CH136" s="60">
        <v>545</v>
      </c>
      <c r="CI136" s="60">
        <v>20</v>
      </c>
      <c r="CJ136" s="60">
        <v>627</v>
      </c>
      <c r="CK136" s="60">
        <v>738</v>
      </c>
      <c r="CL136" s="60">
        <v>62158</v>
      </c>
      <c r="CM136" s="60">
        <v>7250</v>
      </c>
      <c r="CN136" s="60">
        <v>332</v>
      </c>
      <c r="CO136" s="60">
        <v>1631</v>
      </c>
      <c r="CP136" s="60">
        <v>179</v>
      </c>
      <c r="CQ136" s="60">
        <v>414</v>
      </c>
      <c r="CR136" s="60">
        <v>84</v>
      </c>
      <c r="CS136" s="60"/>
      <c r="CT136" s="60">
        <v>80264</v>
      </c>
      <c r="CU136" s="60">
        <v>599</v>
      </c>
      <c r="CV136" s="60">
        <v>67084</v>
      </c>
      <c r="CW136" s="60">
        <v>12581</v>
      </c>
      <c r="CX136" s="60">
        <v>6260</v>
      </c>
      <c r="CY136" s="60">
        <v>5406</v>
      </c>
      <c r="CZ136" s="60"/>
      <c r="DA136" s="60"/>
      <c r="DB136" s="60">
        <v>440</v>
      </c>
      <c r="DC136" s="60">
        <v>765</v>
      </c>
      <c r="DD136" s="60">
        <v>958</v>
      </c>
      <c r="DE136" s="60">
        <v>1263</v>
      </c>
      <c r="DF136" s="60">
        <v>1800</v>
      </c>
      <c r="DG136" s="60">
        <v>2075</v>
      </c>
      <c r="DH136" s="60">
        <v>2058</v>
      </c>
      <c r="DI136" s="60">
        <v>1886</v>
      </c>
      <c r="DJ136" s="60">
        <v>119</v>
      </c>
      <c r="DK136" s="60">
        <v>302</v>
      </c>
      <c r="DL136" s="60"/>
      <c r="DM136" s="60">
        <v>806</v>
      </c>
      <c r="DN136" s="60">
        <v>2426</v>
      </c>
      <c r="DO136" s="60">
        <v>5207</v>
      </c>
      <c r="DP136" s="60">
        <v>107</v>
      </c>
      <c r="DQ136" s="60">
        <v>7</v>
      </c>
      <c r="DR136" s="60">
        <v>3082</v>
      </c>
      <c r="DS136" s="60">
        <v>31</v>
      </c>
      <c r="DT136" s="60">
        <v>515</v>
      </c>
      <c r="DU136" s="60">
        <v>92</v>
      </c>
      <c r="DV136" s="60">
        <v>222</v>
      </c>
      <c r="DW136" s="60">
        <v>2292</v>
      </c>
      <c r="DX136" s="60">
        <v>52</v>
      </c>
      <c r="DY136" s="60">
        <v>6</v>
      </c>
      <c r="DZ136" s="60">
        <v>87</v>
      </c>
      <c r="EA136" s="60">
        <v>7753</v>
      </c>
      <c r="EB136" s="60">
        <v>644</v>
      </c>
      <c r="EC136" s="60">
        <v>3</v>
      </c>
      <c r="ED136" s="60">
        <v>0</v>
      </c>
      <c r="EE136" s="60">
        <v>0</v>
      </c>
      <c r="EF136" s="60">
        <v>0</v>
      </c>
      <c r="EG136" s="60">
        <v>0</v>
      </c>
      <c r="EH136" s="60">
        <v>0</v>
      </c>
      <c r="EI136" s="60">
        <v>612</v>
      </c>
      <c r="EJ136" s="60">
        <v>5215</v>
      </c>
      <c r="EK136" s="60">
        <v>20</v>
      </c>
      <c r="EL136" s="60">
        <v>5373</v>
      </c>
      <c r="EM136" s="60">
        <v>446</v>
      </c>
      <c r="EN136" s="60">
        <v>127</v>
      </c>
      <c r="EO136" s="60">
        <v>323</v>
      </c>
      <c r="EP136" s="60">
        <v>1785</v>
      </c>
      <c r="EQ136" s="60">
        <v>11</v>
      </c>
      <c r="ER136" s="60">
        <v>2486</v>
      </c>
      <c r="ES136" s="60">
        <v>667</v>
      </c>
      <c r="ET136" s="60">
        <v>742</v>
      </c>
      <c r="EU136" s="60">
        <v>1362</v>
      </c>
      <c r="EV136" s="60">
        <v>883</v>
      </c>
      <c r="EW136" s="60">
        <v>241</v>
      </c>
      <c r="EX136" s="60">
        <v>262</v>
      </c>
      <c r="EY136" s="60">
        <v>328</v>
      </c>
      <c r="EZ136" s="60">
        <v>15</v>
      </c>
      <c r="FA136" s="60">
        <v>164</v>
      </c>
      <c r="FB136" s="60">
        <v>1188</v>
      </c>
      <c r="FC136" s="60">
        <v>408</v>
      </c>
      <c r="FD136" s="60">
        <v>653</v>
      </c>
      <c r="FE136" s="60"/>
      <c r="FF136" s="60">
        <v>21</v>
      </c>
      <c r="FG136" s="60"/>
      <c r="FH136" s="60">
        <v>443</v>
      </c>
      <c r="FI136" s="60">
        <v>40</v>
      </c>
      <c r="FJ136" s="60">
        <v>979</v>
      </c>
      <c r="FK136" s="60">
        <v>16</v>
      </c>
      <c r="FL136" s="60">
        <v>17</v>
      </c>
      <c r="FM136" s="60">
        <v>707</v>
      </c>
      <c r="FN136" s="60">
        <v>23</v>
      </c>
      <c r="FO136" s="60">
        <v>9159</v>
      </c>
      <c r="FP136" s="60">
        <v>185</v>
      </c>
      <c r="FQ136" s="60">
        <v>8</v>
      </c>
      <c r="FR136" s="60">
        <v>29</v>
      </c>
      <c r="FS136" s="60">
        <v>19</v>
      </c>
      <c r="FT136" s="60">
        <v>32</v>
      </c>
      <c r="FU136" s="60">
        <v>9</v>
      </c>
      <c r="FV136" s="60"/>
      <c r="FW136" s="60"/>
      <c r="FX136" s="60">
        <v>11666</v>
      </c>
      <c r="FY136" s="60">
        <v>113</v>
      </c>
      <c r="FZ136" s="60">
        <v>9734</v>
      </c>
      <c r="GA136" s="60">
        <v>1819</v>
      </c>
      <c r="GB136" s="60">
        <v>2011</v>
      </c>
    </row>
    <row r="137" spans="1:184" x14ac:dyDescent="0.3">
      <c r="A137" s="60">
        <v>106196405</v>
      </c>
      <c r="B137" s="61" t="s">
        <v>587</v>
      </c>
      <c r="C137" s="61" t="s">
        <v>588</v>
      </c>
      <c r="D137" s="61" t="s">
        <v>589</v>
      </c>
      <c r="E137" s="61" t="s">
        <v>590</v>
      </c>
      <c r="F137" s="60">
        <v>93551</v>
      </c>
      <c r="G137" s="61"/>
      <c r="H137" s="61" t="s">
        <v>1669</v>
      </c>
      <c r="I137" s="60">
        <v>36</v>
      </c>
      <c r="J137" s="60">
        <v>17</v>
      </c>
      <c r="K137" s="61" t="s">
        <v>1855</v>
      </c>
      <c r="L137" s="61" t="s">
        <v>349</v>
      </c>
      <c r="M137" s="61" t="s">
        <v>1778</v>
      </c>
      <c r="N137" s="61" t="s">
        <v>1779</v>
      </c>
      <c r="O137" s="61" t="s">
        <v>1673</v>
      </c>
      <c r="P137" s="61" t="s">
        <v>221</v>
      </c>
      <c r="Q137" s="61" t="s">
        <v>1674</v>
      </c>
      <c r="R137" s="60">
        <v>157</v>
      </c>
      <c r="S137" s="61" t="s">
        <v>1675</v>
      </c>
      <c r="T137" s="60">
        <v>26892</v>
      </c>
      <c r="U137" s="60">
        <v>19423</v>
      </c>
      <c r="V137" s="60"/>
      <c r="W137" s="60"/>
      <c r="X137" s="60">
        <v>7024</v>
      </c>
      <c r="Y137" s="60">
        <v>6094</v>
      </c>
      <c r="Z137" s="60">
        <v>8090</v>
      </c>
      <c r="AA137" s="60">
        <v>6369</v>
      </c>
      <c r="AB137" s="60">
        <v>6232</v>
      </c>
      <c r="AC137" s="60">
        <v>5347</v>
      </c>
      <c r="AD137" s="60">
        <v>2808</v>
      </c>
      <c r="AE137" s="60">
        <v>1721</v>
      </c>
      <c r="AF137" s="60">
        <v>1288</v>
      </c>
      <c r="AG137" s="60">
        <v>1341</v>
      </c>
      <c r="AH137" s="60">
        <v>1</v>
      </c>
      <c r="AI137" s="60">
        <v>223</v>
      </c>
      <c r="AJ137" s="60">
        <v>10696</v>
      </c>
      <c r="AK137" s="60">
        <v>15327</v>
      </c>
      <c r="AL137" s="60">
        <v>18</v>
      </c>
      <c r="AM137" s="60">
        <v>3942</v>
      </c>
      <c r="AN137" s="60">
        <v>225</v>
      </c>
      <c r="AO137" s="60">
        <v>15884</v>
      </c>
      <c r="AP137" s="60">
        <v>485</v>
      </c>
      <c r="AQ137" s="60">
        <v>424</v>
      </c>
      <c r="AR137" s="60">
        <v>5</v>
      </c>
      <c r="AS137" s="60">
        <v>61</v>
      </c>
      <c r="AT137" s="60">
        <v>1</v>
      </c>
      <c r="AU137" s="60">
        <v>5</v>
      </c>
      <c r="AV137" s="60">
        <v>4</v>
      </c>
      <c r="AW137" s="60"/>
      <c r="AX137" s="60">
        <v>1328</v>
      </c>
      <c r="AY137" s="60">
        <v>143</v>
      </c>
      <c r="AZ137" s="60"/>
      <c r="BA137" s="60">
        <v>43841</v>
      </c>
      <c r="BB137" s="60">
        <v>18</v>
      </c>
      <c r="BC137" s="60"/>
      <c r="BD137" s="60"/>
      <c r="BE137" s="60">
        <v>7479</v>
      </c>
      <c r="BF137" s="60">
        <v>4363</v>
      </c>
      <c r="BG137" s="60">
        <v>1317</v>
      </c>
      <c r="BH137" s="60">
        <v>25956</v>
      </c>
      <c r="BI137" s="60">
        <v>7200</v>
      </c>
      <c r="BJ137" s="60">
        <v>1289</v>
      </c>
      <c r="BK137" s="60">
        <v>202</v>
      </c>
      <c r="BL137" s="60">
        <v>1000</v>
      </c>
      <c r="BM137" s="60">
        <v>7</v>
      </c>
      <c r="BN137" s="60">
        <v>2122</v>
      </c>
      <c r="BO137" s="60">
        <v>964</v>
      </c>
      <c r="BP137" s="60">
        <v>2793</v>
      </c>
      <c r="BQ137" s="60">
        <v>864</v>
      </c>
      <c r="BR137" s="60">
        <v>9211</v>
      </c>
      <c r="BS137" s="60">
        <v>2253</v>
      </c>
      <c r="BT137" s="60">
        <v>52</v>
      </c>
      <c r="BU137" s="60">
        <v>3695</v>
      </c>
      <c r="BV137" s="60">
        <v>2491</v>
      </c>
      <c r="BW137" s="60">
        <v>33</v>
      </c>
      <c r="BX137" s="60">
        <v>1113</v>
      </c>
      <c r="BY137" s="60">
        <v>6309</v>
      </c>
      <c r="BZ137" s="60">
        <v>1761</v>
      </c>
      <c r="CA137" s="60">
        <v>10152</v>
      </c>
      <c r="CB137" s="60"/>
      <c r="CC137" s="60">
        <v>4</v>
      </c>
      <c r="CD137" s="60">
        <v>2946</v>
      </c>
      <c r="CE137" s="60">
        <v>189</v>
      </c>
      <c r="CF137" s="60">
        <v>337</v>
      </c>
      <c r="CG137" s="60">
        <v>19</v>
      </c>
      <c r="CH137" s="60">
        <v>641</v>
      </c>
      <c r="CI137" s="60">
        <v>73</v>
      </c>
      <c r="CJ137" s="60">
        <v>264</v>
      </c>
      <c r="CK137" s="60">
        <v>435</v>
      </c>
      <c r="CL137" s="60">
        <v>35970</v>
      </c>
      <c r="CM137" s="60">
        <v>3513</v>
      </c>
      <c r="CN137" s="60">
        <v>178</v>
      </c>
      <c r="CO137" s="60">
        <v>1222</v>
      </c>
      <c r="CP137" s="60">
        <v>251</v>
      </c>
      <c r="CQ137" s="60">
        <v>178</v>
      </c>
      <c r="CR137" s="60">
        <v>99</v>
      </c>
      <c r="CS137" s="60"/>
      <c r="CT137" s="60">
        <v>46315</v>
      </c>
      <c r="CU137" s="60">
        <v>124</v>
      </c>
      <c r="CV137" s="60">
        <v>45190</v>
      </c>
      <c r="CW137" s="60">
        <v>1001</v>
      </c>
      <c r="CX137" s="60">
        <v>3340</v>
      </c>
      <c r="CY137" s="60">
        <v>2940</v>
      </c>
      <c r="CZ137" s="60">
        <v>1</v>
      </c>
      <c r="DA137" s="60"/>
      <c r="DB137" s="60">
        <v>67</v>
      </c>
      <c r="DC137" s="60">
        <v>384</v>
      </c>
      <c r="DD137" s="60">
        <v>471</v>
      </c>
      <c r="DE137" s="60">
        <v>800</v>
      </c>
      <c r="DF137" s="60">
        <v>1287</v>
      </c>
      <c r="DG137" s="60">
        <v>1171</v>
      </c>
      <c r="DH137" s="60">
        <v>1083</v>
      </c>
      <c r="DI137" s="60">
        <v>1018</v>
      </c>
      <c r="DJ137" s="60"/>
      <c r="DK137" s="60"/>
      <c r="DL137" s="60"/>
      <c r="DM137" s="60">
        <v>53</v>
      </c>
      <c r="DN137" s="60">
        <v>1250</v>
      </c>
      <c r="DO137" s="60">
        <v>1411</v>
      </c>
      <c r="DP137" s="60">
        <v>400</v>
      </c>
      <c r="DQ137" s="60">
        <v>39</v>
      </c>
      <c r="DR137" s="60">
        <v>3124</v>
      </c>
      <c r="DS137" s="60">
        <v>4</v>
      </c>
      <c r="DT137" s="60">
        <v>101</v>
      </c>
      <c r="DU137" s="60">
        <v>127</v>
      </c>
      <c r="DV137" s="60">
        <v>188</v>
      </c>
      <c r="DW137" s="60">
        <v>739</v>
      </c>
      <c r="DX137" s="60">
        <v>80</v>
      </c>
      <c r="DY137" s="60"/>
      <c r="DZ137" s="60"/>
      <c r="EA137" s="60">
        <v>4354</v>
      </c>
      <c r="EB137" s="60">
        <v>514</v>
      </c>
      <c r="EC137" s="60">
        <v>178</v>
      </c>
      <c r="ED137" s="60">
        <v>0</v>
      </c>
      <c r="EE137" s="60">
        <v>0</v>
      </c>
      <c r="EF137" s="60">
        <v>0</v>
      </c>
      <c r="EG137" s="60">
        <v>0</v>
      </c>
      <c r="EH137" s="60">
        <v>0</v>
      </c>
      <c r="EI137" s="60">
        <v>1221</v>
      </c>
      <c r="EJ137" s="60">
        <v>3246</v>
      </c>
      <c r="EK137" s="60">
        <v>113</v>
      </c>
      <c r="EL137" s="60">
        <v>1257</v>
      </c>
      <c r="EM137" s="60">
        <v>444</v>
      </c>
      <c r="EN137" s="60">
        <v>14</v>
      </c>
      <c r="EO137" s="60">
        <v>99</v>
      </c>
      <c r="EP137" s="60">
        <v>1442</v>
      </c>
      <c r="EQ137" s="60">
        <v>1</v>
      </c>
      <c r="ER137" s="60">
        <v>1088</v>
      </c>
      <c r="ES137" s="60">
        <v>358</v>
      </c>
      <c r="ET137" s="60">
        <v>351</v>
      </c>
      <c r="EU137" s="60">
        <v>288</v>
      </c>
      <c r="EV137" s="60">
        <v>617</v>
      </c>
      <c r="EW137" s="60">
        <v>134</v>
      </c>
      <c r="EX137" s="60">
        <v>145</v>
      </c>
      <c r="EY137" s="60">
        <v>169</v>
      </c>
      <c r="EZ137" s="60">
        <v>6</v>
      </c>
      <c r="FA137" s="60">
        <v>76</v>
      </c>
      <c r="FB137" s="60">
        <v>871</v>
      </c>
      <c r="FC137" s="60">
        <v>143</v>
      </c>
      <c r="FD137" s="60">
        <v>479</v>
      </c>
      <c r="FE137" s="60"/>
      <c r="FF137" s="60"/>
      <c r="FG137" s="60"/>
      <c r="FH137" s="60">
        <v>313</v>
      </c>
      <c r="FI137" s="60">
        <v>52</v>
      </c>
      <c r="FJ137" s="60">
        <v>368</v>
      </c>
      <c r="FK137" s="60">
        <v>13</v>
      </c>
      <c r="FL137" s="60">
        <v>28</v>
      </c>
      <c r="FM137" s="60">
        <v>301</v>
      </c>
      <c r="FN137" s="60">
        <v>16</v>
      </c>
      <c r="FO137" s="60">
        <v>4974</v>
      </c>
      <c r="FP137" s="60">
        <v>72</v>
      </c>
      <c r="FQ137" s="60">
        <v>16</v>
      </c>
      <c r="FR137" s="60">
        <v>47</v>
      </c>
      <c r="FS137" s="60">
        <v>42</v>
      </c>
      <c r="FT137" s="60">
        <v>27</v>
      </c>
      <c r="FU137" s="60">
        <v>11</v>
      </c>
      <c r="FV137" s="60">
        <v>1</v>
      </c>
      <c r="FW137" s="60"/>
      <c r="FX137" s="60">
        <v>6281</v>
      </c>
      <c r="FY137" s="60">
        <v>40</v>
      </c>
      <c r="FZ137" s="60">
        <v>5963</v>
      </c>
      <c r="GA137" s="60">
        <v>278</v>
      </c>
      <c r="GB137" s="60">
        <v>2011</v>
      </c>
    </row>
    <row r="138" spans="1:184" x14ac:dyDescent="0.3">
      <c r="A138" s="60">
        <v>106201281</v>
      </c>
      <c r="B138" s="61" t="s">
        <v>591</v>
      </c>
      <c r="C138" s="61" t="s">
        <v>592</v>
      </c>
      <c r="D138" s="61" t="s">
        <v>594</v>
      </c>
      <c r="E138" s="61" t="s">
        <v>593</v>
      </c>
      <c r="F138" s="60">
        <v>93637</v>
      </c>
      <c r="G138" s="61"/>
      <c r="H138" s="61" t="s">
        <v>1669</v>
      </c>
      <c r="I138" s="60">
        <v>29</v>
      </c>
      <c r="J138" s="60">
        <v>12</v>
      </c>
      <c r="K138" s="61" t="s">
        <v>1856</v>
      </c>
      <c r="L138" s="61"/>
      <c r="M138" s="61" t="s">
        <v>1733</v>
      </c>
      <c r="N138" s="61" t="s">
        <v>1857</v>
      </c>
      <c r="O138" s="61" t="s">
        <v>1673</v>
      </c>
      <c r="P138" s="61" t="s">
        <v>1678</v>
      </c>
      <c r="Q138" s="61" t="s">
        <v>1674</v>
      </c>
      <c r="R138" s="60">
        <v>106</v>
      </c>
      <c r="S138" s="61" t="s">
        <v>1675</v>
      </c>
      <c r="T138" s="60">
        <v>23825</v>
      </c>
      <c r="U138" s="60">
        <v>17285</v>
      </c>
      <c r="V138" s="60">
        <v>2</v>
      </c>
      <c r="W138" s="60"/>
      <c r="X138" s="60">
        <v>6879</v>
      </c>
      <c r="Y138" s="60">
        <v>5430</v>
      </c>
      <c r="Z138" s="60">
        <v>7932</v>
      </c>
      <c r="AA138" s="60">
        <v>6301</v>
      </c>
      <c r="AB138" s="60">
        <v>5005</v>
      </c>
      <c r="AC138" s="60">
        <v>3698</v>
      </c>
      <c r="AD138" s="60">
        <v>2097</v>
      </c>
      <c r="AE138" s="60">
        <v>1294</v>
      </c>
      <c r="AF138" s="60">
        <v>1059</v>
      </c>
      <c r="AG138" s="60">
        <v>1417</v>
      </c>
      <c r="AH138" s="60"/>
      <c r="AI138" s="60">
        <v>199</v>
      </c>
      <c r="AJ138" s="60">
        <v>1840</v>
      </c>
      <c r="AK138" s="60">
        <v>27921</v>
      </c>
      <c r="AL138" s="60">
        <v>51</v>
      </c>
      <c r="AM138" s="60">
        <v>34</v>
      </c>
      <c r="AN138" s="60">
        <v>64</v>
      </c>
      <c r="AO138" s="60">
        <v>11003</v>
      </c>
      <c r="AP138" s="60">
        <v>607</v>
      </c>
      <c r="AQ138" s="60">
        <v>1048</v>
      </c>
      <c r="AR138" s="60"/>
      <c r="AS138" s="60">
        <v>29</v>
      </c>
      <c r="AT138" s="60">
        <v>3</v>
      </c>
      <c r="AU138" s="60">
        <v>2</v>
      </c>
      <c r="AV138" s="60">
        <v>6</v>
      </c>
      <c r="AW138" s="60">
        <v>248</v>
      </c>
      <c r="AX138" s="60">
        <v>727</v>
      </c>
      <c r="AY138" s="60">
        <v>331</v>
      </c>
      <c r="AZ138" s="60">
        <v>109</v>
      </c>
      <c r="BA138" s="60">
        <v>37944</v>
      </c>
      <c r="BB138" s="60">
        <v>58</v>
      </c>
      <c r="BC138" s="60"/>
      <c r="BD138" s="60"/>
      <c r="BE138" s="60">
        <v>20453</v>
      </c>
      <c r="BF138" s="60">
        <v>4259</v>
      </c>
      <c r="BG138" s="60">
        <v>3844</v>
      </c>
      <c r="BH138" s="60">
        <v>5341</v>
      </c>
      <c r="BI138" s="60">
        <v>7215</v>
      </c>
      <c r="BJ138" s="60">
        <v>1477</v>
      </c>
      <c r="BK138" s="60">
        <v>142</v>
      </c>
      <c r="BL138" s="60">
        <v>820</v>
      </c>
      <c r="BM138" s="60">
        <v>15</v>
      </c>
      <c r="BN138" s="60">
        <v>2934</v>
      </c>
      <c r="BO138" s="60">
        <v>601</v>
      </c>
      <c r="BP138" s="60">
        <v>2489</v>
      </c>
      <c r="BQ138" s="60">
        <v>984</v>
      </c>
      <c r="BR138" s="60">
        <v>7590</v>
      </c>
      <c r="BS138" s="60">
        <v>2227</v>
      </c>
      <c r="BT138" s="60">
        <v>73</v>
      </c>
      <c r="BU138" s="60">
        <v>2966</v>
      </c>
      <c r="BV138" s="60">
        <v>2355</v>
      </c>
      <c r="BW138" s="60">
        <v>37</v>
      </c>
      <c r="BX138" s="60">
        <v>1745</v>
      </c>
      <c r="BY138" s="60">
        <v>5955</v>
      </c>
      <c r="BZ138" s="60">
        <v>1875</v>
      </c>
      <c r="CA138" s="60">
        <v>6825</v>
      </c>
      <c r="CB138" s="60">
        <v>1</v>
      </c>
      <c r="CC138" s="60">
        <v>1</v>
      </c>
      <c r="CD138" s="60">
        <v>2186</v>
      </c>
      <c r="CE138" s="60">
        <v>186</v>
      </c>
      <c r="CF138" s="60">
        <v>257</v>
      </c>
      <c r="CG138" s="60">
        <v>29</v>
      </c>
      <c r="CH138" s="60">
        <v>502</v>
      </c>
      <c r="CI138" s="60">
        <v>56</v>
      </c>
      <c r="CJ138" s="60">
        <v>109</v>
      </c>
      <c r="CK138" s="60">
        <v>520</v>
      </c>
      <c r="CL138" s="60">
        <v>32757</v>
      </c>
      <c r="CM138" s="60">
        <v>3245</v>
      </c>
      <c r="CN138" s="60">
        <v>164</v>
      </c>
      <c r="CO138" s="60">
        <v>716</v>
      </c>
      <c r="CP138" s="60">
        <v>95</v>
      </c>
      <c r="CQ138" s="60">
        <v>225</v>
      </c>
      <c r="CR138" s="60">
        <v>65</v>
      </c>
      <c r="CS138" s="60"/>
      <c r="CT138" s="60">
        <v>41112</v>
      </c>
      <c r="CU138" s="60">
        <v>147</v>
      </c>
      <c r="CV138" s="60">
        <v>29025</v>
      </c>
      <c r="CW138" s="60">
        <v>11940</v>
      </c>
      <c r="CX138" s="60">
        <v>1335</v>
      </c>
      <c r="CY138" s="60">
        <v>919</v>
      </c>
      <c r="CZ138" s="60"/>
      <c r="DA138" s="60"/>
      <c r="DB138" s="60">
        <v>47</v>
      </c>
      <c r="DC138" s="60">
        <v>183</v>
      </c>
      <c r="DD138" s="60">
        <v>193</v>
      </c>
      <c r="DE138" s="60">
        <v>274</v>
      </c>
      <c r="DF138" s="60">
        <v>353</v>
      </c>
      <c r="DG138" s="60">
        <v>325</v>
      </c>
      <c r="DH138" s="60">
        <v>373</v>
      </c>
      <c r="DI138" s="60">
        <v>505</v>
      </c>
      <c r="DJ138" s="60">
        <v>1</v>
      </c>
      <c r="DK138" s="60"/>
      <c r="DL138" s="60"/>
      <c r="DM138" s="60">
        <v>44</v>
      </c>
      <c r="DN138" s="60">
        <v>173</v>
      </c>
      <c r="DO138" s="60">
        <v>1019</v>
      </c>
      <c r="DP138" s="60">
        <v>3</v>
      </c>
      <c r="DQ138" s="60">
        <v>1</v>
      </c>
      <c r="DR138" s="60">
        <v>1013</v>
      </c>
      <c r="DS138" s="60">
        <v>1</v>
      </c>
      <c r="DT138" s="60">
        <v>80</v>
      </c>
      <c r="DU138" s="60">
        <v>46</v>
      </c>
      <c r="DV138" s="60">
        <v>109</v>
      </c>
      <c r="DW138" s="60">
        <v>167</v>
      </c>
      <c r="DX138" s="60">
        <v>9</v>
      </c>
      <c r="DY138" s="60">
        <v>4</v>
      </c>
      <c r="DZ138" s="60">
        <v>7</v>
      </c>
      <c r="EA138" s="60">
        <v>1331</v>
      </c>
      <c r="EB138" s="60">
        <v>349</v>
      </c>
      <c r="EC138" s="60">
        <v>152</v>
      </c>
      <c r="ED138" s="60">
        <v>0</v>
      </c>
      <c r="EE138" s="60">
        <v>0</v>
      </c>
      <c r="EF138" s="60">
        <v>0</v>
      </c>
      <c r="EG138" s="60">
        <v>0</v>
      </c>
      <c r="EH138" s="60">
        <v>0</v>
      </c>
      <c r="EI138" s="60">
        <v>571</v>
      </c>
      <c r="EJ138" s="60">
        <v>1028</v>
      </c>
      <c r="EK138" s="60">
        <v>188</v>
      </c>
      <c r="EL138" s="60">
        <v>222</v>
      </c>
      <c r="EM138" s="60">
        <v>245</v>
      </c>
      <c r="EN138" s="60">
        <v>45</v>
      </c>
      <c r="EO138" s="60">
        <v>70</v>
      </c>
      <c r="EP138" s="60">
        <v>421</v>
      </c>
      <c r="EQ138" s="60">
        <v>1</v>
      </c>
      <c r="ER138" s="60">
        <v>456</v>
      </c>
      <c r="ES138" s="60">
        <v>198</v>
      </c>
      <c r="ET138" s="60">
        <v>145</v>
      </c>
      <c r="EU138" s="60">
        <v>127</v>
      </c>
      <c r="EV138" s="60">
        <v>126</v>
      </c>
      <c r="EW138" s="60">
        <v>19</v>
      </c>
      <c r="EX138" s="60">
        <v>51</v>
      </c>
      <c r="EY138" s="60">
        <v>28</v>
      </c>
      <c r="EZ138" s="60">
        <v>3</v>
      </c>
      <c r="FA138" s="60">
        <v>19</v>
      </c>
      <c r="FB138" s="60">
        <v>350</v>
      </c>
      <c r="FC138" s="60">
        <v>99</v>
      </c>
      <c r="FD138" s="60">
        <v>95</v>
      </c>
      <c r="FE138" s="60">
        <v>1</v>
      </c>
      <c r="FF138" s="60"/>
      <c r="FG138" s="60"/>
      <c r="FH138" s="60">
        <v>72</v>
      </c>
      <c r="FI138" s="60">
        <v>26</v>
      </c>
      <c r="FJ138" s="60">
        <v>102</v>
      </c>
      <c r="FK138" s="60">
        <v>5</v>
      </c>
      <c r="FL138" s="60">
        <v>6</v>
      </c>
      <c r="FM138" s="60">
        <v>73</v>
      </c>
      <c r="FN138" s="60">
        <v>5</v>
      </c>
      <c r="FO138" s="60">
        <v>1906</v>
      </c>
      <c r="FP138" s="60">
        <v>20</v>
      </c>
      <c r="FQ138" s="60">
        <v>4</v>
      </c>
      <c r="FR138" s="60">
        <v>3</v>
      </c>
      <c r="FS138" s="60">
        <v>23</v>
      </c>
      <c r="FT138" s="60">
        <v>2</v>
      </c>
      <c r="FU138" s="60">
        <v>6</v>
      </c>
      <c r="FV138" s="60">
        <v>1</v>
      </c>
      <c r="FW138" s="60"/>
      <c r="FX138" s="60">
        <v>2254</v>
      </c>
      <c r="FY138" s="60">
        <v>30</v>
      </c>
      <c r="FZ138" s="60">
        <v>1785</v>
      </c>
      <c r="GA138" s="60">
        <v>439</v>
      </c>
      <c r="GB138" s="60">
        <v>2011</v>
      </c>
    </row>
    <row r="139" spans="1:184" x14ac:dyDescent="0.3">
      <c r="A139" s="60">
        <v>106204019</v>
      </c>
      <c r="B139" s="61" t="s">
        <v>595</v>
      </c>
      <c r="C139" s="61" t="s">
        <v>1858</v>
      </c>
      <c r="D139" s="61" t="s">
        <v>1859</v>
      </c>
      <c r="E139" s="61" t="s">
        <v>593</v>
      </c>
      <c r="F139" s="60">
        <v>93638</v>
      </c>
      <c r="G139" s="61"/>
      <c r="H139" s="61" t="s">
        <v>1669</v>
      </c>
      <c r="I139" s="60">
        <v>29</v>
      </c>
      <c r="J139" s="60">
        <v>14</v>
      </c>
      <c r="K139" s="61" t="s">
        <v>1856</v>
      </c>
      <c r="L139" s="61"/>
      <c r="M139" s="61" t="s">
        <v>1733</v>
      </c>
      <c r="N139" s="61" t="s">
        <v>1857</v>
      </c>
      <c r="O139" s="61" t="s">
        <v>1673</v>
      </c>
      <c r="P139" s="61" t="s">
        <v>1678</v>
      </c>
      <c r="Q139" s="61" t="s">
        <v>1680</v>
      </c>
      <c r="R139" s="60">
        <v>348</v>
      </c>
      <c r="S139" s="61" t="s">
        <v>1675</v>
      </c>
      <c r="T139" s="60">
        <v>29156</v>
      </c>
      <c r="U139" s="60">
        <v>33669</v>
      </c>
      <c r="V139" s="60"/>
      <c r="W139" s="60"/>
      <c r="X139" s="60">
        <v>37804</v>
      </c>
      <c r="Y139" s="60">
        <v>10934</v>
      </c>
      <c r="Z139" s="60">
        <v>172</v>
      </c>
      <c r="AA139" s="60">
        <v>75</v>
      </c>
      <c r="AB139" s="60">
        <v>38</v>
      </c>
      <c r="AC139" s="60">
        <v>32</v>
      </c>
      <c r="AD139" s="60">
        <v>15</v>
      </c>
      <c r="AE139" s="60">
        <v>1</v>
      </c>
      <c r="AF139" s="60">
        <v>2</v>
      </c>
      <c r="AG139" s="60">
        <v>13752</v>
      </c>
      <c r="AH139" s="60"/>
      <c r="AI139" s="60">
        <v>1695</v>
      </c>
      <c r="AJ139" s="60">
        <v>2501</v>
      </c>
      <c r="AK139" s="60">
        <v>44975</v>
      </c>
      <c r="AL139" s="60">
        <v>45</v>
      </c>
      <c r="AM139" s="60">
        <v>1509</v>
      </c>
      <c r="AN139" s="60">
        <v>69</v>
      </c>
      <c r="AO139" s="60">
        <v>12031</v>
      </c>
      <c r="AP139" s="60">
        <v>163</v>
      </c>
      <c r="AQ139" s="60">
        <v>25</v>
      </c>
      <c r="AR139" s="60"/>
      <c r="AS139" s="60">
        <v>8</v>
      </c>
      <c r="AT139" s="60"/>
      <c r="AU139" s="60"/>
      <c r="AV139" s="60"/>
      <c r="AW139" s="60">
        <v>59</v>
      </c>
      <c r="AX139" s="60"/>
      <c r="AY139" s="60"/>
      <c r="AZ139" s="60"/>
      <c r="BA139" s="60">
        <v>62570</v>
      </c>
      <c r="BB139" s="60"/>
      <c r="BC139" s="60"/>
      <c r="BD139" s="60"/>
      <c r="BE139" s="60">
        <v>47198</v>
      </c>
      <c r="BF139" s="60">
        <v>11</v>
      </c>
      <c r="BG139" s="60">
        <v>571</v>
      </c>
      <c r="BH139" s="60">
        <v>13083</v>
      </c>
      <c r="BI139" s="60">
        <v>1962</v>
      </c>
      <c r="BJ139" s="60">
        <v>19</v>
      </c>
      <c r="BK139" s="60">
        <v>293</v>
      </c>
      <c r="BL139" s="60">
        <v>93</v>
      </c>
      <c r="BM139" s="60">
        <v>133</v>
      </c>
      <c r="BN139" s="60">
        <v>3882</v>
      </c>
      <c r="BO139" s="60">
        <v>614</v>
      </c>
      <c r="BP139" s="60">
        <v>1882</v>
      </c>
      <c r="BQ139" s="60">
        <v>3914</v>
      </c>
      <c r="BR139" s="60">
        <v>10374</v>
      </c>
      <c r="BS139" s="60">
        <v>750</v>
      </c>
      <c r="BT139" s="60">
        <v>58</v>
      </c>
      <c r="BU139" s="60">
        <v>4645</v>
      </c>
      <c r="BV139" s="60">
        <v>1000</v>
      </c>
      <c r="BW139" s="60">
        <v>240</v>
      </c>
      <c r="BX139" s="60">
        <v>226</v>
      </c>
      <c r="BY139" s="60">
        <v>14500</v>
      </c>
      <c r="BZ139" s="60">
        <v>2956</v>
      </c>
      <c r="CA139" s="60">
        <v>17245</v>
      </c>
      <c r="CB139" s="60"/>
      <c r="CC139" s="60">
        <v>1</v>
      </c>
      <c r="CD139" s="60">
        <v>4036</v>
      </c>
      <c r="CE139" s="60">
        <v>218</v>
      </c>
      <c r="CF139" s="60">
        <v>193</v>
      </c>
      <c r="CG139" s="60">
        <v>24</v>
      </c>
      <c r="CH139" s="60">
        <v>75</v>
      </c>
      <c r="CI139" s="60">
        <v>12</v>
      </c>
      <c r="CJ139" s="60">
        <v>112</v>
      </c>
      <c r="CK139" s="60">
        <v>666</v>
      </c>
      <c r="CL139" s="60">
        <v>52305</v>
      </c>
      <c r="CM139" s="60">
        <v>4061</v>
      </c>
      <c r="CN139" s="60">
        <v>276</v>
      </c>
      <c r="CO139" s="60">
        <v>298</v>
      </c>
      <c r="CP139" s="60">
        <v>13</v>
      </c>
      <c r="CQ139" s="60">
        <v>525</v>
      </c>
      <c r="CR139" s="60">
        <v>11</v>
      </c>
      <c r="CS139" s="60"/>
      <c r="CT139" s="60">
        <v>62825</v>
      </c>
      <c r="CU139" s="60">
        <v>204</v>
      </c>
      <c r="CV139" s="60">
        <v>48769</v>
      </c>
      <c r="CW139" s="60">
        <v>13852</v>
      </c>
      <c r="CX139" s="60">
        <v>3450</v>
      </c>
      <c r="CY139" s="60">
        <v>4471</v>
      </c>
      <c r="CZ139" s="60"/>
      <c r="DA139" s="60"/>
      <c r="DB139" s="60">
        <v>1668</v>
      </c>
      <c r="DC139" s="60">
        <v>38</v>
      </c>
      <c r="DD139" s="60"/>
      <c r="DE139" s="60"/>
      <c r="DF139" s="60"/>
      <c r="DG139" s="60"/>
      <c r="DH139" s="60"/>
      <c r="DI139" s="60"/>
      <c r="DJ139" s="60">
        <v>2484</v>
      </c>
      <c r="DK139" s="60">
        <v>3731</v>
      </c>
      <c r="DL139" s="60"/>
      <c r="DM139" s="60">
        <v>295</v>
      </c>
      <c r="DN139" s="60">
        <v>370</v>
      </c>
      <c r="DO139" s="60">
        <v>5211</v>
      </c>
      <c r="DP139" s="60">
        <v>139</v>
      </c>
      <c r="DQ139" s="60">
        <v>1</v>
      </c>
      <c r="DR139" s="60">
        <v>1898</v>
      </c>
      <c r="DS139" s="60">
        <v>7</v>
      </c>
      <c r="DT139" s="60">
        <v>48</v>
      </c>
      <c r="DU139" s="60">
        <v>4</v>
      </c>
      <c r="DV139" s="60">
        <v>12</v>
      </c>
      <c r="DW139" s="60">
        <v>28</v>
      </c>
      <c r="DX139" s="60">
        <v>21</v>
      </c>
      <c r="DY139" s="60"/>
      <c r="DZ139" s="60"/>
      <c r="EA139" s="60">
        <v>7808</v>
      </c>
      <c r="EB139" s="60"/>
      <c r="EC139" s="60"/>
      <c r="ED139" s="60">
        <v>0</v>
      </c>
      <c r="EE139" s="60">
        <v>0</v>
      </c>
      <c r="EF139" s="60">
        <v>0</v>
      </c>
      <c r="EG139" s="60">
        <v>0</v>
      </c>
      <c r="EH139" s="60">
        <v>0</v>
      </c>
      <c r="EI139" s="60">
        <v>5843</v>
      </c>
      <c r="EJ139" s="60">
        <v>9</v>
      </c>
      <c r="EK139" s="60">
        <v>128</v>
      </c>
      <c r="EL139" s="60">
        <v>1921</v>
      </c>
      <c r="EM139" s="60">
        <v>20</v>
      </c>
      <c r="EN139" s="60"/>
      <c r="EO139" s="60">
        <v>147</v>
      </c>
      <c r="EP139" s="60">
        <v>66</v>
      </c>
      <c r="EQ139" s="60">
        <v>189</v>
      </c>
      <c r="ER139" s="60">
        <v>1072</v>
      </c>
      <c r="ES139" s="60">
        <v>459</v>
      </c>
      <c r="ET139" s="60">
        <v>362</v>
      </c>
      <c r="EU139" s="60">
        <v>385</v>
      </c>
      <c r="EV139" s="60">
        <v>854</v>
      </c>
      <c r="EW139" s="60">
        <v>120</v>
      </c>
      <c r="EX139" s="60">
        <v>81</v>
      </c>
      <c r="EY139" s="60">
        <v>376</v>
      </c>
      <c r="EZ139" s="60">
        <v>10</v>
      </c>
      <c r="FA139" s="60">
        <v>20</v>
      </c>
      <c r="FB139" s="60">
        <v>2512</v>
      </c>
      <c r="FC139" s="60">
        <v>406</v>
      </c>
      <c r="FD139" s="60">
        <v>506</v>
      </c>
      <c r="FE139" s="60"/>
      <c r="FF139" s="60">
        <v>356</v>
      </c>
      <c r="FG139" s="60"/>
      <c r="FH139" s="60">
        <v>325</v>
      </c>
      <c r="FI139" s="60">
        <v>57</v>
      </c>
      <c r="FJ139" s="60">
        <v>225</v>
      </c>
      <c r="FK139" s="60">
        <v>32</v>
      </c>
      <c r="FL139" s="60">
        <v>28</v>
      </c>
      <c r="FM139" s="60">
        <v>6</v>
      </c>
      <c r="FN139" s="60">
        <v>63</v>
      </c>
      <c r="FO139" s="60">
        <v>6870</v>
      </c>
      <c r="FP139" s="60">
        <v>160</v>
      </c>
      <c r="FQ139" s="60">
        <v>45</v>
      </c>
      <c r="FR139" s="60">
        <v>44</v>
      </c>
      <c r="FS139" s="60">
        <v>13</v>
      </c>
      <c r="FT139" s="60">
        <v>48</v>
      </c>
      <c r="FU139" s="60">
        <v>3</v>
      </c>
      <c r="FV139" s="60">
        <v>2</v>
      </c>
      <c r="FW139" s="60"/>
      <c r="FX139" s="60">
        <v>7921</v>
      </c>
      <c r="FY139" s="60">
        <v>75</v>
      </c>
      <c r="FZ139" s="60">
        <v>6106</v>
      </c>
      <c r="GA139" s="60">
        <v>1740</v>
      </c>
      <c r="GB139" s="60">
        <v>2011</v>
      </c>
    </row>
    <row r="140" spans="1:184" x14ac:dyDescent="0.3">
      <c r="A140" s="60">
        <v>106210992</v>
      </c>
      <c r="B140" s="61" t="s">
        <v>596</v>
      </c>
      <c r="C140" s="61" t="s">
        <v>1860</v>
      </c>
      <c r="D140" s="61" t="s">
        <v>597</v>
      </c>
      <c r="E140" s="61" t="s">
        <v>598</v>
      </c>
      <c r="F140" s="60">
        <v>94903</v>
      </c>
      <c r="G140" s="61"/>
      <c r="H140" s="61" t="s">
        <v>1669</v>
      </c>
      <c r="I140" s="60">
        <v>6</v>
      </c>
      <c r="J140" s="60">
        <v>3</v>
      </c>
      <c r="K140" s="61" t="s">
        <v>1861</v>
      </c>
      <c r="L140" s="61"/>
      <c r="M140" s="61" t="s">
        <v>1862</v>
      </c>
      <c r="N140" s="61" t="s">
        <v>1863</v>
      </c>
      <c r="O140" s="61" t="s">
        <v>1673</v>
      </c>
      <c r="P140" s="61" t="s">
        <v>1678</v>
      </c>
      <c r="Q140" s="61" t="s">
        <v>1674</v>
      </c>
      <c r="R140" s="60">
        <v>116</v>
      </c>
      <c r="S140" s="61" t="s">
        <v>1675</v>
      </c>
      <c r="T140" s="60">
        <v>11349</v>
      </c>
      <c r="U140" s="60">
        <v>10018</v>
      </c>
      <c r="V140" s="60"/>
      <c r="W140" s="60"/>
      <c r="X140" s="60">
        <v>1514</v>
      </c>
      <c r="Y140" s="60">
        <v>1939</v>
      </c>
      <c r="Z140" s="60">
        <v>2024</v>
      </c>
      <c r="AA140" s="60">
        <v>1895</v>
      </c>
      <c r="AB140" s="60">
        <v>2754</v>
      </c>
      <c r="AC140" s="60">
        <v>3127</v>
      </c>
      <c r="AD140" s="60">
        <v>2989</v>
      </c>
      <c r="AE140" s="60">
        <v>2291</v>
      </c>
      <c r="AF140" s="60">
        <v>2671</v>
      </c>
      <c r="AG140" s="60">
        <v>163</v>
      </c>
      <c r="AH140" s="60"/>
      <c r="AI140" s="60">
        <v>999</v>
      </c>
      <c r="AJ140" s="60">
        <v>1019</v>
      </c>
      <c r="AK140" s="60">
        <v>2525</v>
      </c>
      <c r="AL140" s="60">
        <v>68</v>
      </c>
      <c r="AM140" s="60">
        <v>458</v>
      </c>
      <c r="AN140" s="60">
        <v>223</v>
      </c>
      <c r="AO140" s="60">
        <v>16075</v>
      </c>
      <c r="AP140" s="60">
        <v>120</v>
      </c>
      <c r="AQ140" s="60">
        <v>178</v>
      </c>
      <c r="AR140" s="60">
        <v>5</v>
      </c>
      <c r="AS140" s="60">
        <v>23</v>
      </c>
      <c r="AT140" s="60">
        <v>59</v>
      </c>
      <c r="AU140" s="60">
        <v>27</v>
      </c>
      <c r="AV140" s="60">
        <v>14</v>
      </c>
      <c r="AW140" s="60"/>
      <c r="AX140" s="60">
        <v>24</v>
      </c>
      <c r="AY140" s="60">
        <v>155</v>
      </c>
      <c r="AZ140" s="60">
        <v>5</v>
      </c>
      <c r="BA140" s="60">
        <v>20543</v>
      </c>
      <c r="BB140" s="60">
        <v>90</v>
      </c>
      <c r="BC140" s="60">
        <v>115</v>
      </c>
      <c r="BD140" s="60">
        <v>9</v>
      </c>
      <c r="BE140" s="60">
        <v>1146</v>
      </c>
      <c r="BF140" s="60">
        <v>6218</v>
      </c>
      <c r="BG140" s="60">
        <v>112</v>
      </c>
      <c r="BH140" s="60">
        <v>12492</v>
      </c>
      <c r="BI140" s="60">
        <v>1399</v>
      </c>
      <c r="BJ140" s="60">
        <v>167</v>
      </c>
      <c r="BK140" s="60">
        <v>48</v>
      </c>
      <c r="BL140" s="60">
        <v>802</v>
      </c>
      <c r="BM140" s="60">
        <v>10</v>
      </c>
      <c r="BN140" s="60">
        <v>983</v>
      </c>
      <c r="BO140" s="60">
        <v>311</v>
      </c>
      <c r="BP140" s="60">
        <v>818</v>
      </c>
      <c r="BQ140" s="60">
        <v>275</v>
      </c>
      <c r="BR140" s="60">
        <v>6743</v>
      </c>
      <c r="BS140" s="60">
        <v>1274</v>
      </c>
      <c r="BT140" s="60">
        <v>45</v>
      </c>
      <c r="BU140" s="60">
        <v>1373</v>
      </c>
      <c r="BV140" s="60">
        <v>437</v>
      </c>
      <c r="BW140" s="60">
        <v>13</v>
      </c>
      <c r="BX140" s="60">
        <v>1026</v>
      </c>
      <c r="BY140" s="60">
        <v>1343</v>
      </c>
      <c r="BZ140" s="60">
        <v>820</v>
      </c>
      <c r="CA140" s="60">
        <v>4879</v>
      </c>
      <c r="CB140" s="60"/>
      <c r="CC140" s="60"/>
      <c r="CD140" s="60">
        <v>2184</v>
      </c>
      <c r="CE140" s="60">
        <v>59</v>
      </c>
      <c r="CF140" s="60">
        <v>185</v>
      </c>
      <c r="CG140" s="60">
        <v>10</v>
      </c>
      <c r="CH140" s="60">
        <v>103</v>
      </c>
      <c r="CI140" s="60">
        <v>16</v>
      </c>
      <c r="CJ140" s="60">
        <v>123</v>
      </c>
      <c r="CK140" s="60">
        <v>430</v>
      </c>
      <c r="CL140" s="60">
        <v>13765</v>
      </c>
      <c r="CM140" s="60">
        <v>3499</v>
      </c>
      <c r="CN140" s="60">
        <v>232</v>
      </c>
      <c r="CO140" s="60">
        <v>512</v>
      </c>
      <c r="CP140" s="60">
        <v>63</v>
      </c>
      <c r="CQ140" s="60">
        <v>165</v>
      </c>
      <c r="CR140" s="60">
        <v>21</v>
      </c>
      <c r="CS140" s="60"/>
      <c r="CT140" s="60">
        <v>21367</v>
      </c>
      <c r="CU140" s="60">
        <v>249</v>
      </c>
      <c r="CV140" s="60">
        <v>20199</v>
      </c>
      <c r="CW140" s="60">
        <v>919</v>
      </c>
      <c r="CX140" s="60">
        <v>2022</v>
      </c>
      <c r="CY140" s="60">
        <v>1688</v>
      </c>
      <c r="CZ140" s="60"/>
      <c r="DA140" s="60"/>
      <c r="DB140" s="60">
        <v>42</v>
      </c>
      <c r="DC140" s="60">
        <v>92</v>
      </c>
      <c r="DD140" s="60">
        <v>96</v>
      </c>
      <c r="DE140" s="60">
        <v>232</v>
      </c>
      <c r="DF140" s="60">
        <v>422</v>
      </c>
      <c r="DG140" s="60">
        <v>688</v>
      </c>
      <c r="DH140" s="60">
        <v>786</v>
      </c>
      <c r="DI140" s="60">
        <v>1352</v>
      </c>
      <c r="DJ140" s="60"/>
      <c r="DK140" s="60"/>
      <c r="DL140" s="60"/>
      <c r="DM140" s="60">
        <v>146</v>
      </c>
      <c r="DN140" s="60">
        <v>125</v>
      </c>
      <c r="DO140" s="60">
        <v>215</v>
      </c>
      <c r="DP140" s="60">
        <v>45</v>
      </c>
      <c r="DQ140" s="60">
        <v>11</v>
      </c>
      <c r="DR140" s="60">
        <v>3164</v>
      </c>
      <c r="DS140" s="60">
        <v>4</v>
      </c>
      <c r="DT140" s="60">
        <v>188</v>
      </c>
      <c r="DU140" s="60">
        <v>27</v>
      </c>
      <c r="DV140" s="60">
        <v>170</v>
      </c>
      <c r="DW140" s="60">
        <v>584</v>
      </c>
      <c r="DX140" s="60">
        <v>30</v>
      </c>
      <c r="DY140" s="60"/>
      <c r="DZ140" s="60">
        <v>62</v>
      </c>
      <c r="EA140" s="60">
        <v>2133</v>
      </c>
      <c r="EB140" s="60">
        <v>516</v>
      </c>
      <c r="EC140" s="60"/>
      <c r="ED140" s="60">
        <v>0</v>
      </c>
      <c r="EE140" s="60">
        <v>0</v>
      </c>
      <c r="EF140" s="60">
        <v>0</v>
      </c>
      <c r="EG140" s="60">
        <v>0</v>
      </c>
      <c r="EH140" s="60">
        <v>0</v>
      </c>
      <c r="EI140" s="60">
        <v>25</v>
      </c>
      <c r="EJ140" s="60">
        <v>2546</v>
      </c>
      <c r="EK140" s="60">
        <v>10</v>
      </c>
      <c r="EL140" s="60">
        <v>1084</v>
      </c>
      <c r="EM140" s="60">
        <v>45</v>
      </c>
      <c r="EN140" s="60">
        <v>4</v>
      </c>
      <c r="EO140" s="60">
        <v>73</v>
      </c>
      <c r="EP140" s="60">
        <v>809</v>
      </c>
      <c r="EQ140" s="60">
        <v>3</v>
      </c>
      <c r="ER140" s="60">
        <v>608</v>
      </c>
      <c r="ES140" s="60">
        <v>122</v>
      </c>
      <c r="ET140" s="60">
        <v>179</v>
      </c>
      <c r="EU140" s="60">
        <v>698</v>
      </c>
      <c r="EV140" s="60">
        <v>444</v>
      </c>
      <c r="EW140" s="60">
        <v>85</v>
      </c>
      <c r="EX140" s="60">
        <v>96</v>
      </c>
      <c r="EY140" s="60">
        <v>92</v>
      </c>
      <c r="EZ140" s="60">
        <v>9</v>
      </c>
      <c r="FA140" s="60">
        <v>43</v>
      </c>
      <c r="FB140" s="60">
        <v>240</v>
      </c>
      <c r="FC140" s="60">
        <v>62</v>
      </c>
      <c r="FD140" s="60">
        <v>143</v>
      </c>
      <c r="FE140" s="60"/>
      <c r="FF140" s="60"/>
      <c r="FG140" s="60"/>
      <c r="FH140" s="60">
        <v>313</v>
      </c>
      <c r="FI140" s="60">
        <v>22</v>
      </c>
      <c r="FJ140" s="60">
        <v>490</v>
      </c>
      <c r="FK140" s="60">
        <v>5</v>
      </c>
      <c r="FL140" s="60">
        <v>34</v>
      </c>
      <c r="FM140" s="60">
        <v>29</v>
      </c>
      <c r="FN140" s="60">
        <v>8</v>
      </c>
      <c r="FO140" s="60">
        <v>2688</v>
      </c>
      <c r="FP140" s="60">
        <v>63</v>
      </c>
      <c r="FQ140" s="60">
        <v>16</v>
      </c>
      <c r="FR140" s="60">
        <v>13</v>
      </c>
      <c r="FS140" s="60">
        <v>14</v>
      </c>
      <c r="FT140" s="60">
        <v>15</v>
      </c>
      <c r="FU140" s="60"/>
      <c r="FV140" s="60"/>
      <c r="FW140" s="60"/>
      <c r="FX140" s="60">
        <v>3710</v>
      </c>
      <c r="FY140" s="60">
        <v>51</v>
      </c>
      <c r="FZ140" s="60">
        <v>3595</v>
      </c>
      <c r="GA140" s="60">
        <v>64</v>
      </c>
      <c r="GB140" s="60">
        <v>2011</v>
      </c>
    </row>
    <row r="141" spans="1:184" x14ac:dyDescent="0.3">
      <c r="A141" s="60">
        <v>106211006</v>
      </c>
      <c r="B141" s="61" t="s">
        <v>599</v>
      </c>
      <c r="C141" s="61" t="s">
        <v>600</v>
      </c>
      <c r="D141" s="61" t="s">
        <v>601</v>
      </c>
      <c r="E141" s="61" t="s">
        <v>602</v>
      </c>
      <c r="F141" s="60">
        <v>94904</v>
      </c>
      <c r="G141" s="61" t="s">
        <v>186</v>
      </c>
      <c r="H141" s="61" t="s">
        <v>1669</v>
      </c>
      <c r="I141" s="60">
        <v>6</v>
      </c>
      <c r="J141" s="60">
        <v>3</v>
      </c>
      <c r="K141" s="61" t="s">
        <v>1861</v>
      </c>
      <c r="L141" s="61"/>
      <c r="M141" s="61" t="s">
        <v>1862</v>
      </c>
      <c r="N141" s="61" t="s">
        <v>1863</v>
      </c>
      <c r="O141" s="61" t="s">
        <v>1673</v>
      </c>
      <c r="P141" s="61" t="s">
        <v>1678</v>
      </c>
      <c r="Q141" s="61" t="s">
        <v>1674</v>
      </c>
      <c r="R141" s="60">
        <v>218</v>
      </c>
      <c r="S141" s="61" t="s">
        <v>1675</v>
      </c>
      <c r="T141" s="60">
        <v>14613</v>
      </c>
      <c r="U141" s="60">
        <v>13449</v>
      </c>
      <c r="V141" s="60">
        <v>2</v>
      </c>
      <c r="W141" s="60"/>
      <c r="X141" s="60">
        <v>3458</v>
      </c>
      <c r="Y141" s="60">
        <v>2432</v>
      </c>
      <c r="Z141" s="60">
        <v>3575</v>
      </c>
      <c r="AA141" s="60">
        <v>3612</v>
      </c>
      <c r="AB141" s="60">
        <v>3936</v>
      </c>
      <c r="AC141" s="60">
        <v>3722</v>
      </c>
      <c r="AD141" s="60">
        <v>2840</v>
      </c>
      <c r="AE141" s="60">
        <v>1590</v>
      </c>
      <c r="AF141" s="60">
        <v>2140</v>
      </c>
      <c r="AG141" s="60">
        <v>759</v>
      </c>
      <c r="AH141" s="60"/>
      <c r="AI141" s="60">
        <v>792</v>
      </c>
      <c r="AJ141" s="60">
        <v>1862</v>
      </c>
      <c r="AK141" s="60">
        <v>5632</v>
      </c>
      <c r="AL141" s="60">
        <v>59</v>
      </c>
      <c r="AM141" s="60">
        <v>1335</v>
      </c>
      <c r="AN141" s="60">
        <v>65</v>
      </c>
      <c r="AO141" s="60">
        <v>18319</v>
      </c>
      <c r="AP141" s="60">
        <v>63</v>
      </c>
      <c r="AQ141" s="60">
        <v>166</v>
      </c>
      <c r="AR141" s="60">
        <v>5</v>
      </c>
      <c r="AS141" s="60">
        <v>48</v>
      </c>
      <c r="AT141" s="60">
        <v>10</v>
      </c>
      <c r="AU141" s="60">
        <v>3</v>
      </c>
      <c r="AV141" s="60">
        <v>6</v>
      </c>
      <c r="AW141" s="60">
        <v>5</v>
      </c>
      <c r="AX141" s="60">
        <v>429</v>
      </c>
      <c r="AY141" s="60">
        <v>154</v>
      </c>
      <c r="AZ141" s="60">
        <v>46</v>
      </c>
      <c r="BA141" s="60">
        <v>26916</v>
      </c>
      <c r="BB141" s="60">
        <v>116</v>
      </c>
      <c r="BC141" s="60">
        <v>16</v>
      </c>
      <c r="BD141" s="60">
        <v>81</v>
      </c>
      <c r="BE141" s="60">
        <v>5859</v>
      </c>
      <c r="BF141" s="60">
        <v>5606</v>
      </c>
      <c r="BG141" s="60">
        <v>1209</v>
      </c>
      <c r="BH141" s="60">
        <v>11321</v>
      </c>
      <c r="BI141" s="60">
        <v>4069</v>
      </c>
      <c r="BJ141" s="60">
        <v>431</v>
      </c>
      <c r="BK141" s="60">
        <v>44</v>
      </c>
      <c r="BL141" s="60">
        <v>620</v>
      </c>
      <c r="BM141" s="60">
        <v>7</v>
      </c>
      <c r="BN141" s="60">
        <v>1049</v>
      </c>
      <c r="BO141" s="60">
        <v>232</v>
      </c>
      <c r="BP141" s="60">
        <v>1137</v>
      </c>
      <c r="BQ141" s="60">
        <v>440</v>
      </c>
      <c r="BR141" s="60">
        <v>8553</v>
      </c>
      <c r="BS141" s="60">
        <v>1509</v>
      </c>
      <c r="BT141" s="60">
        <v>25</v>
      </c>
      <c r="BU141" s="60">
        <v>1675</v>
      </c>
      <c r="BV141" s="60">
        <v>1058</v>
      </c>
      <c r="BW141" s="60">
        <v>25</v>
      </c>
      <c r="BX141" s="60">
        <v>1077</v>
      </c>
      <c r="BY141" s="60">
        <v>2286</v>
      </c>
      <c r="BZ141" s="60">
        <v>1337</v>
      </c>
      <c r="CA141" s="60">
        <v>6558</v>
      </c>
      <c r="CB141" s="60"/>
      <c r="CC141" s="60">
        <v>1</v>
      </c>
      <c r="CD141" s="60">
        <v>2957</v>
      </c>
      <c r="CE141" s="60">
        <v>163</v>
      </c>
      <c r="CF141" s="60">
        <v>171</v>
      </c>
      <c r="CG141" s="60">
        <v>20</v>
      </c>
      <c r="CH141" s="60">
        <v>305</v>
      </c>
      <c r="CI141" s="60">
        <v>3</v>
      </c>
      <c r="CJ141" s="60">
        <v>120</v>
      </c>
      <c r="CK141" s="60">
        <v>389</v>
      </c>
      <c r="CL141" s="60">
        <v>19002</v>
      </c>
      <c r="CM141" s="60">
        <v>3460</v>
      </c>
      <c r="CN141" s="60">
        <v>477</v>
      </c>
      <c r="CO141" s="60">
        <v>647</v>
      </c>
      <c r="CP141" s="60">
        <v>110</v>
      </c>
      <c r="CQ141" s="60">
        <v>221</v>
      </c>
      <c r="CR141" s="60">
        <v>19</v>
      </c>
      <c r="CS141" s="60"/>
      <c r="CT141" s="60">
        <v>28064</v>
      </c>
      <c r="CU141" s="60">
        <v>592</v>
      </c>
      <c r="CV141" s="60">
        <v>23048</v>
      </c>
      <c r="CW141" s="60">
        <v>4424</v>
      </c>
      <c r="CX141" s="60">
        <v>2954</v>
      </c>
      <c r="CY141" s="60">
        <v>2766</v>
      </c>
      <c r="CZ141" s="60"/>
      <c r="DA141" s="60"/>
      <c r="DB141" s="60">
        <v>120</v>
      </c>
      <c r="DC141" s="60">
        <v>249</v>
      </c>
      <c r="DD141" s="60">
        <v>292</v>
      </c>
      <c r="DE141" s="60">
        <v>463</v>
      </c>
      <c r="DF141" s="60">
        <v>802</v>
      </c>
      <c r="DG141" s="60">
        <v>980</v>
      </c>
      <c r="DH141" s="60">
        <v>871</v>
      </c>
      <c r="DI141" s="60">
        <v>1842</v>
      </c>
      <c r="DJ141" s="60">
        <v>27</v>
      </c>
      <c r="DK141" s="60">
        <v>74</v>
      </c>
      <c r="DL141" s="60"/>
      <c r="DM141" s="60">
        <v>163</v>
      </c>
      <c r="DN141" s="60">
        <v>280</v>
      </c>
      <c r="DO141" s="60">
        <v>484</v>
      </c>
      <c r="DP141" s="60">
        <v>144</v>
      </c>
      <c r="DQ141" s="60">
        <v>13</v>
      </c>
      <c r="DR141" s="60">
        <v>4629</v>
      </c>
      <c r="DS141" s="60">
        <v>7</v>
      </c>
      <c r="DT141" s="60">
        <v>165</v>
      </c>
      <c r="DU141" s="60">
        <v>58</v>
      </c>
      <c r="DV141" s="60">
        <v>205</v>
      </c>
      <c r="DW141" s="60">
        <v>485</v>
      </c>
      <c r="DX141" s="60">
        <v>124</v>
      </c>
      <c r="DY141" s="60">
        <v>19</v>
      </c>
      <c r="DZ141" s="60">
        <v>39</v>
      </c>
      <c r="EA141" s="60">
        <v>3239</v>
      </c>
      <c r="EB141" s="60">
        <v>1261</v>
      </c>
      <c r="EC141" s="60">
        <v>125</v>
      </c>
      <c r="ED141" s="60">
        <v>0</v>
      </c>
      <c r="EE141" s="60">
        <v>0</v>
      </c>
      <c r="EF141" s="60">
        <v>0</v>
      </c>
      <c r="EG141" s="60">
        <v>0</v>
      </c>
      <c r="EH141" s="60">
        <v>0</v>
      </c>
      <c r="EI141" s="60">
        <v>507</v>
      </c>
      <c r="EJ141" s="60">
        <v>3308</v>
      </c>
      <c r="EK141" s="60">
        <v>245</v>
      </c>
      <c r="EL141" s="60">
        <v>1143</v>
      </c>
      <c r="EM141" s="60">
        <v>517</v>
      </c>
      <c r="EN141" s="60">
        <v>48</v>
      </c>
      <c r="EO141" s="60">
        <v>94</v>
      </c>
      <c r="EP141" s="60">
        <v>1034</v>
      </c>
      <c r="EQ141" s="60">
        <v>3</v>
      </c>
      <c r="ER141" s="60">
        <v>802</v>
      </c>
      <c r="ES141" s="60">
        <v>177</v>
      </c>
      <c r="ET141" s="60">
        <v>317</v>
      </c>
      <c r="EU141" s="60">
        <v>500</v>
      </c>
      <c r="EV141" s="60">
        <v>954</v>
      </c>
      <c r="EW141" s="60">
        <v>132</v>
      </c>
      <c r="EX141" s="60">
        <v>145</v>
      </c>
      <c r="EY141" s="60">
        <v>187</v>
      </c>
      <c r="EZ141" s="60">
        <v>6</v>
      </c>
      <c r="FA141" s="60">
        <v>190</v>
      </c>
      <c r="FB141" s="60">
        <v>612</v>
      </c>
      <c r="FC141" s="60">
        <v>199</v>
      </c>
      <c r="FD141" s="60">
        <v>314</v>
      </c>
      <c r="FE141" s="60"/>
      <c r="FF141" s="60">
        <v>6</v>
      </c>
      <c r="FG141" s="60"/>
      <c r="FH141" s="60">
        <v>541</v>
      </c>
      <c r="FI141" s="60">
        <v>57</v>
      </c>
      <c r="FJ141" s="60">
        <v>289</v>
      </c>
      <c r="FK141" s="60">
        <v>29</v>
      </c>
      <c r="FL141" s="60">
        <v>44</v>
      </c>
      <c r="FM141" s="60">
        <v>239</v>
      </c>
      <c r="FN141" s="60">
        <v>21</v>
      </c>
      <c r="FO141" s="60">
        <v>4160</v>
      </c>
      <c r="FP141" s="60">
        <v>82</v>
      </c>
      <c r="FQ141" s="60">
        <v>74</v>
      </c>
      <c r="FR141" s="60">
        <v>90</v>
      </c>
      <c r="FS141" s="60">
        <v>62</v>
      </c>
      <c r="FT141" s="60">
        <v>12</v>
      </c>
      <c r="FU141" s="60">
        <v>19</v>
      </c>
      <c r="FV141" s="60">
        <v>1</v>
      </c>
      <c r="FW141" s="60"/>
      <c r="FX141" s="60">
        <v>5720</v>
      </c>
      <c r="FY141" s="60">
        <v>105</v>
      </c>
      <c r="FZ141" s="60">
        <v>5292</v>
      </c>
      <c r="GA141" s="60">
        <v>323</v>
      </c>
      <c r="GB141" s="60">
        <v>2011</v>
      </c>
    </row>
    <row r="142" spans="1:184" x14ac:dyDescent="0.3">
      <c r="A142" s="60">
        <v>106214034</v>
      </c>
      <c r="B142" s="61" t="s">
        <v>603</v>
      </c>
      <c r="C142" s="61" t="s">
        <v>604</v>
      </c>
      <c r="D142" s="61" t="s">
        <v>1864</v>
      </c>
      <c r="E142" s="61" t="s">
        <v>605</v>
      </c>
      <c r="F142" s="60">
        <v>94945</v>
      </c>
      <c r="G142" s="61"/>
      <c r="H142" s="61" t="s">
        <v>1669</v>
      </c>
      <c r="I142" s="60">
        <v>6</v>
      </c>
      <c r="J142" s="60">
        <v>3</v>
      </c>
      <c r="K142" s="61" t="s">
        <v>1865</v>
      </c>
      <c r="L142" s="61"/>
      <c r="M142" s="61" t="s">
        <v>1862</v>
      </c>
      <c r="N142" s="61" t="s">
        <v>1863</v>
      </c>
      <c r="O142" s="61" t="s">
        <v>1673</v>
      </c>
      <c r="P142" s="61" t="s">
        <v>1678</v>
      </c>
      <c r="Q142" s="61" t="s">
        <v>1674</v>
      </c>
      <c r="R142" s="60">
        <v>47</v>
      </c>
      <c r="S142" s="61" t="s">
        <v>1675</v>
      </c>
      <c r="T142" s="60">
        <v>7456</v>
      </c>
      <c r="U142" s="60">
        <v>6107</v>
      </c>
      <c r="V142" s="60">
        <v>1</v>
      </c>
      <c r="W142" s="60"/>
      <c r="X142" s="60">
        <v>1527</v>
      </c>
      <c r="Y142" s="60">
        <v>1423</v>
      </c>
      <c r="Z142" s="60">
        <v>1855</v>
      </c>
      <c r="AA142" s="60">
        <v>1686</v>
      </c>
      <c r="AB142" s="60">
        <v>2017</v>
      </c>
      <c r="AC142" s="60">
        <v>1640</v>
      </c>
      <c r="AD142" s="60">
        <v>1244</v>
      </c>
      <c r="AE142" s="60">
        <v>798</v>
      </c>
      <c r="AF142" s="60">
        <v>1196</v>
      </c>
      <c r="AG142" s="60">
        <v>178</v>
      </c>
      <c r="AH142" s="60"/>
      <c r="AI142" s="60">
        <v>280</v>
      </c>
      <c r="AJ142" s="60">
        <v>740</v>
      </c>
      <c r="AK142" s="60">
        <v>3556</v>
      </c>
      <c r="AL142" s="60">
        <v>42</v>
      </c>
      <c r="AM142" s="60">
        <v>132</v>
      </c>
      <c r="AN142" s="60">
        <v>80</v>
      </c>
      <c r="AO142" s="60">
        <v>8734</v>
      </c>
      <c r="AP142" s="60">
        <v>272</v>
      </c>
      <c r="AQ142" s="60">
        <v>27</v>
      </c>
      <c r="AR142" s="60"/>
      <c r="AS142" s="60">
        <v>16</v>
      </c>
      <c r="AT142" s="60">
        <v>2</v>
      </c>
      <c r="AU142" s="60">
        <v>3</v>
      </c>
      <c r="AV142" s="60">
        <v>1</v>
      </c>
      <c r="AW142" s="60">
        <v>11</v>
      </c>
      <c r="AX142" s="60">
        <v>130</v>
      </c>
      <c r="AY142" s="60">
        <v>51</v>
      </c>
      <c r="AZ142" s="60"/>
      <c r="BA142" s="60">
        <v>13051</v>
      </c>
      <c r="BB142" s="60"/>
      <c r="BC142" s="60"/>
      <c r="BD142" s="60"/>
      <c r="BE142" s="60">
        <v>3615</v>
      </c>
      <c r="BF142" s="60">
        <v>3036</v>
      </c>
      <c r="BG142" s="60">
        <v>749</v>
      </c>
      <c r="BH142" s="60">
        <v>4088</v>
      </c>
      <c r="BI142" s="60">
        <v>2076</v>
      </c>
      <c r="BJ142" s="60">
        <v>181</v>
      </c>
      <c r="BK142" s="60">
        <v>29</v>
      </c>
      <c r="BL142" s="60">
        <v>333</v>
      </c>
      <c r="BM142" s="60">
        <v>1</v>
      </c>
      <c r="BN142" s="60">
        <v>667</v>
      </c>
      <c r="BO142" s="60">
        <v>169</v>
      </c>
      <c r="BP142" s="60">
        <v>709</v>
      </c>
      <c r="BQ142" s="60">
        <v>394</v>
      </c>
      <c r="BR142" s="60">
        <v>3645</v>
      </c>
      <c r="BS142" s="60">
        <v>905</v>
      </c>
      <c r="BT142" s="60">
        <v>19</v>
      </c>
      <c r="BU142" s="60">
        <v>805</v>
      </c>
      <c r="BV142" s="60">
        <v>756</v>
      </c>
      <c r="BW142" s="60">
        <v>4</v>
      </c>
      <c r="BX142" s="60">
        <v>482</v>
      </c>
      <c r="BY142" s="60">
        <v>1176</v>
      </c>
      <c r="BZ142" s="60">
        <v>648</v>
      </c>
      <c r="CA142" s="60">
        <v>2640</v>
      </c>
      <c r="CB142" s="60"/>
      <c r="CC142" s="60">
        <v>1</v>
      </c>
      <c r="CD142" s="60">
        <v>1171</v>
      </c>
      <c r="CE142" s="60">
        <v>74</v>
      </c>
      <c r="CF142" s="60">
        <v>129</v>
      </c>
      <c r="CG142" s="60">
        <v>2</v>
      </c>
      <c r="CH142" s="60">
        <v>136</v>
      </c>
      <c r="CI142" s="60">
        <v>6</v>
      </c>
      <c r="CJ142" s="60">
        <v>66</v>
      </c>
      <c r="CK142" s="60">
        <v>179</v>
      </c>
      <c r="CL142" s="60">
        <v>9516</v>
      </c>
      <c r="CM142" s="60">
        <v>1778</v>
      </c>
      <c r="CN142" s="60">
        <v>115</v>
      </c>
      <c r="CO142" s="60">
        <v>248</v>
      </c>
      <c r="CP142" s="60">
        <v>31</v>
      </c>
      <c r="CQ142" s="60">
        <v>108</v>
      </c>
      <c r="CR142" s="60">
        <v>5</v>
      </c>
      <c r="CS142" s="60"/>
      <c r="CT142" s="60">
        <v>13564</v>
      </c>
      <c r="CU142" s="60">
        <v>256</v>
      </c>
      <c r="CV142" s="60">
        <v>11575</v>
      </c>
      <c r="CW142" s="60">
        <v>1733</v>
      </c>
      <c r="CX142" s="60">
        <v>694</v>
      </c>
      <c r="CY142" s="60">
        <v>564</v>
      </c>
      <c r="CZ142" s="60"/>
      <c r="DA142" s="60"/>
      <c r="DB142" s="60">
        <v>14</v>
      </c>
      <c r="DC142" s="60">
        <v>43</v>
      </c>
      <c r="DD142" s="60">
        <v>60</v>
      </c>
      <c r="DE142" s="60">
        <v>99</v>
      </c>
      <c r="DF142" s="60">
        <v>150</v>
      </c>
      <c r="DG142" s="60">
        <v>244</v>
      </c>
      <c r="DH142" s="60">
        <v>204</v>
      </c>
      <c r="DI142" s="60">
        <v>443</v>
      </c>
      <c r="DJ142" s="60"/>
      <c r="DK142" s="60">
        <v>1</v>
      </c>
      <c r="DL142" s="60"/>
      <c r="DM142" s="60">
        <v>30</v>
      </c>
      <c r="DN142" s="60">
        <v>43</v>
      </c>
      <c r="DO142" s="60">
        <v>140</v>
      </c>
      <c r="DP142" s="60">
        <v>7</v>
      </c>
      <c r="DQ142" s="60">
        <v>6</v>
      </c>
      <c r="DR142" s="60">
        <v>1029</v>
      </c>
      <c r="DS142" s="60">
        <v>3</v>
      </c>
      <c r="DT142" s="60">
        <v>55</v>
      </c>
      <c r="DU142" s="60">
        <v>4</v>
      </c>
      <c r="DV142" s="60">
        <v>40</v>
      </c>
      <c r="DW142" s="60">
        <v>233</v>
      </c>
      <c r="DX142" s="60">
        <v>30</v>
      </c>
      <c r="DY142" s="60">
        <v>2</v>
      </c>
      <c r="DZ142" s="60">
        <v>33</v>
      </c>
      <c r="EA142" s="60">
        <v>568</v>
      </c>
      <c r="EB142" s="60">
        <v>290</v>
      </c>
      <c r="EC142" s="60">
        <v>3</v>
      </c>
      <c r="ED142" s="60">
        <v>0</v>
      </c>
      <c r="EE142" s="60">
        <v>0</v>
      </c>
      <c r="EF142" s="60">
        <v>0</v>
      </c>
      <c r="EG142" s="60">
        <v>0</v>
      </c>
      <c r="EH142" s="60">
        <v>0</v>
      </c>
      <c r="EI142" s="60">
        <v>97</v>
      </c>
      <c r="EJ142" s="60">
        <v>827</v>
      </c>
      <c r="EK142" s="60">
        <v>16</v>
      </c>
      <c r="EL142" s="60">
        <v>231</v>
      </c>
      <c r="EM142" s="60">
        <v>87</v>
      </c>
      <c r="EN142" s="60"/>
      <c r="EO142" s="60">
        <v>24</v>
      </c>
      <c r="EP142" s="60">
        <v>194</v>
      </c>
      <c r="EQ142" s="60"/>
      <c r="ER142" s="60">
        <v>225</v>
      </c>
      <c r="ES142" s="60">
        <v>49</v>
      </c>
      <c r="ET142" s="60">
        <v>53</v>
      </c>
      <c r="EU142" s="60">
        <v>250</v>
      </c>
      <c r="EV142" s="60">
        <v>149</v>
      </c>
      <c r="EW142" s="60">
        <v>20</v>
      </c>
      <c r="EX142" s="60">
        <v>18</v>
      </c>
      <c r="EY142" s="60">
        <v>27</v>
      </c>
      <c r="EZ142" s="60"/>
      <c r="FA142" s="60">
        <v>17</v>
      </c>
      <c r="FB142" s="60">
        <v>139</v>
      </c>
      <c r="FC142" s="60">
        <v>55</v>
      </c>
      <c r="FD142" s="60">
        <v>38</v>
      </c>
      <c r="FE142" s="60"/>
      <c r="FF142" s="60"/>
      <c r="FG142" s="60"/>
      <c r="FH142" s="60">
        <v>107</v>
      </c>
      <c r="FI142" s="60">
        <v>19</v>
      </c>
      <c r="FJ142" s="60">
        <v>136</v>
      </c>
      <c r="FK142" s="60"/>
      <c r="FL142" s="60">
        <v>2</v>
      </c>
      <c r="FM142" s="60">
        <v>55</v>
      </c>
      <c r="FN142" s="60">
        <v>4</v>
      </c>
      <c r="FO142" s="60">
        <v>894</v>
      </c>
      <c r="FP142" s="60">
        <v>27</v>
      </c>
      <c r="FQ142" s="60">
        <v>5</v>
      </c>
      <c r="FR142" s="60"/>
      <c r="FS142" s="60">
        <v>8</v>
      </c>
      <c r="FT142" s="60">
        <v>1</v>
      </c>
      <c r="FU142" s="60"/>
      <c r="FV142" s="60"/>
      <c r="FW142" s="60"/>
      <c r="FX142" s="60">
        <v>1258</v>
      </c>
      <c r="FY142" s="60">
        <v>29</v>
      </c>
      <c r="FZ142" s="60">
        <v>1163</v>
      </c>
      <c r="GA142" s="60">
        <v>66</v>
      </c>
      <c r="GB142" s="60">
        <v>2011</v>
      </c>
    </row>
    <row r="143" spans="1:184" x14ac:dyDescent="0.3">
      <c r="A143" s="60">
        <v>106220733</v>
      </c>
      <c r="B143" s="61" t="s">
        <v>606</v>
      </c>
      <c r="C143" s="61" t="s">
        <v>607</v>
      </c>
      <c r="D143" s="61" t="s">
        <v>609</v>
      </c>
      <c r="E143" s="61" t="s">
        <v>608</v>
      </c>
      <c r="F143" s="60">
        <v>95338</v>
      </c>
      <c r="G143" s="61"/>
      <c r="H143" s="61" t="s">
        <v>1669</v>
      </c>
      <c r="I143" s="60">
        <v>25</v>
      </c>
      <c r="J143" s="60">
        <v>14</v>
      </c>
      <c r="K143" s="61" t="s">
        <v>1866</v>
      </c>
      <c r="L143" s="61"/>
      <c r="M143" s="61" t="s">
        <v>1733</v>
      </c>
      <c r="N143" s="61" t="s">
        <v>1867</v>
      </c>
      <c r="O143" s="61" t="s">
        <v>1673</v>
      </c>
      <c r="P143" s="61" t="s">
        <v>159</v>
      </c>
      <c r="Q143" s="61" t="s">
        <v>1674</v>
      </c>
      <c r="R143" s="60">
        <v>18</v>
      </c>
      <c r="S143" s="61" t="s">
        <v>1706</v>
      </c>
      <c r="T143" s="60">
        <v>2442</v>
      </c>
      <c r="U143" s="60">
        <v>2177</v>
      </c>
      <c r="V143" s="60"/>
      <c r="W143" s="60"/>
      <c r="X143" s="60">
        <v>432</v>
      </c>
      <c r="Y143" s="60">
        <v>526</v>
      </c>
      <c r="Z143" s="60">
        <v>557</v>
      </c>
      <c r="AA143" s="60">
        <v>435</v>
      </c>
      <c r="AB143" s="60">
        <v>542</v>
      </c>
      <c r="AC143" s="60">
        <v>667</v>
      </c>
      <c r="AD143" s="60">
        <v>509</v>
      </c>
      <c r="AE143" s="60">
        <v>458</v>
      </c>
      <c r="AF143" s="60">
        <v>428</v>
      </c>
      <c r="AG143" s="60">
        <v>65</v>
      </c>
      <c r="AH143" s="60"/>
      <c r="AI143" s="60">
        <v>36</v>
      </c>
      <c r="AJ143" s="60">
        <v>39</v>
      </c>
      <c r="AK143" s="60">
        <v>269</v>
      </c>
      <c r="AL143" s="60">
        <v>172</v>
      </c>
      <c r="AM143" s="60">
        <v>130</v>
      </c>
      <c r="AN143" s="60">
        <v>40</v>
      </c>
      <c r="AO143" s="60">
        <v>3933</v>
      </c>
      <c r="AP143" s="60">
        <v>433</v>
      </c>
      <c r="AQ143" s="60">
        <v>70</v>
      </c>
      <c r="AR143" s="60">
        <v>1</v>
      </c>
      <c r="AS143" s="60">
        <v>2</v>
      </c>
      <c r="AT143" s="60">
        <v>3</v>
      </c>
      <c r="AU143" s="60"/>
      <c r="AV143" s="60"/>
      <c r="AW143" s="60"/>
      <c r="AX143" s="60"/>
      <c r="AY143" s="60">
        <v>1</v>
      </c>
      <c r="AZ143" s="60"/>
      <c r="BA143" s="60">
        <v>4107</v>
      </c>
      <c r="BB143" s="60">
        <v>2</v>
      </c>
      <c r="BC143" s="60"/>
      <c r="BD143" s="60"/>
      <c r="BE143" s="60">
        <v>1504</v>
      </c>
      <c r="BF143" s="60">
        <v>1460</v>
      </c>
      <c r="BG143" s="60">
        <v>260</v>
      </c>
      <c r="BH143" s="60">
        <v>1386</v>
      </c>
      <c r="BI143" s="60">
        <v>9</v>
      </c>
      <c r="BJ143" s="60">
        <v>62</v>
      </c>
      <c r="BK143" s="60">
        <v>10</v>
      </c>
      <c r="BL143" s="60">
        <v>241</v>
      </c>
      <c r="BM143" s="60"/>
      <c r="BN143" s="60">
        <v>307</v>
      </c>
      <c r="BO143" s="60">
        <v>93</v>
      </c>
      <c r="BP143" s="60">
        <v>213</v>
      </c>
      <c r="BQ143" s="60">
        <v>127</v>
      </c>
      <c r="BR143" s="60">
        <v>1356</v>
      </c>
      <c r="BS143" s="60">
        <v>158</v>
      </c>
      <c r="BT143" s="60">
        <v>16</v>
      </c>
      <c r="BU143" s="60">
        <v>452</v>
      </c>
      <c r="BV143" s="60">
        <v>149</v>
      </c>
      <c r="BW143" s="60">
        <v>2</v>
      </c>
      <c r="BX143" s="60">
        <v>113</v>
      </c>
      <c r="BY143" s="60">
        <v>450</v>
      </c>
      <c r="BZ143" s="60">
        <v>253</v>
      </c>
      <c r="CA143" s="60">
        <v>617</v>
      </c>
      <c r="CB143" s="60"/>
      <c r="CC143" s="60"/>
      <c r="CD143" s="60">
        <v>522</v>
      </c>
      <c r="CE143" s="60">
        <v>22</v>
      </c>
      <c r="CF143" s="60">
        <v>54</v>
      </c>
      <c r="CG143" s="60">
        <v>8</v>
      </c>
      <c r="CH143" s="60">
        <v>24</v>
      </c>
      <c r="CI143" s="60"/>
      <c r="CJ143" s="60">
        <v>23</v>
      </c>
      <c r="CK143" s="60">
        <v>124</v>
      </c>
      <c r="CL143" s="60">
        <v>3257</v>
      </c>
      <c r="CM143" s="60">
        <v>469</v>
      </c>
      <c r="CN143" s="60">
        <v>14</v>
      </c>
      <c r="CO143" s="60">
        <v>62</v>
      </c>
      <c r="CP143" s="60">
        <v>18</v>
      </c>
      <c r="CQ143" s="60">
        <v>20</v>
      </c>
      <c r="CR143" s="60">
        <v>2</v>
      </c>
      <c r="CS143" s="60"/>
      <c r="CT143" s="60">
        <v>4619</v>
      </c>
      <c r="CU143" s="60">
        <v>34</v>
      </c>
      <c r="CV143" s="60">
        <v>4539</v>
      </c>
      <c r="CW143" s="60">
        <v>46</v>
      </c>
      <c r="CX143" s="60">
        <v>98</v>
      </c>
      <c r="CY143" s="60">
        <v>101</v>
      </c>
      <c r="CZ143" s="60"/>
      <c r="DA143" s="60"/>
      <c r="DB143" s="60">
        <v>1</v>
      </c>
      <c r="DC143" s="60">
        <v>2</v>
      </c>
      <c r="DD143" s="60">
        <v>5</v>
      </c>
      <c r="DE143" s="60">
        <v>19</v>
      </c>
      <c r="DF143" s="60">
        <v>28</v>
      </c>
      <c r="DG143" s="60">
        <v>20</v>
      </c>
      <c r="DH143" s="60">
        <v>47</v>
      </c>
      <c r="DI143" s="60">
        <v>77</v>
      </c>
      <c r="DJ143" s="60"/>
      <c r="DK143" s="60"/>
      <c r="DL143" s="60"/>
      <c r="DM143" s="60"/>
      <c r="DN143" s="60">
        <v>1</v>
      </c>
      <c r="DO143" s="60">
        <v>2</v>
      </c>
      <c r="DP143" s="60"/>
      <c r="DQ143" s="60"/>
      <c r="DR143" s="60">
        <v>191</v>
      </c>
      <c r="DS143" s="60">
        <v>5</v>
      </c>
      <c r="DT143" s="60">
        <v>13</v>
      </c>
      <c r="DU143" s="60">
        <v>2</v>
      </c>
      <c r="DV143" s="60">
        <v>8</v>
      </c>
      <c r="DW143" s="60">
        <v>17</v>
      </c>
      <c r="DX143" s="60"/>
      <c r="DY143" s="60"/>
      <c r="DZ143" s="60"/>
      <c r="EA143" s="60">
        <v>125</v>
      </c>
      <c r="EB143" s="60">
        <v>34</v>
      </c>
      <c r="EC143" s="60"/>
      <c r="ED143" s="60">
        <v>0</v>
      </c>
      <c r="EE143" s="60">
        <v>0</v>
      </c>
      <c r="EF143" s="60">
        <v>0</v>
      </c>
      <c r="EG143" s="60">
        <v>0</v>
      </c>
      <c r="EH143" s="60">
        <v>0</v>
      </c>
      <c r="EI143" s="60">
        <v>32</v>
      </c>
      <c r="EJ143" s="60">
        <v>134</v>
      </c>
      <c r="EK143" s="60">
        <v>7</v>
      </c>
      <c r="EL143" s="60">
        <v>16</v>
      </c>
      <c r="EM143" s="60">
        <v>10</v>
      </c>
      <c r="EN143" s="60"/>
      <c r="EO143" s="60">
        <v>1</v>
      </c>
      <c r="EP143" s="60">
        <v>31</v>
      </c>
      <c r="EQ143" s="60"/>
      <c r="ER143" s="60">
        <v>27</v>
      </c>
      <c r="ES143" s="60">
        <v>16</v>
      </c>
      <c r="ET143" s="60">
        <v>8</v>
      </c>
      <c r="EU143" s="60">
        <v>17</v>
      </c>
      <c r="EV143" s="60">
        <v>14</v>
      </c>
      <c r="EW143" s="60"/>
      <c r="EX143" s="60">
        <v>2</v>
      </c>
      <c r="EY143" s="60">
        <v>12</v>
      </c>
      <c r="EZ143" s="60"/>
      <c r="FA143" s="60">
        <v>4</v>
      </c>
      <c r="FB143" s="60">
        <v>45</v>
      </c>
      <c r="FC143" s="60">
        <v>10</v>
      </c>
      <c r="FD143" s="60">
        <v>12</v>
      </c>
      <c r="FE143" s="60"/>
      <c r="FF143" s="60"/>
      <c r="FG143" s="60"/>
      <c r="FH143" s="60">
        <v>9</v>
      </c>
      <c r="FI143" s="60">
        <v>4</v>
      </c>
      <c r="FJ143" s="60">
        <v>18</v>
      </c>
      <c r="FK143" s="60"/>
      <c r="FL143" s="60">
        <v>1</v>
      </c>
      <c r="FM143" s="60">
        <v>3</v>
      </c>
      <c r="FN143" s="60">
        <v>1</v>
      </c>
      <c r="FO143" s="60">
        <v>160</v>
      </c>
      <c r="FP143" s="60">
        <v>3</v>
      </c>
      <c r="FQ143" s="60"/>
      <c r="FR143" s="60"/>
      <c r="FS143" s="60"/>
      <c r="FT143" s="60"/>
      <c r="FU143" s="60"/>
      <c r="FV143" s="60"/>
      <c r="FW143" s="60"/>
      <c r="FX143" s="60">
        <v>199</v>
      </c>
      <c r="FY143" s="60"/>
      <c r="FZ143" s="60">
        <v>199</v>
      </c>
      <c r="GA143" s="60"/>
      <c r="GB143" s="60">
        <v>2011</v>
      </c>
    </row>
    <row r="144" spans="1:184" x14ac:dyDescent="0.3">
      <c r="A144" s="60">
        <v>106230949</v>
      </c>
      <c r="B144" s="61" t="s">
        <v>610</v>
      </c>
      <c r="C144" s="61" t="s">
        <v>611</v>
      </c>
      <c r="D144" s="61" t="s">
        <v>612</v>
      </c>
      <c r="E144" s="61" t="s">
        <v>613</v>
      </c>
      <c r="F144" s="60">
        <v>95490</v>
      </c>
      <c r="G144" s="61"/>
      <c r="H144" s="61" t="s">
        <v>1669</v>
      </c>
      <c r="I144" s="60">
        <v>1</v>
      </c>
      <c r="J144" s="60">
        <v>2</v>
      </c>
      <c r="K144" s="61" t="s">
        <v>1868</v>
      </c>
      <c r="L144" s="61"/>
      <c r="M144" s="61" t="s">
        <v>1704</v>
      </c>
      <c r="N144" s="61" t="s">
        <v>1869</v>
      </c>
      <c r="O144" s="61" t="s">
        <v>1673</v>
      </c>
      <c r="P144" s="61" t="s">
        <v>1678</v>
      </c>
      <c r="Q144" s="61" t="s">
        <v>1674</v>
      </c>
      <c r="R144" s="60">
        <v>38</v>
      </c>
      <c r="S144" s="61" t="s">
        <v>1706</v>
      </c>
      <c r="T144" s="60">
        <v>4797</v>
      </c>
      <c r="U144" s="60">
        <v>4425</v>
      </c>
      <c r="V144" s="60"/>
      <c r="W144" s="60"/>
      <c r="X144" s="60">
        <v>933</v>
      </c>
      <c r="Y144" s="60">
        <v>1062</v>
      </c>
      <c r="Z144" s="60">
        <v>1471</v>
      </c>
      <c r="AA144" s="60">
        <v>1275</v>
      </c>
      <c r="AB144" s="60">
        <v>1098</v>
      </c>
      <c r="AC144" s="60">
        <v>1221</v>
      </c>
      <c r="AD144" s="60">
        <v>928</v>
      </c>
      <c r="AE144" s="60">
        <v>585</v>
      </c>
      <c r="AF144" s="60">
        <v>498</v>
      </c>
      <c r="AG144" s="60">
        <v>151</v>
      </c>
      <c r="AH144" s="60"/>
      <c r="AI144" s="60">
        <v>28</v>
      </c>
      <c r="AJ144" s="60">
        <v>88</v>
      </c>
      <c r="AK144" s="60">
        <v>685</v>
      </c>
      <c r="AL144" s="60">
        <v>627</v>
      </c>
      <c r="AM144" s="60">
        <v>73</v>
      </c>
      <c r="AN144" s="60">
        <v>55</v>
      </c>
      <c r="AO144" s="60">
        <v>7666</v>
      </c>
      <c r="AP144" s="60">
        <v>483</v>
      </c>
      <c r="AQ144" s="60">
        <v>179</v>
      </c>
      <c r="AR144" s="60">
        <v>22</v>
      </c>
      <c r="AS144" s="60">
        <v>10</v>
      </c>
      <c r="AT144" s="60">
        <v>7</v>
      </c>
      <c r="AU144" s="60">
        <v>3</v>
      </c>
      <c r="AV144" s="60"/>
      <c r="AW144" s="60"/>
      <c r="AX144" s="60">
        <v>86</v>
      </c>
      <c r="AY144" s="60"/>
      <c r="AZ144" s="60"/>
      <c r="BA144" s="60">
        <v>8405</v>
      </c>
      <c r="BB144" s="60">
        <v>27</v>
      </c>
      <c r="BC144" s="60"/>
      <c r="BD144" s="60"/>
      <c r="BE144" s="60">
        <v>3888</v>
      </c>
      <c r="BF144" s="60">
        <v>1956</v>
      </c>
      <c r="BG144" s="60">
        <v>349</v>
      </c>
      <c r="BH144" s="60">
        <v>1949</v>
      </c>
      <c r="BI144" s="60">
        <v>1080</v>
      </c>
      <c r="BJ144" s="60">
        <v>124</v>
      </c>
      <c r="BK144" s="60">
        <v>23</v>
      </c>
      <c r="BL144" s="60">
        <v>242</v>
      </c>
      <c r="BM144" s="60">
        <v>2</v>
      </c>
      <c r="BN144" s="60">
        <v>636</v>
      </c>
      <c r="BO144" s="60">
        <v>141</v>
      </c>
      <c r="BP144" s="60">
        <v>375</v>
      </c>
      <c r="BQ144" s="60">
        <v>253</v>
      </c>
      <c r="BR144" s="60">
        <v>2378</v>
      </c>
      <c r="BS144" s="60">
        <v>549</v>
      </c>
      <c r="BT144" s="60">
        <v>18</v>
      </c>
      <c r="BU144" s="60">
        <v>513</v>
      </c>
      <c r="BV144" s="60">
        <v>385</v>
      </c>
      <c r="BW144" s="60">
        <v>8</v>
      </c>
      <c r="BX144" s="60">
        <v>303</v>
      </c>
      <c r="BY144" s="60">
        <v>1064</v>
      </c>
      <c r="BZ144" s="60">
        <v>680</v>
      </c>
      <c r="CA144" s="60">
        <v>1528</v>
      </c>
      <c r="CB144" s="60"/>
      <c r="CC144" s="60"/>
      <c r="CD144" s="60">
        <v>644</v>
      </c>
      <c r="CE144" s="60">
        <v>56</v>
      </c>
      <c r="CF144" s="60">
        <v>111</v>
      </c>
      <c r="CG144" s="60">
        <v>15</v>
      </c>
      <c r="CH144" s="60">
        <v>110</v>
      </c>
      <c r="CI144" s="60">
        <v>26</v>
      </c>
      <c r="CJ144" s="60">
        <v>77</v>
      </c>
      <c r="CK144" s="60">
        <v>188</v>
      </c>
      <c r="CL144" s="60">
        <v>6519</v>
      </c>
      <c r="CM144" s="60">
        <v>1086</v>
      </c>
      <c r="CN144" s="60">
        <v>63</v>
      </c>
      <c r="CO144" s="60">
        <v>259</v>
      </c>
      <c r="CP144" s="60">
        <v>14</v>
      </c>
      <c r="CQ144" s="60">
        <v>46</v>
      </c>
      <c r="CR144" s="60">
        <v>8</v>
      </c>
      <c r="CS144" s="60"/>
      <c r="CT144" s="60">
        <v>9222</v>
      </c>
      <c r="CU144" s="60">
        <v>21</v>
      </c>
      <c r="CV144" s="60">
        <v>8992</v>
      </c>
      <c r="CW144" s="60">
        <v>209</v>
      </c>
      <c r="CX144" s="60">
        <v>329</v>
      </c>
      <c r="CY144" s="60">
        <v>356</v>
      </c>
      <c r="CZ144" s="60"/>
      <c r="DA144" s="60"/>
      <c r="DB144" s="60">
        <v>25</v>
      </c>
      <c r="DC144" s="60">
        <v>38</v>
      </c>
      <c r="DD144" s="60">
        <v>47</v>
      </c>
      <c r="DE144" s="60">
        <v>60</v>
      </c>
      <c r="DF144" s="60">
        <v>121</v>
      </c>
      <c r="DG144" s="60">
        <v>142</v>
      </c>
      <c r="DH144" s="60">
        <v>108</v>
      </c>
      <c r="DI144" s="60">
        <v>130</v>
      </c>
      <c r="DJ144" s="60">
        <v>1</v>
      </c>
      <c r="DK144" s="60">
        <v>13</v>
      </c>
      <c r="DL144" s="60"/>
      <c r="DM144" s="60">
        <v>4</v>
      </c>
      <c r="DN144" s="60">
        <v>5</v>
      </c>
      <c r="DO144" s="60">
        <v>20</v>
      </c>
      <c r="DP144" s="60">
        <v>6</v>
      </c>
      <c r="DQ144" s="60">
        <v>3</v>
      </c>
      <c r="DR144" s="60">
        <v>608</v>
      </c>
      <c r="DS144" s="60">
        <v>39</v>
      </c>
      <c r="DT144" s="60">
        <v>46</v>
      </c>
      <c r="DU144" s="60">
        <v>5</v>
      </c>
      <c r="DV144" s="60">
        <v>11</v>
      </c>
      <c r="DW144" s="60">
        <v>49</v>
      </c>
      <c r="DX144" s="60">
        <v>3</v>
      </c>
      <c r="DY144" s="60"/>
      <c r="DZ144" s="60"/>
      <c r="EA144" s="60">
        <v>488</v>
      </c>
      <c r="EB144" s="60">
        <v>82</v>
      </c>
      <c r="EC144" s="60">
        <v>1</v>
      </c>
      <c r="ED144" s="60">
        <v>0</v>
      </c>
      <c r="EE144" s="60">
        <v>0</v>
      </c>
      <c r="EF144" s="60">
        <v>0</v>
      </c>
      <c r="EG144" s="60">
        <v>0</v>
      </c>
      <c r="EH144" s="60">
        <v>0</v>
      </c>
      <c r="EI144" s="60">
        <v>99</v>
      </c>
      <c r="EJ144" s="60">
        <v>349</v>
      </c>
      <c r="EK144" s="60">
        <v>29</v>
      </c>
      <c r="EL144" s="60">
        <v>95</v>
      </c>
      <c r="EM144" s="60">
        <v>113</v>
      </c>
      <c r="EN144" s="60">
        <v>4</v>
      </c>
      <c r="EO144" s="60">
        <v>18</v>
      </c>
      <c r="EP144" s="60">
        <v>66</v>
      </c>
      <c r="EQ144" s="60">
        <v>1</v>
      </c>
      <c r="ER144" s="60">
        <v>86</v>
      </c>
      <c r="ES144" s="60">
        <v>32</v>
      </c>
      <c r="ET144" s="60">
        <v>24</v>
      </c>
      <c r="EU144" s="60">
        <v>38</v>
      </c>
      <c r="EV144" s="60">
        <v>200</v>
      </c>
      <c r="EW144" s="60">
        <v>17</v>
      </c>
      <c r="EX144" s="60">
        <v>13</v>
      </c>
      <c r="EY144" s="60">
        <v>14</v>
      </c>
      <c r="EZ144" s="60"/>
      <c r="FA144" s="60">
        <v>18</v>
      </c>
      <c r="FB144" s="60">
        <v>97</v>
      </c>
      <c r="FC144" s="60">
        <v>30</v>
      </c>
      <c r="FD144" s="60">
        <v>27</v>
      </c>
      <c r="FE144" s="60"/>
      <c r="FF144" s="60"/>
      <c r="FG144" s="60"/>
      <c r="FH144" s="60">
        <v>86</v>
      </c>
      <c r="FI144" s="60">
        <v>15</v>
      </c>
      <c r="FJ144" s="60">
        <v>45</v>
      </c>
      <c r="FK144" s="60">
        <v>3</v>
      </c>
      <c r="FL144" s="60">
        <v>3</v>
      </c>
      <c r="FM144" s="60">
        <v>29</v>
      </c>
      <c r="FN144" s="60">
        <v>15</v>
      </c>
      <c r="FO144" s="60">
        <v>399</v>
      </c>
      <c r="FP144" s="60">
        <v>42</v>
      </c>
      <c r="FQ144" s="60">
        <v>5</v>
      </c>
      <c r="FR144" s="60">
        <v>32</v>
      </c>
      <c r="FS144" s="60">
        <v>8</v>
      </c>
      <c r="FT144" s="60">
        <v>1</v>
      </c>
      <c r="FU144" s="60">
        <v>1</v>
      </c>
      <c r="FV144" s="60">
        <v>1</v>
      </c>
      <c r="FW144" s="60"/>
      <c r="FX144" s="60">
        <v>685</v>
      </c>
      <c r="FY144" s="60">
        <v>1</v>
      </c>
      <c r="FZ144" s="60">
        <v>670</v>
      </c>
      <c r="GA144" s="60">
        <v>14</v>
      </c>
      <c r="GB144" s="60">
        <v>2011</v>
      </c>
    </row>
    <row r="145" spans="1:184" x14ac:dyDescent="0.3">
      <c r="A145" s="60">
        <v>106231013</v>
      </c>
      <c r="B145" s="61" t="s">
        <v>614</v>
      </c>
      <c r="C145" s="61" t="s">
        <v>615</v>
      </c>
      <c r="D145" s="61" t="s">
        <v>616</v>
      </c>
      <c r="E145" s="61" t="s">
        <v>617</v>
      </c>
      <c r="F145" s="60">
        <v>95437</v>
      </c>
      <c r="G145" s="61"/>
      <c r="H145" s="61" t="s">
        <v>1669</v>
      </c>
      <c r="I145" s="60">
        <v>1</v>
      </c>
      <c r="J145" s="60">
        <v>2</v>
      </c>
      <c r="K145" s="61" t="s">
        <v>1870</v>
      </c>
      <c r="L145" s="61"/>
      <c r="M145" s="61" t="s">
        <v>1704</v>
      </c>
      <c r="N145" s="61" t="s">
        <v>1869</v>
      </c>
      <c r="O145" s="61" t="s">
        <v>1673</v>
      </c>
      <c r="P145" s="61" t="s">
        <v>159</v>
      </c>
      <c r="Q145" s="61" t="s">
        <v>1674</v>
      </c>
      <c r="R145" s="60">
        <v>49</v>
      </c>
      <c r="S145" s="61" t="s">
        <v>1706</v>
      </c>
      <c r="T145" s="60">
        <v>4321</v>
      </c>
      <c r="U145" s="60">
        <v>4073</v>
      </c>
      <c r="V145" s="60"/>
      <c r="W145" s="60"/>
      <c r="X145" s="60">
        <v>659</v>
      </c>
      <c r="Y145" s="60">
        <v>661</v>
      </c>
      <c r="Z145" s="60">
        <v>1190</v>
      </c>
      <c r="AA145" s="60">
        <v>1045</v>
      </c>
      <c r="AB145" s="60">
        <v>1069</v>
      </c>
      <c r="AC145" s="60">
        <v>1290</v>
      </c>
      <c r="AD145" s="60">
        <v>1071</v>
      </c>
      <c r="AE145" s="60">
        <v>545</v>
      </c>
      <c r="AF145" s="60">
        <v>743</v>
      </c>
      <c r="AG145" s="60">
        <v>121</v>
      </c>
      <c r="AH145" s="60"/>
      <c r="AI145" s="60">
        <v>40</v>
      </c>
      <c r="AJ145" s="60">
        <v>64</v>
      </c>
      <c r="AK145" s="60">
        <v>814</v>
      </c>
      <c r="AL145" s="60">
        <v>68</v>
      </c>
      <c r="AM145" s="60">
        <v>240</v>
      </c>
      <c r="AN145" s="60">
        <v>46</v>
      </c>
      <c r="AO145" s="60">
        <v>7122</v>
      </c>
      <c r="AP145" s="60">
        <v>195</v>
      </c>
      <c r="AQ145" s="60">
        <v>94</v>
      </c>
      <c r="AR145" s="60"/>
      <c r="AS145" s="60">
        <v>4</v>
      </c>
      <c r="AT145" s="60">
        <v>5</v>
      </c>
      <c r="AU145" s="60">
        <v>2</v>
      </c>
      <c r="AV145" s="60"/>
      <c r="AW145" s="60">
        <v>14</v>
      </c>
      <c r="AX145" s="60">
        <v>75</v>
      </c>
      <c r="AY145" s="60">
        <v>14</v>
      </c>
      <c r="AZ145" s="60">
        <v>7</v>
      </c>
      <c r="BA145" s="60">
        <v>7929</v>
      </c>
      <c r="BB145" s="60">
        <v>36</v>
      </c>
      <c r="BC145" s="60"/>
      <c r="BD145" s="60">
        <v>19</v>
      </c>
      <c r="BE145" s="60">
        <v>1991</v>
      </c>
      <c r="BF145" s="60">
        <v>2408</v>
      </c>
      <c r="BG145" s="60">
        <v>431</v>
      </c>
      <c r="BH145" s="60">
        <v>2884</v>
      </c>
      <c r="BI145" s="60">
        <v>680</v>
      </c>
      <c r="BJ145" s="60">
        <v>201</v>
      </c>
      <c r="BK145" s="60">
        <v>22</v>
      </c>
      <c r="BL145" s="60">
        <v>219</v>
      </c>
      <c r="BM145" s="60">
        <v>1</v>
      </c>
      <c r="BN145" s="60">
        <v>447</v>
      </c>
      <c r="BO145" s="60">
        <v>96</v>
      </c>
      <c r="BP145" s="60">
        <v>360</v>
      </c>
      <c r="BQ145" s="60">
        <v>184</v>
      </c>
      <c r="BR145" s="60">
        <v>2387</v>
      </c>
      <c r="BS145" s="60">
        <v>479</v>
      </c>
      <c r="BT145" s="60">
        <v>16</v>
      </c>
      <c r="BU145" s="60">
        <v>443</v>
      </c>
      <c r="BV145" s="60">
        <v>243</v>
      </c>
      <c r="BW145" s="60">
        <v>5</v>
      </c>
      <c r="BX145" s="60">
        <v>298</v>
      </c>
      <c r="BY145" s="60">
        <v>677</v>
      </c>
      <c r="BZ145" s="60">
        <v>489</v>
      </c>
      <c r="CA145" s="60">
        <v>1827</v>
      </c>
      <c r="CB145" s="60"/>
      <c r="CC145" s="60"/>
      <c r="CD145" s="60">
        <v>773</v>
      </c>
      <c r="CE145" s="60">
        <v>96</v>
      </c>
      <c r="CF145" s="60">
        <v>67</v>
      </c>
      <c r="CG145" s="60">
        <v>4</v>
      </c>
      <c r="CH145" s="60">
        <v>111</v>
      </c>
      <c r="CI145" s="60">
        <v>8</v>
      </c>
      <c r="CJ145" s="60">
        <v>73</v>
      </c>
      <c r="CK145" s="60">
        <v>194</v>
      </c>
      <c r="CL145" s="60">
        <v>5699</v>
      </c>
      <c r="CM145" s="60">
        <v>1036</v>
      </c>
      <c r="CN145" s="60">
        <v>72</v>
      </c>
      <c r="CO145" s="60">
        <v>162</v>
      </c>
      <c r="CP145" s="60">
        <v>25</v>
      </c>
      <c r="CQ145" s="60">
        <v>65</v>
      </c>
      <c r="CR145" s="60">
        <v>9</v>
      </c>
      <c r="CS145" s="60"/>
      <c r="CT145" s="60">
        <v>8394</v>
      </c>
      <c r="CU145" s="60">
        <v>61</v>
      </c>
      <c r="CV145" s="60">
        <v>7833</v>
      </c>
      <c r="CW145" s="60">
        <v>500</v>
      </c>
      <c r="CX145" s="60">
        <v>437</v>
      </c>
      <c r="CY145" s="60">
        <v>345</v>
      </c>
      <c r="CZ145" s="60"/>
      <c r="DA145" s="60"/>
      <c r="DB145" s="60">
        <v>20</v>
      </c>
      <c r="DC145" s="60">
        <v>21</v>
      </c>
      <c r="DD145" s="60">
        <v>39</v>
      </c>
      <c r="DE145" s="60">
        <v>44</v>
      </c>
      <c r="DF145" s="60">
        <v>118</v>
      </c>
      <c r="DG145" s="60">
        <v>172</v>
      </c>
      <c r="DH145" s="60">
        <v>111</v>
      </c>
      <c r="DI145" s="60">
        <v>241</v>
      </c>
      <c r="DJ145" s="60">
        <v>4</v>
      </c>
      <c r="DK145" s="60">
        <v>12</v>
      </c>
      <c r="DL145" s="60"/>
      <c r="DM145" s="60">
        <v>2</v>
      </c>
      <c r="DN145" s="60">
        <v>1</v>
      </c>
      <c r="DO145" s="60">
        <v>27</v>
      </c>
      <c r="DP145" s="60">
        <v>18</v>
      </c>
      <c r="DQ145" s="60">
        <v>1</v>
      </c>
      <c r="DR145" s="60">
        <v>731</v>
      </c>
      <c r="DS145" s="60">
        <v>2</v>
      </c>
      <c r="DT145" s="60">
        <v>64</v>
      </c>
      <c r="DU145" s="60">
        <v>11</v>
      </c>
      <c r="DV145" s="60">
        <v>28</v>
      </c>
      <c r="DW145" s="60">
        <v>62</v>
      </c>
      <c r="DX145" s="60"/>
      <c r="DY145" s="60"/>
      <c r="DZ145" s="60">
        <v>2</v>
      </c>
      <c r="EA145" s="60">
        <v>420</v>
      </c>
      <c r="EB145" s="60">
        <v>194</v>
      </c>
      <c r="EC145" s="60">
        <v>1</v>
      </c>
      <c r="ED145" s="60">
        <v>0</v>
      </c>
      <c r="EE145" s="60">
        <v>0</v>
      </c>
      <c r="EF145" s="60">
        <v>0</v>
      </c>
      <c r="EG145" s="60">
        <v>0</v>
      </c>
      <c r="EH145" s="60">
        <v>0</v>
      </c>
      <c r="EI145" s="60">
        <v>119</v>
      </c>
      <c r="EJ145" s="60">
        <v>494</v>
      </c>
      <c r="EK145" s="60"/>
      <c r="EL145" s="60">
        <v>114</v>
      </c>
      <c r="EM145" s="60">
        <v>55</v>
      </c>
      <c r="EN145" s="60">
        <v>6</v>
      </c>
      <c r="EO145" s="60">
        <v>4</v>
      </c>
      <c r="EP145" s="60">
        <v>129</v>
      </c>
      <c r="EQ145" s="60"/>
      <c r="ER145" s="60">
        <v>156</v>
      </c>
      <c r="ES145" s="60">
        <v>25</v>
      </c>
      <c r="ET145" s="60">
        <v>33</v>
      </c>
      <c r="EU145" s="60">
        <v>78</v>
      </c>
      <c r="EV145" s="60">
        <v>79</v>
      </c>
      <c r="EW145" s="60">
        <v>17</v>
      </c>
      <c r="EX145" s="60">
        <v>21</v>
      </c>
      <c r="EY145" s="60">
        <v>15</v>
      </c>
      <c r="EZ145" s="60">
        <v>2</v>
      </c>
      <c r="FA145" s="60">
        <v>13</v>
      </c>
      <c r="FB145" s="60">
        <v>134</v>
      </c>
      <c r="FC145" s="60">
        <v>28</v>
      </c>
      <c r="FD145" s="60">
        <v>41</v>
      </c>
      <c r="FE145" s="60"/>
      <c r="FF145" s="60">
        <v>1</v>
      </c>
      <c r="FG145" s="60"/>
      <c r="FH145" s="60">
        <v>56</v>
      </c>
      <c r="FI145" s="60">
        <v>10</v>
      </c>
      <c r="FJ145" s="60">
        <v>42</v>
      </c>
      <c r="FK145" s="60">
        <v>2</v>
      </c>
      <c r="FL145" s="60"/>
      <c r="FM145" s="60">
        <v>30</v>
      </c>
      <c r="FN145" s="60">
        <v>1</v>
      </c>
      <c r="FO145" s="60">
        <v>625</v>
      </c>
      <c r="FP145" s="60">
        <v>6</v>
      </c>
      <c r="FQ145" s="60">
        <v>1</v>
      </c>
      <c r="FR145" s="60">
        <v>3</v>
      </c>
      <c r="FS145" s="60">
        <v>4</v>
      </c>
      <c r="FT145" s="60">
        <v>2</v>
      </c>
      <c r="FU145" s="60"/>
      <c r="FV145" s="60"/>
      <c r="FW145" s="60"/>
      <c r="FX145" s="60">
        <v>782</v>
      </c>
      <c r="FY145" s="60">
        <v>8</v>
      </c>
      <c r="FZ145" s="60">
        <v>757</v>
      </c>
      <c r="GA145" s="60">
        <v>17</v>
      </c>
      <c r="GB145" s="60">
        <v>2011</v>
      </c>
    </row>
    <row r="146" spans="1:184" x14ac:dyDescent="0.3">
      <c r="A146" s="60">
        <v>106231396</v>
      </c>
      <c r="B146" s="61" t="s">
        <v>618</v>
      </c>
      <c r="C146" s="61" t="s">
        <v>1871</v>
      </c>
      <c r="D146" s="61" t="s">
        <v>619</v>
      </c>
      <c r="E146" s="61" t="s">
        <v>620</v>
      </c>
      <c r="F146" s="60">
        <v>95482</v>
      </c>
      <c r="G146" s="61"/>
      <c r="H146" s="61" t="s">
        <v>1669</v>
      </c>
      <c r="I146" s="60">
        <v>1</v>
      </c>
      <c r="J146" s="60">
        <v>2</v>
      </c>
      <c r="K146" s="61" t="s">
        <v>1872</v>
      </c>
      <c r="L146" s="61"/>
      <c r="M146" s="61" t="s">
        <v>1704</v>
      </c>
      <c r="N146" s="61" t="s">
        <v>1869</v>
      </c>
      <c r="O146" s="61" t="s">
        <v>1673</v>
      </c>
      <c r="P146" s="61" t="s">
        <v>1678</v>
      </c>
      <c r="Q146" s="61" t="s">
        <v>1674</v>
      </c>
      <c r="R146" s="60">
        <v>78</v>
      </c>
      <c r="S146" s="61" t="s">
        <v>1675</v>
      </c>
      <c r="T146" s="60">
        <v>12056</v>
      </c>
      <c r="U146" s="60">
        <v>10293</v>
      </c>
      <c r="V146" s="60"/>
      <c r="W146" s="60"/>
      <c r="X146" s="60">
        <v>2537</v>
      </c>
      <c r="Y146" s="60">
        <v>2654</v>
      </c>
      <c r="Z146" s="60">
        <v>4018</v>
      </c>
      <c r="AA146" s="60">
        <v>3024</v>
      </c>
      <c r="AB146" s="60">
        <v>3133</v>
      </c>
      <c r="AC146" s="60">
        <v>2683</v>
      </c>
      <c r="AD146" s="60">
        <v>1647</v>
      </c>
      <c r="AE146" s="60">
        <v>1028</v>
      </c>
      <c r="AF146" s="60">
        <v>1095</v>
      </c>
      <c r="AG146" s="60">
        <v>530</v>
      </c>
      <c r="AH146" s="60"/>
      <c r="AI146" s="60">
        <v>113</v>
      </c>
      <c r="AJ146" s="60">
        <v>352</v>
      </c>
      <c r="AK146" s="60">
        <v>4188</v>
      </c>
      <c r="AL146" s="60">
        <v>1373</v>
      </c>
      <c r="AM146" s="60">
        <v>261</v>
      </c>
      <c r="AN146" s="60">
        <v>428</v>
      </c>
      <c r="AO146" s="60">
        <v>15634</v>
      </c>
      <c r="AP146" s="60">
        <v>219</v>
      </c>
      <c r="AQ146" s="60">
        <v>474</v>
      </c>
      <c r="AR146" s="60">
        <v>92</v>
      </c>
      <c r="AS146" s="60">
        <v>14</v>
      </c>
      <c r="AT146" s="60">
        <v>19</v>
      </c>
      <c r="AU146" s="60"/>
      <c r="AV146" s="60"/>
      <c r="AW146" s="60"/>
      <c r="AX146" s="60">
        <v>419</v>
      </c>
      <c r="AY146" s="60">
        <v>74</v>
      </c>
      <c r="AZ146" s="60"/>
      <c r="BA146" s="60">
        <v>20942</v>
      </c>
      <c r="BB146" s="60">
        <v>96</v>
      </c>
      <c r="BC146" s="60"/>
      <c r="BD146" s="60"/>
      <c r="BE146" s="60">
        <v>6952</v>
      </c>
      <c r="BF146" s="60">
        <v>4055</v>
      </c>
      <c r="BG146" s="60">
        <v>914</v>
      </c>
      <c r="BH146" s="60">
        <v>7983</v>
      </c>
      <c r="BI146" s="60">
        <v>2445</v>
      </c>
      <c r="BJ146" s="60">
        <v>462</v>
      </c>
      <c r="BK146" s="60">
        <v>42</v>
      </c>
      <c r="BL146" s="60">
        <v>463</v>
      </c>
      <c r="BM146" s="60">
        <v>1</v>
      </c>
      <c r="BN146" s="60">
        <v>1451</v>
      </c>
      <c r="BO146" s="60">
        <v>354</v>
      </c>
      <c r="BP146" s="60">
        <v>1069</v>
      </c>
      <c r="BQ146" s="60">
        <v>692</v>
      </c>
      <c r="BR146" s="60">
        <v>5266</v>
      </c>
      <c r="BS146" s="60">
        <v>1550</v>
      </c>
      <c r="BT146" s="60">
        <v>30</v>
      </c>
      <c r="BU146" s="60">
        <v>1497</v>
      </c>
      <c r="BV146" s="60">
        <v>830</v>
      </c>
      <c r="BW146" s="60">
        <v>31</v>
      </c>
      <c r="BX146" s="60">
        <v>875</v>
      </c>
      <c r="BY146" s="60">
        <v>2573</v>
      </c>
      <c r="BZ146" s="60">
        <v>1556</v>
      </c>
      <c r="CA146" s="60">
        <v>3607</v>
      </c>
      <c r="CB146" s="60"/>
      <c r="CC146" s="60"/>
      <c r="CD146" s="60">
        <v>1617</v>
      </c>
      <c r="CE146" s="60">
        <v>271</v>
      </c>
      <c r="CF146" s="60">
        <v>346</v>
      </c>
      <c r="CG146" s="60">
        <v>13</v>
      </c>
      <c r="CH146" s="60">
        <v>269</v>
      </c>
      <c r="CI146" s="60">
        <v>37</v>
      </c>
      <c r="CJ146" s="60">
        <v>159</v>
      </c>
      <c r="CK146" s="60">
        <v>332</v>
      </c>
      <c r="CL146" s="60">
        <v>15969</v>
      </c>
      <c r="CM146" s="60">
        <v>2438</v>
      </c>
      <c r="CN146" s="60">
        <v>146</v>
      </c>
      <c r="CO146" s="60">
        <v>454</v>
      </c>
      <c r="CP146" s="60">
        <v>139</v>
      </c>
      <c r="CQ146" s="60">
        <v>149</v>
      </c>
      <c r="CR146" s="60">
        <v>10</v>
      </c>
      <c r="CS146" s="60"/>
      <c r="CT146" s="60">
        <v>22349</v>
      </c>
      <c r="CU146" s="60">
        <v>10</v>
      </c>
      <c r="CV146" s="60">
        <v>19964</v>
      </c>
      <c r="CW146" s="60">
        <v>2375</v>
      </c>
      <c r="CX146" s="60">
        <v>1426</v>
      </c>
      <c r="CY146" s="60">
        <v>1187</v>
      </c>
      <c r="CZ146" s="60"/>
      <c r="DA146" s="60"/>
      <c r="DB146" s="60">
        <v>85</v>
      </c>
      <c r="DC146" s="60">
        <v>209</v>
      </c>
      <c r="DD146" s="60">
        <v>176</v>
      </c>
      <c r="DE146" s="60">
        <v>230</v>
      </c>
      <c r="DF146" s="60">
        <v>419</v>
      </c>
      <c r="DG146" s="60">
        <v>454</v>
      </c>
      <c r="DH146" s="60">
        <v>385</v>
      </c>
      <c r="DI146" s="60">
        <v>583</v>
      </c>
      <c r="DJ146" s="60">
        <v>27</v>
      </c>
      <c r="DK146" s="60">
        <v>45</v>
      </c>
      <c r="DL146" s="60"/>
      <c r="DM146" s="60">
        <v>12</v>
      </c>
      <c r="DN146" s="60">
        <v>17</v>
      </c>
      <c r="DO146" s="60">
        <v>279</v>
      </c>
      <c r="DP146" s="60">
        <v>15</v>
      </c>
      <c r="DQ146" s="60">
        <v>118</v>
      </c>
      <c r="DR146" s="60">
        <v>2039</v>
      </c>
      <c r="DS146" s="60">
        <v>133</v>
      </c>
      <c r="DT146" s="60">
        <v>124</v>
      </c>
      <c r="DU146" s="60">
        <v>22</v>
      </c>
      <c r="DV146" s="60">
        <v>65</v>
      </c>
      <c r="DW146" s="60">
        <v>321</v>
      </c>
      <c r="DX146" s="60">
        <v>16</v>
      </c>
      <c r="DY146" s="60"/>
      <c r="DZ146" s="60">
        <v>20</v>
      </c>
      <c r="EA146" s="60">
        <v>1775</v>
      </c>
      <c r="EB146" s="60">
        <v>260</v>
      </c>
      <c r="EC146" s="60">
        <v>10</v>
      </c>
      <c r="ED146" s="60">
        <v>0</v>
      </c>
      <c r="EE146" s="60">
        <v>0</v>
      </c>
      <c r="EF146" s="60">
        <v>0</v>
      </c>
      <c r="EG146" s="60">
        <v>0</v>
      </c>
      <c r="EH146" s="60">
        <v>0</v>
      </c>
      <c r="EI146" s="60">
        <v>517</v>
      </c>
      <c r="EJ146" s="60">
        <v>1388</v>
      </c>
      <c r="EK146" s="60">
        <v>78</v>
      </c>
      <c r="EL146" s="60">
        <v>381</v>
      </c>
      <c r="EM146" s="60">
        <v>249</v>
      </c>
      <c r="EN146" s="60">
        <v>94</v>
      </c>
      <c r="EO146" s="60">
        <v>85</v>
      </c>
      <c r="EP146" s="60">
        <v>413</v>
      </c>
      <c r="EQ146" s="60">
        <v>1</v>
      </c>
      <c r="ER146" s="60">
        <v>444</v>
      </c>
      <c r="ES146" s="60">
        <v>172</v>
      </c>
      <c r="ET146" s="60">
        <v>151</v>
      </c>
      <c r="EU146" s="60">
        <v>187</v>
      </c>
      <c r="EV146" s="60">
        <v>288</v>
      </c>
      <c r="EW146" s="60">
        <v>34</v>
      </c>
      <c r="EX146" s="60">
        <v>36</v>
      </c>
      <c r="EY146" s="60">
        <v>54</v>
      </c>
      <c r="EZ146" s="60">
        <v>4</v>
      </c>
      <c r="FA146" s="60">
        <v>22</v>
      </c>
      <c r="FB146" s="60">
        <v>366</v>
      </c>
      <c r="FC146" s="60">
        <v>132</v>
      </c>
      <c r="FD146" s="60">
        <v>119</v>
      </c>
      <c r="FE146" s="60">
        <v>1</v>
      </c>
      <c r="FF146" s="60">
        <v>10</v>
      </c>
      <c r="FG146" s="60"/>
      <c r="FH146" s="60">
        <v>163</v>
      </c>
      <c r="FI146" s="60">
        <v>38</v>
      </c>
      <c r="FJ146" s="60">
        <v>141</v>
      </c>
      <c r="FK146" s="60">
        <v>13</v>
      </c>
      <c r="FL146" s="60">
        <v>33</v>
      </c>
      <c r="FM146" s="60">
        <v>139</v>
      </c>
      <c r="FN146" s="60">
        <v>14</v>
      </c>
      <c r="FO146" s="60">
        <v>1943</v>
      </c>
      <c r="FP146" s="60">
        <v>63</v>
      </c>
      <c r="FQ146" s="60">
        <v>5</v>
      </c>
      <c r="FR146" s="60">
        <v>12</v>
      </c>
      <c r="FS146" s="60">
        <v>25</v>
      </c>
      <c r="FT146" s="60">
        <v>10</v>
      </c>
      <c r="FU146" s="60">
        <v>11</v>
      </c>
      <c r="FV146" s="60">
        <v>3</v>
      </c>
      <c r="FW146" s="60"/>
      <c r="FX146" s="60">
        <v>2613</v>
      </c>
      <c r="FY146" s="60">
        <v>1</v>
      </c>
      <c r="FZ146" s="60">
        <v>2439</v>
      </c>
      <c r="GA146" s="60">
        <v>173</v>
      </c>
      <c r="GB146" s="60">
        <v>2011</v>
      </c>
    </row>
    <row r="147" spans="1:184" x14ac:dyDescent="0.3">
      <c r="A147" s="60">
        <v>106240924</v>
      </c>
      <c r="B147" s="61" t="s">
        <v>621</v>
      </c>
      <c r="C147" s="61" t="s">
        <v>622</v>
      </c>
      <c r="D147" s="61" t="s">
        <v>624</v>
      </c>
      <c r="E147" s="61" t="s">
        <v>625</v>
      </c>
      <c r="F147" s="60">
        <v>93635</v>
      </c>
      <c r="G147" s="61"/>
      <c r="H147" s="61" t="s">
        <v>1669</v>
      </c>
      <c r="I147" s="60">
        <v>17</v>
      </c>
      <c r="J147" s="60">
        <v>12</v>
      </c>
      <c r="K147" s="61" t="s">
        <v>1873</v>
      </c>
      <c r="L147" s="61"/>
      <c r="M147" s="61" t="s">
        <v>1700</v>
      </c>
      <c r="N147" s="61" t="s">
        <v>1874</v>
      </c>
      <c r="O147" s="61" t="s">
        <v>1673</v>
      </c>
      <c r="P147" s="61" t="s">
        <v>1678</v>
      </c>
      <c r="Q147" s="61" t="s">
        <v>1674</v>
      </c>
      <c r="R147" s="60">
        <v>46</v>
      </c>
      <c r="S147" s="61" t="s">
        <v>1675</v>
      </c>
      <c r="T147" s="60">
        <v>12963</v>
      </c>
      <c r="U147" s="60">
        <v>9897</v>
      </c>
      <c r="V147" s="60"/>
      <c r="W147" s="60"/>
      <c r="X147" s="60">
        <v>4339</v>
      </c>
      <c r="Y147" s="60">
        <v>3062</v>
      </c>
      <c r="Z147" s="60">
        <v>3908</v>
      </c>
      <c r="AA147" s="60">
        <v>2840</v>
      </c>
      <c r="AB147" s="60">
        <v>2604</v>
      </c>
      <c r="AC147" s="60">
        <v>1963</v>
      </c>
      <c r="AD147" s="60">
        <v>1324</v>
      </c>
      <c r="AE147" s="60">
        <v>958</v>
      </c>
      <c r="AF147" s="60">
        <v>881</v>
      </c>
      <c r="AG147" s="60">
        <v>981</v>
      </c>
      <c r="AH147" s="60"/>
      <c r="AI147" s="60">
        <v>233</v>
      </c>
      <c r="AJ147" s="60">
        <v>1244</v>
      </c>
      <c r="AK147" s="60">
        <v>12883</v>
      </c>
      <c r="AL147" s="60">
        <v>20</v>
      </c>
      <c r="AM147" s="60">
        <v>255</v>
      </c>
      <c r="AN147" s="60">
        <v>120</v>
      </c>
      <c r="AO147" s="60">
        <v>8105</v>
      </c>
      <c r="AP147" s="60">
        <v>1016</v>
      </c>
      <c r="AQ147" s="60">
        <v>195</v>
      </c>
      <c r="AR147" s="60">
        <v>25</v>
      </c>
      <c r="AS147" s="60">
        <v>31</v>
      </c>
      <c r="AT147" s="60">
        <v>12</v>
      </c>
      <c r="AU147" s="60">
        <v>9</v>
      </c>
      <c r="AV147" s="60"/>
      <c r="AW147" s="60">
        <v>11</v>
      </c>
      <c r="AX147" s="60">
        <v>15</v>
      </c>
      <c r="AY147" s="60">
        <v>30</v>
      </c>
      <c r="AZ147" s="60">
        <v>8</v>
      </c>
      <c r="BA147" s="60">
        <v>21285</v>
      </c>
      <c r="BB147" s="60">
        <v>67</v>
      </c>
      <c r="BC147" s="60">
        <v>156</v>
      </c>
      <c r="BD147" s="60"/>
      <c r="BE147" s="60">
        <v>8876</v>
      </c>
      <c r="BF147" s="60">
        <v>3421</v>
      </c>
      <c r="BG147" s="60">
        <v>595</v>
      </c>
      <c r="BH147" s="60">
        <v>5880</v>
      </c>
      <c r="BI147" s="60">
        <v>4088</v>
      </c>
      <c r="BJ147" s="60">
        <v>1120</v>
      </c>
      <c r="BK147" s="60">
        <v>71</v>
      </c>
      <c r="BL147" s="60">
        <v>598</v>
      </c>
      <c r="BM147" s="60">
        <v>7</v>
      </c>
      <c r="BN147" s="60">
        <v>1489</v>
      </c>
      <c r="BO147" s="60">
        <v>414</v>
      </c>
      <c r="BP147" s="60">
        <v>1166</v>
      </c>
      <c r="BQ147" s="60">
        <v>498</v>
      </c>
      <c r="BR147" s="60">
        <v>4217</v>
      </c>
      <c r="BS147" s="60">
        <v>1660</v>
      </c>
      <c r="BT147" s="60">
        <v>36</v>
      </c>
      <c r="BU147" s="60">
        <v>1692</v>
      </c>
      <c r="BV147" s="60">
        <v>525</v>
      </c>
      <c r="BW147" s="60">
        <v>40</v>
      </c>
      <c r="BX147" s="60">
        <v>591</v>
      </c>
      <c r="BY147" s="60">
        <v>3131</v>
      </c>
      <c r="BZ147" s="60">
        <v>923</v>
      </c>
      <c r="CA147" s="60">
        <v>4682</v>
      </c>
      <c r="CB147" s="60"/>
      <c r="CC147" s="60"/>
      <c r="CD147" s="60">
        <v>1359</v>
      </c>
      <c r="CE147" s="60">
        <v>72</v>
      </c>
      <c r="CF147" s="60">
        <v>116</v>
      </c>
      <c r="CG147" s="60">
        <v>17</v>
      </c>
      <c r="CH147" s="60">
        <v>211</v>
      </c>
      <c r="CI147" s="60">
        <v>27</v>
      </c>
      <c r="CJ147" s="60">
        <v>116</v>
      </c>
      <c r="CK147" s="60">
        <v>307</v>
      </c>
      <c r="CL147" s="60">
        <v>18163</v>
      </c>
      <c r="CM147" s="60">
        <v>1801</v>
      </c>
      <c r="CN147" s="60">
        <v>98</v>
      </c>
      <c r="CO147" s="60">
        <v>373</v>
      </c>
      <c r="CP147" s="60">
        <v>51</v>
      </c>
      <c r="CQ147" s="60">
        <v>133</v>
      </c>
      <c r="CR147" s="60">
        <v>16</v>
      </c>
      <c r="CS147" s="60"/>
      <c r="CT147" s="60">
        <v>22860</v>
      </c>
      <c r="CU147" s="60">
        <v>120</v>
      </c>
      <c r="CV147" s="60">
        <v>18026</v>
      </c>
      <c r="CW147" s="60">
        <v>4714</v>
      </c>
      <c r="CX147" s="60">
        <v>540</v>
      </c>
      <c r="CY147" s="60">
        <v>286</v>
      </c>
      <c r="CZ147" s="60"/>
      <c r="DA147" s="60"/>
      <c r="DB147" s="60">
        <v>50</v>
      </c>
      <c r="DC147" s="60">
        <v>123</v>
      </c>
      <c r="DD147" s="60">
        <v>101</v>
      </c>
      <c r="DE147" s="60">
        <v>64</v>
      </c>
      <c r="DF147" s="60">
        <v>55</v>
      </c>
      <c r="DG147" s="60">
        <v>77</v>
      </c>
      <c r="DH147" s="60">
        <v>101</v>
      </c>
      <c r="DI147" s="60">
        <v>204</v>
      </c>
      <c r="DJ147" s="60">
        <v>12</v>
      </c>
      <c r="DK147" s="60">
        <v>39</v>
      </c>
      <c r="DL147" s="60"/>
      <c r="DM147" s="60">
        <v>9</v>
      </c>
      <c r="DN147" s="60">
        <v>52</v>
      </c>
      <c r="DO147" s="60">
        <v>369</v>
      </c>
      <c r="DP147" s="60">
        <v>11</v>
      </c>
      <c r="DQ147" s="60">
        <v>3</v>
      </c>
      <c r="DR147" s="60">
        <v>382</v>
      </c>
      <c r="DS147" s="60"/>
      <c r="DT147" s="60">
        <v>29</v>
      </c>
      <c r="DU147" s="60">
        <v>9</v>
      </c>
      <c r="DV147" s="60">
        <v>25</v>
      </c>
      <c r="DW147" s="60">
        <v>28</v>
      </c>
      <c r="DX147" s="60">
        <v>6</v>
      </c>
      <c r="DY147" s="60">
        <v>2</v>
      </c>
      <c r="DZ147" s="60">
        <v>19</v>
      </c>
      <c r="EA147" s="60">
        <v>598</v>
      </c>
      <c r="EB147" s="60">
        <v>110</v>
      </c>
      <c r="EC147" s="60"/>
      <c r="ED147" s="60">
        <v>0</v>
      </c>
      <c r="EE147" s="60">
        <v>0</v>
      </c>
      <c r="EF147" s="60">
        <v>0</v>
      </c>
      <c r="EG147" s="60">
        <v>0</v>
      </c>
      <c r="EH147" s="60">
        <v>0</v>
      </c>
      <c r="EI147" s="60">
        <v>285</v>
      </c>
      <c r="EJ147" s="60">
        <v>379</v>
      </c>
      <c r="EK147" s="60">
        <v>8</v>
      </c>
      <c r="EL147" s="60">
        <v>81</v>
      </c>
      <c r="EM147" s="60">
        <v>73</v>
      </c>
      <c r="EN147" s="60">
        <v>162</v>
      </c>
      <c r="EO147" s="60">
        <v>11</v>
      </c>
      <c r="EP147" s="60">
        <v>81</v>
      </c>
      <c r="EQ147" s="60"/>
      <c r="ER147" s="60">
        <v>111</v>
      </c>
      <c r="ES147" s="60">
        <v>62</v>
      </c>
      <c r="ET147" s="60">
        <v>60</v>
      </c>
      <c r="EU147" s="60">
        <v>37</v>
      </c>
      <c r="EV147" s="60">
        <v>21</v>
      </c>
      <c r="EW147" s="60">
        <v>5</v>
      </c>
      <c r="EX147" s="60">
        <v>7</v>
      </c>
      <c r="EY147" s="60">
        <v>7</v>
      </c>
      <c r="EZ147" s="60"/>
      <c r="FA147" s="60">
        <v>8</v>
      </c>
      <c r="FB147" s="60">
        <v>208</v>
      </c>
      <c r="FC147" s="60">
        <v>26</v>
      </c>
      <c r="FD147" s="60">
        <v>16</v>
      </c>
      <c r="FE147" s="60"/>
      <c r="FF147" s="60">
        <v>4</v>
      </c>
      <c r="FG147" s="60"/>
      <c r="FH147" s="60">
        <v>12</v>
      </c>
      <c r="FI147" s="60">
        <v>5</v>
      </c>
      <c r="FJ147" s="60">
        <v>36</v>
      </c>
      <c r="FK147" s="60"/>
      <c r="FL147" s="60">
        <v>2</v>
      </c>
      <c r="FM147" s="60">
        <v>13</v>
      </c>
      <c r="FN147" s="60">
        <v>2</v>
      </c>
      <c r="FO147" s="60">
        <v>745</v>
      </c>
      <c r="FP147" s="60">
        <v>2</v>
      </c>
      <c r="FQ147" s="60"/>
      <c r="FR147" s="60"/>
      <c r="FS147" s="60">
        <v>5</v>
      </c>
      <c r="FT147" s="60">
        <v>1</v>
      </c>
      <c r="FU147" s="60">
        <v>3</v>
      </c>
      <c r="FV147" s="60"/>
      <c r="FW147" s="60"/>
      <c r="FX147" s="60">
        <v>826</v>
      </c>
      <c r="FY147" s="60">
        <v>27</v>
      </c>
      <c r="FZ147" s="60">
        <v>651</v>
      </c>
      <c r="GA147" s="60">
        <v>148</v>
      </c>
      <c r="GB147" s="60">
        <v>2011</v>
      </c>
    </row>
    <row r="148" spans="1:184" x14ac:dyDescent="0.3">
      <c r="A148" s="60">
        <v>106240942</v>
      </c>
      <c r="B148" s="61" t="s">
        <v>626</v>
      </c>
      <c r="C148" s="61" t="s">
        <v>627</v>
      </c>
      <c r="D148" s="61" t="s">
        <v>628</v>
      </c>
      <c r="E148" s="61" t="s">
        <v>623</v>
      </c>
      <c r="F148" s="60">
        <v>95340</v>
      </c>
      <c r="G148" s="61"/>
      <c r="H148" s="61" t="s">
        <v>1669</v>
      </c>
      <c r="I148" s="60">
        <v>17</v>
      </c>
      <c r="J148" s="60">
        <v>12</v>
      </c>
      <c r="K148" s="61" t="s">
        <v>1875</v>
      </c>
      <c r="L148" s="61"/>
      <c r="M148" s="61" t="s">
        <v>1700</v>
      </c>
      <c r="N148" s="61" t="s">
        <v>1874</v>
      </c>
      <c r="O148" s="61" t="s">
        <v>1673</v>
      </c>
      <c r="P148" s="61" t="s">
        <v>1678</v>
      </c>
      <c r="Q148" s="61" t="s">
        <v>1674</v>
      </c>
      <c r="R148" s="60">
        <v>186</v>
      </c>
      <c r="S148" s="61" t="s">
        <v>1675</v>
      </c>
      <c r="T148" s="60">
        <v>30364</v>
      </c>
      <c r="U148" s="60">
        <v>23437</v>
      </c>
      <c r="V148" s="60"/>
      <c r="W148" s="60"/>
      <c r="X148" s="60">
        <v>10381</v>
      </c>
      <c r="Y148" s="60">
        <v>6914</v>
      </c>
      <c r="Z148" s="60">
        <v>9926</v>
      </c>
      <c r="AA148" s="60">
        <v>7111</v>
      </c>
      <c r="AB148" s="60">
        <v>5878</v>
      </c>
      <c r="AC148" s="60">
        <v>4891</v>
      </c>
      <c r="AD148" s="60">
        <v>2703</v>
      </c>
      <c r="AE148" s="60">
        <v>1772</v>
      </c>
      <c r="AF148" s="60">
        <v>1603</v>
      </c>
      <c r="AG148" s="60">
        <v>2622</v>
      </c>
      <c r="AH148" s="60"/>
      <c r="AI148" s="60">
        <v>1687</v>
      </c>
      <c r="AJ148" s="60">
        <v>4446</v>
      </c>
      <c r="AK148" s="60">
        <v>24387</v>
      </c>
      <c r="AL148" s="60">
        <v>22</v>
      </c>
      <c r="AM148" s="60">
        <v>374</v>
      </c>
      <c r="AN148" s="60">
        <v>183</v>
      </c>
      <c r="AO148" s="60">
        <v>22702</v>
      </c>
      <c r="AP148" s="60">
        <v>659</v>
      </c>
      <c r="AQ148" s="60">
        <v>1988</v>
      </c>
      <c r="AR148" s="60">
        <v>6</v>
      </c>
      <c r="AS148" s="60">
        <v>112</v>
      </c>
      <c r="AT148" s="60">
        <v>1</v>
      </c>
      <c r="AU148" s="60">
        <v>2</v>
      </c>
      <c r="AV148" s="60"/>
      <c r="AW148" s="60">
        <v>1</v>
      </c>
      <c r="AX148" s="60">
        <v>225</v>
      </c>
      <c r="AY148" s="60">
        <v>318</v>
      </c>
      <c r="AZ148" s="60">
        <v>2</v>
      </c>
      <c r="BA148" s="60">
        <v>50226</v>
      </c>
      <c r="BB148" s="60">
        <v>261</v>
      </c>
      <c r="BC148" s="60"/>
      <c r="BD148" s="60"/>
      <c r="BE148" s="60">
        <v>3098</v>
      </c>
      <c r="BF148" s="60">
        <v>32313</v>
      </c>
      <c r="BG148" s="60">
        <v>2885</v>
      </c>
      <c r="BH148" s="60">
        <v>7593</v>
      </c>
      <c r="BI148" s="60">
        <v>7912</v>
      </c>
      <c r="BJ148" s="60">
        <v>1886</v>
      </c>
      <c r="BK148" s="60">
        <v>156</v>
      </c>
      <c r="BL148" s="60">
        <v>1148</v>
      </c>
      <c r="BM148" s="60">
        <v>19</v>
      </c>
      <c r="BN148" s="60">
        <v>2467</v>
      </c>
      <c r="BO148" s="60">
        <v>1102</v>
      </c>
      <c r="BP148" s="60">
        <v>3138</v>
      </c>
      <c r="BQ148" s="60">
        <v>1458</v>
      </c>
      <c r="BR148" s="60">
        <v>10748</v>
      </c>
      <c r="BS148" s="60">
        <v>2437</v>
      </c>
      <c r="BT148" s="60">
        <v>70</v>
      </c>
      <c r="BU148" s="60">
        <v>4408</v>
      </c>
      <c r="BV148" s="60">
        <v>1335</v>
      </c>
      <c r="BW148" s="60">
        <v>182</v>
      </c>
      <c r="BX148" s="60">
        <v>1928</v>
      </c>
      <c r="BY148" s="60">
        <v>7814</v>
      </c>
      <c r="BZ148" s="60">
        <v>2247</v>
      </c>
      <c r="CA148" s="60">
        <v>11258</v>
      </c>
      <c r="CB148" s="60"/>
      <c r="CC148" s="60"/>
      <c r="CD148" s="60">
        <v>3195</v>
      </c>
      <c r="CE148" s="60">
        <v>244</v>
      </c>
      <c r="CF148" s="60">
        <v>418</v>
      </c>
      <c r="CG148" s="60">
        <v>28</v>
      </c>
      <c r="CH148" s="60">
        <v>664</v>
      </c>
      <c r="CI148" s="60">
        <v>28</v>
      </c>
      <c r="CJ148" s="60">
        <v>290</v>
      </c>
      <c r="CK148" s="60">
        <v>665</v>
      </c>
      <c r="CL148" s="60">
        <v>41486</v>
      </c>
      <c r="CM148" s="60">
        <v>4812</v>
      </c>
      <c r="CN148" s="60">
        <v>247</v>
      </c>
      <c r="CO148" s="60">
        <v>1162</v>
      </c>
      <c r="CP148" s="60">
        <v>267</v>
      </c>
      <c r="CQ148" s="60">
        <v>269</v>
      </c>
      <c r="CR148" s="60">
        <v>26</v>
      </c>
      <c r="CS148" s="60"/>
      <c r="CT148" s="60">
        <v>53801</v>
      </c>
      <c r="CU148" s="60">
        <v>690</v>
      </c>
      <c r="CV148" s="60">
        <v>46557</v>
      </c>
      <c r="CW148" s="60">
        <v>6554</v>
      </c>
      <c r="CX148" s="60">
        <v>3871</v>
      </c>
      <c r="CY148" s="60">
        <v>3426</v>
      </c>
      <c r="CZ148" s="60"/>
      <c r="DA148" s="60"/>
      <c r="DB148" s="60">
        <v>191</v>
      </c>
      <c r="DC148" s="60">
        <v>458</v>
      </c>
      <c r="DD148" s="60">
        <v>556</v>
      </c>
      <c r="DE148" s="60">
        <v>819</v>
      </c>
      <c r="DF148" s="60">
        <v>1273</v>
      </c>
      <c r="DG148" s="60">
        <v>1271</v>
      </c>
      <c r="DH148" s="60">
        <v>1124</v>
      </c>
      <c r="DI148" s="60">
        <v>1334</v>
      </c>
      <c r="DJ148" s="60">
        <v>118</v>
      </c>
      <c r="DK148" s="60">
        <v>153</v>
      </c>
      <c r="DL148" s="60"/>
      <c r="DM148" s="60">
        <v>370</v>
      </c>
      <c r="DN148" s="60">
        <v>558</v>
      </c>
      <c r="DO148" s="60">
        <v>2368</v>
      </c>
      <c r="DP148" s="60">
        <v>28</v>
      </c>
      <c r="DQ148" s="60">
        <v>12</v>
      </c>
      <c r="DR148" s="60">
        <v>3960</v>
      </c>
      <c r="DS148" s="60">
        <v>1</v>
      </c>
      <c r="DT148" s="60">
        <v>216</v>
      </c>
      <c r="DU148" s="60">
        <v>112</v>
      </c>
      <c r="DV148" s="60">
        <v>290</v>
      </c>
      <c r="DW148" s="60">
        <v>398</v>
      </c>
      <c r="DX148" s="60">
        <v>77</v>
      </c>
      <c r="DY148" s="60"/>
      <c r="DZ148" s="60">
        <v>109</v>
      </c>
      <c r="EA148" s="60">
        <v>5016</v>
      </c>
      <c r="EB148" s="60">
        <v>1034</v>
      </c>
      <c r="EC148" s="60">
        <v>45</v>
      </c>
      <c r="ED148" s="60">
        <v>0</v>
      </c>
      <c r="EE148" s="60">
        <v>0</v>
      </c>
      <c r="EF148" s="60">
        <v>0</v>
      </c>
      <c r="EG148" s="60">
        <v>0</v>
      </c>
      <c r="EH148" s="60">
        <v>0</v>
      </c>
      <c r="EI148" s="60">
        <v>2179</v>
      </c>
      <c r="EJ148" s="60">
        <v>3433</v>
      </c>
      <c r="EK148" s="60">
        <v>173</v>
      </c>
      <c r="EL148" s="60">
        <v>942</v>
      </c>
      <c r="EM148" s="60">
        <v>570</v>
      </c>
      <c r="EN148" s="60">
        <v>114</v>
      </c>
      <c r="EO148" s="60">
        <v>188</v>
      </c>
      <c r="EP148" s="60">
        <v>1296</v>
      </c>
      <c r="EQ148" s="60">
        <v>3</v>
      </c>
      <c r="ER148" s="60">
        <v>1332</v>
      </c>
      <c r="ES148" s="60">
        <v>394</v>
      </c>
      <c r="ET148" s="60">
        <v>426</v>
      </c>
      <c r="EU148" s="60">
        <v>729</v>
      </c>
      <c r="EV148" s="60">
        <v>572</v>
      </c>
      <c r="EW148" s="60">
        <v>86</v>
      </c>
      <c r="EX148" s="60">
        <v>160</v>
      </c>
      <c r="EY148" s="60">
        <v>132</v>
      </c>
      <c r="EZ148" s="60">
        <v>2</v>
      </c>
      <c r="FA148" s="60">
        <v>48</v>
      </c>
      <c r="FB148" s="60">
        <v>1124</v>
      </c>
      <c r="FC148" s="60">
        <v>206</v>
      </c>
      <c r="FD148" s="60">
        <v>448</v>
      </c>
      <c r="FE148" s="60">
        <v>2</v>
      </c>
      <c r="FF148" s="60">
        <v>35</v>
      </c>
      <c r="FG148" s="60"/>
      <c r="FH148" s="60">
        <v>366</v>
      </c>
      <c r="FI148" s="60">
        <v>102</v>
      </c>
      <c r="FJ148" s="60">
        <v>494</v>
      </c>
      <c r="FK148" s="60">
        <v>13</v>
      </c>
      <c r="FL148" s="60">
        <v>20</v>
      </c>
      <c r="FM148" s="60">
        <v>394</v>
      </c>
      <c r="FN148" s="60">
        <v>17</v>
      </c>
      <c r="FO148" s="60">
        <v>5651</v>
      </c>
      <c r="FP148" s="60">
        <v>136</v>
      </c>
      <c r="FQ148" s="60">
        <v>6</v>
      </c>
      <c r="FR148" s="60">
        <v>21</v>
      </c>
      <c r="FS148" s="60">
        <v>47</v>
      </c>
      <c r="FT148" s="60">
        <v>22</v>
      </c>
      <c r="FU148" s="60">
        <v>7</v>
      </c>
      <c r="FV148" s="60">
        <v>1</v>
      </c>
      <c r="FW148" s="60"/>
      <c r="FX148" s="60">
        <v>7297</v>
      </c>
      <c r="FY148" s="60">
        <v>252</v>
      </c>
      <c r="FZ148" s="60">
        <v>6295</v>
      </c>
      <c r="GA148" s="60">
        <v>750</v>
      </c>
      <c r="GB148" s="60">
        <v>2011</v>
      </c>
    </row>
    <row r="149" spans="1:184" x14ac:dyDescent="0.3">
      <c r="A149" s="60">
        <v>106250955</v>
      </c>
      <c r="B149" s="61" t="s">
        <v>629</v>
      </c>
      <c r="C149" s="61" t="s">
        <v>630</v>
      </c>
      <c r="D149" s="61" t="s">
        <v>1876</v>
      </c>
      <c r="E149" s="61" t="s">
        <v>631</v>
      </c>
      <c r="F149" s="60">
        <v>96104</v>
      </c>
      <c r="G149" s="61"/>
      <c r="H149" s="61" t="s">
        <v>1669</v>
      </c>
      <c r="I149" s="60">
        <v>2</v>
      </c>
      <c r="J149" s="60">
        <v>1</v>
      </c>
      <c r="K149" s="61" t="s">
        <v>1877</v>
      </c>
      <c r="L149" s="61"/>
      <c r="M149" s="61" t="s">
        <v>1704</v>
      </c>
      <c r="N149" s="61" t="s">
        <v>1878</v>
      </c>
      <c r="O149" s="61" t="s">
        <v>1673</v>
      </c>
      <c r="P149" s="61" t="s">
        <v>159</v>
      </c>
      <c r="Q149" s="61" t="s">
        <v>1674</v>
      </c>
      <c r="R149" s="60">
        <v>4</v>
      </c>
      <c r="S149" s="61" t="s">
        <v>1706</v>
      </c>
      <c r="T149" s="60">
        <v>208</v>
      </c>
      <c r="U149" s="60">
        <v>218</v>
      </c>
      <c r="V149" s="60"/>
      <c r="W149" s="60"/>
      <c r="X149" s="60">
        <v>38</v>
      </c>
      <c r="Y149" s="60">
        <v>32</v>
      </c>
      <c r="Z149" s="60">
        <v>46</v>
      </c>
      <c r="AA149" s="60">
        <v>35</v>
      </c>
      <c r="AB149" s="60">
        <v>45</v>
      </c>
      <c r="AC149" s="60">
        <v>65</v>
      </c>
      <c r="AD149" s="60">
        <v>49</v>
      </c>
      <c r="AE149" s="60">
        <v>45</v>
      </c>
      <c r="AF149" s="60">
        <v>69</v>
      </c>
      <c r="AG149" s="60">
        <v>2</v>
      </c>
      <c r="AH149" s="60"/>
      <c r="AI149" s="60">
        <v>1</v>
      </c>
      <c r="AJ149" s="60"/>
      <c r="AK149" s="60">
        <v>13</v>
      </c>
      <c r="AL149" s="60">
        <v>45</v>
      </c>
      <c r="AM149" s="60">
        <v>4</v>
      </c>
      <c r="AN149" s="60">
        <v>43</v>
      </c>
      <c r="AO149" s="60">
        <v>320</v>
      </c>
      <c r="AP149" s="60">
        <v>50</v>
      </c>
      <c r="AQ149" s="60"/>
      <c r="AR149" s="60"/>
      <c r="AS149" s="60">
        <v>2</v>
      </c>
      <c r="AT149" s="60"/>
      <c r="AU149" s="60"/>
      <c r="AV149" s="60"/>
      <c r="AW149" s="60"/>
      <c r="AX149" s="60"/>
      <c r="AY149" s="60"/>
      <c r="AZ149" s="60"/>
      <c r="BA149" s="60">
        <v>371</v>
      </c>
      <c r="BB149" s="60"/>
      <c r="BC149" s="60"/>
      <c r="BD149" s="60">
        <v>3</v>
      </c>
      <c r="BE149" s="60">
        <v>71</v>
      </c>
      <c r="BF149" s="60">
        <v>156</v>
      </c>
      <c r="BG149" s="60">
        <v>27</v>
      </c>
      <c r="BH149" s="60">
        <v>117</v>
      </c>
      <c r="BI149" s="60">
        <v>55</v>
      </c>
      <c r="BJ149" s="60">
        <v>1</v>
      </c>
      <c r="BK149" s="60">
        <v>1</v>
      </c>
      <c r="BL149" s="60">
        <v>33</v>
      </c>
      <c r="BM149" s="60"/>
      <c r="BN149" s="60">
        <v>29</v>
      </c>
      <c r="BO149" s="60">
        <v>10</v>
      </c>
      <c r="BP149" s="60">
        <v>26</v>
      </c>
      <c r="BQ149" s="60">
        <v>6</v>
      </c>
      <c r="BR149" s="60">
        <v>121</v>
      </c>
      <c r="BS149" s="60">
        <v>22</v>
      </c>
      <c r="BT149" s="60">
        <v>1</v>
      </c>
      <c r="BU149" s="60">
        <v>28</v>
      </c>
      <c r="BV149" s="60">
        <v>3</v>
      </c>
      <c r="BW149" s="60"/>
      <c r="BX149" s="60">
        <v>13</v>
      </c>
      <c r="BY149" s="60">
        <v>33</v>
      </c>
      <c r="BZ149" s="60">
        <v>6</v>
      </c>
      <c r="CA149" s="60">
        <v>93</v>
      </c>
      <c r="CB149" s="60"/>
      <c r="CC149" s="60"/>
      <c r="CD149" s="60">
        <v>40</v>
      </c>
      <c r="CE149" s="60">
        <v>2</v>
      </c>
      <c r="CF149" s="60">
        <v>2</v>
      </c>
      <c r="CG149" s="60">
        <v>1</v>
      </c>
      <c r="CH149" s="60">
        <v>6</v>
      </c>
      <c r="CI149" s="60"/>
      <c r="CJ149" s="60"/>
      <c r="CK149" s="60">
        <v>15</v>
      </c>
      <c r="CL149" s="60">
        <v>292</v>
      </c>
      <c r="CM149" s="60">
        <v>44</v>
      </c>
      <c r="CN149" s="60">
        <v>4</v>
      </c>
      <c r="CO149" s="60">
        <v>17</v>
      </c>
      <c r="CP149" s="60">
        <v>1</v>
      </c>
      <c r="CQ149" s="60">
        <v>2</v>
      </c>
      <c r="CR149" s="60"/>
      <c r="CS149" s="60"/>
      <c r="CT149" s="60">
        <v>426</v>
      </c>
      <c r="CU149" s="60"/>
      <c r="CV149" s="60">
        <v>414</v>
      </c>
      <c r="CW149" s="60">
        <v>12</v>
      </c>
      <c r="CX149" s="60">
        <v>4</v>
      </c>
      <c r="CY149" s="60"/>
      <c r="CZ149" s="60"/>
      <c r="DA149" s="60"/>
      <c r="DB149" s="60"/>
      <c r="DC149" s="60"/>
      <c r="DD149" s="60"/>
      <c r="DE149" s="60"/>
      <c r="DF149" s="60"/>
      <c r="DG149" s="60"/>
      <c r="DH149" s="60"/>
      <c r="DI149" s="60">
        <v>4</v>
      </c>
      <c r="DJ149" s="60"/>
      <c r="DK149" s="60"/>
      <c r="DL149" s="60"/>
      <c r="DM149" s="60"/>
      <c r="DN149" s="60"/>
      <c r="DO149" s="60"/>
      <c r="DP149" s="60"/>
      <c r="DQ149" s="60"/>
      <c r="DR149" s="60">
        <v>4</v>
      </c>
      <c r="DS149" s="60"/>
      <c r="DT149" s="60"/>
      <c r="DU149" s="60"/>
      <c r="DV149" s="60"/>
      <c r="DW149" s="60"/>
      <c r="DX149" s="60"/>
      <c r="DY149" s="60"/>
      <c r="DZ149" s="60"/>
      <c r="EA149" s="60">
        <v>3</v>
      </c>
      <c r="EB149" s="60">
        <v>1</v>
      </c>
      <c r="EC149" s="60"/>
      <c r="ED149" s="60">
        <v>0</v>
      </c>
      <c r="EE149" s="60">
        <v>0</v>
      </c>
      <c r="EF149" s="60">
        <v>0</v>
      </c>
      <c r="EG149" s="60">
        <v>0</v>
      </c>
      <c r="EH149" s="60">
        <v>0</v>
      </c>
      <c r="EI149" s="60"/>
      <c r="EJ149" s="60">
        <v>4</v>
      </c>
      <c r="EK149" s="60"/>
      <c r="EL149" s="60"/>
      <c r="EM149" s="60"/>
      <c r="EN149" s="60"/>
      <c r="EO149" s="60"/>
      <c r="EP149" s="60"/>
      <c r="EQ149" s="60"/>
      <c r="ER149" s="60"/>
      <c r="ES149" s="60"/>
      <c r="ET149" s="60">
        <v>1</v>
      </c>
      <c r="EU149" s="60"/>
      <c r="EV149" s="60"/>
      <c r="EW149" s="60"/>
      <c r="EX149" s="60"/>
      <c r="EY149" s="60"/>
      <c r="EZ149" s="60"/>
      <c r="FA149" s="60">
        <v>1</v>
      </c>
      <c r="FB149" s="60">
        <v>1</v>
      </c>
      <c r="FC149" s="60"/>
      <c r="FD149" s="60">
        <v>1</v>
      </c>
      <c r="FE149" s="60"/>
      <c r="FF149" s="60"/>
      <c r="FG149" s="60"/>
      <c r="FH149" s="60"/>
      <c r="FI149" s="60"/>
      <c r="FJ149" s="60"/>
      <c r="FK149" s="60"/>
      <c r="FL149" s="60"/>
      <c r="FM149" s="60"/>
      <c r="FN149" s="60"/>
      <c r="FO149" s="60">
        <v>4</v>
      </c>
      <c r="FP149" s="60"/>
      <c r="FQ149" s="60"/>
      <c r="FR149" s="60"/>
      <c r="FS149" s="60"/>
      <c r="FT149" s="60"/>
      <c r="FU149" s="60"/>
      <c r="FV149" s="60"/>
      <c r="FW149" s="60"/>
      <c r="FX149" s="60">
        <v>4</v>
      </c>
      <c r="FY149" s="60"/>
      <c r="FZ149" s="60">
        <v>4</v>
      </c>
      <c r="GA149" s="60"/>
      <c r="GB149" s="60">
        <v>2011</v>
      </c>
    </row>
    <row r="150" spans="1:184" x14ac:dyDescent="0.3">
      <c r="A150" s="60">
        <v>106250956</v>
      </c>
      <c r="B150" s="61" t="s">
        <v>632</v>
      </c>
      <c r="C150" s="61" t="s">
        <v>633</v>
      </c>
      <c r="D150" s="61" t="s">
        <v>1879</v>
      </c>
      <c r="E150" s="61" t="s">
        <v>634</v>
      </c>
      <c r="F150" s="60">
        <v>96101</v>
      </c>
      <c r="G150" s="61"/>
      <c r="H150" s="61" t="s">
        <v>1669</v>
      </c>
      <c r="I150" s="60">
        <v>2</v>
      </c>
      <c r="J150" s="60">
        <v>1</v>
      </c>
      <c r="K150" s="61" t="s">
        <v>1880</v>
      </c>
      <c r="L150" s="61"/>
      <c r="M150" s="61" t="s">
        <v>1704</v>
      </c>
      <c r="N150" s="61" t="s">
        <v>1878</v>
      </c>
      <c r="O150" s="61" t="s">
        <v>1673</v>
      </c>
      <c r="P150" s="61" t="s">
        <v>159</v>
      </c>
      <c r="Q150" s="61" t="s">
        <v>1674</v>
      </c>
      <c r="R150" s="60">
        <v>16</v>
      </c>
      <c r="S150" s="61" t="s">
        <v>1706</v>
      </c>
      <c r="T150" s="60">
        <v>2234</v>
      </c>
      <c r="U150" s="60">
        <v>1747</v>
      </c>
      <c r="V150" s="60"/>
      <c r="W150" s="60"/>
      <c r="X150" s="60">
        <v>395</v>
      </c>
      <c r="Y150" s="60">
        <v>440</v>
      </c>
      <c r="Z150" s="60">
        <v>624</v>
      </c>
      <c r="AA150" s="60">
        <v>505</v>
      </c>
      <c r="AB150" s="60">
        <v>527</v>
      </c>
      <c r="AC150" s="60">
        <v>532</v>
      </c>
      <c r="AD150" s="60">
        <v>379</v>
      </c>
      <c r="AE150" s="60">
        <v>234</v>
      </c>
      <c r="AF150" s="60">
        <v>227</v>
      </c>
      <c r="AG150" s="60">
        <v>118</v>
      </c>
      <c r="AH150" s="60"/>
      <c r="AI150" s="60">
        <v>21</v>
      </c>
      <c r="AJ150" s="60">
        <v>19</v>
      </c>
      <c r="AK150" s="60">
        <v>230</v>
      </c>
      <c r="AL150" s="60">
        <v>103</v>
      </c>
      <c r="AM150" s="60">
        <v>13</v>
      </c>
      <c r="AN150" s="60">
        <v>37</v>
      </c>
      <c r="AO150" s="60">
        <v>3558</v>
      </c>
      <c r="AP150" s="60">
        <v>223</v>
      </c>
      <c r="AQ150" s="60">
        <v>29</v>
      </c>
      <c r="AR150" s="60">
        <v>1</v>
      </c>
      <c r="AS150" s="60">
        <v>9</v>
      </c>
      <c r="AT150" s="60"/>
      <c r="AU150" s="60"/>
      <c r="AV150" s="60"/>
      <c r="AW150" s="60"/>
      <c r="AX150" s="60">
        <v>19</v>
      </c>
      <c r="AY150" s="60">
        <v>1</v>
      </c>
      <c r="AZ150" s="60"/>
      <c r="BA150" s="60">
        <v>3678</v>
      </c>
      <c r="BB150" s="60">
        <v>20</v>
      </c>
      <c r="BC150" s="60">
        <v>1</v>
      </c>
      <c r="BD150" s="60"/>
      <c r="BE150" s="60">
        <v>1596</v>
      </c>
      <c r="BF150" s="60">
        <v>1013</v>
      </c>
      <c r="BG150" s="60">
        <v>350</v>
      </c>
      <c r="BH150" s="60">
        <v>587</v>
      </c>
      <c r="BI150" s="60">
        <v>435</v>
      </c>
      <c r="BJ150" s="60">
        <v>93</v>
      </c>
      <c r="BK150" s="60">
        <v>6</v>
      </c>
      <c r="BL150" s="60">
        <v>118</v>
      </c>
      <c r="BM150" s="60">
        <v>2</v>
      </c>
      <c r="BN150" s="60">
        <v>335</v>
      </c>
      <c r="BO150" s="60">
        <v>38</v>
      </c>
      <c r="BP150" s="60">
        <v>138</v>
      </c>
      <c r="BQ150" s="60">
        <v>94</v>
      </c>
      <c r="BR150" s="60">
        <v>979</v>
      </c>
      <c r="BS150" s="60">
        <v>209</v>
      </c>
      <c r="BT150" s="60">
        <v>7</v>
      </c>
      <c r="BU150" s="60">
        <v>557</v>
      </c>
      <c r="BV150" s="60">
        <v>114</v>
      </c>
      <c r="BW150" s="60">
        <v>2</v>
      </c>
      <c r="BX150" s="60">
        <v>99</v>
      </c>
      <c r="BY150" s="60">
        <v>388</v>
      </c>
      <c r="BZ150" s="60">
        <v>166</v>
      </c>
      <c r="CA150" s="60">
        <v>635</v>
      </c>
      <c r="CB150" s="60"/>
      <c r="CC150" s="60">
        <v>1</v>
      </c>
      <c r="CD150" s="60">
        <v>256</v>
      </c>
      <c r="CE150" s="60">
        <v>21</v>
      </c>
      <c r="CF150" s="60">
        <v>76</v>
      </c>
      <c r="CG150" s="60">
        <v>5</v>
      </c>
      <c r="CH150" s="60">
        <v>50</v>
      </c>
      <c r="CI150" s="60">
        <v>110</v>
      </c>
      <c r="CJ150" s="60">
        <v>23</v>
      </c>
      <c r="CK150" s="60">
        <v>72</v>
      </c>
      <c r="CL150" s="60">
        <v>2706</v>
      </c>
      <c r="CM150" s="60">
        <v>496</v>
      </c>
      <c r="CN150" s="60">
        <v>29</v>
      </c>
      <c r="CO150" s="60">
        <v>86</v>
      </c>
      <c r="CP150" s="60">
        <v>27</v>
      </c>
      <c r="CQ150" s="60">
        <v>22</v>
      </c>
      <c r="CR150" s="60">
        <v>2</v>
      </c>
      <c r="CS150" s="60"/>
      <c r="CT150" s="60">
        <v>3981</v>
      </c>
      <c r="CU150" s="60">
        <v>10</v>
      </c>
      <c r="CV150" s="60">
        <v>3910</v>
      </c>
      <c r="CW150" s="60">
        <v>61</v>
      </c>
      <c r="CX150" s="60">
        <v>99</v>
      </c>
      <c r="CY150" s="60">
        <v>93</v>
      </c>
      <c r="CZ150" s="60"/>
      <c r="DA150" s="60"/>
      <c r="DB150" s="60">
        <v>3</v>
      </c>
      <c r="DC150" s="60">
        <v>4</v>
      </c>
      <c r="DD150" s="60">
        <v>11</v>
      </c>
      <c r="DE150" s="60">
        <v>9</v>
      </c>
      <c r="DF150" s="60">
        <v>19</v>
      </c>
      <c r="DG150" s="60">
        <v>35</v>
      </c>
      <c r="DH150" s="60">
        <v>49</v>
      </c>
      <c r="DI150" s="60">
        <v>57</v>
      </c>
      <c r="DJ150" s="60">
        <v>1</v>
      </c>
      <c r="DK150" s="60">
        <v>4</v>
      </c>
      <c r="DL150" s="60"/>
      <c r="DM150" s="60"/>
      <c r="DN150" s="60">
        <v>1</v>
      </c>
      <c r="DO150" s="60">
        <v>11</v>
      </c>
      <c r="DP150" s="60"/>
      <c r="DQ150" s="60">
        <v>1</v>
      </c>
      <c r="DR150" s="60">
        <v>173</v>
      </c>
      <c r="DS150" s="60">
        <v>6</v>
      </c>
      <c r="DT150" s="60">
        <v>18</v>
      </c>
      <c r="DU150" s="60">
        <v>5</v>
      </c>
      <c r="DV150" s="60">
        <v>13</v>
      </c>
      <c r="DW150" s="60"/>
      <c r="DX150" s="60"/>
      <c r="DY150" s="60"/>
      <c r="DZ150" s="60"/>
      <c r="EA150" s="60">
        <v>110</v>
      </c>
      <c r="EB150" s="60">
        <v>46</v>
      </c>
      <c r="EC150" s="60"/>
      <c r="ED150" s="60">
        <v>0</v>
      </c>
      <c r="EE150" s="60">
        <v>0</v>
      </c>
      <c r="EF150" s="60">
        <v>0</v>
      </c>
      <c r="EG150" s="60">
        <v>0</v>
      </c>
      <c r="EH150" s="60">
        <v>0</v>
      </c>
      <c r="EI150" s="60">
        <v>33</v>
      </c>
      <c r="EJ150" s="60">
        <v>134</v>
      </c>
      <c r="EK150" s="60"/>
      <c r="EL150" s="60">
        <v>13</v>
      </c>
      <c r="EM150" s="60">
        <v>12</v>
      </c>
      <c r="EN150" s="60">
        <v>1</v>
      </c>
      <c r="EO150" s="60">
        <v>1</v>
      </c>
      <c r="EP150" s="60">
        <v>21</v>
      </c>
      <c r="EQ150" s="60"/>
      <c r="ER150" s="60">
        <v>15</v>
      </c>
      <c r="ES150" s="60">
        <v>13</v>
      </c>
      <c r="ET150" s="60">
        <v>11</v>
      </c>
      <c r="EU150" s="60">
        <v>7</v>
      </c>
      <c r="EV150" s="60">
        <v>20</v>
      </c>
      <c r="EW150" s="60">
        <v>1</v>
      </c>
      <c r="EX150" s="60">
        <v>6</v>
      </c>
      <c r="EY150" s="60">
        <v>6</v>
      </c>
      <c r="EZ150" s="60">
        <v>1</v>
      </c>
      <c r="FA150" s="60">
        <v>6</v>
      </c>
      <c r="FB150" s="60">
        <v>48</v>
      </c>
      <c r="FC150" s="60">
        <v>10</v>
      </c>
      <c r="FD150" s="60">
        <v>25</v>
      </c>
      <c r="FE150" s="60"/>
      <c r="FF150" s="60"/>
      <c r="FG150" s="60"/>
      <c r="FH150" s="60">
        <v>12</v>
      </c>
      <c r="FI150" s="60">
        <v>1</v>
      </c>
      <c r="FJ150" s="60">
        <v>18</v>
      </c>
      <c r="FK150" s="60">
        <v>1</v>
      </c>
      <c r="FL150" s="60">
        <v>5</v>
      </c>
      <c r="FM150" s="60">
        <v>2</v>
      </c>
      <c r="FN150" s="60">
        <v>1</v>
      </c>
      <c r="FO150" s="60">
        <v>144</v>
      </c>
      <c r="FP150" s="60">
        <v>4</v>
      </c>
      <c r="FQ150" s="60"/>
      <c r="FR150" s="60">
        <v>3</v>
      </c>
      <c r="FS150" s="60">
        <v>1</v>
      </c>
      <c r="FT150" s="60"/>
      <c r="FU150" s="60"/>
      <c r="FV150" s="60"/>
      <c r="FW150" s="60"/>
      <c r="FX150" s="60">
        <v>192</v>
      </c>
      <c r="FY150" s="60"/>
      <c r="FZ150" s="60">
        <v>190</v>
      </c>
      <c r="GA150" s="60">
        <v>2</v>
      </c>
      <c r="GB150" s="60">
        <v>2011</v>
      </c>
    </row>
    <row r="151" spans="1:184" x14ac:dyDescent="0.3">
      <c r="A151" s="60">
        <v>106260011</v>
      </c>
      <c r="B151" s="61" t="s">
        <v>635</v>
      </c>
      <c r="C151" s="61" t="s">
        <v>636</v>
      </c>
      <c r="D151" s="61" t="s">
        <v>637</v>
      </c>
      <c r="E151" s="61" t="s">
        <v>638</v>
      </c>
      <c r="F151" s="60">
        <v>93546</v>
      </c>
      <c r="G151" s="61"/>
      <c r="H151" s="61" t="s">
        <v>1669</v>
      </c>
      <c r="I151" s="60">
        <v>25</v>
      </c>
      <c r="J151" s="60">
        <v>1</v>
      </c>
      <c r="K151" s="61" t="s">
        <v>1881</v>
      </c>
      <c r="L151" s="61"/>
      <c r="M151" s="61" t="s">
        <v>1755</v>
      </c>
      <c r="N151" s="61" t="s">
        <v>1882</v>
      </c>
      <c r="O151" s="61" t="s">
        <v>1673</v>
      </c>
      <c r="P151" s="61" t="s">
        <v>159</v>
      </c>
      <c r="Q151" s="61" t="s">
        <v>1674</v>
      </c>
      <c r="R151" s="60">
        <v>17</v>
      </c>
      <c r="S151" s="61" t="s">
        <v>1706</v>
      </c>
      <c r="T151" s="60">
        <v>3339</v>
      </c>
      <c r="U151" s="60">
        <v>4735</v>
      </c>
      <c r="V151" s="60"/>
      <c r="W151" s="60"/>
      <c r="X151" s="60">
        <v>707</v>
      </c>
      <c r="Y151" s="60">
        <v>1363</v>
      </c>
      <c r="Z151" s="60">
        <v>1751</v>
      </c>
      <c r="AA151" s="60">
        <v>1028</v>
      </c>
      <c r="AB151" s="60">
        <v>1068</v>
      </c>
      <c r="AC151" s="60">
        <v>971</v>
      </c>
      <c r="AD151" s="60">
        <v>677</v>
      </c>
      <c r="AE151" s="60">
        <v>318</v>
      </c>
      <c r="AF151" s="60">
        <v>100</v>
      </c>
      <c r="AG151" s="60">
        <v>91</v>
      </c>
      <c r="AH151" s="60"/>
      <c r="AI151" s="60">
        <v>277</v>
      </c>
      <c r="AJ151" s="60">
        <v>47</v>
      </c>
      <c r="AK151" s="60">
        <v>794</v>
      </c>
      <c r="AL151" s="60">
        <v>76</v>
      </c>
      <c r="AM151" s="60">
        <v>458</v>
      </c>
      <c r="AN151" s="60">
        <v>109</v>
      </c>
      <c r="AO151" s="60">
        <v>6313</v>
      </c>
      <c r="AP151" s="60">
        <v>106</v>
      </c>
      <c r="AQ151" s="60">
        <v>13</v>
      </c>
      <c r="AR151" s="60"/>
      <c r="AS151" s="60"/>
      <c r="AT151" s="60"/>
      <c r="AU151" s="60"/>
      <c r="AV151" s="60"/>
      <c r="AW151" s="60">
        <v>3</v>
      </c>
      <c r="AX151" s="60"/>
      <c r="AY151" s="60">
        <v>4</v>
      </c>
      <c r="AZ151" s="60"/>
      <c r="BA151" s="60">
        <v>7948</v>
      </c>
      <c r="BB151" s="60"/>
      <c r="BC151" s="60"/>
      <c r="BD151" s="60"/>
      <c r="BE151" s="60">
        <v>638</v>
      </c>
      <c r="BF151" s="60">
        <v>658</v>
      </c>
      <c r="BG151" s="60">
        <v>684</v>
      </c>
      <c r="BH151" s="60">
        <v>5167</v>
      </c>
      <c r="BI151" s="60">
        <v>927</v>
      </c>
      <c r="BJ151" s="60">
        <v>57</v>
      </c>
      <c r="BK151" s="60">
        <v>7</v>
      </c>
      <c r="BL151" s="60">
        <v>119</v>
      </c>
      <c r="BM151" s="60">
        <v>1</v>
      </c>
      <c r="BN151" s="60">
        <v>126</v>
      </c>
      <c r="BO151" s="60">
        <v>52</v>
      </c>
      <c r="BP151" s="60">
        <v>202</v>
      </c>
      <c r="BQ151" s="60">
        <v>126</v>
      </c>
      <c r="BR151" s="60">
        <v>4395</v>
      </c>
      <c r="BS151" s="60">
        <v>295</v>
      </c>
      <c r="BT151" s="60">
        <v>4</v>
      </c>
      <c r="BU151" s="60">
        <v>314</v>
      </c>
      <c r="BV151" s="60">
        <v>331</v>
      </c>
      <c r="BW151" s="60">
        <v>4</v>
      </c>
      <c r="BX151" s="60">
        <v>148</v>
      </c>
      <c r="BY151" s="60">
        <v>581</v>
      </c>
      <c r="BZ151" s="60">
        <v>173</v>
      </c>
      <c r="CA151" s="60">
        <v>1139</v>
      </c>
      <c r="CB151" s="60"/>
      <c r="CC151" s="60"/>
      <c r="CD151" s="60">
        <v>2871</v>
      </c>
      <c r="CE151" s="60">
        <v>21</v>
      </c>
      <c r="CF151" s="60">
        <v>32</v>
      </c>
      <c r="CG151" s="60">
        <v>2</v>
      </c>
      <c r="CH151" s="60">
        <v>46</v>
      </c>
      <c r="CI151" s="60">
        <v>16</v>
      </c>
      <c r="CJ151" s="60">
        <v>13</v>
      </c>
      <c r="CK151" s="60">
        <v>195</v>
      </c>
      <c r="CL151" s="60">
        <v>3514</v>
      </c>
      <c r="CM151" s="60">
        <v>926</v>
      </c>
      <c r="CN151" s="60">
        <v>229</v>
      </c>
      <c r="CO151" s="60">
        <v>153</v>
      </c>
      <c r="CP151" s="60">
        <v>6</v>
      </c>
      <c r="CQ151" s="60">
        <v>45</v>
      </c>
      <c r="CR151" s="60">
        <v>5</v>
      </c>
      <c r="CS151" s="60"/>
      <c r="CT151" s="60">
        <v>8074</v>
      </c>
      <c r="CU151" s="60">
        <v>12</v>
      </c>
      <c r="CV151" s="60">
        <v>7788</v>
      </c>
      <c r="CW151" s="60">
        <v>274</v>
      </c>
      <c r="CX151" s="60">
        <v>143</v>
      </c>
      <c r="CY151" s="60">
        <v>204</v>
      </c>
      <c r="CZ151" s="60"/>
      <c r="DA151" s="60"/>
      <c r="DB151" s="60">
        <v>37</v>
      </c>
      <c r="DC151" s="60">
        <v>43</v>
      </c>
      <c r="DD151" s="60">
        <v>48</v>
      </c>
      <c r="DE151" s="60">
        <v>54</v>
      </c>
      <c r="DF151" s="60">
        <v>55</v>
      </c>
      <c r="DG151" s="60">
        <v>41</v>
      </c>
      <c r="DH151" s="60">
        <v>23</v>
      </c>
      <c r="DI151" s="60">
        <v>22</v>
      </c>
      <c r="DJ151" s="60">
        <v>9</v>
      </c>
      <c r="DK151" s="60">
        <v>15</v>
      </c>
      <c r="DL151" s="60"/>
      <c r="DM151" s="60">
        <v>13</v>
      </c>
      <c r="DN151" s="60"/>
      <c r="DO151" s="60">
        <v>36</v>
      </c>
      <c r="DP151" s="60">
        <v>18</v>
      </c>
      <c r="DQ151" s="60">
        <v>10</v>
      </c>
      <c r="DR151" s="60">
        <v>267</v>
      </c>
      <c r="DS151" s="60">
        <v>3</v>
      </c>
      <c r="DT151" s="60">
        <v>15</v>
      </c>
      <c r="DU151" s="60"/>
      <c r="DV151" s="60">
        <v>1</v>
      </c>
      <c r="DW151" s="60"/>
      <c r="DX151" s="60">
        <v>1</v>
      </c>
      <c r="DY151" s="60"/>
      <c r="DZ151" s="60"/>
      <c r="EA151" s="60">
        <v>322</v>
      </c>
      <c r="EB151" s="60">
        <v>8</v>
      </c>
      <c r="EC151" s="60"/>
      <c r="ED151" s="60">
        <v>0</v>
      </c>
      <c r="EE151" s="60">
        <v>0</v>
      </c>
      <c r="EF151" s="60">
        <v>0</v>
      </c>
      <c r="EG151" s="60">
        <v>0</v>
      </c>
      <c r="EH151" s="60">
        <v>0</v>
      </c>
      <c r="EI151" s="60">
        <v>37</v>
      </c>
      <c r="EJ151" s="60">
        <v>60</v>
      </c>
      <c r="EK151" s="60">
        <v>22</v>
      </c>
      <c r="EL151" s="60">
        <v>193</v>
      </c>
      <c r="EM151" s="60">
        <v>35</v>
      </c>
      <c r="EN151" s="60">
        <v>5</v>
      </c>
      <c r="EO151" s="60">
        <v>1</v>
      </c>
      <c r="EP151" s="60">
        <v>9</v>
      </c>
      <c r="EQ151" s="60"/>
      <c r="ER151" s="60">
        <v>41</v>
      </c>
      <c r="ES151" s="60">
        <v>10</v>
      </c>
      <c r="ET151" s="60">
        <v>18</v>
      </c>
      <c r="EU151" s="60">
        <v>6</v>
      </c>
      <c r="EV151" s="60">
        <v>188</v>
      </c>
      <c r="EW151" s="60">
        <v>8</v>
      </c>
      <c r="EX151" s="60">
        <v>1</v>
      </c>
      <c r="EY151" s="60">
        <v>2</v>
      </c>
      <c r="EZ151" s="60"/>
      <c r="FA151" s="60">
        <v>7</v>
      </c>
      <c r="FB151" s="60">
        <v>30</v>
      </c>
      <c r="FC151" s="60">
        <v>11</v>
      </c>
      <c r="FD151" s="60">
        <v>8</v>
      </c>
      <c r="FE151" s="60"/>
      <c r="FF151" s="60">
        <v>2</v>
      </c>
      <c r="FG151" s="60"/>
      <c r="FH151" s="60">
        <v>134</v>
      </c>
      <c r="FI151" s="60">
        <v>1</v>
      </c>
      <c r="FJ151" s="60">
        <v>6</v>
      </c>
      <c r="FK151" s="60"/>
      <c r="FL151" s="60">
        <v>2</v>
      </c>
      <c r="FM151" s="60">
        <v>13</v>
      </c>
      <c r="FN151" s="60">
        <v>1</v>
      </c>
      <c r="FO151" s="60">
        <v>132</v>
      </c>
      <c r="FP151" s="60">
        <v>32</v>
      </c>
      <c r="FQ151" s="60">
        <v>8</v>
      </c>
      <c r="FR151" s="60">
        <v>15</v>
      </c>
      <c r="FS151" s="60">
        <v>1</v>
      </c>
      <c r="FT151" s="60">
        <v>1</v>
      </c>
      <c r="FU151" s="60">
        <v>1</v>
      </c>
      <c r="FV151" s="60"/>
      <c r="FW151" s="60"/>
      <c r="FX151" s="60">
        <v>347</v>
      </c>
      <c r="FY151" s="60"/>
      <c r="FZ151" s="60">
        <v>333</v>
      </c>
      <c r="GA151" s="60">
        <v>14</v>
      </c>
      <c r="GB151" s="60">
        <v>2011</v>
      </c>
    </row>
    <row r="152" spans="1:184" x14ac:dyDescent="0.3">
      <c r="A152" s="60">
        <v>106270744</v>
      </c>
      <c r="B152" s="61" t="s">
        <v>639</v>
      </c>
      <c r="C152" s="61" t="s">
        <v>1883</v>
      </c>
      <c r="D152" s="61" t="s">
        <v>641</v>
      </c>
      <c r="E152" s="61" t="s">
        <v>640</v>
      </c>
      <c r="F152" s="60">
        <v>93940</v>
      </c>
      <c r="G152" s="61"/>
      <c r="H152" s="61" t="s">
        <v>1669</v>
      </c>
      <c r="I152" s="60">
        <v>27</v>
      </c>
      <c r="J152" s="60">
        <v>15</v>
      </c>
      <c r="K152" s="61" t="s">
        <v>1884</v>
      </c>
      <c r="L152" s="61"/>
      <c r="M152" s="61" t="s">
        <v>1885</v>
      </c>
      <c r="N152" s="61" t="s">
        <v>1886</v>
      </c>
      <c r="O152" s="61" t="s">
        <v>1673</v>
      </c>
      <c r="P152" s="61" t="s">
        <v>1678</v>
      </c>
      <c r="Q152" s="61" t="s">
        <v>1674</v>
      </c>
      <c r="R152" s="60">
        <v>241</v>
      </c>
      <c r="S152" s="61" t="s">
        <v>1675</v>
      </c>
      <c r="T152" s="60">
        <v>21849</v>
      </c>
      <c r="U152" s="60">
        <v>17587</v>
      </c>
      <c r="V152" s="60">
        <v>1</v>
      </c>
      <c r="W152" s="60"/>
      <c r="X152" s="60">
        <v>5796</v>
      </c>
      <c r="Y152" s="60">
        <v>4219</v>
      </c>
      <c r="Z152" s="60">
        <v>6378</v>
      </c>
      <c r="AA152" s="60">
        <v>4507</v>
      </c>
      <c r="AB152" s="60">
        <v>4432</v>
      </c>
      <c r="AC152" s="60">
        <v>4335</v>
      </c>
      <c r="AD152" s="60">
        <v>3164</v>
      </c>
      <c r="AE152" s="60">
        <v>2371</v>
      </c>
      <c r="AF152" s="60">
        <v>2951</v>
      </c>
      <c r="AG152" s="60">
        <v>1284</v>
      </c>
      <c r="AH152" s="60"/>
      <c r="AI152" s="60">
        <v>2093</v>
      </c>
      <c r="AJ152" s="60">
        <v>3050</v>
      </c>
      <c r="AK152" s="60">
        <v>8580</v>
      </c>
      <c r="AL152" s="60">
        <v>42</v>
      </c>
      <c r="AM152" s="60">
        <v>2892</v>
      </c>
      <c r="AN152" s="60">
        <v>89</v>
      </c>
      <c r="AO152" s="60">
        <v>22691</v>
      </c>
      <c r="AP152" s="60">
        <v>142</v>
      </c>
      <c r="AQ152" s="60">
        <v>711</v>
      </c>
      <c r="AR152" s="60"/>
      <c r="AS152" s="60">
        <v>59</v>
      </c>
      <c r="AT152" s="60">
        <v>22</v>
      </c>
      <c r="AU152" s="60">
        <v>3</v>
      </c>
      <c r="AV152" s="60"/>
      <c r="AW152" s="60">
        <v>29</v>
      </c>
      <c r="AX152" s="60">
        <v>27</v>
      </c>
      <c r="AY152" s="60">
        <v>116</v>
      </c>
      <c r="AZ152" s="60">
        <v>7</v>
      </c>
      <c r="BA152" s="60">
        <v>38297</v>
      </c>
      <c r="BB152" s="60">
        <v>22</v>
      </c>
      <c r="BC152" s="60"/>
      <c r="BD152" s="60">
        <v>2</v>
      </c>
      <c r="BE152" s="60">
        <v>10601</v>
      </c>
      <c r="BF152" s="60">
        <v>7590</v>
      </c>
      <c r="BG152" s="60">
        <v>5081</v>
      </c>
      <c r="BH152" s="60">
        <v>9803</v>
      </c>
      <c r="BI152" s="60">
        <v>6362</v>
      </c>
      <c r="BJ152" s="60">
        <v>918</v>
      </c>
      <c r="BK152" s="60">
        <v>90</v>
      </c>
      <c r="BL152" s="60">
        <v>749</v>
      </c>
      <c r="BM152" s="60">
        <v>6</v>
      </c>
      <c r="BN152" s="60">
        <v>1914</v>
      </c>
      <c r="BO152" s="60">
        <v>424</v>
      </c>
      <c r="BP152" s="60">
        <v>1949</v>
      </c>
      <c r="BQ152" s="60">
        <v>634</v>
      </c>
      <c r="BR152" s="60">
        <v>8633</v>
      </c>
      <c r="BS152" s="60">
        <v>2510</v>
      </c>
      <c r="BT152" s="60">
        <v>34</v>
      </c>
      <c r="BU152" s="60">
        <v>2229</v>
      </c>
      <c r="BV152" s="60">
        <v>3062</v>
      </c>
      <c r="BW152" s="60">
        <v>74</v>
      </c>
      <c r="BX152" s="60">
        <v>1562</v>
      </c>
      <c r="BY152" s="60">
        <v>4533</v>
      </c>
      <c r="BZ152" s="60">
        <v>1584</v>
      </c>
      <c r="CA152" s="60">
        <v>8532</v>
      </c>
      <c r="CB152" s="60"/>
      <c r="CC152" s="60"/>
      <c r="CD152" s="60">
        <v>3233</v>
      </c>
      <c r="CE152" s="60">
        <v>187</v>
      </c>
      <c r="CF152" s="60">
        <v>290</v>
      </c>
      <c r="CG152" s="60">
        <v>27</v>
      </c>
      <c r="CH152" s="60">
        <v>285</v>
      </c>
      <c r="CI152" s="60">
        <v>79</v>
      </c>
      <c r="CJ152" s="60">
        <v>166</v>
      </c>
      <c r="CK152" s="60">
        <v>376</v>
      </c>
      <c r="CL152" s="60">
        <v>29955</v>
      </c>
      <c r="CM152" s="60">
        <v>3535</v>
      </c>
      <c r="CN152" s="60">
        <v>248</v>
      </c>
      <c r="CO152" s="60">
        <v>771</v>
      </c>
      <c r="CP152" s="60">
        <v>68</v>
      </c>
      <c r="CQ152" s="60">
        <v>182</v>
      </c>
      <c r="CR152" s="60">
        <v>35</v>
      </c>
      <c r="CS152" s="60"/>
      <c r="CT152" s="60">
        <v>39437</v>
      </c>
      <c r="CU152" s="60">
        <v>439</v>
      </c>
      <c r="CV152" s="60">
        <v>35934</v>
      </c>
      <c r="CW152" s="60">
        <v>3064</v>
      </c>
      <c r="CX152" s="60">
        <v>3912</v>
      </c>
      <c r="CY152" s="60">
        <v>3504</v>
      </c>
      <c r="CZ152" s="60"/>
      <c r="DA152" s="60"/>
      <c r="DB152" s="60">
        <v>166</v>
      </c>
      <c r="DC152" s="60">
        <v>528</v>
      </c>
      <c r="DD152" s="60">
        <v>473</v>
      </c>
      <c r="DE152" s="60">
        <v>676</v>
      </c>
      <c r="DF152" s="60">
        <v>1031</v>
      </c>
      <c r="DG152" s="60">
        <v>1018</v>
      </c>
      <c r="DH152" s="60">
        <v>1151</v>
      </c>
      <c r="DI152" s="60">
        <v>2127</v>
      </c>
      <c r="DJ152" s="60">
        <v>89</v>
      </c>
      <c r="DK152" s="60">
        <v>157</v>
      </c>
      <c r="DL152" s="60"/>
      <c r="DM152" s="60">
        <v>471</v>
      </c>
      <c r="DN152" s="60">
        <v>512</v>
      </c>
      <c r="DO152" s="60">
        <v>725</v>
      </c>
      <c r="DP152" s="60">
        <v>393</v>
      </c>
      <c r="DQ152" s="60">
        <v>6</v>
      </c>
      <c r="DR152" s="60">
        <v>5305</v>
      </c>
      <c r="DS152" s="60">
        <v>4</v>
      </c>
      <c r="DT152" s="60">
        <v>69</v>
      </c>
      <c r="DU152" s="60">
        <v>68</v>
      </c>
      <c r="DV152" s="60">
        <v>259</v>
      </c>
      <c r="DW152" s="60">
        <v>881</v>
      </c>
      <c r="DX152" s="60">
        <v>160</v>
      </c>
      <c r="DY152" s="60">
        <v>5</v>
      </c>
      <c r="DZ152" s="60"/>
      <c r="EA152" s="60">
        <v>4931</v>
      </c>
      <c r="EB152" s="60">
        <v>1043</v>
      </c>
      <c r="EC152" s="60"/>
      <c r="ED152" s="60">
        <v>0</v>
      </c>
      <c r="EE152" s="60">
        <v>0</v>
      </c>
      <c r="EF152" s="60">
        <v>0</v>
      </c>
      <c r="EG152" s="60">
        <v>0</v>
      </c>
      <c r="EH152" s="60">
        <v>0</v>
      </c>
      <c r="EI152" s="60">
        <v>685</v>
      </c>
      <c r="EJ152" s="60">
        <v>4018</v>
      </c>
      <c r="EK152" s="60">
        <v>527</v>
      </c>
      <c r="EL152" s="60">
        <v>1460</v>
      </c>
      <c r="EM152" s="60">
        <v>726</v>
      </c>
      <c r="EN152" s="60">
        <v>57</v>
      </c>
      <c r="EO152" s="60">
        <v>49</v>
      </c>
      <c r="EP152" s="60">
        <v>1322</v>
      </c>
      <c r="EQ152" s="60">
        <v>9</v>
      </c>
      <c r="ER152" s="60">
        <v>1200</v>
      </c>
      <c r="ES152" s="60">
        <v>264</v>
      </c>
      <c r="ET152" s="60">
        <v>327</v>
      </c>
      <c r="EU152" s="60">
        <v>455</v>
      </c>
      <c r="EV152" s="60">
        <v>818</v>
      </c>
      <c r="EW152" s="60">
        <v>162</v>
      </c>
      <c r="EX152" s="60">
        <v>200</v>
      </c>
      <c r="EY152" s="60">
        <v>131</v>
      </c>
      <c r="EZ152" s="60"/>
      <c r="FA152" s="60">
        <v>825</v>
      </c>
      <c r="FB152" s="60">
        <v>895</v>
      </c>
      <c r="FC152" s="60">
        <v>249</v>
      </c>
      <c r="FD152" s="60">
        <v>425</v>
      </c>
      <c r="FE152" s="60">
        <v>1</v>
      </c>
      <c r="FF152" s="60">
        <v>27</v>
      </c>
      <c r="FG152" s="60"/>
      <c r="FH152" s="60">
        <v>619</v>
      </c>
      <c r="FI152" s="60">
        <v>55</v>
      </c>
      <c r="FJ152" s="60">
        <v>343</v>
      </c>
      <c r="FK152" s="60">
        <v>9</v>
      </c>
      <c r="FL152" s="60">
        <v>26</v>
      </c>
      <c r="FM152" s="60">
        <v>303</v>
      </c>
      <c r="FN152" s="60">
        <v>31</v>
      </c>
      <c r="FO152" s="60">
        <v>5716</v>
      </c>
      <c r="FP152" s="60">
        <v>90</v>
      </c>
      <c r="FQ152" s="60">
        <v>19</v>
      </c>
      <c r="FR152" s="60">
        <v>42</v>
      </c>
      <c r="FS152" s="60">
        <v>125</v>
      </c>
      <c r="FT152" s="60">
        <v>27</v>
      </c>
      <c r="FU152" s="60">
        <v>9</v>
      </c>
      <c r="FV152" s="60">
        <v>2</v>
      </c>
      <c r="FW152" s="60"/>
      <c r="FX152" s="60">
        <v>7416</v>
      </c>
      <c r="FY152" s="60">
        <v>103</v>
      </c>
      <c r="FZ152" s="60">
        <v>7053</v>
      </c>
      <c r="GA152" s="60">
        <v>260</v>
      </c>
      <c r="GB152" s="60">
        <v>2011</v>
      </c>
    </row>
    <row r="153" spans="1:184" x14ac:dyDescent="0.3">
      <c r="A153" s="60">
        <v>106270777</v>
      </c>
      <c r="B153" s="61" t="s">
        <v>642</v>
      </c>
      <c r="C153" s="61" t="s">
        <v>643</v>
      </c>
      <c r="D153" s="61" t="s">
        <v>644</v>
      </c>
      <c r="E153" s="61" t="s">
        <v>645</v>
      </c>
      <c r="F153" s="60">
        <v>93930</v>
      </c>
      <c r="G153" s="61"/>
      <c r="H153" s="61" t="s">
        <v>1669</v>
      </c>
      <c r="I153" s="60">
        <v>28</v>
      </c>
      <c r="J153" s="60">
        <v>12</v>
      </c>
      <c r="K153" s="61" t="s">
        <v>1887</v>
      </c>
      <c r="L153" s="61"/>
      <c r="M153" s="61" t="s">
        <v>1885</v>
      </c>
      <c r="N153" s="61" t="s">
        <v>1886</v>
      </c>
      <c r="O153" s="61" t="s">
        <v>1673</v>
      </c>
      <c r="P153" s="61" t="s">
        <v>1678</v>
      </c>
      <c r="Q153" s="61" t="s">
        <v>1674</v>
      </c>
      <c r="R153" s="60">
        <v>100</v>
      </c>
      <c r="S153" s="61" t="s">
        <v>1675</v>
      </c>
      <c r="T153" s="60">
        <v>4929</v>
      </c>
      <c r="U153" s="60">
        <v>4481</v>
      </c>
      <c r="V153" s="60"/>
      <c r="W153" s="60"/>
      <c r="X153" s="60">
        <v>2274</v>
      </c>
      <c r="Y153" s="60">
        <v>1223</v>
      </c>
      <c r="Z153" s="60">
        <v>1772</v>
      </c>
      <c r="AA153" s="60">
        <v>1251</v>
      </c>
      <c r="AB153" s="60">
        <v>847</v>
      </c>
      <c r="AC153" s="60">
        <v>539</v>
      </c>
      <c r="AD153" s="60">
        <v>338</v>
      </c>
      <c r="AE153" s="60">
        <v>237</v>
      </c>
      <c r="AF153" s="60">
        <v>255</v>
      </c>
      <c r="AG153" s="60">
        <v>674</v>
      </c>
      <c r="AH153" s="60"/>
      <c r="AI153" s="60">
        <v>69</v>
      </c>
      <c r="AJ153" s="60">
        <v>204</v>
      </c>
      <c r="AK153" s="60">
        <v>7286</v>
      </c>
      <c r="AL153" s="60">
        <v>4</v>
      </c>
      <c r="AM153" s="60">
        <v>430</v>
      </c>
      <c r="AN153" s="60">
        <v>10</v>
      </c>
      <c r="AO153" s="60">
        <v>1407</v>
      </c>
      <c r="AP153" s="60">
        <v>195</v>
      </c>
      <c r="AQ153" s="60">
        <v>26</v>
      </c>
      <c r="AR153" s="60"/>
      <c r="AS153" s="60">
        <v>10</v>
      </c>
      <c r="AT153" s="60">
        <v>1</v>
      </c>
      <c r="AU153" s="60"/>
      <c r="AV153" s="60"/>
      <c r="AW153" s="60">
        <v>9</v>
      </c>
      <c r="AX153" s="60"/>
      <c r="AY153" s="60"/>
      <c r="AZ153" s="60"/>
      <c r="BA153" s="60">
        <v>9162</v>
      </c>
      <c r="BB153" s="60">
        <v>7</v>
      </c>
      <c r="BC153" s="60"/>
      <c r="BD153" s="60"/>
      <c r="BE153" s="60">
        <v>1008</v>
      </c>
      <c r="BF153" s="60">
        <v>759</v>
      </c>
      <c r="BG153" s="60">
        <v>830</v>
      </c>
      <c r="BH153" s="60">
        <v>5182</v>
      </c>
      <c r="BI153" s="60">
        <v>1631</v>
      </c>
      <c r="BJ153" s="60">
        <v>406</v>
      </c>
      <c r="BK153" s="60">
        <v>34</v>
      </c>
      <c r="BL153" s="60">
        <v>114</v>
      </c>
      <c r="BM153" s="60">
        <v>9</v>
      </c>
      <c r="BN153" s="60">
        <v>490</v>
      </c>
      <c r="BO153" s="60">
        <v>151</v>
      </c>
      <c r="BP153" s="60">
        <v>537</v>
      </c>
      <c r="BQ153" s="60">
        <v>210</v>
      </c>
      <c r="BR153" s="60">
        <v>2054</v>
      </c>
      <c r="BS153" s="60">
        <v>530</v>
      </c>
      <c r="BT153" s="60">
        <v>8</v>
      </c>
      <c r="BU153" s="60">
        <v>592</v>
      </c>
      <c r="BV153" s="60">
        <v>244</v>
      </c>
      <c r="BW153" s="60">
        <v>38</v>
      </c>
      <c r="BX153" s="60">
        <v>269</v>
      </c>
      <c r="BY153" s="60">
        <v>1279</v>
      </c>
      <c r="BZ153" s="60">
        <v>351</v>
      </c>
      <c r="CA153" s="60">
        <v>2094</v>
      </c>
      <c r="CB153" s="60"/>
      <c r="CC153" s="60"/>
      <c r="CD153" s="60">
        <v>663</v>
      </c>
      <c r="CE153" s="60">
        <v>38</v>
      </c>
      <c r="CF153" s="60">
        <v>71</v>
      </c>
      <c r="CG153" s="60">
        <v>7</v>
      </c>
      <c r="CH153" s="60">
        <v>67</v>
      </c>
      <c r="CI153" s="60">
        <v>2</v>
      </c>
      <c r="CJ153" s="60">
        <v>28</v>
      </c>
      <c r="CK153" s="60">
        <v>82</v>
      </c>
      <c r="CL153" s="60">
        <v>7154</v>
      </c>
      <c r="CM153" s="60">
        <v>965</v>
      </c>
      <c r="CN153" s="60">
        <v>56</v>
      </c>
      <c r="CO153" s="60">
        <v>206</v>
      </c>
      <c r="CP153" s="60">
        <v>17</v>
      </c>
      <c r="CQ153" s="60">
        <v>51</v>
      </c>
      <c r="CR153" s="60">
        <v>3</v>
      </c>
      <c r="CS153" s="60"/>
      <c r="CT153" s="60">
        <v>9410</v>
      </c>
      <c r="CU153" s="60">
        <v>19</v>
      </c>
      <c r="CV153" s="60">
        <v>4696</v>
      </c>
      <c r="CW153" s="60">
        <v>4695</v>
      </c>
      <c r="CX153" s="60">
        <v>369</v>
      </c>
      <c r="CY153" s="60">
        <v>297</v>
      </c>
      <c r="CZ153" s="60"/>
      <c r="DA153" s="60"/>
      <c r="DB153" s="60">
        <v>36</v>
      </c>
      <c r="DC153" s="60">
        <v>101</v>
      </c>
      <c r="DD153" s="60">
        <v>75</v>
      </c>
      <c r="DE153" s="60">
        <v>71</v>
      </c>
      <c r="DF153" s="60">
        <v>81</v>
      </c>
      <c r="DG153" s="60">
        <v>77</v>
      </c>
      <c r="DH153" s="60">
        <v>74</v>
      </c>
      <c r="DI153" s="60">
        <v>84</v>
      </c>
      <c r="DJ153" s="60">
        <v>18</v>
      </c>
      <c r="DK153" s="60">
        <v>49</v>
      </c>
      <c r="DL153" s="60"/>
      <c r="DM153" s="60">
        <v>4</v>
      </c>
      <c r="DN153" s="60">
        <v>9</v>
      </c>
      <c r="DO153" s="60">
        <v>421</v>
      </c>
      <c r="DP153" s="60">
        <v>31</v>
      </c>
      <c r="DQ153" s="60">
        <v>1</v>
      </c>
      <c r="DR153" s="60">
        <v>197</v>
      </c>
      <c r="DS153" s="60">
        <v>3</v>
      </c>
      <c r="DT153" s="60">
        <v>39</v>
      </c>
      <c r="DU153" s="60">
        <v>3</v>
      </c>
      <c r="DV153" s="60">
        <v>9</v>
      </c>
      <c r="DW153" s="60">
        <v>33</v>
      </c>
      <c r="DX153" s="60">
        <v>1</v>
      </c>
      <c r="DY153" s="60"/>
      <c r="DZ153" s="60">
        <v>3</v>
      </c>
      <c r="EA153" s="60">
        <v>489</v>
      </c>
      <c r="EB153" s="60">
        <v>89</v>
      </c>
      <c r="EC153" s="60"/>
      <c r="ED153" s="60">
        <v>0</v>
      </c>
      <c r="EE153" s="60">
        <v>0</v>
      </c>
      <c r="EF153" s="60">
        <v>0</v>
      </c>
      <c r="EG153" s="60">
        <v>0</v>
      </c>
      <c r="EH153" s="60">
        <v>0</v>
      </c>
      <c r="EI153" s="60">
        <v>58</v>
      </c>
      <c r="EJ153" s="60">
        <v>204</v>
      </c>
      <c r="EK153" s="60">
        <v>33</v>
      </c>
      <c r="EL153" s="60">
        <v>290</v>
      </c>
      <c r="EM153" s="60">
        <v>81</v>
      </c>
      <c r="EN153" s="60">
        <v>21</v>
      </c>
      <c r="EO153" s="60">
        <v>8</v>
      </c>
      <c r="EP153" s="60">
        <v>78</v>
      </c>
      <c r="EQ153" s="60"/>
      <c r="ER153" s="60">
        <v>180</v>
      </c>
      <c r="ES153" s="60">
        <v>64</v>
      </c>
      <c r="ET153" s="60">
        <v>58</v>
      </c>
      <c r="EU153" s="60">
        <v>21</v>
      </c>
      <c r="EV153" s="60">
        <v>55</v>
      </c>
      <c r="EW153" s="60">
        <v>11</v>
      </c>
      <c r="EX153" s="60">
        <v>6</v>
      </c>
      <c r="EY153" s="60">
        <v>9</v>
      </c>
      <c r="EZ153" s="60">
        <v>4</v>
      </c>
      <c r="FA153" s="60">
        <v>8</v>
      </c>
      <c r="FB153" s="60">
        <v>90</v>
      </c>
      <c r="FC153" s="60">
        <v>33</v>
      </c>
      <c r="FD153" s="60">
        <v>18</v>
      </c>
      <c r="FE153" s="60"/>
      <c r="FF153" s="60">
        <v>2</v>
      </c>
      <c r="FG153" s="60"/>
      <c r="FH153" s="60">
        <v>35</v>
      </c>
      <c r="FI153" s="60">
        <v>7</v>
      </c>
      <c r="FJ153" s="60">
        <v>27</v>
      </c>
      <c r="FK153" s="60">
        <v>3</v>
      </c>
      <c r="FL153" s="60"/>
      <c r="FM153" s="60">
        <v>6</v>
      </c>
      <c r="FN153" s="60">
        <v>2</v>
      </c>
      <c r="FO153" s="60">
        <v>571</v>
      </c>
      <c r="FP153" s="60">
        <v>6</v>
      </c>
      <c r="FQ153" s="60">
        <v>1</v>
      </c>
      <c r="FR153" s="60">
        <v>5</v>
      </c>
      <c r="FS153" s="60">
        <v>3</v>
      </c>
      <c r="FT153" s="60"/>
      <c r="FU153" s="60"/>
      <c r="FV153" s="60"/>
      <c r="FW153" s="60"/>
      <c r="FX153" s="60">
        <v>666</v>
      </c>
      <c r="FY153" s="60">
        <v>2</v>
      </c>
      <c r="FZ153" s="60">
        <v>380</v>
      </c>
      <c r="GA153" s="60">
        <v>284</v>
      </c>
      <c r="GB153" s="60">
        <v>2011</v>
      </c>
    </row>
    <row r="154" spans="1:184" x14ac:dyDescent="0.3">
      <c r="A154" s="60">
        <v>106270875</v>
      </c>
      <c r="B154" s="61" t="s">
        <v>646</v>
      </c>
      <c r="C154" s="61" t="s">
        <v>647</v>
      </c>
      <c r="D154" s="61" t="s">
        <v>648</v>
      </c>
      <c r="E154" s="61" t="s">
        <v>649</v>
      </c>
      <c r="F154" s="60">
        <v>93901</v>
      </c>
      <c r="G154" s="61"/>
      <c r="H154" s="61" t="s">
        <v>1669</v>
      </c>
      <c r="I154" s="60">
        <v>28</v>
      </c>
      <c r="J154" s="60">
        <v>12</v>
      </c>
      <c r="K154" s="61" t="s">
        <v>1888</v>
      </c>
      <c r="L154" s="61"/>
      <c r="M154" s="61" t="s">
        <v>1885</v>
      </c>
      <c r="N154" s="61" t="s">
        <v>1886</v>
      </c>
      <c r="O154" s="61" t="s">
        <v>1673</v>
      </c>
      <c r="P154" s="61" t="s">
        <v>159</v>
      </c>
      <c r="Q154" s="61" t="s">
        <v>1674</v>
      </c>
      <c r="R154" s="60">
        <v>269</v>
      </c>
      <c r="S154" s="61" t="s">
        <v>1675</v>
      </c>
      <c r="T154" s="60">
        <v>20243</v>
      </c>
      <c r="U154" s="60">
        <v>14929</v>
      </c>
      <c r="V154" s="60"/>
      <c r="W154" s="60"/>
      <c r="X154" s="60">
        <v>7692</v>
      </c>
      <c r="Y154" s="60">
        <v>4431</v>
      </c>
      <c r="Z154" s="60">
        <v>5465</v>
      </c>
      <c r="AA154" s="60">
        <v>4191</v>
      </c>
      <c r="AB154" s="60">
        <v>3473</v>
      </c>
      <c r="AC154" s="60">
        <v>2898</v>
      </c>
      <c r="AD154" s="60">
        <v>1899</v>
      </c>
      <c r="AE154" s="60">
        <v>1543</v>
      </c>
      <c r="AF154" s="60">
        <v>1796</v>
      </c>
      <c r="AG154" s="60">
        <v>1784</v>
      </c>
      <c r="AH154" s="60"/>
      <c r="AI154" s="60">
        <v>937</v>
      </c>
      <c r="AJ154" s="60">
        <v>815</v>
      </c>
      <c r="AK154" s="60">
        <v>24448</v>
      </c>
      <c r="AL154" s="60">
        <v>19</v>
      </c>
      <c r="AM154" s="60">
        <v>1579</v>
      </c>
      <c r="AN154" s="60"/>
      <c r="AO154" s="60">
        <v>7374</v>
      </c>
      <c r="AP154" s="60">
        <v>119</v>
      </c>
      <c r="AQ154" s="60">
        <v>120</v>
      </c>
      <c r="AR154" s="60">
        <v>92</v>
      </c>
      <c r="AS154" s="60">
        <v>51</v>
      </c>
      <c r="AT154" s="60">
        <v>14</v>
      </c>
      <c r="AU154" s="60">
        <v>16</v>
      </c>
      <c r="AV154" s="60">
        <v>2</v>
      </c>
      <c r="AW154" s="60">
        <v>29</v>
      </c>
      <c r="AX154" s="60">
        <v>4</v>
      </c>
      <c r="AY154" s="60">
        <v>50</v>
      </c>
      <c r="AZ154" s="60"/>
      <c r="BA154" s="60">
        <v>34562</v>
      </c>
      <c r="BB154" s="60">
        <v>113</v>
      </c>
      <c r="BC154" s="60"/>
      <c r="BD154" s="60"/>
      <c r="BE154" s="60">
        <v>16262</v>
      </c>
      <c r="BF154" s="60">
        <v>5422</v>
      </c>
      <c r="BG154" s="60">
        <v>1079</v>
      </c>
      <c r="BH154" s="60">
        <v>9031</v>
      </c>
      <c r="BI154" s="60">
        <v>3378</v>
      </c>
      <c r="BJ154" s="60">
        <v>1257</v>
      </c>
      <c r="BK154" s="60">
        <v>120</v>
      </c>
      <c r="BL154" s="60">
        <v>583</v>
      </c>
      <c r="BM154" s="60">
        <v>11</v>
      </c>
      <c r="BN154" s="60">
        <v>1758</v>
      </c>
      <c r="BO154" s="60">
        <v>404</v>
      </c>
      <c r="BP154" s="60">
        <v>1777</v>
      </c>
      <c r="BQ154" s="60">
        <v>756</v>
      </c>
      <c r="BR154" s="60">
        <v>5679</v>
      </c>
      <c r="BS154" s="60">
        <v>2118</v>
      </c>
      <c r="BT154" s="60">
        <v>48</v>
      </c>
      <c r="BU154" s="60">
        <v>2798</v>
      </c>
      <c r="BV154" s="60">
        <v>1525</v>
      </c>
      <c r="BW154" s="60">
        <v>80</v>
      </c>
      <c r="BX154" s="60">
        <v>622</v>
      </c>
      <c r="BY154" s="60">
        <v>4857</v>
      </c>
      <c r="BZ154" s="60">
        <v>1277</v>
      </c>
      <c r="CA154" s="60">
        <v>9502</v>
      </c>
      <c r="CB154" s="60"/>
      <c r="CC154" s="60"/>
      <c r="CD154" s="60">
        <v>2439</v>
      </c>
      <c r="CE154" s="60">
        <v>106</v>
      </c>
      <c r="CF154" s="60">
        <v>227</v>
      </c>
      <c r="CG154" s="60">
        <v>18</v>
      </c>
      <c r="CH154" s="60">
        <v>230</v>
      </c>
      <c r="CI154" s="60">
        <v>22</v>
      </c>
      <c r="CJ154" s="60">
        <v>294</v>
      </c>
      <c r="CK154" s="60">
        <v>196</v>
      </c>
      <c r="CL154" s="60">
        <v>27860</v>
      </c>
      <c r="CM154" s="60">
        <v>2594</v>
      </c>
      <c r="CN154" s="60">
        <v>189</v>
      </c>
      <c r="CO154" s="60">
        <v>823</v>
      </c>
      <c r="CP154" s="60">
        <v>19</v>
      </c>
      <c r="CQ154" s="60">
        <v>150</v>
      </c>
      <c r="CR154" s="60">
        <v>5</v>
      </c>
      <c r="CS154" s="60"/>
      <c r="CT154" s="60">
        <v>35172</v>
      </c>
      <c r="CU154" s="60">
        <v>86</v>
      </c>
      <c r="CV154" s="60">
        <v>25998</v>
      </c>
      <c r="CW154" s="60">
        <v>9088</v>
      </c>
      <c r="CX154" s="60">
        <v>3060</v>
      </c>
      <c r="CY154" s="60">
        <v>2716</v>
      </c>
      <c r="CZ154" s="60"/>
      <c r="DA154" s="60"/>
      <c r="DB154" s="60">
        <v>172</v>
      </c>
      <c r="DC154" s="60">
        <v>331</v>
      </c>
      <c r="DD154" s="60">
        <v>370</v>
      </c>
      <c r="DE154" s="60">
        <v>528</v>
      </c>
      <c r="DF154" s="60">
        <v>755</v>
      </c>
      <c r="DG154" s="60">
        <v>868</v>
      </c>
      <c r="DH154" s="60">
        <v>995</v>
      </c>
      <c r="DI154" s="60">
        <v>1507</v>
      </c>
      <c r="DJ154" s="60">
        <v>64</v>
      </c>
      <c r="DK154" s="60">
        <v>186</v>
      </c>
      <c r="DL154" s="60"/>
      <c r="DM154" s="60">
        <v>319</v>
      </c>
      <c r="DN154" s="60">
        <v>153</v>
      </c>
      <c r="DO154" s="60">
        <v>2775</v>
      </c>
      <c r="DP154" s="60">
        <v>264</v>
      </c>
      <c r="DQ154" s="60">
        <v>3</v>
      </c>
      <c r="DR154" s="60">
        <v>2259</v>
      </c>
      <c r="DS154" s="60">
        <v>3</v>
      </c>
      <c r="DT154" s="60">
        <v>35</v>
      </c>
      <c r="DU154" s="60">
        <v>41</v>
      </c>
      <c r="DV154" s="60">
        <v>218</v>
      </c>
      <c r="DW154" s="60">
        <v>1171</v>
      </c>
      <c r="DX154" s="60">
        <v>193</v>
      </c>
      <c r="DY154" s="60">
        <v>7</v>
      </c>
      <c r="DZ154" s="60">
        <v>16</v>
      </c>
      <c r="EA154" s="60">
        <v>3239</v>
      </c>
      <c r="EB154" s="60">
        <v>795</v>
      </c>
      <c r="EC154" s="60">
        <v>61</v>
      </c>
      <c r="ED154" s="60">
        <v>0</v>
      </c>
      <c r="EE154" s="60">
        <v>0</v>
      </c>
      <c r="EF154" s="60">
        <v>0</v>
      </c>
      <c r="EG154" s="60">
        <v>0</v>
      </c>
      <c r="EH154" s="60">
        <v>0</v>
      </c>
      <c r="EI154" s="60">
        <v>861</v>
      </c>
      <c r="EJ154" s="60">
        <v>3264</v>
      </c>
      <c r="EK154" s="60">
        <v>81</v>
      </c>
      <c r="EL154" s="60">
        <v>1261</v>
      </c>
      <c r="EM154" s="60">
        <v>309</v>
      </c>
      <c r="EN154" s="60">
        <v>57</v>
      </c>
      <c r="EO154" s="60">
        <v>49</v>
      </c>
      <c r="EP154" s="60">
        <v>1170</v>
      </c>
      <c r="EQ154" s="60">
        <v>2</v>
      </c>
      <c r="ER154" s="60">
        <v>1112</v>
      </c>
      <c r="ES154" s="60">
        <v>294</v>
      </c>
      <c r="ET154" s="60">
        <v>358</v>
      </c>
      <c r="EU154" s="60">
        <v>398</v>
      </c>
      <c r="EV154" s="60">
        <v>540</v>
      </c>
      <c r="EW154" s="60">
        <v>98</v>
      </c>
      <c r="EX154" s="60">
        <v>184</v>
      </c>
      <c r="EY154" s="60">
        <v>162</v>
      </c>
      <c r="EZ154" s="60">
        <v>4</v>
      </c>
      <c r="FA154" s="60">
        <v>62</v>
      </c>
      <c r="FB154" s="60">
        <v>751</v>
      </c>
      <c r="FC154" s="60">
        <v>197</v>
      </c>
      <c r="FD154" s="60">
        <v>333</v>
      </c>
      <c r="FE154" s="60"/>
      <c r="FF154" s="60">
        <v>5</v>
      </c>
      <c r="FG154" s="60"/>
      <c r="FH154" s="60">
        <v>381</v>
      </c>
      <c r="FI154" s="60">
        <v>29</v>
      </c>
      <c r="FJ154" s="60">
        <v>563</v>
      </c>
      <c r="FK154" s="60">
        <v>16</v>
      </c>
      <c r="FL154" s="60">
        <v>5</v>
      </c>
      <c r="FM154" s="60">
        <v>14</v>
      </c>
      <c r="FN154" s="60">
        <v>6</v>
      </c>
      <c r="FO154" s="60">
        <v>4624</v>
      </c>
      <c r="FP154" s="60">
        <v>65</v>
      </c>
      <c r="FQ154" s="60">
        <v>10</v>
      </c>
      <c r="FR154" s="60">
        <v>42</v>
      </c>
      <c r="FS154" s="60">
        <v>9</v>
      </c>
      <c r="FT154" s="60">
        <v>9</v>
      </c>
      <c r="FU154" s="60">
        <v>3</v>
      </c>
      <c r="FV154" s="60"/>
      <c r="FW154" s="60"/>
      <c r="FX154" s="60">
        <v>5776</v>
      </c>
      <c r="FY154" s="60">
        <v>83</v>
      </c>
      <c r="FZ154" s="60">
        <v>4474</v>
      </c>
      <c r="GA154" s="60">
        <v>1219</v>
      </c>
      <c r="GB154" s="60">
        <v>2011</v>
      </c>
    </row>
    <row r="155" spans="1:184" x14ac:dyDescent="0.3">
      <c r="A155" s="60">
        <v>106274043</v>
      </c>
      <c r="B155" s="61" t="s">
        <v>650</v>
      </c>
      <c r="C155" s="61" t="s">
        <v>651</v>
      </c>
      <c r="D155" s="61" t="s">
        <v>652</v>
      </c>
      <c r="E155" s="61" t="s">
        <v>649</v>
      </c>
      <c r="F155" s="60">
        <v>93906</v>
      </c>
      <c r="G155" s="61"/>
      <c r="H155" s="61" t="s">
        <v>1669</v>
      </c>
      <c r="I155" s="60">
        <v>28</v>
      </c>
      <c r="J155" s="60">
        <v>12</v>
      </c>
      <c r="K155" s="61" t="s">
        <v>1888</v>
      </c>
      <c r="L155" s="61"/>
      <c r="M155" s="61" t="s">
        <v>1885</v>
      </c>
      <c r="N155" s="61" t="s">
        <v>1886</v>
      </c>
      <c r="O155" s="61" t="s">
        <v>1673</v>
      </c>
      <c r="P155" s="61" t="s">
        <v>1690</v>
      </c>
      <c r="Q155" s="61" t="s">
        <v>1674</v>
      </c>
      <c r="R155" s="60">
        <v>150</v>
      </c>
      <c r="S155" s="61" t="s">
        <v>1675</v>
      </c>
      <c r="T155" s="60">
        <v>22532</v>
      </c>
      <c r="U155" s="60">
        <v>19321</v>
      </c>
      <c r="V155" s="60"/>
      <c r="W155" s="60"/>
      <c r="X155" s="60">
        <v>9186</v>
      </c>
      <c r="Y155" s="60">
        <v>5060</v>
      </c>
      <c r="Z155" s="60">
        <v>7882</v>
      </c>
      <c r="AA155" s="60">
        <v>5725</v>
      </c>
      <c r="AB155" s="60">
        <v>4560</v>
      </c>
      <c r="AC155" s="60">
        <v>3897</v>
      </c>
      <c r="AD155" s="60">
        <v>1581</v>
      </c>
      <c r="AE155" s="60">
        <v>665</v>
      </c>
      <c r="AF155" s="60">
        <v>396</v>
      </c>
      <c r="AG155" s="60">
        <v>2901</v>
      </c>
      <c r="AH155" s="60"/>
      <c r="AI155" s="60">
        <v>536</v>
      </c>
      <c r="AJ155" s="60">
        <v>1344</v>
      </c>
      <c r="AK155" s="60">
        <v>32204</v>
      </c>
      <c r="AL155" s="60">
        <v>16</v>
      </c>
      <c r="AM155" s="60">
        <v>2343</v>
      </c>
      <c r="AN155" s="60">
        <v>22</v>
      </c>
      <c r="AO155" s="60">
        <v>5388</v>
      </c>
      <c r="AP155" s="60">
        <v>204</v>
      </c>
      <c r="AQ155" s="60">
        <v>873</v>
      </c>
      <c r="AR155" s="60"/>
      <c r="AS155" s="60">
        <v>38</v>
      </c>
      <c r="AT155" s="60">
        <v>3</v>
      </c>
      <c r="AU155" s="60">
        <v>3</v>
      </c>
      <c r="AV155" s="60">
        <v>18</v>
      </c>
      <c r="AW155" s="60">
        <v>183</v>
      </c>
      <c r="AX155" s="60"/>
      <c r="AY155" s="60">
        <v>49</v>
      </c>
      <c r="AZ155" s="60"/>
      <c r="BA155" s="60">
        <v>40466</v>
      </c>
      <c r="BB155" s="60">
        <v>16</v>
      </c>
      <c r="BC155" s="60"/>
      <c r="BD155" s="60"/>
      <c r="BE155" s="60">
        <v>23744</v>
      </c>
      <c r="BF155" s="60">
        <v>2685</v>
      </c>
      <c r="BG155" s="60">
        <v>2536</v>
      </c>
      <c r="BH155" s="60">
        <v>4708</v>
      </c>
      <c r="BI155" s="60">
        <v>8180</v>
      </c>
      <c r="BJ155" s="60">
        <v>1691</v>
      </c>
      <c r="BK155" s="60">
        <v>127</v>
      </c>
      <c r="BL155" s="60">
        <v>496</v>
      </c>
      <c r="BM155" s="60">
        <v>25</v>
      </c>
      <c r="BN155" s="60">
        <v>2849</v>
      </c>
      <c r="BO155" s="60">
        <v>543</v>
      </c>
      <c r="BP155" s="60">
        <v>2430</v>
      </c>
      <c r="BQ155" s="60">
        <v>1552</v>
      </c>
      <c r="BR155" s="60">
        <v>6416</v>
      </c>
      <c r="BS155" s="60">
        <v>2050</v>
      </c>
      <c r="BT155" s="60">
        <v>61</v>
      </c>
      <c r="BU155" s="60">
        <v>4645</v>
      </c>
      <c r="BV155" s="60">
        <v>1576</v>
      </c>
      <c r="BW155" s="60">
        <v>46</v>
      </c>
      <c r="BX155" s="60">
        <v>2590</v>
      </c>
      <c r="BY155" s="60">
        <v>6406</v>
      </c>
      <c r="BZ155" s="60">
        <v>2058</v>
      </c>
      <c r="CA155" s="60">
        <v>6292</v>
      </c>
      <c r="CB155" s="60"/>
      <c r="CC155" s="60"/>
      <c r="CD155" s="60">
        <v>1977</v>
      </c>
      <c r="CE155" s="60">
        <v>157</v>
      </c>
      <c r="CF155" s="60">
        <v>316</v>
      </c>
      <c r="CG155" s="60">
        <v>21</v>
      </c>
      <c r="CH155" s="60">
        <v>606</v>
      </c>
      <c r="CI155" s="60">
        <v>36</v>
      </c>
      <c r="CJ155" s="60">
        <v>140</v>
      </c>
      <c r="CK155" s="60">
        <v>258</v>
      </c>
      <c r="CL155" s="60">
        <v>34291</v>
      </c>
      <c r="CM155" s="60">
        <v>2554</v>
      </c>
      <c r="CN155" s="60">
        <v>150</v>
      </c>
      <c r="CO155" s="60">
        <v>794</v>
      </c>
      <c r="CP155" s="60">
        <v>164</v>
      </c>
      <c r="CQ155" s="60">
        <v>214</v>
      </c>
      <c r="CR155" s="60">
        <v>175</v>
      </c>
      <c r="CS155" s="60"/>
      <c r="CT155" s="60">
        <v>41853</v>
      </c>
      <c r="CU155" s="60">
        <v>142</v>
      </c>
      <c r="CV155" s="60">
        <v>24841</v>
      </c>
      <c r="CW155" s="60">
        <v>16870</v>
      </c>
      <c r="CX155" s="60">
        <v>1664</v>
      </c>
      <c r="CY155" s="60">
        <v>2075</v>
      </c>
      <c r="CZ155" s="60"/>
      <c r="DA155" s="60"/>
      <c r="DB155" s="60">
        <v>159</v>
      </c>
      <c r="DC155" s="60">
        <v>457</v>
      </c>
      <c r="DD155" s="60">
        <v>418</v>
      </c>
      <c r="DE155" s="60">
        <v>605</v>
      </c>
      <c r="DF155" s="60">
        <v>712</v>
      </c>
      <c r="DG155" s="60">
        <v>492</v>
      </c>
      <c r="DH155" s="60">
        <v>300</v>
      </c>
      <c r="DI155" s="60">
        <v>198</v>
      </c>
      <c r="DJ155" s="60">
        <v>189</v>
      </c>
      <c r="DK155" s="60">
        <v>209</v>
      </c>
      <c r="DL155" s="60"/>
      <c r="DM155" s="60">
        <v>111</v>
      </c>
      <c r="DN155" s="60">
        <v>186</v>
      </c>
      <c r="DO155" s="60">
        <v>2343</v>
      </c>
      <c r="DP155" s="60">
        <v>276</v>
      </c>
      <c r="DQ155" s="60">
        <v>2</v>
      </c>
      <c r="DR155" s="60">
        <v>820</v>
      </c>
      <c r="DS155" s="60">
        <v>1</v>
      </c>
      <c r="DT155" s="60">
        <v>76</v>
      </c>
      <c r="DU155" s="60">
        <v>69</v>
      </c>
      <c r="DV155" s="60">
        <v>49</v>
      </c>
      <c r="DW155" s="60">
        <v>67</v>
      </c>
      <c r="DX155" s="60">
        <v>163</v>
      </c>
      <c r="DY155" s="60">
        <v>80</v>
      </c>
      <c r="DZ155" s="60"/>
      <c r="EA155" s="60">
        <v>2707</v>
      </c>
      <c r="EB155" s="60">
        <v>136</v>
      </c>
      <c r="EC155" s="60">
        <v>392</v>
      </c>
      <c r="ED155" s="60">
        <v>0</v>
      </c>
      <c r="EE155" s="60">
        <v>0</v>
      </c>
      <c r="EF155" s="60">
        <v>0</v>
      </c>
      <c r="EG155" s="60">
        <v>0</v>
      </c>
      <c r="EH155" s="60">
        <v>0</v>
      </c>
      <c r="EI155" s="60">
        <v>1372</v>
      </c>
      <c r="EJ155" s="60">
        <v>798</v>
      </c>
      <c r="EK155" s="60">
        <v>557</v>
      </c>
      <c r="EL155" s="60">
        <v>391</v>
      </c>
      <c r="EM155" s="60">
        <v>621</v>
      </c>
      <c r="EN155" s="60">
        <v>91</v>
      </c>
      <c r="EO155" s="60">
        <v>45</v>
      </c>
      <c r="EP155" s="60">
        <v>417</v>
      </c>
      <c r="EQ155" s="60">
        <v>4</v>
      </c>
      <c r="ER155" s="60">
        <v>665</v>
      </c>
      <c r="ES155" s="60">
        <v>203</v>
      </c>
      <c r="ET155" s="60">
        <v>207</v>
      </c>
      <c r="EU155" s="60">
        <v>128</v>
      </c>
      <c r="EV155" s="60">
        <v>220</v>
      </c>
      <c r="EW155" s="60">
        <v>37</v>
      </c>
      <c r="EX155" s="60">
        <v>46</v>
      </c>
      <c r="EY155" s="60">
        <v>72</v>
      </c>
      <c r="EZ155" s="60">
        <v>8</v>
      </c>
      <c r="FA155" s="60">
        <v>551</v>
      </c>
      <c r="FB155" s="60">
        <v>486</v>
      </c>
      <c r="FC155" s="60">
        <v>168</v>
      </c>
      <c r="FD155" s="60">
        <v>354</v>
      </c>
      <c r="FE155" s="60"/>
      <c r="FF155" s="60">
        <v>37</v>
      </c>
      <c r="FG155" s="60"/>
      <c r="FH155" s="60">
        <v>112</v>
      </c>
      <c r="FI155" s="60">
        <v>28</v>
      </c>
      <c r="FJ155" s="60">
        <v>95</v>
      </c>
      <c r="FK155" s="60">
        <v>30</v>
      </c>
      <c r="FL155" s="60">
        <v>11</v>
      </c>
      <c r="FM155" s="60">
        <v>44</v>
      </c>
      <c r="FN155" s="60">
        <v>6</v>
      </c>
      <c r="FO155" s="60">
        <v>3256</v>
      </c>
      <c r="FP155" s="60">
        <v>44</v>
      </c>
      <c r="FQ155" s="60">
        <v>1</v>
      </c>
      <c r="FR155" s="60">
        <v>12</v>
      </c>
      <c r="FS155" s="60">
        <v>73</v>
      </c>
      <c r="FT155" s="60">
        <v>11</v>
      </c>
      <c r="FU155" s="60">
        <v>16</v>
      </c>
      <c r="FV155" s="60"/>
      <c r="FW155" s="60"/>
      <c r="FX155" s="60">
        <v>3739</v>
      </c>
      <c r="FY155" s="60">
        <v>64</v>
      </c>
      <c r="FZ155" s="60">
        <v>2311</v>
      </c>
      <c r="GA155" s="60">
        <v>1364</v>
      </c>
      <c r="GB155" s="60">
        <v>2011</v>
      </c>
    </row>
    <row r="156" spans="1:184" x14ac:dyDescent="0.3">
      <c r="A156" s="60">
        <v>106281047</v>
      </c>
      <c r="B156" s="61" t="s">
        <v>653</v>
      </c>
      <c r="C156" s="61" t="s">
        <v>1889</v>
      </c>
      <c r="D156" s="61" t="s">
        <v>655</v>
      </c>
      <c r="E156" s="61" t="s">
        <v>654</v>
      </c>
      <c r="F156" s="60">
        <v>94558</v>
      </c>
      <c r="G156" s="61" t="s">
        <v>186</v>
      </c>
      <c r="H156" s="61" t="s">
        <v>1669</v>
      </c>
      <c r="I156" s="60">
        <v>7</v>
      </c>
      <c r="J156" s="60">
        <v>2</v>
      </c>
      <c r="K156" s="61" t="s">
        <v>1890</v>
      </c>
      <c r="L156" s="61"/>
      <c r="M156" s="61" t="s">
        <v>1891</v>
      </c>
      <c r="N156" s="61" t="s">
        <v>1892</v>
      </c>
      <c r="O156" s="61" t="s">
        <v>1673</v>
      </c>
      <c r="P156" s="61" t="s">
        <v>1678</v>
      </c>
      <c r="Q156" s="61" t="s">
        <v>1674</v>
      </c>
      <c r="R156" s="60">
        <v>191</v>
      </c>
      <c r="S156" s="61" t="s">
        <v>1675</v>
      </c>
      <c r="T156" s="60">
        <v>13087</v>
      </c>
      <c r="U156" s="60">
        <v>11349</v>
      </c>
      <c r="V156" s="60"/>
      <c r="W156" s="60"/>
      <c r="X156" s="60">
        <v>2871</v>
      </c>
      <c r="Y156" s="60">
        <v>2407</v>
      </c>
      <c r="Z156" s="60">
        <v>4014</v>
      </c>
      <c r="AA156" s="60">
        <v>2993</v>
      </c>
      <c r="AB156" s="60">
        <v>3269</v>
      </c>
      <c r="AC156" s="60">
        <v>2867</v>
      </c>
      <c r="AD156" s="60">
        <v>1932</v>
      </c>
      <c r="AE156" s="60">
        <v>1445</v>
      </c>
      <c r="AF156" s="60">
        <v>2035</v>
      </c>
      <c r="AG156" s="60">
        <v>603</v>
      </c>
      <c r="AH156" s="60"/>
      <c r="AI156" s="60">
        <v>348</v>
      </c>
      <c r="AJ156" s="60">
        <v>339</v>
      </c>
      <c r="AK156" s="60">
        <v>6487</v>
      </c>
      <c r="AL156" s="60">
        <v>7</v>
      </c>
      <c r="AM156" s="60">
        <v>48</v>
      </c>
      <c r="AN156" s="60">
        <v>42</v>
      </c>
      <c r="AO156" s="60">
        <v>17165</v>
      </c>
      <c r="AP156" s="60">
        <v>641</v>
      </c>
      <c r="AQ156" s="60">
        <v>142</v>
      </c>
      <c r="AR156" s="60"/>
      <c r="AS156" s="60">
        <v>50</v>
      </c>
      <c r="AT156" s="60">
        <v>9</v>
      </c>
      <c r="AU156" s="60"/>
      <c r="AV156" s="60"/>
      <c r="AW156" s="60"/>
      <c r="AX156" s="60">
        <v>165</v>
      </c>
      <c r="AY156" s="60">
        <v>75</v>
      </c>
      <c r="AZ156" s="60"/>
      <c r="BA156" s="60">
        <v>23218</v>
      </c>
      <c r="BB156" s="60">
        <v>136</v>
      </c>
      <c r="BC156" s="60"/>
      <c r="BD156" s="60"/>
      <c r="BE156" s="60">
        <v>6710</v>
      </c>
      <c r="BF156" s="60">
        <v>5261</v>
      </c>
      <c r="BG156" s="60">
        <v>3318</v>
      </c>
      <c r="BH156" s="60">
        <v>6362</v>
      </c>
      <c r="BI156" s="60">
        <v>2785</v>
      </c>
      <c r="BJ156" s="60">
        <v>647</v>
      </c>
      <c r="BK156" s="60">
        <v>24</v>
      </c>
      <c r="BL156" s="60">
        <v>470</v>
      </c>
      <c r="BM156" s="60">
        <v>2</v>
      </c>
      <c r="BN156" s="60">
        <v>818</v>
      </c>
      <c r="BO156" s="60">
        <v>228</v>
      </c>
      <c r="BP156" s="60">
        <v>962</v>
      </c>
      <c r="BQ156" s="60">
        <v>277</v>
      </c>
      <c r="BR156" s="60">
        <v>6127</v>
      </c>
      <c r="BS156" s="60">
        <v>1249</v>
      </c>
      <c r="BT156" s="60">
        <v>7</v>
      </c>
      <c r="BU156" s="60">
        <v>1904</v>
      </c>
      <c r="BV156" s="60">
        <v>1055</v>
      </c>
      <c r="BW156" s="60">
        <v>12</v>
      </c>
      <c r="BX156" s="60">
        <v>651</v>
      </c>
      <c r="BY156" s="60">
        <v>2072</v>
      </c>
      <c r="BZ156" s="60">
        <v>950</v>
      </c>
      <c r="CA156" s="60">
        <v>6981</v>
      </c>
      <c r="CB156" s="60"/>
      <c r="CC156" s="60"/>
      <c r="CD156" s="60">
        <v>2122</v>
      </c>
      <c r="CE156" s="60">
        <v>100</v>
      </c>
      <c r="CF156" s="60">
        <v>130</v>
      </c>
      <c r="CG156" s="60">
        <v>15</v>
      </c>
      <c r="CH156" s="60">
        <v>239</v>
      </c>
      <c r="CI156" s="60">
        <v>11</v>
      </c>
      <c r="CJ156" s="60">
        <v>129</v>
      </c>
      <c r="CK156" s="60">
        <v>348</v>
      </c>
      <c r="CL156" s="60">
        <v>17379</v>
      </c>
      <c r="CM156" s="60">
        <v>2799</v>
      </c>
      <c r="CN156" s="60">
        <v>189</v>
      </c>
      <c r="CO156" s="60">
        <v>734</v>
      </c>
      <c r="CP156" s="60">
        <v>70</v>
      </c>
      <c r="CQ156" s="60">
        <v>150</v>
      </c>
      <c r="CR156" s="60">
        <v>21</v>
      </c>
      <c r="CS156" s="60"/>
      <c r="CT156" s="60">
        <v>24436</v>
      </c>
      <c r="CU156" s="60">
        <v>105</v>
      </c>
      <c r="CV156" s="60">
        <v>21058</v>
      </c>
      <c r="CW156" s="60">
        <v>3273</v>
      </c>
      <c r="CX156" s="60">
        <v>2134</v>
      </c>
      <c r="CY156" s="60">
        <v>2332</v>
      </c>
      <c r="CZ156" s="60"/>
      <c r="DA156" s="60"/>
      <c r="DB156" s="60">
        <v>67</v>
      </c>
      <c r="DC156" s="60">
        <v>220</v>
      </c>
      <c r="DD156" s="60">
        <v>220</v>
      </c>
      <c r="DE156" s="60">
        <v>357</v>
      </c>
      <c r="DF156" s="60">
        <v>632</v>
      </c>
      <c r="DG156" s="60">
        <v>670</v>
      </c>
      <c r="DH156" s="60">
        <v>783</v>
      </c>
      <c r="DI156" s="60">
        <v>1459</v>
      </c>
      <c r="DJ156" s="60">
        <v>12</v>
      </c>
      <c r="DK156" s="60">
        <v>46</v>
      </c>
      <c r="DL156" s="60"/>
      <c r="DM156" s="60">
        <v>86</v>
      </c>
      <c r="DN156" s="60">
        <v>108</v>
      </c>
      <c r="DO156" s="60">
        <v>614</v>
      </c>
      <c r="DP156" s="60">
        <v>5</v>
      </c>
      <c r="DQ156" s="60">
        <v>5</v>
      </c>
      <c r="DR156" s="60">
        <v>3647</v>
      </c>
      <c r="DS156" s="60">
        <v>1</v>
      </c>
      <c r="DT156" s="60">
        <v>240</v>
      </c>
      <c r="DU156" s="60">
        <v>48</v>
      </c>
      <c r="DV156" s="60">
        <v>167</v>
      </c>
      <c r="DW156" s="60">
        <v>312</v>
      </c>
      <c r="DX156" s="60">
        <v>123</v>
      </c>
      <c r="DY156" s="60">
        <v>45</v>
      </c>
      <c r="DZ156" s="60">
        <v>31</v>
      </c>
      <c r="EA156" s="60">
        <v>2597</v>
      </c>
      <c r="EB156" s="60">
        <v>866</v>
      </c>
      <c r="EC156" s="60">
        <v>37</v>
      </c>
      <c r="ED156" s="60">
        <v>0</v>
      </c>
      <c r="EE156" s="60">
        <v>0</v>
      </c>
      <c r="EF156" s="60">
        <v>0</v>
      </c>
      <c r="EG156" s="60">
        <v>0</v>
      </c>
      <c r="EH156" s="60">
        <v>0</v>
      </c>
      <c r="EI156" s="60">
        <v>472</v>
      </c>
      <c r="EJ156" s="60">
        <v>2837</v>
      </c>
      <c r="EK156" s="60">
        <v>188</v>
      </c>
      <c r="EL156" s="60">
        <v>607</v>
      </c>
      <c r="EM156" s="60">
        <v>362</v>
      </c>
      <c r="EN156" s="60">
        <v>76</v>
      </c>
      <c r="EO156" s="60">
        <v>64</v>
      </c>
      <c r="EP156" s="60">
        <v>1001</v>
      </c>
      <c r="EQ156" s="60">
        <v>5</v>
      </c>
      <c r="ER156" s="60">
        <v>719</v>
      </c>
      <c r="ES156" s="60">
        <v>171</v>
      </c>
      <c r="ET156" s="60">
        <v>209</v>
      </c>
      <c r="EU156" s="60">
        <v>352</v>
      </c>
      <c r="EV156" s="60">
        <v>604</v>
      </c>
      <c r="EW156" s="60">
        <v>90</v>
      </c>
      <c r="EX156" s="60">
        <v>101</v>
      </c>
      <c r="EY156" s="60">
        <v>83</v>
      </c>
      <c r="EZ156" s="60">
        <v>11</v>
      </c>
      <c r="FA156" s="60">
        <v>36</v>
      </c>
      <c r="FB156" s="60">
        <v>600</v>
      </c>
      <c r="FC156" s="60">
        <v>102</v>
      </c>
      <c r="FD156" s="60">
        <v>242</v>
      </c>
      <c r="FE156" s="60"/>
      <c r="FF156" s="60"/>
      <c r="FG156" s="60"/>
      <c r="FH156" s="60">
        <v>323</v>
      </c>
      <c r="FI156" s="60">
        <v>36</v>
      </c>
      <c r="FJ156" s="60">
        <v>339</v>
      </c>
      <c r="FK156" s="60">
        <v>15</v>
      </c>
      <c r="FL156" s="60">
        <v>9</v>
      </c>
      <c r="FM156" s="60">
        <v>292</v>
      </c>
      <c r="FN156" s="60">
        <v>17</v>
      </c>
      <c r="FO156" s="60">
        <v>3237</v>
      </c>
      <c r="FP156" s="60">
        <v>34</v>
      </c>
      <c r="FQ156" s="60">
        <v>15</v>
      </c>
      <c r="FR156" s="60">
        <v>83</v>
      </c>
      <c r="FS156" s="60">
        <v>26</v>
      </c>
      <c r="FT156" s="60">
        <v>30</v>
      </c>
      <c r="FU156" s="60">
        <v>10</v>
      </c>
      <c r="FV156" s="60"/>
      <c r="FW156" s="60"/>
      <c r="FX156" s="60">
        <v>4466</v>
      </c>
      <c r="FY156" s="60">
        <v>31</v>
      </c>
      <c r="FZ156" s="60">
        <v>4023</v>
      </c>
      <c r="GA156" s="60">
        <v>412</v>
      </c>
      <c r="GB156" s="60">
        <v>2011</v>
      </c>
    </row>
    <row r="157" spans="1:184" x14ac:dyDescent="0.3">
      <c r="A157" s="60">
        <v>106281078</v>
      </c>
      <c r="B157" s="61" t="s">
        <v>656</v>
      </c>
      <c r="C157" s="61" t="s">
        <v>657</v>
      </c>
      <c r="D157" s="61" t="s">
        <v>658</v>
      </c>
      <c r="E157" s="61" t="s">
        <v>659</v>
      </c>
      <c r="F157" s="60">
        <v>94574</v>
      </c>
      <c r="G157" s="61"/>
      <c r="H157" s="61" t="s">
        <v>1669</v>
      </c>
      <c r="I157" s="60">
        <v>7</v>
      </c>
      <c r="J157" s="60">
        <v>2</v>
      </c>
      <c r="K157" s="61" t="s">
        <v>1893</v>
      </c>
      <c r="L157" s="61"/>
      <c r="M157" s="61" t="s">
        <v>1891</v>
      </c>
      <c r="N157" s="61" t="s">
        <v>1892</v>
      </c>
      <c r="O157" s="61" t="s">
        <v>1673</v>
      </c>
      <c r="P157" s="61" t="s">
        <v>1678</v>
      </c>
      <c r="Q157" s="61" t="s">
        <v>1674</v>
      </c>
      <c r="R157" s="60">
        <v>114</v>
      </c>
      <c r="S157" s="61" t="s">
        <v>1706</v>
      </c>
      <c r="T157" s="60">
        <v>3187</v>
      </c>
      <c r="U157" s="60">
        <v>2819</v>
      </c>
      <c r="V157" s="60"/>
      <c r="W157" s="60"/>
      <c r="X157" s="60">
        <v>594</v>
      </c>
      <c r="Y157" s="60">
        <v>609</v>
      </c>
      <c r="Z157" s="60">
        <v>989</v>
      </c>
      <c r="AA157" s="60">
        <v>710</v>
      </c>
      <c r="AB157" s="60">
        <v>737</v>
      </c>
      <c r="AC157" s="60">
        <v>728</v>
      </c>
      <c r="AD157" s="60">
        <v>575</v>
      </c>
      <c r="AE157" s="60">
        <v>434</v>
      </c>
      <c r="AF157" s="60">
        <v>509</v>
      </c>
      <c r="AG157" s="60">
        <v>121</v>
      </c>
      <c r="AH157" s="60"/>
      <c r="AI157" s="60">
        <v>104</v>
      </c>
      <c r="AJ157" s="60">
        <v>66</v>
      </c>
      <c r="AK157" s="60">
        <v>1383</v>
      </c>
      <c r="AL157" s="60">
        <v>15</v>
      </c>
      <c r="AM157" s="60">
        <v>50</v>
      </c>
      <c r="AN157" s="60">
        <v>49</v>
      </c>
      <c r="AO157" s="60">
        <v>4339</v>
      </c>
      <c r="AP157" s="60">
        <v>116</v>
      </c>
      <c r="AQ157" s="60">
        <v>34</v>
      </c>
      <c r="AR157" s="60">
        <v>7</v>
      </c>
      <c r="AS157" s="60">
        <v>8</v>
      </c>
      <c r="AT157" s="60">
        <v>20</v>
      </c>
      <c r="AU157" s="60">
        <v>2</v>
      </c>
      <c r="AV157" s="60">
        <v>1</v>
      </c>
      <c r="AW157" s="60">
        <v>1</v>
      </c>
      <c r="AX157" s="60">
        <v>8</v>
      </c>
      <c r="AY157" s="60">
        <v>17</v>
      </c>
      <c r="AZ157" s="60"/>
      <c r="BA157" s="60">
        <v>5775</v>
      </c>
      <c r="BB157" s="60">
        <v>7</v>
      </c>
      <c r="BC157" s="60"/>
      <c r="BD157" s="60">
        <v>10</v>
      </c>
      <c r="BE157" s="60">
        <v>471</v>
      </c>
      <c r="BF157" s="60">
        <v>1077</v>
      </c>
      <c r="BG157" s="60">
        <v>449</v>
      </c>
      <c r="BH157" s="60">
        <v>3400</v>
      </c>
      <c r="BI157" s="60">
        <v>609</v>
      </c>
      <c r="BJ157" s="60">
        <v>75</v>
      </c>
      <c r="BK157" s="60">
        <v>4</v>
      </c>
      <c r="BL157" s="60">
        <v>127</v>
      </c>
      <c r="BM157" s="60">
        <v>2</v>
      </c>
      <c r="BN157" s="60">
        <v>267</v>
      </c>
      <c r="BO157" s="60">
        <v>87</v>
      </c>
      <c r="BP157" s="60">
        <v>294</v>
      </c>
      <c r="BQ157" s="60">
        <v>128</v>
      </c>
      <c r="BR157" s="60">
        <v>1893</v>
      </c>
      <c r="BS157" s="60">
        <v>381</v>
      </c>
      <c r="BT157" s="60">
        <v>6</v>
      </c>
      <c r="BU157" s="60">
        <v>336</v>
      </c>
      <c r="BV157" s="60">
        <v>247</v>
      </c>
      <c r="BW157" s="60">
        <v>3</v>
      </c>
      <c r="BX157" s="60">
        <v>181</v>
      </c>
      <c r="BY157" s="60">
        <v>527</v>
      </c>
      <c r="BZ157" s="60">
        <v>249</v>
      </c>
      <c r="CA157" s="60">
        <v>1199</v>
      </c>
      <c r="CB157" s="60"/>
      <c r="CC157" s="60"/>
      <c r="CD157" s="60">
        <v>541</v>
      </c>
      <c r="CE157" s="60">
        <v>55</v>
      </c>
      <c r="CF157" s="60">
        <v>54</v>
      </c>
      <c r="CG157" s="60">
        <v>4</v>
      </c>
      <c r="CH157" s="60">
        <v>15</v>
      </c>
      <c r="CI157" s="60">
        <v>36</v>
      </c>
      <c r="CJ157" s="60">
        <v>37</v>
      </c>
      <c r="CK157" s="60">
        <v>175</v>
      </c>
      <c r="CL157" s="60">
        <v>3850</v>
      </c>
      <c r="CM157" s="60">
        <v>978</v>
      </c>
      <c r="CN157" s="60">
        <v>69</v>
      </c>
      <c r="CO157" s="60">
        <v>137</v>
      </c>
      <c r="CP157" s="60">
        <v>8</v>
      </c>
      <c r="CQ157" s="60">
        <v>45</v>
      </c>
      <c r="CR157" s="60">
        <v>2</v>
      </c>
      <c r="CS157" s="60"/>
      <c r="CT157" s="60">
        <v>6006</v>
      </c>
      <c r="CU157" s="60">
        <v>28</v>
      </c>
      <c r="CV157" s="60">
        <v>5241</v>
      </c>
      <c r="CW157" s="60">
        <v>737</v>
      </c>
      <c r="CX157" s="60">
        <v>709</v>
      </c>
      <c r="CY157" s="60">
        <v>686</v>
      </c>
      <c r="CZ157" s="60"/>
      <c r="DA157" s="60"/>
      <c r="DB157" s="60">
        <v>18</v>
      </c>
      <c r="DC157" s="60">
        <v>92</v>
      </c>
      <c r="DD157" s="60">
        <v>105</v>
      </c>
      <c r="DE157" s="60">
        <v>177</v>
      </c>
      <c r="DF157" s="60">
        <v>176</v>
      </c>
      <c r="DG157" s="60">
        <v>228</v>
      </c>
      <c r="DH157" s="60">
        <v>222</v>
      </c>
      <c r="DI157" s="60">
        <v>377</v>
      </c>
      <c r="DJ157" s="60"/>
      <c r="DK157" s="60"/>
      <c r="DL157" s="60"/>
      <c r="DM157" s="60">
        <v>28</v>
      </c>
      <c r="DN157" s="60">
        <v>20</v>
      </c>
      <c r="DO157" s="60">
        <v>171</v>
      </c>
      <c r="DP157" s="60">
        <v>8</v>
      </c>
      <c r="DQ157" s="60">
        <v>3</v>
      </c>
      <c r="DR157" s="60">
        <v>1158</v>
      </c>
      <c r="DS157" s="60">
        <v>7</v>
      </c>
      <c r="DT157" s="60">
        <v>36</v>
      </c>
      <c r="DU157" s="60">
        <v>41</v>
      </c>
      <c r="DV157" s="60">
        <v>28</v>
      </c>
      <c r="DW157" s="60">
        <v>117</v>
      </c>
      <c r="DX157" s="60">
        <v>27</v>
      </c>
      <c r="DY157" s="60"/>
      <c r="DZ157" s="60">
        <v>74</v>
      </c>
      <c r="EA157" s="60">
        <v>936</v>
      </c>
      <c r="EB157" s="60">
        <v>136</v>
      </c>
      <c r="EC157" s="60"/>
      <c r="ED157" s="60">
        <v>0</v>
      </c>
      <c r="EE157" s="60">
        <v>0</v>
      </c>
      <c r="EF157" s="60">
        <v>0</v>
      </c>
      <c r="EG157" s="60">
        <v>0</v>
      </c>
      <c r="EH157" s="60">
        <v>0</v>
      </c>
      <c r="EI157" s="60">
        <v>144</v>
      </c>
      <c r="EJ157" s="60">
        <v>738</v>
      </c>
      <c r="EK157" s="60">
        <v>21</v>
      </c>
      <c r="EL157" s="60">
        <v>357</v>
      </c>
      <c r="EM157" s="60">
        <v>135</v>
      </c>
      <c r="EN157" s="60">
        <v>7</v>
      </c>
      <c r="EO157" s="60">
        <v>9</v>
      </c>
      <c r="EP157" s="60">
        <v>237</v>
      </c>
      <c r="EQ157" s="60">
        <v>1</v>
      </c>
      <c r="ER157" s="60">
        <v>177</v>
      </c>
      <c r="ES157" s="60">
        <v>48</v>
      </c>
      <c r="ET157" s="60">
        <v>99</v>
      </c>
      <c r="EU157" s="60">
        <v>84</v>
      </c>
      <c r="EV157" s="60">
        <v>130</v>
      </c>
      <c r="EW157" s="60">
        <v>25</v>
      </c>
      <c r="EX157" s="60">
        <v>32</v>
      </c>
      <c r="EY157" s="60">
        <v>32</v>
      </c>
      <c r="EZ157" s="60">
        <v>2</v>
      </c>
      <c r="FA157" s="60">
        <v>241</v>
      </c>
      <c r="FB157" s="60">
        <v>140</v>
      </c>
      <c r="FC157" s="60">
        <v>30</v>
      </c>
      <c r="FD157" s="60">
        <v>101</v>
      </c>
      <c r="FE157" s="60"/>
      <c r="FF157" s="60"/>
      <c r="FG157" s="60"/>
      <c r="FH157" s="60">
        <v>57</v>
      </c>
      <c r="FI157" s="60">
        <v>7</v>
      </c>
      <c r="FJ157" s="60">
        <v>104</v>
      </c>
      <c r="FK157" s="60">
        <v>2</v>
      </c>
      <c r="FL157" s="60">
        <v>4</v>
      </c>
      <c r="FM157" s="60">
        <v>84</v>
      </c>
      <c r="FN157" s="60">
        <v>8</v>
      </c>
      <c r="FO157" s="60">
        <v>1083</v>
      </c>
      <c r="FP157" s="60">
        <v>18</v>
      </c>
      <c r="FQ157" s="60">
        <v>3</v>
      </c>
      <c r="FR157" s="60">
        <v>7</v>
      </c>
      <c r="FS157" s="60">
        <v>12</v>
      </c>
      <c r="FT157" s="60">
        <v>5</v>
      </c>
      <c r="FU157" s="60">
        <v>1</v>
      </c>
      <c r="FV157" s="60"/>
      <c r="FW157" s="60"/>
      <c r="FX157" s="60">
        <v>1395</v>
      </c>
      <c r="FY157" s="60">
        <v>10</v>
      </c>
      <c r="FZ157" s="60">
        <v>1279</v>
      </c>
      <c r="GA157" s="60">
        <v>106</v>
      </c>
      <c r="GB157" s="60">
        <v>2011</v>
      </c>
    </row>
    <row r="158" spans="1:184" x14ac:dyDescent="0.3">
      <c r="A158" s="60">
        <v>106291023</v>
      </c>
      <c r="B158" s="61" t="s">
        <v>660</v>
      </c>
      <c r="C158" s="61" t="s">
        <v>661</v>
      </c>
      <c r="D158" s="61" t="s">
        <v>662</v>
      </c>
      <c r="E158" s="61" t="s">
        <v>663</v>
      </c>
      <c r="F158" s="60">
        <v>95945</v>
      </c>
      <c r="G158" s="61"/>
      <c r="H158" s="61" t="s">
        <v>1669</v>
      </c>
      <c r="I158" s="60">
        <v>3</v>
      </c>
      <c r="J158" s="60">
        <v>4</v>
      </c>
      <c r="K158" s="61" t="s">
        <v>1894</v>
      </c>
      <c r="L158" s="61"/>
      <c r="M158" s="61" t="s">
        <v>1728</v>
      </c>
      <c r="N158" s="61" t="s">
        <v>1895</v>
      </c>
      <c r="O158" s="61" t="s">
        <v>1673</v>
      </c>
      <c r="P158" s="61" t="s">
        <v>1678</v>
      </c>
      <c r="Q158" s="61" t="s">
        <v>1674</v>
      </c>
      <c r="R158" s="60">
        <v>104</v>
      </c>
      <c r="S158" s="61" t="s">
        <v>1675</v>
      </c>
      <c r="T158" s="60">
        <v>13639</v>
      </c>
      <c r="U158" s="60">
        <v>12053</v>
      </c>
      <c r="V158" s="60"/>
      <c r="W158" s="60"/>
      <c r="X158" s="60">
        <v>2169</v>
      </c>
      <c r="Y158" s="60">
        <v>3059</v>
      </c>
      <c r="Z158" s="60">
        <v>3904</v>
      </c>
      <c r="AA158" s="60">
        <v>2944</v>
      </c>
      <c r="AB158" s="60">
        <v>3140</v>
      </c>
      <c r="AC158" s="60">
        <v>3249</v>
      </c>
      <c r="AD158" s="60">
        <v>2519</v>
      </c>
      <c r="AE158" s="60">
        <v>1846</v>
      </c>
      <c r="AF158" s="60">
        <v>2433</v>
      </c>
      <c r="AG158" s="60">
        <v>429</v>
      </c>
      <c r="AH158" s="60"/>
      <c r="AI158" s="60">
        <v>94</v>
      </c>
      <c r="AJ158" s="60">
        <v>229</v>
      </c>
      <c r="AK158" s="60">
        <v>740</v>
      </c>
      <c r="AL158" s="60">
        <v>66</v>
      </c>
      <c r="AM158" s="60">
        <v>417</v>
      </c>
      <c r="AN158" s="60">
        <v>336</v>
      </c>
      <c r="AO158" s="60">
        <v>23810</v>
      </c>
      <c r="AP158" s="60">
        <v>494</v>
      </c>
      <c r="AQ158" s="60">
        <v>205</v>
      </c>
      <c r="AR158" s="60"/>
      <c r="AS158" s="60">
        <v>32</v>
      </c>
      <c r="AT158" s="60">
        <v>5</v>
      </c>
      <c r="AU158" s="60">
        <v>7</v>
      </c>
      <c r="AV158" s="60">
        <v>123</v>
      </c>
      <c r="AW158" s="60">
        <v>86</v>
      </c>
      <c r="AX158" s="60">
        <v>81</v>
      </c>
      <c r="AY158" s="60">
        <v>128</v>
      </c>
      <c r="AZ158" s="60">
        <v>4</v>
      </c>
      <c r="BA158" s="60">
        <v>24372</v>
      </c>
      <c r="BB158" s="60">
        <v>155</v>
      </c>
      <c r="BC158" s="60"/>
      <c r="BD158" s="60"/>
      <c r="BE158" s="60">
        <v>8649</v>
      </c>
      <c r="BF158" s="60">
        <v>6850</v>
      </c>
      <c r="BG158" s="60">
        <v>2805</v>
      </c>
      <c r="BH158" s="60">
        <v>4311</v>
      </c>
      <c r="BI158" s="60">
        <v>3077</v>
      </c>
      <c r="BJ158" s="60">
        <v>416</v>
      </c>
      <c r="BK158" s="60">
        <v>50</v>
      </c>
      <c r="BL158" s="60">
        <v>884</v>
      </c>
      <c r="BM158" s="60">
        <v>3</v>
      </c>
      <c r="BN158" s="60">
        <v>1289</v>
      </c>
      <c r="BO158" s="60">
        <v>404</v>
      </c>
      <c r="BP158" s="60">
        <v>1293</v>
      </c>
      <c r="BQ158" s="60">
        <v>455</v>
      </c>
      <c r="BR158" s="60">
        <v>6628</v>
      </c>
      <c r="BS158" s="60">
        <v>1591</v>
      </c>
      <c r="BT158" s="60">
        <v>19</v>
      </c>
      <c r="BU158" s="60">
        <v>1774</v>
      </c>
      <c r="BV158" s="60">
        <v>776</v>
      </c>
      <c r="BW158" s="60">
        <v>21</v>
      </c>
      <c r="BX158" s="60">
        <v>1018</v>
      </c>
      <c r="BY158" s="60">
        <v>2421</v>
      </c>
      <c r="BZ158" s="60">
        <v>1511</v>
      </c>
      <c r="CA158" s="60">
        <v>5139</v>
      </c>
      <c r="CB158" s="60"/>
      <c r="CC158" s="60"/>
      <c r="CD158" s="60">
        <v>2376</v>
      </c>
      <c r="CE158" s="60">
        <v>141</v>
      </c>
      <c r="CF158" s="60">
        <v>232</v>
      </c>
      <c r="CG158" s="60">
        <v>28</v>
      </c>
      <c r="CH158" s="60">
        <v>212</v>
      </c>
      <c r="CI158" s="60">
        <v>17</v>
      </c>
      <c r="CJ158" s="60">
        <v>122</v>
      </c>
      <c r="CK158" s="60">
        <v>420</v>
      </c>
      <c r="CL158" s="60">
        <v>17901</v>
      </c>
      <c r="CM158" s="60">
        <v>3155</v>
      </c>
      <c r="CN158" s="60">
        <v>151</v>
      </c>
      <c r="CO158" s="60">
        <v>635</v>
      </c>
      <c r="CP158" s="60">
        <v>77</v>
      </c>
      <c r="CQ158" s="60">
        <v>164</v>
      </c>
      <c r="CR158" s="60">
        <v>61</v>
      </c>
      <c r="CS158" s="60"/>
      <c r="CT158" s="60">
        <v>25692</v>
      </c>
      <c r="CU158" s="60">
        <v>47</v>
      </c>
      <c r="CV158" s="60">
        <v>25526</v>
      </c>
      <c r="CW158" s="60">
        <v>119</v>
      </c>
      <c r="CX158" s="60">
        <v>2109</v>
      </c>
      <c r="CY158" s="60">
        <v>1874</v>
      </c>
      <c r="CZ158" s="60"/>
      <c r="DA158" s="60"/>
      <c r="DB158" s="60">
        <v>68</v>
      </c>
      <c r="DC158" s="60">
        <v>153</v>
      </c>
      <c r="DD158" s="60">
        <v>159</v>
      </c>
      <c r="DE158" s="60">
        <v>287</v>
      </c>
      <c r="DF158" s="60">
        <v>521</v>
      </c>
      <c r="DG158" s="60">
        <v>671</v>
      </c>
      <c r="DH158" s="60">
        <v>710</v>
      </c>
      <c r="DI158" s="60">
        <v>1352</v>
      </c>
      <c r="DJ158" s="60">
        <v>26</v>
      </c>
      <c r="DK158" s="60">
        <v>36</v>
      </c>
      <c r="DL158" s="60"/>
      <c r="DM158" s="60">
        <v>13</v>
      </c>
      <c r="DN158" s="60">
        <v>15</v>
      </c>
      <c r="DO158" s="60">
        <v>69</v>
      </c>
      <c r="DP158" s="60">
        <v>5</v>
      </c>
      <c r="DQ158" s="60">
        <v>22</v>
      </c>
      <c r="DR158" s="60">
        <v>3848</v>
      </c>
      <c r="DS158" s="60">
        <v>11</v>
      </c>
      <c r="DT158" s="60">
        <v>199</v>
      </c>
      <c r="DU158" s="60">
        <v>27</v>
      </c>
      <c r="DV158" s="60">
        <v>123</v>
      </c>
      <c r="DW158" s="60">
        <v>302</v>
      </c>
      <c r="DX158" s="60">
        <v>11</v>
      </c>
      <c r="DY158" s="60">
        <v>31</v>
      </c>
      <c r="DZ158" s="60">
        <v>62</v>
      </c>
      <c r="EA158" s="60">
        <v>2380</v>
      </c>
      <c r="EB158" s="60">
        <v>844</v>
      </c>
      <c r="EC158" s="60">
        <v>4</v>
      </c>
      <c r="ED158" s="60">
        <v>0</v>
      </c>
      <c r="EE158" s="60">
        <v>0</v>
      </c>
      <c r="EF158" s="60">
        <v>0</v>
      </c>
      <c r="EG158" s="60">
        <v>0</v>
      </c>
      <c r="EH158" s="60">
        <v>0</v>
      </c>
      <c r="EI158" s="60">
        <v>427</v>
      </c>
      <c r="EJ158" s="60">
        <v>2552</v>
      </c>
      <c r="EK158" s="60">
        <v>72</v>
      </c>
      <c r="EL158" s="60">
        <v>653</v>
      </c>
      <c r="EM158" s="60">
        <v>279</v>
      </c>
      <c r="EN158" s="60">
        <v>40</v>
      </c>
      <c r="EO158" s="60">
        <v>89</v>
      </c>
      <c r="EP158" s="60">
        <v>827</v>
      </c>
      <c r="EQ158" s="60">
        <v>1</v>
      </c>
      <c r="ER158" s="60">
        <v>633</v>
      </c>
      <c r="ES158" s="60">
        <v>146</v>
      </c>
      <c r="ET158" s="60">
        <v>173</v>
      </c>
      <c r="EU158" s="60">
        <v>409</v>
      </c>
      <c r="EV158" s="60">
        <v>527</v>
      </c>
      <c r="EW158" s="60">
        <v>51</v>
      </c>
      <c r="EX158" s="60">
        <v>62</v>
      </c>
      <c r="EY158" s="60">
        <v>91</v>
      </c>
      <c r="EZ158" s="60">
        <v>5</v>
      </c>
      <c r="FA158" s="60">
        <v>37</v>
      </c>
      <c r="FB158" s="60">
        <v>577</v>
      </c>
      <c r="FC158" s="60">
        <v>80</v>
      </c>
      <c r="FD158" s="60">
        <v>232</v>
      </c>
      <c r="FE158" s="60"/>
      <c r="FF158" s="60">
        <v>3</v>
      </c>
      <c r="FG158" s="60"/>
      <c r="FH158" s="60">
        <v>337</v>
      </c>
      <c r="FI158" s="60">
        <v>83</v>
      </c>
      <c r="FJ158" s="60">
        <v>498</v>
      </c>
      <c r="FK158" s="60">
        <v>2</v>
      </c>
      <c r="FL158" s="60">
        <v>54</v>
      </c>
      <c r="FM158" s="60">
        <v>151</v>
      </c>
      <c r="FN158" s="60">
        <v>27</v>
      </c>
      <c r="FO158" s="60">
        <v>2665</v>
      </c>
      <c r="FP158" s="60">
        <v>69</v>
      </c>
      <c r="FQ158" s="60">
        <v>4</v>
      </c>
      <c r="FR158" s="60">
        <v>25</v>
      </c>
      <c r="FS158" s="60">
        <v>46</v>
      </c>
      <c r="FT158" s="60">
        <v>10</v>
      </c>
      <c r="FU158" s="60">
        <v>11</v>
      </c>
      <c r="FV158" s="60">
        <v>1</v>
      </c>
      <c r="FW158" s="60"/>
      <c r="FX158" s="60">
        <v>3983</v>
      </c>
      <c r="FY158" s="60">
        <v>7</v>
      </c>
      <c r="FZ158" s="60">
        <v>3968</v>
      </c>
      <c r="GA158" s="60">
        <v>8</v>
      </c>
      <c r="GB158" s="60">
        <v>2011</v>
      </c>
    </row>
    <row r="159" spans="1:184" x14ac:dyDescent="0.3">
      <c r="A159" s="60">
        <v>106291053</v>
      </c>
      <c r="B159" s="61" t="s">
        <v>664</v>
      </c>
      <c r="C159" s="61" t="s">
        <v>665</v>
      </c>
      <c r="D159" s="61" t="s">
        <v>1896</v>
      </c>
      <c r="E159" s="61" t="s">
        <v>666</v>
      </c>
      <c r="F159" s="60">
        <v>96160</v>
      </c>
      <c r="G159" s="61"/>
      <c r="H159" s="61" t="s">
        <v>1669</v>
      </c>
      <c r="I159" s="60">
        <v>3</v>
      </c>
      <c r="J159" s="60">
        <v>1</v>
      </c>
      <c r="K159" s="61" t="s">
        <v>1897</v>
      </c>
      <c r="L159" s="61"/>
      <c r="M159" s="61" t="s">
        <v>1728</v>
      </c>
      <c r="N159" s="61" t="s">
        <v>1895</v>
      </c>
      <c r="O159" s="61" t="s">
        <v>1673</v>
      </c>
      <c r="P159" s="61" t="s">
        <v>159</v>
      </c>
      <c r="Q159" s="61" t="s">
        <v>1674</v>
      </c>
      <c r="R159" s="60">
        <v>35</v>
      </c>
      <c r="S159" s="61" t="s">
        <v>1675</v>
      </c>
      <c r="T159" s="60">
        <v>4488</v>
      </c>
      <c r="U159" s="60">
        <v>5397</v>
      </c>
      <c r="V159" s="60"/>
      <c r="W159" s="60"/>
      <c r="X159" s="60">
        <v>1282</v>
      </c>
      <c r="Y159" s="60">
        <v>1355</v>
      </c>
      <c r="Z159" s="60">
        <v>1682</v>
      </c>
      <c r="AA159" s="60">
        <v>1126</v>
      </c>
      <c r="AB159" s="60">
        <v>1158</v>
      </c>
      <c r="AC159" s="60">
        <v>1204</v>
      </c>
      <c r="AD159" s="60">
        <v>963</v>
      </c>
      <c r="AE159" s="60">
        <v>605</v>
      </c>
      <c r="AF159" s="60">
        <v>321</v>
      </c>
      <c r="AG159" s="60">
        <v>189</v>
      </c>
      <c r="AH159" s="60"/>
      <c r="AI159" s="60">
        <v>166</v>
      </c>
      <c r="AJ159" s="60">
        <v>67</v>
      </c>
      <c r="AK159" s="60">
        <v>1178</v>
      </c>
      <c r="AL159" s="60">
        <v>4</v>
      </c>
      <c r="AM159" s="60">
        <v>256</v>
      </c>
      <c r="AN159" s="60">
        <v>8</v>
      </c>
      <c r="AO159" s="60">
        <v>8206</v>
      </c>
      <c r="AP159" s="60">
        <v>289</v>
      </c>
      <c r="AQ159" s="60"/>
      <c r="AR159" s="60">
        <v>1</v>
      </c>
      <c r="AS159" s="60">
        <v>6</v>
      </c>
      <c r="AT159" s="60">
        <v>4</v>
      </c>
      <c r="AU159" s="60"/>
      <c r="AV159" s="60"/>
      <c r="AW159" s="60">
        <v>1</v>
      </c>
      <c r="AX159" s="60"/>
      <c r="AY159" s="60">
        <v>15</v>
      </c>
      <c r="AZ159" s="60"/>
      <c r="BA159" s="60">
        <v>9550</v>
      </c>
      <c r="BB159" s="60">
        <v>8</v>
      </c>
      <c r="BC159" s="60">
        <v>11</v>
      </c>
      <c r="BD159" s="60"/>
      <c r="BE159" s="60">
        <v>1495</v>
      </c>
      <c r="BF159" s="60">
        <v>1464</v>
      </c>
      <c r="BG159" s="60">
        <v>745</v>
      </c>
      <c r="BH159" s="60">
        <v>6174</v>
      </c>
      <c r="BI159" s="60">
        <v>7</v>
      </c>
      <c r="BJ159" s="60">
        <v>122</v>
      </c>
      <c r="BK159" s="60">
        <v>23</v>
      </c>
      <c r="BL159" s="60">
        <v>238</v>
      </c>
      <c r="BM159" s="60">
        <v>2</v>
      </c>
      <c r="BN159" s="60">
        <v>361</v>
      </c>
      <c r="BO159" s="60">
        <v>82</v>
      </c>
      <c r="BP159" s="60">
        <v>390</v>
      </c>
      <c r="BQ159" s="60">
        <v>188</v>
      </c>
      <c r="BR159" s="60">
        <v>4200</v>
      </c>
      <c r="BS159" s="60">
        <v>409</v>
      </c>
      <c r="BT159" s="60">
        <v>17</v>
      </c>
      <c r="BU159" s="60">
        <v>462</v>
      </c>
      <c r="BV159" s="60">
        <v>608</v>
      </c>
      <c r="BW159" s="60">
        <v>4</v>
      </c>
      <c r="BX159" s="60">
        <v>183</v>
      </c>
      <c r="BY159" s="60">
        <v>720</v>
      </c>
      <c r="BZ159" s="60">
        <v>300</v>
      </c>
      <c r="CA159" s="60">
        <v>1576</v>
      </c>
      <c r="CB159" s="60"/>
      <c r="CC159" s="60"/>
      <c r="CD159" s="60">
        <v>2242</v>
      </c>
      <c r="CE159" s="60">
        <v>29</v>
      </c>
      <c r="CF159" s="60">
        <v>63</v>
      </c>
      <c r="CG159" s="60">
        <v>8</v>
      </c>
      <c r="CH159" s="60">
        <v>42</v>
      </c>
      <c r="CI159" s="60">
        <v>11</v>
      </c>
      <c r="CJ159" s="60">
        <v>42</v>
      </c>
      <c r="CK159" s="60">
        <v>120</v>
      </c>
      <c r="CL159" s="60">
        <v>5440</v>
      </c>
      <c r="CM159" s="60">
        <v>1334</v>
      </c>
      <c r="CN159" s="60">
        <v>208</v>
      </c>
      <c r="CO159" s="60">
        <v>266</v>
      </c>
      <c r="CP159" s="60">
        <v>8</v>
      </c>
      <c r="CQ159" s="60">
        <v>66</v>
      </c>
      <c r="CR159" s="60">
        <v>6</v>
      </c>
      <c r="CS159" s="60"/>
      <c r="CT159" s="60">
        <v>9885</v>
      </c>
      <c r="CU159" s="60">
        <v>22</v>
      </c>
      <c r="CV159" s="60">
        <v>9151</v>
      </c>
      <c r="CW159" s="60">
        <v>712</v>
      </c>
      <c r="CX159" s="60">
        <v>491</v>
      </c>
      <c r="CY159" s="60">
        <v>482</v>
      </c>
      <c r="CZ159" s="60"/>
      <c r="DA159" s="60"/>
      <c r="DB159" s="60">
        <v>45</v>
      </c>
      <c r="DC159" s="60">
        <v>121</v>
      </c>
      <c r="DD159" s="60">
        <v>96</v>
      </c>
      <c r="DE159" s="60">
        <v>128</v>
      </c>
      <c r="DF159" s="60">
        <v>179</v>
      </c>
      <c r="DG159" s="60">
        <v>150</v>
      </c>
      <c r="DH159" s="60">
        <v>121</v>
      </c>
      <c r="DI159" s="60">
        <v>106</v>
      </c>
      <c r="DJ159" s="60">
        <v>11</v>
      </c>
      <c r="DK159" s="60">
        <v>16</v>
      </c>
      <c r="DL159" s="60"/>
      <c r="DM159" s="60">
        <v>13</v>
      </c>
      <c r="DN159" s="60">
        <v>7</v>
      </c>
      <c r="DO159" s="60">
        <v>109</v>
      </c>
      <c r="DP159" s="60">
        <v>17</v>
      </c>
      <c r="DQ159" s="60"/>
      <c r="DR159" s="60">
        <v>827</v>
      </c>
      <c r="DS159" s="60"/>
      <c r="DT159" s="60">
        <v>42</v>
      </c>
      <c r="DU159" s="60">
        <v>6</v>
      </c>
      <c r="DV159" s="60">
        <v>9</v>
      </c>
      <c r="DW159" s="60">
        <v>48</v>
      </c>
      <c r="DX159" s="60">
        <v>6</v>
      </c>
      <c r="DY159" s="60">
        <v>5</v>
      </c>
      <c r="DZ159" s="60">
        <v>10</v>
      </c>
      <c r="EA159" s="60">
        <v>797</v>
      </c>
      <c r="EB159" s="60">
        <v>50</v>
      </c>
      <c r="EC159" s="60"/>
      <c r="ED159" s="60">
        <v>0</v>
      </c>
      <c r="EE159" s="60">
        <v>0</v>
      </c>
      <c r="EF159" s="60">
        <v>0</v>
      </c>
      <c r="EG159" s="60">
        <v>0</v>
      </c>
      <c r="EH159" s="60">
        <v>0</v>
      </c>
      <c r="EI159" s="60">
        <v>138</v>
      </c>
      <c r="EJ159" s="60">
        <v>331</v>
      </c>
      <c r="EK159" s="60">
        <v>5</v>
      </c>
      <c r="EL159" s="60">
        <v>410</v>
      </c>
      <c r="EM159" s="60">
        <v>89</v>
      </c>
      <c r="EN159" s="60">
        <v>28</v>
      </c>
      <c r="EO159" s="60">
        <v>5</v>
      </c>
      <c r="EP159" s="60">
        <v>104</v>
      </c>
      <c r="EQ159" s="60">
        <v>2</v>
      </c>
      <c r="ER159" s="60">
        <v>226</v>
      </c>
      <c r="ES159" s="60">
        <v>28</v>
      </c>
      <c r="ET159" s="60">
        <v>30</v>
      </c>
      <c r="EU159" s="60">
        <v>29</v>
      </c>
      <c r="EV159" s="60">
        <v>302</v>
      </c>
      <c r="EW159" s="60">
        <v>23</v>
      </c>
      <c r="EX159" s="60">
        <v>17</v>
      </c>
      <c r="EY159" s="60">
        <v>29</v>
      </c>
      <c r="EZ159" s="60">
        <v>1</v>
      </c>
      <c r="FA159" s="60">
        <v>14</v>
      </c>
      <c r="FB159" s="60">
        <v>95</v>
      </c>
      <c r="FC159" s="60">
        <v>9</v>
      </c>
      <c r="FD159" s="60">
        <v>31</v>
      </c>
      <c r="FE159" s="60"/>
      <c r="FF159" s="60"/>
      <c r="FG159" s="60"/>
      <c r="FH159" s="60">
        <v>211</v>
      </c>
      <c r="FI159" s="60">
        <v>4</v>
      </c>
      <c r="FJ159" s="60">
        <v>62</v>
      </c>
      <c r="FK159" s="60">
        <v>4</v>
      </c>
      <c r="FL159" s="60">
        <v>6</v>
      </c>
      <c r="FM159" s="60">
        <v>50</v>
      </c>
      <c r="FN159" s="60">
        <v>3</v>
      </c>
      <c r="FO159" s="60">
        <v>552</v>
      </c>
      <c r="FP159" s="60">
        <v>40</v>
      </c>
      <c r="FQ159" s="60">
        <v>8</v>
      </c>
      <c r="FR159" s="60">
        <v>18</v>
      </c>
      <c r="FS159" s="60">
        <v>9</v>
      </c>
      <c r="FT159" s="60">
        <v>4</v>
      </c>
      <c r="FU159" s="60">
        <v>2</v>
      </c>
      <c r="FV159" s="60"/>
      <c r="FW159" s="60"/>
      <c r="FX159" s="60">
        <v>973</v>
      </c>
      <c r="FY159" s="60"/>
      <c r="FZ159" s="60">
        <v>896</v>
      </c>
      <c r="GA159" s="60">
        <v>77</v>
      </c>
      <c r="GB159" s="60">
        <v>2011</v>
      </c>
    </row>
    <row r="160" spans="1:184" x14ac:dyDescent="0.3">
      <c r="A160" s="60">
        <v>106300032</v>
      </c>
      <c r="B160" s="61" t="s">
        <v>667</v>
      </c>
      <c r="C160" s="61" t="s">
        <v>1898</v>
      </c>
      <c r="D160" s="61" t="s">
        <v>1899</v>
      </c>
      <c r="E160" s="61" t="s">
        <v>668</v>
      </c>
      <c r="F160" s="60">
        <v>92668</v>
      </c>
      <c r="G160" s="61"/>
      <c r="H160" s="61" t="s">
        <v>1669</v>
      </c>
      <c r="I160" s="60">
        <v>72</v>
      </c>
      <c r="J160" s="60">
        <v>33</v>
      </c>
      <c r="K160" s="61" t="s">
        <v>1900</v>
      </c>
      <c r="L160" s="61"/>
      <c r="M160" s="61" t="s">
        <v>1901</v>
      </c>
      <c r="N160" s="61" t="s">
        <v>1902</v>
      </c>
      <c r="O160" s="61" t="s">
        <v>1673</v>
      </c>
      <c r="P160" s="61" t="s">
        <v>1678</v>
      </c>
      <c r="Q160" s="61" t="s">
        <v>1674</v>
      </c>
      <c r="R160" s="60">
        <v>238</v>
      </c>
      <c r="S160" s="61" t="s">
        <v>1675</v>
      </c>
      <c r="T160" s="60">
        <v>20836</v>
      </c>
      <c r="U160" s="60">
        <v>25181</v>
      </c>
      <c r="V160" s="60">
        <v>4</v>
      </c>
      <c r="W160" s="60"/>
      <c r="X160" s="60">
        <v>28646</v>
      </c>
      <c r="Y160" s="60">
        <v>9299</v>
      </c>
      <c r="Z160" s="60">
        <v>29</v>
      </c>
      <c r="AA160" s="60"/>
      <c r="AB160" s="60"/>
      <c r="AC160" s="60"/>
      <c r="AD160" s="60"/>
      <c r="AE160" s="60"/>
      <c r="AF160" s="60"/>
      <c r="AG160" s="60">
        <v>8047</v>
      </c>
      <c r="AH160" s="60"/>
      <c r="AI160" s="60">
        <v>1856</v>
      </c>
      <c r="AJ160" s="60">
        <v>649</v>
      </c>
      <c r="AK160" s="60">
        <v>31858</v>
      </c>
      <c r="AL160" s="60">
        <v>45</v>
      </c>
      <c r="AM160" s="60">
        <v>1805</v>
      </c>
      <c r="AN160" s="60">
        <v>271</v>
      </c>
      <c r="AO160" s="60">
        <v>9537</v>
      </c>
      <c r="AP160" s="60">
        <v>125</v>
      </c>
      <c r="AQ160" s="60">
        <v>14</v>
      </c>
      <c r="AR160" s="60"/>
      <c r="AS160" s="60">
        <v>2</v>
      </c>
      <c r="AT160" s="60"/>
      <c r="AU160" s="60"/>
      <c r="AV160" s="60"/>
      <c r="AW160" s="60">
        <v>11</v>
      </c>
      <c r="AX160" s="60"/>
      <c r="AY160" s="60"/>
      <c r="AZ160" s="60"/>
      <c r="BA160" s="60">
        <v>45869</v>
      </c>
      <c r="BB160" s="60"/>
      <c r="BC160" s="60"/>
      <c r="BD160" s="60"/>
      <c r="BE160" s="60">
        <v>28117</v>
      </c>
      <c r="BF160" s="60">
        <v>4</v>
      </c>
      <c r="BG160" s="60">
        <v>4982</v>
      </c>
      <c r="BH160" s="60">
        <v>10228</v>
      </c>
      <c r="BI160" s="60">
        <v>2690</v>
      </c>
      <c r="BJ160" s="60">
        <v>7</v>
      </c>
      <c r="BK160" s="60">
        <v>236</v>
      </c>
      <c r="BL160" s="60">
        <v>48</v>
      </c>
      <c r="BM160" s="60">
        <v>51</v>
      </c>
      <c r="BN160" s="60">
        <v>2435</v>
      </c>
      <c r="BO160" s="60">
        <v>340</v>
      </c>
      <c r="BP160" s="60">
        <v>1554</v>
      </c>
      <c r="BQ160" s="60">
        <v>2266</v>
      </c>
      <c r="BR160" s="60">
        <v>9994</v>
      </c>
      <c r="BS160" s="60">
        <v>652</v>
      </c>
      <c r="BT160" s="60">
        <v>35</v>
      </c>
      <c r="BU160" s="60">
        <v>3377</v>
      </c>
      <c r="BV160" s="60">
        <v>829</v>
      </c>
      <c r="BW160" s="60">
        <v>460</v>
      </c>
      <c r="BX160" s="60">
        <v>355</v>
      </c>
      <c r="BY160" s="60">
        <v>9805</v>
      </c>
      <c r="BZ160" s="60">
        <v>1876</v>
      </c>
      <c r="CA160" s="60">
        <v>11700</v>
      </c>
      <c r="CB160" s="60"/>
      <c r="CC160" s="60">
        <v>1</v>
      </c>
      <c r="CD160" s="60">
        <v>4448</v>
      </c>
      <c r="CE160" s="60">
        <v>121</v>
      </c>
      <c r="CF160" s="60">
        <v>179</v>
      </c>
      <c r="CG160" s="60">
        <v>6</v>
      </c>
      <c r="CH160" s="60">
        <v>94</v>
      </c>
      <c r="CI160" s="60">
        <v>19</v>
      </c>
      <c r="CJ160" s="60">
        <v>97</v>
      </c>
      <c r="CK160" s="60">
        <v>329</v>
      </c>
      <c r="CL160" s="60">
        <v>36351</v>
      </c>
      <c r="CM160" s="60">
        <v>3533</v>
      </c>
      <c r="CN160" s="60">
        <v>232</v>
      </c>
      <c r="CO160" s="60">
        <v>204</v>
      </c>
      <c r="CP160" s="60">
        <v>48</v>
      </c>
      <c r="CQ160" s="60">
        <v>347</v>
      </c>
      <c r="CR160" s="60">
        <v>13</v>
      </c>
      <c r="CS160" s="60"/>
      <c r="CT160" s="60">
        <v>46021</v>
      </c>
      <c r="CU160" s="60">
        <v>285</v>
      </c>
      <c r="CV160" s="60">
        <v>30139</v>
      </c>
      <c r="CW160" s="60">
        <v>15597</v>
      </c>
      <c r="CX160" s="60">
        <v>2453</v>
      </c>
      <c r="CY160" s="60">
        <v>2930</v>
      </c>
      <c r="CZ160" s="60"/>
      <c r="DA160" s="60"/>
      <c r="DB160" s="60">
        <v>1310</v>
      </c>
      <c r="DC160" s="60">
        <v>26</v>
      </c>
      <c r="DD160" s="60"/>
      <c r="DE160" s="60"/>
      <c r="DF160" s="60"/>
      <c r="DG160" s="60"/>
      <c r="DH160" s="60"/>
      <c r="DI160" s="60"/>
      <c r="DJ160" s="60">
        <v>1587</v>
      </c>
      <c r="DK160" s="60">
        <v>2460</v>
      </c>
      <c r="DL160" s="60"/>
      <c r="DM160" s="60">
        <v>396</v>
      </c>
      <c r="DN160" s="60">
        <v>114</v>
      </c>
      <c r="DO160" s="60">
        <v>3156</v>
      </c>
      <c r="DP160" s="60">
        <v>268</v>
      </c>
      <c r="DQ160" s="60">
        <v>13</v>
      </c>
      <c r="DR160" s="60">
        <v>1433</v>
      </c>
      <c r="DS160" s="60">
        <v>3</v>
      </c>
      <c r="DT160" s="60">
        <v>34</v>
      </c>
      <c r="DU160" s="60">
        <v>4</v>
      </c>
      <c r="DV160" s="60">
        <v>19</v>
      </c>
      <c r="DW160" s="60"/>
      <c r="DX160" s="60"/>
      <c r="DY160" s="60"/>
      <c r="DZ160" s="60">
        <v>2</v>
      </c>
      <c r="EA160" s="60">
        <v>5309</v>
      </c>
      <c r="EB160" s="60">
        <v>15</v>
      </c>
      <c r="EC160" s="60"/>
      <c r="ED160" s="60">
        <v>0</v>
      </c>
      <c r="EE160" s="60">
        <v>0</v>
      </c>
      <c r="EF160" s="60">
        <v>0</v>
      </c>
      <c r="EG160" s="60">
        <v>0</v>
      </c>
      <c r="EH160" s="60">
        <v>0</v>
      </c>
      <c r="EI160" s="60">
        <v>3371</v>
      </c>
      <c r="EJ160" s="60">
        <v>4</v>
      </c>
      <c r="EK160" s="60">
        <v>71</v>
      </c>
      <c r="EL160" s="60">
        <v>1896</v>
      </c>
      <c r="EM160" s="60">
        <v>41</v>
      </c>
      <c r="EN160" s="60"/>
      <c r="EO160" s="60">
        <v>180</v>
      </c>
      <c r="EP160" s="60">
        <v>78</v>
      </c>
      <c r="EQ160" s="60">
        <v>71</v>
      </c>
      <c r="ER160" s="60">
        <v>876</v>
      </c>
      <c r="ES160" s="60">
        <v>258</v>
      </c>
      <c r="ET160" s="60">
        <v>258</v>
      </c>
      <c r="EU160" s="60">
        <v>268</v>
      </c>
      <c r="EV160" s="60">
        <v>291</v>
      </c>
      <c r="EW160" s="60">
        <v>69</v>
      </c>
      <c r="EX160" s="60">
        <v>145</v>
      </c>
      <c r="EY160" s="60">
        <v>303</v>
      </c>
      <c r="EZ160" s="60">
        <v>12</v>
      </c>
      <c r="FA160" s="60">
        <v>22</v>
      </c>
      <c r="FB160" s="60">
        <v>1396</v>
      </c>
      <c r="FC160" s="60">
        <v>186</v>
      </c>
      <c r="FD160" s="60">
        <v>658</v>
      </c>
      <c r="FE160" s="60"/>
      <c r="FF160" s="60">
        <v>312</v>
      </c>
      <c r="FG160" s="60"/>
      <c r="FH160" s="60">
        <v>64</v>
      </c>
      <c r="FI160" s="60">
        <v>22</v>
      </c>
      <c r="FJ160" s="60">
        <v>89</v>
      </c>
      <c r="FK160" s="60">
        <v>3</v>
      </c>
      <c r="FL160" s="60">
        <v>10</v>
      </c>
      <c r="FM160" s="60">
        <v>249</v>
      </c>
      <c r="FN160" s="60">
        <v>12</v>
      </c>
      <c r="FO160" s="60">
        <v>4841</v>
      </c>
      <c r="FP160" s="60">
        <v>42</v>
      </c>
      <c r="FQ160" s="60">
        <v>4</v>
      </c>
      <c r="FR160" s="60">
        <v>4</v>
      </c>
      <c r="FS160" s="60">
        <v>12</v>
      </c>
      <c r="FT160" s="60">
        <v>19</v>
      </c>
      <c r="FU160" s="60">
        <v>11</v>
      </c>
      <c r="FV160" s="60">
        <v>1</v>
      </c>
      <c r="FW160" s="60"/>
      <c r="FX160" s="60">
        <v>5383</v>
      </c>
      <c r="FY160" s="60">
        <v>75</v>
      </c>
      <c r="FZ160" s="60">
        <v>3764</v>
      </c>
      <c r="GA160" s="60">
        <v>1544</v>
      </c>
      <c r="GB160" s="60">
        <v>2011</v>
      </c>
    </row>
    <row r="161" spans="1:184" x14ac:dyDescent="0.3">
      <c r="A161" s="60">
        <v>106300225</v>
      </c>
      <c r="B161" s="61" t="s">
        <v>669</v>
      </c>
      <c r="C161" s="61" t="s">
        <v>670</v>
      </c>
      <c r="D161" s="61" t="s">
        <v>671</v>
      </c>
      <c r="E161" s="61" t="s">
        <v>672</v>
      </c>
      <c r="F161" s="60">
        <v>92708</v>
      </c>
      <c r="G161" s="61"/>
      <c r="H161" s="61" t="s">
        <v>1669</v>
      </c>
      <c r="I161" s="60">
        <v>68</v>
      </c>
      <c r="J161" s="60">
        <v>35</v>
      </c>
      <c r="K161" s="61" t="s">
        <v>1903</v>
      </c>
      <c r="L161" s="61"/>
      <c r="M161" s="61" t="s">
        <v>1901</v>
      </c>
      <c r="N161" s="61" t="s">
        <v>1902</v>
      </c>
      <c r="O161" s="61" t="s">
        <v>1673</v>
      </c>
      <c r="P161" s="61" t="s">
        <v>1678</v>
      </c>
      <c r="Q161" s="61" t="s">
        <v>1674</v>
      </c>
      <c r="R161" s="60">
        <v>218</v>
      </c>
      <c r="S161" s="61" t="s">
        <v>1675</v>
      </c>
      <c r="T161" s="60">
        <v>11564</v>
      </c>
      <c r="U161" s="60">
        <v>8115</v>
      </c>
      <c r="V161" s="60"/>
      <c r="W161" s="60"/>
      <c r="X161" s="60">
        <v>1727</v>
      </c>
      <c r="Y161" s="60">
        <v>1835</v>
      </c>
      <c r="Z161" s="60">
        <v>2739</v>
      </c>
      <c r="AA161" s="60">
        <v>2531</v>
      </c>
      <c r="AB161" s="60">
        <v>2662</v>
      </c>
      <c r="AC161" s="60">
        <v>2256</v>
      </c>
      <c r="AD161" s="60">
        <v>1639</v>
      </c>
      <c r="AE161" s="60">
        <v>1807</v>
      </c>
      <c r="AF161" s="60">
        <v>2146</v>
      </c>
      <c r="AG161" s="60">
        <v>337</v>
      </c>
      <c r="AH161" s="60"/>
      <c r="AI161" s="60">
        <v>2192</v>
      </c>
      <c r="AJ161" s="60">
        <v>399</v>
      </c>
      <c r="AK161" s="60">
        <v>4151</v>
      </c>
      <c r="AL161" s="60">
        <v>2</v>
      </c>
      <c r="AM161" s="60">
        <v>567</v>
      </c>
      <c r="AN161" s="60">
        <v>294</v>
      </c>
      <c r="AO161" s="60">
        <v>12074</v>
      </c>
      <c r="AP161" s="60">
        <v>450</v>
      </c>
      <c r="AQ161" s="60"/>
      <c r="AR161" s="60">
        <v>13</v>
      </c>
      <c r="AS161" s="60">
        <v>30</v>
      </c>
      <c r="AT161" s="60">
        <v>58</v>
      </c>
      <c r="AU161" s="60">
        <v>3</v>
      </c>
      <c r="AV161" s="60">
        <v>4</v>
      </c>
      <c r="AW161" s="60"/>
      <c r="AX161" s="60"/>
      <c r="AY161" s="60">
        <v>87</v>
      </c>
      <c r="AZ161" s="60"/>
      <c r="BA161" s="60">
        <v>18795</v>
      </c>
      <c r="BB161" s="60">
        <v>238</v>
      </c>
      <c r="BC161" s="60"/>
      <c r="BD161" s="60">
        <v>1</v>
      </c>
      <c r="BE161" s="60">
        <v>3464</v>
      </c>
      <c r="BF161" s="60">
        <v>5157</v>
      </c>
      <c r="BG161" s="60">
        <v>998</v>
      </c>
      <c r="BH161" s="60">
        <v>8131</v>
      </c>
      <c r="BI161" s="60">
        <v>1929</v>
      </c>
      <c r="BJ161" s="60">
        <v>601</v>
      </c>
      <c r="BK161" s="60">
        <v>90</v>
      </c>
      <c r="BL161" s="60">
        <v>631</v>
      </c>
      <c r="BM161" s="60">
        <v>1</v>
      </c>
      <c r="BN161" s="60">
        <v>1137</v>
      </c>
      <c r="BO161" s="60">
        <v>305</v>
      </c>
      <c r="BP161" s="60">
        <v>1376</v>
      </c>
      <c r="BQ161" s="60">
        <v>313</v>
      </c>
      <c r="BR161" s="60">
        <v>4600</v>
      </c>
      <c r="BS161" s="60">
        <v>1239</v>
      </c>
      <c r="BT161" s="60">
        <v>42</v>
      </c>
      <c r="BU161" s="60">
        <v>1361</v>
      </c>
      <c r="BV161" s="60">
        <v>459</v>
      </c>
      <c r="BW161" s="60">
        <v>25</v>
      </c>
      <c r="BX161" s="60">
        <v>717</v>
      </c>
      <c r="BY161" s="60">
        <v>1548</v>
      </c>
      <c r="BZ161" s="60">
        <v>661</v>
      </c>
      <c r="CA161" s="60">
        <v>4573</v>
      </c>
      <c r="CB161" s="60"/>
      <c r="CC161" s="60"/>
      <c r="CD161" s="60">
        <v>1701</v>
      </c>
      <c r="CE161" s="60">
        <v>81</v>
      </c>
      <c r="CF161" s="60">
        <v>244</v>
      </c>
      <c r="CG161" s="60">
        <v>2</v>
      </c>
      <c r="CH161" s="60">
        <v>90</v>
      </c>
      <c r="CI161" s="60">
        <v>15</v>
      </c>
      <c r="CJ161" s="60">
        <v>214</v>
      </c>
      <c r="CK161" s="60">
        <v>159</v>
      </c>
      <c r="CL161" s="60">
        <v>14417</v>
      </c>
      <c r="CM161" s="60">
        <v>2069</v>
      </c>
      <c r="CN161" s="60">
        <v>96</v>
      </c>
      <c r="CO161" s="60">
        <v>428</v>
      </c>
      <c r="CP161" s="60">
        <v>41</v>
      </c>
      <c r="CQ161" s="60">
        <v>110</v>
      </c>
      <c r="CR161" s="60">
        <v>12</v>
      </c>
      <c r="CS161" s="60"/>
      <c r="CT161" s="60">
        <v>19679</v>
      </c>
      <c r="CU161" s="60">
        <v>465</v>
      </c>
      <c r="CV161" s="60">
        <v>18641</v>
      </c>
      <c r="CW161" s="60">
        <v>573</v>
      </c>
      <c r="CX161" s="60">
        <v>3974</v>
      </c>
      <c r="CY161" s="60">
        <v>3135</v>
      </c>
      <c r="CZ161" s="60"/>
      <c r="DA161" s="60"/>
      <c r="DB161" s="60">
        <v>46</v>
      </c>
      <c r="DC161" s="60">
        <v>292</v>
      </c>
      <c r="DD161" s="60">
        <v>436</v>
      </c>
      <c r="DE161" s="60">
        <v>860</v>
      </c>
      <c r="DF161" s="60">
        <v>1071</v>
      </c>
      <c r="DG161" s="60">
        <v>1132</v>
      </c>
      <c r="DH161" s="60">
        <v>1351</v>
      </c>
      <c r="DI161" s="60">
        <v>1917</v>
      </c>
      <c r="DJ161" s="60">
        <v>4</v>
      </c>
      <c r="DK161" s="60"/>
      <c r="DL161" s="60"/>
      <c r="DM161" s="60">
        <v>1143</v>
      </c>
      <c r="DN161" s="60">
        <v>119</v>
      </c>
      <c r="DO161" s="60">
        <v>1227</v>
      </c>
      <c r="DP161" s="60">
        <v>124</v>
      </c>
      <c r="DQ161" s="60">
        <v>16</v>
      </c>
      <c r="DR161" s="60">
        <v>4477</v>
      </c>
      <c r="DS161" s="60">
        <v>3</v>
      </c>
      <c r="DT161" s="60">
        <v>113</v>
      </c>
      <c r="DU161" s="60"/>
      <c r="DV161" s="60">
        <v>171</v>
      </c>
      <c r="DW161" s="60">
        <v>834</v>
      </c>
      <c r="DX161" s="60">
        <v>81</v>
      </c>
      <c r="DY161" s="60">
        <v>1</v>
      </c>
      <c r="DZ161" s="60">
        <v>56</v>
      </c>
      <c r="EA161" s="60">
        <v>4763</v>
      </c>
      <c r="EB161" s="60">
        <v>1090</v>
      </c>
      <c r="EC161" s="60"/>
      <c r="ED161" s="60">
        <v>0</v>
      </c>
      <c r="EE161" s="60">
        <v>0</v>
      </c>
      <c r="EF161" s="60">
        <v>0</v>
      </c>
      <c r="EG161" s="60">
        <v>0</v>
      </c>
      <c r="EH161" s="60">
        <v>0</v>
      </c>
      <c r="EI161" s="60">
        <v>582</v>
      </c>
      <c r="EJ161" s="60">
        <v>4074</v>
      </c>
      <c r="EK161" s="60">
        <v>48</v>
      </c>
      <c r="EL161" s="60">
        <v>1944</v>
      </c>
      <c r="EM161" s="60">
        <v>461</v>
      </c>
      <c r="EN161" s="60">
        <v>54</v>
      </c>
      <c r="EO161" s="60">
        <v>142</v>
      </c>
      <c r="EP161" s="60">
        <v>1293</v>
      </c>
      <c r="EQ161" s="60">
        <v>3</v>
      </c>
      <c r="ER161" s="60">
        <v>1387</v>
      </c>
      <c r="ES161" s="60">
        <v>267</v>
      </c>
      <c r="ET161" s="60">
        <v>555</v>
      </c>
      <c r="EU161" s="60">
        <v>388</v>
      </c>
      <c r="EV161" s="60">
        <v>675</v>
      </c>
      <c r="EW161" s="60">
        <v>146</v>
      </c>
      <c r="EX161" s="60">
        <v>290</v>
      </c>
      <c r="EY161" s="60">
        <v>152</v>
      </c>
      <c r="EZ161" s="60">
        <v>5</v>
      </c>
      <c r="FA161" s="60">
        <v>87</v>
      </c>
      <c r="FB161" s="60">
        <v>672</v>
      </c>
      <c r="FC161" s="60">
        <v>143</v>
      </c>
      <c r="FD161" s="60">
        <v>848</v>
      </c>
      <c r="FE161" s="60"/>
      <c r="FF161" s="60">
        <v>2</v>
      </c>
      <c r="FG161" s="60"/>
      <c r="FH161" s="60">
        <v>426</v>
      </c>
      <c r="FI161" s="60">
        <v>37</v>
      </c>
      <c r="FJ161" s="60">
        <v>482</v>
      </c>
      <c r="FK161" s="60">
        <v>4</v>
      </c>
      <c r="FL161" s="60">
        <v>17</v>
      </c>
      <c r="FM161" s="60">
        <v>323</v>
      </c>
      <c r="FN161" s="60">
        <v>5</v>
      </c>
      <c r="FO161" s="60">
        <v>5643</v>
      </c>
      <c r="FP161" s="60">
        <v>98</v>
      </c>
      <c r="FQ161" s="60">
        <v>12</v>
      </c>
      <c r="FR161" s="60">
        <v>12</v>
      </c>
      <c r="FS161" s="60">
        <v>26</v>
      </c>
      <c r="FT161" s="60">
        <v>13</v>
      </c>
      <c r="FU161" s="60">
        <v>10</v>
      </c>
      <c r="FV161" s="60">
        <v>1</v>
      </c>
      <c r="FW161" s="60"/>
      <c r="FX161" s="60">
        <v>7109</v>
      </c>
      <c r="FY161" s="60">
        <v>578</v>
      </c>
      <c r="FZ161" s="60">
        <v>6171</v>
      </c>
      <c r="GA161" s="60">
        <v>360</v>
      </c>
      <c r="GB161" s="60">
        <v>2011</v>
      </c>
    </row>
    <row r="162" spans="1:184" x14ac:dyDescent="0.3">
      <c r="A162" s="60">
        <v>106301097</v>
      </c>
      <c r="B162" s="61" t="s">
        <v>1635</v>
      </c>
      <c r="C162" s="61" t="s">
        <v>1904</v>
      </c>
      <c r="D162" s="61" t="s">
        <v>1636</v>
      </c>
      <c r="E162" s="61" t="s">
        <v>673</v>
      </c>
      <c r="F162" s="60">
        <v>92804</v>
      </c>
      <c r="G162" s="61"/>
      <c r="H162" s="61" t="s">
        <v>1669</v>
      </c>
      <c r="I162" s="60">
        <v>67</v>
      </c>
      <c r="J162" s="60">
        <v>34</v>
      </c>
      <c r="K162" s="61" t="s">
        <v>1905</v>
      </c>
      <c r="L162" s="61"/>
      <c r="M162" s="61" t="s">
        <v>1901</v>
      </c>
      <c r="N162" s="61" t="s">
        <v>1902</v>
      </c>
      <c r="O162" s="61" t="s">
        <v>1673</v>
      </c>
      <c r="P162" s="61" t="s">
        <v>341</v>
      </c>
      <c r="Q162" s="61" t="s">
        <v>1674</v>
      </c>
      <c r="R162" s="60">
        <v>101</v>
      </c>
      <c r="S162" s="61" t="s">
        <v>1675</v>
      </c>
      <c r="T162" s="60">
        <v>3557</v>
      </c>
      <c r="U162" s="60">
        <v>2748</v>
      </c>
      <c r="V162" s="60"/>
      <c r="W162" s="60"/>
      <c r="X162" s="60">
        <v>1225</v>
      </c>
      <c r="Y162" s="60">
        <v>932</v>
      </c>
      <c r="Z162" s="60">
        <v>1003</v>
      </c>
      <c r="AA162" s="60">
        <v>939</v>
      </c>
      <c r="AB162" s="60">
        <v>937</v>
      </c>
      <c r="AC162" s="60">
        <v>646</v>
      </c>
      <c r="AD162" s="60">
        <v>239</v>
      </c>
      <c r="AE162" s="60">
        <v>116</v>
      </c>
      <c r="AF162" s="60">
        <v>89</v>
      </c>
      <c r="AG162" s="60">
        <v>179</v>
      </c>
      <c r="AH162" s="60"/>
      <c r="AI162" s="60">
        <v>518</v>
      </c>
      <c r="AJ162" s="60">
        <v>384</v>
      </c>
      <c r="AK162" s="60">
        <v>3028</v>
      </c>
      <c r="AL162" s="60">
        <v>37</v>
      </c>
      <c r="AM162" s="60">
        <v>26</v>
      </c>
      <c r="AN162" s="60">
        <v>2</v>
      </c>
      <c r="AO162" s="60">
        <v>2310</v>
      </c>
      <c r="AP162" s="60">
        <v>84</v>
      </c>
      <c r="AQ162" s="60">
        <v>176</v>
      </c>
      <c r="AR162" s="60"/>
      <c r="AS162" s="60">
        <v>1</v>
      </c>
      <c r="AT162" s="60">
        <v>62</v>
      </c>
      <c r="AU162" s="60">
        <v>4</v>
      </c>
      <c r="AV162" s="60"/>
      <c r="AW162" s="60">
        <v>7</v>
      </c>
      <c r="AX162" s="60"/>
      <c r="AY162" s="60"/>
      <c r="AZ162" s="60"/>
      <c r="BA162" s="60">
        <v>5971</v>
      </c>
      <c r="BB162" s="60"/>
      <c r="BC162" s="60"/>
      <c r="BD162" s="60"/>
      <c r="BE162" s="60">
        <v>656</v>
      </c>
      <c r="BF162" s="60">
        <v>1620</v>
      </c>
      <c r="BG162" s="60"/>
      <c r="BH162" s="60"/>
      <c r="BI162" s="60">
        <v>4029</v>
      </c>
      <c r="BJ162" s="60">
        <v>140</v>
      </c>
      <c r="BK162" s="60">
        <v>10</v>
      </c>
      <c r="BL162" s="60">
        <v>58</v>
      </c>
      <c r="BM162" s="60"/>
      <c r="BN162" s="60">
        <v>433</v>
      </c>
      <c r="BO162" s="60">
        <v>92</v>
      </c>
      <c r="BP162" s="60">
        <v>519</v>
      </c>
      <c r="BQ162" s="60">
        <v>443</v>
      </c>
      <c r="BR162" s="60">
        <v>1284</v>
      </c>
      <c r="BS162" s="60">
        <v>357</v>
      </c>
      <c r="BT162" s="60">
        <v>9</v>
      </c>
      <c r="BU162" s="60">
        <v>502</v>
      </c>
      <c r="BV162" s="60">
        <v>116</v>
      </c>
      <c r="BW162" s="60"/>
      <c r="BX162" s="60">
        <v>160</v>
      </c>
      <c r="BY162" s="60">
        <v>1090</v>
      </c>
      <c r="BZ162" s="60">
        <v>398</v>
      </c>
      <c r="CA162" s="60">
        <v>694</v>
      </c>
      <c r="CB162" s="60"/>
      <c r="CC162" s="60"/>
      <c r="CD162" s="60">
        <v>393</v>
      </c>
      <c r="CE162" s="60">
        <v>2</v>
      </c>
      <c r="CF162" s="60">
        <v>9</v>
      </c>
      <c r="CG162" s="60">
        <v>2</v>
      </c>
      <c r="CH162" s="60">
        <v>64</v>
      </c>
      <c r="CI162" s="60"/>
      <c r="CJ162" s="60"/>
      <c r="CK162" s="60">
        <v>53</v>
      </c>
      <c r="CL162" s="60">
        <v>5022</v>
      </c>
      <c r="CM162" s="60">
        <v>657</v>
      </c>
      <c r="CN162" s="60">
        <v>5</v>
      </c>
      <c r="CO162" s="60">
        <v>57</v>
      </c>
      <c r="CP162" s="60">
        <v>7</v>
      </c>
      <c r="CQ162" s="60">
        <v>34</v>
      </c>
      <c r="CR162" s="60"/>
      <c r="CS162" s="60"/>
      <c r="CT162" s="60">
        <v>6305</v>
      </c>
      <c r="CU162" s="60">
        <v>4</v>
      </c>
      <c r="CV162" s="60">
        <v>5155</v>
      </c>
      <c r="CW162" s="60">
        <v>1146</v>
      </c>
      <c r="CX162" s="60">
        <v>413</v>
      </c>
      <c r="CY162" s="60">
        <v>384</v>
      </c>
      <c r="CZ162" s="60"/>
      <c r="DA162" s="60"/>
      <c r="DB162" s="60">
        <v>10</v>
      </c>
      <c r="DC162" s="60">
        <v>56</v>
      </c>
      <c r="DD162" s="60">
        <v>77</v>
      </c>
      <c r="DE162" s="60">
        <v>114</v>
      </c>
      <c r="DF162" s="60">
        <v>173</v>
      </c>
      <c r="DG162" s="60">
        <v>144</v>
      </c>
      <c r="DH162" s="60">
        <v>105</v>
      </c>
      <c r="DI162" s="60">
        <v>118</v>
      </c>
      <c r="DJ162" s="60"/>
      <c r="DK162" s="60"/>
      <c r="DL162" s="60"/>
      <c r="DM162" s="60">
        <v>143</v>
      </c>
      <c r="DN162" s="60">
        <v>45</v>
      </c>
      <c r="DO162" s="60">
        <v>224</v>
      </c>
      <c r="DP162" s="60"/>
      <c r="DQ162" s="60"/>
      <c r="DR162" s="60">
        <v>379</v>
      </c>
      <c r="DS162" s="60">
        <v>6</v>
      </c>
      <c r="DT162" s="60">
        <v>33</v>
      </c>
      <c r="DU162" s="60">
        <v>29</v>
      </c>
      <c r="DV162" s="60">
        <v>15</v>
      </c>
      <c r="DW162" s="60">
        <v>16</v>
      </c>
      <c r="DX162" s="60">
        <v>70</v>
      </c>
      <c r="DY162" s="60"/>
      <c r="DZ162" s="60">
        <v>1</v>
      </c>
      <c r="EA162" s="60">
        <v>455</v>
      </c>
      <c r="EB162" s="60">
        <v>178</v>
      </c>
      <c r="EC162" s="60"/>
      <c r="ED162" s="60">
        <v>0</v>
      </c>
      <c r="EE162" s="60">
        <v>0</v>
      </c>
      <c r="EF162" s="60">
        <v>0</v>
      </c>
      <c r="EG162" s="60">
        <v>0</v>
      </c>
      <c r="EH162" s="60">
        <v>0</v>
      </c>
      <c r="EI162" s="60">
        <v>269</v>
      </c>
      <c r="EJ162" s="60">
        <v>371</v>
      </c>
      <c r="EK162" s="60">
        <v>10</v>
      </c>
      <c r="EL162" s="60">
        <v>69</v>
      </c>
      <c r="EM162" s="60">
        <v>78</v>
      </c>
      <c r="EN162" s="60">
        <v>4</v>
      </c>
      <c r="EO162" s="60">
        <v>17</v>
      </c>
      <c r="EP162" s="60">
        <v>67</v>
      </c>
      <c r="EQ162" s="60"/>
      <c r="ER162" s="60">
        <v>115</v>
      </c>
      <c r="ES162" s="60">
        <v>51</v>
      </c>
      <c r="ET162" s="60">
        <v>57</v>
      </c>
      <c r="EU162" s="60">
        <v>74</v>
      </c>
      <c r="EV162" s="60">
        <v>19</v>
      </c>
      <c r="EW162" s="60">
        <v>17</v>
      </c>
      <c r="EX162" s="60">
        <v>16</v>
      </c>
      <c r="EY162" s="60">
        <v>9</v>
      </c>
      <c r="EZ162" s="60">
        <v>2</v>
      </c>
      <c r="FA162" s="60">
        <v>96</v>
      </c>
      <c r="FB162" s="60">
        <v>154</v>
      </c>
      <c r="FC162" s="60">
        <v>44</v>
      </c>
      <c r="FD162" s="60">
        <v>55</v>
      </c>
      <c r="FE162" s="60"/>
      <c r="FF162" s="60"/>
      <c r="FG162" s="60"/>
      <c r="FH162" s="60">
        <v>8</v>
      </c>
      <c r="FI162" s="60">
        <v>1</v>
      </c>
      <c r="FJ162" s="60">
        <v>10</v>
      </c>
      <c r="FK162" s="60"/>
      <c r="FL162" s="60">
        <v>1</v>
      </c>
      <c r="FM162" s="60">
        <v>1</v>
      </c>
      <c r="FN162" s="60">
        <v>1</v>
      </c>
      <c r="FO162" s="60">
        <v>762</v>
      </c>
      <c r="FP162" s="60">
        <v>8</v>
      </c>
      <c r="FQ162" s="60">
        <v>1</v>
      </c>
      <c r="FR162" s="60"/>
      <c r="FS162" s="60">
        <v>3</v>
      </c>
      <c r="FT162" s="60"/>
      <c r="FU162" s="60">
        <v>1</v>
      </c>
      <c r="FV162" s="60"/>
      <c r="FW162" s="60"/>
      <c r="FX162" s="60">
        <v>797</v>
      </c>
      <c r="FY162" s="60"/>
      <c r="FZ162" s="60">
        <v>694</v>
      </c>
      <c r="GA162" s="60">
        <v>103</v>
      </c>
      <c r="GB162" s="60">
        <v>2011</v>
      </c>
    </row>
    <row r="163" spans="1:184" x14ac:dyDescent="0.3">
      <c r="A163" s="60">
        <v>106301098</v>
      </c>
      <c r="B163" s="61" t="s">
        <v>674</v>
      </c>
      <c r="C163" s="61" t="s">
        <v>675</v>
      </c>
      <c r="D163" s="61" t="s">
        <v>676</v>
      </c>
      <c r="E163" s="61" t="s">
        <v>673</v>
      </c>
      <c r="F163" s="60">
        <v>92801</v>
      </c>
      <c r="G163" s="61"/>
      <c r="H163" s="61" t="s">
        <v>1669</v>
      </c>
      <c r="I163" s="60">
        <v>72</v>
      </c>
      <c r="J163" s="60">
        <v>34</v>
      </c>
      <c r="K163" s="61" t="s">
        <v>1906</v>
      </c>
      <c r="L163" s="61"/>
      <c r="M163" s="61" t="s">
        <v>1901</v>
      </c>
      <c r="N163" s="61" t="s">
        <v>1902</v>
      </c>
      <c r="O163" s="61" t="s">
        <v>1673</v>
      </c>
      <c r="P163" s="61" t="s">
        <v>341</v>
      </c>
      <c r="Q163" s="61" t="s">
        <v>1674</v>
      </c>
      <c r="R163" s="60">
        <v>223</v>
      </c>
      <c r="S163" s="61" t="s">
        <v>1675</v>
      </c>
      <c r="T163" s="60">
        <v>18229</v>
      </c>
      <c r="U163" s="60">
        <v>14128</v>
      </c>
      <c r="V163" s="60"/>
      <c r="W163" s="60"/>
      <c r="X163" s="60">
        <v>4960</v>
      </c>
      <c r="Y163" s="60">
        <v>3682</v>
      </c>
      <c r="Z163" s="60">
        <v>5075</v>
      </c>
      <c r="AA163" s="60">
        <v>4100</v>
      </c>
      <c r="AB163" s="60">
        <v>3877</v>
      </c>
      <c r="AC163" s="60">
        <v>3406</v>
      </c>
      <c r="AD163" s="60">
        <v>2251</v>
      </c>
      <c r="AE163" s="60">
        <v>1769</v>
      </c>
      <c r="AF163" s="60">
        <v>1978</v>
      </c>
      <c r="AG163" s="60">
        <v>1258</v>
      </c>
      <c r="AH163" s="60">
        <v>1</v>
      </c>
      <c r="AI163" s="60">
        <v>1633</v>
      </c>
      <c r="AJ163" s="60">
        <v>1513</v>
      </c>
      <c r="AK163" s="60">
        <v>14882</v>
      </c>
      <c r="AL163" s="60">
        <v>50</v>
      </c>
      <c r="AM163" s="60">
        <v>4206</v>
      </c>
      <c r="AN163" s="60">
        <v>4</v>
      </c>
      <c r="AO163" s="60">
        <v>10069</v>
      </c>
      <c r="AP163" s="60">
        <v>792</v>
      </c>
      <c r="AQ163" s="60">
        <v>426</v>
      </c>
      <c r="AR163" s="60">
        <v>41</v>
      </c>
      <c r="AS163" s="60">
        <v>72</v>
      </c>
      <c r="AT163" s="60">
        <v>16</v>
      </c>
      <c r="AU163" s="60">
        <v>12</v>
      </c>
      <c r="AV163" s="60"/>
      <c r="AW163" s="60">
        <v>13</v>
      </c>
      <c r="AX163" s="60"/>
      <c r="AY163" s="60">
        <v>94</v>
      </c>
      <c r="AZ163" s="60"/>
      <c r="BA163" s="60">
        <v>30744</v>
      </c>
      <c r="BB163" s="60">
        <v>147</v>
      </c>
      <c r="BC163" s="60"/>
      <c r="BD163" s="60"/>
      <c r="BE163" s="60">
        <v>1782</v>
      </c>
      <c r="BF163" s="60">
        <v>4029</v>
      </c>
      <c r="BG163" s="60">
        <v>2283</v>
      </c>
      <c r="BH163" s="60">
        <v>19398</v>
      </c>
      <c r="BI163" s="60">
        <v>4865</v>
      </c>
      <c r="BJ163" s="60">
        <v>1210</v>
      </c>
      <c r="BK163" s="60">
        <v>107</v>
      </c>
      <c r="BL163" s="60">
        <v>684</v>
      </c>
      <c r="BM163" s="60">
        <v>11</v>
      </c>
      <c r="BN163" s="60">
        <v>1814</v>
      </c>
      <c r="BO163" s="60">
        <v>447</v>
      </c>
      <c r="BP163" s="60">
        <v>1789</v>
      </c>
      <c r="BQ163" s="60">
        <v>430</v>
      </c>
      <c r="BR163" s="60">
        <v>6874</v>
      </c>
      <c r="BS163" s="60">
        <v>2235</v>
      </c>
      <c r="BT163" s="60">
        <v>35</v>
      </c>
      <c r="BU163" s="60">
        <v>1723</v>
      </c>
      <c r="BV163" s="60">
        <v>643</v>
      </c>
      <c r="BW163" s="60">
        <v>53</v>
      </c>
      <c r="BX163" s="60">
        <v>776</v>
      </c>
      <c r="BY163" s="60">
        <v>3823</v>
      </c>
      <c r="BZ163" s="60">
        <v>1140</v>
      </c>
      <c r="CA163" s="60">
        <v>8563</v>
      </c>
      <c r="CB163" s="60"/>
      <c r="CC163" s="60"/>
      <c r="CD163" s="60">
        <v>2444</v>
      </c>
      <c r="CE163" s="60">
        <v>70</v>
      </c>
      <c r="CF163" s="60">
        <v>409</v>
      </c>
      <c r="CG163" s="60">
        <v>7</v>
      </c>
      <c r="CH163" s="60">
        <v>333</v>
      </c>
      <c r="CI163" s="60">
        <v>47</v>
      </c>
      <c r="CJ163" s="60">
        <v>275</v>
      </c>
      <c r="CK163" s="60">
        <v>240</v>
      </c>
      <c r="CL163" s="60">
        <v>24562</v>
      </c>
      <c r="CM163" s="60">
        <v>2837</v>
      </c>
      <c r="CN163" s="60">
        <v>143</v>
      </c>
      <c r="CO163" s="60">
        <v>680</v>
      </c>
      <c r="CP163" s="60">
        <v>58</v>
      </c>
      <c r="CQ163" s="60">
        <v>187</v>
      </c>
      <c r="CR163" s="60">
        <v>65</v>
      </c>
      <c r="CS163" s="60"/>
      <c r="CT163" s="60">
        <v>32357</v>
      </c>
      <c r="CU163" s="60">
        <v>240</v>
      </c>
      <c r="CV163" s="60">
        <v>26642</v>
      </c>
      <c r="CW163" s="60">
        <v>5475</v>
      </c>
      <c r="CX163" s="60">
        <v>4608</v>
      </c>
      <c r="CY163" s="60">
        <v>4032</v>
      </c>
      <c r="CZ163" s="60"/>
      <c r="DA163" s="60"/>
      <c r="DB163" s="60">
        <v>104</v>
      </c>
      <c r="DC163" s="60">
        <v>412</v>
      </c>
      <c r="DD163" s="60">
        <v>535</v>
      </c>
      <c r="DE163" s="60">
        <v>998</v>
      </c>
      <c r="DF163" s="60">
        <v>1422</v>
      </c>
      <c r="DG163" s="60">
        <v>1443</v>
      </c>
      <c r="DH163" s="60">
        <v>1637</v>
      </c>
      <c r="DI163" s="60">
        <v>2075</v>
      </c>
      <c r="DJ163" s="60">
        <v>14</v>
      </c>
      <c r="DK163" s="60"/>
      <c r="DL163" s="60"/>
      <c r="DM163" s="60">
        <v>780</v>
      </c>
      <c r="DN163" s="60">
        <v>360</v>
      </c>
      <c r="DO163" s="60">
        <v>2917</v>
      </c>
      <c r="DP163" s="60">
        <v>370</v>
      </c>
      <c r="DQ163" s="60"/>
      <c r="DR163" s="60">
        <v>4207</v>
      </c>
      <c r="DS163" s="60">
        <v>6</v>
      </c>
      <c r="DT163" s="60">
        <v>266</v>
      </c>
      <c r="DU163" s="60">
        <v>190</v>
      </c>
      <c r="DV163" s="60">
        <v>201</v>
      </c>
      <c r="DW163" s="60">
        <v>796</v>
      </c>
      <c r="DX163" s="60">
        <v>63</v>
      </c>
      <c r="DY163" s="60">
        <v>95</v>
      </c>
      <c r="DZ163" s="60">
        <v>71</v>
      </c>
      <c r="EA163" s="60">
        <v>5550</v>
      </c>
      <c r="EB163" s="60">
        <v>1407</v>
      </c>
      <c r="EC163" s="60">
        <v>1</v>
      </c>
      <c r="ED163" s="60">
        <v>0</v>
      </c>
      <c r="EE163" s="60">
        <v>0</v>
      </c>
      <c r="EF163" s="60">
        <v>0</v>
      </c>
      <c r="EG163" s="60">
        <v>0</v>
      </c>
      <c r="EH163" s="60">
        <v>0</v>
      </c>
      <c r="EI163" s="60">
        <v>1505</v>
      </c>
      <c r="EJ163" s="60">
        <v>4070</v>
      </c>
      <c r="EK163" s="60">
        <v>134</v>
      </c>
      <c r="EL163" s="60">
        <v>1985</v>
      </c>
      <c r="EM163" s="60">
        <v>946</v>
      </c>
      <c r="EN163" s="60">
        <v>102</v>
      </c>
      <c r="EO163" s="60">
        <v>205</v>
      </c>
      <c r="EP163" s="60">
        <v>1844</v>
      </c>
      <c r="EQ163" s="60">
        <v>8</v>
      </c>
      <c r="ER163" s="60">
        <v>1560</v>
      </c>
      <c r="ES163" s="60">
        <v>480</v>
      </c>
      <c r="ET163" s="60">
        <v>590</v>
      </c>
      <c r="EU163" s="60">
        <v>518</v>
      </c>
      <c r="EV163" s="60">
        <v>634</v>
      </c>
      <c r="EW163" s="60">
        <v>126</v>
      </c>
      <c r="EX163" s="60">
        <v>222</v>
      </c>
      <c r="EY163" s="60">
        <v>189</v>
      </c>
      <c r="EZ163" s="60">
        <v>7</v>
      </c>
      <c r="FA163" s="60">
        <v>121</v>
      </c>
      <c r="FB163" s="60">
        <v>1058</v>
      </c>
      <c r="FC163" s="60">
        <v>272</v>
      </c>
      <c r="FD163" s="60">
        <v>690</v>
      </c>
      <c r="FE163" s="60">
        <v>2</v>
      </c>
      <c r="FF163" s="60">
        <v>12</v>
      </c>
      <c r="FG163" s="60"/>
      <c r="FH163" s="60">
        <v>407</v>
      </c>
      <c r="FI163" s="60">
        <v>41</v>
      </c>
      <c r="FJ163" s="60">
        <v>650</v>
      </c>
      <c r="FK163" s="60">
        <v>17</v>
      </c>
      <c r="FL163" s="60">
        <v>29</v>
      </c>
      <c r="FM163" s="60">
        <v>464</v>
      </c>
      <c r="FN163" s="60">
        <v>13</v>
      </c>
      <c r="FO163" s="60">
        <v>6811</v>
      </c>
      <c r="FP163" s="60">
        <v>132</v>
      </c>
      <c r="FQ163" s="60">
        <v>3</v>
      </c>
      <c r="FR163" s="60">
        <v>8</v>
      </c>
      <c r="FS163" s="60">
        <v>39</v>
      </c>
      <c r="FT163" s="60">
        <v>14</v>
      </c>
      <c r="FU163" s="60">
        <v>12</v>
      </c>
      <c r="FV163" s="60"/>
      <c r="FW163" s="60"/>
      <c r="FX163" s="60">
        <v>8640</v>
      </c>
      <c r="FY163" s="60">
        <v>232</v>
      </c>
      <c r="FZ163" s="60">
        <v>7073</v>
      </c>
      <c r="GA163" s="60">
        <v>1335</v>
      </c>
      <c r="GB163" s="60">
        <v>2011</v>
      </c>
    </row>
    <row r="164" spans="1:184" x14ac:dyDescent="0.3">
      <c r="A164" s="60">
        <v>106301132</v>
      </c>
      <c r="B164" s="61" t="s">
        <v>1637</v>
      </c>
      <c r="C164" s="61" t="s">
        <v>1907</v>
      </c>
      <c r="D164" s="61" t="s">
        <v>1638</v>
      </c>
      <c r="E164" s="61" t="s">
        <v>673</v>
      </c>
      <c r="F164" s="60">
        <v>92807</v>
      </c>
      <c r="G164" s="61"/>
      <c r="H164" s="61" t="s">
        <v>1669</v>
      </c>
      <c r="I164" s="60">
        <v>60</v>
      </c>
      <c r="J164" s="60">
        <v>29</v>
      </c>
      <c r="K164" s="61" t="s">
        <v>1908</v>
      </c>
      <c r="L164" s="61"/>
      <c r="M164" s="61" t="s">
        <v>1901</v>
      </c>
      <c r="N164" s="61" t="s">
        <v>1902</v>
      </c>
      <c r="O164" s="61" t="s">
        <v>1673</v>
      </c>
      <c r="P164" s="61" t="s">
        <v>1678</v>
      </c>
      <c r="Q164" s="61" t="s">
        <v>1674</v>
      </c>
      <c r="R164" s="60">
        <v>200</v>
      </c>
      <c r="S164" s="61" t="s">
        <v>1675</v>
      </c>
      <c r="T164" s="60">
        <v>36631</v>
      </c>
      <c r="U164" s="60">
        <v>29632</v>
      </c>
      <c r="V164" s="60">
        <v>2</v>
      </c>
      <c r="W164" s="60"/>
      <c r="X164" s="60">
        <v>6876</v>
      </c>
      <c r="Y164" s="60">
        <v>7054</v>
      </c>
      <c r="Z164" s="60">
        <v>9384</v>
      </c>
      <c r="AA164" s="60">
        <v>8134</v>
      </c>
      <c r="AB164" s="60">
        <v>8359</v>
      </c>
      <c r="AC164" s="60">
        <v>8569</v>
      </c>
      <c r="AD164" s="60">
        <v>6813</v>
      </c>
      <c r="AE164" s="60">
        <v>5085</v>
      </c>
      <c r="AF164" s="60">
        <v>4497</v>
      </c>
      <c r="AG164" s="60">
        <v>1494</v>
      </c>
      <c r="AH164" s="60"/>
      <c r="AI164" s="60">
        <v>6939</v>
      </c>
      <c r="AJ164" s="60">
        <v>2404</v>
      </c>
      <c r="AK164" s="60">
        <v>15110</v>
      </c>
      <c r="AL164" s="60">
        <v>136</v>
      </c>
      <c r="AM164" s="60">
        <v>4640</v>
      </c>
      <c r="AN164" s="60">
        <v>590</v>
      </c>
      <c r="AO164" s="60">
        <v>36446</v>
      </c>
      <c r="AP164" s="60">
        <v>493</v>
      </c>
      <c r="AQ164" s="60">
        <v>336</v>
      </c>
      <c r="AR164" s="60"/>
      <c r="AS164" s="60">
        <v>52</v>
      </c>
      <c r="AT164" s="60">
        <v>477</v>
      </c>
      <c r="AU164" s="60">
        <v>69</v>
      </c>
      <c r="AV164" s="60">
        <v>14</v>
      </c>
      <c r="AW164" s="60">
        <v>2</v>
      </c>
      <c r="AX164" s="60">
        <v>8</v>
      </c>
      <c r="AY164" s="60">
        <v>426</v>
      </c>
      <c r="AZ164" s="60"/>
      <c r="BA164" s="60">
        <v>64103</v>
      </c>
      <c r="BB164" s="60">
        <v>259</v>
      </c>
      <c r="BC164" s="60">
        <v>26</v>
      </c>
      <c r="BD164" s="60"/>
      <c r="BE164" s="60">
        <v>4159</v>
      </c>
      <c r="BF164" s="60">
        <v>12794</v>
      </c>
      <c r="BG164" s="60">
        <v>148</v>
      </c>
      <c r="BH164" s="60">
        <v>46055</v>
      </c>
      <c r="BI164" s="60">
        <v>3109</v>
      </c>
      <c r="BJ164" s="60">
        <v>1620</v>
      </c>
      <c r="BK164" s="60">
        <v>285</v>
      </c>
      <c r="BL164" s="60">
        <v>2131</v>
      </c>
      <c r="BM164" s="60">
        <v>13</v>
      </c>
      <c r="BN164" s="60">
        <v>3628</v>
      </c>
      <c r="BO164" s="60">
        <v>1032</v>
      </c>
      <c r="BP164" s="60">
        <v>4326</v>
      </c>
      <c r="BQ164" s="60">
        <v>1158</v>
      </c>
      <c r="BR164" s="60">
        <v>14762</v>
      </c>
      <c r="BS164" s="60">
        <v>4155</v>
      </c>
      <c r="BT164" s="60">
        <v>148</v>
      </c>
      <c r="BU164" s="60">
        <v>3506</v>
      </c>
      <c r="BV164" s="60">
        <v>1410</v>
      </c>
      <c r="BW164" s="60">
        <v>120</v>
      </c>
      <c r="BX164" s="60">
        <v>2334</v>
      </c>
      <c r="BY164" s="60">
        <v>4579</v>
      </c>
      <c r="BZ164" s="60">
        <v>1966</v>
      </c>
      <c r="CA164" s="60">
        <v>19092</v>
      </c>
      <c r="CB164" s="60"/>
      <c r="CC164" s="60"/>
      <c r="CD164" s="60">
        <v>4931</v>
      </c>
      <c r="CE164" s="60">
        <v>185</v>
      </c>
      <c r="CF164" s="60">
        <v>693</v>
      </c>
      <c r="CG164" s="60">
        <v>17</v>
      </c>
      <c r="CH164" s="60">
        <v>251</v>
      </c>
      <c r="CI164" s="60">
        <v>16</v>
      </c>
      <c r="CJ164" s="60">
        <v>756</v>
      </c>
      <c r="CK164" s="60">
        <v>503</v>
      </c>
      <c r="CL164" s="60">
        <v>49759</v>
      </c>
      <c r="CM164" s="60">
        <v>7038</v>
      </c>
      <c r="CN164" s="60">
        <v>333</v>
      </c>
      <c r="CO164" s="60">
        <v>1212</v>
      </c>
      <c r="CP164" s="60">
        <v>164</v>
      </c>
      <c r="CQ164" s="60">
        <v>341</v>
      </c>
      <c r="CR164" s="60">
        <v>66</v>
      </c>
      <c r="CS164" s="60"/>
      <c r="CT164" s="60">
        <v>66265</v>
      </c>
      <c r="CU164" s="60">
        <v>1515</v>
      </c>
      <c r="CV164" s="60">
        <v>59044</v>
      </c>
      <c r="CW164" s="60">
        <v>5706</v>
      </c>
      <c r="CX164" s="60">
        <v>5161</v>
      </c>
      <c r="CY164" s="60">
        <v>4729</v>
      </c>
      <c r="CZ164" s="60"/>
      <c r="DA164" s="60"/>
      <c r="DB164" s="60">
        <v>328</v>
      </c>
      <c r="DC164" s="60">
        <v>525</v>
      </c>
      <c r="DD164" s="60">
        <v>581</v>
      </c>
      <c r="DE164" s="60">
        <v>912</v>
      </c>
      <c r="DF164" s="60">
        <v>1427</v>
      </c>
      <c r="DG164" s="60">
        <v>1767</v>
      </c>
      <c r="DH164" s="60">
        <v>1819</v>
      </c>
      <c r="DI164" s="60">
        <v>2135</v>
      </c>
      <c r="DJ164" s="60">
        <v>110</v>
      </c>
      <c r="DK164" s="60">
        <v>286</v>
      </c>
      <c r="DL164" s="60"/>
      <c r="DM164" s="60">
        <v>1001</v>
      </c>
      <c r="DN164" s="60">
        <v>325</v>
      </c>
      <c r="DO164" s="60">
        <v>1654</v>
      </c>
      <c r="DP164" s="60">
        <v>189</v>
      </c>
      <c r="DQ164" s="60">
        <v>12</v>
      </c>
      <c r="DR164" s="60">
        <v>6695</v>
      </c>
      <c r="DS164" s="60">
        <v>14</v>
      </c>
      <c r="DT164" s="60">
        <v>371</v>
      </c>
      <c r="DU164" s="60">
        <v>72</v>
      </c>
      <c r="DV164" s="60">
        <v>226</v>
      </c>
      <c r="DW164" s="60">
        <v>2281</v>
      </c>
      <c r="DX164" s="60">
        <v>59</v>
      </c>
      <c r="DY164" s="60"/>
      <c r="DZ164" s="60">
        <v>131</v>
      </c>
      <c r="EA164" s="60">
        <v>5785</v>
      </c>
      <c r="EB164" s="60">
        <v>965</v>
      </c>
      <c r="EC164" s="60"/>
      <c r="ED164" s="60">
        <v>0</v>
      </c>
      <c r="EE164" s="60">
        <v>0</v>
      </c>
      <c r="EF164" s="60">
        <v>0</v>
      </c>
      <c r="EG164" s="60">
        <v>0</v>
      </c>
      <c r="EH164" s="60">
        <v>0</v>
      </c>
      <c r="EI164" s="60">
        <v>405</v>
      </c>
      <c r="EJ164" s="60">
        <v>4988</v>
      </c>
      <c r="EK164" s="60">
        <v>19</v>
      </c>
      <c r="EL164" s="60">
        <v>4339</v>
      </c>
      <c r="EM164" s="60">
        <v>139</v>
      </c>
      <c r="EN164" s="60">
        <v>101</v>
      </c>
      <c r="EO164" s="60">
        <v>206</v>
      </c>
      <c r="EP164" s="60">
        <v>1509</v>
      </c>
      <c r="EQ164" s="60">
        <v>22</v>
      </c>
      <c r="ER164" s="60">
        <v>1916</v>
      </c>
      <c r="ES164" s="60">
        <v>428</v>
      </c>
      <c r="ET164" s="60">
        <v>671</v>
      </c>
      <c r="EU164" s="60">
        <v>900</v>
      </c>
      <c r="EV164" s="60">
        <v>998</v>
      </c>
      <c r="EW164" s="60">
        <v>191</v>
      </c>
      <c r="EX164" s="60">
        <v>370</v>
      </c>
      <c r="EY164" s="60">
        <v>230</v>
      </c>
      <c r="EZ164" s="60">
        <v>14</v>
      </c>
      <c r="FA164" s="60">
        <v>131</v>
      </c>
      <c r="FB164" s="60">
        <v>1133</v>
      </c>
      <c r="FC164" s="60">
        <v>330</v>
      </c>
      <c r="FD164" s="60">
        <v>716</v>
      </c>
      <c r="FE164" s="60"/>
      <c r="FF164" s="60">
        <v>24</v>
      </c>
      <c r="FG164" s="60"/>
      <c r="FH164" s="60">
        <v>529</v>
      </c>
      <c r="FI164" s="60">
        <v>41</v>
      </c>
      <c r="FJ164" s="60">
        <v>1046</v>
      </c>
      <c r="FK164" s="60">
        <v>4</v>
      </c>
      <c r="FL164" s="60">
        <v>15</v>
      </c>
      <c r="FM164" s="60">
        <v>683</v>
      </c>
      <c r="FN164" s="60">
        <v>20</v>
      </c>
      <c r="FO164" s="60">
        <v>7059</v>
      </c>
      <c r="FP164" s="60">
        <v>375</v>
      </c>
      <c r="FQ164" s="60">
        <v>11</v>
      </c>
      <c r="FR164" s="60">
        <v>25</v>
      </c>
      <c r="FS164" s="60">
        <v>36</v>
      </c>
      <c r="FT164" s="60">
        <v>33</v>
      </c>
      <c r="FU164" s="60">
        <v>10</v>
      </c>
      <c r="FV164" s="60">
        <v>2</v>
      </c>
      <c r="FW164" s="60">
        <v>1</v>
      </c>
      <c r="FX164" s="60">
        <v>9890</v>
      </c>
      <c r="FY164" s="60">
        <v>267</v>
      </c>
      <c r="FZ164" s="60">
        <v>8930</v>
      </c>
      <c r="GA164" s="60">
        <v>693</v>
      </c>
      <c r="GB164" s="60">
        <v>2011</v>
      </c>
    </row>
    <row r="165" spans="1:184" x14ac:dyDescent="0.3">
      <c r="A165" s="60">
        <v>106301140</v>
      </c>
      <c r="B165" s="61" t="s">
        <v>677</v>
      </c>
      <c r="C165" s="61" t="s">
        <v>1909</v>
      </c>
      <c r="D165" s="61" t="s">
        <v>678</v>
      </c>
      <c r="E165" s="61" t="s">
        <v>668</v>
      </c>
      <c r="F165" s="60">
        <v>92669</v>
      </c>
      <c r="G165" s="61"/>
      <c r="H165" s="61" t="s">
        <v>1669</v>
      </c>
      <c r="I165" s="60">
        <v>71</v>
      </c>
      <c r="J165" s="60">
        <v>33</v>
      </c>
      <c r="K165" s="61" t="s">
        <v>1900</v>
      </c>
      <c r="L165" s="61"/>
      <c r="M165" s="61" t="s">
        <v>1901</v>
      </c>
      <c r="N165" s="61" t="s">
        <v>1902</v>
      </c>
      <c r="O165" s="61" t="s">
        <v>1673</v>
      </c>
      <c r="P165" s="61" t="s">
        <v>221</v>
      </c>
      <c r="Q165" s="61" t="s">
        <v>1674</v>
      </c>
      <c r="R165" s="60">
        <v>47</v>
      </c>
      <c r="S165" s="61" t="s">
        <v>1675</v>
      </c>
      <c r="T165" s="60">
        <v>4312</v>
      </c>
      <c r="U165" s="60">
        <v>3654</v>
      </c>
      <c r="V165" s="60"/>
      <c r="W165" s="60"/>
      <c r="X165" s="60">
        <v>768</v>
      </c>
      <c r="Y165" s="60">
        <v>1066</v>
      </c>
      <c r="Z165" s="60">
        <v>1476</v>
      </c>
      <c r="AA165" s="60">
        <v>1138</v>
      </c>
      <c r="AB165" s="60">
        <v>1259</v>
      </c>
      <c r="AC165" s="60">
        <v>981</v>
      </c>
      <c r="AD165" s="60">
        <v>540</v>
      </c>
      <c r="AE165" s="60">
        <v>301</v>
      </c>
      <c r="AF165" s="60">
        <v>352</v>
      </c>
      <c r="AG165" s="60">
        <v>85</v>
      </c>
      <c r="AH165" s="60"/>
      <c r="AI165" s="60">
        <v>321</v>
      </c>
      <c r="AJ165" s="60">
        <v>296</v>
      </c>
      <c r="AK165" s="60">
        <v>2335</v>
      </c>
      <c r="AL165" s="60">
        <v>26</v>
      </c>
      <c r="AM165" s="60">
        <v>171</v>
      </c>
      <c r="AN165" s="60">
        <v>42</v>
      </c>
      <c r="AO165" s="60">
        <v>4775</v>
      </c>
      <c r="AP165" s="60">
        <v>263</v>
      </c>
      <c r="AQ165" s="60">
        <v>141</v>
      </c>
      <c r="AR165" s="60">
        <v>5</v>
      </c>
      <c r="AS165" s="60">
        <v>19</v>
      </c>
      <c r="AT165" s="60">
        <v>7</v>
      </c>
      <c r="AU165" s="60">
        <v>1</v>
      </c>
      <c r="AV165" s="60"/>
      <c r="AW165" s="60">
        <v>1</v>
      </c>
      <c r="AX165" s="60"/>
      <c r="AY165" s="60">
        <v>11</v>
      </c>
      <c r="AZ165" s="60">
        <v>1</v>
      </c>
      <c r="BA165" s="60">
        <v>7499</v>
      </c>
      <c r="BB165" s="60">
        <v>18</v>
      </c>
      <c r="BC165" s="60"/>
      <c r="BD165" s="60"/>
      <c r="BE165" s="60">
        <v>17</v>
      </c>
      <c r="BF165" s="60">
        <v>1402</v>
      </c>
      <c r="BG165" s="60">
        <v>810</v>
      </c>
      <c r="BH165" s="60">
        <v>4497</v>
      </c>
      <c r="BI165" s="60">
        <v>1240</v>
      </c>
      <c r="BJ165" s="60">
        <v>148</v>
      </c>
      <c r="BK165" s="60">
        <v>27</v>
      </c>
      <c r="BL165" s="60">
        <v>175</v>
      </c>
      <c r="BM165" s="60">
        <v>3</v>
      </c>
      <c r="BN165" s="60">
        <v>376</v>
      </c>
      <c r="BO165" s="60">
        <v>115</v>
      </c>
      <c r="BP165" s="60">
        <v>430</v>
      </c>
      <c r="BQ165" s="60">
        <v>104</v>
      </c>
      <c r="BR165" s="60">
        <v>2375</v>
      </c>
      <c r="BS165" s="60">
        <v>393</v>
      </c>
      <c r="BT165" s="60">
        <v>9</v>
      </c>
      <c r="BU165" s="60">
        <v>578</v>
      </c>
      <c r="BV165" s="60">
        <v>188</v>
      </c>
      <c r="BW165" s="60">
        <v>4</v>
      </c>
      <c r="BX165" s="60">
        <v>317</v>
      </c>
      <c r="BY165" s="60">
        <v>861</v>
      </c>
      <c r="BZ165" s="60">
        <v>390</v>
      </c>
      <c r="CA165" s="60">
        <v>1473</v>
      </c>
      <c r="CB165" s="60"/>
      <c r="CC165" s="60"/>
      <c r="CD165" s="60">
        <v>689</v>
      </c>
      <c r="CE165" s="60">
        <v>28</v>
      </c>
      <c r="CF165" s="60">
        <v>57</v>
      </c>
      <c r="CG165" s="60">
        <v>4</v>
      </c>
      <c r="CH165" s="60">
        <v>64</v>
      </c>
      <c r="CI165" s="60">
        <v>12</v>
      </c>
      <c r="CJ165" s="60">
        <v>63</v>
      </c>
      <c r="CK165" s="60">
        <v>110</v>
      </c>
      <c r="CL165" s="60">
        <v>5378</v>
      </c>
      <c r="CM165" s="60">
        <v>1205</v>
      </c>
      <c r="CN165" s="60">
        <v>62</v>
      </c>
      <c r="CO165" s="60">
        <v>211</v>
      </c>
      <c r="CP165" s="60">
        <v>27</v>
      </c>
      <c r="CQ165" s="60">
        <v>45</v>
      </c>
      <c r="CR165" s="60">
        <v>11</v>
      </c>
      <c r="CS165" s="60"/>
      <c r="CT165" s="60">
        <v>7966</v>
      </c>
      <c r="CU165" s="60">
        <v>43</v>
      </c>
      <c r="CV165" s="60">
        <v>7388</v>
      </c>
      <c r="CW165" s="60">
        <v>535</v>
      </c>
      <c r="CX165" s="60">
        <v>594</v>
      </c>
      <c r="CY165" s="60">
        <v>538</v>
      </c>
      <c r="CZ165" s="60"/>
      <c r="DA165" s="60"/>
      <c r="DB165" s="60">
        <v>35</v>
      </c>
      <c r="DC165" s="60">
        <v>115</v>
      </c>
      <c r="DD165" s="60">
        <v>102</v>
      </c>
      <c r="DE165" s="60">
        <v>132</v>
      </c>
      <c r="DF165" s="60">
        <v>209</v>
      </c>
      <c r="DG165" s="60">
        <v>160</v>
      </c>
      <c r="DH165" s="60">
        <v>158</v>
      </c>
      <c r="DI165" s="60">
        <v>221</v>
      </c>
      <c r="DJ165" s="60"/>
      <c r="DK165" s="60"/>
      <c r="DL165" s="60"/>
      <c r="DM165" s="60">
        <v>12</v>
      </c>
      <c r="DN165" s="60">
        <v>29</v>
      </c>
      <c r="DO165" s="60">
        <v>256</v>
      </c>
      <c r="DP165" s="60">
        <v>18</v>
      </c>
      <c r="DQ165" s="60">
        <v>39</v>
      </c>
      <c r="DR165" s="60">
        <v>777</v>
      </c>
      <c r="DS165" s="60">
        <v>1</v>
      </c>
      <c r="DT165" s="60">
        <v>61</v>
      </c>
      <c r="DU165" s="60">
        <v>34</v>
      </c>
      <c r="DV165" s="60">
        <v>28</v>
      </c>
      <c r="DW165" s="60">
        <v>111</v>
      </c>
      <c r="DX165" s="60">
        <v>41</v>
      </c>
      <c r="DY165" s="60">
        <v>3</v>
      </c>
      <c r="DZ165" s="60">
        <v>10</v>
      </c>
      <c r="EA165" s="60">
        <v>667</v>
      </c>
      <c r="EB165" s="60">
        <v>177</v>
      </c>
      <c r="EC165" s="60"/>
      <c r="ED165" s="60">
        <v>0</v>
      </c>
      <c r="EE165" s="60">
        <v>0</v>
      </c>
      <c r="EF165" s="60">
        <v>0</v>
      </c>
      <c r="EG165" s="60">
        <v>0</v>
      </c>
      <c r="EH165" s="60">
        <v>0</v>
      </c>
      <c r="EI165" s="60">
        <v>72</v>
      </c>
      <c r="EJ165" s="60">
        <v>495</v>
      </c>
      <c r="EK165" s="60">
        <v>174</v>
      </c>
      <c r="EL165" s="60">
        <v>285</v>
      </c>
      <c r="EM165" s="60">
        <v>106</v>
      </c>
      <c r="EN165" s="60">
        <v>7</v>
      </c>
      <c r="EO165" s="60">
        <v>16</v>
      </c>
      <c r="EP165" s="60">
        <v>127</v>
      </c>
      <c r="EQ165" s="60"/>
      <c r="ER165" s="60">
        <v>223</v>
      </c>
      <c r="ES165" s="60">
        <v>50</v>
      </c>
      <c r="ET165" s="60">
        <v>59</v>
      </c>
      <c r="EU165" s="60">
        <v>85</v>
      </c>
      <c r="EV165" s="60">
        <v>74</v>
      </c>
      <c r="EW165" s="60">
        <v>12</v>
      </c>
      <c r="EX165" s="60">
        <v>16</v>
      </c>
      <c r="EY165" s="60">
        <v>46</v>
      </c>
      <c r="EZ165" s="60"/>
      <c r="FA165" s="60">
        <v>221</v>
      </c>
      <c r="FB165" s="60">
        <v>119</v>
      </c>
      <c r="FC165" s="60">
        <v>36</v>
      </c>
      <c r="FD165" s="60">
        <v>41</v>
      </c>
      <c r="FE165" s="60"/>
      <c r="FF165" s="60"/>
      <c r="FG165" s="60"/>
      <c r="FH165" s="60">
        <v>54</v>
      </c>
      <c r="FI165" s="60">
        <v>8</v>
      </c>
      <c r="FJ165" s="60">
        <v>42</v>
      </c>
      <c r="FK165" s="60">
        <v>1</v>
      </c>
      <c r="FL165" s="60">
        <v>6</v>
      </c>
      <c r="FM165" s="60">
        <v>39</v>
      </c>
      <c r="FN165" s="60">
        <v>2</v>
      </c>
      <c r="FO165" s="60">
        <v>938</v>
      </c>
      <c r="FP165" s="60">
        <v>19</v>
      </c>
      <c r="FQ165" s="60">
        <v>1</v>
      </c>
      <c r="FR165" s="60">
        <v>1</v>
      </c>
      <c r="FS165" s="60">
        <v>12</v>
      </c>
      <c r="FT165" s="60">
        <v>3</v>
      </c>
      <c r="FU165" s="60">
        <v>6</v>
      </c>
      <c r="FV165" s="60"/>
      <c r="FW165" s="60"/>
      <c r="FX165" s="60">
        <v>1132</v>
      </c>
      <c r="FY165" s="60">
        <v>9</v>
      </c>
      <c r="FZ165" s="60">
        <v>1064</v>
      </c>
      <c r="GA165" s="60">
        <v>59</v>
      </c>
      <c r="GB165" s="60">
        <v>2011</v>
      </c>
    </row>
    <row r="166" spans="1:184" x14ac:dyDescent="0.3">
      <c r="A166" s="60">
        <v>106301175</v>
      </c>
      <c r="B166" s="61" t="s">
        <v>679</v>
      </c>
      <c r="C166" s="61" t="s">
        <v>1910</v>
      </c>
      <c r="D166" s="61" t="s">
        <v>680</v>
      </c>
      <c r="E166" s="61" t="s">
        <v>672</v>
      </c>
      <c r="F166" s="60">
        <v>92708</v>
      </c>
      <c r="G166" s="61"/>
      <c r="H166" s="61" t="s">
        <v>1669</v>
      </c>
      <c r="I166" s="60">
        <v>68</v>
      </c>
      <c r="J166" s="60">
        <v>35</v>
      </c>
      <c r="K166" s="61" t="s">
        <v>1903</v>
      </c>
      <c r="L166" s="61"/>
      <c r="M166" s="61" t="s">
        <v>1901</v>
      </c>
      <c r="N166" s="61" t="s">
        <v>1902</v>
      </c>
      <c r="O166" s="61" t="s">
        <v>1673</v>
      </c>
      <c r="P166" s="61" t="s">
        <v>221</v>
      </c>
      <c r="Q166" s="61" t="s">
        <v>1674</v>
      </c>
      <c r="R166" s="60">
        <v>293</v>
      </c>
      <c r="S166" s="61" t="s">
        <v>1675</v>
      </c>
      <c r="T166" s="60">
        <v>16589</v>
      </c>
      <c r="U166" s="60">
        <v>13451</v>
      </c>
      <c r="V166" s="60"/>
      <c r="W166" s="60"/>
      <c r="X166" s="60">
        <v>4472</v>
      </c>
      <c r="Y166" s="60">
        <v>3035</v>
      </c>
      <c r="Z166" s="60">
        <v>4076</v>
      </c>
      <c r="AA166" s="60">
        <v>3572</v>
      </c>
      <c r="AB166" s="60">
        <v>4144</v>
      </c>
      <c r="AC166" s="60">
        <v>3682</v>
      </c>
      <c r="AD166" s="60">
        <v>2449</v>
      </c>
      <c r="AE166" s="60">
        <v>1845</v>
      </c>
      <c r="AF166" s="60">
        <v>1621</v>
      </c>
      <c r="AG166" s="60">
        <v>1144</v>
      </c>
      <c r="AH166" s="60"/>
      <c r="AI166" s="60">
        <v>8924</v>
      </c>
      <c r="AJ166" s="60">
        <v>609</v>
      </c>
      <c r="AK166" s="60">
        <v>10095</v>
      </c>
      <c r="AL166" s="60">
        <v>14</v>
      </c>
      <c r="AM166" s="60">
        <v>1233</v>
      </c>
      <c r="AN166" s="60">
        <v>161</v>
      </c>
      <c r="AO166" s="60">
        <v>9004</v>
      </c>
      <c r="AP166" s="60">
        <v>357</v>
      </c>
      <c r="AQ166" s="60">
        <v>779</v>
      </c>
      <c r="AR166" s="60">
        <v>78</v>
      </c>
      <c r="AS166" s="60">
        <v>53</v>
      </c>
      <c r="AT166" s="60">
        <v>8</v>
      </c>
      <c r="AU166" s="60">
        <v>1</v>
      </c>
      <c r="AV166" s="60">
        <v>1</v>
      </c>
      <c r="AW166" s="60">
        <v>8</v>
      </c>
      <c r="AX166" s="60"/>
      <c r="AY166" s="60">
        <v>212</v>
      </c>
      <c r="AZ166" s="60"/>
      <c r="BA166" s="60">
        <v>28426</v>
      </c>
      <c r="BB166" s="60">
        <v>117</v>
      </c>
      <c r="BC166" s="60"/>
      <c r="BD166" s="60"/>
      <c r="BE166" s="60">
        <v>1153</v>
      </c>
      <c r="BF166" s="60">
        <v>5276</v>
      </c>
      <c r="BG166" s="60">
        <v>2357</v>
      </c>
      <c r="BH166" s="60">
        <v>17252</v>
      </c>
      <c r="BI166" s="60">
        <v>4002</v>
      </c>
      <c r="BJ166" s="60">
        <v>1081</v>
      </c>
      <c r="BK166" s="60">
        <v>150</v>
      </c>
      <c r="BL166" s="60">
        <v>910</v>
      </c>
      <c r="BM166" s="60">
        <v>13</v>
      </c>
      <c r="BN166" s="60">
        <v>1566</v>
      </c>
      <c r="BO166" s="60">
        <v>377</v>
      </c>
      <c r="BP166" s="60">
        <v>1854</v>
      </c>
      <c r="BQ166" s="60">
        <v>541</v>
      </c>
      <c r="BR166" s="60">
        <v>6488</v>
      </c>
      <c r="BS166" s="60">
        <v>1693</v>
      </c>
      <c r="BT166" s="60">
        <v>59</v>
      </c>
      <c r="BU166" s="60">
        <v>1526</v>
      </c>
      <c r="BV166" s="60">
        <v>953</v>
      </c>
      <c r="BW166" s="60">
        <v>88</v>
      </c>
      <c r="BX166" s="60">
        <v>924</v>
      </c>
      <c r="BY166" s="60">
        <v>2983</v>
      </c>
      <c r="BZ166" s="60">
        <v>1041</v>
      </c>
      <c r="CA166" s="60">
        <v>7793</v>
      </c>
      <c r="CB166" s="60"/>
      <c r="CC166" s="60"/>
      <c r="CD166" s="60">
        <v>2423</v>
      </c>
      <c r="CE166" s="60">
        <v>97</v>
      </c>
      <c r="CF166" s="60">
        <v>169</v>
      </c>
      <c r="CG166" s="60">
        <v>14</v>
      </c>
      <c r="CH166" s="60">
        <v>220</v>
      </c>
      <c r="CI166" s="60">
        <v>25</v>
      </c>
      <c r="CJ166" s="60">
        <v>252</v>
      </c>
      <c r="CK166" s="60">
        <v>213</v>
      </c>
      <c r="CL166" s="60">
        <v>23107</v>
      </c>
      <c r="CM166" s="60">
        <v>2327</v>
      </c>
      <c r="CN166" s="60">
        <v>131</v>
      </c>
      <c r="CO166" s="60">
        <v>787</v>
      </c>
      <c r="CP166" s="60">
        <v>86</v>
      </c>
      <c r="CQ166" s="60">
        <v>157</v>
      </c>
      <c r="CR166" s="60">
        <v>32</v>
      </c>
      <c r="CS166" s="60"/>
      <c r="CT166" s="60">
        <v>30040</v>
      </c>
      <c r="CU166" s="60">
        <v>3676</v>
      </c>
      <c r="CV166" s="60">
        <v>23124</v>
      </c>
      <c r="CW166" s="60">
        <v>3240</v>
      </c>
      <c r="CX166" s="60">
        <v>5146</v>
      </c>
      <c r="CY166" s="60">
        <v>4814</v>
      </c>
      <c r="CZ166" s="60"/>
      <c r="DA166" s="60"/>
      <c r="DB166" s="60">
        <v>257</v>
      </c>
      <c r="DC166" s="60">
        <v>462</v>
      </c>
      <c r="DD166" s="60">
        <v>599</v>
      </c>
      <c r="DE166" s="60">
        <v>1039</v>
      </c>
      <c r="DF166" s="60">
        <v>1539</v>
      </c>
      <c r="DG166" s="60">
        <v>1580</v>
      </c>
      <c r="DH166" s="60">
        <v>1732</v>
      </c>
      <c r="DI166" s="60">
        <v>2149</v>
      </c>
      <c r="DJ166" s="60">
        <v>238</v>
      </c>
      <c r="DK166" s="60">
        <v>365</v>
      </c>
      <c r="DL166" s="60"/>
      <c r="DM166" s="60">
        <v>3926</v>
      </c>
      <c r="DN166" s="60">
        <v>195</v>
      </c>
      <c r="DO166" s="60">
        <v>2306</v>
      </c>
      <c r="DP166" s="60">
        <v>331</v>
      </c>
      <c r="DQ166" s="60">
        <v>45</v>
      </c>
      <c r="DR166" s="60">
        <v>3155</v>
      </c>
      <c r="DS166" s="60">
        <v>2</v>
      </c>
      <c r="DT166" s="60">
        <v>146</v>
      </c>
      <c r="DU166" s="60">
        <v>206</v>
      </c>
      <c r="DV166" s="60">
        <v>318</v>
      </c>
      <c r="DW166" s="60">
        <v>1318</v>
      </c>
      <c r="DX166" s="60">
        <v>178</v>
      </c>
      <c r="DY166" s="60">
        <v>7</v>
      </c>
      <c r="DZ166" s="60">
        <v>3</v>
      </c>
      <c r="EA166" s="60">
        <v>6033</v>
      </c>
      <c r="EB166" s="60">
        <v>1750</v>
      </c>
      <c r="EC166" s="60">
        <v>1</v>
      </c>
      <c r="ED166" s="60">
        <v>0</v>
      </c>
      <c r="EE166" s="60">
        <v>0</v>
      </c>
      <c r="EF166" s="60">
        <v>0</v>
      </c>
      <c r="EG166" s="60">
        <v>0</v>
      </c>
      <c r="EH166" s="60">
        <v>0</v>
      </c>
      <c r="EI166" s="60">
        <v>2392</v>
      </c>
      <c r="EJ166" s="60">
        <v>4759</v>
      </c>
      <c r="EK166" s="60">
        <v>153</v>
      </c>
      <c r="EL166" s="60">
        <v>1419</v>
      </c>
      <c r="EM166" s="60">
        <v>1237</v>
      </c>
      <c r="EN166" s="60">
        <v>110</v>
      </c>
      <c r="EO166" s="60">
        <v>255</v>
      </c>
      <c r="EP166" s="60">
        <v>1845</v>
      </c>
      <c r="EQ166" s="60">
        <v>12</v>
      </c>
      <c r="ER166" s="60">
        <v>1616</v>
      </c>
      <c r="ES166" s="60">
        <v>504</v>
      </c>
      <c r="ET166" s="60">
        <v>701</v>
      </c>
      <c r="EU166" s="60">
        <v>720</v>
      </c>
      <c r="EV166" s="60">
        <v>870</v>
      </c>
      <c r="EW166" s="60">
        <v>220</v>
      </c>
      <c r="EX166" s="60">
        <v>380</v>
      </c>
      <c r="EY166" s="60">
        <v>257</v>
      </c>
      <c r="EZ166" s="60">
        <v>12</v>
      </c>
      <c r="FA166" s="60">
        <v>113</v>
      </c>
      <c r="FB166" s="60">
        <v>1329</v>
      </c>
      <c r="FC166" s="60">
        <v>320</v>
      </c>
      <c r="FD166" s="60">
        <v>639</v>
      </c>
      <c r="FE166" s="60">
        <v>5</v>
      </c>
      <c r="FF166" s="60">
        <v>52</v>
      </c>
      <c r="FG166" s="60"/>
      <c r="FH166" s="60">
        <v>463</v>
      </c>
      <c r="FI166" s="60">
        <v>54</v>
      </c>
      <c r="FJ166" s="60">
        <v>633</v>
      </c>
      <c r="FK166" s="60">
        <v>17</v>
      </c>
      <c r="FL166" s="60">
        <v>31</v>
      </c>
      <c r="FM166" s="60">
        <v>693</v>
      </c>
      <c r="FN166" s="60">
        <v>14</v>
      </c>
      <c r="FO166" s="60">
        <v>7822</v>
      </c>
      <c r="FP166" s="60">
        <v>116</v>
      </c>
      <c r="FQ166" s="60">
        <v>14</v>
      </c>
      <c r="FR166" s="60">
        <v>22</v>
      </c>
      <c r="FS166" s="60">
        <v>27</v>
      </c>
      <c r="FT166" s="60">
        <v>40</v>
      </c>
      <c r="FU166" s="60">
        <v>12</v>
      </c>
      <c r="FV166" s="60">
        <v>2</v>
      </c>
      <c r="FW166" s="60"/>
      <c r="FX166" s="60">
        <v>9960</v>
      </c>
      <c r="FY166" s="60">
        <v>2234</v>
      </c>
      <c r="FZ166" s="60">
        <v>6764</v>
      </c>
      <c r="GA166" s="60">
        <v>962</v>
      </c>
      <c r="GB166" s="60">
        <v>2011</v>
      </c>
    </row>
    <row r="167" spans="1:184" x14ac:dyDescent="0.3">
      <c r="A167" s="60">
        <v>106301188</v>
      </c>
      <c r="B167" s="61" t="s">
        <v>681</v>
      </c>
      <c r="C167" s="61" t="s">
        <v>1911</v>
      </c>
      <c r="D167" s="61" t="s">
        <v>682</v>
      </c>
      <c r="E167" s="61" t="s">
        <v>673</v>
      </c>
      <c r="F167" s="60">
        <v>92805</v>
      </c>
      <c r="G167" s="61"/>
      <c r="H167" s="61" t="s">
        <v>1669</v>
      </c>
      <c r="I167" s="60">
        <v>69</v>
      </c>
      <c r="J167" s="60">
        <v>34</v>
      </c>
      <c r="K167" s="61" t="s">
        <v>1906</v>
      </c>
      <c r="L167" s="61"/>
      <c r="M167" s="61" t="s">
        <v>1901</v>
      </c>
      <c r="N167" s="61" t="s">
        <v>1902</v>
      </c>
      <c r="O167" s="61" t="s">
        <v>1673</v>
      </c>
      <c r="P167" s="61" t="s">
        <v>221</v>
      </c>
      <c r="Q167" s="61" t="s">
        <v>1674</v>
      </c>
      <c r="R167" s="60">
        <v>99</v>
      </c>
      <c r="S167" s="61" t="s">
        <v>1675</v>
      </c>
      <c r="T167" s="60">
        <v>7506</v>
      </c>
      <c r="U167" s="60">
        <v>6813</v>
      </c>
      <c r="V167" s="60"/>
      <c r="W167" s="60"/>
      <c r="X167" s="60">
        <v>2114</v>
      </c>
      <c r="Y167" s="60">
        <v>1912</v>
      </c>
      <c r="Z167" s="60">
        <v>3043</v>
      </c>
      <c r="AA167" s="60">
        <v>2413</v>
      </c>
      <c r="AB167" s="60">
        <v>1939</v>
      </c>
      <c r="AC167" s="60">
        <v>1293</v>
      </c>
      <c r="AD167" s="60">
        <v>603</v>
      </c>
      <c r="AE167" s="60">
        <v>271</v>
      </c>
      <c r="AF167" s="60">
        <v>146</v>
      </c>
      <c r="AG167" s="60">
        <v>585</v>
      </c>
      <c r="AH167" s="60"/>
      <c r="AI167" s="60">
        <v>407</v>
      </c>
      <c r="AJ167" s="60">
        <v>319</v>
      </c>
      <c r="AK167" s="60">
        <v>7904</v>
      </c>
      <c r="AL167" s="60">
        <v>4</v>
      </c>
      <c r="AM167" s="60">
        <v>813</v>
      </c>
      <c r="AN167" s="60">
        <v>85</v>
      </c>
      <c r="AO167" s="60">
        <v>4787</v>
      </c>
      <c r="AP167" s="60">
        <v>179</v>
      </c>
      <c r="AQ167" s="60">
        <v>1255</v>
      </c>
      <c r="AR167" s="60">
        <v>399</v>
      </c>
      <c r="AS167" s="60">
        <v>32</v>
      </c>
      <c r="AT167" s="60">
        <v>1</v>
      </c>
      <c r="AU167" s="60">
        <v>1</v>
      </c>
      <c r="AV167" s="60"/>
      <c r="AW167" s="60"/>
      <c r="AX167" s="60"/>
      <c r="AY167" s="60">
        <v>27</v>
      </c>
      <c r="AZ167" s="60"/>
      <c r="BA167" s="60">
        <v>12411</v>
      </c>
      <c r="BB167" s="60">
        <v>14</v>
      </c>
      <c r="BC167" s="60"/>
      <c r="BD167" s="60"/>
      <c r="BE167" s="60">
        <v>21</v>
      </c>
      <c r="BF167" s="60">
        <v>2961</v>
      </c>
      <c r="BG167" s="60">
        <v>1586</v>
      </c>
      <c r="BH167" s="60">
        <v>6207</v>
      </c>
      <c r="BI167" s="60">
        <v>3544</v>
      </c>
      <c r="BJ167" s="60">
        <v>1588</v>
      </c>
      <c r="BK167" s="60">
        <v>41</v>
      </c>
      <c r="BL167" s="60">
        <v>441</v>
      </c>
      <c r="BM167" s="60">
        <v>8</v>
      </c>
      <c r="BN167" s="60">
        <v>777</v>
      </c>
      <c r="BO167" s="60">
        <v>360</v>
      </c>
      <c r="BP167" s="60">
        <v>716</v>
      </c>
      <c r="BQ167" s="60">
        <v>339</v>
      </c>
      <c r="BR167" s="60">
        <v>2995</v>
      </c>
      <c r="BS167" s="60">
        <v>532</v>
      </c>
      <c r="BT167" s="60">
        <v>12</v>
      </c>
      <c r="BU167" s="60">
        <v>850</v>
      </c>
      <c r="BV167" s="60">
        <v>438</v>
      </c>
      <c r="BW167" s="60">
        <v>68</v>
      </c>
      <c r="BX167" s="60">
        <v>1549</v>
      </c>
      <c r="BY167" s="60">
        <v>1172</v>
      </c>
      <c r="BZ167" s="60">
        <v>457</v>
      </c>
      <c r="CA167" s="60">
        <v>1975</v>
      </c>
      <c r="CB167" s="60"/>
      <c r="CC167" s="60">
        <v>1</v>
      </c>
      <c r="CD167" s="60">
        <v>848</v>
      </c>
      <c r="CE167" s="60">
        <v>32</v>
      </c>
      <c r="CF167" s="60">
        <v>157</v>
      </c>
      <c r="CG167" s="60">
        <v>5</v>
      </c>
      <c r="CH167" s="60">
        <v>338</v>
      </c>
      <c r="CI167" s="60">
        <v>17</v>
      </c>
      <c r="CJ167" s="60">
        <v>38</v>
      </c>
      <c r="CK167" s="60">
        <v>104</v>
      </c>
      <c r="CL167" s="60">
        <v>11030</v>
      </c>
      <c r="CM167" s="60">
        <v>1332</v>
      </c>
      <c r="CN167" s="60">
        <v>66</v>
      </c>
      <c r="CO167" s="60">
        <v>220</v>
      </c>
      <c r="CP167" s="60">
        <v>37</v>
      </c>
      <c r="CQ167" s="60">
        <v>66</v>
      </c>
      <c r="CR167" s="60">
        <v>28</v>
      </c>
      <c r="CS167" s="60">
        <v>1</v>
      </c>
      <c r="CT167" s="60">
        <v>14319</v>
      </c>
      <c r="CU167" s="60">
        <v>72</v>
      </c>
      <c r="CV167" s="60">
        <v>10853</v>
      </c>
      <c r="CW167" s="60">
        <v>3394</v>
      </c>
      <c r="CX167" s="60">
        <v>1510</v>
      </c>
      <c r="CY167" s="60">
        <v>1408</v>
      </c>
      <c r="CZ167" s="60"/>
      <c r="DA167" s="60"/>
      <c r="DB167" s="60">
        <v>146</v>
      </c>
      <c r="DC167" s="60">
        <v>628</v>
      </c>
      <c r="DD167" s="60">
        <v>542</v>
      </c>
      <c r="DE167" s="60">
        <v>550</v>
      </c>
      <c r="DF167" s="60">
        <v>446</v>
      </c>
      <c r="DG167" s="60">
        <v>263</v>
      </c>
      <c r="DH167" s="60">
        <v>169</v>
      </c>
      <c r="DI167" s="60">
        <v>152</v>
      </c>
      <c r="DJ167" s="60">
        <v>22</v>
      </c>
      <c r="DK167" s="60"/>
      <c r="DL167" s="60"/>
      <c r="DM167" s="60">
        <v>57</v>
      </c>
      <c r="DN167" s="60">
        <v>65</v>
      </c>
      <c r="DO167" s="60">
        <v>1272</v>
      </c>
      <c r="DP167" s="60">
        <v>128</v>
      </c>
      <c r="DQ167" s="60">
        <v>146</v>
      </c>
      <c r="DR167" s="60">
        <v>1249</v>
      </c>
      <c r="DS167" s="60">
        <v>1</v>
      </c>
      <c r="DT167" s="60">
        <v>55</v>
      </c>
      <c r="DU167" s="60">
        <v>118</v>
      </c>
      <c r="DV167" s="60">
        <v>33</v>
      </c>
      <c r="DW167" s="60">
        <v>35</v>
      </c>
      <c r="DX167" s="60">
        <v>37</v>
      </c>
      <c r="DY167" s="60"/>
      <c r="DZ167" s="60">
        <v>80</v>
      </c>
      <c r="EA167" s="60">
        <v>2068</v>
      </c>
      <c r="EB167" s="60">
        <v>230</v>
      </c>
      <c r="EC167" s="60">
        <v>262</v>
      </c>
      <c r="ED167" s="60">
        <v>0</v>
      </c>
      <c r="EE167" s="60">
        <v>0</v>
      </c>
      <c r="EF167" s="60">
        <v>0</v>
      </c>
      <c r="EG167" s="60">
        <v>0</v>
      </c>
      <c r="EH167" s="60">
        <v>0</v>
      </c>
      <c r="EI167" s="60">
        <v>955</v>
      </c>
      <c r="EJ167" s="60">
        <v>675</v>
      </c>
      <c r="EK167" s="60">
        <v>925</v>
      </c>
      <c r="EL167" s="60">
        <v>286</v>
      </c>
      <c r="EM167" s="60">
        <v>77</v>
      </c>
      <c r="EN167" s="60">
        <v>561</v>
      </c>
      <c r="EO167" s="60">
        <v>32</v>
      </c>
      <c r="EP167" s="60">
        <v>192</v>
      </c>
      <c r="EQ167" s="60"/>
      <c r="ER167" s="60">
        <v>274</v>
      </c>
      <c r="ES167" s="60">
        <v>79</v>
      </c>
      <c r="ET167" s="60">
        <v>64</v>
      </c>
      <c r="EU167" s="60">
        <v>88</v>
      </c>
      <c r="EV167" s="60">
        <v>101</v>
      </c>
      <c r="EW167" s="60">
        <v>19</v>
      </c>
      <c r="EX167" s="60">
        <v>20</v>
      </c>
      <c r="EY167" s="60">
        <v>38</v>
      </c>
      <c r="EZ167" s="60">
        <v>9</v>
      </c>
      <c r="FA167" s="60">
        <v>1154</v>
      </c>
      <c r="FB167" s="60">
        <v>147</v>
      </c>
      <c r="FC167" s="60">
        <v>50</v>
      </c>
      <c r="FD167" s="60">
        <v>68</v>
      </c>
      <c r="FE167" s="60"/>
      <c r="FF167" s="60">
        <v>22</v>
      </c>
      <c r="FG167" s="60"/>
      <c r="FH167" s="60">
        <v>55</v>
      </c>
      <c r="FI167" s="60">
        <v>15</v>
      </c>
      <c r="FJ167" s="60">
        <v>59</v>
      </c>
      <c r="FK167" s="60">
        <v>15</v>
      </c>
      <c r="FL167" s="60">
        <v>6</v>
      </c>
      <c r="FM167" s="60">
        <v>50</v>
      </c>
      <c r="FN167" s="60">
        <v>3</v>
      </c>
      <c r="FO167" s="60">
        <v>2607</v>
      </c>
      <c r="FP167" s="60">
        <v>51</v>
      </c>
      <c r="FQ167" s="60">
        <v>3</v>
      </c>
      <c r="FR167" s="60">
        <v>4</v>
      </c>
      <c r="FS167" s="60">
        <v>32</v>
      </c>
      <c r="FT167" s="60">
        <v>11</v>
      </c>
      <c r="FU167" s="60">
        <v>7</v>
      </c>
      <c r="FV167" s="60"/>
      <c r="FW167" s="60"/>
      <c r="FX167" s="60">
        <v>2918</v>
      </c>
      <c r="FY167" s="60">
        <v>15</v>
      </c>
      <c r="FZ167" s="60">
        <v>2330</v>
      </c>
      <c r="GA167" s="60">
        <v>573</v>
      </c>
      <c r="GB167" s="60">
        <v>2011</v>
      </c>
    </row>
    <row r="168" spans="1:184" x14ac:dyDescent="0.3">
      <c r="A168" s="60">
        <v>106301205</v>
      </c>
      <c r="B168" s="61" t="s">
        <v>683</v>
      </c>
      <c r="C168" s="61" t="s">
        <v>684</v>
      </c>
      <c r="D168" s="61" t="s">
        <v>1912</v>
      </c>
      <c r="E168" s="61" t="s">
        <v>685</v>
      </c>
      <c r="F168" s="60">
        <v>92663</v>
      </c>
      <c r="G168" s="61"/>
      <c r="H168" s="61" t="s">
        <v>1669</v>
      </c>
      <c r="I168" s="60">
        <v>68</v>
      </c>
      <c r="J168" s="60">
        <v>35</v>
      </c>
      <c r="K168" s="61" t="s">
        <v>1913</v>
      </c>
      <c r="L168" s="61"/>
      <c r="M168" s="61" t="s">
        <v>1901</v>
      </c>
      <c r="N168" s="61" t="s">
        <v>1902</v>
      </c>
      <c r="O168" s="61" t="s">
        <v>1673</v>
      </c>
      <c r="P168" s="61" t="s">
        <v>1678</v>
      </c>
      <c r="Q168" s="61" t="s">
        <v>1674</v>
      </c>
      <c r="R168" s="60">
        <v>484</v>
      </c>
      <c r="S168" s="61" t="s">
        <v>1675</v>
      </c>
      <c r="T168" s="60">
        <v>40688</v>
      </c>
      <c r="U168" s="60">
        <v>34494</v>
      </c>
      <c r="V168" s="60">
        <v>1</v>
      </c>
      <c r="W168" s="60"/>
      <c r="X168" s="60">
        <v>6410</v>
      </c>
      <c r="Y168" s="60">
        <v>6818</v>
      </c>
      <c r="Z168" s="60">
        <v>11216</v>
      </c>
      <c r="AA168" s="60">
        <v>9686</v>
      </c>
      <c r="AB168" s="60">
        <v>10454</v>
      </c>
      <c r="AC168" s="60">
        <v>9236</v>
      </c>
      <c r="AD168" s="60">
        <v>7010</v>
      </c>
      <c r="AE168" s="60">
        <v>5769</v>
      </c>
      <c r="AF168" s="60">
        <v>7436</v>
      </c>
      <c r="AG168" s="60">
        <v>1148</v>
      </c>
      <c r="AH168" s="60"/>
      <c r="AI168" s="60">
        <v>5082</v>
      </c>
      <c r="AJ168" s="60">
        <v>1709</v>
      </c>
      <c r="AK168" s="60">
        <v>9567</v>
      </c>
      <c r="AL168" s="60">
        <v>24</v>
      </c>
      <c r="AM168" s="60">
        <v>5076</v>
      </c>
      <c r="AN168" s="60">
        <v>373</v>
      </c>
      <c r="AO168" s="60">
        <v>53352</v>
      </c>
      <c r="AP168" s="60">
        <v>225</v>
      </c>
      <c r="AQ168" s="60">
        <v>404</v>
      </c>
      <c r="AR168" s="60">
        <v>230</v>
      </c>
      <c r="AS168" s="60">
        <v>157</v>
      </c>
      <c r="AT168" s="60">
        <v>385</v>
      </c>
      <c r="AU168" s="60">
        <v>60</v>
      </c>
      <c r="AV168" s="60">
        <v>37</v>
      </c>
      <c r="AW168" s="60">
        <v>32</v>
      </c>
      <c r="AX168" s="60">
        <v>129</v>
      </c>
      <c r="AY168" s="60">
        <v>617</v>
      </c>
      <c r="AZ168" s="60">
        <v>90</v>
      </c>
      <c r="BA168" s="60">
        <v>71370</v>
      </c>
      <c r="BB168" s="60">
        <v>325</v>
      </c>
      <c r="BC168" s="60">
        <v>1120</v>
      </c>
      <c r="BD168" s="60">
        <v>2</v>
      </c>
      <c r="BE168" s="60">
        <v>11523</v>
      </c>
      <c r="BF168" s="60">
        <v>12918</v>
      </c>
      <c r="BG168" s="60">
        <v>2056</v>
      </c>
      <c r="BH168" s="60">
        <v>39136</v>
      </c>
      <c r="BI168" s="60">
        <v>9550</v>
      </c>
      <c r="BJ168" s="60">
        <v>1349</v>
      </c>
      <c r="BK168" s="60">
        <v>242</v>
      </c>
      <c r="BL168" s="60">
        <v>2453</v>
      </c>
      <c r="BM168" s="60">
        <v>22</v>
      </c>
      <c r="BN168" s="60">
        <v>2952</v>
      </c>
      <c r="BO168" s="60">
        <v>1497</v>
      </c>
      <c r="BP168" s="60">
        <v>4121</v>
      </c>
      <c r="BQ168" s="60">
        <v>1150</v>
      </c>
      <c r="BR168" s="60">
        <v>20426</v>
      </c>
      <c r="BS168" s="60">
        <v>3922</v>
      </c>
      <c r="BT168" s="60">
        <v>179</v>
      </c>
      <c r="BU168" s="60">
        <v>3506</v>
      </c>
      <c r="BV168" s="60">
        <v>2197</v>
      </c>
      <c r="BW168" s="60">
        <v>162</v>
      </c>
      <c r="BX168" s="60">
        <v>3857</v>
      </c>
      <c r="BY168" s="60">
        <v>5215</v>
      </c>
      <c r="BZ168" s="60">
        <v>2683</v>
      </c>
      <c r="CA168" s="60">
        <v>19250</v>
      </c>
      <c r="CB168" s="60"/>
      <c r="CC168" s="60"/>
      <c r="CD168" s="60">
        <v>7490</v>
      </c>
      <c r="CE168" s="60">
        <v>301</v>
      </c>
      <c r="CF168" s="60">
        <v>750</v>
      </c>
      <c r="CG168" s="60">
        <v>34</v>
      </c>
      <c r="CH168" s="60">
        <v>487</v>
      </c>
      <c r="CI168" s="60">
        <v>66</v>
      </c>
      <c r="CJ168" s="60">
        <v>541</v>
      </c>
      <c r="CK168" s="60">
        <v>632</v>
      </c>
      <c r="CL168" s="60">
        <v>52789</v>
      </c>
      <c r="CM168" s="60">
        <v>8632</v>
      </c>
      <c r="CN168" s="60">
        <v>622</v>
      </c>
      <c r="CO168" s="60">
        <v>2032</v>
      </c>
      <c r="CP168" s="60">
        <v>296</v>
      </c>
      <c r="CQ168" s="60">
        <v>359</v>
      </c>
      <c r="CR168" s="60">
        <v>152</v>
      </c>
      <c r="CS168" s="60"/>
      <c r="CT168" s="60">
        <v>75183</v>
      </c>
      <c r="CU168" s="60">
        <v>1927</v>
      </c>
      <c r="CV168" s="60">
        <v>69779</v>
      </c>
      <c r="CW168" s="60">
        <v>3477</v>
      </c>
      <c r="CX168" s="60">
        <v>7044</v>
      </c>
      <c r="CY168" s="60">
        <v>6451</v>
      </c>
      <c r="CZ168" s="60"/>
      <c r="DA168" s="60"/>
      <c r="DB168" s="60">
        <v>147</v>
      </c>
      <c r="DC168" s="60">
        <v>731</v>
      </c>
      <c r="DD168" s="60">
        <v>893</v>
      </c>
      <c r="DE168" s="60">
        <v>1396</v>
      </c>
      <c r="DF168" s="60">
        <v>1961</v>
      </c>
      <c r="DG168" s="60">
        <v>2155</v>
      </c>
      <c r="DH168" s="60">
        <v>2412</v>
      </c>
      <c r="DI168" s="60">
        <v>3796</v>
      </c>
      <c r="DJ168" s="60">
        <v>4</v>
      </c>
      <c r="DK168" s="60"/>
      <c r="DL168" s="60"/>
      <c r="DM168" s="60">
        <v>859</v>
      </c>
      <c r="DN168" s="60">
        <v>187</v>
      </c>
      <c r="DO168" s="60">
        <v>1070</v>
      </c>
      <c r="DP168" s="60">
        <v>585</v>
      </c>
      <c r="DQ168" s="60">
        <v>13</v>
      </c>
      <c r="DR168" s="60">
        <v>10775</v>
      </c>
      <c r="DS168" s="60">
        <v>6</v>
      </c>
      <c r="DT168" s="60">
        <v>224</v>
      </c>
      <c r="DU168" s="60">
        <v>131</v>
      </c>
      <c r="DV168" s="60">
        <v>499</v>
      </c>
      <c r="DW168" s="60">
        <v>411</v>
      </c>
      <c r="DX168" s="60">
        <v>230</v>
      </c>
      <c r="DY168" s="60">
        <v>24</v>
      </c>
      <c r="DZ168" s="60">
        <v>354</v>
      </c>
      <c r="EA168" s="60">
        <v>9785</v>
      </c>
      <c r="EB168" s="60">
        <v>1837</v>
      </c>
      <c r="EC168" s="60"/>
      <c r="ED168" s="60">
        <v>0</v>
      </c>
      <c r="EE168" s="60">
        <v>0</v>
      </c>
      <c r="EF168" s="60">
        <v>0</v>
      </c>
      <c r="EG168" s="60">
        <v>0</v>
      </c>
      <c r="EH168" s="60">
        <v>0</v>
      </c>
      <c r="EI168" s="60">
        <v>753</v>
      </c>
      <c r="EJ168" s="60">
        <v>7305</v>
      </c>
      <c r="EK168" s="60">
        <v>97</v>
      </c>
      <c r="EL168" s="60">
        <v>4187</v>
      </c>
      <c r="EM168" s="60">
        <v>1153</v>
      </c>
      <c r="EN168" s="60">
        <v>195</v>
      </c>
      <c r="EO168" s="60">
        <v>204</v>
      </c>
      <c r="EP168" s="60">
        <v>2485</v>
      </c>
      <c r="EQ168" s="60">
        <v>12</v>
      </c>
      <c r="ER168" s="60">
        <v>2745</v>
      </c>
      <c r="ES168" s="60">
        <v>458</v>
      </c>
      <c r="ET168" s="60">
        <v>844</v>
      </c>
      <c r="EU168" s="60">
        <v>1395</v>
      </c>
      <c r="EV168" s="60">
        <v>1372</v>
      </c>
      <c r="EW168" s="60">
        <v>237</v>
      </c>
      <c r="EX168" s="60">
        <v>568</v>
      </c>
      <c r="EY168" s="60">
        <v>252</v>
      </c>
      <c r="EZ168" s="60">
        <v>10</v>
      </c>
      <c r="FA168" s="60">
        <v>213</v>
      </c>
      <c r="FB168" s="60">
        <v>1651</v>
      </c>
      <c r="FC168" s="60">
        <v>385</v>
      </c>
      <c r="FD168" s="60">
        <v>465</v>
      </c>
      <c r="FE168" s="60">
        <v>2</v>
      </c>
      <c r="FF168" s="60">
        <v>2</v>
      </c>
      <c r="FG168" s="60"/>
      <c r="FH168" s="60">
        <v>718</v>
      </c>
      <c r="FI168" s="60">
        <v>61</v>
      </c>
      <c r="FJ168" s="60">
        <v>1516</v>
      </c>
      <c r="FK168" s="60">
        <v>27</v>
      </c>
      <c r="FL168" s="60">
        <v>53</v>
      </c>
      <c r="FM168" s="60">
        <v>1103</v>
      </c>
      <c r="FN168" s="60">
        <v>39</v>
      </c>
      <c r="FO168" s="60">
        <v>9498</v>
      </c>
      <c r="FP168" s="60">
        <v>185</v>
      </c>
      <c r="FQ168" s="60">
        <v>43</v>
      </c>
      <c r="FR168" s="60">
        <v>36</v>
      </c>
      <c r="FS168" s="60">
        <v>84</v>
      </c>
      <c r="FT168" s="60">
        <v>116</v>
      </c>
      <c r="FU168" s="60">
        <v>15</v>
      </c>
      <c r="FV168" s="60">
        <v>1</v>
      </c>
      <c r="FW168" s="60"/>
      <c r="FX168" s="60">
        <v>13495</v>
      </c>
      <c r="FY168" s="60">
        <v>499</v>
      </c>
      <c r="FZ168" s="60">
        <v>12504</v>
      </c>
      <c r="GA168" s="60">
        <v>492</v>
      </c>
      <c r="GB168" s="60">
        <v>2011</v>
      </c>
    </row>
    <row r="169" spans="1:184" x14ac:dyDescent="0.3">
      <c r="A169" s="60">
        <v>106301209</v>
      </c>
      <c r="B169" s="61" t="s">
        <v>686</v>
      </c>
      <c r="C169" s="61" t="s">
        <v>687</v>
      </c>
      <c r="D169" s="61" t="s">
        <v>688</v>
      </c>
      <c r="E169" s="61" t="s">
        <v>689</v>
      </c>
      <c r="F169" s="60">
        <v>92647</v>
      </c>
      <c r="G169" s="61"/>
      <c r="H169" s="61" t="s">
        <v>1669</v>
      </c>
      <c r="I169" s="60">
        <v>67</v>
      </c>
      <c r="J169" s="60">
        <v>35</v>
      </c>
      <c r="K169" s="61" t="s">
        <v>1914</v>
      </c>
      <c r="L169" s="61"/>
      <c r="M169" s="61" t="s">
        <v>1901</v>
      </c>
      <c r="N169" s="61" t="s">
        <v>1902</v>
      </c>
      <c r="O169" s="61" t="s">
        <v>1673</v>
      </c>
      <c r="P169" s="61" t="s">
        <v>321</v>
      </c>
      <c r="Q169" s="61" t="s">
        <v>1674</v>
      </c>
      <c r="R169" s="60">
        <v>106</v>
      </c>
      <c r="S169" s="61" t="s">
        <v>1675</v>
      </c>
      <c r="T169" s="60">
        <v>7287</v>
      </c>
      <c r="U169" s="60">
        <v>7390</v>
      </c>
      <c r="V169" s="60"/>
      <c r="W169" s="60"/>
      <c r="X169" s="60">
        <v>1421</v>
      </c>
      <c r="Y169" s="60">
        <v>1768</v>
      </c>
      <c r="Z169" s="60">
        <v>2834</v>
      </c>
      <c r="AA169" s="60">
        <v>2428</v>
      </c>
      <c r="AB169" s="60">
        <v>2470</v>
      </c>
      <c r="AC169" s="60">
        <v>1785</v>
      </c>
      <c r="AD169" s="60">
        <v>829</v>
      </c>
      <c r="AE169" s="60">
        <v>527</v>
      </c>
      <c r="AF169" s="60">
        <v>443</v>
      </c>
      <c r="AG169" s="60">
        <v>172</v>
      </c>
      <c r="AH169" s="60"/>
      <c r="AI169" s="60">
        <v>796</v>
      </c>
      <c r="AJ169" s="60">
        <v>348</v>
      </c>
      <c r="AK169" s="60">
        <v>2814</v>
      </c>
      <c r="AL169" s="60">
        <v>7</v>
      </c>
      <c r="AM169" s="60">
        <v>1096</v>
      </c>
      <c r="AN169" s="60">
        <v>4</v>
      </c>
      <c r="AO169" s="60">
        <v>9612</v>
      </c>
      <c r="AP169" s="60">
        <v>481</v>
      </c>
      <c r="AQ169" s="60">
        <v>1015</v>
      </c>
      <c r="AR169" s="60">
        <v>7</v>
      </c>
      <c r="AS169" s="60">
        <v>65</v>
      </c>
      <c r="AT169" s="60"/>
      <c r="AU169" s="60"/>
      <c r="AV169" s="60"/>
      <c r="AW169" s="60"/>
      <c r="AX169" s="60"/>
      <c r="AY169" s="60">
        <v>302</v>
      </c>
      <c r="AZ169" s="60"/>
      <c r="BA169" s="60">
        <v>12795</v>
      </c>
      <c r="BB169" s="60">
        <v>12</v>
      </c>
      <c r="BC169" s="60"/>
      <c r="BD169" s="60"/>
      <c r="BE169" s="60">
        <v>3986</v>
      </c>
      <c r="BF169" s="60">
        <v>2061</v>
      </c>
      <c r="BG169" s="60">
        <v>1453</v>
      </c>
      <c r="BH169" s="60">
        <v>3592</v>
      </c>
      <c r="BI169" s="60">
        <v>3585</v>
      </c>
      <c r="BJ169" s="60">
        <v>138</v>
      </c>
      <c r="BK169" s="60">
        <v>15</v>
      </c>
      <c r="BL169" s="60">
        <v>249</v>
      </c>
      <c r="BM169" s="60">
        <v>2</v>
      </c>
      <c r="BN169" s="60">
        <v>682</v>
      </c>
      <c r="BO169" s="60">
        <v>105</v>
      </c>
      <c r="BP169" s="60">
        <v>626</v>
      </c>
      <c r="BQ169" s="60">
        <v>178</v>
      </c>
      <c r="BR169" s="60">
        <v>3815</v>
      </c>
      <c r="BS169" s="60">
        <v>677</v>
      </c>
      <c r="BT169" s="60">
        <v>8</v>
      </c>
      <c r="BU169" s="60">
        <v>1233</v>
      </c>
      <c r="BV169" s="60">
        <v>1565</v>
      </c>
      <c r="BW169" s="60">
        <v>1</v>
      </c>
      <c r="BX169" s="60">
        <v>872</v>
      </c>
      <c r="BY169" s="60">
        <v>1165</v>
      </c>
      <c r="BZ169" s="60">
        <v>624</v>
      </c>
      <c r="CA169" s="60">
        <v>2722</v>
      </c>
      <c r="CB169" s="60"/>
      <c r="CC169" s="60"/>
      <c r="CD169" s="60">
        <v>1085</v>
      </c>
      <c r="CE169" s="60">
        <v>127</v>
      </c>
      <c r="CF169" s="60">
        <v>217</v>
      </c>
      <c r="CG169" s="60">
        <v>9</v>
      </c>
      <c r="CH169" s="60">
        <v>150</v>
      </c>
      <c r="CI169" s="60">
        <v>229</v>
      </c>
      <c r="CJ169" s="60">
        <v>7</v>
      </c>
      <c r="CK169" s="60">
        <v>212</v>
      </c>
      <c r="CL169" s="60">
        <v>10619</v>
      </c>
      <c r="CM169" s="60">
        <v>1207</v>
      </c>
      <c r="CN169" s="60">
        <v>123</v>
      </c>
      <c r="CO169" s="60">
        <v>510</v>
      </c>
      <c r="CP169" s="60">
        <v>79</v>
      </c>
      <c r="CQ169" s="60">
        <v>91</v>
      </c>
      <c r="CR169" s="60">
        <v>12</v>
      </c>
      <c r="CS169" s="60"/>
      <c r="CT169" s="60">
        <v>14677</v>
      </c>
      <c r="CU169" s="60">
        <v>273</v>
      </c>
      <c r="CV169" s="60">
        <v>13462</v>
      </c>
      <c r="CW169" s="60">
        <v>942</v>
      </c>
      <c r="CX169" s="60">
        <v>1548</v>
      </c>
      <c r="CY169" s="60">
        <v>1581</v>
      </c>
      <c r="CZ169" s="60"/>
      <c r="DA169" s="60"/>
      <c r="DB169" s="60">
        <v>43</v>
      </c>
      <c r="DC169" s="60">
        <v>150</v>
      </c>
      <c r="DD169" s="60">
        <v>227</v>
      </c>
      <c r="DE169" s="60">
        <v>439</v>
      </c>
      <c r="DF169" s="60">
        <v>515</v>
      </c>
      <c r="DG169" s="60">
        <v>505</v>
      </c>
      <c r="DH169" s="60">
        <v>515</v>
      </c>
      <c r="DI169" s="60">
        <v>735</v>
      </c>
      <c r="DJ169" s="60"/>
      <c r="DK169" s="60"/>
      <c r="DL169" s="60"/>
      <c r="DM169" s="60">
        <v>310</v>
      </c>
      <c r="DN169" s="60">
        <v>51</v>
      </c>
      <c r="DO169" s="60">
        <v>377</v>
      </c>
      <c r="DP169" s="60">
        <v>179</v>
      </c>
      <c r="DQ169" s="60"/>
      <c r="DR169" s="60">
        <v>2210</v>
      </c>
      <c r="DS169" s="60">
        <v>2</v>
      </c>
      <c r="DT169" s="60">
        <v>370</v>
      </c>
      <c r="DU169" s="60">
        <v>163</v>
      </c>
      <c r="DV169" s="60">
        <v>91</v>
      </c>
      <c r="DW169" s="60">
        <v>224</v>
      </c>
      <c r="DX169" s="60">
        <v>63</v>
      </c>
      <c r="DY169" s="60"/>
      <c r="DZ169" s="60">
        <v>132</v>
      </c>
      <c r="EA169" s="60">
        <v>1554</v>
      </c>
      <c r="EB169" s="60">
        <v>528</v>
      </c>
      <c r="EC169" s="60">
        <v>4</v>
      </c>
      <c r="ED169" s="60">
        <v>0</v>
      </c>
      <c r="EE169" s="60">
        <v>0</v>
      </c>
      <c r="EF169" s="60">
        <v>0</v>
      </c>
      <c r="EG169" s="60">
        <v>0</v>
      </c>
      <c r="EH169" s="60">
        <v>0</v>
      </c>
      <c r="EI169" s="60">
        <v>443</v>
      </c>
      <c r="EJ169" s="60">
        <v>1807</v>
      </c>
      <c r="EK169" s="60">
        <v>10</v>
      </c>
      <c r="EL169" s="60">
        <v>431</v>
      </c>
      <c r="EM169" s="60">
        <v>438</v>
      </c>
      <c r="EN169" s="60">
        <v>12</v>
      </c>
      <c r="EO169" s="60">
        <v>29</v>
      </c>
      <c r="EP169" s="60">
        <v>466</v>
      </c>
      <c r="EQ169" s="60">
        <v>2</v>
      </c>
      <c r="ER169" s="60">
        <v>471</v>
      </c>
      <c r="ES169" s="60">
        <v>162</v>
      </c>
      <c r="ET169" s="60">
        <v>248</v>
      </c>
      <c r="EU169" s="60">
        <v>411</v>
      </c>
      <c r="EV169" s="60">
        <v>253</v>
      </c>
      <c r="EW169" s="60">
        <v>63</v>
      </c>
      <c r="EX169" s="60">
        <v>31</v>
      </c>
      <c r="EY169" s="60">
        <v>168</v>
      </c>
      <c r="EZ169" s="60">
        <v>2</v>
      </c>
      <c r="FA169" s="60">
        <v>205</v>
      </c>
      <c r="FB169" s="60">
        <v>336</v>
      </c>
      <c r="FC169" s="60">
        <v>70</v>
      </c>
      <c r="FD169" s="60">
        <v>200</v>
      </c>
      <c r="FE169" s="60"/>
      <c r="FF169" s="60"/>
      <c r="FG169" s="60"/>
      <c r="FH169" s="60">
        <v>217</v>
      </c>
      <c r="FI169" s="60">
        <v>26</v>
      </c>
      <c r="FJ169" s="60">
        <v>268</v>
      </c>
      <c r="FK169" s="60">
        <v>8</v>
      </c>
      <c r="FL169" s="60">
        <v>4</v>
      </c>
      <c r="FM169" s="60">
        <v>2</v>
      </c>
      <c r="FN169" s="60">
        <v>3</v>
      </c>
      <c r="FO169" s="60">
        <v>2268</v>
      </c>
      <c r="FP169" s="60">
        <v>215</v>
      </c>
      <c r="FQ169" s="60">
        <v>5</v>
      </c>
      <c r="FR169" s="60">
        <v>13</v>
      </c>
      <c r="FS169" s="60">
        <v>41</v>
      </c>
      <c r="FT169" s="60">
        <v>15</v>
      </c>
      <c r="FU169" s="60">
        <v>44</v>
      </c>
      <c r="FV169" s="60"/>
      <c r="FW169" s="60"/>
      <c r="FX169" s="60">
        <v>3129</v>
      </c>
      <c r="FY169" s="60">
        <v>178</v>
      </c>
      <c r="FZ169" s="60">
        <v>2761</v>
      </c>
      <c r="GA169" s="60">
        <v>190</v>
      </c>
      <c r="GB169" s="60">
        <v>2011</v>
      </c>
    </row>
    <row r="170" spans="1:184" x14ac:dyDescent="0.3">
      <c r="A170" s="60">
        <v>106301234</v>
      </c>
      <c r="B170" s="61" t="s">
        <v>690</v>
      </c>
      <c r="C170" s="61" t="s">
        <v>691</v>
      </c>
      <c r="D170" s="61" t="s">
        <v>692</v>
      </c>
      <c r="E170" s="61" t="s">
        <v>693</v>
      </c>
      <c r="F170" s="60">
        <v>90623</v>
      </c>
      <c r="G170" s="61"/>
      <c r="H170" s="61" t="s">
        <v>1669</v>
      </c>
      <c r="I170" s="60">
        <v>67</v>
      </c>
      <c r="J170" s="60">
        <v>35</v>
      </c>
      <c r="K170" s="61" t="s">
        <v>1915</v>
      </c>
      <c r="L170" s="61"/>
      <c r="M170" s="61" t="s">
        <v>1901</v>
      </c>
      <c r="N170" s="61" t="s">
        <v>1902</v>
      </c>
      <c r="O170" s="61" t="s">
        <v>1673</v>
      </c>
      <c r="P170" s="61" t="s">
        <v>321</v>
      </c>
      <c r="Q170" s="61" t="s">
        <v>1674</v>
      </c>
      <c r="R170" s="60">
        <v>124</v>
      </c>
      <c r="S170" s="61" t="s">
        <v>1675</v>
      </c>
      <c r="T170" s="60">
        <v>6152</v>
      </c>
      <c r="U170" s="60">
        <v>5202</v>
      </c>
      <c r="V170" s="60"/>
      <c r="W170" s="60"/>
      <c r="X170" s="60">
        <v>1746</v>
      </c>
      <c r="Y170" s="60">
        <v>1521</v>
      </c>
      <c r="Z170" s="60">
        <v>1856</v>
      </c>
      <c r="AA170" s="60">
        <v>1609</v>
      </c>
      <c r="AB170" s="60">
        <v>1531</v>
      </c>
      <c r="AC170" s="60">
        <v>1185</v>
      </c>
      <c r="AD170" s="60">
        <v>670</v>
      </c>
      <c r="AE170" s="60">
        <v>511</v>
      </c>
      <c r="AF170" s="60">
        <v>447</v>
      </c>
      <c r="AG170" s="60">
        <v>278</v>
      </c>
      <c r="AH170" s="60"/>
      <c r="AI170" s="60">
        <v>1818</v>
      </c>
      <c r="AJ170" s="60">
        <v>1229</v>
      </c>
      <c r="AK170" s="60">
        <v>2945</v>
      </c>
      <c r="AL170" s="60">
        <v>8</v>
      </c>
      <c r="AM170" s="60">
        <v>787</v>
      </c>
      <c r="AN170" s="60">
        <v>63</v>
      </c>
      <c r="AO170" s="60">
        <v>4504</v>
      </c>
      <c r="AP170" s="60">
        <v>390</v>
      </c>
      <c r="AQ170" s="60">
        <v>661</v>
      </c>
      <c r="AR170" s="60">
        <v>40</v>
      </c>
      <c r="AS170" s="60">
        <v>35</v>
      </c>
      <c r="AT170" s="60">
        <v>2</v>
      </c>
      <c r="AU170" s="60">
        <v>2</v>
      </c>
      <c r="AV170" s="60"/>
      <c r="AW170" s="60"/>
      <c r="AX170" s="60"/>
      <c r="AY170" s="60">
        <v>97</v>
      </c>
      <c r="AZ170" s="60"/>
      <c r="BA170" s="60">
        <v>10073</v>
      </c>
      <c r="BB170" s="60">
        <v>54</v>
      </c>
      <c r="BC170" s="60"/>
      <c r="BD170" s="60"/>
      <c r="BE170" s="60">
        <v>3634</v>
      </c>
      <c r="BF170" s="60">
        <v>1609</v>
      </c>
      <c r="BG170" s="60">
        <v>549</v>
      </c>
      <c r="BH170" s="60">
        <v>3424</v>
      </c>
      <c r="BI170" s="60">
        <v>2138</v>
      </c>
      <c r="BJ170" s="60">
        <v>340</v>
      </c>
      <c r="BK170" s="60">
        <v>22</v>
      </c>
      <c r="BL170" s="60">
        <v>271</v>
      </c>
      <c r="BM170" s="60"/>
      <c r="BN170" s="60">
        <v>494</v>
      </c>
      <c r="BO170" s="60">
        <v>154</v>
      </c>
      <c r="BP170" s="60">
        <v>542</v>
      </c>
      <c r="BQ170" s="60">
        <v>179</v>
      </c>
      <c r="BR170" s="60">
        <v>2785</v>
      </c>
      <c r="BS170" s="60">
        <v>792</v>
      </c>
      <c r="BT170" s="60">
        <v>7</v>
      </c>
      <c r="BU170" s="60">
        <v>661</v>
      </c>
      <c r="BV170" s="60">
        <v>711</v>
      </c>
      <c r="BW170" s="60">
        <v>7</v>
      </c>
      <c r="BX170" s="60">
        <v>447</v>
      </c>
      <c r="BY170" s="60">
        <v>1117</v>
      </c>
      <c r="BZ170" s="60">
        <v>430</v>
      </c>
      <c r="CA170" s="60">
        <v>2395</v>
      </c>
      <c r="CB170" s="60"/>
      <c r="CC170" s="60"/>
      <c r="CD170" s="60">
        <v>925</v>
      </c>
      <c r="CE170" s="60">
        <v>36</v>
      </c>
      <c r="CF170" s="60">
        <v>111</v>
      </c>
      <c r="CG170" s="60">
        <v>13</v>
      </c>
      <c r="CH170" s="60">
        <v>84</v>
      </c>
      <c r="CI170" s="60">
        <v>33</v>
      </c>
      <c r="CJ170" s="60">
        <v>29</v>
      </c>
      <c r="CK170" s="60">
        <v>121</v>
      </c>
      <c r="CL170" s="60">
        <v>8155</v>
      </c>
      <c r="CM170" s="60">
        <v>1164</v>
      </c>
      <c r="CN170" s="60">
        <v>65</v>
      </c>
      <c r="CO170" s="60">
        <v>506</v>
      </c>
      <c r="CP170" s="60">
        <v>32</v>
      </c>
      <c r="CQ170" s="60">
        <v>58</v>
      </c>
      <c r="CR170" s="60">
        <v>22</v>
      </c>
      <c r="CS170" s="60"/>
      <c r="CT170" s="60">
        <v>11354</v>
      </c>
      <c r="CU170" s="60">
        <v>264</v>
      </c>
      <c r="CV170" s="60">
        <v>10573</v>
      </c>
      <c r="CW170" s="60">
        <v>517</v>
      </c>
      <c r="CX170" s="60">
        <v>1912</v>
      </c>
      <c r="CY170" s="60">
        <v>1381</v>
      </c>
      <c r="CZ170" s="60"/>
      <c r="DA170" s="60"/>
      <c r="DB170" s="60">
        <v>54</v>
      </c>
      <c r="DC170" s="60">
        <v>172</v>
      </c>
      <c r="DD170" s="60">
        <v>222</v>
      </c>
      <c r="DE170" s="60">
        <v>350</v>
      </c>
      <c r="DF170" s="60">
        <v>477</v>
      </c>
      <c r="DG170" s="60">
        <v>498</v>
      </c>
      <c r="DH170" s="60">
        <v>650</v>
      </c>
      <c r="DI170" s="60">
        <v>869</v>
      </c>
      <c r="DJ170" s="60">
        <v>1</v>
      </c>
      <c r="DK170" s="60"/>
      <c r="DL170" s="60"/>
      <c r="DM170" s="60">
        <v>818</v>
      </c>
      <c r="DN170" s="60">
        <v>296</v>
      </c>
      <c r="DO170" s="60">
        <v>635</v>
      </c>
      <c r="DP170" s="60">
        <v>209</v>
      </c>
      <c r="DQ170" s="60">
        <v>10</v>
      </c>
      <c r="DR170" s="60">
        <v>1325</v>
      </c>
      <c r="DS170" s="60"/>
      <c r="DT170" s="60">
        <v>303</v>
      </c>
      <c r="DU170" s="60">
        <v>100</v>
      </c>
      <c r="DV170" s="60">
        <v>69</v>
      </c>
      <c r="DW170" s="60">
        <v>155</v>
      </c>
      <c r="DX170" s="60">
        <v>34</v>
      </c>
      <c r="DY170" s="60"/>
      <c r="DZ170" s="60">
        <v>101</v>
      </c>
      <c r="EA170" s="60">
        <v>1676</v>
      </c>
      <c r="EB170" s="60">
        <v>855</v>
      </c>
      <c r="EC170" s="60"/>
      <c r="ED170" s="60">
        <v>0</v>
      </c>
      <c r="EE170" s="60">
        <v>0</v>
      </c>
      <c r="EF170" s="60">
        <v>0</v>
      </c>
      <c r="EG170" s="60">
        <v>0</v>
      </c>
      <c r="EH170" s="60">
        <v>0</v>
      </c>
      <c r="EI170" s="60">
        <v>682</v>
      </c>
      <c r="EJ170" s="60">
        <v>2008</v>
      </c>
      <c r="EK170" s="60">
        <v>22</v>
      </c>
      <c r="EL170" s="60">
        <v>442</v>
      </c>
      <c r="EM170" s="60">
        <v>139</v>
      </c>
      <c r="EN170" s="60">
        <v>191</v>
      </c>
      <c r="EO170" s="60">
        <v>57</v>
      </c>
      <c r="EP170" s="60">
        <v>474</v>
      </c>
      <c r="EQ170" s="60"/>
      <c r="ER170" s="60">
        <v>484</v>
      </c>
      <c r="ES170" s="60">
        <v>179</v>
      </c>
      <c r="ET170" s="60">
        <v>255</v>
      </c>
      <c r="EU170" s="60">
        <v>292</v>
      </c>
      <c r="EV170" s="60">
        <v>219</v>
      </c>
      <c r="EW170" s="60">
        <v>62</v>
      </c>
      <c r="EX170" s="60">
        <v>38</v>
      </c>
      <c r="EY170" s="60">
        <v>79</v>
      </c>
      <c r="EZ170" s="60">
        <v>12</v>
      </c>
      <c r="FA170" s="60">
        <v>260</v>
      </c>
      <c r="FB170" s="60">
        <v>333</v>
      </c>
      <c r="FC170" s="60">
        <v>70</v>
      </c>
      <c r="FD170" s="60">
        <v>287</v>
      </c>
      <c r="FE170" s="60"/>
      <c r="FF170" s="60">
        <v>1</v>
      </c>
      <c r="FG170" s="60"/>
      <c r="FH170" s="60">
        <v>133</v>
      </c>
      <c r="FI170" s="60">
        <v>12</v>
      </c>
      <c r="FJ170" s="60">
        <v>100</v>
      </c>
      <c r="FK170" s="60">
        <v>3</v>
      </c>
      <c r="FL170" s="60">
        <v>12</v>
      </c>
      <c r="FM170" s="60">
        <v>142</v>
      </c>
      <c r="FN170" s="60"/>
      <c r="FO170" s="60">
        <v>2824</v>
      </c>
      <c r="FP170" s="60">
        <v>30</v>
      </c>
      <c r="FQ170" s="60">
        <v>2</v>
      </c>
      <c r="FR170" s="60">
        <v>11</v>
      </c>
      <c r="FS170" s="60">
        <v>12</v>
      </c>
      <c r="FT170" s="60">
        <v>6</v>
      </c>
      <c r="FU170" s="60">
        <v>6</v>
      </c>
      <c r="FV170" s="60"/>
      <c r="FW170" s="60"/>
      <c r="FX170" s="60">
        <v>3293</v>
      </c>
      <c r="FY170" s="60">
        <v>296</v>
      </c>
      <c r="FZ170" s="60">
        <v>2774</v>
      </c>
      <c r="GA170" s="60">
        <v>223</v>
      </c>
      <c r="GB170" s="60">
        <v>2011</v>
      </c>
    </row>
    <row r="171" spans="1:184" x14ac:dyDescent="0.3">
      <c r="A171" s="60">
        <v>106301248</v>
      </c>
      <c r="B171" s="61" t="s">
        <v>694</v>
      </c>
      <c r="C171" s="61" t="s">
        <v>695</v>
      </c>
      <c r="D171" s="61" t="s">
        <v>696</v>
      </c>
      <c r="E171" s="61" t="s">
        <v>697</v>
      </c>
      <c r="F171" s="60">
        <v>90720</v>
      </c>
      <c r="G171" s="61"/>
      <c r="H171" s="61" t="s">
        <v>1669</v>
      </c>
      <c r="I171" s="60">
        <v>67</v>
      </c>
      <c r="J171" s="60">
        <v>35</v>
      </c>
      <c r="K171" s="61" t="s">
        <v>1916</v>
      </c>
      <c r="L171" s="61"/>
      <c r="M171" s="61" t="s">
        <v>1901</v>
      </c>
      <c r="N171" s="61" t="s">
        <v>1902</v>
      </c>
      <c r="O171" s="61" t="s">
        <v>1673</v>
      </c>
      <c r="P171" s="61" t="s">
        <v>221</v>
      </c>
      <c r="Q171" s="61" t="s">
        <v>1674</v>
      </c>
      <c r="R171" s="60">
        <v>142</v>
      </c>
      <c r="S171" s="61" t="s">
        <v>1675</v>
      </c>
      <c r="T171" s="60">
        <v>13869</v>
      </c>
      <c r="U171" s="60">
        <v>10030</v>
      </c>
      <c r="V171" s="60"/>
      <c r="W171" s="60"/>
      <c r="X171" s="60">
        <v>2349</v>
      </c>
      <c r="Y171" s="60">
        <v>2354</v>
      </c>
      <c r="Z171" s="60">
        <v>2996</v>
      </c>
      <c r="AA171" s="60">
        <v>2612</v>
      </c>
      <c r="AB171" s="60">
        <v>2948</v>
      </c>
      <c r="AC171" s="60">
        <v>2586</v>
      </c>
      <c r="AD171" s="60">
        <v>2055</v>
      </c>
      <c r="AE171" s="60">
        <v>2189</v>
      </c>
      <c r="AF171" s="60">
        <v>3318</v>
      </c>
      <c r="AG171" s="60">
        <v>492</v>
      </c>
      <c r="AH171" s="60"/>
      <c r="AI171" s="60">
        <v>1799</v>
      </c>
      <c r="AJ171" s="60">
        <v>1104</v>
      </c>
      <c r="AK171" s="60">
        <v>4387</v>
      </c>
      <c r="AL171" s="60">
        <v>8</v>
      </c>
      <c r="AM171" s="60">
        <v>246</v>
      </c>
      <c r="AN171" s="60">
        <v>99</v>
      </c>
      <c r="AO171" s="60">
        <v>16256</v>
      </c>
      <c r="AP171" s="60">
        <v>432</v>
      </c>
      <c r="AQ171" s="60">
        <v>826</v>
      </c>
      <c r="AR171" s="60">
        <v>85</v>
      </c>
      <c r="AS171" s="60">
        <v>50</v>
      </c>
      <c r="AT171" s="60">
        <v>89</v>
      </c>
      <c r="AU171" s="60">
        <v>9</v>
      </c>
      <c r="AV171" s="60"/>
      <c r="AW171" s="60">
        <v>58</v>
      </c>
      <c r="AX171" s="60"/>
      <c r="AY171" s="60">
        <v>22</v>
      </c>
      <c r="AZ171" s="60">
        <v>1</v>
      </c>
      <c r="BA171" s="60">
        <v>21979</v>
      </c>
      <c r="BB171" s="60">
        <v>348</v>
      </c>
      <c r="BC171" s="60"/>
      <c r="BD171" s="60"/>
      <c r="BE171" s="60">
        <v>738</v>
      </c>
      <c r="BF171" s="60">
        <v>6735</v>
      </c>
      <c r="BG171" s="60">
        <v>1483</v>
      </c>
      <c r="BH171" s="60">
        <v>12517</v>
      </c>
      <c r="BI171" s="60">
        <v>2426</v>
      </c>
      <c r="BJ171" s="60">
        <v>643</v>
      </c>
      <c r="BK171" s="60">
        <v>80</v>
      </c>
      <c r="BL171" s="60">
        <v>817</v>
      </c>
      <c r="BM171" s="60">
        <v>4</v>
      </c>
      <c r="BN171" s="60">
        <v>914</v>
      </c>
      <c r="BO171" s="60">
        <v>280</v>
      </c>
      <c r="BP171" s="60">
        <v>1607</v>
      </c>
      <c r="BQ171" s="60">
        <v>379</v>
      </c>
      <c r="BR171" s="60">
        <v>6440</v>
      </c>
      <c r="BS171" s="60">
        <v>1210</v>
      </c>
      <c r="BT171" s="60">
        <v>21</v>
      </c>
      <c r="BU171" s="60">
        <v>1603</v>
      </c>
      <c r="BV171" s="60">
        <v>253</v>
      </c>
      <c r="BW171" s="60">
        <v>26</v>
      </c>
      <c r="BX171" s="60">
        <v>584</v>
      </c>
      <c r="BY171" s="60">
        <v>1870</v>
      </c>
      <c r="BZ171" s="60">
        <v>814</v>
      </c>
      <c r="CA171" s="60">
        <v>6354</v>
      </c>
      <c r="CB171" s="60"/>
      <c r="CC171" s="60"/>
      <c r="CD171" s="60">
        <v>2574</v>
      </c>
      <c r="CE171" s="60">
        <v>102</v>
      </c>
      <c r="CF171" s="60">
        <v>149</v>
      </c>
      <c r="CG171" s="60">
        <v>7</v>
      </c>
      <c r="CH171" s="60">
        <v>129</v>
      </c>
      <c r="CI171" s="60">
        <v>1</v>
      </c>
      <c r="CJ171" s="60">
        <v>164</v>
      </c>
      <c r="CK171" s="60">
        <v>289</v>
      </c>
      <c r="CL171" s="60">
        <v>16936</v>
      </c>
      <c r="CM171" s="60">
        <v>2624</v>
      </c>
      <c r="CN171" s="60">
        <v>167</v>
      </c>
      <c r="CO171" s="60">
        <v>567</v>
      </c>
      <c r="CP171" s="60">
        <v>31</v>
      </c>
      <c r="CQ171" s="60">
        <v>150</v>
      </c>
      <c r="CR171" s="60">
        <v>9</v>
      </c>
      <c r="CS171" s="60"/>
      <c r="CT171" s="60">
        <v>23899</v>
      </c>
      <c r="CU171" s="60">
        <v>133</v>
      </c>
      <c r="CV171" s="60">
        <v>23223</v>
      </c>
      <c r="CW171" s="60">
        <v>543</v>
      </c>
      <c r="CX171" s="60">
        <v>3466</v>
      </c>
      <c r="CY171" s="60">
        <v>2719</v>
      </c>
      <c r="CZ171" s="60"/>
      <c r="DA171" s="60"/>
      <c r="DB171" s="60">
        <v>55</v>
      </c>
      <c r="DC171" s="60">
        <v>203</v>
      </c>
      <c r="DD171" s="60">
        <v>240</v>
      </c>
      <c r="DE171" s="60">
        <v>507</v>
      </c>
      <c r="DF171" s="60">
        <v>692</v>
      </c>
      <c r="DG171" s="60">
        <v>915</v>
      </c>
      <c r="DH171" s="60">
        <v>1261</v>
      </c>
      <c r="DI171" s="60">
        <v>2310</v>
      </c>
      <c r="DJ171" s="60">
        <v>2</v>
      </c>
      <c r="DK171" s="60"/>
      <c r="DL171" s="60"/>
      <c r="DM171" s="60">
        <v>505</v>
      </c>
      <c r="DN171" s="60">
        <v>184</v>
      </c>
      <c r="DO171" s="60">
        <v>663</v>
      </c>
      <c r="DP171" s="60">
        <v>41</v>
      </c>
      <c r="DQ171" s="60">
        <v>24</v>
      </c>
      <c r="DR171" s="60">
        <v>4766</v>
      </c>
      <c r="DS171" s="60">
        <v>2</v>
      </c>
      <c r="DT171" s="60">
        <v>164</v>
      </c>
      <c r="DU171" s="60">
        <v>57</v>
      </c>
      <c r="DV171" s="60">
        <v>212</v>
      </c>
      <c r="DW171" s="60">
        <v>896</v>
      </c>
      <c r="DX171" s="60">
        <v>123</v>
      </c>
      <c r="DY171" s="60">
        <v>13</v>
      </c>
      <c r="DZ171" s="60">
        <v>59</v>
      </c>
      <c r="EA171" s="60">
        <v>3292</v>
      </c>
      <c r="EB171" s="60">
        <v>1368</v>
      </c>
      <c r="EC171" s="60">
        <v>1</v>
      </c>
      <c r="ED171" s="60">
        <v>0</v>
      </c>
      <c r="EE171" s="60">
        <v>0</v>
      </c>
      <c r="EF171" s="60">
        <v>0</v>
      </c>
      <c r="EG171" s="60">
        <v>0</v>
      </c>
      <c r="EH171" s="60">
        <v>0</v>
      </c>
      <c r="EI171" s="60">
        <v>211</v>
      </c>
      <c r="EJ171" s="60">
        <v>3873</v>
      </c>
      <c r="EK171" s="60">
        <v>453</v>
      </c>
      <c r="EL171" s="60">
        <v>1445</v>
      </c>
      <c r="EM171" s="60">
        <v>203</v>
      </c>
      <c r="EN171" s="60">
        <v>60</v>
      </c>
      <c r="EO171" s="60">
        <v>67</v>
      </c>
      <c r="EP171" s="60">
        <v>1506</v>
      </c>
      <c r="EQ171" s="60"/>
      <c r="ER171" s="60">
        <v>1041</v>
      </c>
      <c r="ES171" s="60">
        <v>218</v>
      </c>
      <c r="ET171" s="60">
        <v>376</v>
      </c>
      <c r="EU171" s="60">
        <v>448</v>
      </c>
      <c r="EV171" s="60">
        <v>671</v>
      </c>
      <c r="EW171" s="60">
        <v>121</v>
      </c>
      <c r="EX171" s="60">
        <v>173</v>
      </c>
      <c r="EY171" s="60">
        <v>138</v>
      </c>
      <c r="EZ171" s="60">
        <v>5</v>
      </c>
      <c r="FA171" s="60">
        <v>139</v>
      </c>
      <c r="FB171" s="60">
        <v>692</v>
      </c>
      <c r="FC171" s="60">
        <v>146</v>
      </c>
      <c r="FD171" s="60">
        <v>382</v>
      </c>
      <c r="FE171" s="60">
        <v>1</v>
      </c>
      <c r="FF171" s="60">
        <v>1</v>
      </c>
      <c r="FG171" s="60"/>
      <c r="FH171" s="60">
        <v>448</v>
      </c>
      <c r="FI171" s="60">
        <v>52</v>
      </c>
      <c r="FJ171" s="60">
        <v>587</v>
      </c>
      <c r="FK171" s="60">
        <v>3</v>
      </c>
      <c r="FL171" s="60">
        <v>16</v>
      </c>
      <c r="FM171" s="60">
        <v>353</v>
      </c>
      <c r="FN171" s="60">
        <v>7</v>
      </c>
      <c r="FO171" s="60">
        <v>4565</v>
      </c>
      <c r="FP171" s="60">
        <v>64</v>
      </c>
      <c r="FQ171" s="60">
        <v>12</v>
      </c>
      <c r="FR171" s="60">
        <v>22</v>
      </c>
      <c r="FS171" s="60">
        <v>30</v>
      </c>
      <c r="FT171" s="60">
        <v>25</v>
      </c>
      <c r="FU171" s="60"/>
      <c r="FV171" s="60">
        <v>1</v>
      </c>
      <c r="FW171" s="60"/>
      <c r="FX171" s="60">
        <v>6185</v>
      </c>
      <c r="FY171" s="60">
        <v>41</v>
      </c>
      <c r="FZ171" s="60">
        <v>6033</v>
      </c>
      <c r="GA171" s="60">
        <v>111</v>
      </c>
      <c r="GB171" s="60">
        <v>2011</v>
      </c>
    </row>
    <row r="172" spans="1:184" x14ac:dyDescent="0.3">
      <c r="A172" s="60">
        <v>106301258</v>
      </c>
      <c r="B172" s="61" t="s">
        <v>698</v>
      </c>
      <c r="C172" s="61" t="s">
        <v>1917</v>
      </c>
      <c r="D172" s="61" t="s">
        <v>1918</v>
      </c>
      <c r="E172" s="61" t="s">
        <v>699</v>
      </c>
      <c r="F172" s="60">
        <v>92704</v>
      </c>
      <c r="G172" s="61"/>
      <c r="H172" s="61" t="s">
        <v>1669</v>
      </c>
      <c r="I172" s="60">
        <v>69</v>
      </c>
      <c r="J172" s="60">
        <v>34</v>
      </c>
      <c r="K172" s="61" t="s">
        <v>1919</v>
      </c>
      <c r="L172" s="61"/>
      <c r="M172" s="61" t="s">
        <v>1901</v>
      </c>
      <c r="N172" s="61" t="s">
        <v>1902</v>
      </c>
      <c r="O172" s="61" t="s">
        <v>1673</v>
      </c>
      <c r="P172" s="61" t="s">
        <v>221</v>
      </c>
      <c r="Q172" s="61" t="s">
        <v>1674</v>
      </c>
      <c r="R172" s="60">
        <v>109</v>
      </c>
      <c r="S172" s="61" t="s">
        <v>1675</v>
      </c>
      <c r="T172" s="60">
        <v>10670</v>
      </c>
      <c r="U172" s="60">
        <v>8520</v>
      </c>
      <c r="V172" s="60"/>
      <c r="W172" s="60"/>
      <c r="X172" s="60">
        <v>4307</v>
      </c>
      <c r="Y172" s="60">
        <v>2583</v>
      </c>
      <c r="Z172" s="60">
        <v>3535</v>
      </c>
      <c r="AA172" s="60">
        <v>2764</v>
      </c>
      <c r="AB172" s="60">
        <v>2092</v>
      </c>
      <c r="AC172" s="60">
        <v>1475</v>
      </c>
      <c r="AD172" s="60">
        <v>691</v>
      </c>
      <c r="AE172" s="60">
        <v>411</v>
      </c>
      <c r="AF172" s="60">
        <v>250</v>
      </c>
      <c r="AG172" s="60">
        <v>1082</v>
      </c>
      <c r="AH172" s="60"/>
      <c r="AI172" s="60">
        <v>240</v>
      </c>
      <c r="AJ172" s="60">
        <v>254</v>
      </c>
      <c r="AK172" s="60">
        <v>16902</v>
      </c>
      <c r="AL172" s="60"/>
      <c r="AM172" s="60">
        <v>205</v>
      </c>
      <c r="AN172" s="60">
        <v>29</v>
      </c>
      <c r="AO172" s="60">
        <v>1560</v>
      </c>
      <c r="AP172" s="60">
        <v>250</v>
      </c>
      <c r="AQ172" s="60">
        <v>483</v>
      </c>
      <c r="AR172" s="60">
        <v>107</v>
      </c>
      <c r="AS172" s="60">
        <v>28</v>
      </c>
      <c r="AT172" s="60">
        <v>1</v>
      </c>
      <c r="AU172" s="60">
        <v>3</v>
      </c>
      <c r="AV172" s="60">
        <v>1</v>
      </c>
      <c r="AW172" s="60"/>
      <c r="AX172" s="60"/>
      <c r="AY172" s="60">
        <v>236</v>
      </c>
      <c r="AZ172" s="60"/>
      <c r="BA172" s="60">
        <v>18016</v>
      </c>
      <c r="BB172" s="60">
        <v>65</v>
      </c>
      <c r="BC172" s="60"/>
      <c r="BD172" s="60"/>
      <c r="BE172" s="60">
        <v>88</v>
      </c>
      <c r="BF172" s="60">
        <v>4132</v>
      </c>
      <c r="BG172" s="60">
        <v>1330</v>
      </c>
      <c r="BH172" s="60">
        <v>10028</v>
      </c>
      <c r="BI172" s="60">
        <v>3612</v>
      </c>
      <c r="BJ172" s="60">
        <v>1631</v>
      </c>
      <c r="BK172" s="60">
        <v>66</v>
      </c>
      <c r="BL172" s="60">
        <v>338</v>
      </c>
      <c r="BM172" s="60">
        <v>1</v>
      </c>
      <c r="BN172" s="60">
        <v>1182</v>
      </c>
      <c r="BO172" s="60">
        <v>282</v>
      </c>
      <c r="BP172" s="60">
        <v>1283</v>
      </c>
      <c r="BQ172" s="60">
        <v>360</v>
      </c>
      <c r="BR172" s="60">
        <v>3873</v>
      </c>
      <c r="BS172" s="60">
        <v>630</v>
      </c>
      <c r="BT172" s="60">
        <v>33</v>
      </c>
      <c r="BU172" s="60">
        <v>1137</v>
      </c>
      <c r="BV172" s="60">
        <v>413</v>
      </c>
      <c r="BW172" s="60">
        <v>56</v>
      </c>
      <c r="BX172" s="60">
        <v>830</v>
      </c>
      <c r="BY172" s="60">
        <v>2992</v>
      </c>
      <c r="BZ172" s="60">
        <v>738</v>
      </c>
      <c r="CA172" s="60">
        <v>3345</v>
      </c>
      <c r="CB172" s="60"/>
      <c r="CC172" s="60"/>
      <c r="CD172" s="60">
        <v>1243</v>
      </c>
      <c r="CE172" s="60">
        <v>41</v>
      </c>
      <c r="CF172" s="60">
        <v>245</v>
      </c>
      <c r="CG172" s="60">
        <v>9</v>
      </c>
      <c r="CH172" s="60">
        <v>172</v>
      </c>
      <c r="CI172" s="60">
        <v>5</v>
      </c>
      <c r="CJ172" s="60">
        <v>82</v>
      </c>
      <c r="CK172" s="60">
        <v>169</v>
      </c>
      <c r="CL172" s="60">
        <v>14830</v>
      </c>
      <c r="CM172" s="60">
        <v>1844</v>
      </c>
      <c r="CN172" s="60">
        <v>66</v>
      </c>
      <c r="CO172" s="60">
        <v>280</v>
      </c>
      <c r="CP172" s="60">
        <v>41</v>
      </c>
      <c r="CQ172" s="60">
        <v>128</v>
      </c>
      <c r="CR172" s="60">
        <v>35</v>
      </c>
      <c r="CS172" s="60"/>
      <c r="CT172" s="60">
        <v>19190</v>
      </c>
      <c r="CU172" s="60">
        <v>84</v>
      </c>
      <c r="CV172" s="60">
        <v>7559</v>
      </c>
      <c r="CW172" s="60">
        <v>11547</v>
      </c>
      <c r="CX172" s="60">
        <v>1666</v>
      </c>
      <c r="CY172" s="60">
        <v>933</v>
      </c>
      <c r="CZ172" s="60"/>
      <c r="DA172" s="60"/>
      <c r="DB172" s="60">
        <v>116</v>
      </c>
      <c r="DC172" s="60">
        <v>439</v>
      </c>
      <c r="DD172" s="60">
        <v>342</v>
      </c>
      <c r="DE172" s="60">
        <v>295</v>
      </c>
      <c r="DF172" s="60">
        <v>337</v>
      </c>
      <c r="DG172" s="60">
        <v>310</v>
      </c>
      <c r="DH172" s="60">
        <v>330</v>
      </c>
      <c r="DI172" s="60">
        <v>423</v>
      </c>
      <c r="DJ172" s="60">
        <v>1</v>
      </c>
      <c r="DK172" s="60">
        <v>6</v>
      </c>
      <c r="DL172" s="60"/>
      <c r="DM172" s="60">
        <v>2</v>
      </c>
      <c r="DN172" s="60">
        <v>39</v>
      </c>
      <c r="DO172" s="60">
        <v>2006</v>
      </c>
      <c r="DP172" s="60">
        <v>27</v>
      </c>
      <c r="DQ172" s="60">
        <v>137</v>
      </c>
      <c r="DR172" s="60">
        <v>387</v>
      </c>
      <c r="DS172" s="60">
        <v>1</v>
      </c>
      <c r="DT172" s="60">
        <v>70</v>
      </c>
      <c r="DU172" s="60">
        <v>61</v>
      </c>
      <c r="DV172" s="60">
        <v>56</v>
      </c>
      <c r="DW172" s="60">
        <v>114</v>
      </c>
      <c r="DX172" s="60">
        <v>32</v>
      </c>
      <c r="DY172" s="60">
        <v>6</v>
      </c>
      <c r="DZ172" s="60">
        <v>37</v>
      </c>
      <c r="EA172" s="60">
        <v>1748</v>
      </c>
      <c r="EB172" s="60">
        <v>475</v>
      </c>
      <c r="EC172" s="60"/>
      <c r="ED172" s="60">
        <v>0</v>
      </c>
      <c r="EE172" s="60">
        <v>0</v>
      </c>
      <c r="EF172" s="60">
        <v>0</v>
      </c>
      <c r="EG172" s="60">
        <v>0</v>
      </c>
      <c r="EH172" s="60">
        <v>0</v>
      </c>
      <c r="EI172" s="60">
        <v>1089</v>
      </c>
      <c r="EJ172" s="60">
        <v>842</v>
      </c>
      <c r="EK172" s="60">
        <v>352</v>
      </c>
      <c r="EL172" s="60">
        <v>189</v>
      </c>
      <c r="EM172" s="60">
        <v>127</v>
      </c>
      <c r="EN172" s="60">
        <v>510</v>
      </c>
      <c r="EO172" s="60">
        <v>57</v>
      </c>
      <c r="EP172" s="60">
        <v>321</v>
      </c>
      <c r="EQ172" s="60"/>
      <c r="ER172" s="60">
        <v>449</v>
      </c>
      <c r="ES172" s="60">
        <v>104</v>
      </c>
      <c r="ET172" s="60">
        <v>143</v>
      </c>
      <c r="EU172" s="60">
        <v>108</v>
      </c>
      <c r="EV172" s="60">
        <v>107</v>
      </c>
      <c r="EW172" s="60">
        <v>17</v>
      </c>
      <c r="EX172" s="60">
        <v>35</v>
      </c>
      <c r="EY172" s="60">
        <v>133</v>
      </c>
      <c r="EZ172" s="60"/>
      <c r="FA172" s="60">
        <v>208</v>
      </c>
      <c r="FB172" s="60">
        <v>225</v>
      </c>
      <c r="FC172" s="60">
        <v>81</v>
      </c>
      <c r="FD172" s="60">
        <v>100</v>
      </c>
      <c r="FE172" s="60">
        <v>1</v>
      </c>
      <c r="FF172" s="60"/>
      <c r="FG172" s="60"/>
      <c r="FH172" s="60">
        <v>87</v>
      </c>
      <c r="FI172" s="60">
        <v>10</v>
      </c>
      <c r="FJ172" s="60">
        <v>116</v>
      </c>
      <c r="FK172" s="60">
        <v>5</v>
      </c>
      <c r="FL172" s="60">
        <v>5</v>
      </c>
      <c r="FM172" s="60">
        <v>74</v>
      </c>
      <c r="FN172" s="60">
        <v>3</v>
      </c>
      <c r="FO172" s="60">
        <v>2192</v>
      </c>
      <c r="FP172" s="60">
        <v>75</v>
      </c>
      <c r="FQ172" s="60">
        <v>4</v>
      </c>
      <c r="FR172" s="60">
        <v>2</v>
      </c>
      <c r="FS172" s="60">
        <v>11</v>
      </c>
      <c r="FT172" s="60">
        <v>9</v>
      </c>
      <c r="FU172" s="60">
        <v>6</v>
      </c>
      <c r="FV172" s="60"/>
      <c r="FW172" s="60"/>
      <c r="FX172" s="60">
        <v>2599</v>
      </c>
      <c r="FY172" s="60">
        <v>35</v>
      </c>
      <c r="FZ172" s="60">
        <v>1159</v>
      </c>
      <c r="GA172" s="60">
        <v>1405</v>
      </c>
      <c r="GB172" s="60">
        <v>2011</v>
      </c>
    </row>
    <row r="173" spans="1:184" x14ac:dyDescent="0.3">
      <c r="A173" s="60">
        <v>106301262</v>
      </c>
      <c r="B173" s="61" t="s">
        <v>700</v>
      </c>
      <c r="C173" s="61" t="s">
        <v>701</v>
      </c>
      <c r="D173" s="61" t="s">
        <v>702</v>
      </c>
      <c r="E173" s="61" t="s">
        <v>703</v>
      </c>
      <c r="F173" s="60">
        <v>92691</v>
      </c>
      <c r="G173" s="61" t="s">
        <v>143</v>
      </c>
      <c r="H173" s="61" t="s">
        <v>1669</v>
      </c>
      <c r="I173" s="60">
        <v>71</v>
      </c>
      <c r="J173" s="60">
        <v>33</v>
      </c>
      <c r="K173" s="61" t="s">
        <v>1920</v>
      </c>
      <c r="L173" s="61"/>
      <c r="M173" s="61" t="s">
        <v>1901</v>
      </c>
      <c r="N173" s="61" t="s">
        <v>1902</v>
      </c>
      <c r="O173" s="61" t="s">
        <v>1673</v>
      </c>
      <c r="P173" s="61" t="s">
        <v>1678</v>
      </c>
      <c r="Q173" s="61" t="s">
        <v>1674</v>
      </c>
      <c r="R173" s="60">
        <v>345</v>
      </c>
      <c r="S173" s="61" t="s">
        <v>1675</v>
      </c>
      <c r="T173" s="60">
        <v>16827</v>
      </c>
      <c r="U173" s="60">
        <v>12227</v>
      </c>
      <c r="V173" s="60">
        <v>1</v>
      </c>
      <c r="W173" s="60"/>
      <c r="X173" s="60">
        <v>1</v>
      </c>
      <c r="Y173" s="60">
        <v>1500</v>
      </c>
      <c r="Z173" s="60">
        <v>5946</v>
      </c>
      <c r="AA173" s="60">
        <v>4705</v>
      </c>
      <c r="AB173" s="60">
        <v>5289</v>
      </c>
      <c r="AC173" s="60">
        <v>4504</v>
      </c>
      <c r="AD173" s="60">
        <v>2900</v>
      </c>
      <c r="AE173" s="60">
        <v>2006</v>
      </c>
      <c r="AF173" s="60">
        <v>2204</v>
      </c>
      <c r="AG173" s="60"/>
      <c r="AH173" s="60"/>
      <c r="AI173" s="60">
        <v>1095</v>
      </c>
      <c r="AJ173" s="60">
        <v>614</v>
      </c>
      <c r="AK173" s="60">
        <v>4493</v>
      </c>
      <c r="AL173" s="60">
        <v>15</v>
      </c>
      <c r="AM173" s="60">
        <v>362</v>
      </c>
      <c r="AN173" s="60">
        <v>224</v>
      </c>
      <c r="AO173" s="60">
        <v>22252</v>
      </c>
      <c r="AP173" s="60">
        <v>281</v>
      </c>
      <c r="AQ173" s="60">
        <v>231</v>
      </c>
      <c r="AR173" s="60">
        <v>30</v>
      </c>
      <c r="AS173" s="60">
        <v>76</v>
      </c>
      <c r="AT173" s="60">
        <v>45</v>
      </c>
      <c r="AU173" s="60">
        <v>9</v>
      </c>
      <c r="AV173" s="60">
        <v>2</v>
      </c>
      <c r="AW173" s="60"/>
      <c r="AX173" s="60">
        <v>33</v>
      </c>
      <c r="AY173" s="60">
        <v>168</v>
      </c>
      <c r="AZ173" s="60">
        <v>41</v>
      </c>
      <c r="BA173" s="60">
        <v>28098</v>
      </c>
      <c r="BB173" s="60">
        <v>41</v>
      </c>
      <c r="BC173" s="60"/>
      <c r="BD173" s="60"/>
      <c r="BE173" s="60">
        <v>3456</v>
      </c>
      <c r="BF173" s="60">
        <v>5750</v>
      </c>
      <c r="BG173" s="60">
        <v>3090</v>
      </c>
      <c r="BH173" s="60">
        <v>13043</v>
      </c>
      <c r="BI173" s="60">
        <v>3716</v>
      </c>
      <c r="BJ173" s="60">
        <v>1112</v>
      </c>
      <c r="BK173" s="60">
        <v>91</v>
      </c>
      <c r="BL173" s="60">
        <v>1013</v>
      </c>
      <c r="BM173" s="60">
        <v>8</v>
      </c>
      <c r="BN173" s="60">
        <v>1302</v>
      </c>
      <c r="BO173" s="60">
        <v>407</v>
      </c>
      <c r="BP173" s="60">
        <v>1699</v>
      </c>
      <c r="BQ173" s="60">
        <v>304</v>
      </c>
      <c r="BR173" s="60">
        <v>6751</v>
      </c>
      <c r="BS173" s="60">
        <v>2413</v>
      </c>
      <c r="BT173" s="60">
        <v>75</v>
      </c>
      <c r="BU173" s="60">
        <v>1463</v>
      </c>
      <c r="BV173" s="60">
        <v>795</v>
      </c>
      <c r="BW173" s="60"/>
      <c r="BX173" s="60">
        <v>1040</v>
      </c>
      <c r="BY173" s="60">
        <v>1355</v>
      </c>
      <c r="BZ173" s="60">
        <v>999</v>
      </c>
      <c r="CA173" s="60">
        <v>8228</v>
      </c>
      <c r="CB173" s="60"/>
      <c r="CC173" s="60"/>
      <c r="CD173" s="60">
        <v>2266</v>
      </c>
      <c r="CE173" s="60">
        <v>143</v>
      </c>
      <c r="CF173" s="60">
        <v>327</v>
      </c>
      <c r="CG173" s="60">
        <v>11</v>
      </c>
      <c r="CH173" s="60">
        <v>268</v>
      </c>
      <c r="CI173" s="60">
        <v>55</v>
      </c>
      <c r="CJ173" s="60">
        <v>110</v>
      </c>
      <c r="CK173" s="60">
        <v>263</v>
      </c>
      <c r="CL173" s="60">
        <v>21369</v>
      </c>
      <c r="CM173" s="60">
        <v>2797</v>
      </c>
      <c r="CN173" s="60">
        <v>256</v>
      </c>
      <c r="CO173" s="60">
        <v>979</v>
      </c>
      <c r="CP173" s="60">
        <v>59</v>
      </c>
      <c r="CQ173" s="60">
        <v>124</v>
      </c>
      <c r="CR173" s="60">
        <v>27</v>
      </c>
      <c r="CS173" s="60">
        <v>1</v>
      </c>
      <c r="CT173" s="60">
        <v>29055</v>
      </c>
      <c r="CU173" s="60">
        <v>707</v>
      </c>
      <c r="CV173" s="60">
        <v>25965</v>
      </c>
      <c r="CW173" s="60">
        <v>2383</v>
      </c>
      <c r="CX173" s="60">
        <v>5535</v>
      </c>
      <c r="CY173" s="60">
        <v>5241</v>
      </c>
      <c r="CZ173" s="60"/>
      <c r="DA173" s="60"/>
      <c r="DB173" s="60">
        <v>155</v>
      </c>
      <c r="DC173" s="60">
        <v>716</v>
      </c>
      <c r="DD173" s="60">
        <v>675</v>
      </c>
      <c r="DE173" s="60">
        <v>1246</v>
      </c>
      <c r="DF173" s="60">
        <v>1614</v>
      </c>
      <c r="DG173" s="60">
        <v>1757</v>
      </c>
      <c r="DH173" s="60">
        <v>1728</v>
      </c>
      <c r="DI173" s="60">
        <v>2885</v>
      </c>
      <c r="DJ173" s="60"/>
      <c r="DK173" s="60"/>
      <c r="DL173" s="60"/>
      <c r="DM173" s="60">
        <v>408</v>
      </c>
      <c r="DN173" s="60">
        <v>162</v>
      </c>
      <c r="DO173" s="60">
        <v>1088</v>
      </c>
      <c r="DP173" s="60">
        <v>108</v>
      </c>
      <c r="DQ173" s="60">
        <v>37</v>
      </c>
      <c r="DR173" s="60">
        <v>8970</v>
      </c>
      <c r="DS173" s="60">
        <v>3</v>
      </c>
      <c r="DT173" s="60">
        <v>255</v>
      </c>
      <c r="DU173" s="60">
        <v>83</v>
      </c>
      <c r="DV173" s="60">
        <v>350</v>
      </c>
      <c r="DW173" s="60">
        <v>1913</v>
      </c>
      <c r="DX173" s="60">
        <v>376</v>
      </c>
      <c r="DY173" s="60"/>
      <c r="DZ173" s="60">
        <v>156</v>
      </c>
      <c r="EA173" s="60">
        <v>6420</v>
      </c>
      <c r="EB173" s="60">
        <v>1217</v>
      </c>
      <c r="EC173" s="60">
        <v>6</v>
      </c>
      <c r="ED173" s="60">
        <v>0</v>
      </c>
      <c r="EE173" s="60">
        <v>0</v>
      </c>
      <c r="EF173" s="60">
        <v>0</v>
      </c>
      <c r="EG173" s="60">
        <v>0</v>
      </c>
      <c r="EH173" s="60">
        <v>0</v>
      </c>
      <c r="EI173" s="60">
        <v>893</v>
      </c>
      <c r="EJ173" s="60">
        <v>5537</v>
      </c>
      <c r="EK173" s="60">
        <v>202</v>
      </c>
      <c r="EL173" s="60">
        <v>3286</v>
      </c>
      <c r="EM173" s="60">
        <v>858</v>
      </c>
      <c r="EN173" s="60">
        <v>90</v>
      </c>
      <c r="EO173" s="60">
        <v>153</v>
      </c>
      <c r="EP173" s="60">
        <v>2254</v>
      </c>
      <c r="EQ173" s="60">
        <v>6</v>
      </c>
      <c r="ER173" s="60">
        <v>1626</v>
      </c>
      <c r="ES173" s="60">
        <v>390</v>
      </c>
      <c r="ET173" s="60">
        <v>514</v>
      </c>
      <c r="EU173" s="60">
        <v>810</v>
      </c>
      <c r="EV173" s="60">
        <v>1798</v>
      </c>
      <c r="EW173" s="60">
        <v>275</v>
      </c>
      <c r="EX173" s="60">
        <v>333</v>
      </c>
      <c r="EY173" s="60">
        <v>339</v>
      </c>
      <c r="EZ173" s="60">
        <v>11</v>
      </c>
      <c r="FA173" s="60">
        <v>246</v>
      </c>
      <c r="FB173" s="60">
        <v>1000</v>
      </c>
      <c r="FC173" s="60">
        <v>257</v>
      </c>
      <c r="FD173" s="60">
        <v>674</v>
      </c>
      <c r="FE173" s="60"/>
      <c r="FF173" s="60"/>
      <c r="FG173" s="60"/>
      <c r="FH173" s="60">
        <v>944</v>
      </c>
      <c r="FI173" s="60">
        <v>79</v>
      </c>
      <c r="FJ173" s="60">
        <v>1150</v>
      </c>
      <c r="FK173" s="60">
        <v>33</v>
      </c>
      <c r="FL173" s="60">
        <v>46</v>
      </c>
      <c r="FM173" s="60">
        <v>615</v>
      </c>
      <c r="FN173" s="60">
        <v>34</v>
      </c>
      <c r="FO173" s="60">
        <v>7111</v>
      </c>
      <c r="FP173" s="60">
        <v>173</v>
      </c>
      <c r="FQ173" s="60">
        <v>80</v>
      </c>
      <c r="FR173" s="60">
        <v>356</v>
      </c>
      <c r="FS173" s="60">
        <v>97</v>
      </c>
      <c r="FT173" s="60">
        <v>35</v>
      </c>
      <c r="FU173" s="60">
        <v>22</v>
      </c>
      <c r="FV173" s="60">
        <v>1</v>
      </c>
      <c r="FW173" s="60"/>
      <c r="FX173" s="60">
        <v>10776</v>
      </c>
      <c r="FY173" s="60">
        <v>422</v>
      </c>
      <c r="FZ173" s="60">
        <v>9751</v>
      </c>
      <c r="GA173" s="60">
        <v>603</v>
      </c>
      <c r="GB173" s="60">
        <v>2011</v>
      </c>
    </row>
    <row r="174" spans="1:184" x14ac:dyDescent="0.3">
      <c r="A174" s="60">
        <v>106301279</v>
      </c>
      <c r="B174" s="61" t="s">
        <v>704</v>
      </c>
      <c r="C174" s="61" t="s">
        <v>705</v>
      </c>
      <c r="D174" s="61" t="s">
        <v>706</v>
      </c>
      <c r="E174" s="61" t="s">
        <v>668</v>
      </c>
      <c r="F174" s="60">
        <v>92668</v>
      </c>
      <c r="G174" s="61" t="s">
        <v>248</v>
      </c>
      <c r="H174" s="61" t="s">
        <v>1689</v>
      </c>
      <c r="I174" s="60">
        <v>72</v>
      </c>
      <c r="J174" s="60">
        <v>33</v>
      </c>
      <c r="K174" s="61" t="s">
        <v>1921</v>
      </c>
      <c r="L174" s="61"/>
      <c r="M174" s="61" t="s">
        <v>1901</v>
      </c>
      <c r="N174" s="61" t="s">
        <v>1902</v>
      </c>
      <c r="O174" s="61" t="s">
        <v>1673</v>
      </c>
      <c r="P174" s="61" t="s">
        <v>1835</v>
      </c>
      <c r="Q174" s="61" t="s">
        <v>1674</v>
      </c>
      <c r="R174" s="60">
        <v>367</v>
      </c>
      <c r="S174" s="61" t="s">
        <v>1738</v>
      </c>
      <c r="T174" s="60">
        <v>16594</v>
      </c>
      <c r="U174" s="60">
        <v>13359</v>
      </c>
      <c r="V174" s="60"/>
      <c r="W174" s="60"/>
      <c r="X174" s="60">
        <v>1777</v>
      </c>
      <c r="Y174" s="60">
        <v>2732</v>
      </c>
      <c r="Z174" s="60">
        <v>6827</v>
      </c>
      <c r="AA174" s="60">
        <v>5175</v>
      </c>
      <c r="AB174" s="60">
        <v>4918</v>
      </c>
      <c r="AC174" s="60">
        <v>4040</v>
      </c>
      <c r="AD174" s="60">
        <v>2020</v>
      </c>
      <c r="AE174" s="60">
        <v>1200</v>
      </c>
      <c r="AF174" s="60">
        <v>815</v>
      </c>
      <c r="AG174" s="60">
        <v>449</v>
      </c>
      <c r="AH174" s="60"/>
      <c r="AI174" s="60">
        <v>2440</v>
      </c>
      <c r="AJ174" s="60">
        <v>1407</v>
      </c>
      <c r="AK174" s="60">
        <v>12890</v>
      </c>
      <c r="AL174" s="60">
        <v>48</v>
      </c>
      <c r="AM174" s="60">
        <v>306</v>
      </c>
      <c r="AN174" s="60">
        <v>32</v>
      </c>
      <c r="AO174" s="60">
        <v>12830</v>
      </c>
      <c r="AP174" s="60">
        <v>154</v>
      </c>
      <c r="AQ174" s="60">
        <v>428</v>
      </c>
      <c r="AR174" s="60">
        <v>581</v>
      </c>
      <c r="AS174" s="60">
        <v>65</v>
      </c>
      <c r="AT174" s="60">
        <v>1</v>
      </c>
      <c r="AU174" s="60">
        <v>1</v>
      </c>
      <c r="AV174" s="60">
        <v>3</v>
      </c>
      <c r="AW174" s="60">
        <v>53</v>
      </c>
      <c r="AX174" s="60"/>
      <c r="AY174" s="60">
        <v>390</v>
      </c>
      <c r="AZ174" s="60">
        <v>11</v>
      </c>
      <c r="BA174" s="60">
        <v>27854</v>
      </c>
      <c r="BB174" s="60">
        <v>48</v>
      </c>
      <c r="BC174" s="60"/>
      <c r="BD174" s="60">
        <v>364</v>
      </c>
      <c r="BE174" s="60">
        <v>8582</v>
      </c>
      <c r="BF174" s="60">
        <v>3487</v>
      </c>
      <c r="BG174" s="60">
        <v>4309</v>
      </c>
      <c r="BH174" s="60">
        <v>7245</v>
      </c>
      <c r="BI174" s="60">
        <v>6330</v>
      </c>
      <c r="BJ174" s="60">
        <v>2878</v>
      </c>
      <c r="BK174" s="60">
        <v>141</v>
      </c>
      <c r="BL174" s="60">
        <v>577</v>
      </c>
      <c r="BM174" s="60">
        <v>8</v>
      </c>
      <c r="BN174" s="60">
        <v>1304</v>
      </c>
      <c r="BO174" s="60">
        <v>524</v>
      </c>
      <c r="BP174" s="60">
        <v>1543</v>
      </c>
      <c r="BQ174" s="60">
        <v>302</v>
      </c>
      <c r="BR174" s="60">
        <v>5446</v>
      </c>
      <c r="BS174" s="60">
        <v>2671</v>
      </c>
      <c r="BT174" s="60">
        <v>187</v>
      </c>
      <c r="BU174" s="60">
        <v>1676</v>
      </c>
      <c r="BV174" s="60">
        <v>795</v>
      </c>
      <c r="BW174" s="60">
        <v>20</v>
      </c>
      <c r="BX174" s="60">
        <v>1268</v>
      </c>
      <c r="BY174" s="60">
        <v>1517</v>
      </c>
      <c r="BZ174" s="60">
        <v>1125</v>
      </c>
      <c r="CA174" s="60">
        <v>7970</v>
      </c>
      <c r="CB174" s="60">
        <v>1</v>
      </c>
      <c r="CC174" s="60"/>
      <c r="CD174" s="60">
        <v>1455</v>
      </c>
      <c r="CE174" s="60">
        <v>39</v>
      </c>
      <c r="CF174" s="60">
        <v>169</v>
      </c>
      <c r="CG174" s="60">
        <v>28</v>
      </c>
      <c r="CH174" s="60">
        <v>392</v>
      </c>
      <c r="CI174" s="60">
        <v>28</v>
      </c>
      <c r="CJ174" s="60">
        <v>277</v>
      </c>
      <c r="CK174" s="60">
        <v>141</v>
      </c>
      <c r="CL174" s="60">
        <v>24233</v>
      </c>
      <c r="CM174" s="60">
        <v>1560</v>
      </c>
      <c r="CN174" s="60">
        <v>114</v>
      </c>
      <c r="CO174" s="60">
        <v>1276</v>
      </c>
      <c r="CP174" s="60">
        <v>116</v>
      </c>
      <c r="CQ174" s="60">
        <v>89</v>
      </c>
      <c r="CR174" s="60">
        <v>36</v>
      </c>
      <c r="CS174" s="60"/>
      <c r="CT174" s="60">
        <v>29953</v>
      </c>
      <c r="CU174" s="60">
        <v>492</v>
      </c>
      <c r="CV174" s="60">
        <v>25129</v>
      </c>
      <c r="CW174" s="60">
        <v>4332</v>
      </c>
      <c r="CX174" s="60">
        <v>4800</v>
      </c>
      <c r="CY174" s="60">
        <v>5067</v>
      </c>
      <c r="CZ174" s="60"/>
      <c r="DA174" s="60"/>
      <c r="DB174" s="60">
        <v>794</v>
      </c>
      <c r="DC174" s="60">
        <v>1457</v>
      </c>
      <c r="DD174" s="60">
        <v>1353</v>
      </c>
      <c r="DE174" s="60">
        <v>1501</v>
      </c>
      <c r="DF174" s="60">
        <v>1661</v>
      </c>
      <c r="DG174" s="60">
        <v>1232</v>
      </c>
      <c r="DH174" s="60">
        <v>886</v>
      </c>
      <c r="DI174" s="60">
        <v>815</v>
      </c>
      <c r="DJ174" s="60">
        <v>33</v>
      </c>
      <c r="DK174" s="60">
        <v>135</v>
      </c>
      <c r="DL174" s="60"/>
      <c r="DM174" s="60">
        <v>1234</v>
      </c>
      <c r="DN174" s="60">
        <v>339</v>
      </c>
      <c r="DO174" s="60">
        <v>3684</v>
      </c>
      <c r="DP174" s="60">
        <v>337</v>
      </c>
      <c r="DQ174" s="60">
        <v>25</v>
      </c>
      <c r="DR174" s="60">
        <v>4230</v>
      </c>
      <c r="DS174" s="60">
        <v>18</v>
      </c>
      <c r="DT174" s="60">
        <v>311</v>
      </c>
      <c r="DU174" s="60">
        <v>181</v>
      </c>
      <c r="DV174" s="60">
        <v>275</v>
      </c>
      <c r="DW174" s="60">
        <v>361</v>
      </c>
      <c r="DX174" s="60">
        <v>306</v>
      </c>
      <c r="DY174" s="60">
        <v>71</v>
      </c>
      <c r="DZ174" s="60">
        <v>105</v>
      </c>
      <c r="EA174" s="60">
        <v>7601</v>
      </c>
      <c r="EB174" s="60">
        <v>626</v>
      </c>
      <c r="EC174" s="60">
        <v>30</v>
      </c>
      <c r="ED174" s="60">
        <v>0</v>
      </c>
      <c r="EE174" s="60">
        <v>0</v>
      </c>
      <c r="EF174" s="60">
        <v>0</v>
      </c>
      <c r="EG174" s="60">
        <v>0</v>
      </c>
      <c r="EH174" s="60">
        <v>0</v>
      </c>
      <c r="EI174" s="60">
        <v>2813</v>
      </c>
      <c r="EJ174" s="60">
        <v>2570</v>
      </c>
      <c r="EK174" s="60">
        <v>321</v>
      </c>
      <c r="EL174" s="60">
        <v>2140</v>
      </c>
      <c r="EM174" s="60">
        <v>2023</v>
      </c>
      <c r="EN174" s="60">
        <v>794</v>
      </c>
      <c r="EO174" s="60">
        <v>153</v>
      </c>
      <c r="EP174" s="60">
        <v>1301</v>
      </c>
      <c r="EQ174" s="60">
        <v>9</v>
      </c>
      <c r="ER174" s="60">
        <v>974</v>
      </c>
      <c r="ES174" s="60">
        <v>359</v>
      </c>
      <c r="ET174" s="60">
        <v>434</v>
      </c>
      <c r="EU174" s="60">
        <v>478</v>
      </c>
      <c r="EV174" s="60">
        <v>2305</v>
      </c>
      <c r="EW174" s="60">
        <v>145</v>
      </c>
      <c r="EX174" s="60">
        <v>426</v>
      </c>
      <c r="EY174" s="60">
        <v>294</v>
      </c>
      <c r="EZ174" s="60">
        <v>30</v>
      </c>
      <c r="FA174" s="60">
        <v>1030</v>
      </c>
      <c r="FB174" s="60">
        <v>431</v>
      </c>
      <c r="FC174" s="60">
        <v>181</v>
      </c>
      <c r="FD174" s="60">
        <v>513</v>
      </c>
      <c r="FE174" s="60">
        <v>1</v>
      </c>
      <c r="FF174" s="60">
        <v>9</v>
      </c>
      <c r="FG174" s="60"/>
      <c r="FH174" s="60">
        <v>593</v>
      </c>
      <c r="FI174" s="60">
        <v>41</v>
      </c>
      <c r="FJ174" s="60">
        <v>494</v>
      </c>
      <c r="FK174" s="60">
        <v>257</v>
      </c>
      <c r="FL174" s="60">
        <v>66</v>
      </c>
      <c r="FM174" s="60">
        <v>625</v>
      </c>
      <c r="FN174" s="60">
        <v>15</v>
      </c>
      <c r="FO174" s="60">
        <v>6472</v>
      </c>
      <c r="FP174" s="60">
        <v>236</v>
      </c>
      <c r="FQ174" s="60">
        <v>77</v>
      </c>
      <c r="FR174" s="60">
        <v>814</v>
      </c>
      <c r="FS174" s="60">
        <v>112</v>
      </c>
      <c r="FT174" s="60">
        <v>14</v>
      </c>
      <c r="FU174" s="60">
        <v>14</v>
      </c>
      <c r="FV174" s="60">
        <v>36</v>
      </c>
      <c r="FW174" s="60">
        <v>1</v>
      </c>
      <c r="FX174" s="60">
        <v>9867</v>
      </c>
      <c r="FY174" s="60">
        <v>353</v>
      </c>
      <c r="FZ174" s="60">
        <v>7923</v>
      </c>
      <c r="GA174" s="60">
        <v>1591</v>
      </c>
      <c r="GB174" s="60">
        <v>2011</v>
      </c>
    </row>
    <row r="175" spans="1:184" x14ac:dyDescent="0.3">
      <c r="A175" s="60">
        <v>106301283</v>
      </c>
      <c r="B175" s="61" t="s">
        <v>707</v>
      </c>
      <c r="C175" s="61" t="s">
        <v>708</v>
      </c>
      <c r="D175" s="61" t="s">
        <v>709</v>
      </c>
      <c r="E175" s="61" t="s">
        <v>710</v>
      </c>
      <c r="F175" s="60">
        <v>92643</v>
      </c>
      <c r="G175" s="61"/>
      <c r="H175" s="61" t="s">
        <v>1669</v>
      </c>
      <c r="I175" s="60">
        <v>69</v>
      </c>
      <c r="J175" s="60">
        <v>34</v>
      </c>
      <c r="K175" s="61" t="s">
        <v>1921</v>
      </c>
      <c r="L175" s="61"/>
      <c r="M175" s="61" t="s">
        <v>1901</v>
      </c>
      <c r="N175" s="61" t="s">
        <v>1902</v>
      </c>
      <c r="O175" s="61" t="s">
        <v>1673</v>
      </c>
      <c r="P175" s="61" t="s">
        <v>321</v>
      </c>
      <c r="Q175" s="61" t="s">
        <v>1674</v>
      </c>
      <c r="R175" s="60">
        <v>167</v>
      </c>
      <c r="S175" s="61" t="s">
        <v>1675</v>
      </c>
      <c r="T175" s="60">
        <v>12186</v>
      </c>
      <c r="U175" s="60">
        <v>9870</v>
      </c>
      <c r="V175" s="60"/>
      <c r="W175" s="60"/>
      <c r="X175" s="60">
        <v>3603</v>
      </c>
      <c r="Y175" s="60">
        <v>2713</v>
      </c>
      <c r="Z175" s="60">
        <v>4014</v>
      </c>
      <c r="AA175" s="60">
        <v>3094</v>
      </c>
      <c r="AB175" s="60">
        <v>3103</v>
      </c>
      <c r="AC175" s="60">
        <v>2152</v>
      </c>
      <c r="AD175" s="60">
        <v>1111</v>
      </c>
      <c r="AE175" s="60">
        <v>677</v>
      </c>
      <c r="AF175" s="60">
        <v>738</v>
      </c>
      <c r="AG175" s="60">
        <v>851</v>
      </c>
      <c r="AH175" s="60"/>
      <c r="AI175" s="60">
        <v>2759</v>
      </c>
      <c r="AJ175" s="60">
        <v>547</v>
      </c>
      <c r="AK175" s="60">
        <v>11509</v>
      </c>
      <c r="AL175" s="60">
        <v>4</v>
      </c>
      <c r="AM175" s="60">
        <v>538</v>
      </c>
      <c r="AN175" s="60">
        <v>11</v>
      </c>
      <c r="AO175" s="60">
        <v>6688</v>
      </c>
      <c r="AP175" s="60">
        <v>454</v>
      </c>
      <c r="AQ175" s="60">
        <v>955</v>
      </c>
      <c r="AR175" s="60">
        <v>164</v>
      </c>
      <c r="AS175" s="60">
        <v>57</v>
      </c>
      <c r="AT175" s="60">
        <v>1</v>
      </c>
      <c r="AU175" s="60"/>
      <c r="AV175" s="60">
        <v>7</v>
      </c>
      <c r="AW175" s="60"/>
      <c r="AX175" s="60"/>
      <c r="AY175" s="60">
        <v>106</v>
      </c>
      <c r="AZ175" s="60"/>
      <c r="BA175" s="60">
        <v>20264</v>
      </c>
      <c r="BB175" s="60">
        <v>48</v>
      </c>
      <c r="BC175" s="60"/>
      <c r="BD175" s="60"/>
      <c r="BE175" s="60">
        <v>10222</v>
      </c>
      <c r="BF175" s="60">
        <v>2107</v>
      </c>
      <c r="BG175" s="60">
        <v>1575</v>
      </c>
      <c r="BH175" s="60">
        <v>3569</v>
      </c>
      <c r="BI175" s="60">
        <v>4583</v>
      </c>
      <c r="BJ175" s="60">
        <v>1146</v>
      </c>
      <c r="BK175" s="60">
        <v>53</v>
      </c>
      <c r="BL175" s="60">
        <v>376</v>
      </c>
      <c r="BM175" s="60">
        <v>2</v>
      </c>
      <c r="BN175" s="60">
        <v>1099</v>
      </c>
      <c r="BO175" s="60">
        <v>287</v>
      </c>
      <c r="BP175" s="60">
        <v>1154</v>
      </c>
      <c r="BQ175" s="60">
        <v>246</v>
      </c>
      <c r="BR175" s="60">
        <v>4771</v>
      </c>
      <c r="BS175" s="60">
        <v>1105</v>
      </c>
      <c r="BT175" s="60">
        <v>34</v>
      </c>
      <c r="BU175" s="60">
        <v>1366</v>
      </c>
      <c r="BV175" s="60">
        <v>854</v>
      </c>
      <c r="BW175" s="60">
        <v>69</v>
      </c>
      <c r="BX175" s="60">
        <v>985</v>
      </c>
      <c r="BY175" s="60">
        <v>2428</v>
      </c>
      <c r="BZ175" s="60">
        <v>952</v>
      </c>
      <c r="CA175" s="60">
        <v>5128</v>
      </c>
      <c r="CB175" s="60">
        <v>1</v>
      </c>
      <c r="CC175" s="60"/>
      <c r="CD175" s="60">
        <v>1504</v>
      </c>
      <c r="CE175" s="60">
        <v>78</v>
      </c>
      <c r="CF175" s="60">
        <v>155</v>
      </c>
      <c r="CG175" s="60">
        <v>8</v>
      </c>
      <c r="CH175" s="60">
        <v>237</v>
      </c>
      <c r="CI175" s="60">
        <v>12</v>
      </c>
      <c r="CJ175" s="60">
        <v>104</v>
      </c>
      <c r="CK175" s="60">
        <v>162</v>
      </c>
      <c r="CL175" s="60">
        <v>16888</v>
      </c>
      <c r="CM175" s="60">
        <v>2029</v>
      </c>
      <c r="CN175" s="60">
        <v>114</v>
      </c>
      <c r="CO175" s="60">
        <v>577</v>
      </c>
      <c r="CP175" s="60">
        <v>43</v>
      </c>
      <c r="CQ175" s="60">
        <v>108</v>
      </c>
      <c r="CR175" s="60">
        <v>37</v>
      </c>
      <c r="CS175" s="60"/>
      <c r="CT175" s="60">
        <v>22056</v>
      </c>
      <c r="CU175" s="60">
        <v>668</v>
      </c>
      <c r="CV175" s="60">
        <v>16245</v>
      </c>
      <c r="CW175" s="60">
        <v>5143</v>
      </c>
      <c r="CX175" s="60">
        <v>2058</v>
      </c>
      <c r="CY175" s="60">
        <v>1787</v>
      </c>
      <c r="CZ175" s="60"/>
      <c r="DA175" s="60"/>
      <c r="DB175" s="60">
        <v>73</v>
      </c>
      <c r="DC175" s="60">
        <v>237</v>
      </c>
      <c r="DD175" s="60">
        <v>269</v>
      </c>
      <c r="DE175" s="60">
        <v>377</v>
      </c>
      <c r="DF175" s="60">
        <v>576</v>
      </c>
      <c r="DG175" s="60">
        <v>523</v>
      </c>
      <c r="DH175" s="60">
        <v>664</v>
      </c>
      <c r="DI175" s="60">
        <v>1113</v>
      </c>
      <c r="DJ175" s="60">
        <v>11</v>
      </c>
      <c r="DK175" s="60">
        <v>2</v>
      </c>
      <c r="DL175" s="60"/>
      <c r="DM175" s="60">
        <v>1467</v>
      </c>
      <c r="DN175" s="60">
        <v>89</v>
      </c>
      <c r="DO175" s="60">
        <v>1137</v>
      </c>
      <c r="DP175" s="60">
        <v>48</v>
      </c>
      <c r="DQ175" s="60"/>
      <c r="DR175" s="60">
        <v>1103</v>
      </c>
      <c r="DS175" s="60">
        <v>1</v>
      </c>
      <c r="DT175" s="60">
        <v>411</v>
      </c>
      <c r="DU175" s="60">
        <v>98</v>
      </c>
      <c r="DV175" s="60">
        <v>152</v>
      </c>
      <c r="DW175" s="60">
        <v>284</v>
      </c>
      <c r="DX175" s="60">
        <v>28</v>
      </c>
      <c r="DY175" s="60"/>
      <c r="DZ175" s="60">
        <v>69</v>
      </c>
      <c r="EA175" s="60">
        <v>1906</v>
      </c>
      <c r="EB175" s="60">
        <v>896</v>
      </c>
      <c r="EC175" s="60">
        <v>1</v>
      </c>
      <c r="ED175" s="60">
        <v>0</v>
      </c>
      <c r="EE175" s="60">
        <v>0</v>
      </c>
      <c r="EF175" s="60">
        <v>0</v>
      </c>
      <c r="EG175" s="60">
        <v>0</v>
      </c>
      <c r="EH175" s="60">
        <v>0</v>
      </c>
      <c r="EI175" s="60">
        <v>1009</v>
      </c>
      <c r="EJ175" s="60">
        <v>1954</v>
      </c>
      <c r="EK175" s="60">
        <v>12</v>
      </c>
      <c r="EL175" s="60">
        <v>468</v>
      </c>
      <c r="EM175" s="60">
        <v>402</v>
      </c>
      <c r="EN175" s="60">
        <v>143</v>
      </c>
      <c r="EO175" s="60">
        <v>81</v>
      </c>
      <c r="EP175" s="60">
        <v>559</v>
      </c>
      <c r="EQ175" s="60"/>
      <c r="ER175" s="60">
        <v>667</v>
      </c>
      <c r="ES175" s="60">
        <v>236</v>
      </c>
      <c r="ET175" s="60">
        <v>352</v>
      </c>
      <c r="EU175" s="60">
        <v>397</v>
      </c>
      <c r="EV175" s="60">
        <v>262</v>
      </c>
      <c r="EW175" s="60">
        <v>53</v>
      </c>
      <c r="EX175" s="60">
        <v>77</v>
      </c>
      <c r="EY175" s="60">
        <v>107</v>
      </c>
      <c r="EZ175" s="60">
        <v>2</v>
      </c>
      <c r="FA175" s="60">
        <v>38</v>
      </c>
      <c r="FB175" s="60">
        <v>505</v>
      </c>
      <c r="FC175" s="60">
        <v>83</v>
      </c>
      <c r="FD175" s="60">
        <v>272</v>
      </c>
      <c r="FE175" s="60">
        <v>1</v>
      </c>
      <c r="FF175" s="60">
        <v>10</v>
      </c>
      <c r="FG175" s="60"/>
      <c r="FH175" s="60">
        <v>226</v>
      </c>
      <c r="FI175" s="60">
        <v>16</v>
      </c>
      <c r="FJ175" s="60">
        <v>199</v>
      </c>
      <c r="FK175" s="60">
        <v>2</v>
      </c>
      <c r="FL175" s="60">
        <v>13</v>
      </c>
      <c r="FM175" s="60">
        <v>21</v>
      </c>
      <c r="FN175" s="60">
        <v>4</v>
      </c>
      <c r="FO175" s="60">
        <v>3281</v>
      </c>
      <c r="FP175" s="60">
        <v>36</v>
      </c>
      <c r="FQ175" s="60">
        <v>1</v>
      </c>
      <c r="FR175" s="60">
        <v>19</v>
      </c>
      <c r="FS175" s="60">
        <v>8</v>
      </c>
      <c r="FT175" s="60">
        <v>14</v>
      </c>
      <c r="FU175" s="60">
        <v>5</v>
      </c>
      <c r="FV175" s="60"/>
      <c r="FW175" s="60"/>
      <c r="FX175" s="60">
        <v>3845</v>
      </c>
      <c r="FY175" s="60">
        <v>927</v>
      </c>
      <c r="FZ175" s="60">
        <v>2258</v>
      </c>
      <c r="GA175" s="60">
        <v>660</v>
      </c>
      <c r="GB175" s="60">
        <v>2011</v>
      </c>
    </row>
    <row r="176" spans="1:184" x14ac:dyDescent="0.3">
      <c r="A176" s="60">
        <v>106301297</v>
      </c>
      <c r="B176" s="61" t="s">
        <v>711</v>
      </c>
      <c r="C176" s="61" t="s">
        <v>712</v>
      </c>
      <c r="D176" s="61" t="s">
        <v>713</v>
      </c>
      <c r="E176" s="61" t="s">
        <v>714</v>
      </c>
      <c r="F176" s="60">
        <v>92670</v>
      </c>
      <c r="G176" s="61"/>
      <c r="H176" s="61" t="s">
        <v>1669</v>
      </c>
      <c r="I176" s="60">
        <v>72</v>
      </c>
      <c r="J176" s="60">
        <v>29</v>
      </c>
      <c r="K176" s="61" t="s">
        <v>1922</v>
      </c>
      <c r="L176" s="61"/>
      <c r="M176" s="61" t="s">
        <v>1901</v>
      </c>
      <c r="N176" s="61" t="s">
        <v>1902</v>
      </c>
      <c r="O176" s="61" t="s">
        <v>1673</v>
      </c>
      <c r="P176" s="61" t="s">
        <v>221</v>
      </c>
      <c r="Q176" s="61" t="s">
        <v>1674</v>
      </c>
      <c r="R176" s="60">
        <v>114</v>
      </c>
      <c r="S176" s="61" t="s">
        <v>1675</v>
      </c>
      <c r="T176" s="60">
        <v>11812</v>
      </c>
      <c r="U176" s="60">
        <v>9075</v>
      </c>
      <c r="V176" s="60"/>
      <c r="W176" s="60"/>
      <c r="X176" s="60">
        <v>2261</v>
      </c>
      <c r="Y176" s="60">
        <v>2647</v>
      </c>
      <c r="Z176" s="60">
        <v>3305</v>
      </c>
      <c r="AA176" s="60">
        <v>2573</v>
      </c>
      <c r="AB176" s="60">
        <v>2897</v>
      </c>
      <c r="AC176" s="60">
        <v>2531</v>
      </c>
      <c r="AD176" s="60">
        <v>1585</v>
      </c>
      <c r="AE176" s="60">
        <v>1241</v>
      </c>
      <c r="AF176" s="60">
        <v>1566</v>
      </c>
      <c r="AG176" s="60">
        <v>281</v>
      </c>
      <c r="AH176" s="60"/>
      <c r="AI176" s="60">
        <v>841</v>
      </c>
      <c r="AJ176" s="60">
        <v>644</v>
      </c>
      <c r="AK176" s="60">
        <v>4841</v>
      </c>
      <c r="AL176" s="60">
        <v>8</v>
      </c>
      <c r="AM176" s="60">
        <v>1386</v>
      </c>
      <c r="AN176" s="60">
        <v>181</v>
      </c>
      <c r="AO176" s="60">
        <v>12986</v>
      </c>
      <c r="AP176" s="60">
        <v>377</v>
      </c>
      <c r="AQ176" s="60">
        <v>138</v>
      </c>
      <c r="AR176" s="60">
        <v>4</v>
      </c>
      <c r="AS176" s="60">
        <v>22</v>
      </c>
      <c r="AT176" s="60">
        <v>27</v>
      </c>
      <c r="AU176" s="60">
        <v>12</v>
      </c>
      <c r="AV176" s="60"/>
      <c r="AW176" s="60">
        <v>32</v>
      </c>
      <c r="AX176" s="60"/>
      <c r="AY176" s="60">
        <v>76</v>
      </c>
      <c r="AZ176" s="60"/>
      <c r="BA176" s="60">
        <v>20091</v>
      </c>
      <c r="BB176" s="60">
        <v>108</v>
      </c>
      <c r="BC176" s="60"/>
      <c r="BD176" s="60"/>
      <c r="BE176" s="60">
        <v>540</v>
      </c>
      <c r="BF176" s="60">
        <v>3933</v>
      </c>
      <c r="BG176" s="60">
        <v>1363</v>
      </c>
      <c r="BH176" s="60">
        <v>12592</v>
      </c>
      <c r="BI176" s="60">
        <v>2459</v>
      </c>
      <c r="BJ176" s="60">
        <v>260</v>
      </c>
      <c r="BK176" s="60">
        <v>86</v>
      </c>
      <c r="BL176" s="60">
        <v>608</v>
      </c>
      <c r="BM176" s="60">
        <v>4</v>
      </c>
      <c r="BN176" s="60">
        <v>1119</v>
      </c>
      <c r="BO176" s="60">
        <v>322</v>
      </c>
      <c r="BP176" s="60">
        <v>1296</v>
      </c>
      <c r="BQ176" s="60">
        <v>373</v>
      </c>
      <c r="BR176" s="60">
        <v>5596</v>
      </c>
      <c r="BS176" s="60">
        <v>1413</v>
      </c>
      <c r="BT176" s="60">
        <v>8</v>
      </c>
      <c r="BU176" s="60">
        <v>1484</v>
      </c>
      <c r="BV176" s="60">
        <v>663</v>
      </c>
      <c r="BW176" s="60">
        <v>3</v>
      </c>
      <c r="BX176" s="60">
        <v>639</v>
      </c>
      <c r="BY176" s="60">
        <v>2071</v>
      </c>
      <c r="BZ176" s="60">
        <v>789</v>
      </c>
      <c r="CA176" s="60">
        <v>4151</v>
      </c>
      <c r="CB176" s="60">
        <v>1</v>
      </c>
      <c r="CC176" s="60">
        <v>1</v>
      </c>
      <c r="CD176" s="60">
        <v>1991</v>
      </c>
      <c r="CE176" s="60">
        <v>75</v>
      </c>
      <c r="CF176" s="60">
        <v>206</v>
      </c>
      <c r="CG176" s="60">
        <v>3</v>
      </c>
      <c r="CH176" s="60">
        <v>138</v>
      </c>
      <c r="CI176" s="60">
        <v>62</v>
      </c>
      <c r="CJ176" s="60">
        <v>123</v>
      </c>
      <c r="CK176" s="60">
        <v>228</v>
      </c>
      <c r="CL176" s="60">
        <v>14621</v>
      </c>
      <c r="CM176" s="60">
        <v>2654</v>
      </c>
      <c r="CN176" s="60">
        <v>142</v>
      </c>
      <c r="CO176" s="60">
        <v>482</v>
      </c>
      <c r="CP176" s="60">
        <v>49</v>
      </c>
      <c r="CQ176" s="60">
        <v>107</v>
      </c>
      <c r="CR176" s="60">
        <v>6</v>
      </c>
      <c r="CS176" s="60"/>
      <c r="CT176" s="60">
        <v>20887</v>
      </c>
      <c r="CU176" s="60">
        <v>175</v>
      </c>
      <c r="CV176" s="60">
        <v>19869</v>
      </c>
      <c r="CW176" s="60">
        <v>843</v>
      </c>
      <c r="CX176" s="60">
        <v>1582</v>
      </c>
      <c r="CY176" s="60">
        <v>1223</v>
      </c>
      <c r="CZ176" s="60"/>
      <c r="DA176" s="60"/>
      <c r="DB176" s="60">
        <v>54</v>
      </c>
      <c r="DC176" s="60">
        <v>123</v>
      </c>
      <c r="DD176" s="60">
        <v>207</v>
      </c>
      <c r="DE176" s="60">
        <v>293</v>
      </c>
      <c r="DF176" s="60">
        <v>379</v>
      </c>
      <c r="DG176" s="60">
        <v>418</v>
      </c>
      <c r="DH176" s="60">
        <v>525</v>
      </c>
      <c r="DI176" s="60">
        <v>805</v>
      </c>
      <c r="DJ176" s="60"/>
      <c r="DK176" s="60">
        <v>1</v>
      </c>
      <c r="DL176" s="60"/>
      <c r="DM176" s="60">
        <v>136</v>
      </c>
      <c r="DN176" s="60">
        <v>65</v>
      </c>
      <c r="DO176" s="60">
        <v>440</v>
      </c>
      <c r="DP176" s="60">
        <v>171</v>
      </c>
      <c r="DQ176" s="60">
        <v>9</v>
      </c>
      <c r="DR176" s="60">
        <v>1982</v>
      </c>
      <c r="DS176" s="60">
        <v>2</v>
      </c>
      <c r="DT176" s="60">
        <v>152</v>
      </c>
      <c r="DU176" s="60">
        <v>56</v>
      </c>
      <c r="DV176" s="60">
        <v>71</v>
      </c>
      <c r="DW176" s="60">
        <v>272</v>
      </c>
      <c r="DX176" s="60">
        <v>22</v>
      </c>
      <c r="DY176" s="60">
        <v>5</v>
      </c>
      <c r="DZ176" s="60">
        <v>8</v>
      </c>
      <c r="EA176" s="60">
        <v>1787</v>
      </c>
      <c r="EB176" s="60">
        <v>430</v>
      </c>
      <c r="EC176" s="60">
        <v>2</v>
      </c>
      <c r="ED176" s="60">
        <v>0</v>
      </c>
      <c r="EE176" s="60">
        <v>0</v>
      </c>
      <c r="EF176" s="60">
        <v>0</v>
      </c>
      <c r="EG176" s="60">
        <v>0</v>
      </c>
      <c r="EH176" s="60">
        <v>0</v>
      </c>
      <c r="EI176" s="60">
        <v>242</v>
      </c>
      <c r="EJ176" s="60">
        <v>1566</v>
      </c>
      <c r="EK176" s="60">
        <v>72</v>
      </c>
      <c r="EL176" s="60">
        <v>727</v>
      </c>
      <c r="EM176" s="60">
        <v>198</v>
      </c>
      <c r="EN176" s="60">
        <v>12</v>
      </c>
      <c r="EO176" s="60">
        <v>31</v>
      </c>
      <c r="EP176" s="60">
        <v>450</v>
      </c>
      <c r="EQ176" s="60"/>
      <c r="ER176" s="60">
        <v>658</v>
      </c>
      <c r="ES176" s="60">
        <v>184</v>
      </c>
      <c r="ET176" s="60">
        <v>213</v>
      </c>
      <c r="EU176" s="60">
        <v>177</v>
      </c>
      <c r="EV176" s="60">
        <v>246</v>
      </c>
      <c r="EW176" s="60">
        <v>53</v>
      </c>
      <c r="EX176" s="60">
        <v>57</v>
      </c>
      <c r="EY176" s="60">
        <v>43</v>
      </c>
      <c r="EZ176" s="60">
        <v>1</v>
      </c>
      <c r="FA176" s="60">
        <v>34</v>
      </c>
      <c r="FB176" s="60">
        <v>382</v>
      </c>
      <c r="FC176" s="60">
        <v>83</v>
      </c>
      <c r="FD176" s="60">
        <v>181</v>
      </c>
      <c r="FE176" s="60"/>
      <c r="FF176" s="60"/>
      <c r="FG176" s="60"/>
      <c r="FH176" s="60">
        <v>183</v>
      </c>
      <c r="FI176" s="60">
        <v>19</v>
      </c>
      <c r="FJ176" s="60">
        <v>175</v>
      </c>
      <c r="FK176" s="60">
        <v>3</v>
      </c>
      <c r="FL176" s="60">
        <v>10</v>
      </c>
      <c r="FM176" s="60">
        <v>116</v>
      </c>
      <c r="FN176" s="60">
        <v>6</v>
      </c>
      <c r="FO176" s="60">
        <v>2227</v>
      </c>
      <c r="FP176" s="60">
        <v>33</v>
      </c>
      <c r="FQ176" s="60">
        <v>3</v>
      </c>
      <c r="FR176" s="60">
        <v>9</v>
      </c>
      <c r="FS176" s="60">
        <v>13</v>
      </c>
      <c r="FT176" s="60">
        <v>3</v>
      </c>
      <c r="FU176" s="60">
        <v>4</v>
      </c>
      <c r="FV176" s="60">
        <v>1</v>
      </c>
      <c r="FW176" s="60"/>
      <c r="FX176" s="60">
        <v>2805</v>
      </c>
      <c r="FY176" s="60">
        <v>44</v>
      </c>
      <c r="FZ176" s="60">
        <v>2672</v>
      </c>
      <c r="GA176" s="60">
        <v>89</v>
      </c>
      <c r="GB176" s="60">
        <v>2011</v>
      </c>
    </row>
    <row r="177" spans="1:184" x14ac:dyDescent="0.3">
      <c r="A177" s="60">
        <v>106301317</v>
      </c>
      <c r="B177" s="61" t="s">
        <v>715</v>
      </c>
      <c r="C177" s="61" t="s">
        <v>716</v>
      </c>
      <c r="D177" s="61" t="s">
        <v>717</v>
      </c>
      <c r="E177" s="61" t="s">
        <v>718</v>
      </c>
      <c r="F177" s="60">
        <v>92653</v>
      </c>
      <c r="G177" s="61"/>
      <c r="H177" s="61" t="s">
        <v>1669</v>
      </c>
      <c r="I177" s="60">
        <v>73</v>
      </c>
      <c r="J177" s="60">
        <v>33</v>
      </c>
      <c r="K177" s="61" t="s">
        <v>1923</v>
      </c>
      <c r="L177" s="61"/>
      <c r="M177" s="61" t="s">
        <v>1901</v>
      </c>
      <c r="N177" s="61" t="s">
        <v>1902</v>
      </c>
      <c r="O177" s="61" t="s">
        <v>1673</v>
      </c>
      <c r="P177" s="61" t="s">
        <v>1678</v>
      </c>
      <c r="Q177" s="61" t="s">
        <v>1674</v>
      </c>
      <c r="R177" s="60">
        <v>252</v>
      </c>
      <c r="S177" s="61" t="s">
        <v>1675</v>
      </c>
      <c r="T177" s="60">
        <v>21187</v>
      </c>
      <c r="U177" s="60">
        <v>16676</v>
      </c>
      <c r="V177" s="60">
        <v>2</v>
      </c>
      <c r="W177" s="60"/>
      <c r="X177" s="60">
        <v>3195</v>
      </c>
      <c r="Y177" s="60">
        <v>3383</v>
      </c>
      <c r="Z177" s="60">
        <v>4922</v>
      </c>
      <c r="AA177" s="60">
        <v>4260</v>
      </c>
      <c r="AB177" s="60">
        <v>4504</v>
      </c>
      <c r="AC177" s="60">
        <v>3931</v>
      </c>
      <c r="AD177" s="60">
        <v>3273</v>
      </c>
      <c r="AE177" s="60">
        <v>3315</v>
      </c>
      <c r="AF177" s="60">
        <v>6578</v>
      </c>
      <c r="AG177" s="60">
        <v>504</v>
      </c>
      <c r="AH177" s="60"/>
      <c r="AI177" s="60">
        <v>1328</v>
      </c>
      <c r="AJ177" s="60">
        <v>676</v>
      </c>
      <c r="AK177" s="60">
        <v>5425</v>
      </c>
      <c r="AL177" s="60">
        <v>23</v>
      </c>
      <c r="AM177" s="60">
        <v>1306</v>
      </c>
      <c r="AN177" s="60">
        <v>341</v>
      </c>
      <c r="AO177" s="60">
        <v>28766</v>
      </c>
      <c r="AP177" s="60">
        <v>594</v>
      </c>
      <c r="AQ177" s="60">
        <v>584</v>
      </c>
      <c r="AR177" s="60">
        <v>36</v>
      </c>
      <c r="AS177" s="60">
        <v>127</v>
      </c>
      <c r="AT177" s="60">
        <v>579</v>
      </c>
      <c r="AU177" s="60">
        <v>61</v>
      </c>
      <c r="AV177" s="60">
        <v>19</v>
      </c>
      <c r="AW177" s="60">
        <v>3</v>
      </c>
      <c r="AX177" s="60"/>
      <c r="AY177" s="60">
        <v>409</v>
      </c>
      <c r="AZ177" s="60"/>
      <c r="BA177" s="60">
        <v>34956</v>
      </c>
      <c r="BB177" s="60">
        <v>495</v>
      </c>
      <c r="BC177" s="60"/>
      <c r="BD177" s="60">
        <v>2</v>
      </c>
      <c r="BE177" s="60">
        <v>4162</v>
      </c>
      <c r="BF177" s="60">
        <v>11734</v>
      </c>
      <c r="BG177" s="60">
        <v>3319</v>
      </c>
      <c r="BH177" s="60">
        <v>13763</v>
      </c>
      <c r="BI177" s="60">
        <v>4887</v>
      </c>
      <c r="BJ177" s="60">
        <v>703</v>
      </c>
      <c r="BK177" s="60">
        <v>141</v>
      </c>
      <c r="BL177" s="60">
        <v>1503</v>
      </c>
      <c r="BM177" s="60">
        <v>7</v>
      </c>
      <c r="BN177" s="60">
        <v>1777</v>
      </c>
      <c r="BO177" s="60">
        <v>457</v>
      </c>
      <c r="BP177" s="60">
        <v>1967</v>
      </c>
      <c r="BQ177" s="60">
        <v>570</v>
      </c>
      <c r="BR177" s="60">
        <v>10993</v>
      </c>
      <c r="BS177" s="60">
        <v>2185</v>
      </c>
      <c r="BT177" s="60">
        <v>71</v>
      </c>
      <c r="BU177" s="60">
        <v>1862</v>
      </c>
      <c r="BV177" s="60">
        <v>830</v>
      </c>
      <c r="BW177" s="60">
        <v>29</v>
      </c>
      <c r="BX177" s="60">
        <v>1693</v>
      </c>
      <c r="BY177" s="60">
        <v>2586</v>
      </c>
      <c r="BZ177" s="60">
        <v>1417</v>
      </c>
      <c r="CA177" s="60">
        <v>9074</v>
      </c>
      <c r="CB177" s="60"/>
      <c r="CC177" s="60"/>
      <c r="CD177" s="60">
        <v>4364</v>
      </c>
      <c r="CE177" s="60">
        <v>200</v>
      </c>
      <c r="CF177" s="60">
        <v>444</v>
      </c>
      <c r="CG177" s="60">
        <v>15</v>
      </c>
      <c r="CH177" s="60">
        <v>251</v>
      </c>
      <c r="CI177" s="60">
        <v>20</v>
      </c>
      <c r="CJ177" s="60">
        <v>278</v>
      </c>
      <c r="CK177" s="60">
        <v>427</v>
      </c>
      <c r="CL177" s="60">
        <v>26100</v>
      </c>
      <c r="CM177" s="60">
        <v>4224</v>
      </c>
      <c r="CN177" s="60">
        <v>264</v>
      </c>
      <c r="CO177" s="60">
        <v>875</v>
      </c>
      <c r="CP177" s="60">
        <v>118</v>
      </c>
      <c r="CQ177" s="60">
        <v>254</v>
      </c>
      <c r="CR177" s="60">
        <v>31</v>
      </c>
      <c r="CS177" s="60"/>
      <c r="CT177" s="60">
        <v>37865</v>
      </c>
      <c r="CU177" s="60">
        <v>665</v>
      </c>
      <c r="CV177" s="60">
        <v>35814</v>
      </c>
      <c r="CW177" s="60">
        <v>1386</v>
      </c>
      <c r="CX177" s="60">
        <v>5958</v>
      </c>
      <c r="CY177" s="60">
        <v>4585</v>
      </c>
      <c r="CZ177" s="60"/>
      <c r="DA177" s="60"/>
      <c r="DB177" s="60">
        <v>73</v>
      </c>
      <c r="DC177" s="60">
        <v>294</v>
      </c>
      <c r="DD177" s="60">
        <v>377</v>
      </c>
      <c r="DE177" s="60">
        <v>733</v>
      </c>
      <c r="DF177" s="60">
        <v>1058</v>
      </c>
      <c r="DG177" s="60">
        <v>1414</v>
      </c>
      <c r="DH177" s="60">
        <v>1892</v>
      </c>
      <c r="DI177" s="60">
        <v>4698</v>
      </c>
      <c r="DJ177" s="60">
        <v>2</v>
      </c>
      <c r="DK177" s="60">
        <v>2</v>
      </c>
      <c r="DL177" s="60"/>
      <c r="DM177" s="60">
        <v>460</v>
      </c>
      <c r="DN177" s="60">
        <v>107</v>
      </c>
      <c r="DO177" s="60">
        <v>776</v>
      </c>
      <c r="DP177" s="60">
        <v>283</v>
      </c>
      <c r="DQ177" s="60">
        <v>13</v>
      </c>
      <c r="DR177" s="60">
        <v>8892</v>
      </c>
      <c r="DS177" s="60">
        <v>12</v>
      </c>
      <c r="DT177" s="60">
        <v>221</v>
      </c>
      <c r="DU177" s="60">
        <v>32</v>
      </c>
      <c r="DV177" s="60">
        <v>330</v>
      </c>
      <c r="DW177" s="60">
        <v>2510</v>
      </c>
      <c r="DX177" s="60">
        <v>144</v>
      </c>
      <c r="DY177" s="60">
        <v>1</v>
      </c>
      <c r="DZ177" s="60">
        <v>58</v>
      </c>
      <c r="EA177" s="60">
        <v>5319</v>
      </c>
      <c r="EB177" s="60">
        <v>1927</v>
      </c>
      <c r="EC177" s="60">
        <v>1</v>
      </c>
      <c r="ED177" s="60">
        <v>0</v>
      </c>
      <c r="EE177" s="60">
        <v>0</v>
      </c>
      <c r="EF177" s="60">
        <v>0</v>
      </c>
      <c r="EG177" s="60">
        <v>0</v>
      </c>
      <c r="EH177" s="60">
        <v>0</v>
      </c>
      <c r="EI177" s="60">
        <v>276</v>
      </c>
      <c r="EJ177" s="60">
        <v>7100</v>
      </c>
      <c r="EK177" s="60">
        <v>138</v>
      </c>
      <c r="EL177" s="60">
        <v>2132</v>
      </c>
      <c r="EM177" s="60">
        <v>897</v>
      </c>
      <c r="EN177" s="60">
        <v>61</v>
      </c>
      <c r="EO177" s="60">
        <v>166</v>
      </c>
      <c r="EP177" s="60">
        <v>2388</v>
      </c>
      <c r="EQ177" s="60">
        <v>3</v>
      </c>
      <c r="ER177" s="60">
        <v>1653</v>
      </c>
      <c r="ES177" s="60">
        <v>386</v>
      </c>
      <c r="ET177" s="60">
        <v>612</v>
      </c>
      <c r="EU177" s="60">
        <v>1125</v>
      </c>
      <c r="EV177" s="60">
        <v>1011</v>
      </c>
      <c r="EW177" s="60">
        <v>174</v>
      </c>
      <c r="EX177" s="60">
        <v>230</v>
      </c>
      <c r="EY177" s="60">
        <v>257</v>
      </c>
      <c r="EZ177" s="60">
        <v>7</v>
      </c>
      <c r="FA177" s="60">
        <v>102</v>
      </c>
      <c r="FB177" s="60">
        <v>1161</v>
      </c>
      <c r="FC177" s="60">
        <v>238</v>
      </c>
      <c r="FD177" s="60">
        <v>968</v>
      </c>
      <c r="FE177" s="60"/>
      <c r="FF177" s="60">
        <v>1</v>
      </c>
      <c r="FG177" s="60"/>
      <c r="FH177" s="60">
        <v>833</v>
      </c>
      <c r="FI177" s="60">
        <v>59</v>
      </c>
      <c r="FJ177" s="60">
        <v>870</v>
      </c>
      <c r="FK177" s="60">
        <v>6</v>
      </c>
      <c r="FL177" s="60">
        <v>9</v>
      </c>
      <c r="FM177" s="60">
        <v>620</v>
      </c>
      <c r="FN177" s="60">
        <v>25</v>
      </c>
      <c r="FO177" s="60">
        <v>7833</v>
      </c>
      <c r="FP177" s="60">
        <v>138</v>
      </c>
      <c r="FQ177" s="60">
        <v>14</v>
      </c>
      <c r="FR177" s="60">
        <v>39</v>
      </c>
      <c r="FS177" s="60">
        <v>57</v>
      </c>
      <c r="FT177" s="60">
        <v>27</v>
      </c>
      <c r="FU177" s="60">
        <v>11</v>
      </c>
      <c r="FV177" s="60">
        <v>2</v>
      </c>
      <c r="FW177" s="60"/>
      <c r="FX177" s="60">
        <v>10543</v>
      </c>
      <c r="FY177" s="60">
        <v>309</v>
      </c>
      <c r="FZ177" s="60">
        <v>10009</v>
      </c>
      <c r="GA177" s="60">
        <v>225</v>
      </c>
      <c r="GB177" s="60">
        <v>2011</v>
      </c>
    </row>
    <row r="178" spans="1:184" x14ac:dyDescent="0.3">
      <c r="A178" s="60">
        <v>106301337</v>
      </c>
      <c r="B178" s="61" t="s">
        <v>719</v>
      </c>
      <c r="C178" s="61" t="s">
        <v>720</v>
      </c>
      <c r="D178" s="61" t="s">
        <v>721</v>
      </c>
      <c r="E178" s="61" t="s">
        <v>722</v>
      </c>
      <c r="F178" s="60">
        <v>92677</v>
      </c>
      <c r="G178" s="61"/>
      <c r="H178" s="61" t="s">
        <v>1669</v>
      </c>
      <c r="I178" s="60">
        <v>70</v>
      </c>
      <c r="J178" s="60">
        <v>35</v>
      </c>
      <c r="K178" s="61" t="s">
        <v>1924</v>
      </c>
      <c r="L178" s="61"/>
      <c r="M178" s="61" t="s">
        <v>1901</v>
      </c>
      <c r="N178" s="61" t="s">
        <v>1902</v>
      </c>
      <c r="O178" s="61" t="s">
        <v>1673</v>
      </c>
      <c r="P178" s="61" t="s">
        <v>1678</v>
      </c>
      <c r="Q178" s="61" t="s">
        <v>1674</v>
      </c>
      <c r="R178" s="60">
        <v>142</v>
      </c>
      <c r="S178" s="61" t="s">
        <v>1675</v>
      </c>
      <c r="T178" s="60">
        <v>4388</v>
      </c>
      <c r="U178" s="60">
        <v>4222</v>
      </c>
      <c r="V178" s="60"/>
      <c r="W178" s="60"/>
      <c r="X178" s="60">
        <v>514</v>
      </c>
      <c r="Y178" s="60">
        <v>884</v>
      </c>
      <c r="Z178" s="60">
        <v>1234</v>
      </c>
      <c r="AA178" s="60">
        <v>1025</v>
      </c>
      <c r="AB178" s="60">
        <v>1314</v>
      </c>
      <c r="AC178" s="60">
        <v>1321</v>
      </c>
      <c r="AD178" s="60">
        <v>837</v>
      </c>
      <c r="AE178" s="60">
        <v>608</v>
      </c>
      <c r="AF178" s="60">
        <v>838</v>
      </c>
      <c r="AG178" s="60">
        <v>35</v>
      </c>
      <c r="AH178" s="60"/>
      <c r="AI178" s="60">
        <v>158</v>
      </c>
      <c r="AJ178" s="60">
        <v>129</v>
      </c>
      <c r="AK178" s="60">
        <v>549</v>
      </c>
      <c r="AL178" s="60">
        <v>7</v>
      </c>
      <c r="AM178" s="60">
        <v>152</v>
      </c>
      <c r="AN178" s="60">
        <v>37</v>
      </c>
      <c r="AO178" s="60">
        <v>7578</v>
      </c>
      <c r="AP178" s="60">
        <v>65</v>
      </c>
      <c r="AQ178" s="60">
        <v>167</v>
      </c>
      <c r="AR178" s="60">
        <v>2</v>
      </c>
      <c r="AS178" s="60">
        <v>12</v>
      </c>
      <c r="AT178" s="60">
        <v>7</v>
      </c>
      <c r="AU178" s="60">
        <v>3</v>
      </c>
      <c r="AV178" s="60">
        <v>1</v>
      </c>
      <c r="AW178" s="60"/>
      <c r="AX178" s="60">
        <v>61</v>
      </c>
      <c r="AY178" s="60">
        <v>220</v>
      </c>
      <c r="AZ178" s="60">
        <v>7</v>
      </c>
      <c r="BA178" s="60">
        <v>8053</v>
      </c>
      <c r="BB178" s="60">
        <v>12</v>
      </c>
      <c r="BC178" s="60"/>
      <c r="BD178" s="60"/>
      <c r="BE178" s="60">
        <v>676</v>
      </c>
      <c r="BF178" s="60">
        <v>1983</v>
      </c>
      <c r="BG178" s="60">
        <v>734</v>
      </c>
      <c r="BH178" s="60">
        <v>3956</v>
      </c>
      <c r="BI178" s="60">
        <v>1261</v>
      </c>
      <c r="BJ178" s="60">
        <v>86</v>
      </c>
      <c r="BK178" s="60">
        <v>19</v>
      </c>
      <c r="BL178" s="60">
        <v>184</v>
      </c>
      <c r="BM178" s="60">
        <v>3</v>
      </c>
      <c r="BN178" s="60">
        <v>325</v>
      </c>
      <c r="BO178" s="60">
        <v>105</v>
      </c>
      <c r="BP178" s="60">
        <v>372</v>
      </c>
      <c r="BQ178" s="60">
        <v>84</v>
      </c>
      <c r="BR178" s="60">
        <v>2703</v>
      </c>
      <c r="BS178" s="60">
        <v>624</v>
      </c>
      <c r="BT178" s="60">
        <v>5</v>
      </c>
      <c r="BU178" s="60">
        <v>424</v>
      </c>
      <c r="BV178" s="60">
        <v>350</v>
      </c>
      <c r="BW178" s="60">
        <v>2</v>
      </c>
      <c r="BX178" s="60">
        <v>689</v>
      </c>
      <c r="BY178" s="60">
        <v>554</v>
      </c>
      <c r="BZ178" s="60">
        <v>518</v>
      </c>
      <c r="CA178" s="60">
        <v>1563</v>
      </c>
      <c r="CB178" s="60"/>
      <c r="CC178" s="60"/>
      <c r="CD178" s="60">
        <v>924</v>
      </c>
      <c r="CE178" s="60">
        <v>32</v>
      </c>
      <c r="CF178" s="60">
        <v>104</v>
      </c>
      <c r="CG178" s="60">
        <v>2</v>
      </c>
      <c r="CH178" s="60">
        <v>102</v>
      </c>
      <c r="CI178" s="60">
        <v>10</v>
      </c>
      <c r="CJ178" s="60">
        <v>56</v>
      </c>
      <c r="CK178" s="60">
        <v>123</v>
      </c>
      <c r="CL178" s="60">
        <v>5623</v>
      </c>
      <c r="CM178" s="60">
        <v>1293</v>
      </c>
      <c r="CN178" s="60">
        <v>64</v>
      </c>
      <c r="CO178" s="60">
        <v>181</v>
      </c>
      <c r="CP178" s="60">
        <v>29</v>
      </c>
      <c r="CQ178" s="60">
        <v>45</v>
      </c>
      <c r="CR178" s="60">
        <v>22</v>
      </c>
      <c r="CS178" s="60"/>
      <c r="CT178" s="60">
        <v>8610</v>
      </c>
      <c r="CU178" s="60">
        <v>68</v>
      </c>
      <c r="CV178" s="60">
        <v>8352</v>
      </c>
      <c r="CW178" s="60">
        <v>190</v>
      </c>
      <c r="CX178" s="60">
        <v>1620</v>
      </c>
      <c r="CY178" s="60">
        <v>1371</v>
      </c>
      <c r="CZ178" s="60"/>
      <c r="DA178" s="60"/>
      <c r="DB178" s="60">
        <v>101</v>
      </c>
      <c r="DC178" s="60">
        <v>435</v>
      </c>
      <c r="DD178" s="60">
        <v>319</v>
      </c>
      <c r="DE178" s="60">
        <v>527</v>
      </c>
      <c r="DF178" s="60">
        <v>475</v>
      </c>
      <c r="DG178" s="60">
        <v>354</v>
      </c>
      <c r="DH178" s="60">
        <v>270</v>
      </c>
      <c r="DI178" s="60">
        <v>510</v>
      </c>
      <c r="DJ178" s="60"/>
      <c r="DK178" s="60"/>
      <c r="DL178" s="60"/>
      <c r="DM178" s="60">
        <v>61</v>
      </c>
      <c r="DN178" s="60">
        <v>51</v>
      </c>
      <c r="DO178" s="60">
        <v>117</v>
      </c>
      <c r="DP178" s="60">
        <v>42</v>
      </c>
      <c r="DQ178" s="60">
        <v>16</v>
      </c>
      <c r="DR178" s="60">
        <v>2698</v>
      </c>
      <c r="DS178" s="60">
        <v>6</v>
      </c>
      <c r="DT178" s="60">
        <v>64</v>
      </c>
      <c r="DU178" s="60">
        <v>179</v>
      </c>
      <c r="DV178" s="60">
        <v>14</v>
      </c>
      <c r="DW178" s="60">
        <v>207</v>
      </c>
      <c r="DX178" s="60">
        <v>188</v>
      </c>
      <c r="DY178" s="60"/>
      <c r="DZ178" s="60">
        <v>11</v>
      </c>
      <c r="EA178" s="60">
        <v>2124</v>
      </c>
      <c r="EB178" s="60">
        <v>202</v>
      </c>
      <c r="EC178" s="60">
        <v>2</v>
      </c>
      <c r="ED178" s="60">
        <v>0</v>
      </c>
      <c r="EE178" s="60">
        <v>0</v>
      </c>
      <c r="EF178" s="60">
        <v>0</v>
      </c>
      <c r="EG178" s="60">
        <v>0</v>
      </c>
      <c r="EH178" s="60">
        <v>0</v>
      </c>
      <c r="EI178" s="60">
        <v>132</v>
      </c>
      <c r="EJ178" s="60">
        <v>1112</v>
      </c>
      <c r="EK178" s="60">
        <v>41</v>
      </c>
      <c r="EL178" s="60">
        <v>1418</v>
      </c>
      <c r="EM178" s="60">
        <v>288</v>
      </c>
      <c r="EN178" s="60">
        <v>9</v>
      </c>
      <c r="EO178" s="60">
        <v>26</v>
      </c>
      <c r="EP178" s="60">
        <v>169</v>
      </c>
      <c r="EQ178" s="60">
        <v>1</v>
      </c>
      <c r="ER178" s="60">
        <v>338</v>
      </c>
      <c r="ES178" s="60">
        <v>90</v>
      </c>
      <c r="ET178" s="60">
        <v>86</v>
      </c>
      <c r="EU178" s="60">
        <v>115</v>
      </c>
      <c r="EV178" s="60">
        <v>277</v>
      </c>
      <c r="EW178" s="60">
        <v>48</v>
      </c>
      <c r="EX178" s="60">
        <v>33</v>
      </c>
      <c r="EY178" s="60">
        <v>43</v>
      </c>
      <c r="EZ178" s="60"/>
      <c r="FA178" s="60">
        <v>1384</v>
      </c>
      <c r="FB178" s="60">
        <v>142</v>
      </c>
      <c r="FC178" s="60">
        <v>51</v>
      </c>
      <c r="FD178" s="60">
        <v>179</v>
      </c>
      <c r="FE178" s="60"/>
      <c r="FF178" s="60"/>
      <c r="FG178" s="60"/>
      <c r="FH178" s="60">
        <v>209</v>
      </c>
      <c r="FI178" s="60">
        <v>8</v>
      </c>
      <c r="FJ178" s="60">
        <v>243</v>
      </c>
      <c r="FK178" s="60">
        <v>6</v>
      </c>
      <c r="FL178" s="60">
        <v>4</v>
      </c>
      <c r="FM178" s="60">
        <v>64</v>
      </c>
      <c r="FN178" s="60">
        <v>6</v>
      </c>
      <c r="FO178" s="60">
        <v>2214</v>
      </c>
      <c r="FP178" s="60">
        <v>59</v>
      </c>
      <c r="FQ178" s="60">
        <v>1</v>
      </c>
      <c r="FR178" s="60">
        <v>8</v>
      </c>
      <c r="FS178" s="60">
        <v>123</v>
      </c>
      <c r="FT178" s="60">
        <v>7</v>
      </c>
      <c r="FU178" s="60">
        <v>39</v>
      </c>
      <c r="FV178" s="60"/>
      <c r="FW178" s="60"/>
      <c r="FX178" s="60">
        <v>2991</v>
      </c>
      <c r="FY178" s="60">
        <v>26</v>
      </c>
      <c r="FZ178" s="60">
        <v>2934</v>
      </c>
      <c r="GA178" s="60">
        <v>31</v>
      </c>
      <c r="GB178" s="60">
        <v>2011</v>
      </c>
    </row>
    <row r="179" spans="1:184" x14ac:dyDescent="0.3">
      <c r="A179" s="60">
        <v>106301340</v>
      </c>
      <c r="B179" s="61" t="s">
        <v>723</v>
      </c>
      <c r="C179" s="61" t="s">
        <v>724</v>
      </c>
      <c r="D179" s="61" t="s">
        <v>725</v>
      </c>
      <c r="E179" s="61" t="s">
        <v>668</v>
      </c>
      <c r="F179" s="60">
        <v>92868</v>
      </c>
      <c r="G179" s="61"/>
      <c r="H179" s="61" t="s">
        <v>1669</v>
      </c>
      <c r="I179" s="60">
        <v>72</v>
      </c>
      <c r="J179" s="60">
        <v>33</v>
      </c>
      <c r="K179" s="61" t="s">
        <v>1900</v>
      </c>
      <c r="L179" s="61"/>
      <c r="M179" s="61" t="s">
        <v>1901</v>
      </c>
      <c r="N179" s="61" t="s">
        <v>1902</v>
      </c>
      <c r="O179" s="61" t="s">
        <v>1673</v>
      </c>
      <c r="P179" s="61" t="s">
        <v>1678</v>
      </c>
      <c r="Q179" s="61" t="s">
        <v>1674</v>
      </c>
      <c r="R179" s="60">
        <v>488</v>
      </c>
      <c r="S179" s="61" t="s">
        <v>1675</v>
      </c>
      <c r="T179" s="60">
        <v>27357</v>
      </c>
      <c r="U179" s="60">
        <v>17160</v>
      </c>
      <c r="V179" s="60"/>
      <c r="W179" s="60"/>
      <c r="X179" s="60"/>
      <c r="Y179" s="60">
        <v>3590</v>
      </c>
      <c r="Z179" s="60">
        <v>8917</v>
      </c>
      <c r="AA179" s="60">
        <v>7364</v>
      </c>
      <c r="AB179" s="60">
        <v>6692</v>
      </c>
      <c r="AC179" s="60">
        <v>5906</v>
      </c>
      <c r="AD179" s="60">
        <v>4179</v>
      </c>
      <c r="AE179" s="60">
        <v>3707</v>
      </c>
      <c r="AF179" s="60">
        <v>4162</v>
      </c>
      <c r="AG179" s="60"/>
      <c r="AH179" s="60"/>
      <c r="AI179" s="60">
        <v>1540</v>
      </c>
      <c r="AJ179" s="60">
        <v>1103</v>
      </c>
      <c r="AK179" s="60">
        <v>19100</v>
      </c>
      <c r="AL179" s="60">
        <v>7</v>
      </c>
      <c r="AM179" s="60">
        <v>944</v>
      </c>
      <c r="AN179" s="60">
        <v>87</v>
      </c>
      <c r="AO179" s="60">
        <v>21736</v>
      </c>
      <c r="AP179" s="60">
        <v>525</v>
      </c>
      <c r="AQ179" s="60">
        <v>266</v>
      </c>
      <c r="AR179" s="60"/>
      <c r="AS179" s="60">
        <v>55</v>
      </c>
      <c r="AT179" s="60">
        <v>32</v>
      </c>
      <c r="AU179" s="60">
        <v>11</v>
      </c>
      <c r="AV179" s="60">
        <v>19</v>
      </c>
      <c r="AW179" s="60"/>
      <c r="AX179" s="60">
        <v>82</v>
      </c>
      <c r="AY179" s="60">
        <v>561</v>
      </c>
      <c r="AZ179" s="60">
        <v>162</v>
      </c>
      <c r="BA179" s="60">
        <v>42378</v>
      </c>
      <c r="BB179" s="60">
        <v>426</v>
      </c>
      <c r="BC179" s="60"/>
      <c r="BD179" s="60"/>
      <c r="BE179" s="60">
        <v>9248</v>
      </c>
      <c r="BF179" s="60">
        <v>10133</v>
      </c>
      <c r="BG179" s="60">
        <v>8884</v>
      </c>
      <c r="BH179" s="60">
        <v>14271</v>
      </c>
      <c r="BI179" s="60">
        <v>1981</v>
      </c>
      <c r="BJ179" s="60">
        <v>2347</v>
      </c>
      <c r="BK179" s="60">
        <v>250</v>
      </c>
      <c r="BL179" s="60">
        <v>1474</v>
      </c>
      <c r="BM179" s="60">
        <v>5</v>
      </c>
      <c r="BN179" s="60">
        <v>1606</v>
      </c>
      <c r="BO179" s="60">
        <v>546</v>
      </c>
      <c r="BP179" s="60">
        <v>2651</v>
      </c>
      <c r="BQ179" s="60">
        <v>560</v>
      </c>
      <c r="BR179" s="60">
        <v>8191</v>
      </c>
      <c r="BS179" s="60">
        <v>2738</v>
      </c>
      <c r="BT179" s="60">
        <v>66</v>
      </c>
      <c r="BU179" s="60">
        <v>2280</v>
      </c>
      <c r="BV179" s="60">
        <v>982</v>
      </c>
      <c r="BW179" s="60"/>
      <c r="BX179" s="60">
        <v>2040</v>
      </c>
      <c r="BY179" s="60">
        <v>2652</v>
      </c>
      <c r="BZ179" s="60">
        <v>1672</v>
      </c>
      <c r="CA179" s="60">
        <v>14456</v>
      </c>
      <c r="CB179" s="60">
        <v>1</v>
      </c>
      <c r="CC179" s="60"/>
      <c r="CD179" s="60">
        <v>2959</v>
      </c>
      <c r="CE179" s="60">
        <v>81</v>
      </c>
      <c r="CF179" s="60">
        <v>396</v>
      </c>
      <c r="CG179" s="60">
        <v>10</v>
      </c>
      <c r="CH179" s="60">
        <v>205</v>
      </c>
      <c r="CI179" s="60">
        <v>66</v>
      </c>
      <c r="CJ179" s="60">
        <v>8</v>
      </c>
      <c r="CK179" s="60">
        <v>258</v>
      </c>
      <c r="CL179" s="60">
        <v>36157</v>
      </c>
      <c r="CM179" s="60">
        <v>3263</v>
      </c>
      <c r="CN179" s="60">
        <v>161</v>
      </c>
      <c r="CO179" s="60">
        <v>728</v>
      </c>
      <c r="CP179" s="60">
        <v>99</v>
      </c>
      <c r="CQ179" s="60">
        <v>81</v>
      </c>
      <c r="CR179" s="60">
        <v>45</v>
      </c>
      <c r="CS179" s="60"/>
      <c r="CT179" s="60">
        <v>44517</v>
      </c>
      <c r="CU179" s="60">
        <v>583</v>
      </c>
      <c r="CV179" s="60">
        <v>36276</v>
      </c>
      <c r="CW179" s="60">
        <v>7658</v>
      </c>
      <c r="CX179" s="60">
        <v>4940</v>
      </c>
      <c r="CY179" s="60">
        <v>4362</v>
      </c>
      <c r="CZ179" s="60"/>
      <c r="DA179" s="60"/>
      <c r="DB179" s="60">
        <v>175</v>
      </c>
      <c r="DC179" s="60">
        <v>699</v>
      </c>
      <c r="DD179" s="60">
        <v>707</v>
      </c>
      <c r="DE179" s="60">
        <v>1017</v>
      </c>
      <c r="DF179" s="60">
        <v>1468</v>
      </c>
      <c r="DG179" s="60">
        <v>1362</v>
      </c>
      <c r="DH179" s="60">
        <v>1614</v>
      </c>
      <c r="DI179" s="60">
        <v>2260</v>
      </c>
      <c r="DJ179" s="60"/>
      <c r="DK179" s="60"/>
      <c r="DL179" s="60"/>
      <c r="DM179" s="60">
        <v>495</v>
      </c>
      <c r="DN179" s="60">
        <v>213</v>
      </c>
      <c r="DO179" s="60">
        <v>2354</v>
      </c>
      <c r="DP179" s="60">
        <v>150</v>
      </c>
      <c r="DQ179" s="60"/>
      <c r="DR179" s="60">
        <v>6089</v>
      </c>
      <c r="DS179" s="60">
        <v>1</v>
      </c>
      <c r="DT179" s="60">
        <v>127</v>
      </c>
      <c r="DU179" s="60">
        <v>122</v>
      </c>
      <c r="DV179" s="60">
        <v>285</v>
      </c>
      <c r="DW179" s="60">
        <v>1214</v>
      </c>
      <c r="DX179" s="60">
        <v>340</v>
      </c>
      <c r="DY179" s="60">
        <v>1</v>
      </c>
      <c r="DZ179" s="60">
        <v>89</v>
      </c>
      <c r="EA179" s="60">
        <v>5894</v>
      </c>
      <c r="EB179" s="60">
        <v>1228</v>
      </c>
      <c r="EC179" s="60">
        <v>2</v>
      </c>
      <c r="ED179" s="60">
        <v>0</v>
      </c>
      <c r="EE179" s="60">
        <v>0</v>
      </c>
      <c r="EF179" s="60">
        <v>0</v>
      </c>
      <c r="EG179" s="60">
        <v>0</v>
      </c>
      <c r="EH179" s="60">
        <v>0</v>
      </c>
      <c r="EI179" s="60">
        <v>976</v>
      </c>
      <c r="EJ179" s="60">
        <v>3423</v>
      </c>
      <c r="EK179" s="60">
        <v>80</v>
      </c>
      <c r="EL179" s="60">
        <v>4147</v>
      </c>
      <c r="EM179" s="60">
        <v>676</v>
      </c>
      <c r="EN179" s="60">
        <v>125</v>
      </c>
      <c r="EO179" s="60">
        <v>167</v>
      </c>
      <c r="EP179" s="60">
        <v>1718</v>
      </c>
      <c r="EQ179" s="60">
        <v>11</v>
      </c>
      <c r="ER179" s="60">
        <v>1364</v>
      </c>
      <c r="ES179" s="60">
        <v>415</v>
      </c>
      <c r="ET179" s="60">
        <v>503</v>
      </c>
      <c r="EU179" s="60">
        <v>726</v>
      </c>
      <c r="EV179" s="60">
        <v>802</v>
      </c>
      <c r="EW179" s="60">
        <v>187</v>
      </c>
      <c r="EX179" s="60">
        <v>361</v>
      </c>
      <c r="EY179" s="60">
        <v>217</v>
      </c>
      <c r="EZ179" s="60">
        <v>5</v>
      </c>
      <c r="FA179" s="60">
        <v>1315</v>
      </c>
      <c r="FB179" s="60">
        <v>874</v>
      </c>
      <c r="FC179" s="60">
        <v>212</v>
      </c>
      <c r="FD179" s="60">
        <v>300</v>
      </c>
      <c r="FE179" s="60"/>
      <c r="FF179" s="60"/>
      <c r="FG179" s="60"/>
      <c r="FH179" s="60">
        <v>440</v>
      </c>
      <c r="FI179" s="60">
        <v>31</v>
      </c>
      <c r="FJ179" s="60">
        <v>1030</v>
      </c>
      <c r="FK179" s="60">
        <v>14</v>
      </c>
      <c r="FL179" s="60">
        <v>20</v>
      </c>
      <c r="FM179" s="60">
        <v>165</v>
      </c>
      <c r="FN179" s="60">
        <v>19</v>
      </c>
      <c r="FO179" s="60">
        <v>7284</v>
      </c>
      <c r="FP179" s="60">
        <v>150</v>
      </c>
      <c r="FQ179" s="60">
        <v>6</v>
      </c>
      <c r="FR179" s="60">
        <v>21</v>
      </c>
      <c r="FS179" s="60">
        <v>92</v>
      </c>
      <c r="FT179" s="60">
        <v>8</v>
      </c>
      <c r="FU179" s="60">
        <v>21</v>
      </c>
      <c r="FV179" s="60">
        <v>1</v>
      </c>
      <c r="FW179" s="60"/>
      <c r="FX179" s="60">
        <v>9302</v>
      </c>
      <c r="FY179" s="60">
        <v>212</v>
      </c>
      <c r="FZ179" s="60">
        <v>7911</v>
      </c>
      <c r="GA179" s="60">
        <v>1179</v>
      </c>
      <c r="GB179" s="60">
        <v>2011</v>
      </c>
    </row>
    <row r="180" spans="1:184" x14ac:dyDescent="0.3">
      <c r="A180" s="60">
        <v>106301342</v>
      </c>
      <c r="B180" s="61" t="s">
        <v>726</v>
      </c>
      <c r="C180" s="61" t="s">
        <v>727</v>
      </c>
      <c r="D180" s="61" t="s">
        <v>728</v>
      </c>
      <c r="E180" s="61" t="s">
        <v>729</v>
      </c>
      <c r="F180" s="60">
        <v>92835</v>
      </c>
      <c r="G180" s="61"/>
      <c r="H180" s="61" t="s">
        <v>1669</v>
      </c>
      <c r="I180" s="60">
        <v>72</v>
      </c>
      <c r="J180" s="60">
        <v>33</v>
      </c>
      <c r="K180" s="61" t="s">
        <v>1925</v>
      </c>
      <c r="L180" s="61"/>
      <c r="M180" s="61" t="s">
        <v>1901</v>
      </c>
      <c r="N180" s="61" t="s">
        <v>1902</v>
      </c>
      <c r="O180" s="61" t="s">
        <v>1673</v>
      </c>
      <c r="P180" s="61" t="s">
        <v>1678</v>
      </c>
      <c r="Q180" s="61" t="s">
        <v>1674</v>
      </c>
      <c r="R180" s="60">
        <v>347</v>
      </c>
      <c r="S180" s="61" t="s">
        <v>1675</v>
      </c>
      <c r="T180" s="60">
        <v>27921</v>
      </c>
      <c r="U180" s="60">
        <v>21376</v>
      </c>
      <c r="V180" s="60"/>
      <c r="W180" s="60"/>
      <c r="X180" s="60">
        <v>5550</v>
      </c>
      <c r="Y180" s="60">
        <v>5082</v>
      </c>
      <c r="Z180" s="60">
        <v>7265</v>
      </c>
      <c r="AA180" s="60">
        <v>6030</v>
      </c>
      <c r="AB180" s="60">
        <v>6188</v>
      </c>
      <c r="AC180" s="60">
        <v>5893</v>
      </c>
      <c r="AD180" s="60">
        <v>4065</v>
      </c>
      <c r="AE180" s="60">
        <v>3442</v>
      </c>
      <c r="AF180" s="60">
        <v>4521</v>
      </c>
      <c r="AG180" s="60">
        <v>1261</v>
      </c>
      <c r="AH180" s="60"/>
      <c r="AI180" s="60">
        <v>3698</v>
      </c>
      <c r="AJ180" s="60">
        <v>1388</v>
      </c>
      <c r="AK180" s="60">
        <v>14311</v>
      </c>
      <c r="AL180" s="60">
        <v>10</v>
      </c>
      <c r="AM180" s="60">
        <v>960</v>
      </c>
      <c r="AN180" s="60">
        <v>167</v>
      </c>
      <c r="AO180" s="60">
        <v>28763</v>
      </c>
      <c r="AP180" s="60">
        <v>1231</v>
      </c>
      <c r="AQ180" s="60">
        <v>322</v>
      </c>
      <c r="AR180" s="60"/>
      <c r="AS180" s="60">
        <v>102</v>
      </c>
      <c r="AT180" s="60">
        <v>4</v>
      </c>
      <c r="AU180" s="60">
        <v>11</v>
      </c>
      <c r="AV180" s="60">
        <v>10</v>
      </c>
      <c r="AW180" s="60">
        <v>11</v>
      </c>
      <c r="AX180" s="60">
        <v>160</v>
      </c>
      <c r="AY180" s="60">
        <v>344</v>
      </c>
      <c r="AZ180" s="60">
        <v>268</v>
      </c>
      <c r="BA180" s="60">
        <v>46342</v>
      </c>
      <c r="BB180" s="60">
        <v>492</v>
      </c>
      <c r="BC180" s="60"/>
      <c r="BD180" s="60"/>
      <c r="BE180" s="60">
        <v>9593</v>
      </c>
      <c r="BF180" s="60">
        <v>9106</v>
      </c>
      <c r="BG180" s="60">
        <v>3247</v>
      </c>
      <c r="BH180" s="60">
        <v>20552</v>
      </c>
      <c r="BI180" s="60">
        <v>6799</v>
      </c>
      <c r="BJ180" s="60">
        <v>1149</v>
      </c>
      <c r="BK180" s="60">
        <v>126</v>
      </c>
      <c r="BL180" s="60">
        <v>1575</v>
      </c>
      <c r="BM180" s="60">
        <v>8</v>
      </c>
      <c r="BN180" s="60">
        <v>2407</v>
      </c>
      <c r="BO180" s="60">
        <v>656</v>
      </c>
      <c r="BP180" s="60">
        <v>2934</v>
      </c>
      <c r="BQ180" s="60">
        <v>945</v>
      </c>
      <c r="BR180" s="60">
        <v>10463</v>
      </c>
      <c r="BS180" s="60">
        <v>3355</v>
      </c>
      <c r="BT180" s="60">
        <v>60</v>
      </c>
      <c r="BU180" s="60">
        <v>3498</v>
      </c>
      <c r="BV180" s="60">
        <v>899</v>
      </c>
      <c r="BW180" s="60">
        <v>47</v>
      </c>
      <c r="BX180" s="60">
        <v>1551</v>
      </c>
      <c r="BY180" s="60">
        <v>4431</v>
      </c>
      <c r="BZ180" s="60">
        <v>1814</v>
      </c>
      <c r="CA180" s="60">
        <v>13379</v>
      </c>
      <c r="CB180" s="60"/>
      <c r="CC180" s="60"/>
      <c r="CD180" s="60">
        <v>4368</v>
      </c>
      <c r="CE180" s="60">
        <v>164</v>
      </c>
      <c r="CF180" s="60">
        <v>357</v>
      </c>
      <c r="CG180" s="60">
        <v>18</v>
      </c>
      <c r="CH180" s="60">
        <v>451</v>
      </c>
      <c r="CI180" s="60">
        <v>48</v>
      </c>
      <c r="CJ180" s="60">
        <v>7</v>
      </c>
      <c r="CK180" s="60">
        <v>473</v>
      </c>
      <c r="CL180" s="60">
        <v>36803</v>
      </c>
      <c r="CM180" s="60">
        <v>4697</v>
      </c>
      <c r="CN180" s="60">
        <v>273</v>
      </c>
      <c r="CO180" s="60">
        <v>1228</v>
      </c>
      <c r="CP180" s="60">
        <v>156</v>
      </c>
      <c r="CQ180" s="60">
        <v>239</v>
      </c>
      <c r="CR180" s="60">
        <v>15</v>
      </c>
      <c r="CS180" s="60"/>
      <c r="CT180" s="60">
        <v>49297</v>
      </c>
      <c r="CU180" s="60">
        <v>1374</v>
      </c>
      <c r="CV180" s="60">
        <v>43285</v>
      </c>
      <c r="CW180" s="60">
        <v>4638</v>
      </c>
      <c r="CX180" s="60">
        <v>4363</v>
      </c>
      <c r="CY180" s="60">
        <v>3694</v>
      </c>
      <c r="CZ180" s="60"/>
      <c r="DA180" s="60"/>
      <c r="DB180" s="60">
        <v>75</v>
      </c>
      <c r="DC180" s="60">
        <v>301</v>
      </c>
      <c r="DD180" s="60">
        <v>365</v>
      </c>
      <c r="DE180" s="60">
        <v>670</v>
      </c>
      <c r="DF180" s="60">
        <v>1062</v>
      </c>
      <c r="DG180" s="60">
        <v>1308</v>
      </c>
      <c r="DH180" s="60">
        <v>1517</v>
      </c>
      <c r="DI180" s="60">
        <v>2717</v>
      </c>
      <c r="DJ180" s="60">
        <v>26</v>
      </c>
      <c r="DK180" s="60">
        <v>16</v>
      </c>
      <c r="DL180" s="60"/>
      <c r="DM180" s="60">
        <v>851</v>
      </c>
      <c r="DN180" s="60">
        <v>155</v>
      </c>
      <c r="DO180" s="60">
        <v>1404</v>
      </c>
      <c r="DP180" s="60">
        <v>77</v>
      </c>
      <c r="DQ180" s="60">
        <v>21</v>
      </c>
      <c r="DR180" s="60">
        <v>5548</v>
      </c>
      <c r="DS180" s="60">
        <v>1</v>
      </c>
      <c r="DT180" s="60">
        <v>382</v>
      </c>
      <c r="DU180" s="60">
        <v>61</v>
      </c>
      <c r="DV180" s="60">
        <v>375</v>
      </c>
      <c r="DW180" s="60">
        <v>1171</v>
      </c>
      <c r="DX180" s="60">
        <v>206</v>
      </c>
      <c r="DY180" s="60">
        <v>14</v>
      </c>
      <c r="DZ180" s="60">
        <v>80</v>
      </c>
      <c r="EA180" s="60">
        <v>4161</v>
      </c>
      <c r="EB180" s="60">
        <v>1606</v>
      </c>
      <c r="EC180" s="60">
        <v>1</v>
      </c>
      <c r="ED180" s="60">
        <v>0</v>
      </c>
      <c r="EE180" s="60">
        <v>0</v>
      </c>
      <c r="EF180" s="60">
        <v>0</v>
      </c>
      <c r="EG180" s="60">
        <v>0</v>
      </c>
      <c r="EH180" s="60">
        <v>0</v>
      </c>
      <c r="EI180" s="60">
        <v>597</v>
      </c>
      <c r="EJ180" s="60">
        <v>5071</v>
      </c>
      <c r="EK180" s="60">
        <v>102</v>
      </c>
      <c r="EL180" s="60">
        <v>1711</v>
      </c>
      <c r="EM180" s="60">
        <v>576</v>
      </c>
      <c r="EN180" s="60">
        <v>48</v>
      </c>
      <c r="EO180" s="60">
        <v>98</v>
      </c>
      <c r="EP180" s="60">
        <v>2054</v>
      </c>
      <c r="EQ180" s="60">
        <v>1</v>
      </c>
      <c r="ER180" s="60">
        <v>1273</v>
      </c>
      <c r="ES180" s="60">
        <v>323</v>
      </c>
      <c r="ET180" s="60">
        <v>492</v>
      </c>
      <c r="EU180" s="60">
        <v>833</v>
      </c>
      <c r="EV180" s="60">
        <v>780</v>
      </c>
      <c r="EW180" s="60">
        <v>145</v>
      </c>
      <c r="EX180" s="60">
        <v>256</v>
      </c>
      <c r="EY180" s="60">
        <v>169</v>
      </c>
      <c r="EZ180" s="60">
        <v>14</v>
      </c>
      <c r="FA180" s="60">
        <v>58</v>
      </c>
      <c r="FB180" s="60">
        <v>926</v>
      </c>
      <c r="FC180" s="60">
        <v>191</v>
      </c>
      <c r="FD180" s="60">
        <v>384</v>
      </c>
      <c r="FE180" s="60">
        <v>2</v>
      </c>
      <c r="FF180" s="60">
        <v>10</v>
      </c>
      <c r="FG180" s="60"/>
      <c r="FH180" s="60">
        <v>568</v>
      </c>
      <c r="FI180" s="60">
        <v>46</v>
      </c>
      <c r="FJ180" s="60">
        <v>839</v>
      </c>
      <c r="FK180" s="60">
        <v>8</v>
      </c>
      <c r="FL180" s="60">
        <v>41</v>
      </c>
      <c r="FM180" s="60">
        <v>454</v>
      </c>
      <c r="FN180" s="60">
        <v>15</v>
      </c>
      <c r="FO180" s="60">
        <v>5903</v>
      </c>
      <c r="FP180" s="60">
        <v>85</v>
      </c>
      <c r="FQ180" s="60">
        <v>7</v>
      </c>
      <c r="FR180" s="60">
        <v>15</v>
      </c>
      <c r="FS180" s="60">
        <v>34</v>
      </c>
      <c r="FT180" s="60">
        <v>25</v>
      </c>
      <c r="FU180" s="60">
        <v>16</v>
      </c>
      <c r="FV180" s="60">
        <v>1</v>
      </c>
      <c r="FW180" s="60"/>
      <c r="FX180" s="60">
        <v>8057</v>
      </c>
      <c r="FY180" s="60">
        <v>535</v>
      </c>
      <c r="FZ180" s="60">
        <v>6920</v>
      </c>
      <c r="GA180" s="60">
        <v>602</v>
      </c>
      <c r="GB180" s="60">
        <v>2011</v>
      </c>
    </row>
    <row r="181" spans="1:184" x14ac:dyDescent="0.3">
      <c r="A181" s="60">
        <v>106301379</v>
      </c>
      <c r="B181" s="61" t="s">
        <v>730</v>
      </c>
      <c r="C181" s="61" t="s">
        <v>731</v>
      </c>
      <c r="D181" s="61" t="s">
        <v>732</v>
      </c>
      <c r="E181" s="61" t="s">
        <v>673</v>
      </c>
      <c r="F181" s="60">
        <v>92804</v>
      </c>
      <c r="G181" s="61"/>
      <c r="H181" s="61" t="s">
        <v>1669</v>
      </c>
      <c r="I181" s="60">
        <v>67</v>
      </c>
      <c r="J181" s="60">
        <v>34</v>
      </c>
      <c r="K181" s="61" t="s">
        <v>1905</v>
      </c>
      <c r="L181" s="61"/>
      <c r="M181" s="61" t="s">
        <v>1901</v>
      </c>
      <c r="N181" s="61" t="s">
        <v>1902</v>
      </c>
      <c r="O181" s="61" t="s">
        <v>1673</v>
      </c>
      <c r="P181" s="61" t="s">
        <v>321</v>
      </c>
      <c r="Q181" s="61" t="s">
        <v>1674</v>
      </c>
      <c r="R181" s="60">
        <v>167</v>
      </c>
      <c r="S181" s="61" t="s">
        <v>1675</v>
      </c>
      <c r="T181" s="60">
        <v>12591</v>
      </c>
      <c r="U181" s="60">
        <v>11483</v>
      </c>
      <c r="V181" s="60"/>
      <c r="W181" s="60"/>
      <c r="X181" s="60">
        <v>3357</v>
      </c>
      <c r="Y181" s="60">
        <v>2774</v>
      </c>
      <c r="Z181" s="60">
        <v>4272</v>
      </c>
      <c r="AA181" s="60">
        <v>3293</v>
      </c>
      <c r="AB181" s="60">
        <v>3432</v>
      </c>
      <c r="AC181" s="60">
        <v>2928</v>
      </c>
      <c r="AD181" s="60">
        <v>1432</v>
      </c>
      <c r="AE181" s="60">
        <v>952</v>
      </c>
      <c r="AF181" s="60">
        <v>1042</v>
      </c>
      <c r="AG181" s="60">
        <v>592</v>
      </c>
      <c r="AH181" s="60"/>
      <c r="AI181" s="60">
        <v>1866</v>
      </c>
      <c r="AJ181" s="60">
        <v>1568</v>
      </c>
      <c r="AK181" s="60">
        <v>8621</v>
      </c>
      <c r="AL181" s="60">
        <v>31</v>
      </c>
      <c r="AM181" s="60">
        <v>1256</v>
      </c>
      <c r="AN181" s="60">
        <v>41</v>
      </c>
      <c r="AO181" s="60">
        <v>10691</v>
      </c>
      <c r="AP181" s="60">
        <v>950</v>
      </c>
      <c r="AQ181" s="60">
        <v>1348</v>
      </c>
      <c r="AR181" s="60"/>
      <c r="AS181" s="60">
        <v>110</v>
      </c>
      <c r="AT181" s="60"/>
      <c r="AU181" s="60"/>
      <c r="AV181" s="60"/>
      <c r="AW181" s="60"/>
      <c r="AX181" s="60"/>
      <c r="AY181" s="60">
        <v>435</v>
      </c>
      <c r="AZ181" s="60"/>
      <c r="BA181" s="60">
        <v>21112</v>
      </c>
      <c r="BB181" s="60">
        <v>119</v>
      </c>
      <c r="BC181" s="60"/>
      <c r="BD181" s="60"/>
      <c r="BE181" s="60">
        <v>9568</v>
      </c>
      <c r="BF181" s="60">
        <v>3622</v>
      </c>
      <c r="BG181" s="60">
        <v>1874</v>
      </c>
      <c r="BH181" s="60">
        <v>3860</v>
      </c>
      <c r="BI181" s="60">
        <v>5150</v>
      </c>
      <c r="BJ181" s="60">
        <v>523</v>
      </c>
      <c r="BK181" s="60">
        <v>62</v>
      </c>
      <c r="BL181" s="60">
        <v>480</v>
      </c>
      <c r="BM181" s="60">
        <v>7</v>
      </c>
      <c r="BN181" s="60">
        <v>999</v>
      </c>
      <c r="BO181" s="60">
        <v>413</v>
      </c>
      <c r="BP181" s="60">
        <v>1333</v>
      </c>
      <c r="BQ181" s="60">
        <v>465</v>
      </c>
      <c r="BR181" s="60">
        <v>5259</v>
      </c>
      <c r="BS181" s="60">
        <v>1324</v>
      </c>
      <c r="BT181" s="60">
        <v>22</v>
      </c>
      <c r="BU181" s="60">
        <v>1347</v>
      </c>
      <c r="BV181" s="60">
        <v>1907</v>
      </c>
      <c r="BW181" s="60">
        <v>16</v>
      </c>
      <c r="BX181" s="60">
        <v>1641</v>
      </c>
      <c r="BY181" s="60">
        <v>2523</v>
      </c>
      <c r="BZ181" s="60">
        <v>1050</v>
      </c>
      <c r="CA181" s="60">
        <v>4698</v>
      </c>
      <c r="CB181" s="60"/>
      <c r="CC181" s="60">
        <v>5</v>
      </c>
      <c r="CD181" s="60">
        <v>1614</v>
      </c>
      <c r="CE181" s="60">
        <v>57</v>
      </c>
      <c r="CF181" s="60">
        <v>198</v>
      </c>
      <c r="CG181" s="60">
        <v>15</v>
      </c>
      <c r="CH181" s="60">
        <v>326</v>
      </c>
      <c r="CI181" s="60">
        <v>7</v>
      </c>
      <c r="CJ181" s="60">
        <v>75</v>
      </c>
      <c r="CK181" s="60">
        <v>202</v>
      </c>
      <c r="CL181" s="60">
        <v>18016</v>
      </c>
      <c r="CM181" s="60">
        <v>2448</v>
      </c>
      <c r="CN181" s="60">
        <v>133</v>
      </c>
      <c r="CO181" s="60">
        <v>693</v>
      </c>
      <c r="CP181" s="60">
        <v>94</v>
      </c>
      <c r="CQ181" s="60">
        <v>124</v>
      </c>
      <c r="CR181" s="60">
        <v>72</v>
      </c>
      <c r="CS181" s="60"/>
      <c r="CT181" s="60">
        <v>24074</v>
      </c>
      <c r="CU181" s="60">
        <v>964</v>
      </c>
      <c r="CV181" s="60">
        <v>20141</v>
      </c>
      <c r="CW181" s="60">
        <v>2969</v>
      </c>
      <c r="CX181" s="60">
        <v>3034</v>
      </c>
      <c r="CY181" s="60">
        <v>2668</v>
      </c>
      <c r="CZ181" s="60"/>
      <c r="DA181" s="60"/>
      <c r="DB181" s="60">
        <v>60</v>
      </c>
      <c r="DC181" s="60">
        <v>222</v>
      </c>
      <c r="DD181" s="60">
        <v>294</v>
      </c>
      <c r="DE181" s="60">
        <v>631</v>
      </c>
      <c r="DF181" s="60">
        <v>941</v>
      </c>
      <c r="DG181" s="60">
        <v>920</v>
      </c>
      <c r="DH181" s="60">
        <v>1119</v>
      </c>
      <c r="DI181" s="60">
        <v>1515</v>
      </c>
      <c r="DJ181" s="60"/>
      <c r="DK181" s="60"/>
      <c r="DL181" s="60"/>
      <c r="DM181" s="60">
        <v>811</v>
      </c>
      <c r="DN181" s="60">
        <v>243</v>
      </c>
      <c r="DO181" s="60">
        <v>1181</v>
      </c>
      <c r="DP181" s="60">
        <v>240</v>
      </c>
      <c r="DQ181" s="60">
        <v>15</v>
      </c>
      <c r="DR181" s="60">
        <v>3207</v>
      </c>
      <c r="DS181" s="60">
        <v>5</v>
      </c>
      <c r="DT181" s="60">
        <v>474</v>
      </c>
      <c r="DU181" s="60">
        <v>173</v>
      </c>
      <c r="DV181" s="60">
        <v>224</v>
      </c>
      <c r="DW181" s="60">
        <v>81</v>
      </c>
      <c r="DX181" s="60">
        <v>52</v>
      </c>
      <c r="DY181" s="60"/>
      <c r="DZ181" s="60">
        <v>255</v>
      </c>
      <c r="EA181" s="60">
        <v>2845</v>
      </c>
      <c r="EB181" s="60">
        <v>1597</v>
      </c>
      <c r="EC181" s="60">
        <v>1</v>
      </c>
      <c r="ED181" s="60">
        <v>0</v>
      </c>
      <c r="EE181" s="60">
        <v>0</v>
      </c>
      <c r="EF181" s="60">
        <v>0</v>
      </c>
      <c r="EG181" s="60">
        <v>0</v>
      </c>
      <c r="EH181" s="60">
        <v>0</v>
      </c>
      <c r="EI181" s="60">
        <v>952</v>
      </c>
      <c r="EJ181" s="60">
        <v>3503</v>
      </c>
      <c r="EK181" s="60">
        <v>44</v>
      </c>
      <c r="EL181" s="60">
        <v>538</v>
      </c>
      <c r="EM181" s="60">
        <v>665</v>
      </c>
      <c r="EN181" s="60">
        <v>20</v>
      </c>
      <c r="EO181" s="60">
        <v>110</v>
      </c>
      <c r="EP181" s="60">
        <v>1059</v>
      </c>
      <c r="EQ181" s="60">
        <v>1</v>
      </c>
      <c r="ER181" s="60">
        <v>810</v>
      </c>
      <c r="ES181" s="60">
        <v>268</v>
      </c>
      <c r="ET181" s="60">
        <v>345</v>
      </c>
      <c r="EU181" s="60">
        <v>687</v>
      </c>
      <c r="EV181" s="60">
        <v>341</v>
      </c>
      <c r="EW181" s="60">
        <v>72</v>
      </c>
      <c r="EX181" s="60">
        <v>60</v>
      </c>
      <c r="EY181" s="60">
        <v>138</v>
      </c>
      <c r="EZ181" s="60">
        <v>13</v>
      </c>
      <c r="FA181" s="60">
        <v>441</v>
      </c>
      <c r="FB181" s="60">
        <v>721</v>
      </c>
      <c r="FC181" s="60">
        <v>103</v>
      </c>
      <c r="FD181" s="60">
        <v>513</v>
      </c>
      <c r="FE181" s="60"/>
      <c r="FF181" s="60"/>
      <c r="FG181" s="60"/>
      <c r="FH181" s="60">
        <v>264</v>
      </c>
      <c r="FI181" s="60">
        <v>41</v>
      </c>
      <c r="FJ181" s="60">
        <v>300</v>
      </c>
      <c r="FK181" s="60">
        <v>6</v>
      </c>
      <c r="FL181" s="60">
        <v>13</v>
      </c>
      <c r="FM181" s="60">
        <v>66</v>
      </c>
      <c r="FN181" s="60">
        <v>4</v>
      </c>
      <c r="FO181" s="60">
        <v>4721</v>
      </c>
      <c r="FP181" s="60">
        <v>177</v>
      </c>
      <c r="FQ181" s="60">
        <v>5</v>
      </c>
      <c r="FR181" s="60">
        <v>13</v>
      </c>
      <c r="FS181" s="60">
        <v>45</v>
      </c>
      <c r="FT181" s="60">
        <v>25</v>
      </c>
      <c r="FU181" s="60">
        <v>21</v>
      </c>
      <c r="FV181" s="60">
        <v>1</v>
      </c>
      <c r="FW181" s="60"/>
      <c r="FX181" s="60">
        <v>5702</v>
      </c>
      <c r="FY181" s="60">
        <v>567</v>
      </c>
      <c r="FZ181" s="60">
        <v>4586</v>
      </c>
      <c r="GA181" s="60">
        <v>549</v>
      </c>
      <c r="GB181" s="60">
        <v>2011</v>
      </c>
    </row>
    <row r="182" spans="1:184" x14ac:dyDescent="0.3">
      <c r="A182" s="60">
        <v>106301566</v>
      </c>
      <c r="B182" s="61" t="s">
        <v>733</v>
      </c>
      <c r="C182" s="61" t="s">
        <v>1926</v>
      </c>
      <c r="D182" s="61" t="s">
        <v>734</v>
      </c>
      <c r="E182" s="61" t="s">
        <v>699</v>
      </c>
      <c r="F182" s="60">
        <v>92705</v>
      </c>
      <c r="G182" s="61" t="s">
        <v>143</v>
      </c>
      <c r="H182" s="61" t="s">
        <v>1669</v>
      </c>
      <c r="I182" s="60">
        <v>69</v>
      </c>
      <c r="J182" s="60">
        <v>33</v>
      </c>
      <c r="K182" s="61" t="s">
        <v>1900</v>
      </c>
      <c r="L182" s="61"/>
      <c r="M182" s="61" t="s">
        <v>1901</v>
      </c>
      <c r="N182" s="61" t="s">
        <v>1902</v>
      </c>
      <c r="O182" s="61" t="s">
        <v>1673</v>
      </c>
      <c r="P182" s="61" t="s">
        <v>221</v>
      </c>
      <c r="Q182" s="61" t="s">
        <v>1674</v>
      </c>
      <c r="R182" s="60">
        <v>282</v>
      </c>
      <c r="S182" s="61" t="s">
        <v>1675</v>
      </c>
      <c r="T182" s="60">
        <v>9892</v>
      </c>
      <c r="U182" s="60">
        <v>8559</v>
      </c>
      <c r="V182" s="60"/>
      <c r="W182" s="60"/>
      <c r="X182" s="60">
        <v>1863</v>
      </c>
      <c r="Y182" s="60">
        <v>1971</v>
      </c>
      <c r="Z182" s="60">
        <v>3637</v>
      </c>
      <c r="AA182" s="60">
        <v>2832</v>
      </c>
      <c r="AB182" s="60">
        <v>2780</v>
      </c>
      <c r="AC182" s="60">
        <v>2152</v>
      </c>
      <c r="AD182" s="60">
        <v>1222</v>
      </c>
      <c r="AE182" s="60">
        <v>725</v>
      </c>
      <c r="AF182" s="60">
        <v>676</v>
      </c>
      <c r="AG182" s="60">
        <v>593</v>
      </c>
      <c r="AH182" s="60"/>
      <c r="AI182" s="60">
        <v>650</v>
      </c>
      <c r="AJ182" s="60">
        <v>534</v>
      </c>
      <c r="AK182" s="60">
        <v>10280</v>
      </c>
      <c r="AL182" s="60">
        <v>5</v>
      </c>
      <c r="AM182" s="60">
        <v>662</v>
      </c>
      <c r="AN182" s="60">
        <v>90</v>
      </c>
      <c r="AO182" s="60">
        <v>6230</v>
      </c>
      <c r="AP182" s="60">
        <v>398</v>
      </c>
      <c r="AQ182" s="60">
        <v>304</v>
      </c>
      <c r="AR182" s="60">
        <v>196</v>
      </c>
      <c r="AS182" s="60">
        <v>68</v>
      </c>
      <c r="AT182" s="60">
        <v>69</v>
      </c>
      <c r="AU182" s="60">
        <v>12</v>
      </c>
      <c r="AV182" s="60">
        <v>31</v>
      </c>
      <c r="AW182" s="60"/>
      <c r="AX182" s="60"/>
      <c r="AY182" s="60">
        <v>37</v>
      </c>
      <c r="AZ182" s="60">
        <v>12</v>
      </c>
      <c r="BA182" s="60">
        <v>17185</v>
      </c>
      <c r="BB182" s="60">
        <v>139</v>
      </c>
      <c r="BC182" s="60"/>
      <c r="BD182" s="60"/>
      <c r="BE182" s="60">
        <v>118</v>
      </c>
      <c r="BF182" s="60">
        <v>4056</v>
      </c>
      <c r="BG182" s="60">
        <v>2243</v>
      </c>
      <c r="BH182" s="60">
        <v>8807</v>
      </c>
      <c r="BI182" s="60">
        <v>3227</v>
      </c>
      <c r="BJ182" s="60">
        <v>1155</v>
      </c>
      <c r="BK182" s="60">
        <v>66</v>
      </c>
      <c r="BL182" s="60">
        <v>567</v>
      </c>
      <c r="BM182" s="60">
        <v>1</v>
      </c>
      <c r="BN182" s="60">
        <v>964</v>
      </c>
      <c r="BO182" s="60">
        <v>289</v>
      </c>
      <c r="BP182" s="60">
        <v>1116</v>
      </c>
      <c r="BQ182" s="60">
        <v>235</v>
      </c>
      <c r="BR182" s="60">
        <v>4612</v>
      </c>
      <c r="BS182" s="60">
        <v>909</v>
      </c>
      <c r="BT182" s="60">
        <v>31</v>
      </c>
      <c r="BU182" s="60">
        <v>939</v>
      </c>
      <c r="BV182" s="60">
        <v>796</v>
      </c>
      <c r="BW182" s="60">
        <v>49</v>
      </c>
      <c r="BX182" s="60">
        <v>722</v>
      </c>
      <c r="BY182" s="60">
        <v>1513</v>
      </c>
      <c r="BZ182" s="60">
        <v>671</v>
      </c>
      <c r="CA182" s="60">
        <v>3816</v>
      </c>
      <c r="CB182" s="60"/>
      <c r="CC182" s="60"/>
      <c r="CD182" s="60">
        <v>1217</v>
      </c>
      <c r="CE182" s="60">
        <v>87</v>
      </c>
      <c r="CF182" s="60">
        <v>141</v>
      </c>
      <c r="CG182" s="60">
        <v>23</v>
      </c>
      <c r="CH182" s="60">
        <v>347</v>
      </c>
      <c r="CI182" s="60">
        <v>5</v>
      </c>
      <c r="CJ182" s="60">
        <v>41</v>
      </c>
      <c r="CK182" s="60">
        <v>134</v>
      </c>
      <c r="CL182" s="60">
        <v>13438</v>
      </c>
      <c r="CM182" s="60">
        <v>1673</v>
      </c>
      <c r="CN182" s="60">
        <v>107</v>
      </c>
      <c r="CO182" s="60">
        <v>1040</v>
      </c>
      <c r="CP182" s="60">
        <v>77</v>
      </c>
      <c r="CQ182" s="60">
        <v>97</v>
      </c>
      <c r="CR182" s="60">
        <v>24</v>
      </c>
      <c r="CS182" s="60"/>
      <c r="CT182" s="60">
        <v>18451</v>
      </c>
      <c r="CU182" s="60">
        <v>179</v>
      </c>
      <c r="CV182" s="60">
        <v>13267</v>
      </c>
      <c r="CW182" s="60">
        <v>5005</v>
      </c>
      <c r="CX182" s="60">
        <v>1965</v>
      </c>
      <c r="CY182" s="60">
        <v>2393</v>
      </c>
      <c r="CZ182" s="60"/>
      <c r="DA182" s="60"/>
      <c r="DB182" s="60">
        <v>204</v>
      </c>
      <c r="DC182" s="60">
        <v>429</v>
      </c>
      <c r="DD182" s="60">
        <v>398</v>
      </c>
      <c r="DE182" s="60">
        <v>553</v>
      </c>
      <c r="DF182" s="60">
        <v>758</v>
      </c>
      <c r="DG182" s="60">
        <v>642</v>
      </c>
      <c r="DH182" s="60">
        <v>530</v>
      </c>
      <c r="DI182" s="60">
        <v>744</v>
      </c>
      <c r="DJ182" s="60">
        <v>22</v>
      </c>
      <c r="DK182" s="60">
        <v>78</v>
      </c>
      <c r="DL182" s="60"/>
      <c r="DM182" s="60">
        <v>56</v>
      </c>
      <c r="DN182" s="60">
        <v>97</v>
      </c>
      <c r="DO182" s="60">
        <v>1877</v>
      </c>
      <c r="DP182" s="60">
        <v>151</v>
      </c>
      <c r="DQ182" s="60">
        <v>249</v>
      </c>
      <c r="DR182" s="60">
        <v>1926</v>
      </c>
      <c r="DS182" s="60">
        <v>2</v>
      </c>
      <c r="DT182" s="60">
        <v>170</v>
      </c>
      <c r="DU182" s="60">
        <v>128</v>
      </c>
      <c r="DV182" s="60">
        <v>193</v>
      </c>
      <c r="DW182" s="60">
        <v>347</v>
      </c>
      <c r="DX182" s="60">
        <v>194</v>
      </c>
      <c r="DY182" s="60">
        <v>39</v>
      </c>
      <c r="DZ182" s="60">
        <v>25</v>
      </c>
      <c r="EA182" s="60">
        <v>2562</v>
      </c>
      <c r="EB182" s="60">
        <v>659</v>
      </c>
      <c r="EC182" s="60">
        <v>41</v>
      </c>
      <c r="ED182" s="60">
        <v>0</v>
      </c>
      <c r="EE182" s="60">
        <v>0</v>
      </c>
      <c r="EF182" s="60">
        <v>0</v>
      </c>
      <c r="EG182" s="60">
        <v>0</v>
      </c>
      <c r="EH182" s="60">
        <v>0</v>
      </c>
      <c r="EI182" s="60">
        <v>608</v>
      </c>
      <c r="EJ182" s="60">
        <v>1433</v>
      </c>
      <c r="EK182" s="60">
        <v>1347</v>
      </c>
      <c r="EL182" s="60">
        <v>796</v>
      </c>
      <c r="EM182" s="60">
        <v>174</v>
      </c>
      <c r="EN182" s="60">
        <v>76</v>
      </c>
      <c r="EO182" s="60">
        <v>38</v>
      </c>
      <c r="EP182" s="60">
        <v>731</v>
      </c>
      <c r="EQ182" s="60">
        <v>5</v>
      </c>
      <c r="ER182" s="60">
        <v>527</v>
      </c>
      <c r="ES182" s="60">
        <v>162</v>
      </c>
      <c r="ET182" s="60">
        <v>183</v>
      </c>
      <c r="EU182" s="60">
        <v>345</v>
      </c>
      <c r="EV182" s="60">
        <v>1397</v>
      </c>
      <c r="EW182" s="60">
        <v>48</v>
      </c>
      <c r="EX182" s="60">
        <v>84</v>
      </c>
      <c r="EY182" s="60">
        <v>99</v>
      </c>
      <c r="EZ182" s="60">
        <v>14</v>
      </c>
      <c r="FA182" s="60">
        <v>54</v>
      </c>
      <c r="FB182" s="60">
        <v>369</v>
      </c>
      <c r="FC182" s="60">
        <v>85</v>
      </c>
      <c r="FD182" s="60">
        <v>124</v>
      </c>
      <c r="FE182" s="60">
        <v>6</v>
      </c>
      <c r="FF182" s="60">
        <v>11</v>
      </c>
      <c r="FG182" s="60"/>
      <c r="FH182" s="60">
        <v>435</v>
      </c>
      <c r="FI182" s="60">
        <v>44</v>
      </c>
      <c r="FJ182" s="60">
        <v>302</v>
      </c>
      <c r="FK182" s="60">
        <v>97</v>
      </c>
      <c r="FL182" s="60">
        <v>1</v>
      </c>
      <c r="FM182" s="60">
        <v>31</v>
      </c>
      <c r="FN182" s="60">
        <v>6</v>
      </c>
      <c r="FO182" s="60">
        <v>2709</v>
      </c>
      <c r="FP182" s="60">
        <v>116</v>
      </c>
      <c r="FQ182" s="60">
        <v>40</v>
      </c>
      <c r="FR182" s="60">
        <v>490</v>
      </c>
      <c r="FS182" s="60">
        <v>55</v>
      </c>
      <c r="FT182" s="60">
        <v>10</v>
      </c>
      <c r="FU182" s="60">
        <v>12</v>
      </c>
      <c r="FV182" s="60">
        <v>10</v>
      </c>
      <c r="FW182" s="60"/>
      <c r="FX182" s="60">
        <v>4358</v>
      </c>
      <c r="FY182" s="60">
        <v>135</v>
      </c>
      <c r="FZ182" s="60">
        <v>3137</v>
      </c>
      <c r="GA182" s="60">
        <v>1086</v>
      </c>
      <c r="GB182" s="60">
        <v>2011</v>
      </c>
    </row>
    <row r="183" spans="1:184" x14ac:dyDescent="0.3">
      <c r="A183" s="60">
        <v>106304113</v>
      </c>
      <c r="B183" s="61" t="s">
        <v>735</v>
      </c>
      <c r="C183" s="61" t="s">
        <v>1927</v>
      </c>
      <c r="D183" s="61" t="s">
        <v>736</v>
      </c>
      <c r="E183" s="61" t="s">
        <v>703</v>
      </c>
      <c r="F183" s="60">
        <v>92691</v>
      </c>
      <c r="G183" s="61"/>
      <c r="H183" s="61" t="s">
        <v>1669</v>
      </c>
      <c r="I183" s="60">
        <v>71</v>
      </c>
      <c r="J183" s="60">
        <v>33</v>
      </c>
      <c r="K183" s="61" t="s">
        <v>1920</v>
      </c>
      <c r="L183" s="61"/>
      <c r="M183" s="61" t="s">
        <v>1901</v>
      </c>
      <c r="N183" s="61" t="s">
        <v>1902</v>
      </c>
      <c r="O183" s="61" t="s">
        <v>1673</v>
      </c>
      <c r="P183" s="61" t="s">
        <v>1678</v>
      </c>
      <c r="Q183" s="61" t="s">
        <v>1674</v>
      </c>
      <c r="R183" s="60">
        <v>48</v>
      </c>
      <c r="S183" s="61" t="s">
        <v>1675</v>
      </c>
      <c r="T183" s="60">
        <v>6553</v>
      </c>
      <c r="U183" s="60">
        <v>8157</v>
      </c>
      <c r="V183" s="60"/>
      <c r="W183" s="60"/>
      <c r="X183" s="60">
        <v>8100</v>
      </c>
      <c r="Y183" s="60">
        <v>5064</v>
      </c>
      <c r="Z183" s="60"/>
      <c r="AA183" s="60"/>
      <c r="AB183" s="60"/>
      <c r="AC183" s="60"/>
      <c r="AD183" s="60"/>
      <c r="AE183" s="60"/>
      <c r="AF183" s="60"/>
      <c r="AG183" s="60">
        <v>1546</v>
      </c>
      <c r="AH183" s="60"/>
      <c r="AI183" s="60">
        <v>641</v>
      </c>
      <c r="AJ183" s="60">
        <v>280</v>
      </c>
      <c r="AK183" s="60">
        <v>4350</v>
      </c>
      <c r="AL183" s="60">
        <v>11</v>
      </c>
      <c r="AM183" s="60">
        <v>244</v>
      </c>
      <c r="AN183" s="60">
        <v>135</v>
      </c>
      <c r="AO183" s="60">
        <v>9049</v>
      </c>
      <c r="AP183" s="60">
        <v>61</v>
      </c>
      <c r="AQ183" s="60">
        <v>14</v>
      </c>
      <c r="AR183" s="60">
        <v>5</v>
      </c>
      <c r="AS183" s="60">
        <v>1</v>
      </c>
      <c r="AT183" s="60"/>
      <c r="AU183" s="60"/>
      <c r="AV183" s="60"/>
      <c r="AW183" s="60"/>
      <c r="AX183" s="60">
        <v>1</v>
      </c>
      <c r="AY183" s="60">
        <v>91</v>
      </c>
      <c r="AZ183" s="60"/>
      <c r="BA183" s="60">
        <v>14535</v>
      </c>
      <c r="BB183" s="60">
        <v>2</v>
      </c>
      <c r="BC183" s="60"/>
      <c r="BD183" s="60"/>
      <c r="BE183" s="60">
        <v>4666</v>
      </c>
      <c r="BF183" s="60"/>
      <c r="BG183" s="60">
        <v>506</v>
      </c>
      <c r="BH183" s="60">
        <v>8485</v>
      </c>
      <c r="BI183" s="60">
        <v>1053</v>
      </c>
      <c r="BJ183" s="60">
        <v>16</v>
      </c>
      <c r="BK183" s="60">
        <v>32</v>
      </c>
      <c r="BL183" s="60">
        <v>24</v>
      </c>
      <c r="BM183" s="60">
        <v>4</v>
      </c>
      <c r="BN183" s="60">
        <v>237</v>
      </c>
      <c r="BO183" s="60">
        <v>108</v>
      </c>
      <c r="BP183" s="60">
        <v>383</v>
      </c>
      <c r="BQ183" s="60">
        <v>341</v>
      </c>
      <c r="BR183" s="60">
        <v>5068</v>
      </c>
      <c r="BS183" s="60">
        <v>307</v>
      </c>
      <c r="BT183" s="60">
        <v>5</v>
      </c>
      <c r="BU183" s="60">
        <v>947</v>
      </c>
      <c r="BV183" s="60">
        <v>447</v>
      </c>
      <c r="BW183" s="60">
        <v>111</v>
      </c>
      <c r="BX183" s="60">
        <v>222</v>
      </c>
      <c r="BY183" s="60">
        <v>2283</v>
      </c>
      <c r="BZ183" s="60">
        <v>525</v>
      </c>
      <c r="CA183" s="60">
        <v>3650</v>
      </c>
      <c r="CB183" s="60"/>
      <c r="CC183" s="60"/>
      <c r="CD183" s="60">
        <v>1978</v>
      </c>
      <c r="CE183" s="60">
        <v>75</v>
      </c>
      <c r="CF183" s="60">
        <v>82</v>
      </c>
      <c r="CG183" s="60">
        <v>5</v>
      </c>
      <c r="CH183" s="60">
        <v>38</v>
      </c>
      <c r="CI183" s="60">
        <v>8</v>
      </c>
      <c r="CJ183" s="60">
        <v>19</v>
      </c>
      <c r="CK183" s="60">
        <v>185</v>
      </c>
      <c r="CL183" s="60">
        <v>9367</v>
      </c>
      <c r="CM183" s="60">
        <v>2380</v>
      </c>
      <c r="CN183" s="60">
        <v>188</v>
      </c>
      <c r="CO183" s="60">
        <v>190</v>
      </c>
      <c r="CP183" s="60">
        <v>42</v>
      </c>
      <c r="CQ183" s="60">
        <v>143</v>
      </c>
      <c r="CR183" s="60">
        <v>10</v>
      </c>
      <c r="CS183" s="60"/>
      <c r="CT183" s="60">
        <v>14710</v>
      </c>
      <c r="CU183" s="60">
        <v>163</v>
      </c>
      <c r="CV183" s="60">
        <v>11969</v>
      </c>
      <c r="CW183" s="60">
        <v>2578</v>
      </c>
      <c r="CX183" s="60">
        <v>534</v>
      </c>
      <c r="CY183" s="60">
        <v>670</v>
      </c>
      <c r="CZ183" s="60"/>
      <c r="DA183" s="60"/>
      <c r="DB183" s="60">
        <v>434</v>
      </c>
      <c r="DC183" s="60"/>
      <c r="DD183" s="60"/>
      <c r="DE183" s="60"/>
      <c r="DF183" s="60"/>
      <c r="DG183" s="60"/>
      <c r="DH183" s="60"/>
      <c r="DI183" s="60"/>
      <c r="DJ183" s="60">
        <v>257</v>
      </c>
      <c r="DK183" s="60">
        <v>513</v>
      </c>
      <c r="DL183" s="60"/>
      <c r="DM183" s="60">
        <v>68</v>
      </c>
      <c r="DN183" s="60">
        <v>14</v>
      </c>
      <c r="DO183" s="60">
        <v>272</v>
      </c>
      <c r="DP183" s="60">
        <v>19</v>
      </c>
      <c r="DQ183" s="60">
        <v>3</v>
      </c>
      <c r="DR183" s="60">
        <v>828</v>
      </c>
      <c r="DS183" s="60"/>
      <c r="DT183" s="60">
        <v>39</v>
      </c>
      <c r="DU183" s="60"/>
      <c r="DV183" s="60">
        <v>4</v>
      </c>
      <c r="DW183" s="60">
        <v>13</v>
      </c>
      <c r="DX183" s="60">
        <v>16</v>
      </c>
      <c r="DY183" s="60"/>
      <c r="DZ183" s="60">
        <v>4</v>
      </c>
      <c r="EA183" s="60">
        <v>1128</v>
      </c>
      <c r="EB183" s="60"/>
      <c r="EC183" s="60"/>
      <c r="ED183" s="60">
        <v>0</v>
      </c>
      <c r="EE183" s="60">
        <v>0</v>
      </c>
      <c r="EF183" s="60">
        <v>0</v>
      </c>
      <c r="EG183" s="60">
        <v>0</v>
      </c>
      <c r="EH183" s="60">
        <v>0</v>
      </c>
      <c r="EI183" s="60">
        <v>344</v>
      </c>
      <c r="EJ183" s="60"/>
      <c r="EK183" s="60">
        <v>45</v>
      </c>
      <c r="EL183" s="60">
        <v>787</v>
      </c>
      <c r="EM183" s="60">
        <v>28</v>
      </c>
      <c r="EN183" s="60"/>
      <c r="EO183" s="60">
        <v>19</v>
      </c>
      <c r="EP183" s="60">
        <v>9</v>
      </c>
      <c r="EQ183" s="60">
        <v>10</v>
      </c>
      <c r="ER183" s="60">
        <v>179</v>
      </c>
      <c r="ES183" s="60">
        <v>45</v>
      </c>
      <c r="ET183" s="60">
        <v>44</v>
      </c>
      <c r="EU183" s="60">
        <v>55</v>
      </c>
      <c r="EV183" s="60">
        <v>279</v>
      </c>
      <c r="EW183" s="60">
        <v>15</v>
      </c>
      <c r="EX183" s="60">
        <v>5</v>
      </c>
      <c r="EY183" s="60">
        <v>55</v>
      </c>
      <c r="EZ183" s="60">
        <v>3</v>
      </c>
      <c r="FA183" s="60">
        <v>23</v>
      </c>
      <c r="FB183" s="60">
        <v>303</v>
      </c>
      <c r="FC183" s="60">
        <v>35</v>
      </c>
      <c r="FD183" s="60">
        <v>78</v>
      </c>
      <c r="FE183" s="60"/>
      <c r="FF183" s="60">
        <v>47</v>
      </c>
      <c r="FG183" s="60"/>
      <c r="FH183" s="60">
        <v>114</v>
      </c>
      <c r="FI183" s="60">
        <v>13</v>
      </c>
      <c r="FJ183" s="60">
        <v>16</v>
      </c>
      <c r="FK183" s="60">
        <v>3</v>
      </c>
      <c r="FL183" s="60"/>
      <c r="FM183" s="60">
        <v>25</v>
      </c>
      <c r="FN183" s="60">
        <v>9</v>
      </c>
      <c r="FO183" s="60">
        <v>891</v>
      </c>
      <c r="FP183" s="60">
        <v>41</v>
      </c>
      <c r="FQ183" s="60">
        <v>19</v>
      </c>
      <c r="FR183" s="60">
        <v>38</v>
      </c>
      <c r="FS183" s="60">
        <v>18</v>
      </c>
      <c r="FT183" s="60">
        <v>13</v>
      </c>
      <c r="FU183" s="60">
        <v>4</v>
      </c>
      <c r="FV183" s="60"/>
      <c r="FW183" s="60"/>
      <c r="FX183" s="60">
        <v>1204</v>
      </c>
      <c r="FY183" s="60">
        <v>9</v>
      </c>
      <c r="FZ183" s="60">
        <v>1031</v>
      </c>
      <c r="GA183" s="60">
        <v>164</v>
      </c>
      <c r="GB183" s="60">
        <v>2011</v>
      </c>
    </row>
    <row r="184" spans="1:184" x14ac:dyDescent="0.3">
      <c r="A184" s="60">
        <v>106304460</v>
      </c>
      <c r="B184" s="61" t="s">
        <v>1928</v>
      </c>
      <c r="C184" s="61" t="s">
        <v>1929</v>
      </c>
      <c r="D184" s="61" t="s">
        <v>1930</v>
      </c>
      <c r="E184" s="61" t="s">
        <v>1931</v>
      </c>
      <c r="F184" s="60">
        <v>92618</v>
      </c>
      <c r="G184" s="61"/>
      <c r="H184" s="61" t="s">
        <v>1669</v>
      </c>
      <c r="I184" s="60">
        <v>70</v>
      </c>
      <c r="J184" s="60">
        <v>35</v>
      </c>
      <c r="K184" s="61" t="s">
        <v>1932</v>
      </c>
      <c r="L184" s="61"/>
      <c r="M184" s="61" t="s">
        <v>1901</v>
      </c>
      <c r="N184" s="61" t="s">
        <v>1902</v>
      </c>
      <c r="O184" s="61" t="s">
        <v>1673</v>
      </c>
      <c r="P184" s="61" t="s">
        <v>321</v>
      </c>
      <c r="Q184" s="61" t="s">
        <v>1674</v>
      </c>
      <c r="R184" s="60">
        <v>70</v>
      </c>
      <c r="S184" s="61" t="s">
        <v>1687</v>
      </c>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0"/>
      <c r="BS184" s="60"/>
      <c r="BT184" s="60"/>
      <c r="BU184" s="60"/>
      <c r="BV184" s="60"/>
      <c r="BW184" s="60"/>
      <c r="BX184" s="60"/>
      <c r="BY184" s="60"/>
      <c r="BZ184" s="60"/>
      <c r="CA184" s="60"/>
      <c r="CB184" s="60"/>
      <c r="CC184" s="60"/>
      <c r="CD184" s="60"/>
      <c r="CE184" s="60"/>
      <c r="CF184" s="60"/>
      <c r="CG184" s="60"/>
      <c r="CH184" s="60"/>
      <c r="CI184" s="60"/>
      <c r="CJ184" s="60"/>
      <c r="CK184" s="60"/>
      <c r="CL184" s="60"/>
      <c r="CM184" s="60"/>
      <c r="CN184" s="60"/>
      <c r="CO184" s="60"/>
      <c r="CP184" s="60"/>
      <c r="CQ184" s="60"/>
      <c r="CR184" s="60"/>
      <c r="CS184" s="60"/>
      <c r="CT184" s="60"/>
      <c r="CU184" s="60"/>
      <c r="CV184" s="60"/>
      <c r="CW184" s="60"/>
      <c r="CX184" s="60">
        <v>5</v>
      </c>
      <c r="CY184" s="60">
        <v>4</v>
      </c>
      <c r="CZ184" s="60"/>
      <c r="DA184" s="60"/>
      <c r="DB184" s="60"/>
      <c r="DC184" s="60"/>
      <c r="DD184" s="60"/>
      <c r="DE184" s="60"/>
      <c r="DF184" s="60">
        <v>1</v>
      </c>
      <c r="DG184" s="60">
        <v>3</v>
      </c>
      <c r="DH184" s="60">
        <v>1</v>
      </c>
      <c r="DI184" s="60">
        <v>4</v>
      </c>
      <c r="DJ184" s="60"/>
      <c r="DK184" s="60"/>
      <c r="DL184" s="60"/>
      <c r="DM184" s="60"/>
      <c r="DN184" s="60"/>
      <c r="DO184" s="60"/>
      <c r="DP184" s="60"/>
      <c r="DQ184" s="60"/>
      <c r="DR184" s="60">
        <v>9</v>
      </c>
      <c r="DS184" s="60"/>
      <c r="DT184" s="60">
        <v>1</v>
      </c>
      <c r="DU184" s="60"/>
      <c r="DV184" s="60"/>
      <c r="DW184" s="60"/>
      <c r="DX184" s="60"/>
      <c r="DY184" s="60"/>
      <c r="DZ184" s="60">
        <v>1</v>
      </c>
      <c r="EA184" s="60">
        <v>3</v>
      </c>
      <c r="EB184" s="60">
        <v>4</v>
      </c>
      <c r="EC184" s="60"/>
      <c r="ED184" s="60">
        <v>0</v>
      </c>
      <c r="EE184" s="60">
        <v>0</v>
      </c>
      <c r="EF184" s="60">
        <v>0</v>
      </c>
      <c r="EG184" s="60">
        <v>0</v>
      </c>
      <c r="EH184" s="60">
        <v>0</v>
      </c>
      <c r="EI184" s="60"/>
      <c r="EJ184" s="60">
        <v>6</v>
      </c>
      <c r="EK184" s="60"/>
      <c r="EL184" s="60">
        <v>3</v>
      </c>
      <c r="EM184" s="60"/>
      <c r="EN184" s="60"/>
      <c r="EO184" s="60"/>
      <c r="EP184" s="60"/>
      <c r="EQ184" s="60"/>
      <c r="ER184" s="60"/>
      <c r="ES184" s="60"/>
      <c r="ET184" s="60"/>
      <c r="EU184" s="60"/>
      <c r="EV184" s="60">
        <v>8</v>
      </c>
      <c r="EW184" s="60">
        <v>1</v>
      </c>
      <c r="EX184" s="60"/>
      <c r="EY184" s="60"/>
      <c r="EZ184" s="60"/>
      <c r="FA184" s="60"/>
      <c r="FB184" s="60"/>
      <c r="FC184" s="60"/>
      <c r="FD184" s="60"/>
      <c r="FE184" s="60"/>
      <c r="FF184" s="60"/>
      <c r="FG184" s="60"/>
      <c r="FH184" s="60">
        <v>1</v>
      </c>
      <c r="FI184" s="60"/>
      <c r="FJ184" s="60"/>
      <c r="FK184" s="60"/>
      <c r="FL184" s="60"/>
      <c r="FM184" s="60"/>
      <c r="FN184" s="60"/>
      <c r="FO184" s="60">
        <v>7</v>
      </c>
      <c r="FP184" s="60">
        <v>1</v>
      </c>
      <c r="FQ184" s="60"/>
      <c r="FR184" s="60"/>
      <c r="FS184" s="60"/>
      <c r="FT184" s="60"/>
      <c r="FU184" s="60"/>
      <c r="FV184" s="60"/>
      <c r="FW184" s="60"/>
      <c r="FX184" s="60">
        <v>9</v>
      </c>
      <c r="FY184" s="60"/>
      <c r="FZ184" s="60">
        <v>9</v>
      </c>
      <c r="GA184" s="60"/>
      <c r="GB184" s="60">
        <v>2011</v>
      </c>
    </row>
    <row r="185" spans="1:184" x14ac:dyDescent="0.3">
      <c r="A185" s="60">
        <v>106310791</v>
      </c>
      <c r="B185" s="61" t="s">
        <v>737</v>
      </c>
      <c r="C185" s="61" t="s">
        <v>738</v>
      </c>
      <c r="D185" s="61" t="s">
        <v>739</v>
      </c>
      <c r="E185" s="61" t="s">
        <v>740</v>
      </c>
      <c r="F185" s="60">
        <v>95602</v>
      </c>
      <c r="G185" s="61"/>
      <c r="H185" s="61" t="s">
        <v>1669</v>
      </c>
      <c r="I185" s="60">
        <v>4</v>
      </c>
      <c r="J185" s="60">
        <v>1</v>
      </c>
      <c r="K185" s="61" t="s">
        <v>1933</v>
      </c>
      <c r="L185" s="61"/>
      <c r="M185" s="61" t="s">
        <v>1728</v>
      </c>
      <c r="N185" s="61" t="s">
        <v>1934</v>
      </c>
      <c r="O185" s="61" t="s">
        <v>1673</v>
      </c>
      <c r="P185" s="61" t="s">
        <v>1678</v>
      </c>
      <c r="Q185" s="61" t="s">
        <v>1674</v>
      </c>
      <c r="R185" s="60">
        <v>78</v>
      </c>
      <c r="S185" s="61" t="s">
        <v>1675</v>
      </c>
      <c r="T185" s="60">
        <v>10542</v>
      </c>
      <c r="U185" s="60">
        <v>9206</v>
      </c>
      <c r="V185" s="60"/>
      <c r="W185" s="60"/>
      <c r="X185" s="60">
        <v>1779</v>
      </c>
      <c r="Y185" s="60">
        <v>2107</v>
      </c>
      <c r="Z185" s="60">
        <v>2982</v>
      </c>
      <c r="AA185" s="60">
        <v>2388</v>
      </c>
      <c r="AB185" s="60">
        <v>2524</v>
      </c>
      <c r="AC185" s="60">
        <v>2603</v>
      </c>
      <c r="AD185" s="60">
        <v>1777</v>
      </c>
      <c r="AE185" s="60">
        <v>1479</v>
      </c>
      <c r="AF185" s="60">
        <v>1766</v>
      </c>
      <c r="AG185" s="60">
        <v>343</v>
      </c>
      <c r="AH185" s="60"/>
      <c r="AI185" s="60">
        <v>90</v>
      </c>
      <c r="AJ185" s="60">
        <v>247</v>
      </c>
      <c r="AK185" s="60">
        <v>1223</v>
      </c>
      <c r="AL185" s="60">
        <v>112</v>
      </c>
      <c r="AM185" s="60">
        <v>28</v>
      </c>
      <c r="AN185" s="60">
        <v>20</v>
      </c>
      <c r="AO185" s="60">
        <v>18028</v>
      </c>
      <c r="AP185" s="60">
        <v>775</v>
      </c>
      <c r="AQ185" s="60">
        <v>79</v>
      </c>
      <c r="AR185" s="60"/>
      <c r="AS185" s="60">
        <v>39</v>
      </c>
      <c r="AT185" s="60">
        <v>2</v>
      </c>
      <c r="AU185" s="60"/>
      <c r="AV185" s="60"/>
      <c r="AW185" s="60">
        <v>53</v>
      </c>
      <c r="AX185" s="60">
        <v>301</v>
      </c>
      <c r="AY185" s="60">
        <v>216</v>
      </c>
      <c r="AZ185" s="60">
        <v>3</v>
      </c>
      <c r="BA185" s="60">
        <v>18280</v>
      </c>
      <c r="BB185" s="60"/>
      <c r="BC185" s="60"/>
      <c r="BD185" s="60"/>
      <c r="BE185" s="60">
        <v>5457</v>
      </c>
      <c r="BF185" s="60">
        <v>5086</v>
      </c>
      <c r="BG185" s="60">
        <v>935</v>
      </c>
      <c r="BH185" s="60">
        <v>5119</v>
      </c>
      <c r="BI185" s="60">
        <v>3151</v>
      </c>
      <c r="BJ185" s="60">
        <v>290</v>
      </c>
      <c r="BK185" s="60">
        <v>47</v>
      </c>
      <c r="BL185" s="60">
        <v>597</v>
      </c>
      <c r="BM185" s="60">
        <v>3</v>
      </c>
      <c r="BN185" s="60">
        <v>1102</v>
      </c>
      <c r="BO185" s="60">
        <v>215</v>
      </c>
      <c r="BP185" s="60">
        <v>930</v>
      </c>
      <c r="BQ185" s="60">
        <v>164</v>
      </c>
      <c r="BR185" s="60">
        <v>5353</v>
      </c>
      <c r="BS185" s="60">
        <v>1106</v>
      </c>
      <c r="BT185" s="60">
        <v>95</v>
      </c>
      <c r="BU185" s="60">
        <v>1229</v>
      </c>
      <c r="BV185" s="60">
        <v>516</v>
      </c>
      <c r="BW185" s="60">
        <v>7</v>
      </c>
      <c r="BX185" s="60">
        <v>984</v>
      </c>
      <c r="BY185" s="60">
        <v>1802</v>
      </c>
      <c r="BZ185" s="60">
        <v>792</v>
      </c>
      <c r="CA185" s="60">
        <v>4515</v>
      </c>
      <c r="CB185" s="60"/>
      <c r="CC185" s="60">
        <v>1</v>
      </c>
      <c r="CD185" s="60">
        <v>1930</v>
      </c>
      <c r="CE185" s="60">
        <v>90</v>
      </c>
      <c r="CF185" s="60">
        <v>77</v>
      </c>
      <c r="CG185" s="60">
        <v>24</v>
      </c>
      <c r="CH185" s="60">
        <v>191</v>
      </c>
      <c r="CI185" s="60">
        <v>4</v>
      </c>
      <c r="CJ185" s="60">
        <v>92</v>
      </c>
      <c r="CK185" s="60">
        <v>299</v>
      </c>
      <c r="CL185" s="60">
        <v>14018</v>
      </c>
      <c r="CM185" s="60">
        <v>2041</v>
      </c>
      <c r="CN185" s="60">
        <v>137</v>
      </c>
      <c r="CO185" s="60">
        <v>575</v>
      </c>
      <c r="CP185" s="60">
        <v>96</v>
      </c>
      <c r="CQ185" s="60">
        <v>153</v>
      </c>
      <c r="CR185" s="60">
        <v>21</v>
      </c>
      <c r="CS185" s="60"/>
      <c r="CT185" s="60">
        <v>19748</v>
      </c>
      <c r="CU185" s="60">
        <v>105</v>
      </c>
      <c r="CV185" s="60">
        <v>19199</v>
      </c>
      <c r="CW185" s="60">
        <v>444</v>
      </c>
      <c r="CX185" s="60">
        <v>1664</v>
      </c>
      <c r="CY185" s="60">
        <v>1465</v>
      </c>
      <c r="CZ185" s="60"/>
      <c r="DA185" s="60"/>
      <c r="DB185" s="60">
        <v>44</v>
      </c>
      <c r="DC185" s="60">
        <v>126</v>
      </c>
      <c r="DD185" s="60">
        <v>124</v>
      </c>
      <c r="DE185" s="60">
        <v>258</v>
      </c>
      <c r="DF185" s="60">
        <v>473</v>
      </c>
      <c r="DG185" s="60">
        <v>585</v>
      </c>
      <c r="DH185" s="60">
        <v>596</v>
      </c>
      <c r="DI185" s="60">
        <v>912</v>
      </c>
      <c r="DJ185" s="60">
        <v>2</v>
      </c>
      <c r="DK185" s="60">
        <v>9</v>
      </c>
      <c r="DL185" s="60"/>
      <c r="DM185" s="60">
        <v>22</v>
      </c>
      <c r="DN185" s="60">
        <v>27</v>
      </c>
      <c r="DO185" s="60">
        <v>98</v>
      </c>
      <c r="DP185" s="60">
        <v>6</v>
      </c>
      <c r="DQ185" s="60">
        <v>2</v>
      </c>
      <c r="DR185" s="60">
        <v>2963</v>
      </c>
      <c r="DS185" s="60">
        <v>11</v>
      </c>
      <c r="DT185" s="60">
        <v>113</v>
      </c>
      <c r="DU185" s="60">
        <v>15</v>
      </c>
      <c r="DV185" s="60">
        <v>106</v>
      </c>
      <c r="DW185" s="60">
        <v>415</v>
      </c>
      <c r="DX185" s="60">
        <v>40</v>
      </c>
      <c r="DY185" s="60">
        <v>25</v>
      </c>
      <c r="DZ185" s="60">
        <v>4</v>
      </c>
      <c r="EA185" s="60">
        <v>1731</v>
      </c>
      <c r="EB185" s="60">
        <v>668</v>
      </c>
      <c r="EC185" s="60">
        <v>12</v>
      </c>
      <c r="ED185" s="60">
        <v>0</v>
      </c>
      <c r="EE185" s="60">
        <v>0</v>
      </c>
      <c r="EF185" s="60">
        <v>0</v>
      </c>
      <c r="EG185" s="60">
        <v>0</v>
      </c>
      <c r="EH185" s="60">
        <v>0</v>
      </c>
      <c r="EI185" s="60">
        <v>345</v>
      </c>
      <c r="EJ185" s="60">
        <v>2011</v>
      </c>
      <c r="EK185" s="60">
        <v>56</v>
      </c>
      <c r="EL185" s="60">
        <v>494</v>
      </c>
      <c r="EM185" s="60">
        <v>223</v>
      </c>
      <c r="EN185" s="60">
        <v>18</v>
      </c>
      <c r="EO185" s="60">
        <v>62</v>
      </c>
      <c r="EP185" s="60">
        <v>502</v>
      </c>
      <c r="EQ185" s="60"/>
      <c r="ER185" s="60">
        <v>626</v>
      </c>
      <c r="ES185" s="60">
        <v>90</v>
      </c>
      <c r="ET185" s="60">
        <v>165</v>
      </c>
      <c r="EU185" s="60">
        <v>452</v>
      </c>
      <c r="EV185" s="60">
        <v>393</v>
      </c>
      <c r="EW185" s="60">
        <v>42</v>
      </c>
      <c r="EX185" s="60">
        <v>52</v>
      </c>
      <c r="EY185" s="60">
        <v>46</v>
      </c>
      <c r="EZ185" s="60">
        <v>1</v>
      </c>
      <c r="FA185" s="60">
        <v>30</v>
      </c>
      <c r="FB185" s="60">
        <v>449</v>
      </c>
      <c r="FC185" s="60">
        <v>78</v>
      </c>
      <c r="FD185" s="60">
        <v>122</v>
      </c>
      <c r="FE185" s="60"/>
      <c r="FF185" s="60">
        <v>1</v>
      </c>
      <c r="FG185" s="60"/>
      <c r="FH185" s="60">
        <v>230</v>
      </c>
      <c r="FI185" s="60">
        <v>67</v>
      </c>
      <c r="FJ185" s="60">
        <v>287</v>
      </c>
      <c r="FK185" s="60">
        <v>1</v>
      </c>
      <c r="FL185" s="60">
        <v>24</v>
      </c>
      <c r="FM185" s="60">
        <v>158</v>
      </c>
      <c r="FN185" s="60">
        <v>10</v>
      </c>
      <c r="FO185" s="60">
        <v>2240</v>
      </c>
      <c r="FP185" s="60">
        <v>45</v>
      </c>
      <c r="FQ185" s="60">
        <v>7</v>
      </c>
      <c r="FR185" s="60">
        <v>13</v>
      </c>
      <c r="FS185" s="60">
        <v>17</v>
      </c>
      <c r="FT185" s="60">
        <v>3</v>
      </c>
      <c r="FU185" s="60">
        <v>27</v>
      </c>
      <c r="FV185" s="60"/>
      <c r="FW185" s="60"/>
      <c r="FX185" s="60">
        <v>3129</v>
      </c>
      <c r="FY185" s="60">
        <v>11</v>
      </c>
      <c r="FZ185" s="60">
        <v>3095</v>
      </c>
      <c r="GA185" s="60">
        <v>23</v>
      </c>
      <c r="GB185" s="60">
        <v>2011</v>
      </c>
    </row>
    <row r="186" spans="1:184" x14ac:dyDescent="0.3">
      <c r="A186" s="60">
        <v>106311000</v>
      </c>
      <c r="B186" s="61" t="s">
        <v>741</v>
      </c>
      <c r="C186" s="61" t="s">
        <v>742</v>
      </c>
      <c r="D186" s="61" t="s">
        <v>743</v>
      </c>
      <c r="E186" s="61" t="s">
        <v>744</v>
      </c>
      <c r="F186" s="60">
        <v>95661</v>
      </c>
      <c r="G186" s="61" t="s">
        <v>143</v>
      </c>
      <c r="H186" s="61" t="s">
        <v>1669</v>
      </c>
      <c r="I186" s="60">
        <v>4</v>
      </c>
      <c r="J186" s="60">
        <v>1</v>
      </c>
      <c r="K186" s="61" t="s">
        <v>1935</v>
      </c>
      <c r="L186" s="61"/>
      <c r="M186" s="61" t="s">
        <v>1728</v>
      </c>
      <c r="N186" s="61" t="s">
        <v>1934</v>
      </c>
      <c r="O186" s="61" t="s">
        <v>1673</v>
      </c>
      <c r="P186" s="61" t="s">
        <v>1678</v>
      </c>
      <c r="Q186" s="61" t="s">
        <v>1674</v>
      </c>
      <c r="R186" s="60">
        <v>298</v>
      </c>
      <c r="S186" s="61" t="s">
        <v>1675</v>
      </c>
      <c r="T186" s="60">
        <v>32280</v>
      </c>
      <c r="U186" s="60">
        <v>24339</v>
      </c>
      <c r="V186" s="60">
        <v>12</v>
      </c>
      <c r="W186" s="60"/>
      <c r="X186" s="60">
        <v>7106</v>
      </c>
      <c r="Y186" s="60">
        <v>6426</v>
      </c>
      <c r="Z186" s="60">
        <v>9758</v>
      </c>
      <c r="AA186" s="60">
        <v>8084</v>
      </c>
      <c r="AB186" s="60">
        <v>7002</v>
      </c>
      <c r="AC186" s="60">
        <v>5562</v>
      </c>
      <c r="AD186" s="60">
        <v>4080</v>
      </c>
      <c r="AE186" s="60">
        <v>3233</v>
      </c>
      <c r="AF186" s="60">
        <v>3960</v>
      </c>
      <c r="AG186" s="60">
        <v>1420</v>
      </c>
      <c r="AH186" s="60"/>
      <c r="AI186" s="60">
        <v>1230</v>
      </c>
      <c r="AJ186" s="60">
        <v>2005</v>
      </c>
      <c r="AK186" s="60">
        <v>6082</v>
      </c>
      <c r="AL186" s="60">
        <v>28</v>
      </c>
      <c r="AM186" s="60">
        <v>928</v>
      </c>
      <c r="AN186" s="60">
        <v>145</v>
      </c>
      <c r="AO186" s="60">
        <v>46213</v>
      </c>
      <c r="AP186" s="60">
        <v>632</v>
      </c>
      <c r="AQ186" s="60">
        <v>89</v>
      </c>
      <c r="AR186" s="60">
        <v>96</v>
      </c>
      <c r="AS186" s="60">
        <v>106</v>
      </c>
      <c r="AT186" s="60"/>
      <c r="AU186" s="60"/>
      <c r="AV186" s="60"/>
      <c r="AW186" s="60">
        <v>62</v>
      </c>
      <c r="AX186" s="60">
        <v>227</v>
      </c>
      <c r="AY186" s="60">
        <v>683</v>
      </c>
      <c r="AZ186" s="60"/>
      <c r="BA186" s="60">
        <v>54736</v>
      </c>
      <c r="BB186" s="60"/>
      <c r="BC186" s="60"/>
      <c r="BD186" s="60"/>
      <c r="BE186" s="60">
        <v>12682</v>
      </c>
      <c r="BF186" s="60">
        <v>11130</v>
      </c>
      <c r="BG186" s="60">
        <v>2566</v>
      </c>
      <c r="BH186" s="60">
        <v>20676</v>
      </c>
      <c r="BI186" s="60">
        <v>9577</v>
      </c>
      <c r="BJ186" s="60">
        <v>1387</v>
      </c>
      <c r="BK186" s="60">
        <v>187</v>
      </c>
      <c r="BL186" s="60">
        <v>1562</v>
      </c>
      <c r="BM186" s="60">
        <v>19</v>
      </c>
      <c r="BN186" s="60">
        <v>3533</v>
      </c>
      <c r="BO186" s="60">
        <v>690</v>
      </c>
      <c r="BP186" s="60">
        <v>3983</v>
      </c>
      <c r="BQ186" s="60">
        <v>897</v>
      </c>
      <c r="BR186" s="60">
        <v>14479</v>
      </c>
      <c r="BS186" s="60">
        <v>2400</v>
      </c>
      <c r="BT186" s="60">
        <v>66</v>
      </c>
      <c r="BU186" s="60">
        <v>3986</v>
      </c>
      <c r="BV186" s="60">
        <v>1123</v>
      </c>
      <c r="BW186" s="60">
        <v>29</v>
      </c>
      <c r="BX186" s="60">
        <v>2626</v>
      </c>
      <c r="BY186" s="60">
        <v>5877</v>
      </c>
      <c r="BZ186" s="60">
        <v>2335</v>
      </c>
      <c r="CA186" s="60">
        <v>11451</v>
      </c>
      <c r="CB186" s="60">
        <v>1</v>
      </c>
      <c r="CC186" s="60"/>
      <c r="CD186" s="60">
        <v>4766</v>
      </c>
      <c r="CE186" s="60">
        <v>399</v>
      </c>
      <c r="CF186" s="60">
        <v>359</v>
      </c>
      <c r="CG186" s="60">
        <v>34</v>
      </c>
      <c r="CH186" s="60">
        <v>481</v>
      </c>
      <c r="CI186" s="60">
        <v>26</v>
      </c>
      <c r="CJ186" s="60">
        <v>226</v>
      </c>
      <c r="CK186" s="60">
        <v>560</v>
      </c>
      <c r="CL186" s="60">
        <v>41240</v>
      </c>
      <c r="CM186" s="60">
        <v>5741</v>
      </c>
      <c r="CN186" s="60">
        <v>365</v>
      </c>
      <c r="CO186" s="60">
        <v>1793</v>
      </c>
      <c r="CP186" s="60">
        <v>188</v>
      </c>
      <c r="CQ186" s="60">
        <v>428</v>
      </c>
      <c r="CR186" s="60">
        <v>25</v>
      </c>
      <c r="CS186" s="60"/>
      <c r="CT186" s="60">
        <v>56631</v>
      </c>
      <c r="CU186" s="60">
        <v>936</v>
      </c>
      <c r="CV186" s="60">
        <v>53844</v>
      </c>
      <c r="CW186" s="60">
        <v>1851</v>
      </c>
      <c r="CX186" s="60">
        <v>5812</v>
      </c>
      <c r="CY186" s="60">
        <v>5338</v>
      </c>
      <c r="CZ186" s="60">
        <v>5</v>
      </c>
      <c r="DA186" s="60"/>
      <c r="DB186" s="60">
        <v>347</v>
      </c>
      <c r="DC186" s="60">
        <v>713</v>
      </c>
      <c r="DD186" s="60">
        <v>745</v>
      </c>
      <c r="DE186" s="60">
        <v>1142</v>
      </c>
      <c r="DF186" s="60">
        <v>1575</v>
      </c>
      <c r="DG186" s="60">
        <v>1662</v>
      </c>
      <c r="DH186" s="60">
        <v>1951</v>
      </c>
      <c r="DI186" s="60">
        <v>2725</v>
      </c>
      <c r="DJ186" s="60">
        <v>93</v>
      </c>
      <c r="DK186" s="60">
        <v>202</v>
      </c>
      <c r="DL186" s="60"/>
      <c r="DM186" s="60">
        <v>277</v>
      </c>
      <c r="DN186" s="60">
        <v>287</v>
      </c>
      <c r="DO186" s="60">
        <v>719</v>
      </c>
      <c r="DP186" s="60">
        <v>149</v>
      </c>
      <c r="DQ186" s="60">
        <v>27</v>
      </c>
      <c r="DR186" s="60">
        <v>9690</v>
      </c>
      <c r="DS186" s="60">
        <v>6</v>
      </c>
      <c r="DT186" s="60">
        <v>346</v>
      </c>
      <c r="DU186" s="60">
        <v>107</v>
      </c>
      <c r="DV186" s="60">
        <v>422</v>
      </c>
      <c r="DW186" s="60">
        <v>1626</v>
      </c>
      <c r="DX186" s="60">
        <v>384</v>
      </c>
      <c r="DY186" s="60">
        <v>31</v>
      </c>
      <c r="DZ186" s="60">
        <v>132</v>
      </c>
      <c r="EA186" s="60">
        <v>6760</v>
      </c>
      <c r="EB186" s="60">
        <v>1344</v>
      </c>
      <c r="EC186" s="60">
        <v>3</v>
      </c>
      <c r="ED186" s="60">
        <v>0</v>
      </c>
      <c r="EE186" s="60">
        <v>0</v>
      </c>
      <c r="EF186" s="60">
        <v>0</v>
      </c>
      <c r="EG186" s="60">
        <v>0</v>
      </c>
      <c r="EH186" s="60">
        <v>0</v>
      </c>
      <c r="EI186" s="60">
        <v>1510</v>
      </c>
      <c r="EJ186" s="60">
        <v>5926</v>
      </c>
      <c r="EK186" s="60">
        <v>306</v>
      </c>
      <c r="EL186" s="60">
        <v>2429</v>
      </c>
      <c r="EM186" s="60">
        <v>984</v>
      </c>
      <c r="EN186" s="60">
        <v>124</v>
      </c>
      <c r="EO186" s="60">
        <v>138</v>
      </c>
      <c r="EP186" s="60">
        <v>1860</v>
      </c>
      <c r="EQ186" s="60">
        <v>9</v>
      </c>
      <c r="ER186" s="60">
        <v>1877</v>
      </c>
      <c r="ES186" s="60">
        <v>373</v>
      </c>
      <c r="ET186" s="60">
        <v>572</v>
      </c>
      <c r="EU186" s="60">
        <v>1315</v>
      </c>
      <c r="EV186" s="60">
        <v>1998</v>
      </c>
      <c r="EW186" s="60">
        <v>203</v>
      </c>
      <c r="EX186" s="60">
        <v>284</v>
      </c>
      <c r="EY186" s="60">
        <v>275</v>
      </c>
      <c r="EZ186" s="60">
        <v>5</v>
      </c>
      <c r="FA186" s="60">
        <v>112</v>
      </c>
      <c r="FB186" s="60">
        <v>1134</v>
      </c>
      <c r="FC186" s="60">
        <v>319</v>
      </c>
      <c r="FD186" s="60">
        <v>538</v>
      </c>
      <c r="FE186" s="60"/>
      <c r="FF186" s="60">
        <v>19</v>
      </c>
      <c r="FG186" s="60"/>
      <c r="FH186" s="60">
        <v>871</v>
      </c>
      <c r="FI186" s="60">
        <v>116</v>
      </c>
      <c r="FJ186" s="60">
        <v>1221</v>
      </c>
      <c r="FK186" s="60">
        <v>59</v>
      </c>
      <c r="FL186" s="60">
        <v>46</v>
      </c>
      <c r="FM186" s="60">
        <v>592</v>
      </c>
      <c r="FN186" s="60">
        <v>37</v>
      </c>
      <c r="FO186" s="60">
        <v>7395</v>
      </c>
      <c r="FP186" s="60">
        <v>219</v>
      </c>
      <c r="FQ186" s="60">
        <v>65</v>
      </c>
      <c r="FR186" s="60">
        <v>390</v>
      </c>
      <c r="FS186" s="60">
        <v>111</v>
      </c>
      <c r="FT186" s="60">
        <v>23</v>
      </c>
      <c r="FU186" s="60">
        <v>7</v>
      </c>
      <c r="FV186" s="60">
        <v>3</v>
      </c>
      <c r="FW186" s="60"/>
      <c r="FX186" s="60">
        <v>11155</v>
      </c>
      <c r="FY186" s="60">
        <v>278</v>
      </c>
      <c r="FZ186" s="60">
        <v>10654</v>
      </c>
      <c r="GA186" s="60">
        <v>223</v>
      </c>
      <c r="GB186" s="60">
        <v>2011</v>
      </c>
    </row>
    <row r="187" spans="1:184" x14ac:dyDescent="0.3">
      <c r="A187" s="60">
        <v>106314024</v>
      </c>
      <c r="B187" s="61" t="s">
        <v>745</v>
      </c>
      <c r="C187" s="61" t="s">
        <v>1936</v>
      </c>
      <c r="D187" s="61" t="s">
        <v>746</v>
      </c>
      <c r="E187" s="61" t="s">
        <v>744</v>
      </c>
      <c r="F187" s="60">
        <v>95661</v>
      </c>
      <c r="G187" s="61"/>
      <c r="H187" s="61" t="s">
        <v>1669</v>
      </c>
      <c r="I187" s="60">
        <v>4</v>
      </c>
      <c r="J187" s="60">
        <v>1</v>
      </c>
      <c r="K187" s="61" t="s">
        <v>1935</v>
      </c>
      <c r="L187" s="61"/>
      <c r="M187" s="61" t="s">
        <v>1728</v>
      </c>
      <c r="N187" s="61" t="s">
        <v>1934</v>
      </c>
      <c r="O187" s="61" t="s">
        <v>1673</v>
      </c>
      <c r="P187" s="61" t="s">
        <v>1678</v>
      </c>
      <c r="Q187" s="61" t="s">
        <v>1674</v>
      </c>
      <c r="R187" s="60">
        <v>340</v>
      </c>
      <c r="S187" s="61" t="s">
        <v>1675</v>
      </c>
      <c r="T187" s="60">
        <v>28563</v>
      </c>
      <c r="U187" s="60">
        <v>22341</v>
      </c>
      <c r="V187" s="60">
        <v>1</v>
      </c>
      <c r="W187" s="60"/>
      <c r="X187" s="60">
        <v>5098</v>
      </c>
      <c r="Y187" s="60">
        <v>5847</v>
      </c>
      <c r="Z187" s="60">
        <v>6472</v>
      </c>
      <c r="AA187" s="60">
        <v>5394</v>
      </c>
      <c r="AB187" s="60">
        <v>6110</v>
      </c>
      <c r="AC187" s="60">
        <v>5892</v>
      </c>
      <c r="AD187" s="60">
        <v>5395</v>
      </c>
      <c r="AE187" s="60">
        <v>4835</v>
      </c>
      <c r="AF187" s="60">
        <v>5041</v>
      </c>
      <c r="AG187" s="60">
        <v>821</v>
      </c>
      <c r="AH187" s="60"/>
      <c r="AI187" s="60">
        <v>2218</v>
      </c>
      <c r="AJ187" s="60">
        <v>2128</v>
      </c>
      <c r="AK187" s="60">
        <v>4824</v>
      </c>
      <c r="AL187" s="60">
        <v>229</v>
      </c>
      <c r="AM187" s="60">
        <v>548</v>
      </c>
      <c r="AN187" s="60">
        <v>809</v>
      </c>
      <c r="AO187" s="60">
        <v>40149</v>
      </c>
      <c r="AP187" s="60">
        <v>85</v>
      </c>
      <c r="AQ187" s="60">
        <v>268</v>
      </c>
      <c r="AR187" s="60">
        <v>2</v>
      </c>
      <c r="AS187" s="60">
        <v>73</v>
      </c>
      <c r="AT187" s="60">
        <v>181</v>
      </c>
      <c r="AU187" s="60">
        <v>33</v>
      </c>
      <c r="AV187" s="60">
        <v>44</v>
      </c>
      <c r="AW187" s="60">
        <v>3</v>
      </c>
      <c r="AX187" s="60">
        <v>6</v>
      </c>
      <c r="AY187" s="60">
        <v>480</v>
      </c>
      <c r="AZ187" s="60">
        <v>17</v>
      </c>
      <c r="BA187" s="60">
        <v>49216</v>
      </c>
      <c r="BB187" s="60">
        <v>392</v>
      </c>
      <c r="BC187" s="60">
        <v>100</v>
      </c>
      <c r="BD187" s="60">
        <v>5</v>
      </c>
      <c r="BE187" s="60">
        <v>3931</v>
      </c>
      <c r="BF187" s="60">
        <v>12690</v>
      </c>
      <c r="BG187" s="60">
        <v>189</v>
      </c>
      <c r="BH187" s="60">
        <v>29905</v>
      </c>
      <c r="BI187" s="60">
        <v>4190</v>
      </c>
      <c r="BJ187" s="60">
        <v>800</v>
      </c>
      <c r="BK187" s="60">
        <v>251</v>
      </c>
      <c r="BL187" s="60">
        <v>1986</v>
      </c>
      <c r="BM187" s="60">
        <v>12</v>
      </c>
      <c r="BN187" s="60">
        <v>2572</v>
      </c>
      <c r="BO187" s="60">
        <v>743</v>
      </c>
      <c r="BP187" s="60">
        <v>2603</v>
      </c>
      <c r="BQ187" s="60">
        <v>774</v>
      </c>
      <c r="BR187" s="60">
        <v>13078</v>
      </c>
      <c r="BS187" s="60">
        <v>3446</v>
      </c>
      <c r="BT187" s="60">
        <v>99</v>
      </c>
      <c r="BU187" s="60">
        <v>2840</v>
      </c>
      <c r="BV187" s="60">
        <v>986</v>
      </c>
      <c r="BW187" s="60">
        <v>66</v>
      </c>
      <c r="BX187" s="60">
        <v>1683</v>
      </c>
      <c r="BY187" s="60">
        <v>3720</v>
      </c>
      <c r="BZ187" s="60">
        <v>1968</v>
      </c>
      <c r="CA187" s="60">
        <v>13278</v>
      </c>
      <c r="CB187" s="60"/>
      <c r="CC187" s="60"/>
      <c r="CD187" s="60">
        <v>4384</v>
      </c>
      <c r="CE187" s="60">
        <v>201</v>
      </c>
      <c r="CF187" s="60">
        <v>547</v>
      </c>
      <c r="CG187" s="60">
        <v>26</v>
      </c>
      <c r="CH187" s="60">
        <v>251</v>
      </c>
      <c r="CI187" s="60">
        <v>65</v>
      </c>
      <c r="CJ187" s="60">
        <v>347</v>
      </c>
      <c r="CK187" s="60">
        <v>563</v>
      </c>
      <c r="CL187" s="60">
        <v>36492</v>
      </c>
      <c r="CM187" s="60">
        <v>6239</v>
      </c>
      <c r="CN187" s="60">
        <v>344</v>
      </c>
      <c r="CO187" s="60">
        <v>948</v>
      </c>
      <c r="CP187" s="60">
        <v>136</v>
      </c>
      <c r="CQ187" s="60">
        <v>327</v>
      </c>
      <c r="CR187" s="60">
        <v>35</v>
      </c>
      <c r="CS187" s="60"/>
      <c r="CT187" s="60">
        <v>50905</v>
      </c>
      <c r="CU187" s="60">
        <v>534</v>
      </c>
      <c r="CV187" s="60">
        <v>49539</v>
      </c>
      <c r="CW187" s="60">
        <v>832</v>
      </c>
      <c r="CX187" s="60">
        <v>4857</v>
      </c>
      <c r="CY187" s="60">
        <v>4304</v>
      </c>
      <c r="CZ187" s="60"/>
      <c r="DA187" s="60"/>
      <c r="DB187" s="60">
        <v>294</v>
      </c>
      <c r="DC187" s="60">
        <v>280</v>
      </c>
      <c r="DD187" s="60">
        <v>380</v>
      </c>
      <c r="DE187" s="60">
        <v>610</v>
      </c>
      <c r="DF187" s="60">
        <v>1079</v>
      </c>
      <c r="DG187" s="60">
        <v>1668</v>
      </c>
      <c r="DH187" s="60">
        <v>1997</v>
      </c>
      <c r="DI187" s="60">
        <v>2492</v>
      </c>
      <c r="DJ187" s="60">
        <v>123</v>
      </c>
      <c r="DK187" s="60">
        <v>238</v>
      </c>
      <c r="DL187" s="60"/>
      <c r="DM187" s="60">
        <v>384</v>
      </c>
      <c r="DN187" s="60">
        <v>293</v>
      </c>
      <c r="DO187" s="60">
        <v>645</v>
      </c>
      <c r="DP187" s="60">
        <v>66</v>
      </c>
      <c r="DQ187" s="60">
        <v>22</v>
      </c>
      <c r="DR187" s="60">
        <v>7701</v>
      </c>
      <c r="DS187" s="60">
        <v>50</v>
      </c>
      <c r="DT187" s="60">
        <v>219</v>
      </c>
      <c r="DU187" s="60">
        <v>41</v>
      </c>
      <c r="DV187" s="60">
        <v>444</v>
      </c>
      <c r="DW187" s="60">
        <v>1337</v>
      </c>
      <c r="DX187" s="60">
        <v>71</v>
      </c>
      <c r="DY187" s="60">
        <v>2</v>
      </c>
      <c r="DZ187" s="60">
        <v>180</v>
      </c>
      <c r="EA187" s="60">
        <v>5461</v>
      </c>
      <c r="EB187" s="60">
        <v>1405</v>
      </c>
      <c r="EC187" s="60">
        <v>1</v>
      </c>
      <c r="ED187" s="60">
        <v>0</v>
      </c>
      <c r="EE187" s="60">
        <v>0</v>
      </c>
      <c r="EF187" s="60">
        <v>0</v>
      </c>
      <c r="EG187" s="60">
        <v>0</v>
      </c>
      <c r="EH187" s="60">
        <v>0</v>
      </c>
      <c r="EI187" s="60">
        <v>268</v>
      </c>
      <c r="EJ187" s="60">
        <v>5451</v>
      </c>
      <c r="EK187" s="60">
        <v>41</v>
      </c>
      <c r="EL187" s="60">
        <v>3212</v>
      </c>
      <c r="EM187" s="60">
        <v>189</v>
      </c>
      <c r="EN187" s="60">
        <v>101</v>
      </c>
      <c r="EO187" s="60">
        <v>131</v>
      </c>
      <c r="EP187" s="60">
        <v>1864</v>
      </c>
      <c r="EQ187" s="60">
        <v>11</v>
      </c>
      <c r="ER187" s="60">
        <v>1598</v>
      </c>
      <c r="ES187" s="60">
        <v>329</v>
      </c>
      <c r="ET187" s="60">
        <v>377</v>
      </c>
      <c r="EU187" s="60">
        <v>1691</v>
      </c>
      <c r="EV187" s="60">
        <v>966</v>
      </c>
      <c r="EW187" s="60">
        <v>140</v>
      </c>
      <c r="EX187" s="60">
        <v>273</v>
      </c>
      <c r="EY187" s="60">
        <v>167</v>
      </c>
      <c r="EZ187" s="60">
        <v>11</v>
      </c>
      <c r="FA187" s="60">
        <v>91</v>
      </c>
      <c r="FB187" s="60">
        <v>884</v>
      </c>
      <c r="FC187" s="60">
        <v>152</v>
      </c>
      <c r="FD187" s="60">
        <v>356</v>
      </c>
      <c r="FE187" s="60"/>
      <c r="FF187" s="60">
        <v>19</v>
      </c>
      <c r="FG187" s="60"/>
      <c r="FH187" s="60">
        <v>562</v>
      </c>
      <c r="FI187" s="60">
        <v>55</v>
      </c>
      <c r="FJ187" s="60">
        <v>977</v>
      </c>
      <c r="FK187" s="60">
        <v>5</v>
      </c>
      <c r="FL187" s="60">
        <v>20</v>
      </c>
      <c r="FM187" s="60">
        <v>709</v>
      </c>
      <c r="FN187" s="60">
        <v>26</v>
      </c>
      <c r="FO187" s="60">
        <v>6599</v>
      </c>
      <c r="FP187" s="60">
        <v>110</v>
      </c>
      <c r="FQ187" s="60">
        <v>9</v>
      </c>
      <c r="FR187" s="60">
        <v>26</v>
      </c>
      <c r="FS187" s="60">
        <v>45</v>
      </c>
      <c r="FT187" s="60">
        <v>11</v>
      </c>
      <c r="FU187" s="60">
        <v>5</v>
      </c>
      <c r="FV187" s="60">
        <v>2</v>
      </c>
      <c r="FW187" s="60"/>
      <c r="FX187" s="60">
        <v>9161</v>
      </c>
      <c r="FY187" s="60">
        <v>101</v>
      </c>
      <c r="FZ187" s="60">
        <v>8986</v>
      </c>
      <c r="GA187" s="60">
        <v>74</v>
      </c>
      <c r="GB187" s="60">
        <v>2011</v>
      </c>
    </row>
    <row r="188" spans="1:184" x14ac:dyDescent="0.3">
      <c r="A188" s="60">
        <v>106320859</v>
      </c>
      <c r="B188" s="61" t="s">
        <v>747</v>
      </c>
      <c r="C188" s="61" t="s">
        <v>748</v>
      </c>
      <c r="D188" s="61" t="s">
        <v>749</v>
      </c>
      <c r="E188" s="61" t="s">
        <v>750</v>
      </c>
      <c r="F188" s="60">
        <v>96122</v>
      </c>
      <c r="G188" s="61"/>
      <c r="H188" s="61" t="s">
        <v>1669</v>
      </c>
      <c r="I188" s="60">
        <v>3</v>
      </c>
      <c r="J188" s="60">
        <v>1</v>
      </c>
      <c r="K188" s="61" t="s">
        <v>1937</v>
      </c>
      <c r="L188" s="61"/>
      <c r="M188" s="61" t="s">
        <v>1704</v>
      </c>
      <c r="N188" s="61" t="s">
        <v>1938</v>
      </c>
      <c r="O188" s="61" t="s">
        <v>1673</v>
      </c>
      <c r="P188" s="61" t="s">
        <v>159</v>
      </c>
      <c r="Q188" s="61" t="s">
        <v>1674</v>
      </c>
      <c r="R188" s="60">
        <v>9</v>
      </c>
      <c r="S188" s="61" t="s">
        <v>1675</v>
      </c>
      <c r="T188" s="60">
        <v>1593</v>
      </c>
      <c r="U188" s="60">
        <v>1208</v>
      </c>
      <c r="V188" s="60"/>
      <c r="W188" s="60"/>
      <c r="X188" s="60">
        <v>239</v>
      </c>
      <c r="Y188" s="60">
        <v>242</v>
      </c>
      <c r="Z188" s="60">
        <v>280</v>
      </c>
      <c r="AA188" s="60">
        <v>273</v>
      </c>
      <c r="AB188" s="60">
        <v>280</v>
      </c>
      <c r="AC188" s="60">
        <v>470</v>
      </c>
      <c r="AD188" s="60">
        <v>324</v>
      </c>
      <c r="AE188" s="60">
        <v>348</v>
      </c>
      <c r="AF188" s="60">
        <v>302</v>
      </c>
      <c r="AG188" s="60">
        <v>43</v>
      </c>
      <c r="AH188" s="60"/>
      <c r="AI188" s="60">
        <v>8</v>
      </c>
      <c r="AJ188" s="60">
        <v>13</v>
      </c>
      <c r="AK188" s="60">
        <v>158</v>
      </c>
      <c r="AL188" s="60">
        <v>17</v>
      </c>
      <c r="AM188" s="60">
        <v>29</v>
      </c>
      <c r="AN188" s="60">
        <v>4</v>
      </c>
      <c r="AO188" s="60">
        <v>2572</v>
      </c>
      <c r="AP188" s="60">
        <v>258</v>
      </c>
      <c r="AQ188" s="60">
        <v>31</v>
      </c>
      <c r="AR188" s="60"/>
      <c r="AS188" s="60">
        <v>3</v>
      </c>
      <c r="AT188" s="60"/>
      <c r="AU188" s="60"/>
      <c r="AV188" s="60"/>
      <c r="AW188" s="60"/>
      <c r="AX188" s="60"/>
      <c r="AY188" s="60"/>
      <c r="AZ188" s="60">
        <v>2</v>
      </c>
      <c r="BA188" s="60">
        <v>2308</v>
      </c>
      <c r="BB188" s="60">
        <v>9</v>
      </c>
      <c r="BC188" s="60"/>
      <c r="BD188" s="60">
        <v>190</v>
      </c>
      <c r="BE188" s="60">
        <v>794</v>
      </c>
      <c r="BF188" s="60">
        <v>1069</v>
      </c>
      <c r="BG188" s="60">
        <v>74</v>
      </c>
      <c r="BH188" s="60">
        <v>787</v>
      </c>
      <c r="BI188" s="60">
        <v>77</v>
      </c>
      <c r="BJ188" s="60">
        <v>39</v>
      </c>
      <c r="BK188" s="60">
        <v>7</v>
      </c>
      <c r="BL188" s="60">
        <v>118</v>
      </c>
      <c r="BM188" s="60"/>
      <c r="BN188" s="60">
        <v>219</v>
      </c>
      <c r="BO188" s="60">
        <v>69</v>
      </c>
      <c r="BP188" s="60">
        <v>121</v>
      </c>
      <c r="BQ188" s="60">
        <v>62</v>
      </c>
      <c r="BR188" s="60">
        <v>742</v>
      </c>
      <c r="BS188" s="60">
        <v>152</v>
      </c>
      <c r="BT188" s="60">
        <v>3</v>
      </c>
      <c r="BU188" s="60">
        <v>214</v>
      </c>
      <c r="BV188" s="60">
        <v>41</v>
      </c>
      <c r="BW188" s="60"/>
      <c r="BX188" s="60">
        <v>78</v>
      </c>
      <c r="BY188" s="60">
        <v>294</v>
      </c>
      <c r="BZ188" s="60">
        <v>75</v>
      </c>
      <c r="CA188" s="60">
        <v>567</v>
      </c>
      <c r="CB188" s="60"/>
      <c r="CC188" s="60"/>
      <c r="CD188" s="60">
        <v>281</v>
      </c>
      <c r="CE188" s="60">
        <v>16</v>
      </c>
      <c r="CF188" s="60">
        <v>57</v>
      </c>
      <c r="CG188" s="60">
        <v>7</v>
      </c>
      <c r="CH188" s="60">
        <v>18</v>
      </c>
      <c r="CI188" s="60">
        <v>8</v>
      </c>
      <c r="CJ188" s="60">
        <v>53</v>
      </c>
      <c r="CK188" s="60">
        <v>61</v>
      </c>
      <c r="CL188" s="60">
        <v>1901</v>
      </c>
      <c r="CM188" s="60">
        <v>293</v>
      </c>
      <c r="CN188" s="60">
        <v>21</v>
      </c>
      <c r="CO188" s="60">
        <v>32</v>
      </c>
      <c r="CP188" s="60">
        <v>16</v>
      </c>
      <c r="CQ188" s="60">
        <v>29</v>
      </c>
      <c r="CR188" s="60">
        <v>8</v>
      </c>
      <c r="CS188" s="60"/>
      <c r="CT188" s="60">
        <v>2801</v>
      </c>
      <c r="CU188" s="60">
        <v>5</v>
      </c>
      <c r="CV188" s="60">
        <v>2757</v>
      </c>
      <c r="CW188" s="60">
        <v>39</v>
      </c>
      <c r="CX188" s="60">
        <v>206</v>
      </c>
      <c r="CY188" s="60">
        <v>171</v>
      </c>
      <c r="CZ188" s="60"/>
      <c r="DA188" s="60"/>
      <c r="DB188" s="60">
        <v>6</v>
      </c>
      <c r="DC188" s="60">
        <v>7</v>
      </c>
      <c r="DD188" s="60">
        <v>20</v>
      </c>
      <c r="DE188" s="60">
        <v>34</v>
      </c>
      <c r="DF188" s="60">
        <v>97</v>
      </c>
      <c r="DG188" s="60">
        <v>48</v>
      </c>
      <c r="DH188" s="60">
        <v>74</v>
      </c>
      <c r="DI188" s="60">
        <v>87</v>
      </c>
      <c r="DJ188" s="60">
        <v>1</v>
      </c>
      <c r="DK188" s="60">
        <v>3</v>
      </c>
      <c r="DL188" s="60"/>
      <c r="DM188" s="60"/>
      <c r="DN188" s="60">
        <v>1</v>
      </c>
      <c r="DO188" s="60">
        <v>14</v>
      </c>
      <c r="DP188" s="60"/>
      <c r="DQ188" s="60"/>
      <c r="DR188" s="60">
        <v>360</v>
      </c>
      <c r="DS188" s="60">
        <v>2</v>
      </c>
      <c r="DT188" s="60">
        <v>14</v>
      </c>
      <c r="DU188" s="60">
        <v>2</v>
      </c>
      <c r="DV188" s="60">
        <v>2</v>
      </c>
      <c r="DW188" s="60">
        <v>10</v>
      </c>
      <c r="DX188" s="60">
        <v>2</v>
      </c>
      <c r="DY188" s="60"/>
      <c r="DZ188" s="60"/>
      <c r="EA188" s="60">
        <v>291</v>
      </c>
      <c r="EB188" s="60">
        <v>56</v>
      </c>
      <c r="EC188" s="60"/>
      <c r="ED188" s="60">
        <v>0</v>
      </c>
      <c r="EE188" s="60">
        <v>0</v>
      </c>
      <c r="EF188" s="60">
        <v>0</v>
      </c>
      <c r="EG188" s="60">
        <v>0</v>
      </c>
      <c r="EH188" s="60">
        <v>0</v>
      </c>
      <c r="EI188" s="60">
        <v>64</v>
      </c>
      <c r="EJ188" s="60">
        <v>239</v>
      </c>
      <c r="EK188" s="60">
        <v>2</v>
      </c>
      <c r="EL188" s="60">
        <v>33</v>
      </c>
      <c r="EM188" s="60">
        <v>39</v>
      </c>
      <c r="EN188" s="60">
        <v>1</v>
      </c>
      <c r="EO188" s="60">
        <v>2</v>
      </c>
      <c r="EP188" s="60">
        <v>46</v>
      </c>
      <c r="EQ188" s="60"/>
      <c r="ER188" s="60">
        <v>46</v>
      </c>
      <c r="ES188" s="60">
        <v>29</v>
      </c>
      <c r="ET188" s="60">
        <v>18</v>
      </c>
      <c r="EU188" s="60">
        <v>10</v>
      </c>
      <c r="EV188" s="60">
        <v>29</v>
      </c>
      <c r="EW188" s="60">
        <v>7</v>
      </c>
      <c r="EX188" s="60">
        <v>2</v>
      </c>
      <c r="EY188" s="60">
        <v>19</v>
      </c>
      <c r="EZ188" s="60"/>
      <c r="FA188" s="60">
        <v>18</v>
      </c>
      <c r="FB188" s="60">
        <v>82</v>
      </c>
      <c r="FC188" s="60">
        <v>17</v>
      </c>
      <c r="FD188" s="60">
        <v>51</v>
      </c>
      <c r="FE188" s="60"/>
      <c r="FF188" s="60"/>
      <c r="FG188" s="60"/>
      <c r="FH188" s="60">
        <v>6</v>
      </c>
      <c r="FI188" s="60">
        <v>5</v>
      </c>
      <c r="FJ188" s="60">
        <v>31</v>
      </c>
      <c r="FK188" s="60">
        <v>1</v>
      </c>
      <c r="FL188" s="60">
        <v>3</v>
      </c>
      <c r="FM188" s="60">
        <v>9</v>
      </c>
      <c r="FN188" s="60">
        <v>1</v>
      </c>
      <c r="FO188" s="60">
        <v>314</v>
      </c>
      <c r="FP188" s="60">
        <v>2</v>
      </c>
      <c r="FQ188" s="60"/>
      <c r="FR188" s="60"/>
      <c r="FS188" s="60">
        <v>5</v>
      </c>
      <c r="FT188" s="60"/>
      <c r="FU188" s="60"/>
      <c r="FV188" s="60"/>
      <c r="FW188" s="60"/>
      <c r="FX188" s="60">
        <v>377</v>
      </c>
      <c r="FY188" s="60"/>
      <c r="FZ188" s="60">
        <v>374</v>
      </c>
      <c r="GA188" s="60">
        <v>3</v>
      </c>
      <c r="GB188" s="60">
        <v>2011</v>
      </c>
    </row>
    <row r="189" spans="1:184" x14ac:dyDescent="0.3">
      <c r="A189" s="60">
        <v>106320986</v>
      </c>
      <c r="B189" s="61" t="s">
        <v>751</v>
      </c>
      <c r="C189" s="61" t="s">
        <v>752</v>
      </c>
      <c r="D189" s="61" t="s">
        <v>753</v>
      </c>
      <c r="E189" s="61" t="s">
        <v>754</v>
      </c>
      <c r="F189" s="60">
        <v>95971</v>
      </c>
      <c r="G189" s="61"/>
      <c r="H189" s="61" t="s">
        <v>1669</v>
      </c>
      <c r="I189" s="60">
        <v>3</v>
      </c>
      <c r="J189" s="60">
        <v>1</v>
      </c>
      <c r="K189" s="61" t="s">
        <v>1939</v>
      </c>
      <c r="L189" s="61"/>
      <c r="M189" s="61" t="s">
        <v>1704</v>
      </c>
      <c r="N189" s="61" t="s">
        <v>1938</v>
      </c>
      <c r="O189" s="61" t="s">
        <v>1673</v>
      </c>
      <c r="P189" s="61" t="s">
        <v>159</v>
      </c>
      <c r="Q189" s="61" t="s">
        <v>1674</v>
      </c>
      <c r="R189" s="60">
        <v>25</v>
      </c>
      <c r="S189" s="61" t="s">
        <v>1706</v>
      </c>
      <c r="T189" s="60">
        <v>2138</v>
      </c>
      <c r="U189" s="60">
        <v>1803</v>
      </c>
      <c r="V189" s="60"/>
      <c r="W189" s="60"/>
      <c r="X189" s="60">
        <v>307</v>
      </c>
      <c r="Y189" s="60">
        <v>427</v>
      </c>
      <c r="Z189" s="60">
        <v>558</v>
      </c>
      <c r="AA189" s="60">
        <v>447</v>
      </c>
      <c r="AB189" s="60">
        <v>479</v>
      </c>
      <c r="AC189" s="60">
        <v>555</v>
      </c>
      <c r="AD189" s="60">
        <v>454</v>
      </c>
      <c r="AE189" s="60">
        <v>336</v>
      </c>
      <c r="AF189" s="60">
        <v>304</v>
      </c>
      <c r="AG189" s="60">
        <v>74</v>
      </c>
      <c r="AH189" s="60"/>
      <c r="AI189" s="60">
        <v>21</v>
      </c>
      <c r="AJ189" s="60">
        <v>92</v>
      </c>
      <c r="AK189" s="60">
        <v>113</v>
      </c>
      <c r="AL189" s="60">
        <v>88</v>
      </c>
      <c r="AM189" s="60">
        <v>113</v>
      </c>
      <c r="AN189" s="60"/>
      <c r="AO189" s="60">
        <v>3514</v>
      </c>
      <c r="AP189" s="60">
        <v>188</v>
      </c>
      <c r="AQ189" s="60">
        <v>20</v>
      </c>
      <c r="AR189" s="60">
        <v>71</v>
      </c>
      <c r="AS189" s="60">
        <v>16</v>
      </c>
      <c r="AT189" s="60">
        <v>13</v>
      </c>
      <c r="AU189" s="60"/>
      <c r="AV189" s="60"/>
      <c r="AW189" s="60"/>
      <c r="AX189" s="60"/>
      <c r="AY189" s="60"/>
      <c r="AZ189" s="60"/>
      <c r="BA189" s="60">
        <v>3554</v>
      </c>
      <c r="BB189" s="60">
        <v>79</v>
      </c>
      <c r="BC189" s="60"/>
      <c r="BD189" s="60"/>
      <c r="BE189" s="60">
        <v>824</v>
      </c>
      <c r="BF189" s="60">
        <v>1144</v>
      </c>
      <c r="BG189" s="60">
        <v>178</v>
      </c>
      <c r="BH189" s="60">
        <v>1383</v>
      </c>
      <c r="BI189" s="60">
        <v>412</v>
      </c>
      <c r="BJ189" s="60">
        <v>73</v>
      </c>
      <c r="BK189" s="60">
        <v>12</v>
      </c>
      <c r="BL189" s="60">
        <v>218</v>
      </c>
      <c r="BM189" s="60">
        <v>4</v>
      </c>
      <c r="BN189" s="60">
        <v>277</v>
      </c>
      <c r="BO189" s="60">
        <v>77</v>
      </c>
      <c r="BP189" s="60">
        <v>199</v>
      </c>
      <c r="BQ189" s="60">
        <v>86</v>
      </c>
      <c r="BR189" s="60">
        <v>1192</v>
      </c>
      <c r="BS189" s="60">
        <v>242</v>
      </c>
      <c r="BT189" s="60">
        <v>18</v>
      </c>
      <c r="BU189" s="60">
        <v>167</v>
      </c>
      <c r="BV189" s="60">
        <v>103</v>
      </c>
      <c r="BW189" s="60">
        <v>9</v>
      </c>
      <c r="BX189" s="60">
        <v>149</v>
      </c>
      <c r="BY189" s="60">
        <v>374</v>
      </c>
      <c r="BZ189" s="60">
        <v>146</v>
      </c>
      <c r="CA189" s="60">
        <v>595</v>
      </c>
      <c r="CB189" s="60"/>
      <c r="CC189" s="60"/>
      <c r="CD189" s="60">
        <v>314</v>
      </c>
      <c r="CE189" s="60">
        <v>16</v>
      </c>
      <c r="CF189" s="60">
        <v>48</v>
      </c>
      <c r="CG189" s="60">
        <v>3</v>
      </c>
      <c r="CH189" s="60">
        <v>44</v>
      </c>
      <c r="CI189" s="60">
        <v>15</v>
      </c>
      <c r="CJ189" s="60">
        <v>38</v>
      </c>
      <c r="CK189" s="60">
        <v>103</v>
      </c>
      <c r="CL189" s="60">
        <v>2630</v>
      </c>
      <c r="CM189" s="60">
        <v>538</v>
      </c>
      <c r="CN189" s="60">
        <v>51</v>
      </c>
      <c r="CO189" s="60">
        <v>90</v>
      </c>
      <c r="CP189" s="60">
        <v>10</v>
      </c>
      <c r="CQ189" s="60">
        <v>31</v>
      </c>
      <c r="CR189" s="60">
        <v>10</v>
      </c>
      <c r="CS189" s="60"/>
      <c r="CT189" s="60">
        <v>3941</v>
      </c>
      <c r="CU189" s="60">
        <v>4</v>
      </c>
      <c r="CV189" s="60">
        <v>3917</v>
      </c>
      <c r="CW189" s="60">
        <v>20</v>
      </c>
      <c r="CX189" s="60">
        <v>153</v>
      </c>
      <c r="CY189" s="60">
        <v>103</v>
      </c>
      <c r="CZ189" s="60"/>
      <c r="DA189" s="60"/>
      <c r="DB189" s="60">
        <v>4</v>
      </c>
      <c r="DC189" s="60">
        <v>9</v>
      </c>
      <c r="DD189" s="60">
        <v>22</v>
      </c>
      <c r="DE189" s="60">
        <v>21</v>
      </c>
      <c r="DF189" s="60">
        <v>42</v>
      </c>
      <c r="DG189" s="60">
        <v>42</v>
      </c>
      <c r="DH189" s="60">
        <v>39</v>
      </c>
      <c r="DI189" s="60">
        <v>73</v>
      </c>
      <c r="DJ189" s="60">
        <v>2</v>
      </c>
      <c r="DK189" s="60">
        <v>2</v>
      </c>
      <c r="DL189" s="60"/>
      <c r="DM189" s="60">
        <v>2</v>
      </c>
      <c r="DN189" s="60">
        <v>12</v>
      </c>
      <c r="DO189" s="60">
        <v>4</v>
      </c>
      <c r="DP189" s="60">
        <v>3</v>
      </c>
      <c r="DQ189" s="60"/>
      <c r="DR189" s="60">
        <v>228</v>
      </c>
      <c r="DS189" s="60">
        <v>7</v>
      </c>
      <c r="DT189" s="60"/>
      <c r="DU189" s="60">
        <v>2</v>
      </c>
      <c r="DV189" s="60">
        <v>8</v>
      </c>
      <c r="DW189" s="60">
        <v>1</v>
      </c>
      <c r="DX189" s="60">
        <v>14</v>
      </c>
      <c r="DY189" s="60"/>
      <c r="DZ189" s="60"/>
      <c r="EA189" s="60">
        <v>178</v>
      </c>
      <c r="EB189" s="60">
        <v>53</v>
      </c>
      <c r="EC189" s="60"/>
      <c r="ED189" s="60">
        <v>0</v>
      </c>
      <c r="EE189" s="60">
        <v>0</v>
      </c>
      <c r="EF189" s="60">
        <v>0</v>
      </c>
      <c r="EG189" s="60">
        <v>0</v>
      </c>
      <c r="EH189" s="60">
        <v>0</v>
      </c>
      <c r="EI189" s="60">
        <v>40</v>
      </c>
      <c r="EJ189" s="60">
        <v>156</v>
      </c>
      <c r="EK189" s="60">
        <v>2</v>
      </c>
      <c r="EL189" s="60">
        <v>45</v>
      </c>
      <c r="EM189" s="60">
        <v>13</v>
      </c>
      <c r="EN189" s="60">
        <v>3</v>
      </c>
      <c r="EO189" s="60">
        <v>3</v>
      </c>
      <c r="EP189" s="60">
        <v>31</v>
      </c>
      <c r="EQ189" s="60">
        <v>1</v>
      </c>
      <c r="ER189" s="60">
        <v>60</v>
      </c>
      <c r="ES189" s="60">
        <v>9</v>
      </c>
      <c r="ET189" s="60">
        <v>16</v>
      </c>
      <c r="EU189" s="60">
        <v>6</v>
      </c>
      <c r="EV189" s="60">
        <v>26</v>
      </c>
      <c r="EW189" s="60">
        <v>6</v>
      </c>
      <c r="EX189" s="60">
        <v>9</v>
      </c>
      <c r="EY189" s="60">
        <v>3</v>
      </c>
      <c r="EZ189" s="60"/>
      <c r="FA189" s="60">
        <v>6</v>
      </c>
      <c r="FB189" s="60">
        <v>62</v>
      </c>
      <c r="FC189" s="60">
        <v>12</v>
      </c>
      <c r="FD189" s="60">
        <v>3</v>
      </c>
      <c r="FE189" s="60"/>
      <c r="FF189" s="60"/>
      <c r="FG189" s="60"/>
      <c r="FH189" s="60">
        <v>20</v>
      </c>
      <c r="FI189" s="60">
        <v>2</v>
      </c>
      <c r="FJ189" s="60">
        <v>3</v>
      </c>
      <c r="FK189" s="60"/>
      <c r="FL189" s="60"/>
      <c r="FM189" s="60">
        <v>8</v>
      </c>
      <c r="FN189" s="60">
        <v>1</v>
      </c>
      <c r="FO189" s="60">
        <v>212</v>
      </c>
      <c r="FP189" s="60">
        <v>5</v>
      </c>
      <c r="FQ189" s="60">
        <v>1</v>
      </c>
      <c r="FR189" s="60">
        <v>3</v>
      </c>
      <c r="FS189" s="60"/>
      <c r="FT189" s="60"/>
      <c r="FU189" s="60">
        <v>1</v>
      </c>
      <c r="FV189" s="60"/>
      <c r="FW189" s="60"/>
      <c r="FX189" s="60">
        <v>256</v>
      </c>
      <c r="FY189" s="60"/>
      <c r="FZ189" s="60">
        <v>255</v>
      </c>
      <c r="GA189" s="60">
        <v>1</v>
      </c>
      <c r="GB189" s="60">
        <v>2011</v>
      </c>
    </row>
    <row r="190" spans="1:184" x14ac:dyDescent="0.3">
      <c r="A190" s="60">
        <v>106321016</v>
      </c>
      <c r="B190" s="61" t="s">
        <v>755</v>
      </c>
      <c r="C190" s="61" t="s">
        <v>1940</v>
      </c>
      <c r="D190" s="61" t="s">
        <v>756</v>
      </c>
      <c r="E190" s="61" t="s">
        <v>757</v>
      </c>
      <c r="F190" s="60">
        <v>96020</v>
      </c>
      <c r="G190" s="61" t="s">
        <v>177</v>
      </c>
      <c r="H190" s="61" t="s">
        <v>1669</v>
      </c>
      <c r="I190" s="60">
        <v>3</v>
      </c>
      <c r="J190" s="60">
        <v>1</v>
      </c>
      <c r="K190" s="61" t="s">
        <v>1941</v>
      </c>
      <c r="L190" s="61"/>
      <c r="M190" s="61" t="s">
        <v>1704</v>
      </c>
      <c r="N190" s="61" t="s">
        <v>1938</v>
      </c>
      <c r="O190" s="61" t="s">
        <v>1673</v>
      </c>
      <c r="P190" s="61" t="s">
        <v>159</v>
      </c>
      <c r="Q190" s="61" t="s">
        <v>1674</v>
      </c>
      <c r="R190" s="60">
        <v>10</v>
      </c>
      <c r="S190" s="61" t="s">
        <v>1706</v>
      </c>
      <c r="T190" s="60">
        <v>1619</v>
      </c>
      <c r="U190" s="60">
        <v>1299</v>
      </c>
      <c r="V190" s="60"/>
      <c r="W190" s="60"/>
      <c r="X190" s="60">
        <v>323</v>
      </c>
      <c r="Y190" s="60">
        <v>309</v>
      </c>
      <c r="Z190" s="60">
        <v>367</v>
      </c>
      <c r="AA190" s="60">
        <v>295</v>
      </c>
      <c r="AB190" s="60">
        <v>361</v>
      </c>
      <c r="AC190" s="60">
        <v>326</v>
      </c>
      <c r="AD190" s="60">
        <v>339</v>
      </c>
      <c r="AE190" s="60">
        <v>268</v>
      </c>
      <c r="AF190" s="60">
        <v>287</v>
      </c>
      <c r="AG190" s="60">
        <v>43</v>
      </c>
      <c r="AH190" s="60"/>
      <c r="AI190" s="60">
        <v>21</v>
      </c>
      <c r="AJ190" s="60">
        <v>12</v>
      </c>
      <c r="AK190" s="60">
        <v>50</v>
      </c>
      <c r="AL190" s="60">
        <v>33</v>
      </c>
      <c r="AM190" s="60"/>
      <c r="AN190" s="60">
        <v>45</v>
      </c>
      <c r="AO190" s="60">
        <v>2757</v>
      </c>
      <c r="AP190" s="60">
        <v>134</v>
      </c>
      <c r="AQ190" s="60">
        <v>5</v>
      </c>
      <c r="AR190" s="60">
        <v>8</v>
      </c>
      <c r="AS190" s="60">
        <v>4</v>
      </c>
      <c r="AT190" s="60"/>
      <c r="AU190" s="60"/>
      <c r="AV190" s="60"/>
      <c r="AW190" s="60">
        <v>15</v>
      </c>
      <c r="AX190" s="60"/>
      <c r="AY190" s="60"/>
      <c r="AZ190" s="60">
        <v>17</v>
      </c>
      <c r="BA190" s="60">
        <v>2596</v>
      </c>
      <c r="BB190" s="60"/>
      <c r="BC190" s="60"/>
      <c r="BD190" s="60">
        <v>139</v>
      </c>
      <c r="BE190" s="60">
        <v>720</v>
      </c>
      <c r="BF190" s="60">
        <v>728</v>
      </c>
      <c r="BG190" s="60">
        <v>108</v>
      </c>
      <c r="BH190" s="60">
        <v>921</v>
      </c>
      <c r="BI190" s="60">
        <v>441</v>
      </c>
      <c r="BJ190" s="60">
        <v>15</v>
      </c>
      <c r="BK190" s="60">
        <v>2</v>
      </c>
      <c r="BL190" s="60">
        <v>120</v>
      </c>
      <c r="BM190" s="60">
        <v>1</v>
      </c>
      <c r="BN190" s="60">
        <v>228</v>
      </c>
      <c r="BO190" s="60">
        <v>60</v>
      </c>
      <c r="BP190" s="60">
        <v>135</v>
      </c>
      <c r="BQ190" s="60">
        <v>73</v>
      </c>
      <c r="BR190" s="60">
        <v>875</v>
      </c>
      <c r="BS190" s="60">
        <v>136</v>
      </c>
      <c r="BT190" s="60">
        <v>3</v>
      </c>
      <c r="BU190" s="60">
        <v>237</v>
      </c>
      <c r="BV190" s="60">
        <v>67</v>
      </c>
      <c r="BW190" s="60">
        <v>4</v>
      </c>
      <c r="BX190" s="60">
        <v>91</v>
      </c>
      <c r="BY190" s="60">
        <v>331</v>
      </c>
      <c r="BZ190" s="60">
        <v>111</v>
      </c>
      <c r="CA190" s="60">
        <v>429</v>
      </c>
      <c r="CB190" s="60"/>
      <c r="CC190" s="60"/>
      <c r="CD190" s="60">
        <v>306</v>
      </c>
      <c r="CE190" s="60">
        <v>13</v>
      </c>
      <c r="CF190" s="60">
        <v>56</v>
      </c>
      <c r="CG190" s="60">
        <v>5</v>
      </c>
      <c r="CH190" s="60">
        <v>19</v>
      </c>
      <c r="CI190" s="60">
        <v>3</v>
      </c>
      <c r="CJ190" s="60"/>
      <c r="CK190" s="60">
        <v>78</v>
      </c>
      <c r="CL190" s="60">
        <v>1862</v>
      </c>
      <c r="CM190" s="60">
        <v>445</v>
      </c>
      <c r="CN190" s="60">
        <v>43</v>
      </c>
      <c r="CO190" s="60">
        <v>54</v>
      </c>
      <c r="CP190" s="60">
        <v>4</v>
      </c>
      <c r="CQ190" s="60">
        <v>25</v>
      </c>
      <c r="CR190" s="60">
        <v>5</v>
      </c>
      <c r="CS190" s="60"/>
      <c r="CT190" s="60">
        <v>2918</v>
      </c>
      <c r="CU190" s="60">
        <v>10</v>
      </c>
      <c r="CV190" s="60">
        <v>2899</v>
      </c>
      <c r="CW190" s="60">
        <v>9</v>
      </c>
      <c r="CX190" s="60">
        <v>93</v>
      </c>
      <c r="CY190" s="60">
        <v>80</v>
      </c>
      <c r="CZ190" s="60"/>
      <c r="DA190" s="60"/>
      <c r="DB190" s="60">
        <v>2</v>
      </c>
      <c r="DC190" s="60">
        <v>5</v>
      </c>
      <c r="DD190" s="60">
        <v>16</v>
      </c>
      <c r="DE190" s="60">
        <v>14</v>
      </c>
      <c r="DF190" s="60">
        <v>19</v>
      </c>
      <c r="DG190" s="60">
        <v>21</v>
      </c>
      <c r="DH190" s="60">
        <v>29</v>
      </c>
      <c r="DI190" s="60">
        <v>67</v>
      </c>
      <c r="DJ190" s="60"/>
      <c r="DK190" s="60"/>
      <c r="DL190" s="60"/>
      <c r="DM190" s="60">
        <v>1</v>
      </c>
      <c r="DN190" s="60"/>
      <c r="DO190" s="60">
        <v>172</v>
      </c>
      <c r="DP190" s="60"/>
      <c r="DQ190" s="60"/>
      <c r="DR190" s="60"/>
      <c r="DS190" s="60"/>
      <c r="DT190" s="60">
        <v>11</v>
      </c>
      <c r="DU190" s="60">
        <v>1</v>
      </c>
      <c r="DV190" s="60">
        <v>2</v>
      </c>
      <c r="DW190" s="60">
        <v>3</v>
      </c>
      <c r="DX190" s="60">
        <v>5</v>
      </c>
      <c r="DY190" s="60"/>
      <c r="DZ190" s="60"/>
      <c r="EA190" s="60">
        <v>139</v>
      </c>
      <c r="EB190" s="60">
        <v>12</v>
      </c>
      <c r="EC190" s="60"/>
      <c r="ED190" s="60">
        <v>0</v>
      </c>
      <c r="EE190" s="60">
        <v>0</v>
      </c>
      <c r="EF190" s="60">
        <v>0</v>
      </c>
      <c r="EG190" s="60">
        <v>0</v>
      </c>
      <c r="EH190" s="60">
        <v>0</v>
      </c>
      <c r="EI190" s="60">
        <v>25</v>
      </c>
      <c r="EJ190" s="60">
        <v>124</v>
      </c>
      <c r="EK190" s="60"/>
      <c r="EL190" s="60">
        <v>20</v>
      </c>
      <c r="EM190" s="60">
        <v>4</v>
      </c>
      <c r="EN190" s="60"/>
      <c r="EO190" s="60">
        <v>3</v>
      </c>
      <c r="EP190" s="60">
        <v>21</v>
      </c>
      <c r="EQ190" s="60"/>
      <c r="ER190" s="60">
        <v>25</v>
      </c>
      <c r="ES190" s="60">
        <v>8</v>
      </c>
      <c r="ET190" s="60">
        <v>27</v>
      </c>
      <c r="EU190" s="60">
        <v>11</v>
      </c>
      <c r="EV190" s="60">
        <v>8</v>
      </c>
      <c r="EW190" s="60">
        <v>1</v>
      </c>
      <c r="EX190" s="60">
        <v>1</v>
      </c>
      <c r="EY190" s="60">
        <v>3</v>
      </c>
      <c r="EZ190" s="60">
        <v>2</v>
      </c>
      <c r="FA190" s="60">
        <v>2</v>
      </c>
      <c r="FB190" s="60">
        <v>44</v>
      </c>
      <c r="FC190" s="60">
        <v>6</v>
      </c>
      <c r="FD190" s="60">
        <v>11</v>
      </c>
      <c r="FE190" s="60"/>
      <c r="FF190" s="60"/>
      <c r="FG190" s="60"/>
      <c r="FH190" s="60">
        <v>10</v>
      </c>
      <c r="FI190" s="60">
        <v>2</v>
      </c>
      <c r="FJ190" s="60">
        <v>19</v>
      </c>
      <c r="FK190" s="60"/>
      <c r="FL190" s="60">
        <v>2</v>
      </c>
      <c r="FM190" s="60"/>
      <c r="FN190" s="60">
        <v>2</v>
      </c>
      <c r="FO190" s="60">
        <v>133</v>
      </c>
      <c r="FP190" s="60">
        <v>4</v>
      </c>
      <c r="FQ190" s="60"/>
      <c r="FR190" s="60">
        <v>1</v>
      </c>
      <c r="FS190" s="60"/>
      <c r="FT190" s="60"/>
      <c r="FU190" s="60"/>
      <c r="FV190" s="60"/>
      <c r="FW190" s="60"/>
      <c r="FX190" s="60">
        <v>173</v>
      </c>
      <c r="FY190" s="60">
        <v>5</v>
      </c>
      <c r="FZ190" s="60">
        <v>168</v>
      </c>
      <c r="GA190" s="60"/>
      <c r="GB190" s="60">
        <v>2011</v>
      </c>
    </row>
    <row r="191" spans="1:184" x14ac:dyDescent="0.3">
      <c r="A191" s="60">
        <v>106331152</v>
      </c>
      <c r="B191" s="61" t="s">
        <v>758</v>
      </c>
      <c r="C191" s="61" t="s">
        <v>759</v>
      </c>
      <c r="D191" s="61" t="s">
        <v>761</v>
      </c>
      <c r="E191" s="61" t="s">
        <v>762</v>
      </c>
      <c r="F191" s="60">
        <v>92882</v>
      </c>
      <c r="G191" s="61"/>
      <c r="H191" s="61" t="s">
        <v>1669</v>
      </c>
      <c r="I191" s="60">
        <v>71</v>
      </c>
      <c r="J191" s="60">
        <v>37</v>
      </c>
      <c r="K191" s="61" t="s">
        <v>1942</v>
      </c>
      <c r="L191" s="61"/>
      <c r="M191" s="61" t="s">
        <v>1755</v>
      </c>
      <c r="N191" s="61" t="s">
        <v>1943</v>
      </c>
      <c r="O191" s="61" t="s">
        <v>1673</v>
      </c>
      <c r="P191" s="61" t="s">
        <v>221</v>
      </c>
      <c r="Q191" s="61" t="s">
        <v>1674</v>
      </c>
      <c r="R191" s="60">
        <v>160</v>
      </c>
      <c r="S191" s="61" t="s">
        <v>1675</v>
      </c>
      <c r="T191" s="60">
        <v>20152</v>
      </c>
      <c r="U191" s="60">
        <v>15906</v>
      </c>
      <c r="V191" s="60"/>
      <c r="W191" s="60"/>
      <c r="X191" s="60">
        <v>6604</v>
      </c>
      <c r="Y191" s="60">
        <v>4826</v>
      </c>
      <c r="Z191" s="60">
        <v>6043</v>
      </c>
      <c r="AA191" s="60">
        <v>4741</v>
      </c>
      <c r="AB191" s="60">
        <v>4488</v>
      </c>
      <c r="AC191" s="60">
        <v>3008</v>
      </c>
      <c r="AD191" s="60">
        <v>2048</v>
      </c>
      <c r="AE191" s="60">
        <v>1559</v>
      </c>
      <c r="AF191" s="60">
        <v>1428</v>
      </c>
      <c r="AG191" s="60">
        <v>1312</v>
      </c>
      <c r="AH191" s="60">
        <v>1</v>
      </c>
      <c r="AI191" s="60">
        <v>1031</v>
      </c>
      <c r="AJ191" s="60">
        <v>2525</v>
      </c>
      <c r="AK191" s="60">
        <v>14824</v>
      </c>
      <c r="AL191" s="60">
        <v>51</v>
      </c>
      <c r="AM191" s="60">
        <v>3085</v>
      </c>
      <c r="AN191" s="60">
        <v>277</v>
      </c>
      <c r="AO191" s="60">
        <v>14265</v>
      </c>
      <c r="AP191" s="60">
        <v>441</v>
      </c>
      <c r="AQ191" s="60">
        <v>517</v>
      </c>
      <c r="AR191" s="60">
        <v>33</v>
      </c>
      <c r="AS191" s="60">
        <v>88</v>
      </c>
      <c r="AT191" s="60"/>
      <c r="AU191" s="60">
        <v>4</v>
      </c>
      <c r="AV191" s="60">
        <v>4</v>
      </c>
      <c r="AW191" s="60">
        <v>1</v>
      </c>
      <c r="AX191" s="60">
        <v>111</v>
      </c>
      <c r="AY191" s="60">
        <v>213</v>
      </c>
      <c r="AZ191" s="60"/>
      <c r="BA191" s="60">
        <v>34336</v>
      </c>
      <c r="BB191" s="60">
        <v>189</v>
      </c>
      <c r="BC191" s="60">
        <v>121</v>
      </c>
      <c r="BD191" s="60"/>
      <c r="BE191" s="60">
        <v>12784</v>
      </c>
      <c r="BF191" s="60">
        <v>3407</v>
      </c>
      <c r="BG191" s="60">
        <v>925</v>
      </c>
      <c r="BH191" s="60">
        <v>11356</v>
      </c>
      <c r="BI191" s="60">
        <v>7586</v>
      </c>
      <c r="BJ191" s="60">
        <v>1324</v>
      </c>
      <c r="BK191" s="60">
        <v>141</v>
      </c>
      <c r="BL191" s="60">
        <v>843</v>
      </c>
      <c r="BM191" s="60">
        <v>11</v>
      </c>
      <c r="BN191" s="60">
        <v>2280</v>
      </c>
      <c r="BO191" s="60">
        <v>397</v>
      </c>
      <c r="BP191" s="60">
        <v>2339</v>
      </c>
      <c r="BQ191" s="60">
        <v>706</v>
      </c>
      <c r="BR191" s="60">
        <v>8589</v>
      </c>
      <c r="BS191" s="60">
        <v>1907</v>
      </c>
      <c r="BT191" s="60">
        <v>68</v>
      </c>
      <c r="BU191" s="60">
        <v>2333</v>
      </c>
      <c r="BV191" s="60">
        <v>1183</v>
      </c>
      <c r="BW191" s="60">
        <v>56</v>
      </c>
      <c r="BX191" s="60">
        <v>1112</v>
      </c>
      <c r="BY191" s="60">
        <v>4534</v>
      </c>
      <c r="BZ191" s="60">
        <v>1494</v>
      </c>
      <c r="CA191" s="60">
        <v>6739</v>
      </c>
      <c r="CB191" s="60">
        <v>2</v>
      </c>
      <c r="CC191" s="60"/>
      <c r="CD191" s="60">
        <v>2853</v>
      </c>
      <c r="CE191" s="60">
        <v>114</v>
      </c>
      <c r="CF191" s="60">
        <v>316</v>
      </c>
      <c r="CG191" s="60">
        <v>22</v>
      </c>
      <c r="CH191" s="60">
        <v>373</v>
      </c>
      <c r="CI191" s="60">
        <v>18</v>
      </c>
      <c r="CJ191" s="60">
        <v>144</v>
      </c>
      <c r="CK191" s="60">
        <v>440</v>
      </c>
      <c r="CL191" s="60">
        <v>26767</v>
      </c>
      <c r="CM191" s="60">
        <v>3351</v>
      </c>
      <c r="CN191" s="60">
        <v>203</v>
      </c>
      <c r="CO191" s="60">
        <v>981</v>
      </c>
      <c r="CP191" s="60">
        <v>161</v>
      </c>
      <c r="CQ191" s="60">
        <v>268</v>
      </c>
      <c r="CR191" s="60">
        <v>47</v>
      </c>
      <c r="CS191" s="60"/>
      <c r="CT191" s="60">
        <v>36058</v>
      </c>
      <c r="CU191" s="60">
        <v>546</v>
      </c>
      <c r="CV191" s="60">
        <v>31116</v>
      </c>
      <c r="CW191" s="60">
        <v>4396</v>
      </c>
      <c r="CX191" s="60">
        <v>3330</v>
      </c>
      <c r="CY191" s="60">
        <v>2503</v>
      </c>
      <c r="CZ191" s="60"/>
      <c r="DA191" s="60"/>
      <c r="DB191" s="60">
        <v>158</v>
      </c>
      <c r="DC191" s="60">
        <v>314</v>
      </c>
      <c r="DD191" s="60">
        <v>440</v>
      </c>
      <c r="DE191" s="60">
        <v>683</v>
      </c>
      <c r="DF191" s="60">
        <v>797</v>
      </c>
      <c r="DG191" s="60">
        <v>1016</v>
      </c>
      <c r="DH191" s="60">
        <v>964</v>
      </c>
      <c r="DI191" s="60">
        <v>1253</v>
      </c>
      <c r="DJ191" s="60">
        <v>75</v>
      </c>
      <c r="DK191" s="60">
        <v>133</v>
      </c>
      <c r="DL191" s="60"/>
      <c r="DM191" s="60">
        <v>234</v>
      </c>
      <c r="DN191" s="60">
        <v>415</v>
      </c>
      <c r="DO191" s="60">
        <v>1791</v>
      </c>
      <c r="DP191" s="60">
        <v>357</v>
      </c>
      <c r="DQ191" s="60">
        <v>52</v>
      </c>
      <c r="DR191" s="60">
        <v>2967</v>
      </c>
      <c r="DS191" s="60">
        <v>17</v>
      </c>
      <c r="DT191" s="60">
        <v>272</v>
      </c>
      <c r="DU191" s="60">
        <v>127</v>
      </c>
      <c r="DV191" s="60">
        <v>157</v>
      </c>
      <c r="DW191" s="60">
        <v>345</v>
      </c>
      <c r="DX191" s="60">
        <v>172</v>
      </c>
      <c r="DY191" s="60">
        <v>3</v>
      </c>
      <c r="DZ191" s="60">
        <v>3</v>
      </c>
      <c r="EA191" s="60">
        <v>3945</v>
      </c>
      <c r="EB191" s="60">
        <v>760</v>
      </c>
      <c r="EC191" s="60">
        <v>49</v>
      </c>
      <c r="ED191" s="60">
        <v>0</v>
      </c>
      <c r="EE191" s="60">
        <v>0</v>
      </c>
      <c r="EF191" s="60">
        <v>0</v>
      </c>
      <c r="EG191" s="60">
        <v>0</v>
      </c>
      <c r="EH191" s="60">
        <v>0</v>
      </c>
      <c r="EI191" s="60">
        <v>1094</v>
      </c>
      <c r="EJ191" s="60">
        <v>3056</v>
      </c>
      <c r="EK191" s="60">
        <v>132</v>
      </c>
      <c r="EL191" s="60">
        <v>1163</v>
      </c>
      <c r="EM191" s="60">
        <v>388</v>
      </c>
      <c r="EN191" s="60">
        <v>105</v>
      </c>
      <c r="EO191" s="60">
        <v>129</v>
      </c>
      <c r="EP191" s="60">
        <v>1076</v>
      </c>
      <c r="EQ191" s="60">
        <v>4</v>
      </c>
      <c r="ER191" s="60">
        <v>1062</v>
      </c>
      <c r="ES191" s="60">
        <v>277</v>
      </c>
      <c r="ET191" s="60">
        <v>307</v>
      </c>
      <c r="EU191" s="60">
        <v>429</v>
      </c>
      <c r="EV191" s="60">
        <v>395</v>
      </c>
      <c r="EW191" s="60">
        <v>80</v>
      </c>
      <c r="EX191" s="60">
        <v>108</v>
      </c>
      <c r="EY191" s="60">
        <v>142</v>
      </c>
      <c r="EZ191" s="60">
        <v>7</v>
      </c>
      <c r="FA191" s="60">
        <v>80</v>
      </c>
      <c r="FB191" s="60">
        <v>748</v>
      </c>
      <c r="FC191" s="60">
        <v>138</v>
      </c>
      <c r="FD191" s="60">
        <v>728</v>
      </c>
      <c r="FE191" s="60">
        <v>1</v>
      </c>
      <c r="FF191" s="60">
        <v>17</v>
      </c>
      <c r="FG191" s="60"/>
      <c r="FH191" s="60">
        <v>261</v>
      </c>
      <c r="FI191" s="60">
        <v>18</v>
      </c>
      <c r="FJ191" s="60">
        <v>236</v>
      </c>
      <c r="FK191" s="60">
        <v>3</v>
      </c>
      <c r="FL191" s="60">
        <v>18</v>
      </c>
      <c r="FM191" s="60">
        <v>165</v>
      </c>
      <c r="FN191" s="60">
        <v>14</v>
      </c>
      <c r="FO191" s="60">
        <v>5011</v>
      </c>
      <c r="FP191" s="60">
        <v>43</v>
      </c>
      <c r="FQ191" s="60">
        <v>3</v>
      </c>
      <c r="FR191" s="60">
        <v>15</v>
      </c>
      <c r="FS191" s="60">
        <v>36</v>
      </c>
      <c r="FT191" s="60">
        <v>6</v>
      </c>
      <c r="FU191" s="60">
        <v>3</v>
      </c>
      <c r="FV191" s="60">
        <v>1</v>
      </c>
      <c r="FW191" s="60"/>
      <c r="FX191" s="60">
        <v>5833</v>
      </c>
      <c r="FY191" s="60">
        <v>261</v>
      </c>
      <c r="FZ191" s="60">
        <v>4825</v>
      </c>
      <c r="GA191" s="60">
        <v>747</v>
      </c>
      <c r="GB191" s="60">
        <v>2011</v>
      </c>
    </row>
    <row r="192" spans="1:184" x14ac:dyDescent="0.3">
      <c r="A192" s="60">
        <v>106331164</v>
      </c>
      <c r="B192" s="61" t="s">
        <v>763</v>
      </c>
      <c r="C192" s="61" t="s">
        <v>764</v>
      </c>
      <c r="D192" s="61" t="s">
        <v>765</v>
      </c>
      <c r="E192" s="61" t="s">
        <v>766</v>
      </c>
      <c r="F192" s="60">
        <v>92262</v>
      </c>
      <c r="G192" s="61" t="s">
        <v>143</v>
      </c>
      <c r="H192" s="61" t="s">
        <v>1669</v>
      </c>
      <c r="I192" s="60">
        <v>80</v>
      </c>
      <c r="J192" s="60">
        <v>37</v>
      </c>
      <c r="K192" s="61" t="s">
        <v>1944</v>
      </c>
      <c r="L192" s="61"/>
      <c r="M192" s="61" t="s">
        <v>1755</v>
      </c>
      <c r="N192" s="61" t="s">
        <v>1943</v>
      </c>
      <c r="O192" s="61" t="s">
        <v>1673</v>
      </c>
      <c r="P192" s="61" t="s">
        <v>221</v>
      </c>
      <c r="Q192" s="61" t="s">
        <v>1674</v>
      </c>
      <c r="R192" s="60">
        <v>353</v>
      </c>
      <c r="S192" s="61" t="s">
        <v>1738</v>
      </c>
      <c r="T192" s="60">
        <v>26289</v>
      </c>
      <c r="U192" s="60">
        <v>24595</v>
      </c>
      <c r="V192" s="60">
        <v>7</v>
      </c>
      <c r="W192" s="60"/>
      <c r="X192" s="60">
        <v>7709</v>
      </c>
      <c r="Y192" s="60">
        <v>5143</v>
      </c>
      <c r="Z192" s="60">
        <v>7774</v>
      </c>
      <c r="AA192" s="60">
        <v>6151</v>
      </c>
      <c r="AB192" s="60">
        <v>6504</v>
      </c>
      <c r="AC192" s="60">
        <v>6167</v>
      </c>
      <c r="AD192" s="60">
        <v>3985</v>
      </c>
      <c r="AE192" s="60">
        <v>2961</v>
      </c>
      <c r="AF192" s="60">
        <v>2420</v>
      </c>
      <c r="AG192" s="60">
        <v>2077</v>
      </c>
      <c r="AH192" s="60"/>
      <c r="AI192" s="60">
        <v>660</v>
      </c>
      <c r="AJ192" s="60">
        <v>3971</v>
      </c>
      <c r="AK192" s="60">
        <v>20054</v>
      </c>
      <c r="AL192" s="60">
        <v>119</v>
      </c>
      <c r="AM192" s="60">
        <v>1029</v>
      </c>
      <c r="AN192" s="60">
        <v>490</v>
      </c>
      <c r="AO192" s="60">
        <v>24568</v>
      </c>
      <c r="AP192" s="60">
        <v>343</v>
      </c>
      <c r="AQ192" s="60">
        <v>680</v>
      </c>
      <c r="AR192" s="60">
        <v>4</v>
      </c>
      <c r="AS192" s="60">
        <v>106</v>
      </c>
      <c r="AT192" s="60"/>
      <c r="AU192" s="60">
        <v>24</v>
      </c>
      <c r="AV192" s="60">
        <v>2</v>
      </c>
      <c r="AW192" s="60">
        <v>19</v>
      </c>
      <c r="AX192" s="60"/>
      <c r="AY192" s="60">
        <v>954</v>
      </c>
      <c r="AZ192" s="60"/>
      <c r="BA192" s="60">
        <v>48390</v>
      </c>
      <c r="BB192" s="60">
        <v>368</v>
      </c>
      <c r="BC192" s="60"/>
      <c r="BD192" s="60">
        <v>1</v>
      </c>
      <c r="BE192" s="60">
        <v>7386</v>
      </c>
      <c r="BF192" s="60">
        <v>8955</v>
      </c>
      <c r="BG192" s="60">
        <v>5009</v>
      </c>
      <c r="BH192" s="60">
        <v>23873</v>
      </c>
      <c r="BI192" s="60">
        <v>5668</v>
      </c>
      <c r="BJ192" s="60">
        <v>1700</v>
      </c>
      <c r="BK192" s="60">
        <v>194</v>
      </c>
      <c r="BL192" s="60">
        <v>1135</v>
      </c>
      <c r="BM192" s="60">
        <v>22</v>
      </c>
      <c r="BN192" s="60">
        <v>2960</v>
      </c>
      <c r="BO192" s="60">
        <v>651</v>
      </c>
      <c r="BP192" s="60">
        <v>3120</v>
      </c>
      <c r="BQ192" s="60">
        <v>1133</v>
      </c>
      <c r="BR192" s="60">
        <v>10406</v>
      </c>
      <c r="BS192" s="60">
        <v>2538</v>
      </c>
      <c r="BT192" s="60">
        <v>79</v>
      </c>
      <c r="BU192" s="60">
        <v>2471</v>
      </c>
      <c r="BV192" s="60">
        <v>4170</v>
      </c>
      <c r="BW192" s="60">
        <v>207</v>
      </c>
      <c r="BX192" s="60">
        <v>1547</v>
      </c>
      <c r="BY192" s="60">
        <v>6280</v>
      </c>
      <c r="BZ192" s="60">
        <v>1937</v>
      </c>
      <c r="CA192" s="60">
        <v>10337</v>
      </c>
      <c r="CB192" s="60">
        <v>3</v>
      </c>
      <c r="CC192" s="60">
        <v>1</v>
      </c>
      <c r="CD192" s="60">
        <v>3444</v>
      </c>
      <c r="CE192" s="60">
        <v>140</v>
      </c>
      <c r="CF192" s="60">
        <v>555</v>
      </c>
      <c r="CG192" s="60">
        <v>31</v>
      </c>
      <c r="CH192" s="60">
        <v>594</v>
      </c>
      <c r="CI192" s="60">
        <v>15</v>
      </c>
      <c r="CJ192" s="60">
        <v>343</v>
      </c>
      <c r="CK192" s="60">
        <v>529</v>
      </c>
      <c r="CL192" s="60">
        <v>38970</v>
      </c>
      <c r="CM192" s="60">
        <v>4010</v>
      </c>
      <c r="CN192" s="60">
        <v>219</v>
      </c>
      <c r="CO192" s="60">
        <v>1572</v>
      </c>
      <c r="CP192" s="60">
        <v>150</v>
      </c>
      <c r="CQ192" s="60">
        <v>241</v>
      </c>
      <c r="CR192" s="60">
        <v>77</v>
      </c>
      <c r="CS192" s="60">
        <v>1</v>
      </c>
      <c r="CT192" s="60">
        <v>50891</v>
      </c>
      <c r="CU192" s="60">
        <v>203</v>
      </c>
      <c r="CV192" s="60">
        <v>46429</v>
      </c>
      <c r="CW192" s="60">
        <v>4259</v>
      </c>
      <c r="CX192" s="60">
        <v>4048</v>
      </c>
      <c r="CY192" s="60">
        <v>4964</v>
      </c>
      <c r="CZ192" s="60"/>
      <c r="DA192" s="60"/>
      <c r="DB192" s="60">
        <v>214</v>
      </c>
      <c r="DC192" s="60">
        <v>484</v>
      </c>
      <c r="DD192" s="60">
        <v>524</v>
      </c>
      <c r="DE192" s="60">
        <v>948</v>
      </c>
      <c r="DF192" s="60">
        <v>1508</v>
      </c>
      <c r="DG192" s="60">
        <v>1642</v>
      </c>
      <c r="DH192" s="60">
        <v>1611</v>
      </c>
      <c r="DI192" s="60">
        <v>1762</v>
      </c>
      <c r="DJ192" s="60">
        <v>146</v>
      </c>
      <c r="DK192" s="60">
        <v>173</v>
      </c>
      <c r="DL192" s="60"/>
      <c r="DM192" s="60">
        <v>184</v>
      </c>
      <c r="DN192" s="60">
        <v>478</v>
      </c>
      <c r="DO192" s="60">
        <v>2065</v>
      </c>
      <c r="DP192" s="60">
        <v>151</v>
      </c>
      <c r="DQ192" s="60">
        <v>39</v>
      </c>
      <c r="DR192" s="60">
        <v>6063</v>
      </c>
      <c r="DS192" s="60">
        <v>32</v>
      </c>
      <c r="DT192" s="60">
        <v>102</v>
      </c>
      <c r="DU192" s="60">
        <v>180</v>
      </c>
      <c r="DV192" s="60">
        <v>336</v>
      </c>
      <c r="DW192" s="60">
        <v>412</v>
      </c>
      <c r="DX192" s="60">
        <v>172</v>
      </c>
      <c r="DY192" s="60">
        <v>142</v>
      </c>
      <c r="DZ192" s="60">
        <v>42</v>
      </c>
      <c r="EA192" s="60">
        <v>5814</v>
      </c>
      <c r="EB192" s="60">
        <v>1805</v>
      </c>
      <c r="EC192" s="60">
        <v>7</v>
      </c>
      <c r="ED192" s="60">
        <v>0</v>
      </c>
      <c r="EE192" s="60">
        <v>0</v>
      </c>
      <c r="EF192" s="60">
        <v>0</v>
      </c>
      <c r="EG192" s="60">
        <v>0</v>
      </c>
      <c r="EH192" s="60">
        <v>0</v>
      </c>
      <c r="EI192" s="60">
        <v>1615</v>
      </c>
      <c r="EJ192" s="60">
        <v>4603</v>
      </c>
      <c r="EK192" s="60">
        <v>284</v>
      </c>
      <c r="EL192" s="60">
        <v>1756</v>
      </c>
      <c r="EM192" s="60">
        <v>754</v>
      </c>
      <c r="EN192" s="60">
        <v>65</v>
      </c>
      <c r="EO192" s="60">
        <v>166</v>
      </c>
      <c r="EP192" s="60">
        <v>1886</v>
      </c>
      <c r="EQ192" s="60">
        <v>4</v>
      </c>
      <c r="ER192" s="60">
        <v>1352</v>
      </c>
      <c r="ES192" s="60">
        <v>334</v>
      </c>
      <c r="ET192" s="60">
        <v>446</v>
      </c>
      <c r="EU192" s="60">
        <v>428</v>
      </c>
      <c r="EV192" s="60">
        <v>1473</v>
      </c>
      <c r="EW192" s="60">
        <v>133</v>
      </c>
      <c r="EX192" s="60">
        <v>215</v>
      </c>
      <c r="EY192" s="60">
        <v>199</v>
      </c>
      <c r="EZ192" s="60">
        <v>16</v>
      </c>
      <c r="FA192" s="60">
        <v>87</v>
      </c>
      <c r="FB192" s="60">
        <v>1009</v>
      </c>
      <c r="FC192" s="60">
        <v>201</v>
      </c>
      <c r="FD192" s="60">
        <v>955</v>
      </c>
      <c r="FE192" s="60"/>
      <c r="FF192" s="60">
        <v>43</v>
      </c>
      <c r="FG192" s="60"/>
      <c r="FH192" s="60">
        <v>577</v>
      </c>
      <c r="FI192" s="60">
        <v>80</v>
      </c>
      <c r="FJ192" s="60">
        <v>594</v>
      </c>
      <c r="FK192" s="60">
        <v>79</v>
      </c>
      <c r="FL192" s="60">
        <v>35</v>
      </c>
      <c r="FM192" s="60">
        <v>457</v>
      </c>
      <c r="FN192" s="60">
        <v>29</v>
      </c>
      <c r="FO192" s="60">
        <v>6501</v>
      </c>
      <c r="FP192" s="60">
        <v>119</v>
      </c>
      <c r="FQ192" s="60">
        <v>30</v>
      </c>
      <c r="FR192" s="60">
        <v>404</v>
      </c>
      <c r="FS192" s="60">
        <v>63</v>
      </c>
      <c r="FT192" s="60">
        <v>24</v>
      </c>
      <c r="FU192" s="60">
        <v>19</v>
      </c>
      <c r="FV192" s="60">
        <v>1</v>
      </c>
      <c r="FW192" s="60"/>
      <c r="FX192" s="60">
        <v>9012</v>
      </c>
      <c r="FY192" s="60">
        <v>49</v>
      </c>
      <c r="FZ192" s="60">
        <v>8395</v>
      </c>
      <c r="GA192" s="60">
        <v>568</v>
      </c>
      <c r="GB192" s="60">
        <v>2011</v>
      </c>
    </row>
    <row r="193" spans="1:184" x14ac:dyDescent="0.3">
      <c r="A193" s="60">
        <v>106331168</v>
      </c>
      <c r="B193" s="61" t="s">
        <v>767</v>
      </c>
      <c r="C193" s="61" t="s">
        <v>768</v>
      </c>
      <c r="D193" s="61" t="s">
        <v>1945</v>
      </c>
      <c r="E193" s="61" t="s">
        <v>769</v>
      </c>
      <c r="F193" s="60">
        <v>92270</v>
      </c>
      <c r="G193" s="61"/>
      <c r="H193" s="61" t="s">
        <v>1669</v>
      </c>
      <c r="I193" s="60">
        <v>64</v>
      </c>
      <c r="J193" s="60">
        <v>37</v>
      </c>
      <c r="K193" s="61" t="s">
        <v>1946</v>
      </c>
      <c r="L193" s="61"/>
      <c r="M193" s="61" t="s">
        <v>1755</v>
      </c>
      <c r="N193" s="61" t="s">
        <v>1943</v>
      </c>
      <c r="O193" s="61" t="s">
        <v>1673</v>
      </c>
      <c r="P193" s="61" t="s">
        <v>1678</v>
      </c>
      <c r="Q193" s="61" t="s">
        <v>1674</v>
      </c>
      <c r="R193" s="60">
        <v>542</v>
      </c>
      <c r="S193" s="61" t="s">
        <v>1675</v>
      </c>
      <c r="T193" s="60">
        <v>27445</v>
      </c>
      <c r="U193" s="60">
        <v>22180</v>
      </c>
      <c r="V193" s="60"/>
      <c r="W193" s="60"/>
      <c r="X193" s="60">
        <v>6228</v>
      </c>
      <c r="Y193" s="60">
        <v>4156</v>
      </c>
      <c r="Z193" s="60">
        <v>5622</v>
      </c>
      <c r="AA193" s="60">
        <v>4750</v>
      </c>
      <c r="AB193" s="60">
        <v>4804</v>
      </c>
      <c r="AC193" s="60">
        <v>5031</v>
      </c>
      <c r="AD193" s="60">
        <v>5297</v>
      </c>
      <c r="AE193" s="60">
        <v>5817</v>
      </c>
      <c r="AF193" s="60">
        <v>6499</v>
      </c>
      <c r="AG193" s="60">
        <v>1421</v>
      </c>
      <c r="AH193" s="60"/>
      <c r="AI193" s="60">
        <v>413</v>
      </c>
      <c r="AJ193" s="60">
        <v>1215</v>
      </c>
      <c r="AK193" s="60">
        <v>15956</v>
      </c>
      <c r="AL193" s="60">
        <v>124</v>
      </c>
      <c r="AM193" s="60">
        <v>1236</v>
      </c>
      <c r="AN193" s="60">
        <v>254</v>
      </c>
      <c r="AO193" s="60">
        <v>30427</v>
      </c>
      <c r="AP193" s="60">
        <v>248</v>
      </c>
      <c r="AQ193" s="60">
        <v>287</v>
      </c>
      <c r="AR193" s="60">
        <v>56</v>
      </c>
      <c r="AS193" s="60">
        <v>88</v>
      </c>
      <c r="AT193" s="60">
        <v>10</v>
      </c>
      <c r="AU193" s="60">
        <v>15</v>
      </c>
      <c r="AV193" s="60"/>
      <c r="AW193" s="60"/>
      <c r="AX193" s="60"/>
      <c r="AY193" s="60">
        <v>191</v>
      </c>
      <c r="AZ193" s="60">
        <v>84</v>
      </c>
      <c r="BA193" s="60">
        <v>48459</v>
      </c>
      <c r="BB193" s="60">
        <v>187</v>
      </c>
      <c r="BC193" s="60"/>
      <c r="BD193" s="60"/>
      <c r="BE193" s="60">
        <v>12423</v>
      </c>
      <c r="BF193" s="60">
        <v>15187</v>
      </c>
      <c r="BG193" s="60">
        <v>1649</v>
      </c>
      <c r="BH193" s="60">
        <v>13699</v>
      </c>
      <c r="BI193" s="60">
        <v>6667</v>
      </c>
      <c r="BJ193" s="60">
        <v>707</v>
      </c>
      <c r="BK193" s="60">
        <v>170</v>
      </c>
      <c r="BL193" s="60">
        <v>1780</v>
      </c>
      <c r="BM193" s="60">
        <v>5</v>
      </c>
      <c r="BN193" s="60">
        <v>2569</v>
      </c>
      <c r="BO193" s="60">
        <v>551</v>
      </c>
      <c r="BP193" s="60">
        <v>2846</v>
      </c>
      <c r="BQ193" s="60">
        <v>688</v>
      </c>
      <c r="BR193" s="60">
        <v>10572</v>
      </c>
      <c r="BS193" s="60">
        <v>3077</v>
      </c>
      <c r="BT193" s="60">
        <v>89</v>
      </c>
      <c r="BU193" s="60">
        <v>2989</v>
      </c>
      <c r="BV193" s="60">
        <v>1005</v>
      </c>
      <c r="BW193" s="60">
        <v>25</v>
      </c>
      <c r="BX193" s="60">
        <v>1139</v>
      </c>
      <c r="BY193" s="60">
        <v>5301</v>
      </c>
      <c r="BZ193" s="60">
        <v>1661</v>
      </c>
      <c r="CA193" s="60">
        <v>14451</v>
      </c>
      <c r="CB193" s="60"/>
      <c r="CC193" s="60"/>
      <c r="CD193" s="60">
        <v>4277</v>
      </c>
      <c r="CE193" s="60">
        <v>98</v>
      </c>
      <c r="CF193" s="60">
        <v>519</v>
      </c>
      <c r="CG193" s="60">
        <v>19</v>
      </c>
      <c r="CH193" s="60">
        <v>269</v>
      </c>
      <c r="CI193" s="60">
        <v>3</v>
      </c>
      <c r="CJ193" s="60">
        <v>158</v>
      </c>
      <c r="CK193" s="60">
        <v>663</v>
      </c>
      <c r="CL193" s="60">
        <v>37959</v>
      </c>
      <c r="CM193" s="60">
        <v>4202</v>
      </c>
      <c r="CN193" s="60">
        <v>190</v>
      </c>
      <c r="CO193" s="60">
        <v>894</v>
      </c>
      <c r="CP193" s="60">
        <v>58</v>
      </c>
      <c r="CQ193" s="60">
        <v>290</v>
      </c>
      <c r="CR193" s="60">
        <v>26</v>
      </c>
      <c r="CS193" s="60"/>
      <c r="CT193" s="60">
        <v>49625</v>
      </c>
      <c r="CU193" s="60">
        <v>63</v>
      </c>
      <c r="CV193" s="60">
        <v>45065</v>
      </c>
      <c r="CW193" s="60">
        <v>4497</v>
      </c>
      <c r="CX193" s="60">
        <v>6249</v>
      </c>
      <c r="CY193" s="60">
        <v>6591</v>
      </c>
      <c r="CZ193" s="60"/>
      <c r="DA193" s="60"/>
      <c r="DB193" s="60">
        <v>148</v>
      </c>
      <c r="DC193" s="60">
        <v>390</v>
      </c>
      <c r="DD193" s="60">
        <v>477</v>
      </c>
      <c r="DE193" s="60">
        <v>800</v>
      </c>
      <c r="DF193" s="60">
        <v>1365</v>
      </c>
      <c r="DG193" s="60">
        <v>2119</v>
      </c>
      <c r="DH193" s="60">
        <v>3082</v>
      </c>
      <c r="DI193" s="60">
        <v>4312</v>
      </c>
      <c r="DJ193" s="60">
        <v>30</v>
      </c>
      <c r="DK193" s="60">
        <v>117</v>
      </c>
      <c r="DL193" s="60"/>
      <c r="DM193" s="60">
        <v>117</v>
      </c>
      <c r="DN193" s="60">
        <v>201</v>
      </c>
      <c r="DO193" s="60">
        <v>1994</v>
      </c>
      <c r="DP193" s="60">
        <v>177</v>
      </c>
      <c r="DQ193" s="60">
        <v>21</v>
      </c>
      <c r="DR193" s="60">
        <v>10307</v>
      </c>
      <c r="DS193" s="60">
        <v>23</v>
      </c>
      <c r="DT193" s="60">
        <v>190</v>
      </c>
      <c r="DU193" s="60">
        <v>110</v>
      </c>
      <c r="DV193" s="60">
        <v>358</v>
      </c>
      <c r="DW193" s="60">
        <v>1001</v>
      </c>
      <c r="DX193" s="60">
        <v>227</v>
      </c>
      <c r="DY193" s="60"/>
      <c r="DZ193" s="60">
        <v>77</v>
      </c>
      <c r="EA193" s="60">
        <v>8485</v>
      </c>
      <c r="EB193" s="60">
        <v>2388</v>
      </c>
      <c r="EC193" s="60">
        <v>4</v>
      </c>
      <c r="ED193" s="60">
        <v>0</v>
      </c>
      <c r="EE193" s="60">
        <v>0</v>
      </c>
      <c r="EF193" s="60">
        <v>0</v>
      </c>
      <c r="EG193" s="60">
        <v>0</v>
      </c>
      <c r="EH193" s="60">
        <v>0</v>
      </c>
      <c r="EI193" s="60">
        <v>1144</v>
      </c>
      <c r="EJ193" s="60">
        <v>8311</v>
      </c>
      <c r="EK193" s="60">
        <v>129</v>
      </c>
      <c r="EL193" s="60">
        <v>2684</v>
      </c>
      <c r="EM193" s="60">
        <v>572</v>
      </c>
      <c r="EN193" s="60">
        <v>35</v>
      </c>
      <c r="EO193" s="60">
        <v>160</v>
      </c>
      <c r="EP193" s="60">
        <v>3043</v>
      </c>
      <c r="EQ193" s="60">
        <v>6</v>
      </c>
      <c r="ER193" s="60">
        <v>2217</v>
      </c>
      <c r="ES193" s="60">
        <v>540</v>
      </c>
      <c r="ET193" s="60">
        <v>692</v>
      </c>
      <c r="EU193" s="60">
        <v>827</v>
      </c>
      <c r="EV193" s="60">
        <v>1280</v>
      </c>
      <c r="EW193" s="60">
        <v>298</v>
      </c>
      <c r="EX193" s="60">
        <v>430</v>
      </c>
      <c r="EY193" s="60">
        <v>361</v>
      </c>
      <c r="EZ193" s="60">
        <v>6</v>
      </c>
      <c r="FA193" s="60">
        <v>177</v>
      </c>
      <c r="FB193" s="60">
        <v>1297</v>
      </c>
      <c r="FC193" s="60">
        <v>301</v>
      </c>
      <c r="FD193" s="60">
        <v>1168</v>
      </c>
      <c r="FE193" s="60"/>
      <c r="FF193" s="60">
        <v>2</v>
      </c>
      <c r="FG193" s="60"/>
      <c r="FH193" s="60">
        <v>844</v>
      </c>
      <c r="FI193" s="60">
        <v>57</v>
      </c>
      <c r="FJ193" s="60">
        <v>1216</v>
      </c>
      <c r="FK193" s="60">
        <v>7</v>
      </c>
      <c r="FL193" s="60">
        <v>27</v>
      </c>
      <c r="FM193" s="60">
        <v>364</v>
      </c>
      <c r="FN193" s="60">
        <v>27</v>
      </c>
      <c r="FO193" s="60">
        <v>10043</v>
      </c>
      <c r="FP193" s="60">
        <v>119</v>
      </c>
      <c r="FQ193" s="60">
        <v>9</v>
      </c>
      <c r="FR193" s="60">
        <v>26</v>
      </c>
      <c r="FS193" s="60">
        <v>44</v>
      </c>
      <c r="FT193" s="60">
        <v>33</v>
      </c>
      <c r="FU193" s="60">
        <v>24</v>
      </c>
      <c r="FV193" s="60"/>
      <c r="FW193" s="60"/>
      <c r="FX193" s="60">
        <v>12840</v>
      </c>
      <c r="FY193" s="60">
        <v>41</v>
      </c>
      <c r="FZ193" s="60">
        <v>11933</v>
      </c>
      <c r="GA193" s="60">
        <v>866</v>
      </c>
      <c r="GB193" s="60">
        <v>2011</v>
      </c>
    </row>
    <row r="194" spans="1:184" s="55" customFormat="1" x14ac:dyDescent="0.3">
      <c r="A194" s="60">
        <v>106331194</v>
      </c>
      <c r="B194" s="61" t="s">
        <v>770</v>
      </c>
      <c r="C194" s="61" t="s">
        <v>771</v>
      </c>
      <c r="D194" s="61" t="s">
        <v>772</v>
      </c>
      <c r="E194" s="61" t="s">
        <v>773</v>
      </c>
      <c r="F194" s="60">
        <v>92543</v>
      </c>
      <c r="G194" s="61"/>
      <c r="H194" s="61" t="s">
        <v>1669</v>
      </c>
      <c r="I194" s="60">
        <v>65</v>
      </c>
      <c r="J194" s="60">
        <v>37</v>
      </c>
      <c r="K194" s="61" t="s">
        <v>1947</v>
      </c>
      <c r="L194" s="61"/>
      <c r="M194" s="61" t="s">
        <v>1755</v>
      </c>
      <c r="N194" s="61" t="s">
        <v>1943</v>
      </c>
      <c r="O194" s="61" t="s">
        <v>1673</v>
      </c>
      <c r="P194" s="61" t="s">
        <v>321</v>
      </c>
      <c r="Q194" s="61" t="s">
        <v>1674</v>
      </c>
      <c r="R194" s="60">
        <v>304</v>
      </c>
      <c r="S194" s="61" t="s">
        <v>1675</v>
      </c>
      <c r="T194" s="60">
        <v>21831</v>
      </c>
      <c r="U194" s="60">
        <v>16393</v>
      </c>
      <c r="V194" s="60"/>
      <c r="W194" s="60"/>
      <c r="X194" s="60">
        <v>5229</v>
      </c>
      <c r="Y194" s="60">
        <v>4366</v>
      </c>
      <c r="Z194" s="60">
        <v>5843</v>
      </c>
      <c r="AA194" s="60">
        <v>4481</v>
      </c>
      <c r="AB194" s="60">
        <v>4546</v>
      </c>
      <c r="AC194" s="60">
        <v>3948</v>
      </c>
      <c r="AD194" s="60">
        <v>2843</v>
      </c>
      <c r="AE194" s="60">
        <v>2478</v>
      </c>
      <c r="AF194" s="60">
        <v>3240</v>
      </c>
      <c r="AG194" s="60">
        <v>1250</v>
      </c>
      <c r="AH194" s="60"/>
      <c r="AI194" s="60">
        <v>272</v>
      </c>
      <c r="AJ194" s="60">
        <v>4017</v>
      </c>
      <c r="AK194" s="60">
        <v>10482</v>
      </c>
      <c r="AL194" s="60">
        <v>129</v>
      </c>
      <c r="AM194" s="60">
        <v>213</v>
      </c>
      <c r="AN194" s="60">
        <v>62</v>
      </c>
      <c r="AO194" s="60">
        <v>23049</v>
      </c>
      <c r="AP194" s="60">
        <v>729</v>
      </c>
      <c r="AQ194" s="60">
        <v>455</v>
      </c>
      <c r="AR194" s="60">
        <v>15</v>
      </c>
      <c r="AS194" s="60">
        <v>141</v>
      </c>
      <c r="AT194" s="60">
        <v>44</v>
      </c>
      <c r="AU194" s="60">
        <v>33</v>
      </c>
      <c r="AV194" s="60"/>
      <c r="AW194" s="60">
        <v>146</v>
      </c>
      <c r="AX194" s="60"/>
      <c r="AY194" s="60">
        <v>497</v>
      </c>
      <c r="AZ194" s="60"/>
      <c r="BA194" s="60">
        <v>35853</v>
      </c>
      <c r="BB194" s="60">
        <v>311</v>
      </c>
      <c r="BC194" s="60"/>
      <c r="BD194" s="60"/>
      <c r="BE194" s="60">
        <v>15624</v>
      </c>
      <c r="BF194" s="60">
        <v>9208</v>
      </c>
      <c r="BG194" s="60">
        <v>1303</v>
      </c>
      <c r="BH194" s="60">
        <v>5111</v>
      </c>
      <c r="BI194" s="60">
        <v>6978</v>
      </c>
      <c r="BJ194" s="60">
        <v>1028</v>
      </c>
      <c r="BK194" s="60">
        <v>113</v>
      </c>
      <c r="BL194" s="60">
        <v>1469</v>
      </c>
      <c r="BM194" s="60">
        <v>5</v>
      </c>
      <c r="BN194" s="60">
        <v>2666</v>
      </c>
      <c r="BO194" s="60">
        <v>767</v>
      </c>
      <c r="BP194" s="60">
        <v>2227</v>
      </c>
      <c r="BQ194" s="60">
        <v>849</v>
      </c>
      <c r="BR194" s="60">
        <v>9216</v>
      </c>
      <c r="BS194" s="60">
        <v>1737</v>
      </c>
      <c r="BT194" s="60">
        <v>68</v>
      </c>
      <c r="BU194" s="60">
        <v>3184</v>
      </c>
      <c r="BV194" s="60">
        <v>1162</v>
      </c>
      <c r="BW194" s="60">
        <v>70</v>
      </c>
      <c r="BX194" s="60">
        <v>1541</v>
      </c>
      <c r="BY194" s="60">
        <v>4714</v>
      </c>
      <c r="BZ194" s="60">
        <v>1661</v>
      </c>
      <c r="CA194" s="60">
        <v>5746</v>
      </c>
      <c r="CB194" s="60">
        <v>1</v>
      </c>
      <c r="CC194" s="60"/>
      <c r="CD194" s="60">
        <v>2847</v>
      </c>
      <c r="CE194" s="60">
        <v>250</v>
      </c>
      <c r="CF194" s="60">
        <v>449</v>
      </c>
      <c r="CG194" s="60">
        <v>22</v>
      </c>
      <c r="CH194" s="60">
        <v>520</v>
      </c>
      <c r="CI194" s="60">
        <v>13</v>
      </c>
      <c r="CJ194" s="60">
        <v>216</v>
      </c>
      <c r="CK194" s="60">
        <v>507</v>
      </c>
      <c r="CL194" s="60">
        <v>28021</v>
      </c>
      <c r="CM194" s="60">
        <v>4033</v>
      </c>
      <c r="CN194" s="60">
        <v>226</v>
      </c>
      <c r="CO194" s="60">
        <v>750</v>
      </c>
      <c r="CP194" s="60">
        <v>149</v>
      </c>
      <c r="CQ194" s="60">
        <v>190</v>
      </c>
      <c r="CR194" s="60">
        <v>31</v>
      </c>
      <c r="CS194" s="60"/>
      <c r="CT194" s="60">
        <v>38224</v>
      </c>
      <c r="CU194" s="60">
        <v>15</v>
      </c>
      <c r="CV194" s="60">
        <v>36749</v>
      </c>
      <c r="CW194" s="60">
        <v>1460</v>
      </c>
      <c r="CX194" s="60">
        <v>4372</v>
      </c>
      <c r="CY194" s="60">
        <v>3420</v>
      </c>
      <c r="CZ194" s="60"/>
      <c r="DA194" s="60"/>
      <c r="DB194" s="60">
        <v>102</v>
      </c>
      <c r="DC194" s="60">
        <v>236</v>
      </c>
      <c r="DD194" s="60">
        <v>325</v>
      </c>
      <c r="DE194" s="60">
        <v>664</v>
      </c>
      <c r="DF194" s="60">
        <v>1052</v>
      </c>
      <c r="DG194" s="60">
        <v>1318</v>
      </c>
      <c r="DH194" s="60">
        <v>1596</v>
      </c>
      <c r="DI194" s="60">
        <v>2421</v>
      </c>
      <c r="DJ194" s="60">
        <v>35</v>
      </c>
      <c r="DK194" s="60">
        <v>43</v>
      </c>
      <c r="DL194" s="60"/>
      <c r="DM194" s="60">
        <v>81</v>
      </c>
      <c r="DN194" s="60">
        <v>436</v>
      </c>
      <c r="DO194" s="60">
        <v>1303</v>
      </c>
      <c r="DP194" s="60">
        <v>27</v>
      </c>
      <c r="DQ194" s="60">
        <v>11</v>
      </c>
      <c r="DR194" s="60">
        <v>5911</v>
      </c>
      <c r="DS194" s="60">
        <v>23</v>
      </c>
      <c r="DT194" s="60">
        <v>465</v>
      </c>
      <c r="DU194" s="60">
        <v>242</v>
      </c>
      <c r="DV194" s="60">
        <v>323</v>
      </c>
      <c r="DW194" s="60">
        <v>960</v>
      </c>
      <c r="DX194" s="60">
        <v>50</v>
      </c>
      <c r="DY194" s="60">
        <v>4</v>
      </c>
      <c r="DZ194" s="60">
        <v>75</v>
      </c>
      <c r="EA194" s="60">
        <v>4022</v>
      </c>
      <c r="EB194" s="60">
        <v>1651</v>
      </c>
      <c r="EC194" s="60"/>
      <c r="ED194" s="60">
        <v>0</v>
      </c>
      <c r="EE194" s="60">
        <v>0</v>
      </c>
      <c r="EF194" s="60">
        <v>0</v>
      </c>
      <c r="EG194" s="60">
        <v>0</v>
      </c>
      <c r="EH194" s="60">
        <v>0</v>
      </c>
      <c r="EI194" s="60">
        <v>1089</v>
      </c>
      <c r="EJ194" s="60">
        <v>5556</v>
      </c>
      <c r="EK194" s="60">
        <v>101</v>
      </c>
      <c r="EL194" s="60">
        <v>570</v>
      </c>
      <c r="EM194" s="60">
        <v>476</v>
      </c>
      <c r="EN194" s="60">
        <v>95</v>
      </c>
      <c r="EO194" s="60">
        <v>143</v>
      </c>
      <c r="EP194" s="60">
        <v>1871</v>
      </c>
      <c r="EQ194" s="60"/>
      <c r="ER194" s="60">
        <v>1127</v>
      </c>
      <c r="ES194" s="60">
        <v>369</v>
      </c>
      <c r="ET194" s="60">
        <v>438</v>
      </c>
      <c r="EU194" s="60">
        <v>640</v>
      </c>
      <c r="EV194" s="60">
        <v>793</v>
      </c>
      <c r="EW194" s="60">
        <v>99</v>
      </c>
      <c r="EX194" s="60">
        <v>181</v>
      </c>
      <c r="EY194" s="60">
        <v>157</v>
      </c>
      <c r="EZ194" s="60">
        <v>7</v>
      </c>
      <c r="FA194" s="60">
        <v>95</v>
      </c>
      <c r="FB194" s="60">
        <v>1163</v>
      </c>
      <c r="FC194" s="60">
        <v>161</v>
      </c>
      <c r="FD194" s="60">
        <v>445</v>
      </c>
      <c r="FE194" s="60">
        <v>2</v>
      </c>
      <c r="FF194" s="60">
        <v>6</v>
      </c>
      <c r="FG194" s="60"/>
      <c r="FH194" s="60">
        <v>556</v>
      </c>
      <c r="FI194" s="60">
        <v>75</v>
      </c>
      <c r="FJ194" s="60">
        <v>430</v>
      </c>
      <c r="FK194" s="60">
        <v>14</v>
      </c>
      <c r="FL194" s="60">
        <v>17</v>
      </c>
      <c r="FM194" s="60">
        <v>240</v>
      </c>
      <c r="FN194" s="60">
        <v>21</v>
      </c>
      <c r="FO194" s="60">
        <v>6186</v>
      </c>
      <c r="FP194" s="60">
        <v>132</v>
      </c>
      <c r="FQ194" s="60">
        <v>8</v>
      </c>
      <c r="FR194" s="60">
        <v>24</v>
      </c>
      <c r="FS194" s="60">
        <v>53</v>
      </c>
      <c r="FT194" s="60">
        <v>15</v>
      </c>
      <c r="FU194" s="60">
        <v>18</v>
      </c>
      <c r="FV194" s="60">
        <v>3</v>
      </c>
      <c r="FW194" s="60"/>
      <c r="FX194" s="60">
        <v>7792</v>
      </c>
      <c r="FY194" s="60">
        <v>17</v>
      </c>
      <c r="FZ194" s="60">
        <v>7410</v>
      </c>
      <c r="GA194" s="60">
        <v>365</v>
      </c>
      <c r="GB194" s="60">
        <v>2011</v>
      </c>
    </row>
    <row r="195" spans="1:184" x14ac:dyDescent="0.3">
      <c r="A195" s="60">
        <v>106331216</v>
      </c>
      <c r="B195" s="61" t="s">
        <v>774</v>
      </c>
      <c r="C195" s="61" t="s">
        <v>775</v>
      </c>
      <c r="D195" s="61" t="s">
        <v>1948</v>
      </c>
      <c r="E195" s="61" t="s">
        <v>776</v>
      </c>
      <c r="F195" s="60">
        <v>92201</v>
      </c>
      <c r="G195" s="61"/>
      <c r="H195" s="61" t="s">
        <v>1669</v>
      </c>
      <c r="I195" s="60">
        <v>80</v>
      </c>
      <c r="J195" s="60">
        <v>40</v>
      </c>
      <c r="K195" s="61" t="s">
        <v>1949</v>
      </c>
      <c r="L195" s="61"/>
      <c r="M195" s="61" t="s">
        <v>1755</v>
      </c>
      <c r="N195" s="61" t="s">
        <v>1943</v>
      </c>
      <c r="O195" s="61" t="s">
        <v>1673</v>
      </c>
      <c r="P195" s="61" t="s">
        <v>221</v>
      </c>
      <c r="Q195" s="61" t="s">
        <v>1674</v>
      </c>
      <c r="R195" s="60">
        <v>156</v>
      </c>
      <c r="S195" s="61" t="s">
        <v>1675</v>
      </c>
      <c r="T195" s="60">
        <v>16721</v>
      </c>
      <c r="U195" s="60">
        <v>15792</v>
      </c>
      <c r="V195" s="60"/>
      <c r="W195" s="60"/>
      <c r="X195" s="60">
        <v>6882</v>
      </c>
      <c r="Y195" s="60">
        <v>4155</v>
      </c>
      <c r="Z195" s="60">
        <v>5095</v>
      </c>
      <c r="AA195" s="60">
        <v>3902</v>
      </c>
      <c r="AB195" s="60">
        <v>3490</v>
      </c>
      <c r="AC195" s="60">
        <v>2940</v>
      </c>
      <c r="AD195" s="60">
        <v>1986</v>
      </c>
      <c r="AE195" s="60">
        <v>1299</v>
      </c>
      <c r="AF195" s="60">
        <v>960</v>
      </c>
      <c r="AG195" s="60">
        <v>1804</v>
      </c>
      <c r="AH195" s="60"/>
      <c r="AI195" s="60">
        <v>176</v>
      </c>
      <c r="AJ195" s="60">
        <v>929</v>
      </c>
      <c r="AK195" s="60">
        <v>22936</v>
      </c>
      <c r="AL195" s="60">
        <v>34</v>
      </c>
      <c r="AM195" s="60">
        <v>44</v>
      </c>
      <c r="AN195" s="60">
        <v>150</v>
      </c>
      <c r="AO195" s="60">
        <v>8244</v>
      </c>
      <c r="AP195" s="60">
        <v>405</v>
      </c>
      <c r="AQ195" s="60">
        <v>3377</v>
      </c>
      <c r="AR195" s="60">
        <v>3</v>
      </c>
      <c r="AS195" s="60">
        <v>71</v>
      </c>
      <c r="AT195" s="60"/>
      <c r="AU195" s="60">
        <v>6</v>
      </c>
      <c r="AV195" s="60"/>
      <c r="AW195" s="60">
        <v>3</v>
      </c>
      <c r="AX195" s="60"/>
      <c r="AY195" s="60">
        <v>598</v>
      </c>
      <c r="AZ195" s="60"/>
      <c r="BA195" s="60">
        <v>27862</v>
      </c>
      <c r="BB195" s="60">
        <v>187</v>
      </c>
      <c r="BC195" s="60"/>
      <c r="BD195" s="60">
        <v>1</v>
      </c>
      <c r="BE195" s="60">
        <v>3771</v>
      </c>
      <c r="BF195" s="60">
        <v>3971</v>
      </c>
      <c r="BG195" s="60">
        <v>1018</v>
      </c>
      <c r="BH195" s="60">
        <v>15952</v>
      </c>
      <c r="BI195" s="60">
        <v>7801</v>
      </c>
      <c r="BJ195" s="60">
        <v>1099</v>
      </c>
      <c r="BK195" s="60">
        <v>53</v>
      </c>
      <c r="BL195" s="60">
        <v>780</v>
      </c>
      <c r="BM195" s="60">
        <v>3</v>
      </c>
      <c r="BN195" s="60">
        <v>1787</v>
      </c>
      <c r="BO195" s="60">
        <v>510</v>
      </c>
      <c r="BP195" s="60">
        <v>1511</v>
      </c>
      <c r="BQ195" s="60">
        <v>841</v>
      </c>
      <c r="BR195" s="60">
        <v>7321</v>
      </c>
      <c r="BS195" s="60">
        <v>1331</v>
      </c>
      <c r="BT195" s="60">
        <v>32</v>
      </c>
      <c r="BU195" s="60">
        <v>2127</v>
      </c>
      <c r="BV195" s="60">
        <v>1461</v>
      </c>
      <c r="BW195" s="60">
        <v>123</v>
      </c>
      <c r="BX195" s="60">
        <v>1498</v>
      </c>
      <c r="BY195" s="60">
        <v>4210</v>
      </c>
      <c r="BZ195" s="60">
        <v>1165</v>
      </c>
      <c r="CA195" s="60">
        <v>6661</v>
      </c>
      <c r="CB195" s="60"/>
      <c r="CC195" s="60"/>
      <c r="CD195" s="60">
        <v>2164</v>
      </c>
      <c r="CE195" s="60">
        <v>102</v>
      </c>
      <c r="CF195" s="60">
        <v>196</v>
      </c>
      <c r="CG195" s="60">
        <v>12</v>
      </c>
      <c r="CH195" s="60">
        <v>693</v>
      </c>
      <c r="CI195" s="60">
        <v>22</v>
      </c>
      <c r="CJ195" s="60">
        <v>154</v>
      </c>
      <c r="CK195" s="60">
        <v>656</v>
      </c>
      <c r="CL195" s="60">
        <v>24079</v>
      </c>
      <c r="CM195" s="60">
        <v>3007</v>
      </c>
      <c r="CN195" s="60">
        <v>149</v>
      </c>
      <c r="CO195" s="60">
        <v>721</v>
      </c>
      <c r="CP195" s="60">
        <v>185</v>
      </c>
      <c r="CQ195" s="60">
        <v>252</v>
      </c>
      <c r="CR195" s="60">
        <v>121</v>
      </c>
      <c r="CS195" s="60"/>
      <c r="CT195" s="60">
        <v>32513</v>
      </c>
      <c r="CU195" s="60">
        <v>51</v>
      </c>
      <c r="CV195" s="60">
        <v>25283</v>
      </c>
      <c r="CW195" s="60">
        <v>7179</v>
      </c>
      <c r="CX195" s="60">
        <v>2106</v>
      </c>
      <c r="CY195" s="60">
        <v>2097</v>
      </c>
      <c r="CZ195" s="60"/>
      <c r="DA195" s="60"/>
      <c r="DB195" s="60">
        <v>168</v>
      </c>
      <c r="DC195" s="60">
        <v>236</v>
      </c>
      <c r="DD195" s="60">
        <v>247</v>
      </c>
      <c r="DE195" s="60">
        <v>378</v>
      </c>
      <c r="DF195" s="60">
        <v>522</v>
      </c>
      <c r="DG195" s="60">
        <v>616</v>
      </c>
      <c r="DH195" s="60">
        <v>659</v>
      </c>
      <c r="DI195" s="60">
        <v>700</v>
      </c>
      <c r="DJ195" s="60">
        <v>331</v>
      </c>
      <c r="DK195" s="60">
        <v>346</v>
      </c>
      <c r="DL195" s="60"/>
      <c r="DM195" s="60">
        <v>20</v>
      </c>
      <c r="DN195" s="60">
        <v>106</v>
      </c>
      <c r="DO195" s="60">
        <v>2596</v>
      </c>
      <c r="DP195" s="60">
        <v>5</v>
      </c>
      <c r="DQ195" s="60">
        <v>11</v>
      </c>
      <c r="DR195" s="60">
        <v>1456</v>
      </c>
      <c r="DS195" s="60">
        <v>9</v>
      </c>
      <c r="DT195" s="60">
        <v>118</v>
      </c>
      <c r="DU195" s="60">
        <v>99</v>
      </c>
      <c r="DV195" s="60">
        <v>96</v>
      </c>
      <c r="DW195" s="60">
        <v>193</v>
      </c>
      <c r="DX195" s="60">
        <v>52</v>
      </c>
      <c r="DY195" s="60">
        <v>46</v>
      </c>
      <c r="DZ195" s="60">
        <v>2</v>
      </c>
      <c r="EA195" s="60">
        <v>2988</v>
      </c>
      <c r="EB195" s="60">
        <v>608</v>
      </c>
      <c r="EC195" s="60">
        <v>1</v>
      </c>
      <c r="ED195" s="60">
        <v>0</v>
      </c>
      <c r="EE195" s="60">
        <v>0</v>
      </c>
      <c r="EF195" s="60">
        <v>0</v>
      </c>
      <c r="EG195" s="60">
        <v>0</v>
      </c>
      <c r="EH195" s="60">
        <v>0</v>
      </c>
      <c r="EI195" s="60">
        <v>1310</v>
      </c>
      <c r="EJ195" s="60">
        <v>1555</v>
      </c>
      <c r="EK195" s="60">
        <v>38</v>
      </c>
      <c r="EL195" s="60">
        <v>976</v>
      </c>
      <c r="EM195" s="60">
        <v>324</v>
      </c>
      <c r="EN195" s="60">
        <v>127</v>
      </c>
      <c r="EO195" s="60">
        <v>73</v>
      </c>
      <c r="EP195" s="60">
        <v>622</v>
      </c>
      <c r="EQ195" s="60">
        <v>3</v>
      </c>
      <c r="ER195" s="60">
        <v>710</v>
      </c>
      <c r="ES195" s="60">
        <v>267</v>
      </c>
      <c r="ET195" s="60">
        <v>198</v>
      </c>
      <c r="EU195" s="60">
        <v>269</v>
      </c>
      <c r="EV195" s="60">
        <v>387</v>
      </c>
      <c r="EW195" s="60">
        <v>32</v>
      </c>
      <c r="EX195" s="60">
        <v>42</v>
      </c>
      <c r="EY195" s="60">
        <v>100</v>
      </c>
      <c r="EZ195" s="60">
        <v>3</v>
      </c>
      <c r="FA195" s="60">
        <v>37</v>
      </c>
      <c r="FB195" s="60">
        <v>859</v>
      </c>
      <c r="FC195" s="60">
        <v>133</v>
      </c>
      <c r="FD195" s="60">
        <v>293</v>
      </c>
      <c r="FE195" s="60">
        <v>3</v>
      </c>
      <c r="FF195" s="60">
        <v>45</v>
      </c>
      <c r="FG195" s="60"/>
      <c r="FH195" s="60">
        <v>218</v>
      </c>
      <c r="FI195" s="60">
        <v>35</v>
      </c>
      <c r="FJ195" s="60">
        <v>280</v>
      </c>
      <c r="FK195" s="60">
        <v>9</v>
      </c>
      <c r="FL195" s="60">
        <v>42</v>
      </c>
      <c r="FM195" s="60">
        <v>246</v>
      </c>
      <c r="FN195" s="60">
        <v>30</v>
      </c>
      <c r="FO195" s="60">
        <v>3213</v>
      </c>
      <c r="FP195" s="60">
        <v>57</v>
      </c>
      <c r="FQ195" s="60">
        <v>5</v>
      </c>
      <c r="FR195" s="60">
        <v>14</v>
      </c>
      <c r="FS195" s="60">
        <v>36</v>
      </c>
      <c r="FT195" s="60">
        <v>12</v>
      </c>
      <c r="FU195" s="60">
        <v>5</v>
      </c>
      <c r="FV195" s="60"/>
      <c r="FW195" s="60">
        <v>1</v>
      </c>
      <c r="FX195" s="60">
        <v>4203</v>
      </c>
      <c r="FY195" s="60">
        <v>7</v>
      </c>
      <c r="FZ195" s="60">
        <v>3034</v>
      </c>
      <c r="GA195" s="60">
        <v>1162</v>
      </c>
      <c r="GB195" s="60">
        <v>2011</v>
      </c>
    </row>
    <row r="196" spans="1:184" x14ac:dyDescent="0.3">
      <c r="A196" s="60">
        <v>106331288</v>
      </c>
      <c r="B196" s="61" t="s">
        <v>777</v>
      </c>
      <c r="C196" s="61" t="s">
        <v>778</v>
      </c>
      <c r="D196" s="61" t="s">
        <v>779</v>
      </c>
      <c r="E196" s="61" t="s">
        <v>780</v>
      </c>
      <c r="F196" s="60">
        <v>92225</v>
      </c>
      <c r="G196" s="61"/>
      <c r="H196" s="61" t="s">
        <v>1950</v>
      </c>
      <c r="I196" s="60">
        <v>80</v>
      </c>
      <c r="J196" s="60">
        <v>40</v>
      </c>
      <c r="K196" s="61" t="s">
        <v>1951</v>
      </c>
      <c r="L196" s="61"/>
      <c r="M196" s="61" t="s">
        <v>1755</v>
      </c>
      <c r="N196" s="61" t="s">
        <v>1943</v>
      </c>
      <c r="O196" s="61" t="s">
        <v>1673</v>
      </c>
      <c r="P196" s="61" t="s">
        <v>159</v>
      </c>
      <c r="Q196" s="61" t="s">
        <v>1674</v>
      </c>
      <c r="R196" s="60">
        <v>51</v>
      </c>
      <c r="S196" s="61" t="s">
        <v>1706</v>
      </c>
      <c r="T196" s="60">
        <v>4930</v>
      </c>
      <c r="U196" s="60">
        <v>4920</v>
      </c>
      <c r="V196" s="60">
        <v>1</v>
      </c>
      <c r="W196" s="60"/>
      <c r="X196" s="60">
        <v>1151</v>
      </c>
      <c r="Y196" s="60">
        <v>1041</v>
      </c>
      <c r="Z196" s="60">
        <v>1543</v>
      </c>
      <c r="AA196" s="60">
        <v>1308</v>
      </c>
      <c r="AB196" s="60">
        <v>1431</v>
      </c>
      <c r="AC196" s="60">
        <v>1313</v>
      </c>
      <c r="AD196" s="60">
        <v>885</v>
      </c>
      <c r="AE196" s="60">
        <v>597</v>
      </c>
      <c r="AF196" s="60">
        <v>302</v>
      </c>
      <c r="AG196" s="60">
        <v>280</v>
      </c>
      <c r="AH196" s="60"/>
      <c r="AI196" s="60">
        <v>33</v>
      </c>
      <c r="AJ196" s="60">
        <v>1143</v>
      </c>
      <c r="AK196" s="60">
        <v>3668</v>
      </c>
      <c r="AL196" s="60">
        <v>13</v>
      </c>
      <c r="AM196" s="60">
        <v>162</v>
      </c>
      <c r="AN196" s="60">
        <v>11</v>
      </c>
      <c r="AO196" s="60">
        <v>4821</v>
      </c>
      <c r="AP196" s="60">
        <v>421</v>
      </c>
      <c r="AQ196" s="60">
        <v>288</v>
      </c>
      <c r="AR196" s="60">
        <v>4</v>
      </c>
      <c r="AS196" s="60">
        <v>24</v>
      </c>
      <c r="AT196" s="60"/>
      <c r="AU196" s="60"/>
      <c r="AV196" s="60"/>
      <c r="AW196" s="60">
        <v>2</v>
      </c>
      <c r="AX196" s="60">
        <v>358</v>
      </c>
      <c r="AY196" s="60">
        <v>42</v>
      </c>
      <c r="AZ196" s="60"/>
      <c r="BA196" s="60">
        <v>8701</v>
      </c>
      <c r="BB196" s="60">
        <v>11</v>
      </c>
      <c r="BC196" s="60"/>
      <c r="BD196" s="60"/>
      <c r="BE196" s="60">
        <v>3076</v>
      </c>
      <c r="BF196" s="60">
        <v>1895</v>
      </c>
      <c r="BG196" s="60">
        <v>1148</v>
      </c>
      <c r="BH196" s="60">
        <v>2357</v>
      </c>
      <c r="BI196" s="60">
        <v>1375</v>
      </c>
      <c r="BJ196" s="60">
        <v>127</v>
      </c>
      <c r="BK196" s="60">
        <v>52</v>
      </c>
      <c r="BL196" s="60">
        <v>337</v>
      </c>
      <c r="BM196" s="60">
        <v>5</v>
      </c>
      <c r="BN196" s="60">
        <v>606</v>
      </c>
      <c r="BO196" s="60">
        <v>228</v>
      </c>
      <c r="BP196" s="60">
        <v>514</v>
      </c>
      <c r="BQ196" s="60">
        <v>173</v>
      </c>
      <c r="BR196" s="60">
        <v>2318</v>
      </c>
      <c r="BS196" s="60">
        <v>520</v>
      </c>
      <c r="BT196" s="60">
        <v>19</v>
      </c>
      <c r="BU196" s="60">
        <v>802</v>
      </c>
      <c r="BV196" s="60">
        <v>596</v>
      </c>
      <c r="BW196" s="60">
        <v>7</v>
      </c>
      <c r="BX196" s="60">
        <v>348</v>
      </c>
      <c r="BY196" s="60">
        <v>1014</v>
      </c>
      <c r="BZ196" s="60">
        <v>431</v>
      </c>
      <c r="CA196" s="60">
        <v>1754</v>
      </c>
      <c r="CB196" s="60"/>
      <c r="CC196" s="60"/>
      <c r="CD196" s="60">
        <v>657</v>
      </c>
      <c r="CE196" s="60">
        <v>56</v>
      </c>
      <c r="CF196" s="60">
        <v>109</v>
      </c>
      <c r="CG196" s="60">
        <v>11</v>
      </c>
      <c r="CH196" s="60">
        <v>163</v>
      </c>
      <c r="CI196" s="60">
        <v>60</v>
      </c>
      <c r="CJ196" s="60">
        <v>17</v>
      </c>
      <c r="CK196" s="60">
        <v>227</v>
      </c>
      <c r="CL196" s="60">
        <v>7167</v>
      </c>
      <c r="CM196" s="60">
        <v>995</v>
      </c>
      <c r="CN196" s="60">
        <v>71</v>
      </c>
      <c r="CO196" s="60">
        <v>218</v>
      </c>
      <c r="CP196" s="60">
        <v>40</v>
      </c>
      <c r="CQ196" s="60">
        <v>56</v>
      </c>
      <c r="CR196" s="60">
        <v>4</v>
      </c>
      <c r="CS196" s="60"/>
      <c r="CT196" s="60">
        <v>9851</v>
      </c>
      <c r="CU196" s="60">
        <v>9</v>
      </c>
      <c r="CV196" s="60">
        <v>9301</v>
      </c>
      <c r="CW196" s="60">
        <v>541</v>
      </c>
      <c r="CX196" s="60">
        <v>387</v>
      </c>
      <c r="CY196" s="60">
        <v>526</v>
      </c>
      <c r="CZ196" s="60"/>
      <c r="DA196" s="60"/>
      <c r="DB196" s="60">
        <v>16</v>
      </c>
      <c r="DC196" s="60">
        <v>66</v>
      </c>
      <c r="DD196" s="60">
        <v>84</v>
      </c>
      <c r="DE196" s="60">
        <v>108</v>
      </c>
      <c r="DF196" s="60">
        <v>174</v>
      </c>
      <c r="DG196" s="60">
        <v>161</v>
      </c>
      <c r="DH196" s="60">
        <v>160</v>
      </c>
      <c r="DI196" s="60">
        <v>122</v>
      </c>
      <c r="DJ196" s="60">
        <v>7</v>
      </c>
      <c r="DK196" s="60">
        <v>15</v>
      </c>
      <c r="DL196" s="60"/>
      <c r="DM196" s="60">
        <v>6</v>
      </c>
      <c r="DN196" s="60">
        <v>107</v>
      </c>
      <c r="DO196" s="60">
        <v>303</v>
      </c>
      <c r="DP196" s="60">
        <v>14</v>
      </c>
      <c r="DQ196" s="60"/>
      <c r="DR196" s="60">
        <v>481</v>
      </c>
      <c r="DS196" s="60">
        <v>2</v>
      </c>
      <c r="DT196" s="60">
        <v>78</v>
      </c>
      <c r="DU196" s="60">
        <v>32</v>
      </c>
      <c r="DV196" s="60">
        <v>22</v>
      </c>
      <c r="DW196" s="60">
        <v>5</v>
      </c>
      <c r="DX196" s="60">
        <v>5</v>
      </c>
      <c r="DY196" s="60">
        <v>2</v>
      </c>
      <c r="DZ196" s="60"/>
      <c r="EA196" s="60">
        <v>547</v>
      </c>
      <c r="EB196" s="60">
        <v>58</v>
      </c>
      <c r="EC196" s="60">
        <v>164</v>
      </c>
      <c r="ED196" s="60">
        <v>0</v>
      </c>
      <c r="EE196" s="60">
        <v>0</v>
      </c>
      <c r="EF196" s="60">
        <v>0</v>
      </c>
      <c r="EG196" s="60">
        <v>0</v>
      </c>
      <c r="EH196" s="60">
        <v>0</v>
      </c>
      <c r="EI196" s="60">
        <v>142</v>
      </c>
      <c r="EJ196" s="60">
        <v>362</v>
      </c>
      <c r="EK196" s="60">
        <v>47</v>
      </c>
      <c r="EL196" s="60">
        <v>308</v>
      </c>
      <c r="EM196" s="60">
        <v>54</v>
      </c>
      <c r="EN196" s="60">
        <v>14</v>
      </c>
      <c r="EO196" s="60">
        <v>14</v>
      </c>
      <c r="EP196" s="60">
        <v>131</v>
      </c>
      <c r="EQ196" s="60">
        <v>2</v>
      </c>
      <c r="ER196" s="60">
        <v>178</v>
      </c>
      <c r="ES196" s="60">
        <v>61</v>
      </c>
      <c r="ET196" s="60">
        <v>56</v>
      </c>
      <c r="EU196" s="60">
        <v>56</v>
      </c>
      <c r="EV196" s="60">
        <v>45</v>
      </c>
      <c r="EW196" s="60">
        <v>8</v>
      </c>
      <c r="EX196" s="60">
        <v>8</v>
      </c>
      <c r="EY196" s="60">
        <v>16</v>
      </c>
      <c r="EZ196" s="60"/>
      <c r="FA196" s="60">
        <v>9</v>
      </c>
      <c r="FB196" s="60">
        <v>180</v>
      </c>
      <c r="FC196" s="60">
        <v>54</v>
      </c>
      <c r="FD196" s="60">
        <v>81</v>
      </c>
      <c r="FE196" s="60"/>
      <c r="FF196" s="60"/>
      <c r="FG196" s="60"/>
      <c r="FH196" s="60">
        <v>16</v>
      </c>
      <c r="FI196" s="60">
        <v>7</v>
      </c>
      <c r="FJ196" s="60">
        <v>28</v>
      </c>
      <c r="FK196" s="60">
        <v>8</v>
      </c>
      <c r="FL196" s="60"/>
      <c r="FM196" s="60">
        <v>18</v>
      </c>
      <c r="FN196" s="60">
        <v>6</v>
      </c>
      <c r="FO196" s="60">
        <v>802</v>
      </c>
      <c r="FP196" s="60">
        <v>13</v>
      </c>
      <c r="FQ196" s="60">
        <v>1</v>
      </c>
      <c r="FR196" s="60">
        <v>3</v>
      </c>
      <c r="FS196" s="60">
        <v>5</v>
      </c>
      <c r="FT196" s="60">
        <v>2</v>
      </c>
      <c r="FU196" s="60">
        <v>4</v>
      </c>
      <c r="FV196" s="60"/>
      <c r="FW196" s="60"/>
      <c r="FX196" s="60">
        <v>913</v>
      </c>
      <c r="FY196" s="60"/>
      <c r="FZ196" s="60">
        <v>848</v>
      </c>
      <c r="GA196" s="60">
        <v>65</v>
      </c>
      <c r="GB196" s="60">
        <v>2011</v>
      </c>
    </row>
    <row r="197" spans="1:184" x14ac:dyDescent="0.3">
      <c r="A197" s="60">
        <v>106331293</v>
      </c>
      <c r="B197" s="61" t="s">
        <v>781</v>
      </c>
      <c r="C197" s="61" t="s">
        <v>782</v>
      </c>
      <c r="D197" s="61" t="s">
        <v>783</v>
      </c>
      <c r="E197" s="61" t="s">
        <v>760</v>
      </c>
      <c r="F197" s="60">
        <v>92503</v>
      </c>
      <c r="G197" s="61"/>
      <c r="H197" s="61" t="s">
        <v>1669</v>
      </c>
      <c r="I197" s="60">
        <v>64</v>
      </c>
      <c r="J197" s="60">
        <v>31</v>
      </c>
      <c r="K197" s="61" t="s">
        <v>1952</v>
      </c>
      <c r="L197" s="61"/>
      <c r="M197" s="61" t="s">
        <v>1755</v>
      </c>
      <c r="N197" s="61" t="s">
        <v>1943</v>
      </c>
      <c r="O197" s="61" t="s">
        <v>1673</v>
      </c>
      <c r="P197" s="61" t="s">
        <v>1678</v>
      </c>
      <c r="Q197" s="61" t="s">
        <v>1674</v>
      </c>
      <c r="R197" s="60">
        <v>193</v>
      </c>
      <c r="S197" s="61" t="s">
        <v>1675</v>
      </c>
      <c r="T197" s="60">
        <v>21371</v>
      </c>
      <c r="U197" s="60">
        <v>16412</v>
      </c>
      <c r="V197" s="60"/>
      <c r="W197" s="60">
        <v>2</v>
      </c>
      <c r="X197" s="60">
        <v>7924</v>
      </c>
      <c r="Y197" s="60">
        <v>5270</v>
      </c>
      <c r="Z197" s="60">
        <v>6554</v>
      </c>
      <c r="AA197" s="60">
        <v>5060</v>
      </c>
      <c r="AB197" s="60">
        <v>4198</v>
      </c>
      <c r="AC197" s="60">
        <v>3198</v>
      </c>
      <c r="AD197" s="60">
        <v>1652</v>
      </c>
      <c r="AE197" s="60">
        <v>1079</v>
      </c>
      <c r="AF197" s="60">
        <v>999</v>
      </c>
      <c r="AG197" s="60">
        <v>1851</v>
      </c>
      <c r="AH197" s="60"/>
      <c r="AI197" s="60">
        <v>611</v>
      </c>
      <c r="AJ197" s="60">
        <v>2941</v>
      </c>
      <c r="AK197" s="60">
        <v>20902</v>
      </c>
      <c r="AL197" s="60">
        <v>86</v>
      </c>
      <c r="AM197" s="60">
        <v>586</v>
      </c>
      <c r="AN197" s="60">
        <v>1</v>
      </c>
      <c r="AO197" s="60">
        <v>12658</v>
      </c>
      <c r="AP197" s="60">
        <v>582</v>
      </c>
      <c r="AQ197" s="60">
        <v>1201</v>
      </c>
      <c r="AR197" s="60">
        <v>18</v>
      </c>
      <c r="AS197" s="60">
        <v>64</v>
      </c>
      <c r="AT197" s="60">
        <v>41</v>
      </c>
      <c r="AU197" s="60">
        <v>2</v>
      </c>
      <c r="AV197" s="60">
        <v>2</v>
      </c>
      <c r="AW197" s="60">
        <v>4</v>
      </c>
      <c r="AX197" s="60">
        <v>2</v>
      </c>
      <c r="AY197" s="60">
        <v>52</v>
      </c>
      <c r="AZ197" s="60">
        <v>13</v>
      </c>
      <c r="BA197" s="60">
        <v>35672</v>
      </c>
      <c r="BB197" s="60">
        <v>122</v>
      </c>
      <c r="BC197" s="60">
        <v>10</v>
      </c>
      <c r="BD197" s="60"/>
      <c r="BE197" s="60">
        <v>19989</v>
      </c>
      <c r="BF197" s="60">
        <v>4517</v>
      </c>
      <c r="BG197" s="60">
        <v>796</v>
      </c>
      <c r="BH197" s="60">
        <v>3974</v>
      </c>
      <c r="BI197" s="60">
        <v>8509</v>
      </c>
      <c r="BJ197" s="60">
        <v>1395</v>
      </c>
      <c r="BK197" s="60">
        <v>147</v>
      </c>
      <c r="BL197" s="60">
        <v>692</v>
      </c>
      <c r="BM197" s="60">
        <v>14</v>
      </c>
      <c r="BN197" s="60">
        <v>2949</v>
      </c>
      <c r="BO197" s="60">
        <v>495</v>
      </c>
      <c r="BP197" s="60">
        <v>2319</v>
      </c>
      <c r="BQ197" s="60">
        <v>770</v>
      </c>
      <c r="BR197" s="60">
        <v>7976</v>
      </c>
      <c r="BS197" s="60">
        <v>1973</v>
      </c>
      <c r="BT197" s="60">
        <v>47</v>
      </c>
      <c r="BU197" s="60">
        <v>2565</v>
      </c>
      <c r="BV197" s="60">
        <v>1896</v>
      </c>
      <c r="BW197" s="60">
        <v>115</v>
      </c>
      <c r="BX197" s="60">
        <v>1403</v>
      </c>
      <c r="BY197" s="60">
        <v>6057</v>
      </c>
      <c r="BZ197" s="60">
        <v>1666</v>
      </c>
      <c r="CA197" s="60">
        <v>5306</v>
      </c>
      <c r="CB197" s="60"/>
      <c r="CC197" s="60"/>
      <c r="CD197" s="60">
        <v>2153</v>
      </c>
      <c r="CE197" s="60">
        <v>117</v>
      </c>
      <c r="CF197" s="60">
        <v>132</v>
      </c>
      <c r="CG197" s="60">
        <v>13</v>
      </c>
      <c r="CH197" s="60">
        <v>336</v>
      </c>
      <c r="CI197" s="60">
        <v>11</v>
      </c>
      <c r="CJ197" s="60">
        <v>176</v>
      </c>
      <c r="CK197" s="60">
        <v>506</v>
      </c>
      <c r="CL197" s="60">
        <v>29201</v>
      </c>
      <c r="CM197" s="60">
        <v>4122</v>
      </c>
      <c r="CN197" s="60">
        <v>137</v>
      </c>
      <c r="CO197" s="60">
        <v>563</v>
      </c>
      <c r="CP197" s="60">
        <v>106</v>
      </c>
      <c r="CQ197" s="60">
        <v>190</v>
      </c>
      <c r="CR197" s="60">
        <v>22</v>
      </c>
      <c r="CS197" s="60"/>
      <c r="CT197" s="60">
        <v>37785</v>
      </c>
      <c r="CU197" s="60">
        <v>72</v>
      </c>
      <c r="CV197" s="60">
        <v>30930</v>
      </c>
      <c r="CW197" s="60">
        <v>6783</v>
      </c>
      <c r="CX197" s="60">
        <v>2640</v>
      </c>
      <c r="CY197" s="60">
        <v>1937</v>
      </c>
      <c r="CZ197" s="60"/>
      <c r="DA197" s="60"/>
      <c r="DB197" s="60">
        <v>131</v>
      </c>
      <c r="DC197" s="60">
        <v>284</v>
      </c>
      <c r="DD197" s="60">
        <v>330</v>
      </c>
      <c r="DE197" s="60">
        <v>524</v>
      </c>
      <c r="DF197" s="60">
        <v>749</v>
      </c>
      <c r="DG197" s="60">
        <v>773</v>
      </c>
      <c r="DH197" s="60">
        <v>740</v>
      </c>
      <c r="DI197" s="60">
        <v>823</v>
      </c>
      <c r="DJ197" s="60">
        <v>108</v>
      </c>
      <c r="DK197" s="60">
        <v>115</v>
      </c>
      <c r="DL197" s="60"/>
      <c r="DM197" s="60">
        <v>145</v>
      </c>
      <c r="DN197" s="60">
        <v>393</v>
      </c>
      <c r="DO197" s="60">
        <v>1722</v>
      </c>
      <c r="DP197" s="60">
        <v>60</v>
      </c>
      <c r="DQ197" s="60"/>
      <c r="DR197" s="60">
        <v>2248</v>
      </c>
      <c r="DS197" s="60">
        <v>9</v>
      </c>
      <c r="DT197" s="60">
        <v>284</v>
      </c>
      <c r="DU197" s="60">
        <v>185</v>
      </c>
      <c r="DV197" s="60">
        <v>152</v>
      </c>
      <c r="DW197" s="60">
        <v>416</v>
      </c>
      <c r="DX197" s="60">
        <v>26</v>
      </c>
      <c r="DY197" s="60">
        <v>52</v>
      </c>
      <c r="DZ197" s="60"/>
      <c r="EA197" s="60">
        <v>2565</v>
      </c>
      <c r="EB197" s="60">
        <v>897</v>
      </c>
      <c r="EC197" s="60"/>
      <c r="ED197" s="60">
        <v>0</v>
      </c>
      <c r="EE197" s="60">
        <v>0</v>
      </c>
      <c r="EF197" s="60">
        <v>0</v>
      </c>
      <c r="EG197" s="60">
        <v>0</v>
      </c>
      <c r="EH197" s="60">
        <v>0</v>
      </c>
      <c r="EI197" s="60">
        <v>1635</v>
      </c>
      <c r="EJ197" s="60">
        <v>2049</v>
      </c>
      <c r="EK197" s="60">
        <v>32</v>
      </c>
      <c r="EL197" s="60">
        <v>538</v>
      </c>
      <c r="EM197" s="60">
        <v>323</v>
      </c>
      <c r="EN197" s="60">
        <v>113</v>
      </c>
      <c r="EO197" s="60">
        <v>84</v>
      </c>
      <c r="EP197" s="60">
        <v>761</v>
      </c>
      <c r="EQ197" s="60">
        <v>1</v>
      </c>
      <c r="ER197" s="60">
        <v>771</v>
      </c>
      <c r="ES197" s="60">
        <v>246</v>
      </c>
      <c r="ET197" s="60">
        <v>310</v>
      </c>
      <c r="EU197" s="60">
        <v>399</v>
      </c>
      <c r="EV197" s="60">
        <v>314</v>
      </c>
      <c r="EW197" s="60">
        <v>54</v>
      </c>
      <c r="EX197" s="60">
        <v>59</v>
      </c>
      <c r="EY197" s="60">
        <v>87</v>
      </c>
      <c r="EZ197" s="60">
        <v>4</v>
      </c>
      <c r="FA197" s="60">
        <v>50</v>
      </c>
      <c r="FB197" s="60">
        <v>793</v>
      </c>
      <c r="FC197" s="60">
        <v>104</v>
      </c>
      <c r="FD197" s="60">
        <v>390</v>
      </c>
      <c r="FE197" s="60"/>
      <c r="FF197" s="60">
        <v>37</v>
      </c>
      <c r="FG197" s="60"/>
      <c r="FH197" s="60">
        <v>194</v>
      </c>
      <c r="FI197" s="60">
        <v>47</v>
      </c>
      <c r="FJ197" s="60">
        <v>215</v>
      </c>
      <c r="FK197" s="60">
        <v>3</v>
      </c>
      <c r="FL197" s="60">
        <v>17</v>
      </c>
      <c r="FM197" s="60">
        <v>114</v>
      </c>
      <c r="FN197" s="60">
        <v>6</v>
      </c>
      <c r="FO197" s="60">
        <v>3867</v>
      </c>
      <c r="FP197" s="60">
        <v>60</v>
      </c>
      <c r="FQ197" s="60"/>
      <c r="FR197" s="60">
        <v>6</v>
      </c>
      <c r="FS197" s="60">
        <v>27</v>
      </c>
      <c r="FT197" s="60">
        <v>13</v>
      </c>
      <c r="FU197" s="60">
        <v>7</v>
      </c>
      <c r="FV197" s="60">
        <v>1</v>
      </c>
      <c r="FW197" s="60"/>
      <c r="FX197" s="60">
        <v>4577</v>
      </c>
      <c r="FY197" s="60">
        <v>21</v>
      </c>
      <c r="FZ197" s="60">
        <v>3825</v>
      </c>
      <c r="GA197" s="60">
        <v>731</v>
      </c>
      <c r="GB197" s="60">
        <v>2011</v>
      </c>
    </row>
    <row r="198" spans="1:184" x14ac:dyDescent="0.3">
      <c r="A198" s="60">
        <v>106331312</v>
      </c>
      <c r="B198" s="61" t="s">
        <v>784</v>
      </c>
      <c r="C198" s="61" t="s">
        <v>785</v>
      </c>
      <c r="D198" s="61" t="s">
        <v>786</v>
      </c>
      <c r="E198" s="61" t="s">
        <v>760</v>
      </c>
      <c r="F198" s="60">
        <v>92501</v>
      </c>
      <c r="G198" s="61" t="s">
        <v>143</v>
      </c>
      <c r="H198" s="61" t="s">
        <v>1669</v>
      </c>
      <c r="I198" s="60">
        <v>64</v>
      </c>
      <c r="J198" s="60">
        <v>31</v>
      </c>
      <c r="K198" s="61" t="s">
        <v>1953</v>
      </c>
      <c r="L198" s="61"/>
      <c r="M198" s="61" t="s">
        <v>1755</v>
      </c>
      <c r="N198" s="61" t="s">
        <v>1943</v>
      </c>
      <c r="O198" s="61" t="s">
        <v>1673</v>
      </c>
      <c r="P198" s="61" t="s">
        <v>341</v>
      </c>
      <c r="Q198" s="61" t="s">
        <v>1674</v>
      </c>
      <c r="R198" s="60">
        <v>373</v>
      </c>
      <c r="S198" s="61" t="s">
        <v>1675</v>
      </c>
      <c r="T198" s="60">
        <v>38836</v>
      </c>
      <c r="U198" s="60">
        <v>27816</v>
      </c>
      <c r="V198" s="60">
        <v>1</v>
      </c>
      <c r="W198" s="60"/>
      <c r="X198" s="60">
        <v>9415</v>
      </c>
      <c r="Y198" s="60">
        <v>8056</v>
      </c>
      <c r="Z198" s="60">
        <v>13996</v>
      </c>
      <c r="AA198" s="60">
        <v>9175</v>
      </c>
      <c r="AB198" s="60">
        <v>8155</v>
      </c>
      <c r="AC198" s="60">
        <v>6483</v>
      </c>
      <c r="AD198" s="60">
        <v>3774</v>
      </c>
      <c r="AE198" s="60">
        <v>2436</v>
      </c>
      <c r="AF198" s="60">
        <v>2669</v>
      </c>
      <c r="AG198" s="60">
        <v>2494</v>
      </c>
      <c r="AH198" s="60"/>
      <c r="AI198" s="60">
        <v>1450</v>
      </c>
      <c r="AJ198" s="60">
        <v>8319</v>
      </c>
      <c r="AK198" s="60">
        <v>32301</v>
      </c>
      <c r="AL198" s="60">
        <v>109</v>
      </c>
      <c r="AM198" s="60">
        <v>1390</v>
      </c>
      <c r="AN198" s="60">
        <v>332</v>
      </c>
      <c r="AO198" s="60">
        <v>22752</v>
      </c>
      <c r="AP198" s="60">
        <v>248</v>
      </c>
      <c r="AQ198" s="60">
        <v>823</v>
      </c>
      <c r="AR198" s="60">
        <v>15</v>
      </c>
      <c r="AS198" s="60">
        <v>126</v>
      </c>
      <c r="AT198" s="60">
        <v>55</v>
      </c>
      <c r="AU198" s="60">
        <v>45</v>
      </c>
      <c r="AV198" s="60">
        <v>8</v>
      </c>
      <c r="AW198" s="60">
        <v>82</v>
      </c>
      <c r="AX198" s="60">
        <v>852</v>
      </c>
      <c r="AY198" s="60">
        <v>348</v>
      </c>
      <c r="AZ198" s="60">
        <v>22</v>
      </c>
      <c r="BA198" s="60">
        <v>63570</v>
      </c>
      <c r="BB198" s="60">
        <v>339</v>
      </c>
      <c r="BC198" s="60">
        <v>120</v>
      </c>
      <c r="BD198" s="60"/>
      <c r="BE198" s="60">
        <v>8058</v>
      </c>
      <c r="BF198" s="60">
        <v>9217</v>
      </c>
      <c r="BG198" s="60">
        <v>21803</v>
      </c>
      <c r="BH198" s="60">
        <v>13334</v>
      </c>
      <c r="BI198" s="60">
        <v>14241</v>
      </c>
      <c r="BJ198" s="60">
        <v>3167</v>
      </c>
      <c r="BK198" s="60">
        <v>179</v>
      </c>
      <c r="BL198" s="60">
        <v>1324</v>
      </c>
      <c r="BM198" s="60">
        <v>13</v>
      </c>
      <c r="BN198" s="60">
        <v>2469</v>
      </c>
      <c r="BO198" s="60">
        <v>717</v>
      </c>
      <c r="BP198" s="60">
        <v>3103</v>
      </c>
      <c r="BQ198" s="60">
        <v>1842</v>
      </c>
      <c r="BR198" s="60">
        <v>14051</v>
      </c>
      <c r="BS198" s="60">
        <v>2452</v>
      </c>
      <c r="BT198" s="60">
        <v>82</v>
      </c>
      <c r="BU198" s="60">
        <v>5119</v>
      </c>
      <c r="BV198" s="60">
        <v>4587</v>
      </c>
      <c r="BW198" s="60">
        <v>196</v>
      </c>
      <c r="BX198" s="60">
        <v>1906</v>
      </c>
      <c r="BY198" s="60">
        <v>7306</v>
      </c>
      <c r="BZ198" s="60">
        <v>2631</v>
      </c>
      <c r="CA198" s="60">
        <v>15509</v>
      </c>
      <c r="CB198" s="60"/>
      <c r="CC198" s="60"/>
      <c r="CD198" s="60">
        <v>4193</v>
      </c>
      <c r="CE198" s="60">
        <v>216</v>
      </c>
      <c r="CF198" s="60">
        <v>658</v>
      </c>
      <c r="CG198" s="60">
        <v>18</v>
      </c>
      <c r="CH198" s="60">
        <v>1008</v>
      </c>
      <c r="CI198" s="60">
        <v>75</v>
      </c>
      <c r="CJ198" s="60">
        <v>100</v>
      </c>
      <c r="CK198" s="60">
        <v>721</v>
      </c>
      <c r="CL198" s="60">
        <v>50589</v>
      </c>
      <c r="CM198" s="60">
        <v>6026</v>
      </c>
      <c r="CN198" s="60">
        <v>280</v>
      </c>
      <c r="CO198" s="60">
        <v>2103</v>
      </c>
      <c r="CP198" s="60">
        <v>146</v>
      </c>
      <c r="CQ198" s="60">
        <v>319</v>
      </c>
      <c r="CR198" s="60">
        <v>201</v>
      </c>
      <c r="CS198" s="60"/>
      <c r="CT198" s="60">
        <v>66653</v>
      </c>
      <c r="CU198" s="60">
        <v>204</v>
      </c>
      <c r="CV198" s="60">
        <v>61942</v>
      </c>
      <c r="CW198" s="60">
        <v>4507</v>
      </c>
      <c r="CX198" s="60">
        <v>6687</v>
      </c>
      <c r="CY198" s="60">
        <v>5982</v>
      </c>
      <c r="CZ198" s="60"/>
      <c r="DA198" s="60"/>
      <c r="DB198" s="60">
        <v>346</v>
      </c>
      <c r="DC198" s="60">
        <v>819</v>
      </c>
      <c r="DD198" s="60">
        <v>825</v>
      </c>
      <c r="DE198" s="60">
        <v>1447</v>
      </c>
      <c r="DF198" s="60">
        <v>2232</v>
      </c>
      <c r="DG198" s="60">
        <v>2258</v>
      </c>
      <c r="DH198" s="60">
        <v>2062</v>
      </c>
      <c r="DI198" s="60">
        <v>2445</v>
      </c>
      <c r="DJ198" s="60">
        <v>113</v>
      </c>
      <c r="DK198" s="60">
        <v>122</v>
      </c>
      <c r="DL198" s="60"/>
      <c r="DM198" s="60">
        <v>352</v>
      </c>
      <c r="DN198" s="60">
        <v>1500</v>
      </c>
      <c r="DO198" s="60">
        <v>3783</v>
      </c>
      <c r="DP198" s="60">
        <v>776</v>
      </c>
      <c r="DQ198" s="60">
        <v>51</v>
      </c>
      <c r="DR198" s="60">
        <v>6198</v>
      </c>
      <c r="DS198" s="60">
        <v>9</v>
      </c>
      <c r="DT198" s="60">
        <v>200</v>
      </c>
      <c r="DU198" s="60">
        <v>280</v>
      </c>
      <c r="DV198" s="60">
        <v>497</v>
      </c>
      <c r="DW198" s="60">
        <v>923</v>
      </c>
      <c r="DX198" s="60">
        <v>256</v>
      </c>
      <c r="DY198" s="60">
        <v>47</v>
      </c>
      <c r="DZ198" s="60">
        <v>36</v>
      </c>
      <c r="EA198" s="60">
        <v>8214</v>
      </c>
      <c r="EB198" s="60">
        <v>2202</v>
      </c>
      <c r="EC198" s="60">
        <v>14</v>
      </c>
      <c r="ED198" s="60">
        <v>0</v>
      </c>
      <c r="EE198" s="60">
        <v>0</v>
      </c>
      <c r="EF198" s="60">
        <v>0</v>
      </c>
      <c r="EG198" s="60">
        <v>0</v>
      </c>
      <c r="EH198" s="60">
        <v>0</v>
      </c>
      <c r="EI198" s="60">
        <v>2318</v>
      </c>
      <c r="EJ198" s="60">
        <v>6333</v>
      </c>
      <c r="EK198" s="60">
        <v>289</v>
      </c>
      <c r="EL198" s="60">
        <v>2553</v>
      </c>
      <c r="EM198" s="60">
        <v>1176</v>
      </c>
      <c r="EN198" s="60">
        <v>216</v>
      </c>
      <c r="EO198" s="60">
        <v>227</v>
      </c>
      <c r="EP198" s="60">
        <v>2837</v>
      </c>
      <c r="EQ198" s="60">
        <v>13</v>
      </c>
      <c r="ER198" s="60">
        <v>1956</v>
      </c>
      <c r="ES198" s="60">
        <v>525</v>
      </c>
      <c r="ET198" s="60">
        <v>695</v>
      </c>
      <c r="EU198" s="60">
        <v>1051</v>
      </c>
      <c r="EV198" s="60">
        <v>1634</v>
      </c>
      <c r="EW198" s="60">
        <v>236</v>
      </c>
      <c r="EX198" s="60">
        <v>302</v>
      </c>
      <c r="EY198" s="60">
        <v>237</v>
      </c>
      <c r="EZ198" s="60">
        <v>10</v>
      </c>
      <c r="FA198" s="60">
        <v>98</v>
      </c>
      <c r="FB198" s="60">
        <v>1214</v>
      </c>
      <c r="FC198" s="60">
        <v>241</v>
      </c>
      <c r="FD198" s="60">
        <v>1130</v>
      </c>
      <c r="FE198" s="60"/>
      <c r="FF198" s="60">
        <v>47</v>
      </c>
      <c r="FG198" s="60"/>
      <c r="FH198" s="60">
        <v>724</v>
      </c>
      <c r="FI198" s="60">
        <v>52</v>
      </c>
      <c r="FJ198" s="60">
        <v>1159</v>
      </c>
      <c r="FK198" s="60">
        <v>137</v>
      </c>
      <c r="FL198" s="60">
        <v>51</v>
      </c>
      <c r="FM198" s="60">
        <v>91</v>
      </c>
      <c r="FN198" s="60">
        <v>22</v>
      </c>
      <c r="FO198" s="60">
        <v>9670</v>
      </c>
      <c r="FP198" s="60">
        <v>211</v>
      </c>
      <c r="FQ198" s="60">
        <v>47</v>
      </c>
      <c r="FR198" s="60">
        <v>367</v>
      </c>
      <c r="FS198" s="60">
        <v>67</v>
      </c>
      <c r="FT198" s="60">
        <v>44</v>
      </c>
      <c r="FU198" s="60">
        <v>23</v>
      </c>
      <c r="FV198" s="60">
        <v>4</v>
      </c>
      <c r="FW198" s="60"/>
      <c r="FX198" s="60">
        <v>12669</v>
      </c>
      <c r="FY198" s="60">
        <v>80</v>
      </c>
      <c r="FZ198" s="60">
        <v>11592</v>
      </c>
      <c r="GA198" s="60">
        <v>997</v>
      </c>
      <c r="GB198" s="60">
        <v>2011</v>
      </c>
    </row>
    <row r="199" spans="1:184" x14ac:dyDescent="0.3">
      <c r="A199" s="60">
        <v>106331326</v>
      </c>
      <c r="B199" s="61" t="s">
        <v>787</v>
      </c>
      <c r="C199" s="61" t="s">
        <v>788</v>
      </c>
      <c r="D199" s="61" t="s">
        <v>789</v>
      </c>
      <c r="E199" s="61" t="s">
        <v>790</v>
      </c>
      <c r="F199" s="60">
        <v>92220</v>
      </c>
      <c r="G199" s="61"/>
      <c r="H199" s="61" t="s">
        <v>1669</v>
      </c>
      <c r="I199" s="60">
        <v>65</v>
      </c>
      <c r="J199" s="60">
        <v>37</v>
      </c>
      <c r="K199" s="61" t="s">
        <v>1954</v>
      </c>
      <c r="L199" s="61"/>
      <c r="M199" s="61" t="s">
        <v>1755</v>
      </c>
      <c r="N199" s="61" t="s">
        <v>1943</v>
      </c>
      <c r="O199" s="61" t="s">
        <v>1673</v>
      </c>
      <c r="P199" s="61" t="s">
        <v>159</v>
      </c>
      <c r="Q199" s="61" t="s">
        <v>1674</v>
      </c>
      <c r="R199" s="60">
        <v>61</v>
      </c>
      <c r="S199" s="61" t="s">
        <v>1675</v>
      </c>
      <c r="T199" s="60">
        <v>16307</v>
      </c>
      <c r="U199" s="60">
        <v>12551</v>
      </c>
      <c r="V199" s="60"/>
      <c r="W199" s="60"/>
      <c r="X199" s="60">
        <v>4621</v>
      </c>
      <c r="Y199" s="60">
        <v>3930</v>
      </c>
      <c r="Z199" s="60">
        <v>4703</v>
      </c>
      <c r="AA199" s="60">
        <v>3723</v>
      </c>
      <c r="AB199" s="60">
        <v>3015</v>
      </c>
      <c r="AC199" s="60">
        <v>2602</v>
      </c>
      <c r="AD199" s="60">
        <v>1671</v>
      </c>
      <c r="AE199" s="60">
        <v>1546</v>
      </c>
      <c r="AF199" s="60">
        <v>1955</v>
      </c>
      <c r="AG199" s="60">
        <v>1092</v>
      </c>
      <c r="AH199" s="60"/>
      <c r="AI199" s="60">
        <v>641</v>
      </c>
      <c r="AJ199" s="60">
        <v>2695</v>
      </c>
      <c r="AK199" s="60">
        <v>10080</v>
      </c>
      <c r="AL199" s="60">
        <v>347</v>
      </c>
      <c r="AM199" s="60">
        <v>597</v>
      </c>
      <c r="AN199" s="60"/>
      <c r="AO199" s="60">
        <v>14498</v>
      </c>
      <c r="AP199" s="60">
        <v>625</v>
      </c>
      <c r="AQ199" s="60">
        <v>412</v>
      </c>
      <c r="AR199" s="60">
        <v>357</v>
      </c>
      <c r="AS199" s="60">
        <v>59</v>
      </c>
      <c r="AT199" s="60">
        <v>2</v>
      </c>
      <c r="AU199" s="60">
        <v>12</v>
      </c>
      <c r="AV199" s="60"/>
      <c r="AW199" s="60"/>
      <c r="AX199" s="60"/>
      <c r="AY199" s="60"/>
      <c r="AZ199" s="60">
        <v>5</v>
      </c>
      <c r="BA199" s="60">
        <v>27197</v>
      </c>
      <c r="BB199" s="60">
        <v>189</v>
      </c>
      <c r="BC199" s="60"/>
      <c r="BD199" s="60"/>
      <c r="BE199" s="60">
        <v>11868</v>
      </c>
      <c r="BF199" s="60">
        <v>8506</v>
      </c>
      <c r="BG199" s="60">
        <v>405</v>
      </c>
      <c r="BH199" s="60">
        <v>2591</v>
      </c>
      <c r="BI199" s="60">
        <v>5488</v>
      </c>
      <c r="BJ199" s="60">
        <v>708</v>
      </c>
      <c r="BK199" s="60">
        <v>110</v>
      </c>
      <c r="BL199" s="60">
        <v>853</v>
      </c>
      <c r="BM199" s="60">
        <v>7</v>
      </c>
      <c r="BN199" s="60">
        <v>2166</v>
      </c>
      <c r="BO199" s="60">
        <v>409</v>
      </c>
      <c r="BP199" s="60">
        <v>1731</v>
      </c>
      <c r="BQ199" s="60">
        <v>932</v>
      </c>
      <c r="BR199" s="60">
        <v>5770</v>
      </c>
      <c r="BS199" s="60">
        <v>1852</v>
      </c>
      <c r="BT199" s="60">
        <v>41</v>
      </c>
      <c r="BU199" s="60">
        <v>1730</v>
      </c>
      <c r="BV199" s="60">
        <v>1522</v>
      </c>
      <c r="BW199" s="60">
        <v>78</v>
      </c>
      <c r="BX199" s="60">
        <v>941</v>
      </c>
      <c r="BY199" s="60">
        <v>4067</v>
      </c>
      <c r="BZ199" s="60">
        <v>1255</v>
      </c>
      <c r="CA199" s="60">
        <v>4686</v>
      </c>
      <c r="CB199" s="60"/>
      <c r="CC199" s="60"/>
      <c r="CD199" s="60">
        <v>1935</v>
      </c>
      <c r="CE199" s="60">
        <v>139</v>
      </c>
      <c r="CF199" s="60">
        <v>287</v>
      </c>
      <c r="CG199" s="60">
        <v>16</v>
      </c>
      <c r="CH199" s="60">
        <v>378</v>
      </c>
      <c r="CI199" s="60">
        <v>26</v>
      </c>
      <c r="CJ199" s="60">
        <v>113</v>
      </c>
      <c r="CK199" s="60">
        <v>350</v>
      </c>
      <c r="CL199" s="60">
        <v>22348</v>
      </c>
      <c r="CM199" s="60">
        <v>2551</v>
      </c>
      <c r="CN199" s="60">
        <v>102</v>
      </c>
      <c r="CO199" s="60">
        <v>460</v>
      </c>
      <c r="CP199" s="60">
        <v>55</v>
      </c>
      <c r="CQ199" s="60">
        <v>78</v>
      </c>
      <c r="CR199" s="60">
        <v>20</v>
      </c>
      <c r="CS199" s="60"/>
      <c r="CT199" s="60">
        <v>28858</v>
      </c>
      <c r="CU199" s="60">
        <v>109</v>
      </c>
      <c r="CV199" s="60">
        <v>27691</v>
      </c>
      <c r="CW199" s="60">
        <v>1058</v>
      </c>
      <c r="CX199" s="60">
        <v>1598</v>
      </c>
      <c r="CY199" s="60">
        <v>1223</v>
      </c>
      <c r="CZ199" s="60"/>
      <c r="DA199" s="60"/>
      <c r="DB199" s="60">
        <v>43</v>
      </c>
      <c r="DC199" s="60">
        <v>90</v>
      </c>
      <c r="DD199" s="60">
        <v>151</v>
      </c>
      <c r="DE199" s="60">
        <v>227</v>
      </c>
      <c r="DF199" s="60">
        <v>389</v>
      </c>
      <c r="DG199" s="60">
        <v>452</v>
      </c>
      <c r="DH199" s="60">
        <v>602</v>
      </c>
      <c r="DI199" s="60">
        <v>858</v>
      </c>
      <c r="DJ199" s="60">
        <v>6</v>
      </c>
      <c r="DK199" s="60">
        <v>3</v>
      </c>
      <c r="DL199" s="60"/>
      <c r="DM199" s="60">
        <v>95</v>
      </c>
      <c r="DN199" s="60">
        <v>174</v>
      </c>
      <c r="DO199" s="60">
        <v>553</v>
      </c>
      <c r="DP199" s="60">
        <v>2</v>
      </c>
      <c r="DQ199" s="60"/>
      <c r="DR199" s="60">
        <v>1971</v>
      </c>
      <c r="DS199" s="60">
        <v>26</v>
      </c>
      <c r="DT199" s="60">
        <v>162</v>
      </c>
      <c r="DU199" s="60">
        <v>91</v>
      </c>
      <c r="DV199" s="60">
        <v>90</v>
      </c>
      <c r="DW199" s="60">
        <v>250</v>
      </c>
      <c r="DX199" s="60">
        <v>4</v>
      </c>
      <c r="DY199" s="60">
        <v>18</v>
      </c>
      <c r="DZ199" s="60">
        <v>6</v>
      </c>
      <c r="EA199" s="60">
        <v>1635</v>
      </c>
      <c r="EB199" s="60">
        <v>559</v>
      </c>
      <c r="EC199" s="60">
        <v>6</v>
      </c>
      <c r="ED199" s="60">
        <v>0</v>
      </c>
      <c r="EE199" s="60">
        <v>0</v>
      </c>
      <c r="EF199" s="60">
        <v>0</v>
      </c>
      <c r="EG199" s="60">
        <v>0</v>
      </c>
      <c r="EH199" s="60">
        <v>0</v>
      </c>
      <c r="EI199" s="60">
        <v>416</v>
      </c>
      <c r="EJ199" s="60">
        <v>1702</v>
      </c>
      <c r="EK199" s="60">
        <v>39</v>
      </c>
      <c r="EL199" s="60">
        <v>460</v>
      </c>
      <c r="EM199" s="60">
        <v>204</v>
      </c>
      <c r="EN199" s="60">
        <v>29</v>
      </c>
      <c r="EO199" s="60">
        <v>69</v>
      </c>
      <c r="EP199" s="60">
        <v>696</v>
      </c>
      <c r="EQ199" s="60"/>
      <c r="ER199" s="60">
        <v>408</v>
      </c>
      <c r="ES199" s="60">
        <v>122</v>
      </c>
      <c r="ET199" s="60">
        <v>122</v>
      </c>
      <c r="EU199" s="60">
        <v>131</v>
      </c>
      <c r="EV199" s="60">
        <v>133</v>
      </c>
      <c r="EW199" s="60">
        <v>54</v>
      </c>
      <c r="EX199" s="60">
        <v>24</v>
      </c>
      <c r="EY199" s="60">
        <v>56</v>
      </c>
      <c r="EZ199" s="60">
        <v>9</v>
      </c>
      <c r="FA199" s="60">
        <v>21</v>
      </c>
      <c r="FB199" s="60">
        <v>493</v>
      </c>
      <c r="FC199" s="60">
        <v>24</v>
      </c>
      <c r="FD199" s="60">
        <v>424</v>
      </c>
      <c r="FE199" s="60"/>
      <c r="FF199" s="60">
        <v>6</v>
      </c>
      <c r="FG199" s="60"/>
      <c r="FH199" s="60">
        <v>151</v>
      </c>
      <c r="FI199" s="60">
        <v>10</v>
      </c>
      <c r="FJ199" s="60">
        <v>65</v>
      </c>
      <c r="FK199" s="60">
        <v>2</v>
      </c>
      <c r="FL199" s="60">
        <v>1</v>
      </c>
      <c r="FM199" s="60">
        <v>63</v>
      </c>
      <c r="FN199" s="60">
        <v>9</v>
      </c>
      <c r="FO199" s="60">
        <v>2474</v>
      </c>
      <c r="FP199" s="60">
        <v>17</v>
      </c>
      <c r="FQ199" s="60"/>
      <c r="FR199" s="60"/>
      <c r="FS199" s="60">
        <v>10</v>
      </c>
      <c r="FT199" s="60">
        <v>4</v>
      </c>
      <c r="FU199" s="60">
        <v>14</v>
      </c>
      <c r="FV199" s="60">
        <v>1</v>
      </c>
      <c r="FW199" s="60"/>
      <c r="FX199" s="60">
        <v>2821</v>
      </c>
      <c r="FY199" s="60">
        <v>23</v>
      </c>
      <c r="FZ199" s="60">
        <v>2684</v>
      </c>
      <c r="GA199" s="60">
        <v>114</v>
      </c>
      <c r="GB199" s="60">
        <v>2011</v>
      </c>
    </row>
    <row r="200" spans="1:184" x14ac:dyDescent="0.3">
      <c r="A200" s="60">
        <v>106334018</v>
      </c>
      <c r="B200" s="61" t="s">
        <v>791</v>
      </c>
      <c r="C200" s="61" t="s">
        <v>792</v>
      </c>
      <c r="D200" s="61" t="s">
        <v>793</v>
      </c>
      <c r="E200" s="61" t="s">
        <v>794</v>
      </c>
      <c r="F200" s="60">
        <v>92585</v>
      </c>
      <c r="G200" s="61"/>
      <c r="H200" s="61" t="s">
        <v>1669</v>
      </c>
      <c r="I200" s="60">
        <v>65</v>
      </c>
      <c r="J200" s="60">
        <v>37</v>
      </c>
      <c r="K200" s="61" t="s">
        <v>1955</v>
      </c>
      <c r="L200" s="61"/>
      <c r="M200" s="61" t="s">
        <v>1755</v>
      </c>
      <c r="N200" s="61" t="s">
        <v>1943</v>
      </c>
      <c r="O200" s="61" t="s">
        <v>1673</v>
      </c>
      <c r="P200" s="61" t="s">
        <v>321</v>
      </c>
      <c r="Q200" s="61" t="s">
        <v>1674</v>
      </c>
      <c r="R200" s="60">
        <v>84</v>
      </c>
      <c r="S200" s="61" t="s">
        <v>1675</v>
      </c>
      <c r="T200" s="60">
        <v>8387</v>
      </c>
      <c r="U200" s="60">
        <v>6531</v>
      </c>
      <c r="V200" s="60"/>
      <c r="W200" s="60"/>
      <c r="X200" s="60">
        <v>1620</v>
      </c>
      <c r="Y200" s="60">
        <v>1626</v>
      </c>
      <c r="Z200" s="60">
        <v>2068</v>
      </c>
      <c r="AA200" s="60">
        <v>1726</v>
      </c>
      <c r="AB200" s="60">
        <v>1676</v>
      </c>
      <c r="AC200" s="60">
        <v>1528</v>
      </c>
      <c r="AD200" s="60">
        <v>1201</v>
      </c>
      <c r="AE200" s="60">
        <v>1324</v>
      </c>
      <c r="AF200" s="60">
        <v>1849</v>
      </c>
      <c r="AG200" s="60">
        <v>300</v>
      </c>
      <c r="AH200" s="60"/>
      <c r="AI200" s="60">
        <v>146</v>
      </c>
      <c r="AJ200" s="60">
        <v>1331</v>
      </c>
      <c r="AK200" s="60">
        <v>4224</v>
      </c>
      <c r="AL200" s="60">
        <v>35</v>
      </c>
      <c r="AM200" s="60">
        <v>171</v>
      </c>
      <c r="AN200" s="60">
        <v>31</v>
      </c>
      <c r="AO200" s="60">
        <v>8980</v>
      </c>
      <c r="AP200" s="60">
        <v>423</v>
      </c>
      <c r="AQ200" s="60">
        <v>165</v>
      </c>
      <c r="AR200" s="60">
        <v>141</v>
      </c>
      <c r="AS200" s="60">
        <v>90</v>
      </c>
      <c r="AT200" s="60">
        <v>21</v>
      </c>
      <c r="AU200" s="60">
        <v>26</v>
      </c>
      <c r="AV200" s="60"/>
      <c r="AW200" s="60">
        <v>61</v>
      </c>
      <c r="AX200" s="60"/>
      <c r="AY200" s="60"/>
      <c r="AZ200" s="60"/>
      <c r="BA200" s="60">
        <v>13892</v>
      </c>
      <c r="BB200" s="60">
        <v>99</v>
      </c>
      <c r="BC200" s="60"/>
      <c r="BD200" s="60"/>
      <c r="BE200" s="60">
        <v>4515</v>
      </c>
      <c r="BF200" s="60">
        <v>4333</v>
      </c>
      <c r="BG200" s="60">
        <v>457</v>
      </c>
      <c r="BH200" s="60">
        <v>2766</v>
      </c>
      <c r="BI200" s="60">
        <v>2847</v>
      </c>
      <c r="BJ200" s="60">
        <v>286</v>
      </c>
      <c r="BK200" s="60">
        <v>76</v>
      </c>
      <c r="BL200" s="60">
        <v>665</v>
      </c>
      <c r="BM200" s="60">
        <v>3</v>
      </c>
      <c r="BN200" s="60">
        <v>1077</v>
      </c>
      <c r="BO200" s="60">
        <v>372</v>
      </c>
      <c r="BP200" s="60">
        <v>932</v>
      </c>
      <c r="BQ200" s="60">
        <v>291</v>
      </c>
      <c r="BR200" s="60">
        <v>3939</v>
      </c>
      <c r="BS200" s="60">
        <v>703</v>
      </c>
      <c r="BT200" s="60">
        <v>24</v>
      </c>
      <c r="BU200" s="60">
        <v>908</v>
      </c>
      <c r="BV200" s="60">
        <v>330</v>
      </c>
      <c r="BW200" s="60">
        <v>4</v>
      </c>
      <c r="BX200" s="60">
        <v>592</v>
      </c>
      <c r="BY200" s="60">
        <v>1700</v>
      </c>
      <c r="BZ200" s="60">
        <v>592</v>
      </c>
      <c r="CA200" s="60">
        <v>2422</v>
      </c>
      <c r="CB200" s="60"/>
      <c r="CC200" s="60">
        <v>2</v>
      </c>
      <c r="CD200" s="60">
        <v>1276</v>
      </c>
      <c r="CE200" s="60">
        <v>98</v>
      </c>
      <c r="CF200" s="60">
        <v>187</v>
      </c>
      <c r="CG200" s="60">
        <v>3</v>
      </c>
      <c r="CH200" s="60">
        <v>168</v>
      </c>
      <c r="CI200" s="60">
        <v>6</v>
      </c>
      <c r="CJ200" s="60">
        <v>56</v>
      </c>
      <c r="CK200" s="60">
        <v>235</v>
      </c>
      <c r="CL200" s="60">
        <v>10692</v>
      </c>
      <c r="CM200" s="60">
        <v>1551</v>
      </c>
      <c r="CN200" s="60">
        <v>98</v>
      </c>
      <c r="CO200" s="60">
        <v>415</v>
      </c>
      <c r="CP200" s="60">
        <v>66</v>
      </c>
      <c r="CQ200" s="60">
        <v>59</v>
      </c>
      <c r="CR200" s="60">
        <v>8</v>
      </c>
      <c r="CS200" s="60"/>
      <c r="CT200" s="60">
        <v>14918</v>
      </c>
      <c r="CU200" s="60">
        <v>33</v>
      </c>
      <c r="CV200" s="60">
        <v>14136</v>
      </c>
      <c r="CW200" s="60">
        <v>749</v>
      </c>
      <c r="CX200" s="60">
        <v>1793</v>
      </c>
      <c r="CY200" s="60">
        <v>1385</v>
      </c>
      <c r="CZ200" s="60">
        <v>1</v>
      </c>
      <c r="DA200" s="60"/>
      <c r="DB200" s="60">
        <v>22</v>
      </c>
      <c r="DC200" s="60">
        <v>99</v>
      </c>
      <c r="DD200" s="60">
        <v>121</v>
      </c>
      <c r="DE200" s="60">
        <v>234</v>
      </c>
      <c r="DF200" s="60">
        <v>365</v>
      </c>
      <c r="DG200" s="60">
        <v>498</v>
      </c>
      <c r="DH200" s="60">
        <v>764</v>
      </c>
      <c r="DI200" s="60">
        <v>1075</v>
      </c>
      <c r="DJ200" s="60"/>
      <c r="DK200" s="60">
        <v>1</v>
      </c>
      <c r="DL200" s="60"/>
      <c r="DM200" s="60">
        <v>45</v>
      </c>
      <c r="DN200" s="60">
        <v>213</v>
      </c>
      <c r="DO200" s="60">
        <v>518</v>
      </c>
      <c r="DP200" s="60">
        <v>24</v>
      </c>
      <c r="DQ200" s="60">
        <v>4</v>
      </c>
      <c r="DR200" s="60">
        <v>2374</v>
      </c>
      <c r="DS200" s="60">
        <v>1</v>
      </c>
      <c r="DT200" s="60">
        <v>228</v>
      </c>
      <c r="DU200" s="60">
        <v>125</v>
      </c>
      <c r="DV200" s="60">
        <v>109</v>
      </c>
      <c r="DW200" s="60">
        <v>351</v>
      </c>
      <c r="DX200" s="60">
        <v>19</v>
      </c>
      <c r="DY200" s="60">
        <v>2</v>
      </c>
      <c r="DZ200" s="60">
        <v>56</v>
      </c>
      <c r="EA200" s="60">
        <v>1758</v>
      </c>
      <c r="EB200" s="60">
        <v>531</v>
      </c>
      <c r="EC200" s="60"/>
      <c r="ED200" s="60">
        <v>0</v>
      </c>
      <c r="EE200" s="60">
        <v>0</v>
      </c>
      <c r="EF200" s="60">
        <v>0</v>
      </c>
      <c r="EG200" s="60">
        <v>0</v>
      </c>
      <c r="EH200" s="60">
        <v>0</v>
      </c>
      <c r="EI200" s="60">
        <v>275</v>
      </c>
      <c r="EJ200" s="60">
        <v>2347</v>
      </c>
      <c r="EK200" s="60">
        <v>62</v>
      </c>
      <c r="EL200" s="60">
        <v>307</v>
      </c>
      <c r="EM200" s="60">
        <v>188</v>
      </c>
      <c r="EN200" s="60">
        <v>5</v>
      </c>
      <c r="EO200" s="60">
        <v>48</v>
      </c>
      <c r="EP200" s="60">
        <v>883</v>
      </c>
      <c r="EQ200" s="60"/>
      <c r="ER200" s="60">
        <v>441</v>
      </c>
      <c r="ES200" s="60">
        <v>150</v>
      </c>
      <c r="ET200" s="60">
        <v>238</v>
      </c>
      <c r="EU200" s="60">
        <v>190</v>
      </c>
      <c r="EV200" s="60">
        <v>306</v>
      </c>
      <c r="EW200" s="60">
        <v>67</v>
      </c>
      <c r="EX200" s="60">
        <v>87</v>
      </c>
      <c r="EY200" s="60">
        <v>42</v>
      </c>
      <c r="EZ200" s="60">
        <v>3</v>
      </c>
      <c r="FA200" s="60">
        <v>36</v>
      </c>
      <c r="FB200" s="60">
        <v>468</v>
      </c>
      <c r="FC200" s="60">
        <v>59</v>
      </c>
      <c r="FD200" s="60">
        <v>156</v>
      </c>
      <c r="FE200" s="60"/>
      <c r="FF200" s="60"/>
      <c r="FG200" s="60"/>
      <c r="FH200" s="60">
        <v>234</v>
      </c>
      <c r="FI200" s="60">
        <v>45</v>
      </c>
      <c r="FJ200" s="60">
        <v>127</v>
      </c>
      <c r="FK200" s="60">
        <v>3</v>
      </c>
      <c r="FL200" s="60">
        <v>5</v>
      </c>
      <c r="FM200" s="60">
        <v>43</v>
      </c>
      <c r="FN200" s="60">
        <v>5</v>
      </c>
      <c r="FO200" s="60">
        <v>2602</v>
      </c>
      <c r="FP200" s="60">
        <v>65</v>
      </c>
      <c r="FQ200" s="60">
        <v>2</v>
      </c>
      <c r="FR200" s="60">
        <v>15</v>
      </c>
      <c r="FS200" s="60">
        <v>24</v>
      </c>
      <c r="FT200" s="60">
        <v>6</v>
      </c>
      <c r="FU200" s="60">
        <v>3</v>
      </c>
      <c r="FV200" s="60"/>
      <c r="FW200" s="60"/>
      <c r="FX200" s="60">
        <v>3179</v>
      </c>
      <c r="FY200" s="60">
        <v>11</v>
      </c>
      <c r="FZ200" s="60">
        <v>3006</v>
      </c>
      <c r="GA200" s="60">
        <v>162</v>
      </c>
      <c r="GB200" s="60">
        <v>2011</v>
      </c>
    </row>
    <row r="201" spans="1:184" x14ac:dyDescent="0.3">
      <c r="A201" s="60">
        <v>106334025</v>
      </c>
      <c r="B201" s="61" t="s">
        <v>795</v>
      </c>
      <c r="C201" s="61" t="s">
        <v>1956</v>
      </c>
      <c r="D201" s="61" t="s">
        <v>796</v>
      </c>
      <c r="E201" s="61" t="s">
        <v>760</v>
      </c>
      <c r="F201" s="60">
        <v>92505</v>
      </c>
      <c r="G201" s="61"/>
      <c r="H201" s="61" t="s">
        <v>1669</v>
      </c>
      <c r="I201" s="60">
        <v>66</v>
      </c>
      <c r="J201" s="60">
        <v>31</v>
      </c>
      <c r="K201" s="61" t="s">
        <v>1942</v>
      </c>
      <c r="L201" s="61"/>
      <c r="M201" s="61" t="s">
        <v>1755</v>
      </c>
      <c r="N201" s="61" t="s">
        <v>1943</v>
      </c>
      <c r="O201" s="61" t="s">
        <v>1673</v>
      </c>
      <c r="P201" s="61" t="s">
        <v>1678</v>
      </c>
      <c r="Q201" s="61" t="s">
        <v>1674</v>
      </c>
      <c r="R201" s="60">
        <v>222</v>
      </c>
      <c r="S201" s="61" t="s">
        <v>1675</v>
      </c>
      <c r="T201" s="60">
        <v>18538</v>
      </c>
      <c r="U201" s="60">
        <v>14749</v>
      </c>
      <c r="V201" s="60"/>
      <c r="W201" s="60"/>
      <c r="X201" s="60">
        <v>3728</v>
      </c>
      <c r="Y201" s="60">
        <v>3796</v>
      </c>
      <c r="Z201" s="60">
        <v>4775</v>
      </c>
      <c r="AA201" s="60">
        <v>4122</v>
      </c>
      <c r="AB201" s="60">
        <v>4316</v>
      </c>
      <c r="AC201" s="60">
        <v>4042</v>
      </c>
      <c r="AD201" s="60">
        <v>3331</v>
      </c>
      <c r="AE201" s="60">
        <v>2405</v>
      </c>
      <c r="AF201" s="60">
        <v>1932</v>
      </c>
      <c r="AG201" s="60">
        <v>840</v>
      </c>
      <c r="AH201" s="60"/>
      <c r="AI201" s="60">
        <v>1278</v>
      </c>
      <c r="AJ201" s="60">
        <v>4445</v>
      </c>
      <c r="AK201" s="60">
        <v>11088</v>
      </c>
      <c r="AL201" s="60">
        <v>77</v>
      </c>
      <c r="AM201" s="60">
        <v>1144</v>
      </c>
      <c r="AN201" s="60">
        <v>1238</v>
      </c>
      <c r="AO201" s="60">
        <v>14017</v>
      </c>
      <c r="AP201" s="60">
        <v>145</v>
      </c>
      <c r="AQ201" s="60">
        <v>178</v>
      </c>
      <c r="AR201" s="60">
        <v>1</v>
      </c>
      <c r="AS201" s="60">
        <v>42</v>
      </c>
      <c r="AT201" s="60">
        <v>98</v>
      </c>
      <c r="AU201" s="60">
        <v>39</v>
      </c>
      <c r="AV201" s="60">
        <v>99</v>
      </c>
      <c r="AW201" s="60">
        <v>8</v>
      </c>
      <c r="AX201" s="60">
        <v>4</v>
      </c>
      <c r="AY201" s="60">
        <v>509</v>
      </c>
      <c r="AZ201" s="60">
        <v>2</v>
      </c>
      <c r="BA201" s="60">
        <v>31940</v>
      </c>
      <c r="BB201" s="60">
        <v>81</v>
      </c>
      <c r="BC201" s="60">
        <v>137</v>
      </c>
      <c r="BD201" s="60">
        <v>4</v>
      </c>
      <c r="BE201" s="60">
        <v>3229</v>
      </c>
      <c r="BF201" s="60">
        <v>6534</v>
      </c>
      <c r="BG201" s="60">
        <v>218</v>
      </c>
      <c r="BH201" s="60">
        <v>20804</v>
      </c>
      <c r="BI201" s="60">
        <v>2502</v>
      </c>
      <c r="BJ201" s="60">
        <v>698</v>
      </c>
      <c r="BK201" s="60">
        <v>176</v>
      </c>
      <c r="BL201" s="60">
        <v>1287</v>
      </c>
      <c r="BM201" s="60">
        <v>9</v>
      </c>
      <c r="BN201" s="60">
        <v>2162</v>
      </c>
      <c r="BO201" s="60">
        <v>643</v>
      </c>
      <c r="BP201" s="60">
        <v>2127</v>
      </c>
      <c r="BQ201" s="60">
        <v>793</v>
      </c>
      <c r="BR201" s="60">
        <v>6436</v>
      </c>
      <c r="BS201" s="60">
        <v>2143</v>
      </c>
      <c r="BT201" s="60">
        <v>99</v>
      </c>
      <c r="BU201" s="60">
        <v>2135</v>
      </c>
      <c r="BV201" s="60">
        <v>952</v>
      </c>
      <c r="BW201" s="60">
        <v>97</v>
      </c>
      <c r="BX201" s="60">
        <v>1833</v>
      </c>
      <c r="BY201" s="60">
        <v>2752</v>
      </c>
      <c r="BZ201" s="60">
        <v>949</v>
      </c>
      <c r="CA201" s="60">
        <v>7994</v>
      </c>
      <c r="CB201" s="60">
        <v>1</v>
      </c>
      <c r="CC201" s="60">
        <v>1</v>
      </c>
      <c r="CD201" s="60">
        <v>1857</v>
      </c>
      <c r="CE201" s="60">
        <v>129</v>
      </c>
      <c r="CF201" s="60">
        <v>469</v>
      </c>
      <c r="CG201" s="60">
        <v>24</v>
      </c>
      <c r="CH201" s="60">
        <v>202</v>
      </c>
      <c r="CI201" s="60">
        <v>8</v>
      </c>
      <c r="CJ201" s="60">
        <v>216</v>
      </c>
      <c r="CK201" s="60">
        <v>308</v>
      </c>
      <c r="CL201" s="60">
        <v>26591</v>
      </c>
      <c r="CM201" s="60">
        <v>2272</v>
      </c>
      <c r="CN201" s="60">
        <v>141</v>
      </c>
      <c r="CO201" s="60">
        <v>745</v>
      </c>
      <c r="CP201" s="60">
        <v>118</v>
      </c>
      <c r="CQ201" s="60">
        <v>174</v>
      </c>
      <c r="CR201" s="60">
        <v>33</v>
      </c>
      <c r="CS201" s="60"/>
      <c r="CT201" s="60">
        <v>33287</v>
      </c>
      <c r="CU201" s="60">
        <v>294</v>
      </c>
      <c r="CV201" s="60">
        <v>30273</v>
      </c>
      <c r="CW201" s="60">
        <v>2720</v>
      </c>
      <c r="CX201" s="60">
        <v>2780</v>
      </c>
      <c r="CY201" s="60">
        <v>2639</v>
      </c>
      <c r="CZ201" s="60"/>
      <c r="DA201" s="60"/>
      <c r="DB201" s="60">
        <v>141</v>
      </c>
      <c r="DC201" s="60">
        <v>248</v>
      </c>
      <c r="DD201" s="60">
        <v>303</v>
      </c>
      <c r="DE201" s="60">
        <v>545</v>
      </c>
      <c r="DF201" s="60">
        <v>812</v>
      </c>
      <c r="DG201" s="60">
        <v>1156</v>
      </c>
      <c r="DH201" s="60">
        <v>1109</v>
      </c>
      <c r="DI201" s="60">
        <v>1002</v>
      </c>
      <c r="DJ201" s="60">
        <v>31</v>
      </c>
      <c r="DK201" s="60">
        <v>72</v>
      </c>
      <c r="DL201" s="60"/>
      <c r="DM201" s="60">
        <v>225</v>
      </c>
      <c r="DN201" s="60">
        <v>709</v>
      </c>
      <c r="DO201" s="60">
        <v>1248</v>
      </c>
      <c r="DP201" s="60">
        <v>48</v>
      </c>
      <c r="DQ201" s="60">
        <v>25</v>
      </c>
      <c r="DR201" s="60">
        <v>3150</v>
      </c>
      <c r="DS201" s="60">
        <v>14</v>
      </c>
      <c r="DT201" s="60">
        <v>227</v>
      </c>
      <c r="DU201" s="60">
        <v>44</v>
      </c>
      <c r="DV201" s="60">
        <v>199</v>
      </c>
      <c r="DW201" s="60">
        <v>940</v>
      </c>
      <c r="DX201" s="60">
        <v>47</v>
      </c>
      <c r="DY201" s="60">
        <v>4</v>
      </c>
      <c r="DZ201" s="60">
        <v>29</v>
      </c>
      <c r="EA201" s="60">
        <v>3354</v>
      </c>
      <c r="EB201" s="60">
        <v>573</v>
      </c>
      <c r="EC201" s="60">
        <v>2</v>
      </c>
      <c r="ED201" s="60">
        <v>0</v>
      </c>
      <c r="EE201" s="60">
        <v>0</v>
      </c>
      <c r="EF201" s="60">
        <v>0</v>
      </c>
      <c r="EG201" s="60">
        <v>0</v>
      </c>
      <c r="EH201" s="60">
        <v>0</v>
      </c>
      <c r="EI201" s="60">
        <v>132</v>
      </c>
      <c r="EJ201" s="60">
        <v>2893</v>
      </c>
      <c r="EK201" s="60">
        <v>2</v>
      </c>
      <c r="EL201" s="60">
        <v>2260</v>
      </c>
      <c r="EM201" s="60">
        <v>132</v>
      </c>
      <c r="EN201" s="60">
        <v>46</v>
      </c>
      <c r="EO201" s="60">
        <v>141</v>
      </c>
      <c r="EP201" s="60">
        <v>1039</v>
      </c>
      <c r="EQ201" s="60">
        <v>3</v>
      </c>
      <c r="ER201" s="60">
        <v>953</v>
      </c>
      <c r="ES201" s="60">
        <v>290</v>
      </c>
      <c r="ET201" s="60">
        <v>412</v>
      </c>
      <c r="EU201" s="60">
        <v>679</v>
      </c>
      <c r="EV201" s="60">
        <v>426</v>
      </c>
      <c r="EW201" s="60">
        <v>107</v>
      </c>
      <c r="EX201" s="60">
        <v>146</v>
      </c>
      <c r="EY201" s="60">
        <v>153</v>
      </c>
      <c r="EZ201" s="60">
        <v>5</v>
      </c>
      <c r="FA201" s="60">
        <v>82</v>
      </c>
      <c r="FB201" s="60">
        <v>573</v>
      </c>
      <c r="FC201" s="60">
        <v>73</v>
      </c>
      <c r="FD201" s="60">
        <v>281</v>
      </c>
      <c r="FE201" s="60">
        <v>1</v>
      </c>
      <c r="FF201" s="60">
        <v>9</v>
      </c>
      <c r="FG201" s="60"/>
      <c r="FH201" s="60">
        <v>215</v>
      </c>
      <c r="FI201" s="60">
        <v>24</v>
      </c>
      <c r="FJ201" s="60">
        <v>445</v>
      </c>
      <c r="FK201" s="60">
        <v>2</v>
      </c>
      <c r="FL201" s="60">
        <v>8</v>
      </c>
      <c r="FM201" s="60">
        <v>286</v>
      </c>
      <c r="FN201" s="60">
        <v>4</v>
      </c>
      <c r="FO201" s="60">
        <v>4304</v>
      </c>
      <c r="FP201" s="60">
        <v>71</v>
      </c>
      <c r="FQ201" s="60">
        <v>6</v>
      </c>
      <c r="FR201" s="60">
        <v>19</v>
      </c>
      <c r="FS201" s="60">
        <v>19</v>
      </c>
      <c r="FT201" s="60">
        <v>9</v>
      </c>
      <c r="FU201" s="60">
        <v>6</v>
      </c>
      <c r="FV201" s="60">
        <v>1</v>
      </c>
      <c r="FW201" s="60"/>
      <c r="FX201" s="60">
        <v>5419</v>
      </c>
      <c r="FY201" s="60">
        <v>46</v>
      </c>
      <c r="FZ201" s="60">
        <v>5017</v>
      </c>
      <c r="GA201" s="60">
        <v>356</v>
      </c>
      <c r="GB201" s="60">
        <v>2011</v>
      </c>
    </row>
    <row r="202" spans="1:184" x14ac:dyDescent="0.3">
      <c r="A202" s="60">
        <v>106334048</v>
      </c>
      <c r="B202" s="61" t="s">
        <v>797</v>
      </c>
      <c r="C202" s="61" t="s">
        <v>1957</v>
      </c>
      <c r="D202" s="61" t="s">
        <v>798</v>
      </c>
      <c r="E202" s="61" t="s">
        <v>799</v>
      </c>
      <c r="F202" s="60">
        <v>92555</v>
      </c>
      <c r="G202" s="61"/>
      <c r="H202" s="61" t="s">
        <v>1669</v>
      </c>
      <c r="I202" s="60">
        <v>65</v>
      </c>
      <c r="J202" s="60">
        <v>37</v>
      </c>
      <c r="K202" s="61" t="s">
        <v>1954</v>
      </c>
      <c r="L202" s="61"/>
      <c r="M202" s="61" t="s">
        <v>1755</v>
      </c>
      <c r="N202" s="61" t="s">
        <v>1943</v>
      </c>
      <c r="O202" s="61" t="s">
        <v>1673</v>
      </c>
      <c r="P202" s="61" t="s">
        <v>1678</v>
      </c>
      <c r="Q202" s="61" t="s">
        <v>1674</v>
      </c>
      <c r="R202" s="60">
        <v>71</v>
      </c>
      <c r="S202" s="61" t="s">
        <v>1675</v>
      </c>
      <c r="T202" s="60">
        <v>15671</v>
      </c>
      <c r="U202" s="60">
        <v>10774</v>
      </c>
      <c r="V202" s="60">
        <v>2</v>
      </c>
      <c r="W202" s="60"/>
      <c r="X202" s="60">
        <v>5459</v>
      </c>
      <c r="Y202" s="60">
        <v>4100</v>
      </c>
      <c r="Z202" s="60">
        <v>4480</v>
      </c>
      <c r="AA202" s="60">
        <v>3391</v>
      </c>
      <c r="AB202" s="60">
        <v>2667</v>
      </c>
      <c r="AC202" s="60">
        <v>2201</v>
      </c>
      <c r="AD202" s="60">
        <v>1355</v>
      </c>
      <c r="AE202" s="60">
        <v>968</v>
      </c>
      <c r="AF202" s="60">
        <v>589</v>
      </c>
      <c r="AG202" s="60">
        <v>1237</v>
      </c>
      <c r="AH202" s="60"/>
      <c r="AI202" s="60">
        <v>660</v>
      </c>
      <c r="AJ202" s="60">
        <v>7313</v>
      </c>
      <c r="AK202" s="60">
        <v>11597</v>
      </c>
      <c r="AL202" s="60">
        <v>29</v>
      </c>
      <c r="AM202" s="60">
        <v>1178</v>
      </c>
      <c r="AN202" s="60">
        <v>46</v>
      </c>
      <c r="AO202" s="60">
        <v>5624</v>
      </c>
      <c r="AP202" s="60">
        <v>267</v>
      </c>
      <c r="AQ202" s="60">
        <v>162</v>
      </c>
      <c r="AR202" s="60">
        <v>1</v>
      </c>
      <c r="AS202" s="60">
        <v>27</v>
      </c>
      <c r="AT202" s="60">
        <v>30</v>
      </c>
      <c r="AU202" s="60">
        <v>3</v>
      </c>
      <c r="AV202" s="60">
        <v>1</v>
      </c>
      <c r="AW202" s="60">
        <v>20</v>
      </c>
      <c r="AX202" s="60">
        <v>2</v>
      </c>
      <c r="AY202" s="60">
        <v>88</v>
      </c>
      <c r="AZ202" s="60"/>
      <c r="BA202" s="60">
        <v>25688</v>
      </c>
      <c r="BB202" s="60">
        <v>28</v>
      </c>
      <c r="BC202" s="60">
        <v>69</v>
      </c>
      <c r="BD202" s="60">
        <v>61</v>
      </c>
      <c r="BE202" s="60">
        <v>10961</v>
      </c>
      <c r="BF202" s="60">
        <v>2850</v>
      </c>
      <c r="BG202" s="60">
        <v>376</v>
      </c>
      <c r="BH202" s="60">
        <v>8879</v>
      </c>
      <c r="BI202" s="60">
        <v>3381</v>
      </c>
      <c r="BJ202" s="60">
        <v>828</v>
      </c>
      <c r="BK202" s="60">
        <v>82</v>
      </c>
      <c r="BL202" s="60">
        <v>500</v>
      </c>
      <c r="BM202" s="60">
        <v>5</v>
      </c>
      <c r="BN202" s="60">
        <v>1395</v>
      </c>
      <c r="BO202" s="60">
        <v>358</v>
      </c>
      <c r="BP202" s="60">
        <v>1746</v>
      </c>
      <c r="BQ202" s="60">
        <v>394</v>
      </c>
      <c r="BR202" s="60">
        <v>5602</v>
      </c>
      <c r="BS202" s="60">
        <v>1561</v>
      </c>
      <c r="BT202" s="60">
        <v>36</v>
      </c>
      <c r="BU202" s="60">
        <v>1743</v>
      </c>
      <c r="BV202" s="60">
        <v>598</v>
      </c>
      <c r="BW202" s="60">
        <v>78</v>
      </c>
      <c r="BX202" s="60">
        <v>476</v>
      </c>
      <c r="BY202" s="60">
        <v>3990</v>
      </c>
      <c r="BZ202" s="60">
        <v>996</v>
      </c>
      <c r="CA202" s="60">
        <v>6059</v>
      </c>
      <c r="CB202" s="60"/>
      <c r="CC202" s="60"/>
      <c r="CD202" s="60">
        <v>1762</v>
      </c>
      <c r="CE202" s="60">
        <v>73</v>
      </c>
      <c r="CF202" s="60">
        <v>404</v>
      </c>
      <c r="CG202" s="60">
        <v>6</v>
      </c>
      <c r="CH202" s="60">
        <v>202</v>
      </c>
      <c r="CI202" s="60">
        <v>5</v>
      </c>
      <c r="CJ202" s="60">
        <v>136</v>
      </c>
      <c r="CK202" s="60">
        <v>330</v>
      </c>
      <c r="CL202" s="60">
        <v>20268</v>
      </c>
      <c r="CM202" s="60">
        <v>2445</v>
      </c>
      <c r="CN202" s="60">
        <v>134</v>
      </c>
      <c r="CO202" s="60">
        <v>500</v>
      </c>
      <c r="CP202" s="60">
        <v>27</v>
      </c>
      <c r="CQ202" s="60">
        <v>153</v>
      </c>
      <c r="CR202" s="60">
        <v>2</v>
      </c>
      <c r="CS202" s="60"/>
      <c r="CT202" s="60">
        <v>26447</v>
      </c>
      <c r="CU202" s="60">
        <v>105</v>
      </c>
      <c r="CV202" s="60">
        <v>23969</v>
      </c>
      <c r="CW202" s="60">
        <v>2373</v>
      </c>
      <c r="CX202" s="60">
        <v>1496</v>
      </c>
      <c r="CY202" s="60">
        <v>1015</v>
      </c>
      <c r="CZ202" s="60"/>
      <c r="DA202" s="60"/>
      <c r="DB202" s="60">
        <v>66</v>
      </c>
      <c r="DC202" s="60">
        <v>186</v>
      </c>
      <c r="DD202" s="60">
        <v>229</v>
      </c>
      <c r="DE202" s="60">
        <v>290</v>
      </c>
      <c r="DF202" s="60">
        <v>401</v>
      </c>
      <c r="DG202" s="60">
        <v>408</v>
      </c>
      <c r="DH202" s="60">
        <v>450</v>
      </c>
      <c r="DI202" s="60">
        <v>419</v>
      </c>
      <c r="DJ202" s="60">
        <v>23</v>
      </c>
      <c r="DK202" s="60">
        <v>39</v>
      </c>
      <c r="DL202" s="60"/>
      <c r="DM202" s="60">
        <v>113</v>
      </c>
      <c r="DN202" s="60">
        <v>701</v>
      </c>
      <c r="DO202" s="60">
        <v>846</v>
      </c>
      <c r="DP202" s="60">
        <v>34</v>
      </c>
      <c r="DQ202" s="60">
        <v>1</v>
      </c>
      <c r="DR202" s="60">
        <v>814</v>
      </c>
      <c r="DS202" s="60">
        <v>2</v>
      </c>
      <c r="DT202" s="60">
        <v>210</v>
      </c>
      <c r="DU202" s="60">
        <v>54</v>
      </c>
      <c r="DV202" s="60">
        <v>59</v>
      </c>
      <c r="DW202" s="60">
        <v>263</v>
      </c>
      <c r="DX202" s="60">
        <v>18</v>
      </c>
      <c r="DY202" s="60">
        <v>4</v>
      </c>
      <c r="DZ202" s="60">
        <v>16</v>
      </c>
      <c r="EA202" s="60">
        <v>1662</v>
      </c>
      <c r="EB202" s="60">
        <v>225</v>
      </c>
      <c r="EC202" s="60"/>
      <c r="ED202" s="60">
        <v>0</v>
      </c>
      <c r="EE202" s="60">
        <v>0</v>
      </c>
      <c r="EF202" s="60">
        <v>0</v>
      </c>
      <c r="EG202" s="60">
        <v>0</v>
      </c>
      <c r="EH202" s="60">
        <v>0</v>
      </c>
      <c r="EI202" s="60">
        <v>497</v>
      </c>
      <c r="EJ202" s="60">
        <v>1200</v>
      </c>
      <c r="EK202" s="60">
        <v>17</v>
      </c>
      <c r="EL202" s="60">
        <v>652</v>
      </c>
      <c r="EM202" s="60">
        <v>145</v>
      </c>
      <c r="EN202" s="60">
        <v>72</v>
      </c>
      <c r="EO202" s="60">
        <v>65</v>
      </c>
      <c r="EP202" s="60">
        <v>563</v>
      </c>
      <c r="EQ202" s="60">
        <v>2</v>
      </c>
      <c r="ER202" s="60">
        <v>460</v>
      </c>
      <c r="ES202" s="60">
        <v>130</v>
      </c>
      <c r="ET202" s="60">
        <v>178</v>
      </c>
      <c r="EU202" s="60">
        <v>199</v>
      </c>
      <c r="EV202" s="60">
        <v>123</v>
      </c>
      <c r="EW202" s="60">
        <v>30</v>
      </c>
      <c r="EX202" s="60">
        <v>31</v>
      </c>
      <c r="EY202" s="60">
        <v>53</v>
      </c>
      <c r="EZ202" s="60">
        <v>1</v>
      </c>
      <c r="FA202" s="60">
        <v>37</v>
      </c>
      <c r="FB202" s="60">
        <v>323</v>
      </c>
      <c r="FC202" s="60">
        <v>44</v>
      </c>
      <c r="FD202" s="60">
        <v>189</v>
      </c>
      <c r="FE202" s="60"/>
      <c r="FF202" s="60">
        <v>11</v>
      </c>
      <c r="FG202" s="60"/>
      <c r="FH202" s="60">
        <v>73</v>
      </c>
      <c r="FI202" s="60">
        <v>22</v>
      </c>
      <c r="FJ202" s="60">
        <v>165</v>
      </c>
      <c r="FK202" s="60">
        <v>1</v>
      </c>
      <c r="FL202" s="60">
        <v>6</v>
      </c>
      <c r="FM202" s="60">
        <v>89</v>
      </c>
      <c r="FN202" s="60">
        <v>6</v>
      </c>
      <c r="FO202" s="60">
        <v>2115</v>
      </c>
      <c r="FP202" s="60">
        <v>20</v>
      </c>
      <c r="FQ202" s="60"/>
      <c r="FR202" s="60">
        <v>3</v>
      </c>
      <c r="FS202" s="60">
        <v>7</v>
      </c>
      <c r="FT202" s="60">
        <v>3</v>
      </c>
      <c r="FU202" s="60">
        <v>1</v>
      </c>
      <c r="FV202" s="60"/>
      <c r="FW202" s="60"/>
      <c r="FX202" s="60">
        <v>2511</v>
      </c>
      <c r="FY202" s="60">
        <v>30</v>
      </c>
      <c r="FZ202" s="60">
        <v>2189</v>
      </c>
      <c r="GA202" s="60">
        <v>292</v>
      </c>
      <c r="GB202" s="60">
        <v>2011</v>
      </c>
    </row>
    <row r="203" spans="1:184" x14ac:dyDescent="0.3">
      <c r="A203" s="60">
        <v>106334068</v>
      </c>
      <c r="B203" s="61" t="s">
        <v>800</v>
      </c>
      <c r="C203" s="61" t="s">
        <v>801</v>
      </c>
      <c r="D203" s="61" t="s">
        <v>802</v>
      </c>
      <c r="E203" s="61" t="s">
        <v>803</v>
      </c>
      <c r="F203" s="60">
        <v>92562</v>
      </c>
      <c r="G203" s="61"/>
      <c r="H203" s="61" t="s">
        <v>1669</v>
      </c>
      <c r="I203" s="60">
        <v>66</v>
      </c>
      <c r="J203" s="60">
        <v>36</v>
      </c>
      <c r="K203" s="61" t="s">
        <v>1958</v>
      </c>
      <c r="L203" s="61"/>
      <c r="M203" s="61" t="s">
        <v>1755</v>
      </c>
      <c r="N203" s="61" t="s">
        <v>1943</v>
      </c>
      <c r="O203" s="61" t="s">
        <v>1673</v>
      </c>
      <c r="P203" s="61" t="s">
        <v>221</v>
      </c>
      <c r="Q203" s="61" t="s">
        <v>1674</v>
      </c>
      <c r="R203" s="60">
        <v>120</v>
      </c>
      <c r="S203" s="61" t="s">
        <v>1675</v>
      </c>
      <c r="T203" s="60">
        <v>36853</v>
      </c>
      <c r="U203" s="60">
        <v>27921</v>
      </c>
      <c r="V203" s="60"/>
      <c r="W203" s="60"/>
      <c r="X203" s="60">
        <v>9042</v>
      </c>
      <c r="Y203" s="60">
        <v>8341</v>
      </c>
      <c r="Z203" s="60">
        <v>11080</v>
      </c>
      <c r="AA203" s="60">
        <v>8775</v>
      </c>
      <c r="AB203" s="60">
        <v>8343</v>
      </c>
      <c r="AC203" s="60">
        <v>6192</v>
      </c>
      <c r="AD203" s="60">
        <v>4073</v>
      </c>
      <c r="AE203" s="60">
        <v>3431</v>
      </c>
      <c r="AF203" s="60">
        <v>3418</v>
      </c>
      <c r="AG203" s="60">
        <v>2079</v>
      </c>
      <c r="AH203" s="60"/>
      <c r="AI203" s="60">
        <v>2024</v>
      </c>
      <c r="AJ203" s="60">
        <v>4367</v>
      </c>
      <c r="AK203" s="60">
        <v>14949</v>
      </c>
      <c r="AL203" s="60">
        <v>188</v>
      </c>
      <c r="AM203" s="60">
        <v>3832</v>
      </c>
      <c r="AN203" s="60">
        <v>446</v>
      </c>
      <c r="AO203" s="60">
        <v>38968</v>
      </c>
      <c r="AP203" s="60">
        <v>1161</v>
      </c>
      <c r="AQ203" s="60">
        <v>1273</v>
      </c>
      <c r="AR203" s="60">
        <v>268</v>
      </c>
      <c r="AS203" s="60">
        <v>135</v>
      </c>
      <c r="AT203" s="60">
        <v>59</v>
      </c>
      <c r="AU203" s="60">
        <v>103</v>
      </c>
      <c r="AV203" s="60">
        <v>4</v>
      </c>
      <c r="AW203" s="60"/>
      <c r="AX203" s="60">
        <v>492</v>
      </c>
      <c r="AY203" s="60">
        <v>538</v>
      </c>
      <c r="AZ203" s="60">
        <v>4</v>
      </c>
      <c r="BA203" s="60">
        <v>60435</v>
      </c>
      <c r="BB203" s="60">
        <v>160</v>
      </c>
      <c r="BC203" s="60">
        <v>142</v>
      </c>
      <c r="BD203" s="60"/>
      <c r="BE203" s="60">
        <v>15403</v>
      </c>
      <c r="BF203" s="60">
        <v>8075</v>
      </c>
      <c r="BG203" s="60">
        <v>6257</v>
      </c>
      <c r="BH203" s="60">
        <v>24067</v>
      </c>
      <c r="BI203" s="60">
        <v>10972</v>
      </c>
      <c r="BJ203" s="60">
        <v>2665</v>
      </c>
      <c r="BK203" s="60">
        <v>318</v>
      </c>
      <c r="BL203" s="60">
        <v>1775</v>
      </c>
      <c r="BM203" s="60">
        <v>13</v>
      </c>
      <c r="BN203" s="60">
        <v>3376</v>
      </c>
      <c r="BO203" s="60">
        <v>1007</v>
      </c>
      <c r="BP203" s="60">
        <v>4049</v>
      </c>
      <c r="BQ203" s="60">
        <v>868</v>
      </c>
      <c r="BR203" s="60">
        <v>15821</v>
      </c>
      <c r="BS203" s="60">
        <v>3834</v>
      </c>
      <c r="BT203" s="60">
        <v>82</v>
      </c>
      <c r="BU203" s="60">
        <v>3790</v>
      </c>
      <c r="BV203" s="60">
        <v>1698</v>
      </c>
      <c r="BW203" s="60">
        <v>183</v>
      </c>
      <c r="BX203" s="60">
        <v>1854</v>
      </c>
      <c r="BY203" s="60">
        <v>6477</v>
      </c>
      <c r="BZ203" s="60">
        <v>2190</v>
      </c>
      <c r="CA203" s="60">
        <v>14774</v>
      </c>
      <c r="CB203" s="60"/>
      <c r="CC203" s="60"/>
      <c r="CD203" s="60">
        <v>5243</v>
      </c>
      <c r="CE203" s="60">
        <v>352</v>
      </c>
      <c r="CF203" s="60">
        <v>714</v>
      </c>
      <c r="CG203" s="60">
        <v>38</v>
      </c>
      <c r="CH203" s="60">
        <v>712</v>
      </c>
      <c r="CI203" s="60">
        <v>49</v>
      </c>
      <c r="CJ203" s="60">
        <v>491</v>
      </c>
      <c r="CK203" s="60">
        <v>851</v>
      </c>
      <c r="CL203" s="60">
        <v>46720</v>
      </c>
      <c r="CM203" s="60">
        <v>5876</v>
      </c>
      <c r="CN203" s="60">
        <v>474</v>
      </c>
      <c r="CO203" s="60">
        <v>2535</v>
      </c>
      <c r="CP203" s="60">
        <v>288</v>
      </c>
      <c r="CQ203" s="60">
        <v>374</v>
      </c>
      <c r="CR203" s="60">
        <v>57</v>
      </c>
      <c r="CS203" s="60"/>
      <c r="CT203" s="60">
        <v>64774</v>
      </c>
      <c r="CU203" s="60">
        <v>697</v>
      </c>
      <c r="CV203" s="60">
        <v>61831</v>
      </c>
      <c r="CW203" s="60">
        <v>2246</v>
      </c>
      <c r="CX203" s="60">
        <v>5818</v>
      </c>
      <c r="CY203" s="60">
        <v>4910</v>
      </c>
      <c r="CZ203" s="60"/>
      <c r="DA203" s="60"/>
      <c r="DB203" s="60">
        <v>223</v>
      </c>
      <c r="DC203" s="60">
        <v>611</v>
      </c>
      <c r="DD203" s="60">
        <v>704</v>
      </c>
      <c r="DE203" s="60">
        <v>1269</v>
      </c>
      <c r="DF203" s="60">
        <v>1675</v>
      </c>
      <c r="DG203" s="60">
        <v>1809</v>
      </c>
      <c r="DH203" s="60">
        <v>2016</v>
      </c>
      <c r="DI203" s="60">
        <v>2406</v>
      </c>
      <c r="DJ203" s="60">
        <v>7</v>
      </c>
      <c r="DK203" s="60">
        <v>8</v>
      </c>
      <c r="DL203" s="60"/>
      <c r="DM203" s="60">
        <v>416</v>
      </c>
      <c r="DN203" s="60">
        <v>627</v>
      </c>
      <c r="DO203" s="60">
        <v>1611</v>
      </c>
      <c r="DP203" s="60">
        <v>472</v>
      </c>
      <c r="DQ203" s="60">
        <v>59</v>
      </c>
      <c r="DR203" s="60">
        <v>7516</v>
      </c>
      <c r="DS203" s="60">
        <v>27</v>
      </c>
      <c r="DT203" s="60">
        <v>664</v>
      </c>
      <c r="DU203" s="60">
        <v>192</v>
      </c>
      <c r="DV203" s="60">
        <v>303</v>
      </c>
      <c r="DW203" s="60">
        <v>1087</v>
      </c>
      <c r="DX203" s="60">
        <v>158</v>
      </c>
      <c r="DY203" s="60"/>
      <c r="DZ203" s="60">
        <v>86</v>
      </c>
      <c r="EA203" s="60">
        <v>7188</v>
      </c>
      <c r="EB203" s="60">
        <v>1039</v>
      </c>
      <c r="EC203" s="60">
        <v>11</v>
      </c>
      <c r="ED203" s="60">
        <v>0</v>
      </c>
      <c r="EE203" s="60">
        <v>0</v>
      </c>
      <c r="EF203" s="60">
        <v>0</v>
      </c>
      <c r="EG203" s="60">
        <v>0</v>
      </c>
      <c r="EH203" s="60">
        <v>0</v>
      </c>
      <c r="EI203" s="60">
        <v>1226</v>
      </c>
      <c r="EJ203" s="60">
        <v>5886</v>
      </c>
      <c r="EK203" s="60">
        <v>365</v>
      </c>
      <c r="EL203" s="60">
        <v>2489</v>
      </c>
      <c r="EM203" s="60">
        <v>762</v>
      </c>
      <c r="EN203" s="60">
        <v>97</v>
      </c>
      <c r="EO203" s="60">
        <v>233</v>
      </c>
      <c r="EP203" s="60">
        <v>2149</v>
      </c>
      <c r="EQ203" s="60">
        <v>3</v>
      </c>
      <c r="ER203" s="60">
        <v>1803</v>
      </c>
      <c r="ES203" s="60">
        <v>475</v>
      </c>
      <c r="ET203" s="60">
        <v>519</v>
      </c>
      <c r="EU203" s="60">
        <v>531</v>
      </c>
      <c r="EV203" s="60">
        <v>1363</v>
      </c>
      <c r="EW203" s="60">
        <v>270</v>
      </c>
      <c r="EX203" s="60">
        <v>234</v>
      </c>
      <c r="EY203" s="60">
        <v>262</v>
      </c>
      <c r="EZ203" s="60">
        <v>5</v>
      </c>
      <c r="FA203" s="60">
        <v>128</v>
      </c>
      <c r="FB203" s="60">
        <v>1132</v>
      </c>
      <c r="FC203" s="60">
        <v>203</v>
      </c>
      <c r="FD203" s="60">
        <v>1314</v>
      </c>
      <c r="FE203" s="60"/>
      <c r="FF203" s="60">
        <v>7</v>
      </c>
      <c r="FG203" s="60"/>
      <c r="FH203" s="60">
        <v>703</v>
      </c>
      <c r="FI203" s="60">
        <v>87</v>
      </c>
      <c r="FJ203" s="60">
        <v>636</v>
      </c>
      <c r="FK203" s="60">
        <v>53</v>
      </c>
      <c r="FL203" s="60">
        <v>35</v>
      </c>
      <c r="FM203" s="60">
        <v>512</v>
      </c>
      <c r="FN203" s="60">
        <v>30</v>
      </c>
      <c r="FO203" s="60">
        <v>8059</v>
      </c>
      <c r="FP203" s="60">
        <v>132</v>
      </c>
      <c r="FQ203" s="60">
        <v>45</v>
      </c>
      <c r="FR203" s="60">
        <v>300</v>
      </c>
      <c r="FS203" s="60">
        <v>79</v>
      </c>
      <c r="FT203" s="60">
        <v>39</v>
      </c>
      <c r="FU203" s="60">
        <v>15</v>
      </c>
      <c r="FV203" s="60">
        <v>3</v>
      </c>
      <c r="FW203" s="60"/>
      <c r="FX203" s="60">
        <v>10728</v>
      </c>
      <c r="FY203" s="60">
        <v>246</v>
      </c>
      <c r="FZ203" s="60">
        <v>10026</v>
      </c>
      <c r="GA203" s="60">
        <v>456</v>
      </c>
      <c r="GB203" s="60">
        <v>2011</v>
      </c>
    </row>
    <row r="204" spans="1:184" x14ac:dyDescent="0.3">
      <c r="A204" s="60">
        <v>106334487</v>
      </c>
      <c r="B204" s="61" t="s">
        <v>804</v>
      </c>
      <c r="C204" s="61" t="s">
        <v>805</v>
      </c>
      <c r="D204" s="61" t="s">
        <v>806</v>
      </c>
      <c r="E204" s="61" t="s">
        <v>799</v>
      </c>
      <c r="F204" s="60">
        <v>92555</v>
      </c>
      <c r="G204" s="61" t="s">
        <v>477</v>
      </c>
      <c r="H204" s="61" t="s">
        <v>1689</v>
      </c>
      <c r="I204" s="60">
        <v>65</v>
      </c>
      <c r="J204" s="60">
        <v>37</v>
      </c>
      <c r="K204" s="61" t="s">
        <v>1954</v>
      </c>
      <c r="L204" s="61"/>
      <c r="M204" s="61" t="s">
        <v>1755</v>
      </c>
      <c r="N204" s="61" t="s">
        <v>1943</v>
      </c>
      <c r="O204" s="61" t="s">
        <v>1673</v>
      </c>
      <c r="P204" s="61" t="s">
        <v>1690</v>
      </c>
      <c r="Q204" s="61" t="s">
        <v>1674</v>
      </c>
      <c r="R204" s="60">
        <v>362</v>
      </c>
      <c r="S204" s="61" t="s">
        <v>1675</v>
      </c>
      <c r="T204" s="60">
        <v>45421</v>
      </c>
      <c r="U204" s="60">
        <v>40953</v>
      </c>
      <c r="V204" s="60"/>
      <c r="W204" s="60"/>
      <c r="X204" s="60">
        <v>8550</v>
      </c>
      <c r="Y204" s="60">
        <v>8270</v>
      </c>
      <c r="Z204" s="60">
        <v>17452</v>
      </c>
      <c r="AA204" s="60">
        <v>13265</v>
      </c>
      <c r="AB204" s="60">
        <v>14830</v>
      </c>
      <c r="AC204" s="60">
        <v>14085</v>
      </c>
      <c r="AD204" s="60">
        <v>5810</v>
      </c>
      <c r="AE204" s="60">
        <v>1371</v>
      </c>
      <c r="AF204" s="60">
        <v>697</v>
      </c>
      <c r="AG204" s="60">
        <v>2044</v>
      </c>
      <c r="AH204" s="60"/>
      <c r="AI204" s="60">
        <v>1277</v>
      </c>
      <c r="AJ204" s="60">
        <v>15268</v>
      </c>
      <c r="AK204" s="60">
        <v>44922</v>
      </c>
      <c r="AL204" s="60">
        <v>89</v>
      </c>
      <c r="AM204" s="60">
        <v>993</v>
      </c>
      <c r="AN204" s="60">
        <v>737</v>
      </c>
      <c r="AO204" s="60">
        <v>23088</v>
      </c>
      <c r="AP204" s="60">
        <v>117</v>
      </c>
      <c r="AQ204" s="60">
        <v>687</v>
      </c>
      <c r="AR204" s="60"/>
      <c r="AS204" s="60">
        <v>94</v>
      </c>
      <c r="AT204" s="60"/>
      <c r="AU204" s="60">
        <v>2</v>
      </c>
      <c r="AV204" s="60"/>
      <c r="AW204" s="60"/>
      <c r="AX204" s="60"/>
      <c r="AY204" s="60">
        <v>825</v>
      </c>
      <c r="AZ204" s="60"/>
      <c r="BA204" s="60">
        <v>84589</v>
      </c>
      <c r="BB204" s="60">
        <v>24</v>
      </c>
      <c r="BC204" s="60">
        <v>36</v>
      </c>
      <c r="BD204" s="60"/>
      <c r="BE204" s="60">
        <v>25555</v>
      </c>
      <c r="BF204" s="60">
        <v>3886</v>
      </c>
      <c r="BG204" s="60">
        <v>16938</v>
      </c>
      <c r="BH204" s="60">
        <v>4916</v>
      </c>
      <c r="BI204" s="60">
        <v>35079</v>
      </c>
      <c r="BJ204" s="60">
        <v>2043</v>
      </c>
      <c r="BK204" s="60">
        <v>196</v>
      </c>
      <c r="BL204" s="60">
        <v>1718</v>
      </c>
      <c r="BM204" s="60">
        <v>38</v>
      </c>
      <c r="BN204" s="60">
        <v>6057</v>
      </c>
      <c r="BO204" s="60">
        <v>1440</v>
      </c>
      <c r="BP204" s="60">
        <v>5815</v>
      </c>
      <c r="BQ204" s="60">
        <v>1815</v>
      </c>
      <c r="BR204" s="60">
        <v>15083</v>
      </c>
      <c r="BS204" s="60">
        <v>6640</v>
      </c>
      <c r="BT204" s="60">
        <v>271</v>
      </c>
      <c r="BU204" s="60">
        <v>5568</v>
      </c>
      <c r="BV204" s="60">
        <v>9321</v>
      </c>
      <c r="BW204" s="60">
        <v>69</v>
      </c>
      <c r="BX204" s="60">
        <v>2112</v>
      </c>
      <c r="BY204" s="60">
        <v>9014</v>
      </c>
      <c r="BZ204" s="60">
        <v>4347</v>
      </c>
      <c r="CA204" s="60">
        <v>14821</v>
      </c>
      <c r="CB204" s="60">
        <v>6</v>
      </c>
      <c r="CC204" s="60"/>
      <c r="CD204" s="60">
        <v>4046</v>
      </c>
      <c r="CE204" s="60">
        <v>153</v>
      </c>
      <c r="CF204" s="60">
        <v>309</v>
      </c>
      <c r="CG204" s="60">
        <v>12</v>
      </c>
      <c r="CH204" s="60">
        <v>1262</v>
      </c>
      <c r="CI204" s="60">
        <v>58</v>
      </c>
      <c r="CJ204" s="60">
        <v>118</v>
      </c>
      <c r="CK204" s="60">
        <v>523</v>
      </c>
      <c r="CL204" s="60">
        <v>71659</v>
      </c>
      <c r="CM204" s="60">
        <v>5272</v>
      </c>
      <c r="CN204" s="60">
        <v>290</v>
      </c>
      <c r="CO204" s="60">
        <v>1978</v>
      </c>
      <c r="CP204" s="60">
        <v>245</v>
      </c>
      <c r="CQ204" s="60">
        <v>412</v>
      </c>
      <c r="CR204" s="60">
        <v>37</v>
      </c>
      <c r="CS204" s="60"/>
      <c r="CT204" s="60">
        <v>86374</v>
      </c>
      <c r="CU204" s="60">
        <v>572</v>
      </c>
      <c r="CV204" s="60">
        <v>71498</v>
      </c>
      <c r="CW204" s="60">
        <v>14304</v>
      </c>
      <c r="CX204" s="60">
        <v>5489</v>
      </c>
      <c r="CY204" s="60">
        <v>6095</v>
      </c>
      <c r="CZ204" s="60"/>
      <c r="DA204" s="60"/>
      <c r="DB204" s="60">
        <v>494</v>
      </c>
      <c r="DC204" s="60">
        <v>1253</v>
      </c>
      <c r="DD204" s="60">
        <v>1205</v>
      </c>
      <c r="DE204" s="60">
        <v>2072</v>
      </c>
      <c r="DF204" s="60">
        <v>2803</v>
      </c>
      <c r="DG204" s="60">
        <v>1588</v>
      </c>
      <c r="DH204" s="60">
        <v>812</v>
      </c>
      <c r="DI204" s="60">
        <v>628</v>
      </c>
      <c r="DJ204" s="60">
        <v>235</v>
      </c>
      <c r="DK204" s="60">
        <v>494</v>
      </c>
      <c r="DL204" s="60"/>
      <c r="DM204" s="60">
        <v>256</v>
      </c>
      <c r="DN204" s="60">
        <v>1975</v>
      </c>
      <c r="DO204" s="60">
        <v>5735</v>
      </c>
      <c r="DP204" s="60">
        <v>135</v>
      </c>
      <c r="DQ204" s="60">
        <v>21</v>
      </c>
      <c r="DR204" s="60">
        <v>3443</v>
      </c>
      <c r="DS204" s="60">
        <v>19</v>
      </c>
      <c r="DT204" s="60">
        <v>304</v>
      </c>
      <c r="DU204" s="60">
        <v>280</v>
      </c>
      <c r="DV204" s="60">
        <v>204</v>
      </c>
      <c r="DW204" s="60">
        <v>585</v>
      </c>
      <c r="DX204" s="60">
        <v>196</v>
      </c>
      <c r="DY204" s="60">
        <v>11</v>
      </c>
      <c r="DZ204" s="60">
        <v>93</v>
      </c>
      <c r="EA204" s="60">
        <v>8865</v>
      </c>
      <c r="EB204" s="60">
        <v>348</v>
      </c>
      <c r="EC204" s="60">
        <v>698</v>
      </c>
      <c r="ED204" s="60">
        <v>0</v>
      </c>
      <c r="EE204" s="60">
        <v>0</v>
      </c>
      <c r="EF204" s="60">
        <v>0</v>
      </c>
      <c r="EG204" s="60">
        <v>0</v>
      </c>
      <c r="EH204" s="60">
        <v>0</v>
      </c>
      <c r="EI204" s="60">
        <v>2214</v>
      </c>
      <c r="EJ204" s="60">
        <v>1464</v>
      </c>
      <c r="EK204" s="60">
        <v>989</v>
      </c>
      <c r="EL204" s="60">
        <v>2732</v>
      </c>
      <c r="EM204" s="60">
        <v>4185</v>
      </c>
      <c r="EN204" s="60">
        <v>154</v>
      </c>
      <c r="EO204" s="60">
        <v>303</v>
      </c>
      <c r="EP204" s="60">
        <v>1801</v>
      </c>
      <c r="EQ204" s="60">
        <v>10</v>
      </c>
      <c r="ER204" s="60">
        <v>1750</v>
      </c>
      <c r="ES204" s="60">
        <v>859</v>
      </c>
      <c r="ET204" s="60">
        <v>666</v>
      </c>
      <c r="EU204" s="60">
        <v>651</v>
      </c>
      <c r="EV204" s="60">
        <v>1246</v>
      </c>
      <c r="EW204" s="60">
        <v>260</v>
      </c>
      <c r="EX204" s="60">
        <v>306</v>
      </c>
      <c r="EY204" s="60">
        <v>418</v>
      </c>
      <c r="EZ204" s="60">
        <v>28</v>
      </c>
      <c r="FA204" s="60">
        <v>261</v>
      </c>
      <c r="FB204" s="60">
        <v>1033</v>
      </c>
      <c r="FC204" s="60">
        <v>426</v>
      </c>
      <c r="FD204" s="60">
        <v>1372</v>
      </c>
      <c r="FE204" s="60">
        <v>1</v>
      </c>
      <c r="FF204" s="60">
        <v>39</v>
      </c>
      <c r="FG204" s="60"/>
      <c r="FH204" s="60">
        <v>326</v>
      </c>
      <c r="FI204" s="60">
        <v>50</v>
      </c>
      <c r="FJ204" s="60">
        <v>395</v>
      </c>
      <c r="FK204" s="60">
        <v>118</v>
      </c>
      <c r="FL204" s="60">
        <v>35</v>
      </c>
      <c r="FM204" s="60">
        <v>225</v>
      </c>
      <c r="FN204" s="60">
        <v>28</v>
      </c>
      <c r="FO204" s="60">
        <v>9794</v>
      </c>
      <c r="FP204" s="60">
        <v>84</v>
      </c>
      <c r="FQ204" s="60">
        <v>38</v>
      </c>
      <c r="FR204" s="60">
        <v>334</v>
      </c>
      <c r="FS204" s="60">
        <v>92</v>
      </c>
      <c r="FT204" s="60">
        <v>48</v>
      </c>
      <c r="FU204" s="60">
        <v>16</v>
      </c>
      <c r="FV204" s="60">
        <v>1</v>
      </c>
      <c r="FW204" s="60"/>
      <c r="FX204" s="60">
        <v>11584</v>
      </c>
      <c r="FY204" s="60">
        <v>138</v>
      </c>
      <c r="FZ204" s="60">
        <v>8993</v>
      </c>
      <c r="GA204" s="60">
        <v>2453</v>
      </c>
      <c r="GB204" s="60">
        <v>2011</v>
      </c>
    </row>
    <row r="205" spans="1:184" x14ac:dyDescent="0.3">
      <c r="A205" s="60">
        <v>106334589</v>
      </c>
      <c r="B205" s="61" t="s">
        <v>807</v>
      </c>
      <c r="C205" s="61" t="s">
        <v>808</v>
      </c>
      <c r="D205" s="61" t="s">
        <v>809</v>
      </c>
      <c r="E205" s="61" t="s">
        <v>803</v>
      </c>
      <c r="F205" s="60">
        <v>92563</v>
      </c>
      <c r="G205" s="61"/>
      <c r="H205" s="61" t="s">
        <v>1669</v>
      </c>
      <c r="I205" s="60">
        <v>64</v>
      </c>
      <c r="J205" s="60">
        <v>36</v>
      </c>
      <c r="K205" s="61" t="s">
        <v>1959</v>
      </c>
      <c r="L205" s="61"/>
      <c r="M205" s="61" t="s">
        <v>1755</v>
      </c>
      <c r="N205" s="61" t="s">
        <v>1943</v>
      </c>
      <c r="O205" s="61" t="s">
        <v>1673</v>
      </c>
      <c r="P205" s="61" t="s">
        <v>321</v>
      </c>
      <c r="Q205" s="61" t="s">
        <v>1674</v>
      </c>
      <c r="R205" s="60">
        <v>106</v>
      </c>
      <c r="S205" s="61" t="s">
        <v>1675</v>
      </c>
      <c r="T205" s="60">
        <v>6828</v>
      </c>
      <c r="U205" s="60">
        <v>4917</v>
      </c>
      <c r="V205" s="60"/>
      <c r="W205" s="60">
        <v>2</v>
      </c>
      <c r="X205" s="60">
        <v>1483</v>
      </c>
      <c r="Y205" s="60">
        <v>1382</v>
      </c>
      <c r="Z205" s="60">
        <v>1783</v>
      </c>
      <c r="AA205" s="60">
        <v>1659</v>
      </c>
      <c r="AB205" s="60">
        <v>1585</v>
      </c>
      <c r="AC205" s="60">
        <v>1218</v>
      </c>
      <c r="AD205" s="60">
        <v>968</v>
      </c>
      <c r="AE205" s="60">
        <v>741</v>
      </c>
      <c r="AF205" s="60">
        <v>622</v>
      </c>
      <c r="AG205" s="60">
        <v>304</v>
      </c>
      <c r="AH205" s="60">
        <v>2</v>
      </c>
      <c r="AI205" s="60">
        <v>275</v>
      </c>
      <c r="AJ205" s="60">
        <v>857</v>
      </c>
      <c r="AK205" s="60">
        <v>2126</v>
      </c>
      <c r="AL205" s="60">
        <v>17</v>
      </c>
      <c r="AM205" s="60">
        <v>1155</v>
      </c>
      <c r="AN205" s="60">
        <v>1</v>
      </c>
      <c r="AO205" s="60">
        <v>7316</v>
      </c>
      <c r="AP205" s="60">
        <v>453</v>
      </c>
      <c r="AQ205" s="60">
        <v>325</v>
      </c>
      <c r="AR205" s="60">
        <v>39</v>
      </c>
      <c r="AS205" s="60">
        <v>7</v>
      </c>
      <c r="AT205" s="60">
        <v>28</v>
      </c>
      <c r="AU205" s="60">
        <v>3</v>
      </c>
      <c r="AV205" s="60">
        <v>12</v>
      </c>
      <c r="AW205" s="60">
        <v>8</v>
      </c>
      <c r="AX205" s="60"/>
      <c r="AY205" s="60">
        <v>33</v>
      </c>
      <c r="AZ205" s="60">
        <v>42</v>
      </c>
      <c r="BA205" s="60">
        <v>10634</v>
      </c>
      <c r="BB205" s="60">
        <v>32</v>
      </c>
      <c r="BC205" s="60">
        <v>131</v>
      </c>
      <c r="BD205" s="60"/>
      <c r="BE205" s="60">
        <v>797</v>
      </c>
      <c r="BF205" s="60">
        <v>1930</v>
      </c>
      <c r="BG205" s="60">
        <v>532</v>
      </c>
      <c r="BH205" s="60">
        <v>6433</v>
      </c>
      <c r="BI205" s="60">
        <v>2055</v>
      </c>
      <c r="BJ205" s="60">
        <v>360</v>
      </c>
      <c r="BK205" s="60">
        <v>38</v>
      </c>
      <c r="BL205" s="60">
        <v>328</v>
      </c>
      <c r="BM205" s="60">
        <v>3</v>
      </c>
      <c r="BN205" s="60">
        <v>684</v>
      </c>
      <c r="BO205" s="60">
        <v>129</v>
      </c>
      <c r="BP205" s="60">
        <v>857</v>
      </c>
      <c r="BQ205" s="60">
        <v>166</v>
      </c>
      <c r="BR205" s="60">
        <v>2671</v>
      </c>
      <c r="BS205" s="60">
        <v>792</v>
      </c>
      <c r="BT205" s="60">
        <v>27</v>
      </c>
      <c r="BU205" s="60">
        <v>524</v>
      </c>
      <c r="BV205" s="60">
        <v>428</v>
      </c>
      <c r="BW205" s="60">
        <v>22</v>
      </c>
      <c r="BX205" s="60">
        <v>245</v>
      </c>
      <c r="BY205" s="60">
        <v>921</v>
      </c>
      <c r="BZ205" s="60">
        <v>430</v>
      </c>
      <c r="CA205" s="60">
        <v>3122</v>
      </c>
      <c r="CB205" s="60"/>
      <c r="CC205" s="60"/>
      <c r="CD205" s="60">
        <v>917</v>
      </c>
      <c r="CE205" s="60">
        <v>43</v>
      </c>
      <c r="CF205" s="60">
        <v>90</v>
      </c>
      <c r="CG205" s="60">
        <v>3</v>
      </c>
      <c r="CH205" s="60">
        <v>83</v>
      </c>
      <c r="CI205" s="60">
        <v>57</v>
      </c>
      <c r="CJ205" s="60">
        <v>101</v>
      </c>
      <c r="CK205" s="60">
        <v>148</v>
      </c>
      <c r="CL205" s="60">
        <v>8681</v>
      </c>
      <c r="CM205" s="60">
        <v>1087</v>
      </c>
      <c r="CN205" s="60">
        <v>77</v>
      </c>
      <c r="CO205" s="60">
        <v>359</v>
      </c>
      <c r="CP205" s="60">
        <v>18</v>
      </c>
      <c r="CQ205" s="60">
        <v>78</v>
      </c>
      <c r="CR205" s="60">
        <v>5</v>
      </c>
      <c r="CS205" s="60"/>
      <c r="CT205" s="60">
        <v>11747</v>
      </c>
      <c r="CU205" s="60">
        <v>17</v>
      </c>
      <c r="CV205" s="60">
        <v>11691</v>
      </c>
      <c r="CW205" s="60">
        <v>39</v>
      </c>
      <c r="CX205" s="60">
        <v>426</v>
      </c>
      <c r="CY205" s="60">
        <v>293</v>
      </c>
      <c r="CZ205" s="60"/>
      <c r="DA205" s="60"/>
      <c r="DB205" s="60">
        <v>12</v>
      </c>
      <c r="DC205" s="60">
        <v>60</v>
      </c>
      <c r="DD205" s="60">
        <v>59</v>
      </c>
      <c r="DE205" s="60">
        <v>92</v>
      </c>
      <c r="DF205" s="60">
        <v>115</v>
      </c>
      <c r="DG205" s="60">
        <v>114</v>
      </c>
      <c r="DH205" s="60">
        <v>132</v>
      </c>
      <c r="DI205" s="60">
        <v>135</v>
      </c>
      <c r="DJ205" s="60"/>
      <c r="DK205" s="60"/>
      <c r="DL205" s="60"/>
      <c r="DM205" s="60">
        <v>22</v>
      </c>
      <c r="DN205" s="60">
        <v>50</v>
      </c>
      <c r="DO205" s="60">
        <v>87</v>
      </c>
      <c r="DP205" s="60">
        <v>54</v>
      </c>
      <c r="DQ205" s="60"/>
      <c r="DR205" s="60">
        <v>506</v>
      </c>
      <c r="DS205" s="60"/>
      <c r="DT205" s="60">
        <v>55</v>
      </c>
      <c r="DU205" s="60">
        <v>1</v>
      </c>
      <c r="DV205" s="60">
        <v>24</v>
      </c>
      <c r="DW205" s="60"/>
      <c r="DX205" s="60">
        <v>11</v>
      </c>
      <c r="DY205" s="60">
        <v>540</v>
      </c>
      <c r="DZ205" s="60">
        <v>35</v>
      </c>
      <c r="EA205" s="60">
        <v>1</v>
      </c>
      <c r="EB205" s="60">
        <v>11</v>
      </c>
      <c r="EC205" s="60">
        <v>41</v>
      </c>
      <c r="ED205" s="60">
        <v>0</v>
      </c>
      <c r="EE205" s="60">
        <v>0</v>
      </c>
      <c r="EF205" s="60">
        <v>0</v>
      </c>
      <c r="EG205" s="60">
        <v>0</v>
      </c>
      <c r="EH205" s="60">
        <v>0</v>
      </c>
      <c r="EI205" s="60">
        <v>73</v>
      </c>
      <c r="EJ205" s="60">
        <v>342</v>
      </c>
      <c r="EK205" s="60">
        <v>3</v>
      </c>
      <c r="EL205" s="60">
        <v>249</v>
      </c>
      <c r="EM205" s="60">
        <v>52</v>
      </c>
      <c r="EN205" s="60">
        <v>44</v>
      </c>
      <c r="EO205" s="60">
        <v>23</v>
      </c>
      <c r="EP205" s="60">
        <v>157</v>
      </c>
      <c r="EQ205" s="60"/>
      <c r="ER205" s="60">
        <v>113</v>
      </c>
      <c r="ES205" s="60">
        <v>21</v>
      </c>
      <c r="ET205" s="60">
        <v>32</v>
      </c>
      <c r="EU205" s="60">
        <v>30</v>
      </c>
      <c r="EV205" s="60">
        <v>40</v>
      </c>
      <c r="EW205" s="60">
        <v>11</v>
      </c>
      <c r="EX205" s="60">
        <v>13</v>
      </c>
      <c r="EY205" s="60">
        <v>12</v>
      </c>
      <c r="EZ205" s="60"/>
      <c r="FA205" s="60">
        <v>3</v>
      </c>
      <c r="FB205" s="60">
        <v>61</v>
      </c>
      <c r="FC205" s="60">
        <v>20</v>
      </c>
      <c r="FD205" s="60">
        <v>139</v>
      </c>
      <c r="FE205" s="60"/>
      <c r="FF205" s="60"/>
      <c r="FG205" s="60"/>
      <c r="FH205" s="60">
        <v>20</v>
      </c>
      <c r="FI205" s="60">
        <v>3</v>
      </c>
      <c r="FJ205" s="60">
        <v>38</v>
      </c>
      <c r="FK205" s="60">
        <v>1</v>
      </c>
      <c r="FL205" s="60">
        <v>1</v>
      </c>
      <c r="FM205" s="60">
        <v>31</v>
      </c>
      <c r="FN205" s="60">
        <v>3</v>
      </c>
      <c r="FO205" s="60">
        <v>613</v>
      </c>
      <c r="FP205" s="60">
        <v>5</v>
      </c>
      <c r="FQ205" s="60"/>
      <c r="FR205" s="60">
        <v>1</v>
      </c>
      <c r="FS205" s="60">
        <v>2</v>
      </c>
      <c r="FT205" s="60"/>
      <c r="FU205" s="60">
        <v>1</v>
      </c>
      <c r="FV205" s="60"/>
      <c r="FW205" s="60"/>
      <c r="FX205" s="60">
        <v>719</v>
      </c>
      <c r="FY205" s="60">
        <v>1</v>
      </c>
      <c r="FZ205" s="60">
        <v>716</v>
      </c>
      <c r="GA205" s="60">
        <v>2</v>
      </c>
      <c r="GB205" s="60">
        <v>2011</v>
      </c>
    </row>
    <row r="206" spans="1:184" x14ac:dyDescent="0.3">
      <c r="A206" s="60">
        <v>106340913</v>
      </c>
      <c r="B206" s="61" t="s">
        <v>810</v>
      </c>
      <c r="C206" s="61" t="s">
        <v>1960</v>
      </c>
      <c r="D206" s="61" t="s">
        <v>812</v>
      </c>
      <c r="E206" s="61" t="s">
        <v>811</v>
      </c>
      <c r="F206" s="60">
        <v>95825</v>
      </c>
      <c r="G206" s="61"/>
      <c r="H206" s="61" t="s">
        <v>1669</v>
      </c>
      <c r="I206" s="60">
        <v>5</v>
      </c>
      <c r="J206" s="60">
        <v>6</v>
      </c>
      <c r="K206" s="61" t="s">
        <v>1961</v>
      </c>
      <c r="L206" s="61"/>
      <c r="M206" s="61" t="s">
        <v>1728</v>
      </c>
      <c r="N206" s="61" t="s">
        <v>1962</v>
      </c>
      <c r="O206" s="61" t="s">
        <v>1673</v>
      </c>
      <c r="P206" s="61" t="s">
        <v>1678</v>
      </c>
      <c r="Q206" s="61" t="s">
        <v>1674</v>
      </c>
      <c r="R206" s="60">
        <v>288</v>
      </c>
      <c r="S206" s="61" t="s">
        <v>1675</v>
      </c>
      <c r="T206" s="60">
        <v>48251</v>
      </c>
      <c r="U206" s="60">
        <v>36446</v>
      </c>
      <c r="V206" s="60">
        <v>3</v>
      </c>
      <c r="W206" s="60"/>
      <c r="X206" s="60">
        <v>8991</v>
      </c>
      <c r="Y206" s="60">
        <v>8977</v>
      </c>
      <c r="Z206" s="60">
        <v>14655</v>
      </c>
      <c r="AA206" s="60">
        <v>10854</v>
      </c>
      <c r="AB206" s="60">
        <v>10526</v>
      </c>
      <c r="AC206" s="60">
        <v>9800</v>
      </c>
      <c r="AD206" s="60">
        <v>7192</v>
      </c>
      <c r="AE206" s="60">
        <v>5599</v>
      </c>
      <c r="AF206" s="60">
        <v>6376</v>
      </c>
      <c r="AG206" s="60">
        <v>1729</v>
      </c>
      <c r="AH206" s="60">
        <v>1</v>
      </c>
      <c r="AI206" s="60">
        <v>4269</v>
      </c>
      <c r="AJ206" s="60">
        <v>15584</v>
      </c>
      <c r="AK206" s="60">
        <v>12458</v>
      </c>
      <c r="AL206" s="60">
        <v>329</v>
      </c>
      <c r="AM206" s="60">
        <v>1360</v>
      </c>
      <c r="AN206" s="60">
        <v>1012</v>
      </c>
      <c r="AO206" s="60">
        <v>49688</v>
      </c>
      <c r="AP206" s="60">
        <v>164</v>
      </c>
      <c r="AQ206" s="60">
        <v>722</v>
      </c>
      <c r="AR206" s="60">
        <v>3</v>
      </c>
      <c r="AS206" s="60">
        <v>147</v>
      </c>
      <c r="AT206" s="60">
        <v>197</v>
      </c>
      <c r="AU206" s="60">
        <v>33</v>
      </c>
      <c r="AV206" s="60">
        <v>63</v>
      </c>
      <c r="AW206" s="60">
        <v>77</v>
      </c>
      <c r="AX206" s="60">
        <v>33</v>
      </c>
      <c r="AY206" s="60">
        <v>1421</v>
      </c>
      <c r="AZ206" s="60">
        <v>24</v>
      </c>
      <c r="BA206" s="60">
        <v>80884</v>
      </c>
      <c r="BB206" s="60">
        <v>620</v>
      </c>
      <c r="BC206" s="60">
        <v>297</v>
      </c>
      <c r="BD206" s="60">
        <v>15</v>
      </c>
      <c r="BE206" s="60">
        <v>16390</v>
      </c>
      <c r="BF206" s="60">
        <v>16282</v>
      </c>
      <c r="BG206" s="60">
        <v>340</v>
      </c>
      <c r="BH206" s="60">
        <v>36812</v>
      </c>
      <c r="BI206" s="60">
        <v>14876</v>
      </c>
      <c r="BJ206" s="60">
        <v>1716</v>
      </c>
      <c r="BK206" s="60">
        <v>317</v>
      </c>
      <c r="BL206" s="60">
        <v>2445</v>
      </c>
      <c r="BM206" s="60">
        <v>16</v>
      </c>
      <c r="BN206" s="60">
        <v>4297</v>
      </c>
      <c r="BO206" s="60">
        <v>1252</v>
      </c>
      <c r="BP206" s="60">
        <v>4233</v>
      </c>
      <c r="BQ206" s="60">
        <v>1512</v>
      </c>
      <c r="BR206" s="60">
        <v>18292</v>
      </c>
      <c r="BS206" s="60">
        <v>6147</v>
      </c>
      <c r="BT206" s="60">
        <v>118</v>
      </c>
      <c r="BU206" s="60">
        <v>4651</v>
      </c>
      <c r="BV206" s="60">
        <v>2188</v>
      </c>
      <c r="BW206" s="60">
        <v>60</v>
      </c>
      <c r="BX206" s="60">
        <v>3789</v>
      </c>
      <c r="BY206" s="60">
        <v>8370</v>
      </c>
      <c r="BZ206" s="60">
        <v>3364</v>
      </c>
      <c r="CA206" s="60">
        <v>21930</v>
      </c>
      <c r="CB206" s="60">
        <v>1</v>
      </c>
      <c r="CC206" s="60">
        <v>2</v>
      </c>
      <c r="CD206" s="60">
        <v>5770</v>
      </c>
      <c r="CE206" s="60">
        <v>238</v>
      </c>
      <c r="CF206" s="60">
        <v>651</v>
      </c>
      <c r="CG206" s="60">
        <v>19</v>
      </c>
      <c r="CH206" s="60">
        <v>800</v>
      </c>
      <c r="CI206" s="60">
        <v>62</v>
      </c>
      <c r="CJ206" s="60">
        <v>217</v>
      </c>
      <c r="CK206" s="60">
        <v>801</v>
      </c>
      <c r="CL206" s="60">
        <v>64791</v>
      </c>
      <c r="CM206" s="60">
        <v>8486</v>
      </c>
      <c r="CN206" s="60">
        <v>428</v>
      </c>
      <c r="CO206" s="60">
        <v>1795</v>
      </c>
      <c r="CP206" s="60">
        <v>179</v>
      </c>
      <c r="CQ206" s="60">
        <v>397</v>
      </c>
      <c r="CR206" s="60">
        <v>66</v>
      </c>
      <c r="CS206" s="60"/>
      <c r="CT206" s="60">
        <v>84700</v>
      </c>
      <c r="CU206" s="60">
        <v>1289</v>
      </c>
      <c r="CV206" s="60">
        <v>80912</v>
      </c>
      <c r="CW206" s="60">
        <v>2499</v>
      </c>
      <c r="CX206" s="60">
        <v>3485</v>
      </c>
      <c r="CY206" s="60">
        <v>2936</v>
      </c>
      <c r="CZ206" s="60">
        <v>1</v>
      </c>
      <c r="DA206" s="60"/>
      <c r="DB206" s="60">
        <v>66</v>
      </c>
      <c r="DC206" s="60">
        <v>287</v>
      </c>
      <c r="DD206" s="60">
        <v>337</v>
      </c>
      <c r="DE206" s="60">
        <v>620</v>
      </c>
      <c r="DF206" s="60">
        <v>1032</v>
      </c>
      <c r="DG206" s="60">
        <v>1242</v>
      </c>
      <c r="DH206" s="60">
        <v>1257</v>
      </c>
      <c r="DI206" s="60">
        <v>1580</v>
      </c>
      <c r="DJ206" s="60"/>
      <c r="DK206" s="60">
        <v>1</v>
      </c>
      <c r="DL206" s="60"/>
      <c r="DM206" s="60">
        <v>361</v>
      </c>
      <c r="DN206" s="60">
        <v>818</v>
      </c>
      <c r="DO206" s="60">
        <v>559</v>
      </c>
      <c r="DP206" s="60">
        <v>73</v>
      </c>
      <c r="DQ206" s="60">
        <v>22</v>
      </c>
      <c r="DR206" s="60">
        <v>4557</v>
      </c>
      <c r="DS206" s="60">
        <v>32</v>
      </c>
      <c r="DT206" s="60">
        <v>208</v>
      </c>
      <c r="DU206" s="60">
        <v>64</v>
      </c>
      <c r="DV206" s="60">
        <v>380</v>
      </c>
      <c r="DW206" s="60">
        <v>640</v>
      </c>
      <c r="DX206" s="60">
        <v>75</v>
      </c>
      <c r="DY206" s="60"/>
      <c r="DZ206" s="60">
        <v>182</v>
      </c>
      <c r="EA206" s="60">
        <v>3734</v>
      </c>
      <c r="EB206" s="60">
        <v>1139</v>
      </c>
      <c r="EC206" s="60"/>
      <c r="ED206" s="60">
        <v>0</v>
      </c>
      <c r="EE206" s="60">
        <v>0</v>
      </c>
      <c r="EF206" s="60">
        <v>0</v>
      </c>
      <c r="EG206" s="60">
        <v>0</v>
      </c>
      <c r="EH206" s="60">
        <v>0</v>
      </c>
      <c r="EI206" s="60">
        <v>468</v>
      </c>
      <c r="EJ206" s="60">
        <v>3637</v>
      </c>
      <c r="EK206" s="60">
        <v>17</v>
      </c>
      <c r="EL206" s="60">
        <v>2012</v>
      </c>
      <c r="EM206" s="60">
        <v>288</v>
      </c>
      <c r="EN206" s="60">
        <v>31</v>
      </c>
      <c r="EO206" s="60">
        <v>82</v>
      </c>
      <c r="EP206" s="60">
        <v>1255</v>
      </c>
      <c r="EQ206" s="60">
        <v>3</v>
      </c>
      <c r="ER206" s="60">
        <v>1041</v>
      </c>
      <c r="ES206" s="60">
        <v>281</v>
      </c>
      <c r="ET206" s="60">
        <v>269</v>
      </c>
      <c r="EU206" s="60">
        <v>1270</v>
      </c>
      <c r="EV206" s="60">
        <v>705</v>
      </c>
      <c r="EW206" s="60">
        <v>131</v>
      </c>
      <c r="EX206" s="60">
        <v>203</v>
      </c>
      <c r="EY206" s="60">
        <v>131</v>
      </c>
      <c r="EZ206" s="60">
        <v>11</v>
      </c>
      <c r="FA206" s="60">
        <v>107</v>
      </c>
      <c r="FB206" s="60">
        <v>511</v>
      </c>
      <c r="FC206" s="60">
        <v>137</v>
      </c>
      <c r="FD206" s="60">
        <v>254</v>
      </c>
      <c r="FE206" s="60"/>
      <c r="FF206" s="60"/>
      <c r="FG206" s="60"/>
      <c r="FH206" s="60">
        <v>402</v>
      </c>
      <c r="FI206" s="60">
        <v>45</v>
      </c>
      <c r="FJ206" s="60">
        <v>503</v>
      </c>
      <c r="FK206" s="60">
        <v>12</v>
      </c>
      <c r="FL206" s="60">
        <v>20</v>
      </c>
      <c r="FM206" s="60">
        <v>363</v>
      </c>
      <c r="FN206" s="60">
        <v>19</v>
      </c>
      <c r="FO206" s="60">
        <v>4850</v>
      </c>
      <c r="FP206" s="60">
        <v>111</v>
      </c>
      <c r="FQ206" s="60">
        <v>12</v>
      </c>
      <c r="FR206" s="60">
        <v>13</v>
      </c>
      <c r="FS206" s="60">
        <v>49</v>
      </c>
      <c r="FT206" s="60">
        <v>12</v>
      </c>
      <c r="FU206" s="60">
        <v>11</v>
      </c>
      <c r="FV206" s="60"/>
      <c r="FW206" s="60"/>
      <c r="FX206" s="60">
        <v>6422</v>
      </c>
      <c r="FY206" s="60">
        <v>125</v>
      </c>
      <c r="FZ206" s="60">
        <v>6197</v>
      </c>
      <c r="GA206" s="60">
        <v>100</v>
      </c>
      <c r="GB206" s="60">
        <v>2011</v>
      </c>
    </row>
    <row r="207" spans="1:184" x14ac:dyDescent="0.3">
      <c r="A207" s="60">
        <v>106340947</v>
      </c>
      <c r="B207" s="61" t="s">
        <v>813</v>
      </c>
      <c r="C207" s="61" t="s">
        <v>814</v>
      </c>
      <c r="D207" s="61" t="s">
        <v>815</v>
      </c>
      <c r="E207" s="61" t="s">
        <v>811</v>
      </c>
      <c r="F207" s="60">
        <v>95819</v>
      </c>
      <c r="G207" s="61"/>
      <c r="H207" s="61" t="s">
        <v>1669</v>
      </c>
      <c r="I207" s="60">
        <v>9</v>
      </c>
      <c r="J207" s="60">
        <v>6</v>
      </c>
      <c r="K207" s="61" t="s">
        <v>1963</v>
      </c>
      <c r="L207" s="61"/>
      <c r="M207" s="61" t="s">
        <v>1728</v>
      </c>
      <c r="N207" s="61" t="s">
        <v>1962</v>
      </c>
      <c r="O207" s="61" t="s">
        <v>1673</v>
      </c>
      <c r="P207" s="61" t="s">
        <v>1678</v>
      </c>
      <c r="Q207" s="61" t="s">
        <v>1674</v>
      </c>
      <c r="R207" s="60">
        <v>304</v>
      </c>
      <c r="S207" s="61" t="s">
        <v>1675</v>
      </c>
      <c r="T207" s="60">
        <v>18108</v>
      </c>
      <c r="U207" s="60">
        <v>12548</v>
      </c>
      <c r="V207" s="60"/>
      <c r="W207" s="60"/>
      <c r="X207" s="60">
        <v>2469</v>
      </c>
      <c r="Y207" s="60">
        <v>2145</v>
      </c>
      <c r="Z207" s="60">
        <v>5400</v>
      </c>
      <c r="AA207" s="60">
        <v>4160</v>
      </c>
      <c r="AB207" s="60">
        <v>4590</v>
      </c>
      <c r="AC207" s="60">
        <v>4706</v>
      </c>
      <c r="AD207" s="60">
        <v>2677</v>
      </c>
      <c r="AE207" s="60">
        <v>1676</v>
      </c>
      <c r="AF207" s="60">
        <v>1953</v>
      </c>
      <c r="AG207" s="60">
        <v>878</v>
      </c>
      <c r="AH207" s="60">
        <v>2</v>
      </c>
      <c r="AI207" s="60">
        <v>2436</v>
      </c>
      <c r="AJ207" s="60">
        <v>6458</v>
      </c>
      <c r="AK207" s="60">
        <v>6371</v>
      </c>
      <c r="AL207" s="60">
        <v>67</v>
      </c>
      <c r="AM207" s="60">
        <v>434</v>
      </c>
      <c r="AN207" s="60">
        <v>321</v>
      </c>
      <c r="AO207" s="60">
        <v>14569</v>
      </c>
      <c r="AP207" s="60">
        <v>118</v>
      </c>
      <c r="AQ207" s="60"/>
      <c r="AR207" s="60">
        <v>100</v>
      </c>
      <c r="AS207" s="60">
        <v>22</v>
      </c>
      <c r="AT207" s="60">
        <v>32</v>
      </c>
      <c r="AU207" s="60">
        <v>1</v>
      </c>
      <c r="AV207" s="60">
        <v>2</v>
      </c>
      <c r="AW207" s="60">
        <v>31</v>
      </c>
      <c r="AX207" s="60">
        <v>25</v>
      </c>
      <c r="AY207" s="60">
        <v>121</v>
      </c>
      <c r="AZ207" s="60">
        <v>5</v>
      </c>
      <c r="BA207" s="60">
        <v>30119</v>
      </c>
      <c r="BB207" s="60">
        <v>78</v>
      </c>
      <c r="BC207" s="60">
        <v>1</v>
      </c>
      <c r="BD207" s="60">
        <v>1</v>
      </c>
      <c r="BE207" s="60">
        <v>10885</v>
      </c>
      <c r="BF207" s="60">
        <v>6308</v>
      </c>
      <c r="BG207" s="60">
        <v>608</v>
      </c>
      <c r="BH207" s="60">
        <v>6331</v>
      </c>
      <c r="BI207" s="60">
        <v>6524</v>
      </c>
      <c r="BJ207" s="60">
        <v>961</v>
      </c>
      <c r="BK207" s="60">
        <v>101</v>
      </c>
      <c r="BL207" s="60">
        <v>763</v>
      </c>
      <c r="BM207" s="60">
        <v>10</v>
      </c>
      <c r="BN207" s="60">
        <v>1625</v>
      </c>
      <c r="BO207" s="60">
        <v>501</v>
      </c>
      <c r="BP207" s="60">
        <v>1971</v>
      </c>
      <c r="BQ207" s="60">
        <v>413</v>
      </c>
      <c r="BR207" s="60">
        <v>5207</v>
      </c>
      <c r="BS207" s="60">
        <v>2685</v>
      </c>
      <c r="BT207" s="60">
        <v>38</v>
      </c>
      <c r="BU207" s="60">
        <v>1499</v>
      </c>
      <c r="BV207" s="60">
        <v>1165</v>
      </c>
      <c r="BW207" s="60">
        <v>57</v>
      </c>
      <c r="BX207" s="60">
        <v>1116</v>
      </c>
      <c r="BY207" s="60">
        <v>2796</v>
      </c>
      <c r="BZ207" s="60">
        <v>1240</v>
      </c>
      <c r="CA207" s="60">
        <v>8508</v>
      </c>
      <c r="CB207" s="60"/>
      <c r="CC207" s="60"/>
      <c r="CD207" s="60">
        <v>1740</v>
      </c>
      <c r="CE207" s="60">
        <v>76</v>
      </c>
      <c r="CF207" s="60">
        <v>232</v>
      </c>
      <c r="CG207" s="60">
        <v>11</v>
      </c>
      <c r="CH207" s="60">
        <v>321</v>
      </c>
      <c r="CI207" s="60">
        <v>17</v>
      </c>
      <c r="CJ207" s="60">
        <v>203</v>
      </c>
      <c r="CK207" s="60">
        <v>227</v>
      </c>
      <c r="CL207" s="60">
        <v>24921</v>
      </c>
      <c r="CM207" s="60">
        <v>2068</v>
      </c>
      <c r="CN207" s="60">
        <v>128</v>
      </c>
      <c r="CO207" s="60">
        <v>490</v>
      </c>
      <c r="CP207" s="60">
        <v>80</v>
      </c>
      <c r="CQ207" s="60">
        <v>105</v>
      </c>
      <c r="CR207" s="60">
        <v>37</v>
      </c>
      <c r="CS207" s="60"/>
      <c r="CT207" s="60">
        <v>30656</v>
      </c>
      <c r="CU207" s="60">
        <v>1336</v>
      </c>
      <c r="CV207" s="60">
        <v>27935</v>
      </c>
      <c r="CW207" s="60">
        <v>1385</v>
      </c>
      <c r="CX207" s="60">
        <v>4015</v>
      </c>
      <c r="CY207" s="60">
        <v>3010</v>
      </c>
      <c r="CZ207" s="60"/>
      <c r="DA207" s="60"/>
      <c r="DB207" s="60">
        <v>104</v>
      </c>
      <c r="DC207" s="60">
        <v>474</v>
      </c>
      <c r="DD207" s="60">
        <v>436</v>
      </c>
      <c r="DE207" s="60">
        <v>811</v>
      </c>
      <c r="DF207" s="60">
        <v>1314</v>
      </c>
      <c r="DG207" s="60">
        <v>1268</v>
      </c>
      <c r="DH207" s="60">
        <v>1044</v>
      </c>
      <c r="DI207" s="60">
        <v>1567</v>
      </c>
      <c r="DJ207" s="60">
        <v>6</v>
      </c>
      <c r="DK207" s="60">
        <v>1</v>
      </c>
      <c r="DL207" s="60"/>
      <c r="DM207" s="60">
        <v>836</v>
      </c>
      <c r="DN207" s="60">
        <v>1097</v>
      </c>
      <c r="DO207" s="60">
        <v>963</v>
      </c>
      <c r="DP207" s="60">
        <v>76</v>
      </c>
      <c r="DQ207" s="60">
        <v>53</v>
      </c>
      <c r="DR207" s="60">
        <v>3974</v>
      </c>
      <c r="DS207" s="60">
        <v>26</v>
      </c>
      <c r="DT207" s="60">
        <v>80</v>
      </c>
      <c r="DU207" s="60">
        <v>87</v>
      </c>
      <c r="DV207" s="60">
        <v>268</v>
      </c>
      <c r="DW207" s="60">
        <v>766</v>
      </c>
      <c r="DX207" s="60">
        <v>213</v>
      </c>
      <c r="DY207" s="60">
        <v>8</v>
      </c>
      <c r="DZ207" s="60">
        <v>4</v>
      </c>
      <c r="EA207" s="60">
        <v>4523</v>
      </c>
      <c r="EB207" s="60">
        <v>1071</v>
      </c>
      <c r="EC207" s="60">
        <v>5</v>
      </c>
      <c r="ED207" s="60">
        <v>0</v>
      </c>
      <c r="EE207" s="60">
        <v>0</v>
      </c>
      <c r="EF207" s="60">
        <v>0</v>
      </c>
      <c r="EG207" s="60">
        <v>0</v>
      </c>
      <c r="EH207" s="60">
        <v>0</v>
      </c>
      <c r="EI207" s="60">
        <v>1537</v>
      </c>
      <c r="EJ207" s="60">
        <v>3620</v>
      </c>
      <c r="EK207" s="60">
        <v>62</v>
      </c>
      <c r="EL207" s="60">
        <v>1066</v>
      </c>
      <c r="EM207" s="60">
        <v>740</v>
      </c>
      <c r="EN207" s="60">
        <v>423</v>
      </c>
      <c r="EO207" s="60">
        <v>121</v>
      </c>
      <c r="EP207" s="60">
        <v>1594</v>
      </c>
      <c r="EQ207" s="60">
        <v>5</v>
      </c>
      <c r="ER207" s="60">
        <v>817</v>
      </c>
      <c r="ES207" s="60">
        <v>281</v>
      </c>
      <c r="ET207" s="60">
        <v>322</v>
      </c>
      <c r="EU207" s="60">
        <v>874</v>
      </c>
      <c r="EV207" s="60">
        <v>569</v>
      </c>
      <c r="EW207" s="60">
        <v>122</v>
      </c>
      <c r="EX207" s="60">
        <v>140</v>
      </c>
      <c r="EY207" s="60">
        <v>144</v>
      </c>
      <c r="EZ207" s="60">
        <v>15</v>
      </c>
      <c r="FA207" s="60">
        <v>112</v>
      </c>
      <c r="FB207" s="60">
        <v>808</v>
      </c>
      <c r="FC207" s="60">
        <v>178</v>
      </c>
      <c r="FD207" s="60">
        <v>494</v>
      </c>
      <c r="FE207" s="60">
        <v>2</v>
      </c>
      <c r="FF207" s="60">
        <v>4</v>
      </c>
      <c r="FG207" s="60"/>
      <c r="FH207" s="60">
        <v>303</v>
      </c>
      <c r="FI207" s="60">
        <v>67</v>
      </c>
      <c r="FJ207" s="60">
        <v>427</v>
      </c>
      <c r="FK207" s="60">
        <v>6</v>
      </c>
      <c r="FL207" s="60">
        <v>16</v>
      </c>
      <c r="FM207" s="60">
        <v>386</v>
      </c>
      <c r="FN207" s="60">
        <v>13</v>
      </c>
      <c r="FO207" s="60">
        <v>5665</v>
      </c>
      <c r="FP207" s="60">
        <v>63</v>
      </c>
      <c r="FQ207" s="60">
        <v>3</v>
      </c>
      <c r="FR207" s="60">
        <v>9</v>
      </c>
      <c r="FS207" s="60">
        <v>46</v>
      </c>
      <c r="FT207" s="60">
        <v>8</v>
      </c>
      <c r="FU207" s="60">
        <v>12</v>
      </c>
      <c r="FV207" s="60">
        <v>1</v>
      </c>
      <c r="FW207" s="60"/>
      <c r="FX207" s="60">
        <v>7025</v>
      </c>
      <c r="FY207" s="60">
        <v>657</v>
      </c>
      <c r="FZ207" s="60">
        <v>6078</v>
      </c>
      <c r="GA207" s="60">
        <v>290</v>
      </c>
      <c r="GB207" s="60">
        <v>2011</v>
      </c>
    </row>
    <row r="208" spans="1:184" x14ac:dyDescent="0.3">
      <c r="A208" s="60">
        <v>106340950</v>
      </c>
      <c r="B208" s="61" t="s">
        <v>816</v>
      </c>
      <c r="C208" s="61" t="s">
        <v>817</v>
      </c>
      <c r="D208" s="61" t="s">
        <v>818</v>
      </c>
      <c r="E208" s="61" t="s">
        <v>819</v>
      </c>
      <c r="F208" s="60">
        <v>95608</v>
      </c>
      <c r="G208" s="61" t="s">
        <v>143</v>
      </c>
      <c r="H208" s="61" t="s">
        <v>1669</v>
      </c>
      <c r="I208" s="60">
        <v>5</v>
      </c>
      <c r="J208" s="60">
        <v>6</v>
      </c>
      <c r="K208" s="61" t="s">
        <v>1964</v>
      </c>
      <c r="L208" s="61"/>
      <c r="M208" s="61" t="s">
        <v>1728</v>
      </c>
      <c r="N208" s="61" t="s">
        <v>1962</v>
      </c>
      <c r="O208" s="61" t="s">
        <v>1673</v>
      </c>
      <c r="P208" s="61" t="s">
        <v>1678</v>
      </c>
      <c r="Q208" s="61" t="s">
        <v>1674</v>
      </c>
      <c r="R208" s="60">
        <v>370</v>
      </c>
      <c r="S208" s="61" t="s">
        <v>1675</v>
      </c>
      <c r="T208" s="60">
        <v>28146</v>
      </c>
      <c r="U208" s="60">
        <v>22160</v>
      </c>
      <c r="V208" s="60">
        <v>3</v>
      </c>
      <c r="W208" s="60">
        <v>1</v>
      </c>
      <c r="X208" s="60">
        <v>5464</v>
      </c>
      <c r="Y208" s="60">
        <v>5305</v>
      </c>
      <c r="Z208" s="60">
        <v>9487</v>
      </c>
      <c r="AA208" s="60">
        <v>7146</v>
      </c>
      <c r="AB208" s="60">
        <v>6908</v>
      </c>
      <c r="AC208" s="60">
        <v>5980</v>
      </c>
      <c r="AD208" s="60">
        <v>3260</v>
      </c>
      <c r="AE208" s="60">
        <v>2318</v>
      </c>
      <c r="AF208" s="60">
        <v>3048</v>
      </c>
      <c r="AG208" s="60">
        <v>1391</v>
      </c>
      <c r="AH208" s="60">
        <v>3</v>
      </c>
      <c r="AI208" s="60">
        <v>1711</v>
      </c>
      <c r="AJ208" s="60">
        <v>6711</v>
      </c>
      <c r="AK208" s="60">
        <v>5851</v>
      </c>
      <c r="AL208" s="60">
        <v>99</v>
      </c>
      <c r="AM208" s="60">
        <v>722</v>
      </c>
      <c r="AN208" s="60">
        <v>557</v>
      </c>
      <c r="AO208" s="60">
        <v>34659</v>
      </c>
      <c r="AP208" s="60">
        <v>256</v>
      </c>
      <c r="AQ208" s="60"/>
      <c r="AR208" s="60">
        <v>230</v>
      </c>
      <c r="AS208" s="60">
        <v>234</v>
      </c>
      <c r="AT208" s="60">
        <v>148</v>
      </c>
      <c r="AU208" s="60">
        <v>9</v>
      </c>
      <c r="AV208" s="60">
        <v>7</v>
      </c>
      <c r="AW208" s="60">
        <v>56</v>
      </c>
      <c r="AX208" s="60">
        <v>204</v>
      </c>
      <c r="AY208" s="60">
        <v>1300</v>
      </c>
      <c r="AZ208" s="60">
        <v>6</v>
      </c>
      <c r="BA208" s="60">
        <v>47270</v>
      </c>
      <c r="BB208" s="60">
        <v>590</v>
      </c>
      <c r="BC208" s="60"/>
      <c r="BD208" s="60"/>
      <c r="BE208" s="60">
        <v>19952</v>
      </c>
      <c r="BF208" s="60">
        <v>8977</v>
      </c>
      <c r="BG208" s="60">
        <v>1363</v>
      </c>
      <c r="BH208" s="60">
        <v>8172</v>
      </c>
      <c r="BI208" s="60">
        <v>11846</v>
      </c>
      <c r="BJ208" s="60">
        <v>1463</v>
      </c>
      <c r="BK208" s="60">
        <v>200</v>
      </c>
      <c r="BL208" s="60">
        <v>1163</v>
      </c>
      <c r="BM208" s="60">
        <v>10</v>
      </c>
      <c r="BN208" s="60">
        <v>2761</v>
      </c>
      <c r="BO208" s="60">
        <v>652</v>
      </c>
      <c r="BP208" s="60">
        <v>3157</v>
      </c>
      <c r="BQ208" s="60">
        <v>947</v>
      </c>
      <c r="BR208" s="60">
        <v>11137</v>
      </c>
      <c r="BS208" s="60">
        <v>3287</v>
      </c>
      <c r="BT208" s="60">
        <v>63</v>
      </c>
      <c r="BU208" s="60">
        <v>2609</v>
      </c>
      <c r="BV208" s="60">
        <v>1842</v>
      </c>
      <c r="BW208" s="60">
        <v>61</v>
      </c>
      <c r="BX208" s="60">
        <v>2209</v>
      </c>
      <c r="BY208" s="60">
        <v>5129</v>
      </c>
      <c r="BZ208" s="60">
        <v>2309</v>
      </c>
      <c r="CA208" s="60">
        <v>11311</v>
      </c>
      <c r="CB208" s="60"/>
      <c r="CC208" s="60"/>
      <c r="CD208" s="60">
        <v>3448</v>
      </c>
      <c r="CE208" s="60">
        <v>311</v>
      </c>
      <c r="CF208" s="60">
        <v>445</v>
      </c>
      <c r="CG208" s="60">
        <v>31</v>
      </c>
      <c r="CH208" s="60">
        <v>805</v>
      </c>
      <c r="CI208" s="60">
        <v>45</v>
      </c>
      <c r="CJ208" s="60">
        <v>287</v>
      </c>
      <c r="CK208" s="60">
        <v>464</v>
      </c>
      <c r="CL208" s="60">
        <v>38030</v>
      </c>
      <c r="CM208" s="60">
        <v>3986</v>
      </c>
      <c r="CN208" s="60">
        <v>293</v>
      </c>
      <c r="CO208" s="60">
        <v>1476</v>
      </c>
      <c r="CP208" s="60">
        <v>332</v>
      </c>
      <c r="CQ208" s="60">
        <v>274</v>
      </c>
      <c r="CR208" s="60">
        <v>83</v>
      </c>
      <c r="CS208" s="60"/>
      <c r="CT208" s="60">
        <v>50310</v>
      </c>
      <c r="CU208" s="60">
        <v>1789</v>
      </c>
      <c r="CV208" s="60">
        <v>47330</v>
      </c>
      <c r="CW208" s="60">
        <v>1191</v>
      </c>
      <c r="CX208" s="60">
        <v>7532</v>
      </c>
      <c r="CY208" s="60">
        <v>6693</v>
      </c>
      <c r="CZ208" s="60">
        <v>1</v>
      </c>
      <c r="DA208" s="60"/>
      <c r="DB208" s="60">
        <v>308</v>
      </c>
      <c r="DC208" s="60">
        <v>961</v>
      </c>
      <c r="DD208" s="60">
        <v>987</v>
      </c>
      <c r="DE208" s="60">
        <v>1553</v>
      </c>
      <c r="DF208" s="60">
        <v>2430</v>
      </c>
      <c r="DG208" s="60">
        <v>2108</v>
      </c>
      <c r="DH208" s="60">
        <v>2179</v>
      </c>
      <c r="DI208" s="60">
        <v>3299</v>
      </c>
      <c r="DJ208" s="60">
        <v>180</v>
      </c>
      <c r="DK208" s="60">
        <v>221</v>
      </c>
      <c r="DL208" s="60"/>
      <c r="DM208" s="60">
        <v>670</v>
      </c>
      <c r="DN208" s="60">
        <v>1244</v>
      </c>
      <c r="DO208" s="60">
        <v>1054</v>
      </c>
      <c r="DP208" s="60">
        <v>138</v>
      </c>
      <c r="DQ208" s="60">
        <v>99</v>
      </c>
      <c r="DR208" s="60">
        <v>10988</v>
      </c>
      <c r="DS208" s="60">
        <v>33</v>
      </c>
      <c r="DT208" s="60">
        <v>272</v>
      </c>
      <c r="DU208" s="60">
        <v>207</v>
      </c>
      <c r="DV208" s="60">
        <v>672</v>
      </c>
      <c r="DW208" s="60">
        <v>1899</v>
      </c>
      <c r="DX208" s="60">
        <v>526</v>
      </c>
      <c r="DY208" s="60">
        <v>20</v>
      </c>
      <c r="DZ208" s="60">
        <v>218</v>
      </c>
      <c r="EA208" s="60">
        <v>8377</v>
      </c>
      <c r="EB208" s="60">
        <v>2009</v>
      </c>
      <c r="EC208" s="60">
        <v>26</v>
      </c>
      <c r="ED208" s="60">
        <v>0</v>
      </c>
      <c r="EE208" s="60">
        <v>0</v>
      </c>
      <c r="EF208" s="60">
        <v>0</v>
      </c>
      <c r="EG208" s="60">
        <v>0</v>
      </c>
      <c r="EH208" s="60">
        <v>0</v>
      </c>
      <c r="EI208" s="60">
        <v>2927</v>
      </c>
      <c r="EJ208" s="60">
        <v>7324</v>
      </c>
      <c r="EK208" s="60">
        <v>268</v>
      </c>
      <c r="EL208" s="60">
        <v>1814</v>
      </c>
      <c r="EM208" s="60">
        <v>1893</v>
      </c>
      <c r="EN208" s="60">
        <v>344</v>
      </c>
      <c r="EO208" s="60">
        <v>176</v>
      </c>
      <c r="EP208" s="60">
        <v>2490</v>
      </c>
      <c r="EQ208" s="60">
        <v>10</v>
      </c>
      <c r="ER208" s="60">
        <v>1543</v>
      </c>
      <c r="ES208" s="60">
        <v>554</v>
      </c>
      <c r="ET208" s="60">
        <v>688</v>
      </c>
      <c r="EU208" s="60">
        <v>2010</v>
      </c>
      <c r="EV208" s="60">
        <v>2082</v>
      </c>
      <c r="EW208" s="60">
        <v>267</v>
      </c>
      <c r="EX208" s="60">
        <v>368</v>
      </c>
      <c r="EY208" s="60">
        <v>427</v>
      </c>
      <c r="EZ208" s="60">
        <v>35</v>
      </c>
      <c r="FA208" s="60">
        <v>436</v>
      </c>
      <c r="FB208" s="60">
        <v>1665</v>
      </c>
      <c r="FC208" s="60">
        <v>292</v>
      </c>
      <c r="FD208" s="60">
        <v>811</v>
      </c>
      <c r="FE208" s="60">
        <v>4</v>
      </c>
      <c r="FF208" s="60">
        <v>24</v>
      </c>
      <c r="FG208" s="60"/>
      <c r="FH208" s="60">
        <v>862</v>
      </c>
      <c r="FI208" s="60">
        <v>214</v>
      </c>
      <c r="FJ208" s="60">
        <v>1196</v>
      </c>
      <c r="FK208" s="60">
        <v>176</v>
      </c>
      <c r="FL208" s="60">
        <v>94</v>
      </c>
      <c r="FM208" s="60">
        <v>642</v>
      </c>
      <c r="FN208" s="60">
        <v>31</v>
      </c>
      <c r="FO208" s="60">
        <v>10131</v>
      </c>
      <c r="FP208" s="60">
        <v>190</v>
      </c>
      <c r="FQ208" s="60">
        <v>67</v>
      </c>
      <c r="FR208" s="60">
        <v>381</v>
      </c>
      <c r="FS208" s="60">
        <v>183</v>
      </c>
      <c r="FT208" s="60">
        <v>34</v>
      </c>
      <c r="FU208" s="60">
        <v>25</v>
      </c>
      <c r="FV208" s="60"/>
      <c r="FW208" s="60"/>
      <c r="FX208" s="60">
        <v>14226</v>
      </c>
      <c r="FY208" s="60">
        <v>885</v>
      </c>
      <c r="FZ208" s="60">
        <v>13097</v>
      </c>
      <c r="GA208" s="60">
        <v>244</v>
      </c>
      <c r="GB208" s="60">
        <v>2011</v>
      </c>
    </row>
    <row r="209" spans="1:184" x14ac:dyDescent="0.3">
      <c r="A209" s="60">
        <v>106340951</v>
      </c>
      <c r="B209" s="61" t="s">
        <v>820</v>
      </c>
      <c r="C209" s="61" t="s">
        <v>821</v>
      </c>
      <c r="D209" s="61" t="s">
        <v>822</v>
      </c>
      <c r="E209" s="61" t="s">
        <v>811</v>
      </c>
      <c r="F209" s="60">
        <v>95823</v>
      </c>
      <c r="G209" s="61"/>
      <c r="H209" s="61" t="s">
        <v>1669</v>
      </c>
      <c r="I209" s="60">
        <v>9</v>
      </c>
      <c r="J209" s="60">
        <v>6</v>
      </c>
      <c r="K209" s="61" t="s">
        <v>1965</v>
      </c>
      <c r="L209" s="61"/>
      <c r="M209" s="61" t="s">
        <v>1728</v>
      </c>
      <c r="N209" s="61" t="s">
        <v>1962</v>
      </c>
      <c r="O209" s="61" t="s">
        <v>1673</v>
      </c>
      <c r="P209" s="61" t="s">
        <v>1678</v>
      </c>
      <c r="Q209" s="61" t="s">
        <v>1674</v>
      </c>
      <c r="R209" s="60">
        <v>162</v>
      </c>
      <c r="S209" s="61" t="s">
        <v>1675</v>
      </c>
      <c r="T209" s="60">
        <v>27242</v>
      </c>
      <c r="U209" s="60">
        <v>19318</v>
      </c>
      <c r="V209" s="60"/>
      <c r="W209" s="60">
        <v>3</v>
      </c>
      <c r="X209" s="60">
        <v>6661</v>
      </c>
      <c r="Y209" s="60">
        <v>5537</v>
      </c>
      <c r="Z209" s="60">
        <v>8267</v>
      </c>
      <c r="AA209" s="60">
        <v>6742</v>
      </c>
      <c r="AB209" s="60">
        <v>6145</v>
      </c>
      <c r="AC209" s="60">
        <v>5263</v>
      </c>
      <c r="AD209" s="60">
        <v>2743</v>
      </c>
      <c r="AE209" s="60">
        <v>1816</v>
      </c>
      <c r="AF209" s="60">
        <v>1668</v>
      </c>
      <c r="AG209" s="60">
        <v>1718</v>
      </c>
      <c r="AH209" s="60">
        <v>3</v>
      </c>
      <c r="AI209" s="60">
        <v>6188</v>
      </c>
      <c r="AJ209" s="60">
        <v>14848</v>
      </c>
      <c r="AK209" s="60">
        <v>11632</v>
      </c>
      <c r="AL209" s="60">
        <v>79</v>
      </c>
      <c r="AM209" s="60">
        <v>1257</v>
      </c>
      <c r="AN209" s="60">
        <v>345</v>
      </c>
      <c r="AO209" s="60">
        <v>12214</v>
      </c>
      <c r="AP209" s="60">
        <v>367</v>
      </c>
      <c r="AQ209" s="60"/>
      <c r="AR209" s="60">
        <v>318</v>
      </c>
      <c r="AS209" s="60">
        <v>85</v>
      </c>
      <c r="AT209" s="60">
        <v>88</v>
      </c>
      <c r="AU209" s="60">
        <v>1</v>
      </c>
      <c r="AV209" s="60">
        <v>1</v>
      </c>
      <c r="AW209" s="60">
        <v>25</v>
      </c>
      <c r="AX209" s="60">
        <v>76</v>
      </c>
      <c r="AY209" s="60">
        <v>834</v>
      </c>
      <c r="AZ209" s="60">
        <v>44</v>
      </c>
      <c r="BA209" s="60">
        <v>44510</v>
      </c>
      <c r="BB209" s="60">
        <v>207</v>
      </c>
      <c r="BC209" s="60"/>
      <c r="BD209" s="60">
        <v>7</v>
      </c>
      <c r="BE209" s="60">
        <v>22634</v>
      </c>
      <c r="BF209" s="60">
        <v>6830</v>
      </c>
      <c r="BG209" s="60">
        <v>946</v>
      </c>
      <c r="BH209" s="60">
        <v>6244</v>
      </c>
      <c r="BI209" s="60">
        <v>9909</v>
      </c>
      <c r="BJ209" s="60">
        <v>1564</v>
      </c>
      <c r="BK209" s="60">
        <v>146</v>
      </c>
      <c r="BL209" s="60">
        <v>895</v>
      </c>
      <c r="BM209" s="60">
        <v>7</v>
      </c>
      <c r="BN209" s="60">
        <v>2680</v>
      </c>
      <c r="BO209" s="60">
        <v>701</v>
      </c>
      <c r="BP209" s="60">
        <v>2871</v>
      </c>
      <c r="BQ209" s="60">
        <v>1184</v>
      </c>
      <c r="BR209" s="60">
        <v>8124</v>
      </c>
      <c r="BS209" s="60">
        <v>3617</v>
      </c>
      <c r="BT209" s="60">
        <v>57</v>
      </c>
      <c r="BU209" s="60">
        <v>3113</v>
      </c>
      <c r="BV209" s="60">
        <v>1680</v>
      </c>
      <c r="BW209" s="60">
        <v>53</v>
      </c>
      <c r="BX209" s="60">
        <v>1528</v>
      </c>
      <c r="BY209" s="60">
        <v>5581</v>
      </c>
      <c r="BZ209" s="60">
        <v>2263</v>
      </c>
      <c r="CA209" s="60">
        <v>10498</v>
      </c>
      <c r="CB209" s="60">
        <v>1</v>
      </c>
      <c r="CC209" s="60"/>
      <c r="CD209" s="60">
        <v>2350</v>
      </c>
      <c r="CE209" s="60">
        <v>181</v>
      </c>
      <c r="CF209" s="60">
        <v>259</v>
      </c>
      <c r="CG209" s="60">
        <v>6</v>
      </c>
      <c r="CH209" s="60">
        <v>506</v>
      </c>
      <c r="CI209" s="60">
        <v>57</v>
      </c>
      <c r="CJ209" s="60">
        <v>162</v>
      </c>
      <c r="CK209" s="60">
        <v>403</v>
      </c>
      <c r="CL209" s="60">
        <v>38040</v>
      </c>
      <c r="CM209" s="60">
        <v>3316</v>
      </c>
      <c r="CN209" s="60">
        <v>131</v>
      </c>
      <c r="CO209" s="60">
        <v>665</v>
      </c>
      <c r="CP209" s="60">
        <v>182</v>
      </c>
      <c r="CQ209" s="60">
        <v>259</v>
      </c>
      <c r="CR209" s="60">
        <v>46</v>
      </c>
      <c r="CS209" s="60"/>
      <c r="CT209" s="60">
        <v>46563</v>
      </c>
      <c r="CU209" s="60">
        <v>4039</v>
      </c>
      <c r="CV209" s="60">
        <v>37413</v>
      </c>
      <c r="CW209" s="60">
        <v>5111</v>
      </c>
      <c r="CX209" s="60">
        <v>3371</v>
      </c>
      <c r="CY209" s="60">
        <v>2449</v>
      </c>
      <c r="CZ209" s="60"/>
      <c r="DA209" s="60"/>
      <c r="DB209" s="60">
        <v>97</v>
      </c>
      <c r="DC209" s="60">
        <v>396</v>
      </c>
      <c r="DD209" s="60">
        <v>437</v>
      </c>
      <c r="DE209" s="60">
        <v>689</v>
      </c>
      <c r="DF209" s="60">
        <v>1099</v>
      </c>
      <c r="DG209" s="60">
        <v>1031</v>
      </c>
      <c r="DH209" s="60">
        <v>955</v>
      </c>
      <c r="DI209" s="60">
        <v>1110</v>
      </c>
      <c r="DJ209" s="60">
        <v>6</v>
      </c>
      <c r="DK209" s="60"/>
      <c r="DL209" s="60"/>
      <c r="DM209" s="60">
        <v>1294</v>
      </c>
      <c r="DN209" s="60">
        <v>1209</v>
      </c>
      <c r="DO209" s="60">
        <v>947</v>
      </c>
      <c r="DP209" s="60">
        <v>172</v>
      </c>
      <c r="DQ209" s="60">
        <v>25</v>
      </c>
      <c r="DR209" s="60">
        <v>2162</v>
      </c>
      <c r="DS209" s="60">
        <v>11</v>
      </c>
      <c r="DT209" s="60">
        <v>256</v>
      </c>
      <c r="DU209" s="60">
        <v>81</v>
      </c>
      <c r="DV209" s="60">
        <v>291</v>
      </c>
      <c r="DW209" s="60">
        <v>658</v>
      </c>
      <c r="DX209" s="60">
        <v>100</v>
      </c>
      <c r="DY209" s="60"/>
      <c r="DZ209" s="60">
        <v>148</v>
      </c>
      <c r="EA209" s="60">
        <v>3490</v>
      </c>
      <c r="EB209" s="60">
        <v>783</v>
      </c>
      <c r="EC209" s="60">
        <v>13</v>
      </c>
      <c r="ED209" s="60">
        <v>0</v>
      </c>
      <c r="EE209" s="60">
        <v>0</v>
      </c>
      <c r="EF209" s="60">
        <v>0</v>
      </c>
      <c r="EG209" s="60">
        <v>0</v>
      </c>
      <c r="EH209" s="60">
        <v>0</v>
      </c>
      <c r="EI209" s="60">
        <v>1464</v>
      </c>
      <c r="EJ209" s="60">
        <v>2933</v>
      </c>
      <c r="EK209" s="60">
        <v>96</v>
      </c>
      <c r="EL209" s="60">
        <v>572</v>
      </c>
      <c r="EM209" s="60">
        <v>755</v>
      </c>
      <c r="EN209" s="60">
        <v>245</v>
      </c>
      <c r="EO209" s="60">
        <v>83</v>
      </c>
      <c r="EP209" s="60">
        <v>974</v>
      </c>
      <c r="EQ209" s="60">
        <v>2</v>
      </c>
      <c r="ER209" s="60">
        <v>919</v>
      </c>
      <c r="ES209" s="60">
        <v>352</v>
      </c>
      <c r="ET209" s="60">
        <v>231</v>
      </c>
      <c r="EU209" s="60">
        <v>914</v>
      </c>
      <c r="EV209" s="60">
        <v>427</v>
      </c>
      <c r="EW209" s="60">
        <v>81</v>
      </c>
      <c r="EX209" s="60">
        <v>102</v>
      </c>
      <c r="EY209" s="60">
        <v>137</v>
      </c>
      <c r="EZ209" s="60">
        <v>5</v>
      </c>
      <c r="FA209" s="60">
        <v>78</v>
      </c>
      <c r="FB209" s="60">
        <v>806</v>
      </c>
      <c r="FC209" s="60">
        <v>110</v>
      </c>
      <c r="FD209" s="60">
        <v>348</v>
      </c>
      <c r="FE209" s="60">
        <v>2</v>
      </c>
      <c r="FF209" s="60">
        <v>4</v>
      </c>
      <c r="FG209" s="60"/>
      <c r="FH209" s="60">
        <v>254</v>
      </c>
      <c r="FI209" s="60">
        <v>77</v>
      </c>
      <c r="FJ209" s="60">
        <v>425</v>
      </c>
      <c r="FK209" s="60">
        <v>11</v>
      </c>
      <c r="FL209" s="60">
        <v>21</v>
      </c>
      <c r="FM209" s="60">
        <v>187</v>
      </c>
      <c r="FN209" s="60">
        <v>6</v>
      </c>
      <c r="FO209" s="60">
        <v>4713</v>
      </c>
      <c r="FP209" s="60">
        <v>55</v>
      </c>
      <c r="FQ209" s="60">
        <v>6</v>
      </c>
      <c r="FR209" s="60">
        <v>6</v>
      </c>
      <c r="FS209" s="60">
        <v>46</v>
      </c>
      <c r="FT209" s="60">
        <v>12</v>
      </c>
      <c r="FU209" s="60">
        <v>1</v>
      </c>
      <c r="FV209" s="60"/>
      <c r="FW209" s="60"/>
      <c r="FX209" s="60">
        <v>5820</v>
      </c>
      <c r="FY209" s="60">
        <v>1192</v>
      </c>
      <c r="FZ209" s="60">
        <v>4122</v>
      </c>
      <c r="GA209" s="60">
        <v>506</v>
      </c>
      <c r="GB209" s="60">
        <v>2011</v>
      </c>
    </row>
    <row r="210" spans="1:184" x14ac:dyDescent="0.3">
      <c r="A210" s="60">
        <v>106341006</v>
      </c>
      <c r="B210" s="61" t="s">
        <v>823</v>
      </c>
      <c r="C210" s="61" t="s">
        <v>824</v>
      </c>
      <c r="D210" s="61" t="s">
        <v>825</v>
      </c>
      <c r="E210" s="61" t="s">
        <v>811</v>
      </c>
      <c r="F210" s="60">
        <v>95817</v>
      </c>
      <c r="G210" s="61" t="s">
        <v>549</v>
      </c>
      <c r="H210" s="61" t="s">
        <v>1689</v>
      </c>
      <c r="I210" s="60">
        <v>9</v>
      </c>
      <c r="J210" s="60">
        <v>6</v>
      </c>
      <c r="K210" s="61" t="s">
        <v>1966</v>
      </c>
      <c r="L210" s="61"/>
      <c r="M210" s="61" t="s">
        <v>1728</v>
      </c>
      <c r="N210" s="61" t="s">
        <v>1962</v>
      </c>
      <c r="O210" s="61" t="s">
        <v>1673</v>
      </c>
      <c r="P210" s="61" t="s">
        <v>1835</v>
      </c>
      <c r="Q210" s="61" t="s">
        <v>1674</v>
      </c>
      <c r="R210" s="60">
        <v>607</v>
      </c>
      <c r="S210" s="61" t="s">
        <v>1738</v>
      </c>
      <c r="T210" s="60">
        <v>23103</v>
      </c>
      <c r="U210" s="60">
        <v>22385</v>
      </c>
      <c r="V210" s="60"/>
      <c r="W210" s="60"/>
      <c r="X210" s="60">
        <v>5379</v>
      </c>
      <c r="Y210" s="60">
        <v>4838</v>
      </c>
      <c r="Z210" s="60">
        <v>8219</v>
      </c>
      <c r="AA210" s="60">
        <v>6541</v>
      </c>
      <c r="AB210" s="60">
        <v>6726</v>
      </c>
      <c r="AC210" s="60">
        <v>6435</v>
      </c>
      <c r="AD210" s="60">
        <v>3231</v>
      </c>
      <c r="AE210" s="60">
        <v>1609</v>
      </c>
      <c r="AF210" s="60">
        <v>1142</v>
      </c>
      <c r="AG210" s="60">
        <v>1361</v>
      </c>
      <c r="AH210" s="60">
        <v>7</v>
      </c>
      <c r="AI210" s="60">
        <v>943</v>
      </c>
      <c r="AJ210" s="60">
        <v>5615</v>
      </c>
      <c r="AK210" s="60">
        <v>3456</v>
      </c>
      <c r="AL210" s="60">
        <v>46</v>
      </c>
      <c r="AM210" s="60">
        <v>5917</v>
      </c>
      <c r="AN210" s="60">
        <v>21275</v>
      </c>
      <c r="AO210" s="60">
        <v>8236</v>
      </c>
      <c r="AP210" s="60">
        <v>152</v>
      </c>
      <c r="AQ210" s="60">
        <v>1494</v>
      </c>
      <c r="AR210" s="60">
        <v>4</v>
      </c>
      <c r="AS210" s="60">
        <v>130</v>
      </c>
      <c r="AT210" s="60">
        <v>18</v>
      </c>
      <c r="AU210" s="60">
        <v>4</v>
      </c>
      <c r="AV210" s="60">
        <v>1</v>
      </c>
      <c r="AW210" s="60"/>
      <c r="AX210" s="60">
        <v>157</v>
      </c>
      <c r="AY210" s="60">
        <v>1121</v>
      </c>
      <c r="AZ210" s="60">
        <v>105</v>
      </c>
      <c r="BA210" s="60">
        <v>42065</v>
      </c>
      <c r="BB210" s="60">
        <v>235</v>
      </c>
      <c r="BC210" s="60">
        <v>2</v>
      </c>
      <c r="BD210" s="60"/>
      <c r="BE210" s="60">
        <v>19127</v>
      </c>
      <c r="BF210" s="60">
        <v>7105</v>
      </c>
      <c r="BG210" s="60">
        <v>8698</v>
      </c>
      <c r="BH210" s="60">
        <v>9348</v>
      </c>
      <c r="BI210" s="60">
        <v>1210</v>
      </c>
      <c r="BJ210" s="60">
        <v>652</v>
      </c>
      <c r="BK210" s="60">
        <v>233</v>
      </c>
      <c r="BL210" s="60">
        <v>936</v>
      </c>
      <c r="BM210" s="60">
        <v>22</v>
      </c>
      <c r="BN210" s="60">
        <v>2580</v>
      </c>
      <c r="BO210" s="60">
        <v>690</v>
      </c>
      <c r="BP210" s="60">
        <v>2758</v>
      </c>
      <c r="BQ210" s="60">
        <v>1008</v>
      </c>
      <c r="BR210" s="60">
        <v>9719</v>
      </c>
      <c r="BS210" s="60">
        <v>3797</v>
      </c>
      <c r="BT210" s="60">
        <v>136</v>
      </c>
      <c r="BU210" s="60">
        <v>2374</v>
      </c>
      <c r="BV210" s="60">
        <v>1545</v>
      </c>
      <c r="BW210" s="60">
        <v>36</v>
      </c>
      <c r="BX210" s="60">
        <v>2256</v>
      </c>
      <c r="BY210" s="60">
        <v>3705</v>
      </c>
      <c r="BZ210" s="60">
        <v>2008</v>
      </c>
      <c r="CA210" s="60">
        <v>11032</v>
      </c>
      <c r="CB210" s="60">
        <v>1</v>
      </c>
      <c r="CC210" s="60"/>
      <c r="CD210" s="60">
        <v>2324</v>
      </c>
      <c r="CE210" s="60">
        <v>142</v>
      </c>
      <c r="CF210" s="60">
        <v>154</v>
      </c>
      <c r="CG210" s="60">
        <v>75</v>
      </c>
      <c r="CH210" s="60">
        <v>904</v>
      </c>
      <c r="CI210" s="60">
        <v>16</v>
      </c>
      <c r="CJ210" s="60">
        <v>313</v>
      </c>
      <c r="CK210" s="60">
        <v>365</v>
      </c>
      <c r="CL210" s="60">
        <v>35115</v>
      </c>
      <c r="CM210" s="60">
        <v>2985</v>
      </c>
      <c r="CN210" s="60">
        <v>335</v>
      </c>
      <c r="CO210" s="60">
        <v>2049</v>
      </c>
      <c r="CP210" s="60">
        <v>198</v>
      </c>
      <c r="CQ210" s="60">
        <v>199</v>
      </c>
      <c r="CR210" s="60">
        <v>314</v>
      </c>
      <c r="CS210" s="60"/>
      <c r="CT210" s="60">
        <v>45488</v>
      </c>
      <c r="CU210" s="60">
        <v>132</v>
      </c>
      <c r="CV210" s="60">
        <v>45259</v>
      </c>
      <c r="CW210" s="60">
        <v>97</v>
      </c>
      <c r="CX210" s="60">
        <v>7102</v>
      </c>
      <c r="CY210" s="60">
        <v>8427</v>
      </c>
      <c r="CZ210" s="60"/>
      <c r="DA210" s="60"/>
      <c r="DB210" s="60">
        <v>924</v>
      </c>
      <c r="DC210" s="60">
        <v>1461</v>
      </c>
      <c r="DD210" s="60">
        <v>1419</v>
      </c>
      <c r="DE210" s="60">
        <v>2069</v>
      </c>
      <c r="DF210" s="60">
        <v>3085</v>
      </c>
      <c r="DG210" s="60">
        <v>2159</v>
      </c>
      <c r="DH210" s="60">
        <v>1509</v>
      </c>
      <c r="DI210" s="60">
        <v>1531</v>
      </c>
      <c r="DJ210" s="60">
        <v>361</v>
      </c>
      <c r="DK210" s="60">
        <v>1011</v>
      </c>
      <c r="DL210" s="60"/>
      <c r="DM210" s="60">
        <v>1089</v>
      </c>
      <c r="DN210" s="60">
        <v>2562</v>
      </c>
      <c r="DO210" s="60">
        <v>1992</v>
      </c>
      <c r="DP210" s="60">
        <v>3441</v>
      </c>
      <c r="DQ210" s="60">
        <v>762</v>
      </c>
      <c r="DR210" s="60">
        <v>5644</v>
      </c>
      <c r="DS210" s="60">
        <v>39</v>
      </c>
      <c r="DT210" s="60">
        <v>293</v>
      </c>
      <c r="DU210" s="60">
        <v>222</v>
      </c>
      <c r="DV210" s="60">
        <v>423</v>
      </c>
      <c r="DW210" s="60">
        <v>1305</v>
      </c>
      <c r="DX210" s="60">
        <v>262</v>
      </c>
      <c r="DY210" s="60"/>
      <c r="DZ210" s="60">
        <v>216</v>
      </c>
      <c r="EA210" s="60">
        <v>11545</v>
      </c>
      <c r="EB210" s="60">
        <v>1131</v>
      </c>
      <c r="EC210" s="60">
        <v>132</v>
      </c>
      <c r="ED210" s="60">
        <v>0</v>
      </c>
      <c r="EE210" s="60">
        <v>0</v>
      </c>
      <c r="EF210" s="60">
        <v>0</v>
      </c>
      <c r="EG210" s="60">
        <v>0</v>
      </c>
      <c r="EH210" s="60">
        <v>0</v>
      </c>
      <c r="EI210" s="60">
        <v>4627</v>
      </c>
      <c r="EJ210" s="60">
        <v>5211</v>
      </c>
      <c r="EK210" s="60">
        <v>580</v>
      </c>
      <c r="EL210" s="60">
        <v>3257</v>
      </c>
      <c r="EM210" s="60">
        <v>1854</v>
      </c>
      <c r="EN210" s="60">
        <v>129</v>
      </c>
      <c r="EO210" s="60">
        <v>345</v>
      </c>
      <c r="EP210" s="60">
        <v>2314</v>
      </c>
      <c r="EQ210" s="60">
        <v>29</v>
      </c>
      <c r="ER210" s="60">
        <v>1751</v>
      </c>
      <c r="ES210" s="60">
        <v>624</v>
      </c>
      <c r="ET210" s="60">
        <v>548</v>
      </c>
      <c r="EU210" s="60">
        <v>1483</v>
      </c>
      <c r="EV210" s="60">
        <v>4130</v>
      </c>
      <c r="EW210" s="60">
        <v>328</v>
      </c>
      <c r="EX210" s="60">
        <v>398</v>
      </c>
      <c r="EY210" s="60">
        <v>365</v>
      </c>
      <c r="EZ210" s="60">
        <v>27</v>
      </c>
      <c r="FA210" s="60">
        <v>252</v>
      </c>
      <c r="FB210" s="60">
        <v>1442</v>
      </c>
      <c r="FC210" s="60">
        <v>444</v>
      </c>
      <c r="FD210" s="60">
        <v>880</v>
      </c>
      <c r="FE210" s="60">
        <v>12</v>
      </c>
      <c r="FF210" s="60">
        <v>28</v>
      </c>
      <c r="FG210" s="60"/>
      <c r="FH210" s="60">
        <v>1121</v>
      </c>
      <c r="FI210" s="60">
        <v>162</v>
      </c>
      <c r="FJ210" s="60">
        <v>675</v>
      </c>
      <c r="FK210" s="60">
        <v>472</v>
      </c>
      <c r="FL210" s="60">
        <v>97</v>
      </c>
      <c r="FM210" s="60">
        <v>517</v>
      </c>
      <c r="FN210" s="60">
        <v>72</v>
      </c>
      <c r="FO210" s="60">
        <v>10713</v>
      </c>
      <c r="FP210" s="60">
        <v>344</v>
      </c>
      <c r="FQ210" s="60">
        <v>188</v>
      </c>
      <c r="FR210" s="60">
        <v>923</v>
      </c>
      <c r="FS210" s="60">
        <v>126</v>
      </c>
      <c r="FT210" s="60">
        <v>53</v>
      </c>
      <c r="FU210" s="60">
        <v>13</v>
      </c>
      <c r="FV210" s="60">
        <v>53</v>
      </c>
      <c r="FW210" s="60"/>
      <c r="FX210" s="60">
        <v>15529</v>
      </c>
      <c r="FY210" s="60">
        <v>94</v>
      </c>
      <c r="FZ210" s="60">
        <v>15376</v>
      </c>
      <c r="GA210" s="60">
        <v>59</v>
      </c>
      <c r="GB210" s="60">
        <v>2011</v>
      </c>
    </row>
    <row r="211" spans="1:184" x14ac:dyDescent="0.3">
      <c r="A211" s="60">
        <v>106341051</v>
      </c>
      <c r="B211" s="61" t="s">
        <v>826</v>
      </c>
      <c r="C211" s="61" t="s">
        <v>1967</v>
      </c>
      <c r="D211" s="61" t="s">
        <v>1968</v>
      </c>
      <c r="E211" s="61" t="s">
        <v>811</v>
      </c>
      <c r="F211" s="60">
        <v>95816</v>
      </c>
      <c r="G211" s="61"/>
      <c r="H211" s="61" t="s">
        <v>1669</v>
      </c>
      <c r="I211" s="60">
        <v>9</v>
      </c>
      <c r="J211" s="60">
        <v>6</v>
      </c>
      <c r="K211" s="61" t="s">
        <v>1963</v>
      </c>
      <c r="L211" s="61"/>
      <c r="M211" s="61" t="s">
        <v>1728</v>
      </c>
      <c r="N211" s="61" t="s">
        <v>1962</v>
      </c>
      <c r="O211" s="61" t="s">
        <v>1673</v>
      </c>
      <c r="P211" s="61" t="s">
        <v>1678</v>
      </c>
      <c r="Q211" s="61" t="s">
        <v>1674</v>
      </c>
      <c r="R211" s="60">
        <v>306</v>
      </c>
      <c r="S211" s="61" t="s">
        <v>1675</v>
      </c>
      <c r="T211" s="60">
        <v>21264</v>
      </c>
      <c r="U211" s="60">
        <v>18632</v>
      </c>
      <c r="V211" s="60"/>
      <c r="W211" s="60"/>
      <c r="X211" s="60">
        <v>2329</v>
      </c>
      <c r="Y211" s="60">
        <v>2952</v>
      </c>
      <c r="Z211" s="60">
        <v>7721</v>
      </c>
      <c r="AA211" s="60">
        <v>6540</v>
      </c>
      <c r="AB211" s="60">
        <v>7170</v>
      </c>
      <c r="AC211" s="60">
        <v>6156</v>
      </c>
      <c r="AD211" s="60">
        <v>2894</v>
      </c>
      <c r="AE211" s="60">
        <v>1668</v>
      </c>
      <c r="AF211" s="60">
        <v>2106</v>
      </c>
      <c r="AG211" s="60">
        <v>360</v>
      </c>
      <c r="AH211" s="60"/>
      <c r="AI211" s="60">
        <v>2223</v>
      </c>
      <c r="AJ211" s="60">
        <v>8795</v>
      </c>
      <c r="AK211" s="60">
        <v>7300</v>
      </c>
      <c r="AL211" s="60">
        <v>81</v>
      </c>
      <c r="AM211" s="60">
        <v>259</v>
      </c>
      <c r="AN211" s="60">
        <v>84</v>
      </c>
      <c r="AO211" s="60">
        <v>21154</v>
      </c>
      <c r="AP211" s="60">
        <v>976</v>
      </c>
      <c r="AQ211" s="60">
        <v>875</v>
      </c>
      <c r="AR211" s="60"/>
      <c r="AS211" s="60">
        <v>119</v>
      </c>
      <c r="AT211" s="60">
        <v>1</v>
      </c>
      <c r="AU211" s="60">
        <v>2</v>
      </c>
      <c r="AV211" s="60"/>
      <c r="AW211" s="60">
        <v>25</v>
      </c>
      <c r="AX211" s="60">
        <v>340</v>
      </c>
      <c r="AY211" s="60">
        <v>870</v>
      </c>
      <c r="AZ211" s="60"/>
      <c r="BA211" s="60">
        <v>36646</v>
      </c>
      <c r="BB211" s="60">
        <v>42</v>
      </c>
      <c r="BC211" s="60"/>
      <c r="BD211" s="60"/>
      <c r="BE211" s="60">
        <v>8754</v>
      </c>
      <c r="BF211" s="60">
        <v>7764</v>
      </c>
      <c r="BG211" s="60">
        <v>1594</v>
      </c>
      <c r="BH211" s="60">
        <v>10579</v>
      </c>
      <c r="BI211" s="60">
        <v>11205</v>
      </c>
      <c r="BJ211" s="60">
        <v>788</v>
      </c>
      <c r="BK211" s="60">
        <v>150</v>
      </c>
      <c r="BL211" s="60">
        <v>1016</v>
      </c>
      <c r="BM211" s="60">
        <v>12</v>
      </c>
      <c r="BN211" s="60">
        <v>2652</v>
      </c>
      <c r="BO211" s="60">
        <v>860</v>
      </c>
      <c r="BP211" s="60">
        <v>2451</v>
      </c>
      <c r="BQ211" s="60">
        <v>621</v>
      </c>
      <c r="BR211" s="60">
        <v>8836</v>
      </c>
      <c r="BS211" s="60">
        <v>1987</v>
      </c>
      <c r="BT211" s="60">
        <v>71</v>
      </c>
      <c r="BU211" s="60">
        <v>3096</v>
      </c>
      <c r="BV211" s="60">
        <v>1228</v>
      </c>
      <c r="BW211" s="60">
        <v>3</v>
      </c>
      <c r="BX211" s="60">
        <v>3049</v>
      </c>
      <c r="BY211" s="60">
        <v>3631</v>
      </c>
      <c r="BZ211" s="60">
        <v>2000</v>
      </c>
      <c r="CA211" s="60">
        <v>7443</v>
      </c>
      <c r="CB211" s="60"/>
      <c r="CC211" s="60">
        <v>2</v>
      </c>
      <c r="CD211" s="60">
        <v>2638</v>
      </c>
      <c r="CE211" s="60">
        <v>173</v>
      </c>
      <c r="CF211" s="60">
        <v>154</v>
      </c>
      <c r="CG211" s="60">
        <v>10</v>
      </c>
      <c r="CH211" s="60">
        <v>656</v>
      </c>
      <c r="CI211" s="60">
        <v>7</v>
      </c>
      <c r="CJ211" s="60">
        <v>101</v>
      </c>
      <c r="CK211" s="60">
        <v>395</v>
      </c>
      <c r="CL211" s="60">
        <v>30451</v>
      </c>
      <c r="CM211" s="60">
        <v>3810</v>
      </c>
      <c r="CN211" s="60">
        <v>253</v>
      </c>
      <c r="CO211" s="60">
        <v>902</v>
      </c>
      <c r="CP211" s="60">
        <v>149</v>
      </c>
      <c r="CQ211" s="60">
        <v>159</v>
      </c>
      <c r="CR211" s="60">
        <v>38</v>
      </c>
      <c r="CS211" s="60"/>
      <c r="CT211" s="60">
        <v>39896</v>
      </c>
      <c r="CU211" s="60">
        <v>856</v>
      </c>
      <c r="CV211" s="60">
        <v>37755</v>
      </c>
      <c r="CW211" s="60">
        <v>1285</v>
      </c>
      <c r="CX211" s="60">
        <v>3611</v>
      </c>
      <c r="CY211" s="60">
        <v>3304</v>
      </c>
      <c r="CZ211" s="60"/>
      <c r="DA211" s="60"/>
      <c r="DB211" s="60">
        <v>63</v>
      </c>
      <c r="DC211" s="60">
        <v>369</v>
      </c>
      <c r="DD211" s="60">
        <v>571</v>
      </c>
      <c r="DE211" s="60">
        <v>970</v>
      </c>
      <c r="DF211" s="60">
        <v>1367</v>
      </c>
      <c r="DG211" s="60">
        <v>1139</v>
      </c>
      <c r="DH211" s="60">
        <v>934</v>
      </c>
      <c r="DI211" s="60">
        <v>1502</v>
      </c>
      <c r="DJ211" s="60"/>
      <c r="DK211" s="60"/>
      <c r="DL211" s="60"/>
      <c r="DM211" s="60">
        <v>601</v>
      </c>
      <c r="DN211" s="60">
        <v>1122</v>
      </c>
      <c r="DO211" s="60">
        <v>880</v>
      </c>
      <c r="DP211" s="60">
        <v>51</v>
      </c>
      <c r="DQ211" s="60">
        <v>14</v>
      </c>
      <c r="DR211" s="60">
        <v>4237</v>
      </c>
      <c r="DS211" s="60">
        <v>10</v>
      </c>
      <c r="DT211" s="60">
        <v>58</v>
      </c>
      <c r="DU211" s="60">
        <v>127</v>
      </c>
      <c r="DV211" s="60">
        <v>310</v>
      </c>
      <c r="DW211" s="60">
        <v>796</v>
      </c>
      <c r="DX211" s="60">
        <v>168</v>
      </c>
      <c r="DY211" s="60">
        <v>18</v>
      </c>
      <c r="DZ211" s="60">
        <v>15</v>
      </c>
      <c r="EA211" s="60">
        <v>4224</v>
      </c>
      <c r="EB211" s="60">
        <v>1169</v>
      </c>
      <c r="EC211" s="60">
        <v>30</v>
      </c>
      <c r="ED211" s="60">
        <v>0</v>
      </c>
      <c r="EE211" s="60">
        <v>0</v>
      </c>
      <c r="EF211" s="60">
        <v>0</v>
      </c>
      <c r="EG211" s="60">
        <v>0</v>
      </c>
      <c r="EH211" s="60">
        <v>0</v>
      </c>
      <c r="EI211" s="60">
        <v>1577</v>
      </c>
      <c r="EJ211" s="60">
        <v>3410</v>
      </c>
      <c r="EK211" s="60">
        <v>83</v>
      </c>
      <c r="EL211" s="60">
        <v>845</v>
      </c>
      <c r="EM211" s="60">
        <v>1000</v>
      </c>
      <c r="EN211" s="60">
        <v>21</v>
      </c>
      <c r="EO211" s="60">
        <v>85</v>
      </c>
      <c r="EP211" s="60">
        <v>940</v>
      </c>
      <c r="EQ211" s="60">
        <v>3</v>
      </c>
      <c r="ER211" s="60">
        <v>1127</v>
      </c>
      <c r="ES211" s="60">
        <v>341</v>
      </c>
      <c r="ET211" s="60">
        <v>399</v>
      </c>
      <c r="EU211" s="60">
        <v>1094</v>
      </c>
      <c r="EV211" s="60">
        <v>846</v>
      </c>
      <c r="EW211" s="60">
        <v>140</v>
      </c>
      <c r="EX211" s="60">
        <v>208</v>
      </c>
      <c r="EY211" s="60">
        <v>196</v>
      </c>
      <c r="EZ211" s="60">
        <v>5</v>
      </c>
      <c r="FA211" s="60">
        <v>182</v>
      </c>
      <c r="FB211" s="60">
        <v>708</v>
      </c>
      <c r="FC211" s="60">
        <v>248</v>
      </c>
      <c r="FD211" s="60">
        <v>372</v>
      </c>
      <c r="FE211" s="60"/>
      <c r="FF211" s="60"/>
      <c r="FG211" s="60"/>
      <c r="FH211" s="60">
        <v>375</v>
      </c>
      <c r="FI211" s="60">
        <v>124</v>
      </c>
      <c r="FJ211" s="60">
        <v>626</v>
      </c>
      <c r="FK211" s="60">
        <v>31</v>
      </c>
      <c r="FL211" s="60">
        <v>34</v>
      </c>
      <c r="FM211" s="60">
        <v>382</v>
      </c>
      <c r="FN211" s="60">
        <v>11</v>
      </c>
      <c r="FO211" s="60">
        <v>5083</v>
      </c>
      <c r="FP211" s="60">
        <v>134</v>
      </c>
      <c r="FQ211" s="60">
        <v>19</v>
      </c>
      <c r="FR211" s="60">
        <v>13</v>
      </c>
      <c r="FS211" s="60">
        <v>58</v>
      </c>
      <c r="FT211" s="60">
        <v>15</v>
      </c>
      <c r="FU211" s="60">
        <v>10</v>
      </c>
      <c r="FV211" s="60"/>
      <c r="FW211" s="60"/>
      <c r="FX211" s="60">
        <v>6915</v>
      </c>
      <c r="FY211" s="60">
        <v>351</v>
      </c>
      <c r="FZ211" s="60">
        <v>6345</v>
      </c>
      <c r="GA211" s="60">
        <v>219</v>
      </c>
      <c r="GB211" s="60">
        <v>2011</v>
      </c>
    </row>
    <row r="212" spans="1:184" x14ac:dyDescent="0.3">
      <c r="A212" s="60">
        <v>106341052</v>
      </c>
      <c r="B212" s="61" t="s">
        <v>827</v>
      </c>
      <c r="C212" s="61" t="s">
        <v>828</v>
      </c>
      <c r="D212" s="61" t="s">
        <v>829</v>
      </c>
      <c r="E212" s="61" t="s">
        <v>811</v>
      </c>
      <c r="F212" s="60">
        <v>95819</v>
      </c>
      <c r="G212" s="61"/>
      <c r="H212" s="61" t="s">
        <v>1669</v>
      </c>
      <c r="I212" s="60">
        <v>9</v>
      </c>
      <c r="J212" s="60">
        <v>6</v>
      </c>
      <c r="K212" s="61" t="s">
        <v>1969</v>
      </c>
      <c r="L212" s="61"/>
      <c r="M212" s="61" t="s">
        <v>1728</v>
      </c>
      <c r="N212" s="61" t="s">
        <v>1962</v>
      </c>
      <c r="O212" s="61" t="s">
        <v>1673</v>
      </c>
      <c r="P212" s="61" t="s">
        <v>1678</v>
      </c>
      <c r="Q212" s="61" t="s">
        <v>1674</v>
      </c>
      <c r="R212" s="60">
        <v>348</v>
      </c>
      <c r="S212" s="61" t="s">
        <v>1675</v>
      </c>
      <c r="T212" s="60">
        <v>15549</v>
      </c>
      <c r="U212" s="60">
        <v>10422</v>
      </c>
      <c r="V212" s="60">
        <v>1</v>
      </c>
      <c r="W212" s="60"/>
      <c r="X212" s="60">
        <v>5563</v>
      </c>
      <c r="Y212" s="60">
        <v>3075</v>
      </c>
      <c r="Z212" s="60">
        <v>5228</v>
      </c>
      <c r="AA212" s="60">
        <v>3518</v>
      </c>
      <c r="AB212" s="60">
        <v>2493</v>
      </c>
      <c r="AC212" s="60">
        <v>1854</v>
      </c>
      <c r="AD212" s="60">
        <v>942</v>
      </c>
      <c r="AE212" s="60">
        <v>630</v>
      </c>
      <c r="AF212" s="60">
        <v>808</v>
      </c>
      <c r="AG212" s="60">
        <v>1861</v>
      </c>
      <c r="AH212" s="60"/>
      <c r="AI212" s="60">
        <v>2062</v>
      </c>
      <c r="AJ212" s="60">
        <v>4323</v>
      </c>
      <c r="AK212" s="60">
        <v>7640</v>
      </c>
      <c r="AL212" s="60">
        <v>108</v>
      </c>
      <c r="AM212" s="60">
        <v>210</v>
      </c>
      <c r="AN212" s="60">
        <v>50</v>
      </c>
      <c r="AO212" s="60">
        <v>11579</v>
      </c>
      <c r="AP212" s="60">
        <v>163</v>
      </c>
      <c r="AQ212" s="60">
        <v>215</v>
      </c>
      <c r="AR212" s="60"/>
      <c r="AS212" s="60">
        <v>23</v>
      </c>
      <c r="AT212" s="60"/>
      <c r="AU212" s="60"/>
      <c r="AV212" s="60">
        <v>1</v>
      </c>
      <c r="AW212" s="60">
        <v>4</v>
      </c>
      <c r="AX212" s="60">
        <v>8</v>
      </c>
      <c r="AY212" s="60">
        <v>197</v>
      </c>
      <c r="AZ212" s="60"/>
      <c r="BA212" s="60">
        <v>25348</v>
      </c>
      <c r="BB212" s="60">
        <v>13</v>
      </c>
      <c r="BC212" s="60"/>
      <c r="BD212" s="60"/>
      <c r="BE212" s="60">
        <v>7119</v>
      </c>
      <c r="BF212" s="60">
        <v>2639</v>
      </c>
      <c r="BG212" s="60">
        <v>538</v>
      </c>
      <c r="BH212" s="60">
        <v>10914</v>
      </c>
      <c r="BI212" s="60">
        <v>4762</v>
      </c>
      <c r="BJ212" s="60">
        <v>1426</v>
      </c>
      <c r="BK212" s="60">
        <v>118</v>
      </c>
      <c r="BL212" s="60">
        <v>506</v>
      </c>
      <c r="BM212" s="60">
        <v>9</v>
      </c>
      <c r="BN212" s="60">
        <v>1612</v>
      </c>
      <c r="BO212" s="60">
        <v>300</v>
      </c>
      <c r="BP212" s="60">
        <v>1752</v>
      </c>
      <c r="BQ212" s="60">
        <v>653</v>
      </c>
      <c r="BR212" s="60">
        <v>5189</v>
      </c>
      <c r="BS212" s="60">
        <v>890</v>
      </c>
      <c r="BT212" s="60">
        <v>36</v>
      </c>
      <c r="BU212" s="60">
        <v>2140</v>
      </c>
      <c r="BV212" s="60">
        <v>609</v>
      </c>
      <c r="BW212" s="60">
        <v>96</v>
      </c>
      <c r="BX212" s="60">
        <v>573</v>
      </c>
      <c r="BY212" s="60">
        <v>3497</v>
      </c>
      <c r="BZ212" s="60">
        <v>1131</v>
      </c>
      <c r="CA212" s="60">
        <v>5435</v>
      </c>
      <c r="CB212" s="60"/>
      <c r="CC212" s="60"/>
      <c r="CD212" s="60">
        <v>1592</v>
      </c>
      <c r="CE212" s="60">
        <v>138</v>
      </c>
      <c r="CF212" s="60">
        <v>170</v>
      </c>
      <c r="CG212" s="60">
        <v>9</v>
      </c>
      <c r="CH212" s="60">
        <v>226</v>
      </c>
      <c r="CI212" s="60">
        <v>7</v>
      </c>
      <c r="CJ212" s="60">
        <v>47</v>
      </c>
      <c r="CK212" s="60">
        <v>292</v>
      </c>
      <c r="CL212" s="60">
        <v>20489</v>
      </c>
      <c r="CM212" s="60">
        <v>2214</v>
      </c>
      <c r="CN212" s="60">
        <v>121</v>
      </c>
      <c r="CO212" s="60">
        <v>456</v>
      </c>
      <c r="CP212" s="60">
        <v>59</v>
      </c>
      <c r="CQ212" s="60">
        <v>136</v>
      </c>
      <c r="CR212" s="60">
        <v>15</v>
      </c>
      <c r="CS212" s="60">
        <v>1</v>
      </c>
      <c r="CT212" s="60">
        <v>25972</v>
      </c>
      <c r="CU212" s="60">
        <v>944</v>
      </c>
      <c r="CV212" s="60">
        <v>22744</v>
      </c>
      <c r="CW212" s="60">
        <v>2284</v>
      </c>
      <c r="CX212" s="60">
        <v>2348</v>
      </c>
      <c r="CY212" s="60">
        <v>1825</v>
      </c>
      <c r="CZ212" s="60"/>
      <c r="DA212" s="60"/>
      <c r="DB212" s="60">
        <v>256</v>
      </c>
      <c r="DC212" s="60">
        <v>304</v>
      </c>
      <c r="DD212" s="60">
        <v>274</v>
      </c>
      <c r="DE212" s="60">
        <v>420</v>
      </c>
      <c r="DF212" s="60">
        <v>539</v>
      </c>
      <c r="DG212" s="60">
        <v>508</v>
      </c>
      <c r="DH212" s="60">
        <v>474</v>
      </c>
      <c r="DI212" s="60">
        <v>705</v>
      </c>
      <c r="DJ212" s="60">
        <v>272</v>
      </c>
      <c r="DK212" s="60">
        <v>421</v>
      </c>
      <c r="DL212" s="60"/>
      <c r="DM212" s="60">
        <v>462</v>
      </c>
      <c r="DN212" s="60">
        <v>540</v>
      </c>
      <c r="DO212" s="60">
        <v>745</v>
      </c>
      <c r="DP212" s="60">
        <v>15</v>
      </c>
      <c r="DQ212" s="60">
        <v>11</v>
      </c>
      <c r="DR212" s="60">
        <v>2369</v>
      </c>
      <c r="DS212" s="60">
        <v>31</v>
      </c>
      <c r="DT212" s="60">
        <v>27</v>
      </c>
      <c r="DU212" s="60">
        <v>36</v>
      </c>
      <c r="DV212" s="60">
        <v>98</v>
      </c>
      <c r="DW212" s="60">
        <v>325</v>
      </c>
      <c r="DX212" s="60">
        <v>57</v>
      </c>
      <c r="DY212" s="60">
        <v>10</v>
      </c>
      <c r="DZ212" s="60">
        <v>7</v>
      </c>
      <c r="EA212" s="60">
        <v>3279</v>
      </c>
      <c r="EB212" s="60">
        <v>328</v>
      </c>
      <c r="EC212" s="60">
        <v>6</v>
      </c>
      <c r="ED212" s="60">
        <v>0</v>
      </c>
      <c r="EE212" s="60">
        <v>0</v>
      </c>
      <c r="EF212" s="60">
        <v>0</v>
      </c>
      <c r="EG212" s="60">
        <v>0</v>
      </c>
      <c r="EH212" s="60">
        <v>0</v>
      </c>
      <c r="EI212" s="60">
        <v>1491</v>
      </c>
      <c r="EJ212" s="60">
        <v>1543</v>
      </c>
      <c r="EK212" s="60">
        <v>56</v>
      </c>
      <c r="EL212" s="60">
        <v>710</v>
      </c>
      <c r="EM212" s="60">
        <v>373</v>
      </c>
      <c r="EN212" s="60">
        <v>146</v>
      </c>
      <c r="EO212" s="60">
        <v>73</v>
      </c>
      <c r="EP212" s="60">
        <v>914</v>
      </c>
      <c r="EQ212" s="60">
        <v>35</v>
      </c>
      <c r="ER212" s="60">
        <v>534</v>
      </c>
      <c r="ES212" s="60">
        <v>182</v>
      </c>
      <c r="ET212" s="60">
        <v>242</v>
      </c>
      <c r="EU212" s="60">
        <v>490</v>
      </c>
      <c r="EV212" s="60">
        <v>293</v>
      </c>
      <c r="EW212" s="60">
        <v>46</v>
      </c>
      <c r="EX212" s="60">
        <v>38</v>
      </c>
      <c r="EY212" s="60">
        <v>97</v>
      </c>
      <c r="EZ212" s="60">
        <v>3</v>
      </c>
      <c r="FA212" s="60">
        <v>52</v>
      </c>
      <c r="FB212" s="60">
        <v>540</v>
      </c>
      <c r="FC212" s="60">
        <v>129</v>
      </c>
      <c r="FD212" s="60">
        <v>304</v>
      </c>
      <c r="FE212" s="60">
        <v>2</v>
      </c>
      <c r="FF212" s="60">
        <v>53</v>
      </c>
      <c r="FG212" s="60"/>
      <c r="FH212" s="60">
        <v>82</v>
      </c>
      <c r="FI212" s="60">
        <v>44</v>
      </c>
      <c r="FJ212" s="60">
        <v>298</v>
      </c>
      <c r="FK212" s="60">
        <v>4</v>
      </c>
      <c r="FL212" s="60">
        <v>12</v>
      </c>
      <c r="FM212" s="60">
        <v>267</v>
      </c>
      <c r="FN212" s="60">
        <v>6</v>
      </c>
      <c r="FO212" s="60">
        <v>3364</v>
      </c>
      <c r="FP212" s="60">
        <v>43</v>
      </c>
      <c r="FQ212" s="60">
        <v>4</v>
      </c>
      <c r="FR212" s="60">
        <v>2</v>
      </c>
      <c r="FS212" s="60">
        <v>27</v>
      </c>
      <c r="FT212" s="60">
        <v>17</v>
      </c>
      <c r="FU212" s="60">
        <v>1</v>
      </c>
      <c r="FV212" s="60">
        <v>2</v>
      </c>
      <c r="FW212" s="60"/>
      <c r="FX212" s="60">
        <v>4173</v>
      </c>
      <c r="FY212" s="60">
        <v>294</v>
      </c>
      <c r="FZ212" s="60">
        <v>3602</v>
      </c>
      <c r="GA212" s="60">
        <v>277</v>
      </c>
      <c r="GB212" s="60">
        <v>2011</v>
      </c>
    </row>
    <row r="213" spans="1:184" x14ac:dyDescent="0.3">
      <c r="A213" s="60">
        <v>106342344</v>
      </c>
      <c r="B213" s="61" t="s">
        <v>830</v>
      </c>
      <c r="C213" s="61" t="s">
        <v>1970</v>
      </c>
      <c r="D213" s="61" t="s">
        <v>831</v>
      </c>
      <c r="E213" s="61" t="s">
        <v>811</v>
      </c>
      <c r="F213" s="60">
        <v>95823</v>
      </c>
      <c r="G213" s="61" t="s">
        <v>143</v>
      </c>
      <c r="H213" s="61" t="s">
        <v>1669</v>
      </c>
      <c r="I213" s="60">
        <v>9</v>
      </c>
      <c r="J213" s="60">
        <v>6</v>
      </c>
      <c r="K213" s="61" t="s">
        <v>1965</v>
      </c>
      <c r="L213" s="61"/>
      <c r="M213" s="61" t="s">
        <v>1728</v>
      </c>
      <c r="N213" s="61" t="s">
        <v>1962</v>
      </c>
      <c r="O213" s="61" t="s">
        <v>1673</v>
      </c>
      <c r="P213" s="61" t="s">
        <v>1678</v>
      </c>
      <c r="Q213" s="61" t="s">
        <v>1674</v>
      </c>
      <c r="R213" s="60">
        <v>217</v>
      </c>
      <c r="S213" s="61" t="s">
        <v>1675</v>
      </c>
      <c r="T213" s="60">
        <v>39615</v>
      </c>
      <c r="U213" s="60">
        <v>30721</v>
      </c>
      <c r="V213" s="60">
        <v>1</v>
      </c>
      <c r="W213" s="60"/>
      <c r="X213" s="60">
        <v>9718</v>
      </c>
      <c r="Y213" s="60">
        <v>9428</v>
      </c>
      <c r="Z213" s="60">
        <v>12172</v>
      </c>
      <c r="AA213" s="60">
        <v>8801</v>
      </c>
      <c r="AB213" s="60">
        <v>8297</v>
      </c>
      <c r="AC213" s="60">
        <v>7729</v>
      </c>
      <c r="AD213" s="60">
        <v>5215</v>
      </c>
      <c r="AE213" s="60">
        <v>3722</v>
      </c>
      <c r="AF213" s="60">
        <v>3335</v>
      </c>
      <c r="AG213" s="60">
        <v>1920</v>
      </c>
      <c r="AH213" s="60"/>
      <c r="AI213" s="60">
        <v>8565</v>
      </c>
      <c r="AJ213" s="60">
        <v>21173</v>
      </c>
      <c r="AK213" s="60">
        <v>15364</v>
      </c>
      <c r="AL213" s="60">
        <v>341</v>
      </c>
      <c r="AM213" s="60">
        <v>1642</v>
      </c>
      <c r="AN213" s="60">
        <v>569</v>
      </c>
      <c r="AO213" s="60">
        <v>22683</v>
      </c>
      <c r="AP213" s="60">
        <v>382</v>
      </c>
      <c r="AQ213" s="60">
        <v>387</v>
      </c>
      <c r="AR213" s="60">
        <v>1</v>
      </c>
      <c r="AS213" s="60">
        <v>151</v>
      </c>
      <c r="AT213" s="60">
        <v>210</v>
      </c>
      <c r="AU213" s="60">
        <v>60</v>
      </c>
      <c r="AV213" s="60">
        <v>4</v>
      </c>
      <c r="AW213" s="60">
        <v>1</v>
      </c>
      <c r="AX213" s="60">
        <v>123</v>
      </c>
      <c r="AY213" s="60">
        <v>1316</v>
      </c>
      <c r="AZ213" s="60">
        <v>4</v>
      </c>
      <c r="BA213" s="60">
        <v>67214</v>
      </c>
      <c r="BB213" s="60">
        <v>425</v>
      </c>
      <c r="BC213" s="60">
        <v>54</v>
      </c>
      <c r="BD213" s="60">
        <v>5</v>
      </c>
      <c r="BE213" s="60">
        <v>19386</v>
      </c>
      <c r="BF213" s="60">
        <v>11856</v>
      </c>
      <c r="BG213" s="60">
        <v>1094</v>
      </c>
      <c r="BH213" s="60">
        <v>29839</v>
      </c>
      <c r="BI213" s="60">
        <v>8162</v>
      </c>
      <c r="BJ213" s="60">
        <v>1725</v>
      </c>
      <c r="BK213" s="60">
        <v>230</v>
      </c>
      <c r="BL213" s="60">
        <v>1703</v>
      </c>
      <c r="BM213" s="60">
        <v>17</v>
      </c>
      <c r="BN213" s="60">
        <v>3317</v>
      </c>
      <c r="BO213" s="60">
        <v>1184</v>
      </c>
      <c r="BP213" s="60">
        <v>3535</v>
      </c>
      <c r="BQ213" s="60">
        <v>1772</v>
      </c>
      <c r="BR213" s="60">
        <v>16154</v>
      </c>
      <c r="BS213" s="60">
        <v>4606</v>
      </c>
      <c r="BT213" s="60">
        <v>103</v>
      </c>
      <c r="BU213" s="60">
        <v>3933</v>
      </c>
      <c r="BV213" s="60">
        <v>1995</v>
      </c>
      <c r="BW213" s="60">
        <v>103</v>
      </c>
      <c r="BX213" s="60">
        <v>3005</v>
      </c>
      <c r="BY213" s="60">
        <v>7026</v>
      </c>
      <c r="BZ213" s="60">
        <v>2711</v>
      </c>
      <c r="CA213" s="60">
        <v>17218</v>
      </c>
      <c r="CB213" s="60"/>
      <c r="CC213" s="60"/>
      <c r="CD213" s="60">
        <v>4592</v>
      </c>
      <c r="CE213" s="60">
        <v>262</v>
      </c>
      <c r="CF213" s="60">
        <v>594</v>
      </c>
      <c r="CG213" s="60">
        <v>37</v>
      </c>
      <c r="CH213" s="60">
        <v>943</v>
      </c>
      <c r="CI213" s="60">
        <v>55</v>
      </c>
      <c r="CJ213" s="60">
        <v>458</v>
      </c>
      <c r="CK213" s="60">
        <v>767</v>
      </c>
      <c r="CL213" s="60">
        <v>50730</v>
      </c>
      <c r="CM213" s="60">
        <v>8177</v>
      </c>
      <c r="CN213" s="60">
        <v>276</v>
      </c>
      <c r="CO213" s="60">
        <v>2459</v>
      </c>
      <c r="CP213" s="60">
        <v>389</v>
      </c>
      <c r="CQ213" s="60">
        <v>512</v>
      </c>
      <c r="CR213" s="60">
        <v>86</v>
      </c>
      <c r="CS213" s="60"/>
      <c r="CT213" s="60">
        <v>70337</v>
      </c>
      <c r="CU213" s="60">
        <v>1783</v>
      </c>
      <c r="CV213" s="60">
        <v>64968</v>
      </c>
      <c r="CW213" s="60">
        <v>3586</v>
      </c>
      <c r="CX213" s="60">
        <v>3811</v>
      </c>
      <c r="CY213" s="60">
        <v>3584</v>
      </c>
      <c r="CZ213" s="60"/>
      <c r="DA213" s="60"/>
      <c r="DB213" s="60">
        <v>209</v>
      </c>
      <c r="DC213" s="60">
        <v>446</v>
      </c>
      <c r="DD213" s="60">
        <v>450</v>
      </c>
      <c r="DE213" s="60">
        <v>724</v>
      </c>
      <c r="DF213" s="60">
        <v>1153</v>
      </c>
      <c r="DG213" s="60">
        <v>1331</v>
      </c>
      <c r="DH213" s="60">
        <v>1371</v>
      </c>
      <c r="DI213" s="60">
        <v>1493</v>
      </c>
      <c r="DJ213" s="60">
        <v>90</v>
      </c>
      <c r="DK213" s="60">
        <v>128</v>
      </c>
      <c r="DL213" s="60"/>
      <c r="DM213" s="60">
        <v>998</v>
      </c>
      <c r="DN213" s="60">
        <v>1425</v>
      </c>
      <c r="DO213" s="60">
        <v>1135</v>
      </c>
      <c r="DP213" s="60">
        <v>98</v>
      </c>
      <c r="DQ213" s="60">
        <v>31</v>
      </c>
      <c r="DR213" s="60">
        <v>3659</v>
      </c>
      <c r="DS213" s="60">
        <v>49</v>
      </c>
      <c r="DT213" s="60">
        <v>269</v>
      </c>
      <c r="DU213" s="60">
        <v>52</v>
      </c>
      <c r="DV213" s="60">
        <v>289</v>
      </c>
      <c r="DW213" s="60">
        <v>1060</v>
      </c>
      <c r="DX213" s="60">
        <v>77</v>
      </c>
      <c r="DY213" s="60">
        <v>4</v>
      </c>
      <c r="DZ213" s="60">
        <v>125</v>
      </c>
      <c r="EA213" s="60">
        <v>4588</v>
      </c>
      <c r="EB213" s="60">
        <v>920</v>
      </c>
      <c r="EC213" s="60">
        <v>11</v>
      </c>
      <c r="ED213" s="60">
        <v>0</v>
      </c>
      <c r="EE213" s="60">
        <v>0</v>
      </c>
      <c r="EF213" s="60">
        <v>0</v>
      </c>
      <c r="EG213" s="60">
        <v>0</v>
      </c>
      <c r="EH213" s="60">
        <v>0</v>
      </c>
      <c r="EI213" s="60">
        <v>784</v>
      </c>
      <c r="EJ213" s="60">
        <v>3906</v>
      </c>
      <c r="EK213" s="60">
        <v>43</v>
      </c>
      <c r="EL213" s="60">
        <v>2272</v>
      </c>
      <c r="EM213" s="60">
        <v>390</v>
      </c>
      <c r="EN213" s="60">
        <v>87</v>
      </c>
      <c r="EO213" s="60">
        <v>78</v>
      </c>
      <c r="EP213" s="60">
        <v>1344</v>
      </c>
      <c r="EQ213" s="60">
        <v>2</v>
      </c>
      <c r="ER213" s="60">
        <v>1174</v>
      </c>
      <c r="ES213" s="60">
        <v>338</v>
      </c>
      <c r="ET213" s="60">
        <v>350</v>
      </c>
      <c r="EU213" s="60">
        <v>1035</v>
      </c>
      <c r="EV213" s="60">
        <v>1298</v>
      </c>
      <c r="EW213" s="60">
        <v>100</v>
      </c>
      <c r="EX213" s="60">
        <v>126</v>
      </c>
      <c r="EY213" s="60">
        <v>118</v>
      </c>
      <c r="EZ213" s="60">
        <v>8</v>
      </c>
      <c r="FA213" s="60">
        <v>60</v>
      </c>
      <c r="FB213" s="60">
        <v>870</v>
      </c>
      <c r="FC213" s="60">
        <v>203</v>
      </c>
      <c r="FD213" s="60">
        <v>190</v>
      </c>
      <c r="FE213" s="60">
        <v>3</v>
      </c>
      <c r="FF213" s="60">
        <v>11</v>
      </c>
      <c r="FG213" s="60"/>
      <c r="FH213" s="60">
        <v>495</v>
      </c>
      <c r="FI213" s="60">
        <v>79</v>
      </c>
      <c r="FJ213" s="60">
        <v>590</v>
      </c>
      <c r="FK213" s="60">
        <v>102</v>
      </c>
      <c r="FL213" s="60">
        <v>36</v>
      </c>
      <c r="FM213" s="60">
        <v>525</v>
      </c>
      <c r="FN213" s="60">
        <v>33</v>
      </c>
      <c r="FO213" s="60">
        <v>4946</v>
      </c>
      <c r="FP213" s="60">
        <v>180</v>
      </c>
      <c r="FQ213" s="60">
        <v>30</v>
      </c>
      <c r="FR213" s="60">
        <v>265</v>
      </c>
      <c r="FS213" s="60">
        <v>50</v>
      </c>
      <c r="FT213" s="60">
        <v>48</v>
      </c>
      <c r="FU213" s="60">
        <v>13</v>
      </c>
      <c r="FV213" s="60">
        <v>3</v>
      </c>
      <c r="FW213" s="60"/>
      <c r="FX213" s="60">
        <v>7395</v>
      </c>
      <c r="FY213" s="60">
        <v>324</v>
      </c>
      <c r="FZ213" s="60">
        <v>6789</v>
      </c>
      <c r="GA213" s="60">
        <v>282</v>
      </c>
      <c r="GB213" s="60">
        <v>2011</v>
      </c>
    </row>
    <row r="214" spans="1:184" x14ac:dyDescent="0.3">
      <c r="A214" s="60">
        <v>106344029</v>
      </c>
      <c r="B214" s="61" t="s">
        <v>832</v>
      </c>
      <c r="C214" s="61" t="s">
        <v>1971</v>
      </c>
      <c r="D214" s="61" t="s">
        <v>833</v>
      </c>
      <c r="E214" s="61" t="s">
        <v>834</v>
      </c>
      <c r="F214" s="60">
        <v>95630</v>
      </c>
      <c r="G214" s="61"/>
      <c r="H214" s="61" t="s">
        <v>1669</v>
      </c>
      <c r="I214" s="60">
        <v>5</v>
      </c>
      <c r="J214" s="60">
        <v>1</v>
      </c>
      <c r="K214" s="61" t="s">
        <v>1972</v>
      </c>
      <c r="L214" s="61"/>
      <c r="M214" s="61" t="s">
        <v>1728</v>
      </c>
      <c r="N214" s="61" t="s">
        <v>1962</v>
      </c>
      <c r="O214" s="61" t="s">
        <v>1673</v>
      </c>
      <c r="P214" s="61" t="s">
        <v>1678</v>
      </c>
      <c r="Q214" s="61" t="s">
        <v>1674</v>
      </c>
      <c r="R214" s="60">
        <v>106</v>
      </c>
      <c r="S214" s="61" t="s">
        <v>1675</v>
      </c>
      <c r="T214" s="60">
        <v>14822</v>
      </c>
      <c r="U214" s="60">
        <v>11464</v>
      </c>
      <c r="V214" s="60"/>
      <c r="W214" s="60"/>
      <c r="X214" s="60">
        <v>3383</v>
      </c>
      <c r="Y214" s="60">
        <v>3163</v>
      </c>
      <c r="Z214" s="60">
        <v>4498</v>
      </c>
      <c r="AA214" s="60">
        <v>3697</v>
      </c>
      <c r="AB214" s="60">
        <v>3663</v>
      </c>
      <c r="AC214" s="60">
        <v>2828</v>
      </c>
      <c r="AD214" s="60">
        <v>1708</v>
      </c>
      <c r="AE214" s="60">
        <v>1307</v>
      </c>
      <c r="AF214" s="60">
        <v>1456</v>
      </c>
      <c r="AG214" s="60">
        <v>583</v>
      </c>
      <c r="AH214" s="60"/>
      <c r="AI214" s="60">
        <v>1255</v>
      </c>
      <c r="AJ214" s="60">
        <v>874</v>
      </c>
      <c r="AK214" s="60">
        <v>2472</v>
      </c>
      <c r="AL214" s="60">
        <v>71</v>
      </c>
      <c r="AM214" s="60">
        <v>183</v>
      </c>
      <c r="AN214" s="60">
        <v>132</v>
      </c>
      <c r="AO214" s="60">
        <v>21299</v>
      </c>
      <c r="AP214" s="60">
        <v>150</v>
      </c>
      <c r="AQ214" s="60"/>
      <c r="AR214" s="60">
        <v>254</v>
      </c>
      <c r="AS214" s="60">
        <v>43</v>
      </c>
      <c r="AT214" s="60">
        <v>67</v>
      </c>
      <c r="AU214" s="60">
        <v>2</v>
      </c>
      <c r="AV214" s="60"/>
      <c r="AW214" s="60">
        <v>71</v>
      </c>
      <c r="AX214" s="60">
        <v>34</v>
      </c>
      <c r="AY214" s="60">
        <v>242</v>
      </c>
      <c r="AZ214" s="60">
        <v>1</v>
      </c>
      <c r="BA214" s="60">
        <v>25413</v>
      </c>
      <c r="BB214" s="60">
        <v>9</v>
      </c>
      <c r="BC214" s="60"/>
      <c r="BD214" s="60"/>
      <c r="BE214" s="60">
        <v>6817</v>
      </c>
      <c r="BF214" s="60">
        <v>3928</v>
      </c>
      <c r="BG214" s="60">
        <v>1136</v>
      </c>
      <c r="BH214" s="60">
        <v>10359</v>
      </c>
      <c r="BI214" s="60">
        <v>4046</v>
      </c>
      <c r="BJ214" s="60">
        <v>614</v>
      </c>
      <c r="BK214" s="60">
        <v>38</v>
      </c>
      <c r="BL214" s="60">
        <v>650</v>
      </c>
      <c r="BM214" s="60">
        <v>2</v>
      </c>
      <c r="BN214" s="60">
        <v>1791</v>
      </c>
      <c r="BO214" s="60">
        <v>249</v>
      </c>
      <c r="BP214" s="60">
        <v>1751</v>
      </c>
      <c r="BQ214" s="60">
        <v>511</v>
      </c>
      <c r="BR214" s="60">
        <v>6654</v>
      </c>
      <c r="BS214" s="60">
        <v>1341</v>
      </c>
      <c r="BT214" s="60">
        <v>19</v>
      </c>
      <c r="BU214" s="60">
        <v>1295</v>
      </c>
      <c r="BV214" s="60">
        <v>605</v>
      </c>
      <c r="BW214" s="60">
        <v>27</v>
      </c>
      <c r="BX214" s="60">
        <v>901</v>
      </c>
      <c r="BY214" s="60">
        <v>2885</v>
      </c>
      <c r="BZ214" s="60">
        <v>966</v>
      </c>
      <c r="CA214" s="60">
        <v>5987</v>
      </c>
      <c r="CB214" s="60"/>
      <c r="CC214" s="60"/>
      <c r="CD214" s="60">
        <v>2231</v>
      </c>
      <c r="CE214" s="60">
        <v>111</v>
      </c>
      <c r="CF214" s="60">
        <v>144</v>
      </c>
      <c r="CG214" s="60">
        <v>4</v>
      </c>
      <c r="CH214" s="60">
        <v>187</v>
      </c>
      <c r="CI214" s="60">
        <v>12</v>
      </c>
      <c r="CJ214" s="60">
        <v>58</v>
      </c>
      <c r="CK214" s="60">
        <v>257</v>
      </c>
      <c r="CL214" s="60">
        <v>19425</v>
      </c>
      <c r="CM214" s="60">
        <v>2782</v>
      </c>
      <c r="CN214" s="60">
        <v>219</v>
      </c>
      <c r="CO214" s="60">
        <v>546</v>
      </c>
      <c r="CP214" s="60">
        <v>99</v>
      </c>
      <c r="CQ214" s="60">
        <v>199</v>
      </c>
      <c r="CR214" s="60">
        <v>11</v>
      </c>
      <c r="CS214" s="60">
        <v>1</v>
      </c>
      <c r="CT214" s="60">
        <v>26286</v>
      </c>
      <c r="CU214" s="60">
        <v>666</v>
      </c>
      <c r="CV214" s="60">
        <v>24936</v>
      </c>
      <c r="CW214" s="60">
        <v>684</v>
      </c>
      <c r="CX214" s="60">
        <v>2152</v>
      </c>
      <c r="CY214" s="60">
        <v>1662</v>
      </c>
      <c r="CZ214" s="60"/>
      <c r="DA214" s="60"/>
      <c r="DB214" s="60">
        <v>104</v>
      </c>
      <c r="DC214" s="60">
        <v>241</v>
      </c>
      <c r="DD214" s="60">
        <v>262</v>
      </c>
      <c r="DE214" s="60">
        <v>433</v>
      </c>
      <c r="DF214" s="60">
        <v>564</v>
      </c>
      <c r="DG214" s="60">
        <v>563</v>
      </c>
      <c r="DH214" s="60">
        <v>661</v>
      </c>
      <c r="DI214" s="60">
        <v>981</v>
      </c>
      <c r="DJ214" s="60"/>
      <c r="DK214" s="60">
        <v>5</v>
      </c>
      <c r="DL214" s="60"/>
      <c r="DM214" s="60">
        <v>173</v>
      </c>
      <c r="DN214" s="60">
        <v>59</v>
      </c>
      <c r="DO214" s="60">
        <v>189</v>
      </c>
      <c r="DP214" s="60">
        <v>29</v>
      </c>
      <c r="DQ214" s="60">
        <v>20</v>
      </c>
      <c r="DR214" s="60">
        <v>3333</v>
      </c>
      <c r="DS214" s="60">
        <v>11</v>
      </c>
      <c r="DT214" s="60">
        <v>262</v>
      </c>
      <c r="DU214" s="60">
        <v>50</v>
      </c>
      <c r="DV214" s="60">
        <v>134</v>
      </c>
      <c r="DW214" s="60">
        <v>394</v>
      </c>
      <c r="DX214" s="60">
        <v>105</v>
      </c>
      <c r="DY214" s="60">
        <v>1</v>
      </c>
      <c r="DZ214" s="60">
        <v>26</v>
      </c>
      <c r="EA214" s="60">
        <v>2440</v>
      </c>
      <c r="EB214" s="60">
        <v>396</v>
      </c>
      <c r="EC214" s="60">
        <v>6</v>
      </c>
      <c r="ED214" s="60">
        <v>0</v>
      </c>
      <c r="EE214" s="60">
        <v>0</v>
      </c>
      <c r="EF214" s="60">
        <v>0</v>
      </c>
      <c r="EG214" s="60">
        <v>0</v>
      </c>
      <c r="EH214" s="60">
        <v>0</v>
      </c>
      <c r="EI214" s="60">
        <v>317</v>
      </c>
      <c r="EJ214" s="60">
        <v>2081</v>
      </c>
      <c r="EK214" s="60">
        <v>69</v>
      </c>
      <c r="EL214" s="60">
        <v>961</v>
      </c>
      <c r="EM214" s="60">
        <v>386</v>
      </c>
      <c r="EN214" s="60">
        <v>45</v>
      </c>
      <c r="EO214" s="60">
        <v>53</v>
      </c>
      <c r="EP214" s="60">
        <v>517</v>
      </c>
      <c r="EQ214" s="60">
        <v>4</v>
      </c>
      <c r="ER214" s="60">
        <v>717</v>
      </c>
      <c r="ES214" s="60">
        <v>163</v>
      </c>
      <c r="ET214" s="60">
        <v>223</v>
      </c>
      <c r="EU214" s="60">
        <v>726</v>
      </c>
      <c r="EV214" s="60">
        <v>352</v>
      </c>
      <c r="EW214" s="60">
        <v>55</v>
      </c>
      <c r="EX214" s="60">
        <v>73</v>
      </c>
      <c r="EY214" s="60">
        <v>91</v>
      </c>
      <c r="EZ214" s="60"/>
      <c r="FA214" s="60">
        <v>93</v>
      </c>
      <c r="FB214" s="60">
        <v>372</v>
      </c>
      <c r="FC214" s="60">
        <v>118</v>
      </c>
      <c r="FD214" s="60">
        <v>212</v>
      </c>
      <c r="FE214" s="60"/>
      <c r="FF214" s="60"/>
      <c r="FG214" s="60"/>
      <c r="FH214" s="60">
        <v>249</v>
      </c>
      <c r="FI214" s="60">
        <v>37</v>
      </c>
      <c r="FJ214" s="60">
        <v>221</v>
      </c>
      <c r="FK214" s="60">
        <v>5</v>
      </c>
      <c r="FL214" s="60">
        <v>10</v>
      </c>
      <c r="FM214" s="60">
        <v>53</v>
      </c>
      <c r="FN214" s="60">
        <v>24</v>
      </c>
      <c r="FO214" s="60">
        <v>3097</v>
      </c>
      <c r="FP214" s="60">
        <v>54</v>
      </c>
      <c r="FQ214" s="60">
        <v>10</v>
      </c>
      <c r="FR214" s="60">
        <v>8</v>
      </c>
      <c r="FS214" s="60">
        <v>37</v>
      </c>
      <c r="FT214" s="60">
        <v>7</v>
      </c>
      <c r="FU214" s="60">
        <v>2</v>
      </c>
      <c r="FV214" s="60"/>
      <c r="FW214" s="60"/>
      <c r="FX214" s="60">
        <v>3814</v>
      </c>
      <c r="FY214" s="60">
        <v>133</v>
      </c>
      <c r="FZ214" s="60">
        <v>3611</v>
      </c>
      <c r="GA214" s="60">
        <v>70</v>
      </c>
      <c r="GB214" s="60">
        <v>2011</v>
      </c>
    </row>
    <row r="215" spans="1:184" x14ac:dyDescent="0.3">
      <c r="A215" s="60">
        <v>106350784</v>
      </c>
      <c r="B215" s="61" t="s">
        <v>835</v>
      </c>
      <c r="C215" s="61" t="s">
        <v>836</v>
      </c>
      <c r="D215" s="61" t="s">
        <v>837</v>
      </c>
      <c r="E215" s="61" t="s">
        <v>838</v>
      </c>
      <c r="F215" s="60">
        <v>95023</v>
      </c>
      <c r="G215" s="61"/>
      <c r="H215" s="61" t="s">
        <v>1669</v>
      </c>
      <c r="I215" s="60">
        <v>28</v>
      </c>
      <c r="J215" s="60">
        <v>12</v>
      </c>
      <c r="K215" s="61" t="s">
        <v>1973</v>
      </c>
      <c r="L215" s="61"/>
      <c r="M215" s="61" t="s">
        <v>1885</v>
      </c>
      <c r="N215" s="61" t="s">
        <v>1974</v>
      </c>
      <c r="O215" s="61" t="s">
        <v>1673</v>
      </c>
      <c r="P215" s="61" t="s">
        <v>159</v>
      </c>
      <c r="Q215" s="61" t="s">
        <v>1674</v>
      </c>
      <c r="R215" s="60">
        <v>49</v>
      </c>
      <c r="S215" s="61" t="s">
        <v>1675</v>
      </c>
      <c r="T215" s="60">
        <v>7838</v>
      </c>
      <c r="U215" s="60">
        <v>6520</v>
      </c>
      <c r="V215" s="60"/>
      <c r="W215" s="60"/>
      <c r="X215" s="60">
        <v>2805</v>
      </c>
      <c r="Y215" s="60">
        <v>1985</v>
      </c>
      <c r="Z215" s="60">
        <v>2258</v>
      </c>
      <c r="AA215" s="60">
        <v>1744</v>
      </c>
      <c r="AB215" s="60">
        <v>1755</v>
      </c>
      <c r="AC215" s="60">
        <v>1249</v>
      </c>
      <c r="AD215" s="60">
        <v>782</v>
      </c>
      <c r="AE215" s="60">
        <v>529</v>
      </c>
      <c r="AF215" s="60">
        <v>558</v>
      </c>
      <c r="AG215" s="60">
        <v>693</v>
      </c>
      <c r="AH215" s="60"/>
      <c r="AI215" s="60">
        <v>115</v>
      </c>
      <c r="AJ215" s="60">
        <v>85</v>
      </c>
      <c r="AK215" s="60">
        <v>7712</v>
      </c>
      <c r="AL215" s="60">
        <v>2</v>
      </c>
      <c r="AM215" s="60">
        <v>41</v>
      </c>
      <c r="AN215" s="60">
        <v>348</v>
      </c>
      <c r="AO215" s="60">
        <v>6055</v>
      </c>
      <c r="AP215" s="60">
        <v>325</v>
      </c>
      <c r="AQ215" s="60">
        <v>372</v>
      </c>
      <c r="AR215" s="60"/>
      <c r="AS215" s="60">
        <v>13</v>
      </c>
      <c r="AT215" s="60">
        <v>1</v>
      </c>
      <c r="AU215" s="60">
        <v>1</v>
      </c>
      <c r="AV215" s="60"/>
      <c r="AW215" s="60"/>
      <c r="AX215" s="60">
        <v>93</v>
      </c>
      <c r="AY215" s="60">
        <v>33</v>
      </c>
      <c r="AZ215" s="60">
        <v>36</v>
      </c>
      <c r="BA215" s="60">
        <v>13440</v>
      </c>
      <c r="BB215" s="60">
        <v>44</v>
      </c>
      <c r="BC215" s="60"/>
      <c r="BD215" s="60"/>
      <c r="BE215" s="60">
        <v>6342</v>
      </c>
      <c r="BF215" s="60">
        <v>1752</v>
      </c>
      <c r="BG215" s="60">
        <v>419</v>
      </c>
      <c r="BH215" s="60">
        <v>4163</v>
      </c>
      <c r="BI215" s="60">
        <v>1682</v>
      </c>
      <c r="BJ215" s="60">
        <v>329</v>
      </c>
      <c r="BK215" s="60">
        <v>46</v>
      </c>
      <c r="BL215" s="60">
        <v>285</v>
      </c>
      <c r="BM215" s="60">
        <v>4</v>
      </c>
      <c r="BN215" s="60">
        <v>738</v>
      </c>
      <c r="BO215" s="60">
        <v>240</v>
      </c>
      <c r="BP215" s="60">
        <v>693</v>
      </c>
      <c r="BQ215" s="60">
        <v>435</v>
      </c>
      <c r="BR215" s="60">
        <v>3612</v>
      </c>
      <c r="BS215" s="60">
        <v>637</v>
      </c>
      <c r="BT215" s="60">
        <v>12</v>
      </c>
      <c r="BU215" s="60">
        <v>1187</v>
      </c>
      <c r="BV215" s="60">
        <v>379</v>
      </c>
      <c r="BW215" s="60">
        <v>42</v>
      </c>
      <c r="BX215" s="60">
        <v>375</v>
      </c>
      <c r="BY215" s="60">
        <v>1720</v>
      </c>
      <c r="BZ215" s="60">
        <v>585</v>
      </c>
      <c r="CA215" s="60">
        <v>3039</v>
      </c>
      <c r="CB215" s="60"/>
      <c r="CC215" s="60"/>
      <c r="CD215" s="60">
        <v>963</v>
      </c>
      <c r="CE215" s="60">
        <v>51</v>
      </c>
      <c r="CF215" s="60">
        <v>118</v>
      </c>
      <c r="CG215" s="60">
        <v>11</v>
      </c>
      <c r="CH215" s="60">
        <v>122</v>
      </c>
      <c r="CI215" s="60">
        <v>4</v>
      </c>
      <c r="CJ215" s="60">
        <v>61</v>
      </c>
      <c r="CK215" s="60">
        <v>152</v>
      </c>
      <c r="CL215" s="60">
        <v>10538</v>
      </c>
      <c r="CM215" s="60">
        <v>1592</v>
      </c>
      <c r="CN215" s="60">
        <v>108</v>
      </c>
      <c r="CO215" s="60">
        <v>441</v>
      </c>
      <c r="CP215" s="60">
        <v>39</v>
      </c>
      <c r="CQ215" s="60">
        <v>100</v>
      </c>
      <c r="CR215" s="60">
        <v>58</v>
      </c>
      <c r="CS215" s="60"/>
      <c r="CT215" s="60">
        <v>14358</v>
      </c>
      <c r="CU215" s="60">
        <v>24</v>
      </c>
      <c r="CV215" s="60">
        <v>12250</v>
      </c>
      <c r="CW215" s="60">
        <v>2084</v>
      </c>
      <c r="CX215" s="60">
        <v>864</v>
      </c>
      <c r="CY215" s="60">
        <v>827</v>
      </c>
      <c r="CZ215" s="60"/>
      <c r="DA215" s="60"/>
      <c r="DB215" s="60">
        <v>72</v>
      </c>
      <c r="DC215" s="60">
        <v>126</v>
      </c>
      <c r="DD215" s="60">
        <v>153</v>
      </c>
      <c r="DE215" s="60">
        <v>175</v>
      </c>
      <c r="DF215" s="60">
        <v>230</v>
      </c>
      <c r="DG215" s="60">
        <v>211</v>
      </c>
      <c r="DH215" s="60">
        <v>200</v>
      </c>
      <c r="DI215" s="60">
        <v>452</v>
      </c>
      <c r="DJ215" s="60">
        <v>24</v>
      </c>
      <c r="DK215" s="60">
        <v>48</v>
      </c>
      <c r="DL215" s="60"/>
      <c r="DM215" s="60">
        <v>19</v>
      </c>
      <c r="DN215" s="60">
        <v>12</v>
      </c>
      <c r="DO215" s="60">
        <v>783</v>
      </c>
      <c r="DP215" s="60">
        <v>12</v>
      </c>
      <c r="DQ215" s="60">
        <v>17</v>
      </c>
      <c r="DR215" s="60">
        <v>847</v>
      </c>
      <c r="DS215" s="60">
        <v>1</v>
      </c>
      <c r="DT215" s="60">
        <v>72</v>
      </c>
      <c r="DU215" s="60">
        <v>27</v>
      </c>
      <c r="DV215" s="60">
        <v>43</v>
      </c>
      <c r="DW215" s="60">
        <v>73</v>
      </c>
      <c r="DX215" s="60"/>
      <c r="DY215" s="60">
        <v>11</v>
      </c>
      <c r="DZ215" s="60">
        <v>8</v>
      </c>
      <c r="EA215" s="60">
        <v>1254</v>
      </c>
      <c r="EB215" s="60">
        <v>203</v>
      </c>
      <c r="EC215" s="60"/>
      <c r="ED215" s="60">
        <v>0</v>
      </c>
      <c r="EE215" s="60">
        <v>0</v>
      </c>
      <c r="EF215" s="60">
        <v>0</v>
      </c>
      <c r="EG215" s="60">
        <v>0</v>
      </c>
      <c r="EH215" s="60">
        <v>0</v>
      </c>
      <c r="EI215" s="60">
        <v>339</v>
      </c>
      <c r="EJ215" s="60">
        <v>801</v>
      </c>
      <c r="EK215" s="60">
        <v>6</v>
      </c>
      <c r="EL215" s="60">
        <v>349</v>
      </c>
      <c r="EM215" s="60">
        <v>196</v>
      </c>
      <c r="EN215" s="60">
        <v>34</v>
      </c>
      <c r="EO215" s="60">
        <v>26</v>
      </c>
      <c r="EP215" s="60">
        <v>265</v>
      </c>
      <c r="EQ215" s="60"/>
      <c r="ER215" s="60">
        <v>364</v>
      </c>
      <c r="ES215" s="60">
        <v>106</v>
      </c>
      <c r="ET215" s="60">
        <v>93</v>
      </c>
      <c r="EU215" s="60">
        <v>106</v>
      </c>
      <c r="EV215" s="60">
        <v>148</v>
      </c>
      <c r="EW215" s="60">
        <v>21</v>
      </c>
      <c r="EX215" s="60">
        <v>17</v>
      </c>
      <c r="EY215" s="60">
        <v>22</v>
      </c>
      <c r="EZ215" s="60"/>
      <c r="FA215" s="60">
        <v>23</v>
      </c>
      <c r="FB215" s="60">
        <v>246</v>
      </c>
      <c r="FC215" s="60">
        <v>69</v>
      </c>
      <c r="FD215" s="60">
        <v>148</v>
      </c>
      <c r="FE215" s="60"/>
      <c r="FF215" s="60">
        <v>3</v>
      </c>
      <c r="FG215" s="60"/>
      <c r="FH215" s="60">
        <v>87</v>
      </c>
      <c r="FI215" s="60">
        <v>6</v>
      </c>
      <c r="FJ215" s="60">
        <v>92</v>
      </c>
      <c r="FK215" s="60">
        <v>4</v>
      </c>
      <c r="FL215" s="60">
        <v>2</v>
      </c>
      <c r="FM215" s="60">
        <v>57</v>
      </c>
      <c r="FN215" s="60">
        <v>7</v>
      </c>
      <c r="FO215" s="60">
        <v>1372</v>
      </c>
      <c r="FP215" s="60">
        <v>27</v>
      </c>
      <c r="FQ215" s="60">
        <v>3</v>
      </c>
      <c r="FR215" s="60">
        <v>19</v>
      </c>
      <c r="FS215" s="60">
        <v>8</v>
      </c>
      <c r="FT215" s="60">
        <v>5</v>
      </c>
      <c r="FU215" s="60">
        <v>2</v>
      </c>
      <c r="FV215" s="60"/>
      <c r="FW215" s="60"/>
      <c r="FX215" s="60">
        <v>1691</v>
      </c>
      <c r="FY215" s="60">
        <v>2</v>
      </c>
      <c r="FZ215" s="60">
        <v>1393</v>
      </c>
      <c r="GA215" s="60">
        <v>296</v>
      </c>
      <c r="GB215" s="60">
        <v>2011</v>
      </c>
    </row>
    <row r="216" spans="1:184" x14ac:dyDescent="0.3">
      <c r="A216" s="60">
        <v>106361105</v>
      </c>
      <c r="B216" s="61" t="s">
        <v>1639</v>
      </c>
      <c r="C216" s="61" t="s">
        <v>897</v>
      </c>
      <c r="D216" s="61" t="s">
        <v>1640</v>
      </c>
      <c r="E216" s="61" t="s">
        <v>898</v>
      </c>
      <c r="F216" s="60">
        <v>92311</v>
      </c>
      <c r="G216" s="61"/>
      <c r="H216" s="61" t="s">
        <v>1669</v>
      </c>
      <c r="I216" s="60">
        <v>34</v>
      </c>
      <c r="J216" s="60">
        <v>18</v>
      </c>
      <c r="K216" s="61" t="s">
        <v>1975</v>
      </c>
      <c r="L216" s="61"/>
      <c r="M216" s="61" t="s">
        <v>1755</v>
      </c>
      <c r="N216" s="61" t="s">
        <v>1976</v>
      </c>
      <c r="O216" s="61" t="s">
        <v>1673</v>
      </c>
      <c r="P216" s="61" t="s">
        <v>221</v>
      </c>
      <c r="Q216" s="61" t="s">
        <v>1674</v>
      </c>
      <c r="R216" s="60">
        <v>56</v>
      </c>
      <c r="S216" s="61" t="s">
        <v>1675</v>
      </c>
      <c r="T216" s="60">
        <v>11689</v>
      </c>
      <c r="U216" s="60">
        <v>9611</v>
      </c>
      <c r="V216" s="60">
        <v>2</v>
      </c>
      <c r="W216" s="60"/>
      <c r="X216" s="60">
        <v>3095</v>
      </c>
      <c r="Y216" s="60">
        <v>2619</v>
      </c>
      <c r="Z216" s="60">
        <v>3739</v>
      </c>
      <c r="AA216" s="60">
        <v>3058</v>
      </c>
      <c r="AB216" s="60">
        <v>2861</v>
      </c>
      <c r="AC216" s="60">
        <v>2577</v>
      </c>
      <c r="AD216" s="60">
        <v>1303</v>
      </c>
      <c r="AE216" s="60">
        <v>742</v>
      </c>
      <c r="AF216" s="60">
        <v>528</v>
      </c>
      <c r="AG216" s="60">
        <v>780</v>
      </c>
      <c r="AH216" s="60"/>
      <c r="AI216" s="60">
        <v>252</v>
      </c>
      <c r="AJ216" s="60">
        <v>3530</v>
      </c>
      <c r="AK216" s="60">
        <v>6179</v>
      </c>
      <c r="AL216" s="60">
        <v>197</v>
      </c>
      <c r="AM216" s="60">
        <v>991</v>
      </c>
      <c r="AN216" s="60">
        <v>112</v>
      </c>
      <c r="AO216" s="60">
        <v>10041</v>
      </c>
      <c r="AP216" s="60">
        <v>514</v>
      </c>
      <c r="AQ216" s="60">
        <v>1476</v>
      </c>
      <c r="AR216" s="60">
        <v>5</v>
      </c>
      <c r="AS216" s="60">
        <v>53</v>
      </c>
      <c r="AT216" s="60">
        <v>7</v>
      </c>
      <c r="AU216" s="60">
        <v>3</v>
      </c>
      <c r="AV216" s="60">
        <v>2</v>
      </c>
      <c r="AW216" s="60"/>
      <c r="AX216" s="60">
        <v>66</v>
      </c>
      <c r="AY216" s="60">
        <v>22</v>
      </c>
      <c r="AZ216" s="60">
        <v>8</v>
      </c>
      <c r="BA216" s="60">
        <v>19099</v>
      </c>
      <c r="BB216" s="60">
        <v>47</v>
      </c>
      <c r="BC216" s="60"/>
      <c r="BD216" s="60"/>
      <c r="BE216" s="60">
        <v>6761</v>
      </c>
      <c r="BF216" s="60">
        <v>2749</v>
      </c>
      <c r="BG216" s="60">
        <v>2366</v>
      </c>
      <c r="BH216" s="60">
        <v>6474</v>
      </c>
      <c r="BI216" s="60">
        <v>2952</v>
      </c>
      <c r="BJ216" s="60">
        <v>712</v>
      </c>
      <c r="BK216" s="60">
        <v>56</v>
      </c>
      <c r="BL216" s="60">
        <v>509</v>
      </c>
      <c r="BM216" s="60">
        <v>7</v>
      </c>
      <c r="BN216" s="60">
        <v>1306</v>
      </c>
      <c r="BO216" s="60">
        <v>345</v>
      </c>
      <c r="BP216" s="60">
        <v>1149</v>
      </c>
      <c r="BQ216" s="60">
        <v>414</v>
      </c>
      <c r="BR216" s="60">
        <v>4814</v>
      </c>
      <c r="BS216" s="60">
        <v>866</v>
      </c>
      <c r="BT216" s="60">
        <v>29</v>
      </c>
      <c r="BU216" s="60">
        <v>2116</v>
      </c>
      <c r="BV216" s="60">
        <v>898</v>
      </c>
      <c r="BW216" s="60">
        <v>41</v>
      </c>
      <c r="BX216" s="60">
        <v>632</v>
      </c>
      <c r="BY216" s="60">
        <v>3295</v>
      </c>
      <c r="BZ216" s="60">
        <v>1006</v>
      </c>
      <c r="CA216" s="60">
        <v>3107</v>
      </c>
      <c r="CB216" s="60"/>
      <c r="CC216" s="60"/>
      <c r="CD216" s="60">
        <v>1240</v>
      </c>
      <c r="CE216" s="60">
        <v>72</v>
      </c>
      <c r="CF216" s="60">
        <v>187</v>
      </c>
      <c r="CG216" s="60">
        <v>14</v>
      </c>
      <c r="CH216" s="60">
        <v>246</v>
      </c>
      <c r="CI216" s="60">
        <v>20</v>
      </c>
      <c r="CJ216" s="60">
        <v>73</v>
      </c>
      <c r="CK216" s="60">
        <v>291</v>
      </c>
      <c r="CL216" s="60">
        <v>15944</v>
      </c>
      <c r="CM216" s="60">
        <v>2207</v>
      </c>
      <c r="CN216" s="60">
        <v>79</v>
      </c>
      <c r="CO216" s="60">
        <v>698</v>
      </c>
      <c r="CP216" s="60">
        <v>57</v>
      </c>
      <c r="CQ216" s="60">
        <v>121</v>
      </c>
      <c r="CR216" s="60">
        <v>53</v>
      </c>
      <c r="CS216" s="60"/>
      <c r="CT216" s="60">
        <v>21302</v>
      </c>
      <c r="CU216" s="60">
        <v>38</v>
      </c>
      <c r="CV216" s="60">
        <v>20531</v>
      </c>
      <c r="CW216" s="60">
        <v>733</v>
      </c>
      <c r="CX216" s="60">
        <v>940</v>
      </c>
      <c r="CY216" s="60">
        <v>848</v>
      </c>
      <c r="CZ216" s="60"/>
      <c r="DA216" s="60">
        <v>1</v>
      </c>
      <c r="DB216" s="60">
        <v>32</v>
      </c>
      <c r="DC216" s="60">
        <v>119</v>
      </c>
      <c r="DD216" s="60">
        <v>141</v>
      </c>
      <c r="DE216" s="60">
        <v>196</v>
      </c>
      <c r="DF216" s="60">
        <v>335</v>
      </c>
      <c r="DG216" s="60">
        <v>300</v>
      </c>
      <c r="DH216" s="60">
        <v>331</v>
      </c>
      <c r="DI216" s="60">
        <v>335</v>
      </c>
      <c r="DJ216" s="60"/>
      <c r="DK216" s="60"/>
      <c r="DL216" s="60"/>
      <c r="DM216" s="60">
        <v>22</v>
      </c>
      <c r="DN216" s="60">
        <v>202</v>
      </c>
      <c r="DO216" s="60">
        <v>340</v>
      </c>
      <c r="DP216" s="60">
        <v>226</v>
      </c>
      <c r="DQ216" s="60"/>
      <c r="DR216" s="60">
        <v>992</v>
      </c>
      <c r="DS216" s="60">
        <v>7</v>
      </c>
      <c r="DT216" s="60">
        <v>110</v>
      </c>
      <c r="DU216" s="60">
        <v>77</v>
      </c>
      <c r="DV216" s="60">
        <v>2</v>
      </c>
      <c r="DW216" s="60">
        <v>133</v>
      </c>
      <c r="DX216" s="60">
        <v>5</v>
      </c>
      <c r="DY216" s="60">
        <v>15</v>
      </c>
      <c r="DZ216" s="60"/>
      <c r="EA216" s="60">
        <v>1218</v>
      </c>
      <c r="EB216" s="60">
        <v>228</v>
      </c>
      <c r="EC216" s="60">
        <v>1</v>
      </c>
      <c r="ED216" s="60">
        <v>0</v>
      </c>
      <c r="EE216" s="60">
        <v>0</v>
      </c>
      <c r="EF216" s="60">
        <v>0</v>
      </c>
      <c r="EG216" s="60">
        <v>0</v>
      </c>
      <c r="EH216" s="60">
        <v>0</v>
      </c>
      <c r="EI216" s="60">
        <v>347</v>
      </c>
      <c r="EJ216" s="60">
        <v>956</v>
      </c>
      <c r="EK216" s="60">
        <v>80</v>
      </c>
      <c r="EL216" s="60">
        <v>239</v>
      </c>
      <c r="EM216" s="60">
        <v>167</v>
      </c>
      <c r="EN216" s="60">
        <v>50</v>
      </c>
      <c r="EO216" s="60">
        <v>40</v>
      </c>
      <c r="EP216" s="60">
        <v>473</v>
      </c>
      <c r="EQ216" s="60"/>
      <c r="ER216" s="60">
        <v>269</v>
      </c>
      <c r="ES216" s="60">
        <v>117</v>
      </c>
      <c r="ET216" s="60">
        <v>84</v>
      </c>
      <c r="EU216" s="60">
        <v>149</v>
      </c>
      <c r="EV216" s="60">
        <v>69</v>
      </c>
      <c r="EW216" s="60">
        <v>20</v>
      </c>
      <c r="EX216" s="60">
        <v>26</v>
      </c>
      <c r="EY216" s="60">
        <v>47</v>
      </c>
      <c r="EZ216" s="60">
        <v>1</v>
      </c>
      <c r="FA216" s="60">
        <v>13</v>
      </c>
      <c r="FB216" s="60">
        <v>274</v>
      </c>
      <c r="FC216" s="60">
        <v>41</v>
      </c>
      <c r="FD216" s="60">
        <v>116</v>
      </c>
      <c r="FE216" s="60"/>
      <c r="FF216" s="60"/>
      <c r="FG216" s="60"/>
      <c r="FH216" s="60">
        <v>52</v>
      </c>
      <c r="FI216" s="60">
        <v>15</v>
      </c>
      <c r="FJ216" s="60">
        <v>145</v>
      </c>
      <c r="FK216" s="60">
        <v>3</v>
      </c>
      <c r="FL216" s="60">
        <v>5</v>
      </c>
      <c r="FM216" s="60">
        <v>57</v>
      </c>
      <c r="FN216" s="60">
        <v>11</v>
      </c>
      <c r="FO216" s="60">
        <v>1467</v>
      </c>
      <c r="FP216" s="60">
        <v>19</v>
      </c>
      <c r="FQ216" s="60"/>
      <c r="FR216" s="60">
        <v>3</v>
      </c>
      <c r="FS216" s="60">
        <v>6</v>
      </c>
      <c r="FT216" s="60">
        <v>2</v>
      </c>
      <c r="FU216" s="60">
        <v>4</v>
      </c>
      <c r="FV216" s="60"/>
      <c r="FW216" s="60"/>
      <c r="FX216" s="60">
        <v>1789</v>
      </c>
      <c r="FY216" s="60">
        <v>5</v>
      </c>
      <c r="FZ216" s="60">
        <v>1740</v>
      </c>
      <c r="GA216" s="60">
        <v>44</v>
      </c>
      <c r="GB216" s="60">
        <v>2011</v>
      </c>
    </row>
    <row r="217" spans="1:184" x14ac:dyDescent="0.3">
      <c r="A217" s="60">
        <v>106361110</v>
      </c>
      <c r="B217" s="61" t="s">
        <v>839</v>
      </c>
      <c r="C217" s="61" t="s">
        <v>840</v>
      </c>
      <c r="D217" s="61" t="s">
        <v>842</v>
      </c>
      <c r="E217" s="61" t="s">
        <v>843</v>
      </c>
      <c r="F217" s="60">
        <v>92315</v>
      </c>
      <c r="G217" s="61"/>
      <c r="H217" s="61" t="s">
        <v>1669</v>
      </c>
      <c r="I217" s="60">
        <v>65</v>
      </c>
      <c r="J217" s="60">
        <v>31</v>
      </c>
      <c r="K217" s="61" t="s">
        <v>1977</v>
      </c>
      <c r="L217" s="61"/>
      <c r="M217" s="61" t="s">
        <v>1755</v>
      </c>
      <c r="N217" s="61" t="s">
        <v>1976</v>
      </c>
      <c r="O217" s="61" t="s">
        <v>1673</v>
      </c>
      <c r="P217" s="61" t="s">
        <v>159</v>
      </c>
      <c r="Q217" s="61" t="s">
        <v>1674</v>
      </c>
      <c r="R217" s="60">
        <v>9</v>
      </c>
      <c r="S217" s="61" t="s">
        <v>1706</v>
      </c>
      <c r="T217" s="60">
        <v>4903</v>
      </c>
      <c r="U217" s="60">
        <v>4744</v>
      </c>
      <c r="V217" s="60"/>
      <c r="W217" s="60"/>
      <c r="X217" s="60">
        <v>969</v>
      </c>
      <c r="Y217" s="60">
        <v>1377</v>
      </c>
      <c r="Z217" s="60">
        <v>1804</v>
      </c>
      <c r="AA217" s="60">
        <v>1148</v>
      </c>
      <c r="AB217" s="60">
        <v>1251</v>
      </c>
      <c r="AC217" s="60">
        <v>1094</v>
      </c>
      <c r="AD217" s="60">
        <v>833</v>
      </c>
      <c r="AE217" s="60">
        <v>609</v>
      </c>
      <c r="AF217" s="60">
        <v>394</v>
      </c>
      <c r="AG217" s="60">
        <v>168</v>
      </c>
      <c r="AH217" s="60"/>
      <c r="AI217" s="60">
        <v>144</v>
      </c>
      <c r="AJ217" s="60">
        <v>105</v>
      </c>
      <c r="AK217" s="60">
        <v>948</v>
      </c>
      <c r="AL217" s="60">
        <v>12</v>
      </c>
      <c r="AM217" s="60">
        <v>97</v>
      </c>
      <c r="AN217" s="60">
        <v>293</v>
      </c>
      <c r="AO217" s="60">
        <v>8048</v>
      </c>
      <c r="AP217" s="60"/>
      <c r="AQ217" s="60">
        <v>147</v>
      </c>
      <c r="AR217" s="60">
        <v>821</v>
      </c>
      <c r="AS217" s="60">
        <v>23</v>
      </c>
      <c r="AT217" s="60">
        <v>3</v>
      </c>
      <c r="AU217" s="60">
        <v>1</v>
      </c>
      <c r="AV217" s="60"/>
      <c r="AW217" s="60">
        <v>22</v>
      </c>
      <c r="AX217" s="60"/>
      <c r="AY217" s="60">
        <v>27</v>
      </c>
      <c r="AZ217" s="60"/>
      <c r="BA217" s="60">
        <v>8601</v>
      </c>
      <c r="BB217" s="60">
        <v>2</v>
      </c>
      <c r="BC217" s="60"/>
      <c r="BD217" s="60"/>
      <c r="BE217" s="60">
        <v>2312</v>
      </c>
      <c r="BF217" s="60">
        <v>1766</v>
      </c>
      <c r="BG217" s="60">
        <v>183</v>
      </c>
      <c r="BH217" s="60">
        <v>3530</v>
      </c>
      <c r="BI217" s="60">
        <v>1856</v>
      </c>
      <c r="BJ217" s="60">
        <v>256</v>
      </c>
      <c r="BK217" s="60">
        <v>26</v>
      </c>
      <c r="BL217" s="60">
        <v>348</v>
      </c>
      <c r="BM217" s="60">
        <v>2</v>
      </c>
      <c r="BN217" s="60">
        <v>582</v>
      </c>
      <c r="BO217" s="60">
        <v>137</v>
      </c>
      <c r="BP217" s="60">
        <v>458</v>
      </c>
      <c r="BQ217" s="60">
        <v>158</v>
      </c>
      <c r="BR217" s="60">
        <v>3758</v>
      </c>
      <c r="BS217" s="60">
        <v>430</v>
      </c>
      <c r="BT217" s="60">
        <v>16</v>
      </c>
      <c r="BU217" s="60">
        <v>562</v>
      </c>
      <c r="BV217" s="60">
        <v>240</v>
      </c>
      <c r="BW217" s="60">
        <v>7</v>
      </c>
      <c r="BX217" s="60">
        <v>213</v>
      </c>
      <c r="BY217" s="60">
        <v>849</v>
      </c>
      <c r="BZ217" s="60">
        <v>291</v>
      </c>
      <c r="CA217" s="60">
        <v>1310</v>
      </c>
      <c r="CB217" s="60"/>
      <c r="CC217" s="60">
        <v>4</v>
      </c>
      <c r="CD217" s="60">
        <v>1943</v>
      </c>
      <c r="CE217" s="60">
        <v>44</v>
      </c>
      <c r="CF217" s="60">
        <v>94</v>
      </c>
      <c r="CG217" s="60">
        <v>10</v>
      </c>
      <c r="CH217" s="60">
        <v>88</v>
      </c>
      <c r="CI217" s="60">
        <v>7</v>
      </c>
      <c r="CJ217" s="60">
        <v>63</v>
      </c>
      <c r="CK217" s="60">
        <v>148</v>
      </c>
      <c r="CL217" s="60">
        <v>5582</v>
      </c>
      <c r="CM217" s="60">
        <v>1218</v>
      </c>
      <c r="CN217" s="60">
        <v>114</v>
      </c>
      <c r="CO217" s="60">
        <v>225</v>
      </c>
      <c r="CP217" s="60">
        <v>35</v>
      </c>
      <c r="CQ217" s="60">
        <v>65</v>
      </c>
      <c r="CR217" s="60">
        <v>11</v>
      </c>
      <c r="CS217" s="60"/>
      <c r="CT217" s="60">
        <v>9647</v>
      </c>
      <c r="CU217" s="60">
        <v>39</v>
      </c>
      <c r="CV217" s="60">
        <v>9420</v>
      </c>
      <c r="CW217" s="60">
        <v>188</v>
      </c>
      <c r="CX217" s="60">
        <v>154</v>
      </c>
      <c r="CY217" s="60">
        <v>116</v>
      </c>
      <c r="CZ217" s="60"/>
      <c r="DA217" s="60"/>
      <c r="DB217" s="60">
        <v>5</v>
      </c>
      <c r="DC217" s="60">
        <v>14</v>
      </c>
      <c r="DD217" s="60">
        <v>14</v>
      </c>
      <c r="DE217" s="60">
        <v>30</v>
      </c>
      <c r="DF217" s="60">
        <v>48</v>
      </c>
      <c r="DG217" s="60">
        <v>49</v>
      </c>
      <c r="DH217" s="60">
        <v>59</v>
      </c>
      <c r="DI217" s="60">
        <v>51</v>
      </c>
      <c r="DJ217" s="60"/>
      <c r="DK217" s="60"/>
      <c r="DL217" s="60"/>
      <c r="DM217" s="60">
        <v>1</v>
      </c>
      <c r="DN217" s="60">
        <v>2</v>
      </c>
      <c r="DO217" s="60">
        <v>13</v>
      </c>
      <c r="DP217" s="60">
        <v>3</v>
      </c>
      <c r="DQ217" s="60">
        <v>4</v>
      </c>
      <c r="DR217" s="60">
        <v>247</v>
      </c>
      <c r="DS217" s="60"/>
      <c r="DT217" s="60">
        <v>18</v>
      </c>
      <c r="DU217" s="60">
        <v>1</v>
      </c>
      <c r="DV217" s="60">
        <v>1</v>
      </c>
      <c r="DW217" s="60">
        <v>21</v>
      </c>
      <c r="DX217" s="60">
        <v>8</v>
      </c>
      <c r="DY217" s="60"/>
      <c r="DZ217" s="60">
        <v>2</v>
      </c>
      <c r="EA217" s="60">
        <v>208</v>
      </c>
      <c r="EB217" s="60">
        <v>11</v>
      </c>
      <c r="EC217" s="60"/>
      <c r="ED217" s="60">
        <v>0</v>
      </c>
      <c r="EE217" s="60">
        <v>0</v>
      </c>
      <c r="EF217" s="60">
        <v>0</v>
      </c>
      <c r="EG217" s="60">
        <v>0</v>
      </c>
      <c r="EH217" s="60">
        <v>0</v>
      </c>
      <c r="EI217" s="60">
        <v>31</v>
      </c>
      <c r="EJ217" s="60">
        <v>123</v>
      </c>
      <c r="EK217" s="60">
        <v>1</v>
      </c>
      <c r="EL217" s="60">
        <v>82</v>
      </c>
      <c r="EM217" s="60">
        <v>33</v>
      </c>
      <c r="EN217" s="60"/>
      <c r="EO217" s="60">
        <v>4</v>
      </c>
      <c r="EP217" s="60">
        <v>27</v>
      </c>
      <c r="EQ217" s="60">
        <v>1</v>
      </c>
      <c r="ER217" s="60">
        <v>75</v>
      </c>
      <c r="ES217" s="60">
        <v>12</v>
      </c>
      <c r="ET217" s="60">
        <v>17</v>
      </c>
      <c r="EU217" s="60">
        <v>8</v>
      </c>
      <c r="EV217" s="60">
        <v>22</v>
      </c>
      <c r="EW217" s="60">
        <v>4</v>
      </c>
      <c r="EX217" s="60">
        <v>3</v>
      </c>
      <c r="EY217" s="60">
        <v>6</v>
      </c>
      <c r="EZ217" s="60"/>
      <c r="FA217" s="60">
        <v>1</v>
      </c>
      <c r="FB217" s="60">
        <v>69</v>
      </c>
      <c r="FC217" s="60">
        <v>14</v>
      </c>
      <c r="FD217" s="60">
        <v>7</v>
      </c>
      <c r="FE217" s="60"/>
      <c r="FF217" s="60"/>
      <c r="FG217" s="60"/>
      <c r="FH217" s="60">
        <v>22</v>
      </c>
      <c r="FI217" s="60">
        <v>1</v>
      </c>
      <c r="FJ217" s="60">
        <v>15</v>
      </c>
      <c r="FK217" s="60"/>
      <c r="FL217" s="60">
        <v>1</v>
      </c>
      <c r="FM217" s="60">
        <v>21</v>
      </c>
      <c r="FN217" s="60">
        <v>4</v>
      </c>
      <c r="FO217" s="60">
        <v>199</v>
      </c>
      <c r="FP217" s="60">
        <v>7</v>
      </c>
      <c r="FQ217" s="60"/>
      <c r="FR217" s="60"/>
      <c r="FS217" s="60"/>
      <c r="FT217" s="60"/>
      <c r="FU217" s="60"/>
      <c r="FV217" s="60"/>
      <c r="FW217" s="60"/>
      <c r="FX217" s="60">
        <v>270</v>
      </c>
      <c r="FY217" s="60">
        <v>2</v>
      </c>
      <c r="FZ217" s="60">
        <v>266</v>
      </c>
      <c r="GA217" s="60">
        <v>2</v>
      </c>
      <c r="GB217" s="60">
        <v>2011</v>
      </c>
    </row>
    <row r="218" spans="1:184" x14ac:dyDescent="0.3">
      <c r="A218" s="60">
        <v>106361144</v>
      </c>
      <c r="B218" s="61" t="s">
        <v>844</v>
      </c>
      <c r="C218" s="61" t="s">
        <v>845</v>
      </c>
      <c r="D218" s="61" t="s">
        <v>846</v>
      </c>
      <c r="E218" s="61" t="s">
        <v>847</v>
      </c>
      <c r="F218" s="60">
        <v>91710</v>
      </c>
      <c r="G218" s="61"/>
      <c r="H218" s="61" t="s">
        <v>1669</v>
      </c>
      <c r="I218" s="60">
        <v>61</v>
      </c>
      <c r="J218" s="60">
        <v>29</v>
      </c>
      <c r="K218" s="61" t="s">
        <v>1978</v>
      </c>
      <c r="L218" s="61"/>
      <c r="M218" s="61" t="s">
        <v>1755</v>
      </c>
      <c r="N218" s="61" t="s">
        <v>1976</v>
      </c>
      <c r="O218" s="61" t="s">
        <v>1673</v>
      </c>
      <c r="P218" s="61" t="s">
        <v>221</v>
      </c>
      <c r="Q218" s="61" t="s">
        <v>1674</v>
      </c>
      <c r="R218" s="60">
        <v>126</v>
      </c>
      <c r="S218" s="61" t="s">
        <v>1675</v>
      </c>
      <c r="T218" s="60">
        <v>16666</v>
      </c>
      <c r="U218" s="60">
        <v>14417</v>
      </c>
      <c r="V218" s="60"/>
      <c r="W218" s="60"/>
      <c r="X218" s="60">
        <v>7768</v>
      </c>
      <c r="Y218" s="60">
        <v>5119</v>
      </c>
      <c r="Z218" s="60">
        <v>5433</v>
      </c>
      <c r="AA218" s="60">
        <v>4208</v>
      </c>
      <c r="AB218" s="60">
        <v>3166</v>
      </c>
      <c r="AC218" s="60">
        <v>2015</v>
      </c>
      <c r="AD218" s="60">
        <v>1075</v>
      </c>
      <c r="AE218" s="60">
        <v>531</v>
      </c>
      <c r="AF218" s="60">
        <v>395</v>
      </c>
      <c r="AG218" s="60">
        <v>1373</v>
      </c>
      <c r="AH218" s="60"/>
      <c r="AI218" s="60">
        <v>1009</v>
      </c>
      <c r="AJ218" s="60">
        <v>2105</v>
      </c>
      <c r="AK218" s="60">
        <v>20892</v>
      </c>
      <c r="AL218" s="60">
        <v>21</v>
      </c>
      <c r="AM218" s="60">
        <v>451</v>
      </c>
      <c r="AN218" s="60">
        <v>12</v>
      </c>
      <c r="AO218" s="60">
        <v>6593</v>
      </c>
      <c r="AP218" s="60">
        <v>1047</v>
      </c>
      <c r="AQ218" s="60">
        <v>584</v>
      </c>
      <c r="AR218" s="60"/>
      <c r="AS218" s="60">
        <v>96</v>
      </c>
      <c r="AT218" s="60">
        <v>2</v>
      </c>
      <c r="AU218" s="60"/>
      <c r="AV218" s="60"/>
      <c r="AW218" s="60">
        <v>1</v>
      </c>
      <c r="AX218" s="60"/>
      <c r="AY218" s="60"/>
      <c r="AZ218" s="60">
        <v>1</v>
      </c>
      <c r="BA218" s="60">
        <v>29346</v>
      </c>
      <c r="BB218" s="60">
        <v>6</v>
      </c>
      <c r="BC218" s="60"/>
      <c r="BD218" s="60"/>
      <c r="BE218" s="60">
        <v>15468</v>
      </c>
      <c r="BF218" s="60">
        <v>1842</v>
      </c>
      <c r="BG218" s="60">
        <v>1243</v>
      </c>
      <c r="BH218" s="60">
        <v>5981</v>
      </c>
      <c r="BI218" s="60">
        <v>6549</v>
      </c>
      <c r="BJ218" s="60">
        <v>716</v>
      </c>
      <c r="BK218" s="60">
        <v>79</v>
      </c>
      <c r="BL218" s="60">
        <v>529</v>
      </c>
      <c r="BM218" s="60">
        <v>8</v>
      </c>
      <c r="BN218" s="60">
        <v>1668</v>
      </c>
      <c r="BO218" s="60">
        <v>232</v>
      </c>
      <c r="BP218" s="60">
        <v>1455</v>
      </c>
      <c r="BQ218" s="60">
        <v>387</v>
      </c>
      <c r="BR218" s="60">
        <v>7407</v>
      </c>
      <c r="BS218" s="60">
        <v>1531</v>
      </c>
      <c r="BT218" s="60">
        <v>43</v>
      </c>
      <c r="BU218" s="60">
        <v>1868</v>
      </c>
      <c r="BV218" s="60">
        <v>1694</v>
      </c>
      <c r="BW218" s="60">
        <v>14</v>
      </c>
      <c r="BX218" s="60">
        <v>841</v>
      </c>
      <c r="BY218" s="60">
        <v>5298</v>
      </c>
      <c r="BZ218" s="60">
        <v>1372</v>
      </c>
      <c r="CA218" s="60">
        <v>5941</v>
      </c>
      <c r="CB218" s="60"/>
      <c r="CC218" s="60"/>
      <c r="CD218" s="60">
        <v>2009</v>
      </c>
      <c r="CE218" s="60">
        <v>99</v>
      </c>
      <c r="CF218" s="60">
        <v>274</v>
      </c>
      <c r="CG218" s="60">
        <v>19</v>
      </c>
      <c r="CH218" s="60">
        <v>349</v>
      </c>
      <c r="CI218" s="60">
        <v>7</v>
      </c>
      <c r="CJ218" s="60">
        <v>70</v>
      </c>
      <c r="CK218" s="60">
        <v>402</v>
      </c>
      <c r="CL218" s="60">
        <v>23306</v>
      </c>
      <c r="CM218" s="60">
        <v>3286</v>
      </c>
      <c r="CN218" s="60">
        <v>145</v>
      </c>
      <c r="CO218" s="60">
        <v>756</v>
      </c>
      <c r="CP218" s="60">
        <v>94</v>
      </c>
      <c r="CQ218" s="60">
        <v>182</v>
      </c>
      <c r="CR218" s="60">
        <v>85</v>
      </c>
      <c r="CS218" s="60"/>
      <c r="CT218" s="60">
        <v>31083</v>
      </c>
      <c r="CU218" s="60">
        <v>207</v>
      </c>
      <c r="CV218" s="60">
        <v>23975</v>
      </c>
      <c r="CW218" s="60">
        <v>6901</v>
      </c>
      <c r="CX218" s="60">
        <v>3741</v>
      </c>
      <c r="CY218" s="60">
        <v>2634</v>
      </c>
      <c r="CZ218" s="60"/>
      <c r="DA218" s="60"/>
      <c r="DB218" s="60">
        <v>274</v>
      </c>
      <c r="DC218" s="60">
        <v>508</v>
      </c>
      <c r="DD218" s="60">
        <v>729</v>
      </c>
      <c r="DE218" s="60">
        <v>1053</v>
      </c>
      <c r="DF218" s="60">
        <v>919</v>
      </c>
      <c r="DG218" s="60">
        <v>868</v>
      </c>
      <c r="DH218" s="60">
        <v>925</v>
      </c>
      <c r="DI218" s="60">
        <v>1093</v>
      </c>
      <c r="DJ218" s="60"/>
      <c r="DK218" s="60">
        <v>6</v>
      </c>
      <c r="DL218" s="60"/>
      <c r="DM218" s="60">
        <v>373</v>
      </c>
      <c r="DN218" s="60">
        <v>548</v>
      </c>
      <c r="DO218" s="60">
        <v>3064</v>
      </c>
      <c r="DP218" s="60">
        <v>99</v>
      </c>
      <c r="DQ218" s="60">
        <v>4</v>
      </c>
      <c r="DR218" s="60">
        <v>2281</v>
      </c>
      <c r="DS218" s="60">
        <v>6</v>
      </c>
      <c r="DT218" s="60">
        <v>474</v>
      </c>
      <c r="DU218" s="60">
        <v>441</v>
      </c>
      <c r="DV218" s="60">
        <v>124</v>
      </c>
      <c r="DW218" s="60">
        <v>352</v>
      </c>
      <c r="DX218" s="60">
        <v>125</v>
      </c>
      <c r="DY218" s="60">
        <v>2</v>
      </c>
      <c r="DZ218" s="60">
        <v>122</v>
      </c>
      <c r="EA218" s="60">
        <v>4244</v>
      </c>
      <c r="EB218" s="60">
        <v>325</v>
      </c>
      <c r="EC218" s="60">
        <v>166</v>
      </c>
      <c r="ED218" s="60">
        <v>0</v>
      </c>
      <c r="EE218" s="60">
        <v>0</v>
      </c>
      <c r="EF218" s="60">
        <v>0</v>
      </c>
      <c r="EG218" s="60">
        <v>0</v>
      </c>
      <c r="EH218" s="60">
        <v>0</v>
      </c>
      <c r="EI218" s="60">
        <v>1759</v>
      </c>
      <c r="EJ218" s="60">
        <v>2733</v>
      </c>
      <c r="EK218" s="60">
        <v>125</v>
      </c>
      <c r="EL218" s="60">
        <v>1668</v>
      </c>
      <c r="EM218" s="60">
        <v>90</v>
      </c>
      <c r="EN218" s="60">
        <v>74</v>
      </c>
      <c r="EO218" s="60">
        <v>68</v>
      </c>
      <c r="EP218" s="60">
        <v>853</v>
      </c>
      <c r="EQ218" s="60">
        <v>7</v>
      </c>
      <c r="ER218" s="60">
        <v>1480</v>
      </c>
      <c r="ES218" s="60">
        <v>369</v>
      </c>
      <c r="ET218" s="60">
        <v>412</v>
      </c>
      <c r="EU218" s="60">
        <v>349</v>
      </c>
      <c r="EV218" s="60">
        <v>449</v>
      </c>
      <c r="EW218" s="60">
        <v>279</v>
      </c>
      <c r="EX218" s="60">
        <v>70</v>
      </c>
      <c r="EY218" s="60">
        <v>506</v>
      </c>
      <c r="EZ218" s="60">
        <v>9</v>
      </c>
      <c r="FA218" s="60">
        <v>164</v>
      </c>
      <c r="FB218" s="60">
        <v>702</v>
      </c>
      <c r="FC218" s="60">
        <v>120</v>
      </c>
      <c r="FD218" s="60">
        <v>464</v>
      </c>
      <c r="FE218" s="60"/>
      <c r="FF218" s="60"/>
      <c r="FG218" s="60"/>
      <c r="FH218" s="60">
        <v>269</v>
      </c>
      <c r="FI218" s="60">
        <v>58</v>
      </c>
      <c r="FJ218" s="60">
        <v>312</v>
      </c>
      <c r="FK218" s="60">
        <v>11</v>
      </c>
      <c r="FL218" s="60">
        <v>34</v>
      </c>
      <c r="FM218" s="60">
        <v>119</v>
      </c>
      <c r="FN218" s="60">
        <v>23</v>
      </c>
      <c r="FO218" s="60">
        <v>5251</v>
      </c>
      <c r="FP218" s="60">
        <v>150</v>
      </c>
      <c r="FQ218" s="60">
        <v>7</v>
      </c>
      <c r="FR218" s="60">
        <v>29</v>
      </c>
      <c r="FS218" s="60">
        <v>68</v>
      </c>
      <c r="FT218" s="60">
        <v>19</v>
      </c>
      <c r="FU218" s="60">
        <v>24</v>
      </c>
      <c r="FV218" s="60">
        <v>1</v>
      </c>
      <c r="FW218" s="60"/>
      <c r="FX218" s="60">
        <v>6375</v>
      </c>
      <c r="FY218" s="60">
        <v>180</v>
      </c>
      <c r="FZ218" s="60">
        <v>4954</v>
      </c>
      <c r="GA218" s="60">
        <v>1241</v>
      </c>
      <c r="GB218" s="60">
        <v>2011</v>
      </c>
    </row>
    <row r="219" spans="1:184" x14ac:dyDescent="0.3">
      <c r="A219" s="60">
        <v>106361166</v>
      </c>
      <c r="B219" s="61" t="s">
        <v>848</v>
      </c>
      <c r="C219" s="61" t="s">
        <v>849</v>
      </c>
      <c r="D219" s="61" t="s">
        <v>850</v>
      </c>
      <c r="E219" s="61" t="s">
        <v>851</v>
      </c>
      <c r="F219" s="60">
        <v>91763</v>
      </c>
      <c r="G219" s="61"/>
      <c r="H219" s="61" t="s">
        <v>1669</v>
      </c>
      <c r="I219" s="60">
        <v>61</v>
      </c>
      <c r="J219" s="60">
        <v>32</v>
      </c>
      <c r="K219" s="61" t="s">
        <v>1979</v>
      </c>
      <c r="L219" s="61"/>
      <c r="M219" s="61" t="s">
        <v>1755</v>
      </c>
      <c r="N219" s="61" t="s">
        <v>1976</v>
      </c>
      <c r="O219" s="61" t="s">
        <v>1673</v>
      </c>
      <c r="P219" s="61" t="s">
        <v>1678</v>
      </c>
      <c r="Q219" s="61" t="s">
        <v>1674</v>
      </c>
      <c r="R219" s="60">
        <v>102</v>
      </c>
      <c r="S219" s="61" t="s">
        <v>1675</v>
      </c>
      <c r="T219" s="60">
        <v>9162</v>
      </c>
      <c r="U219" s="60">
        <v>7108</v>
      </c>
      <c r="V219" s="60"/>
      <c r="W219" s="60"/>
      <c r="X219" s="60">
        <v>3960</v>
      </c>
      <c r="Y219" s="60">
        <v>2651</v>
      </c>
      <c r="Z219" s="60">
        <v>2929</v>
      </c>
      <c r="AA219" s="60">
        <v>2159</v>
      </c>
      <c r="AB219" s="60">
        <v>1725</v>
      </c>
      <c r="AC219" s="60">
        <v>1171</v>
      </c>
      <c r="AD219" s="60">
        <v>453</v>
      </c>
      <c r="AE219" s="60">
        <v>253</v>
      </c>
      <c r="AF219" s="60">
        <v>149</v>
      </c>
      <c r="AG219" s="60">
        <v>819</v>
      </c>
      <c r="AH219" s="60">
        <v>1</v>
      </c>
      <c r="AI219" s="60">
        <v>289</v>
      </c>
      <c r="AJ219" s="60">
        <v>1612</v>
      </c>
      <c r="AK219" s="60">
        <v>10944</v>
      </c>
      <c r="AL219" s="60">
        <v>4</v>
      </c>
      <c r="AM219" s="60">
        <v>248</v>
      </c>
      <c r="AN219" s="60">
        <v>28</v>
      </c>
      <c r="AO219" s="60">
        <v>3145</v>
      </c>
      <c r="AP219" s="60">
        <v>188</v>
      </c>
      <c r="AQ219" s="60">
        <v>246</v>
      </c>
      <c r="AR219" s="60">
        <v>7</v>
      </c>
      <c r="AS219" s="60">
        <v>39</v>
      </c>
      <c r="AT219" s="60"/>
      <c r="AU219" s="60"/>
      <c r="AV219" s="60"/>
      <c r="AW219" s="60">
        <v>17</v>
      </c>
      <c r="AX219" s="60"/>
      <c r="AY219" s="60">
        <v>73</v>
      </c>
      <c r="AZ219" s="60"/>
      <c r="BA219" s="60">
        <v>15672</v>
      </c>
      <c r="BB219" s="60">
        <v>28</v>
      </c>
      <c r="BC219" s="60"/>
      <c r="BD219" s="60"/>
      <c r="BE219" s="60">
        <v>2544</v>
      </c>
      <c r="BF219" s="60">
        <v>943</v>
      </c>
      <c r="BG219" s="60">
        <v>330</v>
      </c>
      <c r="BH219" s="60">
        <v>8946</v>
      </c>
      <c r="BI219" s="60">
        <v>3507</v>
      </c>
      <c r="BJ219" s="60">
        <v>633</v>
      </c>
      <c r="BK219" s="60">
        <v>31</v>
      </c>
      <c r="BL219" s="60">
        <v>225</v>
      </c>
      <c r="BM219" s="60">
        <v>3</v>
      </c>
      <c r="BN219" s="60">
        <v>1116</v>
      </c>
      <c r="BO219" s="60">
        <v>135</v>
      </c>
      <c r="BP219" s="60">
        <v>890</v>
      </c>
      <c r="BQ219" s="60">
        <v>445</v>
      </c>
      <c r="BR219" s="60">
        <v>3457</v>
      </c>
      <c r="BS219" s="60">
        <v>909</v>
      </c>
      <c r="BT219" s="60">
        <v>32</v>
      </c>
      <c r="BU219" s="60">
        <v>1020</v>
      </c>
      <c r="BV219" s="60">
        <v>528</v>
      </c>
      <c r="BW219" s="60">
        <v>61</v>
      </c>
      <c r="BX219" s="60">
        <v>608</v>
      </c>
      <c r="BY219" s="60">
        <v>3075</v>
      </c>
      <c r="BZ219" s="60">
        <v>883</v>
      </c>
      <c r="CA219" s="60">
        <v>2219</v>
      </c>
      <c r="CB219" s="60"/>
      <c r="CC219" s="60"/>
      <c r="CD219" s="60">
        <v>977</v>
      </c>
      <c r="CE219" s="60">
        <v>46</v>
      </c>
      <c r="CF219" s="60">
        <v>132</v>
      </c>
      <c r="CG219" s="60">
        <v>5</v>
      </c>
      <c r="CH219" s="60">
        <v>174</v>
      </c>
      <c r="CI219" s="60">
        <v>111</v>
      </c>
      <c r="CJ219" s="60">
        <v>42</v>
      </c>
      <c r="CK219" s="60">
        <v>179</v>
      </c>
      <c r="CL219" s="60">
        <v>12500</v>
      </c>
      <c r="CM219" s="60">
        <v>1513</v>
      </c>
      <c r="CN219" s="60">
        <v>79</v>
      </c>
      <c r="CO219" s="60">
        <v>331</v>
      </c>
      <c r="CP219" s="60">
        <v>30</v>
      </c>
      <c r="CQ219" s="60">
        <v>106</v>
      </c>
      <c r="CR219" s="60">
        <v>45</v>
      </c>
      <c r="CS219" s="60"/>
      <c r="CT219" s="60">
        <v>16270</v>
      </c>
      <c r="CU219" s="60">
        <v>14</v>
      </c>
      <c r="CV219" s="60">
        <v>12761</v>
      </c>
      <c r="CW219" s="60">
        <v>3495</v>
      </c>
      <c r="CX219" s="60">
        <v>2076</v>
      </c>
      <c r="CY219" s="60">
        <v>1593</v>
      </c>
      <c r="CZ219" s="60"/>
      <c r="DA219" s="60"/>
      <c r="DB219" s="60">
        <v>157</v>
      </c>
      <c r="DC219" s="60">
        <v>339</v>
      </c>
      <c r="DD219" s="60">
        <v>412</v>
      </c>
      <c r="DE219" s="60">
        <v>590</v>
      </c>
      <c r="DF219" s="60">
        <v>628</v>
      </c>
      <c r="DG219" s="60">
        <v>469</v>
      </c>
      <c r="DH219" s="60">
        <v>433</v>
      </c>
      <c r="DI219" s="60">
        <v>508</v>
      </c>
      <c r="DJ219" s="60">
        <v>13</v>
      </c>
      <c r="DK219" s="60">
        <v>120</v>
      </c>
      <c r="DL219" s="60"/>
      <c r="DM219" s="60">
        <v>133</v>
      </c>
      <c r="DN219" s="60">
        <v>485</v>
      </c>
      <c r="DO219" s="60">
        <v>1662</v>
      </c>
      <c r="DP219" s="60">
        <v>286</v>
      </c>
      <c r="DQ219" s="60">
        <v>11</v>
      </c>
      <c r="DR219" s="60">
        <v>1089</v>
      </c>
      <c r="DS219" s="60">
        <v>3</v>
      </c>
      <c r="DT219" s="60">
        <v>223</v>
      </c>
      <c r="DU219" s="60">
        <v>150</v>
      </c>
      <c r="DV219" s="60">
        <v>72</v>
      </c>
      <c r="DW219" s="60">
        <v>110</v>
      </c>
      <c r="DX219" s="60">
        <v>33</v>
      </c>
      <c r="DY219" s="60">
        <v>6</v>
      </c>
      <c r="DZ219" s="60">
        <v>38</v>
      </c>
      <c r="EA219" s="60">
        <v>2299</v>
      </c>
      <c r="EB219" s="60">
        <v>520</v>
      </c>
      <c r="EC219" s="60">
        <v>218</v>
      </c>
      <c r="ED219" s="60">
        <v>0</v>
      </c>
      <c r="EE219" s="60">
        <v>0</v>
      </c>
      <c r="EF219" s="60">
        <v>0</v>
      </c>
      <c r="EG219" s="60">
        <v>0</v>
      </c>
      <c r="EH219" s="60">
        <v>0</v>
      </c>
      <c r="EI219" s="60">
        <v>1625</v>
      </c>
      <c r="EJ219" s="60">
        <v>1175</v>
      </c>
      <c r="EK219" s="60">
        <v>300</v>
      </c>
      <c r="EL219" s="60">
        <v>320</v>
      </c>
      <c r="EM219" s="60">
        <v>249</v>
      </c>
      <c r="EN219" s="60">
        <v>149</v>
      </c>
      <c r="EO219" s="60">
        <v>58</v>
      </c>
      <c r="EP219" s="60">
        <v>410</v>
      </c>
      <c r="EQ219" s="60"/>
      <c r="ER219" s="60">
        <v>551</v>
      </c>
      <c r="ES219" s="60">
        <v>213</v>
      </c>
      <c r="ET219" s="60">
        <v>303</v>
      </c>
      <c r="EU219" s="60">
        <v>465</v>
      </c>
      <c r="EV219" s="60">
        <v>206</v>
      </c>
      <c r="EW219" s="60">
        <v>63</v>
      </c>
      <c r="EX219" s="60">
        <v>31</v>
      </c>
      <c r="EY219" s="60">
        <v>154</v>
      </c>
      <c r="EZ219" s="60">
        <v>2</v>
      </c>
      <c r="FA219" s="60">
        <v>90</v>
      </c>
      <c r="FB219" s="60">
        <v>392</v>
      </c>
      <c r="FC219" s="60">
        <v>160</v>
      </c>
      <c r="FD219" s="60">
        <v>421</v>
      </c>
      <c r="FE219" s="60">
        <v>1</v>
      </c>
      <c r="FF219" s="60"/>
      <c r="FG219" s="60"/>
      <c r="FH219" s="60">
        <v>149</v>
      </c>
      <c r="FI219" s="60">
        <v>36</v>
      </c>
      <c r="FJ219" s="60">
        <v>122</v>
      </c>
      <c r="FK219" s="60">
        <v>10</v>
      </c>
      <c r="FL219" s="60">
        <v>22</v>
      </c>
      <c r="FM219" s="60">
        <v>79</v>
      </c>
      <c r="FN219" s="60">
        <v>12</v>
      </c>
      <c r="FO219" s="60">
        <v>3125</v>
      </c>
      <c r="FP219" s="60">
        <v>65</v>
      </c>
      <c r="FQ219" s="60"/>
      <c r="FR219" s="60">
        <v>11</v>
      </c>
      <c r="FS219" s="60">
        <v>21</v>
      </c>
      <c r="FT219" s="60">
        <v>6</v>
      </c>
      <c r="FU219" s="60">
        <v>11</v>
      </c>
      <c r="FV219" s="60"/>
      <c r="FW219" s="60"/>
      <c r="FX219" s="60">
        <v>3669</v>
      </c>
      <c r="FY219" s="60">
        <v>15</v>
      </c>
      <c r="FZ219" s="60">
        <v>3038</v>
      </c>
      <c r="GA219" s="60">
        <v>616</v>
      </c>
      <c r="GB219" s="60">
        <v>2011</v>
      </c>
    </row>
    <row r="220" spans="1:184" x14ac:dyDescent="0.3">
      <c r="A220" s="60">
        <v>106361223</v>
      </c>
      <c r="B220" s="61" t="s">
        <v>852</v>
      </c>
      <c r="C220" s="61" t="s">
        <v>1980</v>
      </c>
      <c r="D220" s="61" t="s">
        <v>853</v>
      </c>
      <c r="E220" s="61" t="s">
        <v>854</v>
      </c>
      <c r="F220" s="60">
        <v>92335</v>
      </c>
      <c r="G220" s="61"/>
      <c r="H220" s="61" t="s">
        <v>1669</v>
      </c>
      <c r="I220" s="60">
        <v>62</v>
      </c>
      <c r="J220" s="60">
        <v>32</v>
      </c>
      <c r="K220" s="61" t="s">
        <v>1981</v>
      </c>
      <c r="L220" s="61"/>
      <c r="M220" s="61" t="s">
        <v>1755</v>
      </c>
      <c r="N220" s="61" t="s">
        <v>1976</v>
      </c>
      <c r="O220" s="61" t="s">
        <v>1673</v>
      </c>
      <c r="P220" s="61" t="s">
        <v>1678</v>
      </c>
      <c r="Q220" s="61" t="s">
        <v>1674</v>
      </c>
      <c r="R220" s="60">
        <v>353</v>
      </c>
      <c r="S220" s="61" t="s">
        <v>1675</v>
      </c>
      <c r="T220" s="60">
        <v>44679</v>
      </c>
      <c r="U220" s="60">
        <v>33917</v>
      </c>
      <c r="V220" s="60">
        <v>1</v>
      </c>
      <c r="W220" s="60"/>
      <c r="X220" s="60">
        <v>11035</v>
      </c>
      <c r="Y220" s="60">
        <v>9246</v>
      </c>
      <c r="Z220" s="60">
        <v>12537</v>
      </c>
      <c r="AA220" s="60">
        <v>9624</v>
      </c>
      <c r="AB220" s="60">
        <v>9653</v>
      </c>
      <c r="AC220" s="60">
        <v>9127</v>
      </c>
      <c r="AD220" s="60">
        <v>6527</v>
      </c>
      <c r="AE220" s="60">
        <v>4704</v>
      </c>
      <c r="AF220" s="60">
        <v>3656</v>
      </c>
      <c r="AG220" s="60">
        <v>2488</v>
      </c>
      <c r="AH220" s="60"/>
      <c r="AI220" s="60">
        <v>2017</v>
      </c>
      <c r="AJ220" s="60">
        <v>10722</v>
      </c>
      <c r="AK220" s="60">
        <v>36628</v>
      </c>
      <c r="AL220" s="60">
        <v>195</v>
      </c>
      <c r="AM220" s="60">
        <v>1396</v>
      </c>
      <c r="AN220" s="60">
        <v>4482</v>
      </c>
      <c r="AO220" s="60">
        <v>23157</v>
      </c>
      <c r="AP220" s="60">
        <v>260</v>
      </c>
      <c r="AQ220" s="60">
        <v>525</v>
      </c>
      <c r="AR220" s="60">
        <v>1</v>
      </c>
      <c r="AS220" s="60">
        <v>93</v>
      </c>
      <c r="AT220" s="60">
        <v>403</v>
      </c>
      <c r="AU220" s="60">
        <v>35</v>
      </c>
      <c r="AV220" s="60">
        <v>33</v>
      </c>
      <c r="AW220" s="60">
        <v>6</v>
      </c>
      <c r="AX220" s="60">
        <v>21</v>
      </c>
      <c r="AY220" s="60">
        <v>623</v>
      </c>
      <c r="AZ220" s="60">
        <v>1</v>
      </c>
      <c r="BA220" s="60">
        <v>76373</v>
      </c>
      <c r="BB220" s="60">
        <v>129</v>
      </c>
      <c r="BC220" s="60">
        <v>85</v>
      </c>
      <c r="BD220" s="60">
        <v>9</v>
      </c>
      <c r="BE220" s="60">
        <v>12279</v>
      </c>
      <c r="BF220" s="60">
        <v>12082</v>
      </c>
      <c r="BG220" s="60">
        <v>214</v>
      </c>
      <c r="BH220" s="60">
        <v>41717</v>
      </c>
      <c r="BI220" s="60">
        <v>12305</v>
      </c>
      <c r="BJ220" s="60">
        <v>2295</v>
      </c>
      <c r="BK220" s="60">
        <v>463</v>
      </c>
      <c r="BL220" s="60">
        <v>2544</v>
      </c>
      <c r="BM220" s="60">
        <v>40</v>
      </c>
      <c r="BN220" s="60">
        <v>4632</v>
      </c>
      <c r="BO220" s="60">
        <v>1420</v>
      </c>
      <c r="BP220" s="60">
        <v>4883</v>
      </c>
      <c r="BQ220" s="60">
        <v>1506</v>
      </c>
      <c r="BR220" s="60">
        <v>14507</v>
      </c>
      <c r="BS220" s="60">
        <v>5257</v>
      </c>
      <c r="BT220" s="60">
        <v>140</v>
      </c>
      <c r="BU220" s="60">
        <v>4688</v>
      </c>
      <c r="BV220" s="60">
        <v>2088</v>
      </c>
      <c r="BW220" s="60">
        <v>220</v>
      </c>
      <c r="BX220" s="60">
        <v>2814</v>
      </c>
      <c r="BY220" s="60">
        <v>8271</v>
      </c>
      <c r="BZ220" s="60">
        <v>2448</v>
      </c>
      <c r="CA220" s="60">
        <v>20381</v>
      </c>
      <c r="CB220" s="60"/>
      <c r="CC220" s="60"/>
      <c r="CD220" s="60">
        <v>4799</v>
      </c>
      <c r="CE220" s="60">
        <v>279</v>
      </c>
      <c r="CF220" s="60">
        <v>979</v>
      </c>
      <c r="CG220" s="60">
        <v>25</v>
      </c>
      <c r="CH220" s="60">
        <v>554</v>
      </c>
      <c r="CI220" s="60">
        <v>31</v>
      </c>
      <c r="CJ220" s="60">
        <v>535</v>
      </c>
      <c r="CK220" s="60">
        <v>750</v>
      </c>
      <c r="CL220" s="60">
        <v>61012</v>
      </c>
      <c r="CM220" s="60">
        <v>6877</v>
      </c>
      <c r="CN220" s="60">
        <v>270</v>
      </c>
      <c r="CO220" s="60">
        <v>1767</v>
      </c>
      <c r="CP220" s="60">
        <v>234</v>
      </c>
      <c r="CQ220" s="60">
        <v>428</v>
      </c>
      <c r="CR220" s="60">
        <v>57</v>
      </c>
      <c r="CS220" s="60"/>
      <c r="CT220" s="60">
        <v>78597</v>
      </c>
      <c r="CU220" s="60">
        <v>471</v>
      </c>
      <c r="CV220" s="60">
        <v>70611</v>
      </c>
      <c r="CW220" s="60">
        <v>7515</v>
      </c>
      <c r="CX220" s="60">
        <v>6670</v>
      </c>
      <c r="CY220" s="60">
        <v>6083</v>
      </c>
      <c r="CZ220" s="60"/>
      <c r="DA220" s="60"/>
      <c r="DB220" s="60">
        <v>411</v>
      </c>
      <c r="DC220" s="60">
        <v>664</v>
      </c>
      <c r="DD220" s="60">
        <v>852</v>
      </c>
      <c r="DE220" s="60">
        <v>1238</v>
      </c>
      <c r="DF220" s="60">
        <v>2154</v>
      </c>
      <c r="DG220" s="60">
        <v>2369</v>
      </c>
      <c r="DH220" s="60">
        <v>2431</v>
      </c>
      <c r="DI220" s="60">
        <v>2190</v>
      </c>
      <c r="DJ220" s="60">
        <v>119</v>
      </c>
      <c r="DK220" s="60">
        <v>325</v>
      </c>
      <c r="DL220" s="60"/>
      <c r="DM220" s="60">
        <v>430</v>
      </c>
      <c r="DN220" s="60">
        <v>1908</v>
      </c>
      <c r="DO220" s="60">
        <v>3930</v>
      </c>
      <c r="DP220" s="60">
        <v>93</v>
      </c>
      <c r="DQ220" s="60">
        <v>88</v>
      </c>
      <c r="DR220" s="60">
        <v>6260</v>
      </c>
      <c r="DS220" s="60">
        <v>44</v>
      </c>
      <c r="DT220" s="60">
        <v>479</v>
      </c>
      <c r="DU220" s="60">
        <v>138</v>
      </c>
      <c r="DV220" s="60">
        <v>421</v>
      </c>
      <c r="DW220" s="60">
        <v>2205</v>
      </c>
      <c r="DX220" s="60">
        <v>119</v>
      </c>
      <c r="DY220" s="60">
        <v>25</v>
      </c>
      <c r="DZ220" s="60">
        <v>35</v>
      </c>
      <c r="EA220" s="60">
        <v>8236</v>
      </c>
      <c r="EB220" s="60">
        <v>1087</v>
      </c>
      <c r="EC220" s="60">
        <v>8</v>
      </c>
      <c r="ED220" s="60">
        <v>0</v>
      </c>
      <c r="EE220" s="60">
        <v>0</v>
      </c>
      <c r="EF220" s="60">
        <v>0</v>
      </c>
      <c r="EG220" s="60">
        <v>0</v>
      </c>
      <c r="EH220" s="60">
        <v>0</v>
      </c>
      <c r="EI220" s="60">
        <v>725</v>
      </c>
      <c r="EJ220" s="60">
        <v>6181</v>
      </c>
      <c r="EK220" s="60">
        <v>20</v>
      </c>
      <c r="EL220" s="60">
        <v>5314</v>
      </c>
      <c r="EM220" s="60">
        <v>513</v>
      </c>
      <c r="EN220" s="60">
        <v>103</v>
      </c>
      <c r="EO220" s="60">
        <v>265</v>
      </c>
      <c r="EP220" s="60">
        <v>2346</v>
      </c>
      <c r="EQ220" s="60">
        <v>23</v>
      </c>
      <c r="ER220" s="60">
        <v>2467</v>
      </c>
      <c r="ES220" s="60">
        <v>702</v>
      </c>
      <c r="ET220" s="60">
        <v>710</v>
      </c>
      <c r="EU220" s="60">
        <v>1573</v>
      </c>
      <c r="EV220" s="60">
        <v>1271</v>
      </c>
      <c r="EW220" s="60">
        <v>275</v>
      </c>
      <c r="EX220" s="60">
        <v>341</v>
      </c>
      <c r="EY220" s="60">
        <v>358</v>
      </c>
      <c r="EZ220" s="60">
        <v>16</v>
      </c>
      <c r="FA220" s="60">
        <v>198</v>
      </c>
      <c r="FB220" s="60">
        <v>1351</v>
      </c>
      <c r="FC220" s="60">
        <v>276</v>
      </c>
      <c r="FD220" s="60">
        <v>455</v>
      </c>
      <c r="FE220" s="60">
        <v>1</v>
      </c>
      <c r="FF220" s="60">
        <v>22</v>
      </c>
      <c r="FG220" s="60"/>
      <c r="FH220" s="60">
        <v>612</v>
      </c>
      <c r="FI220" s="60">
        <v>84</v>
      </c>
      <c r="FJ220" s="60">
        <v>1133</v>
      </c>
      <c r="FK220" s="60">
        <v>17</v>
      </c>
      <c r="FL220" s="60">
        <v>57</v>
      </c>
      <c r="FM220" s="60">
        <v>593</v>
      </c>
      <c r="FN220" s="60">
        <v>39</v>
      </c>
      <c r="FO220" s="60">
        <v>9764</v>
      </c>
      <c r="FP220" s="60">
        <v>273</v>
      </c>
      <c r="FQ220" s="60">
        <v>19</v>
      </c>
      <c r="FR220" s="60">
        <v>63</v>
      </c>
      <c r="FS220" s="60">
        <v>54</v>
      </c>
      <c r="FT220" s="60">
        <v>27</v>
      </c>
      <c r="FU220" s="60">
        <v>16</v>
      </c>
      <c r="FV220" s="60">
        <v>2</v>
      </c>
      <c r="FW220" s="60"/>
      <c r="FX220" s="60">
        <v>12753</v>
      </c>
      <c r="FY220" s="60">
        <v>76</v>
      </c>
      <c r="FZ220" s="60">
        <v>11647</v>
      </c>
      <c r="GA220" s="60">
        <v>1030</v>
      </c>
      <c r="GB220" s="60">
        <v>2011</v>
      </c>
    </row>
    <row r="221" spans="1:184" x14ac:dyDescent="0.3">
      <c r="A221" s="60">
        <v>106361246</v>
      </c>
      <c r="B221" s="61" t="s">
        <v>855</v>
      </c>
      <c r="C221" s="61" t="s">
        <v>856</v>
      </c>
      <c r="D221" s="61" t="s">
        <v>857</v>
      </c>
      <c r="E221" s="61" t="s">
        <v>858</v>
      </c>
      <c r="F221" s="60">
        <v>92354</v>
      </c>
      <c r="G221" s="61" t="s">
        <v>549</v>
      </c>
      <c r="H221" s="61" t="s">
        <v>1689</v>
      </c>
      <c r="I221" s="60">
        <v>63</v>
      </c>
      <c r="J221" s="60">
        <v>31</v>
      </c>
      <c r="K221" s="61" t="s">
        <v>1982</v>
      </c>
      <c r="L221" s="61"/>
      <c r="M221" s="61" t="s">
        <v>1755</v>
      </c>
      <c r="N221" s="61" t="s">
        <v>1976</v>
      </c>
      <c r="O221" s="61" t="s">
        <v>1673</v>
      </c>
      <c r="P221" s="61" t="s">
        <v>1678</v>
      </c>
      <c r="Q221" s="61" t="s">
        <v>1674</v>
      </c>
      <c r="R221" s="60">
        <v>719</v>
      </c>
      <c r="S221" s="61" t="s">
        <v>1675</v>
      </c>
      <c r="T221" s="60">
        <v>24243</v>
      </c>
      <c r="U221" s="60">
        <v>20982</v>
      </c>
      <c r="V221" s="60"/>
      <c r="W221" s="60"/>
      <c r="X221" s="60">
        <v>10685</v>
      </c>
      <c r="Y221" s="60">
        <v>6374</v>
      </c>
      <c r="Z221" s="60">
        <v>6519</v>
      </c>
      <c r="AA221" s="60">
        <v>4743</v>
      </c>
      <c r="AB221" s="60">
        <v>4310</v>
      </c>
      <c r="AC221" s="60">
        <v>3857</v>
      </c>
      <c r="AD221" s="60">
        <v>2580</v>
      </c>
      <c r="AE221" s="60">
        <v>1527</v>
      </c>
      <c r="AF221" s="60">
        <v>1186</v>
      </c>
      <c r="AG221" s="60">
        <v>3444</v>
      </c>
      <c r="AH221" s="60"/>
      <c r="AI221" s="60">
        <v>1001</v>
      </c>
      <c r="AJ221" s="60">
        <v>4414</v>
      </c>
      <c r="AK221" s="60">
        <v>17964</v>
      </c>
      <c r="AL221" s="60">
        <v>41</v>
      </c>
      <c r="AM221" s="60">
        <v>19</v>
      </c>
      <c r="AN221" s="60">
        <v>79</v>
      </c>
      <c r="AO221" s="60">
        <v>21707</v>
      </c>
      <c r="AP221" s="60">
        <v>334</v>
      </c>
      <c r="AQ221" s="60">
        <v>558</v>
      </c>
      <c r="AR221" s="60"/>
      <c r="AS221" s="60">
        <v>100</v>
      </c>
      <c r="AT221" s="60">
        <v>1</v>
      </c>
      <c r="AU221" s="60">
        <v>5</v>
      </c>
      <c r="AV221" s="60">
        <v>48</v>
      </c>
      <c r="AW221" s="60">
        <v>2</v>
      </c>
      <c r="AX221" s="60">
        <v>10</v>
      </c>
      <c r="AY221" s="60">
        <v>602</v>
      </c>
      <c r="AZ221" s="60"/>
      <c r="BA221" s="60">
        <v>43409</v>
      </c>
      <c r="BB221" s="60">
        <v>145</v>
      </c>
      <c r="BC221" s="60">
        <v>11</v>
      </c>
      <c r="BD221" s="60"/>
      <c r="BE221" s="60">
        <v>16792</v>
      </c>
      <c r="BF221" s="60">
        <v>5285</v>
      </c>
      <c r="BG221" s="60">
        <v>4843</v>
      </c>
      <c r="BH221" s="60">
        <v>11545</v>
      </c>
      <c r="BI221" s="60">
        <v>6760</v>
      </c>
      <c r="BJ221" s="60">
        <v>1005</v>
      </c>
      <c r="BK221" s="60">
        <v>329</v>
      </c>
      <c r="BL221" s="60">
        <v>838</v>
      </c>
      <c r="BM221" s="60">
        <v>48</v>
      </c>
      <c r="BN221" s="60">
        <v>3069</v>
      </c>
      <c r="BO221" s="60">
        <v>648</v>
      </c>
      <c r="BP221" s="60">
        <v>2479</v>
      </c>
      <c r="BQ221" s="60">
        <v>982</v>
      </c>
      <c r="BR221" s="60">
        <v>8858</v>
      </c>
      <c r="BS221" s="60">
        <v>2770</v>
      </c>
      <c r="BT221" s="60">
        <v>143</v>
      </c>
      <c r="BU221" s="60">
        <v>2669</v>
      </c>
      <c r="BV221" s="60">
        <v>1760</v>
      </c>
      <c r="BW221" s="60">
        <v>99</v>
      </c>
      <c r="BX221" s="60">
        <v>1424</v>
      </c>
      <c r="BY221" s="60">
        <v>4355</v>
      </c>
      <c r="BZ221" s="60">
        <v>1546</v>
      </c>
      <c r="CA221" s="60">
        <v>12202</v>
      </c>
      <c r="CB221" s="60">
        <v>1</v>
      </c>
      <c r="CC221" s="60"/>
      <c r="CD221" s="60">
        <v>2209</v>
      </c>
      <c r="CE221" s="60">
        <v>114</v>
      </c>
      <c r="CF221" s="60">
        <v>239</v>
      </c>
      <c r="CG221" s="60">
        <v>11</v>
      </c>
      <c r="CH221" s="60">
        <v>393</v>
      </c>
      <c r="CI221" s="60">
        <v>92</v>
      </c>
      <c r="CJ221" s="60">
        <v>315</v>
      </c>
      <c r="CK221" s="60">
        <v>341</v>
      </c>
      <c r="CL221" s="60">
        <v>36302</v>
      </c>
      <c r="CM221" s="60">
        <v>2973</v>
      </c>
      <c r="CN221" s="60">
        <v>173</v>
      </c>
      <c r="CO221" s="60">
        <v>1626</v>
      </c>
      <c r="CP221" s="60">
        <v>109</v>
      </c>
      <c r="CQ221" s="60">
        <v>304</v>
      </c>
      <c r="CR221" s="60">
        <v>24</v>
      </c>
      <c r="CS221" s="60"/>
      <c r="CT221" s="60">
        <v>45225</v>
      </c>
      <c r="CU221" s="60">
        <v>739</v>
      </c>
      <c r="CV221" s="60">
        <v>38548</v>
      </c>
      <c r="CW221" s="60">
        <v>5938</v>
      </c>
      <c r="CX221" s="60">
        <v>6704</v>
      </c>
      <c r="CY221" s="60">
        <v>6978</v>
      </c>
      <c r="CZ221" s="60"/>
      <c r="DA221" s="60"/>
      <c r="DB221" s="60">
        <v>1683</v>
      </c>
      <c r="DC221" s="60">
        <v>1062</v>
      </c>
      <c r="DD221" s="60">
        <v>868</v>
      </c>
      <c r="DE221" s="60">
        <v>1224</v>
      </c>
      <c r="DF221" s="60">
        <v>1635</v>
      </c>
      <c r="DG221" s="60">
        <v>1667</v>
      </c>
      <c r="DH221" s="60">
        <v>1302</v>
      </c>
      <c r="DI221" s="60">
        <v>1215</v>
      </c>
      <c r="DJ221" s="60">
        <v>931</v>
      </c>
      <c r="DK221" s="60">
        <v>2095</v>
      </c>
      <c r="DL221" s="60"/>
      <c r="DM221" s="60">
        <v>352</v>
      </c>
      <c r="DN221" s="60">
        <v>1307</v>
      </c>
      <c r="DO221" s="60">
        <v>5750</v>
      </c>
      <c r="DP221" s="60">
        <v>23</v>
      </c>
      <c r="DQ221" s="60">
        <v>7</v>
      </c>
      <c r="DR221" s="60">
        <v>6220</v>
      </c>
      <c r="DS221" s="60">
        <v>23</v>
      </c>
      <c r="DT221" s="60">
        <v>232</v>
      </c>
      <c r="DU221" s="60">
        <v>136</v>
      </c>
      <c r="DV221" s="60">
        <v>404</v>
      </c>
      <c r="DW221" s="60">
        <v>1080</v>
      </c>
      <c r="DX221" s="60">
        <v>353</v>
      </c>
      <c r="DY221" s="60">
        <v>38</v>
      </c>
      <c r="DZ221" s="60">
        <v>132</v>
      </c>
      <c r="EA221" s="60">
        <v>10338</v>
      </c>
      <c r="EB221" s="60">
        <v>961</v>
      </c>
      <c r="EC221" s="60">
        <v>8</v>
      </c>
      <c r="ED221" s="60">
        <v>0</v>
      </c>
      <c r="EE221" s="60">
        <v>0</v>
      </c>
      <c r="EF221" s="60">
        <v>0</v>
      </c>
      <c r="EG221" s="60">
        <v>0</v>
      </c>
      <c r="EH221" s="60">
        <v>0</v>
      </c>
      <c r="EI221" s="60">
        <v>5261</v>
      </c>
      <c r="EJ221" s="60">
        <v>4118</v>
      </c>
      <c r="EK221" s="60">
        <v>453</v>
      </c>
      <c r="EL221" s="60">
        <v>2949</v>
      </c>
      <c r="EM221" s="60">
        <v>901</v>
      </c>
      <c r="EN221" s="60">
        <v>77</v>
      </c>
      <c r="EO221" s="60">
        <v>364</v>
      </c>
      <c r="EP221" s="60">
        <v>2127</v>
      </c>
      <c r="EQ221" s="60">
        <v>134</v>
      </c>
      <c r="ER221" s="60">
        <v>1817</v>
      </c>
      <c r="ES221" s="60">
        <v>666</v>
      </c>
      <c r="ET221" s="60">
        <v>652</v>
      </c>
      <c r="EU221" s="60">
        <v>1092</v>
      </c>
      <c r="EV221" s="60">
        <v>2507</v>
      </c>
      <c r="EW221" s="60">
        <v>293</v>
      </c>
      <c r="EX221" s="60">
        <v>455</v>
      </c>
      <c r="EY221" s="60">
        <v>662</v>
      </c>
      <c r="EZ221" s="60">
        <v>32</v>
      </c>
      <c r="FA221" s="60">
        <v>122</v>
      </c>
      <c r="FB221" s="60">
        <v>1364</v>
      </c>
      <c r="FC221" s="60">
        <v>314</v>
      </c>
      <c r="FD221" s="60">
        <v>899</v>
      </c>
      <c r="FE221" s="60">
        <v>2</v>
      </c>
      <c r="FF221" s="60">
        <v>103</v>
      </c>
      <c r="FG221" s="60"/>
      <c r="FH221" s="60">
        <v>517</v>
      </c>
      <c r="FI221" s="60">
        <v>90</v>
      </c>
      <c r="FJ221" s="60">
        <v>931</v>
      </c>
      <c r="FK221" s="60">
        <v>205</v>
      </c>
      <c r="FL221" s="60">
        <v>129</v>
      </c>
      <c r="FM221" s="60">
        <v>997</v>
      </c>
      <c r="FN221" s="60">
        <v>44</v>
      </c>
      <c r="FO221" s="60">
        <v>9941</v>
      </c>
      <c r="FP221" s="60">
        <v>155</v>
      </c>
      <c r="FQ221" s="60">
        <v>46</v>
      </c>
      <c r="FR221" s="60">
        <v>490</v>
      </c>
      <c r="FS221" s="60">
        <v>56</v>
      </c>
      <c r="FT221" s="60">
        <v>57</v>
      </c>
      <c r="FU221" s="60">
        <v>21</v>
      </c>
      <c r="FV221" s="60">
        <v>3</v>
      </c>
      <c r="FW221" s="60"/>
      <c r="FX221" s="60">
        <v>13682</v>
      </c>
      <c r="FY221" s="60">
        <v>297</v>
      </c>
      <c r="FZ221" s="60">
        <v>11164</v>
      </c>
      <c r="GA221" s="60">
        <v>2221</v>
      </c>
      <c r="GB221" s="60">
        <v>2011</v>
      </c>
    </row>
    <row r="222" spans="1:184" x14ac:dyDescent="0.3">
      <c r="A222" s="60">
        <v>106361266</v>
      </c>
      <c r="B222" s="61" t="s">
        <v>859</v>
      </c>
      <c r="C222" s="61" t="s">
        <v>860</v>
      </c>
      <c r="D222" s="61" t="s">
        <v>861</v>
      </c>
      <c r="E222" s="61" t="s">
        <v>862</v>
      </c>
      <c r="F222" s="60">
        <v>92352</v>
      </c>
      <c r="G222" s="61"/>
      <c r="H222" s="61" t="s">
        <v>1669</v>
      </c>
      <c r="I222" s="60">
        <v>59</v>
      </c>
      <c r="J222" s="60">
        <v>31</v>
      </c>
      <c r="K222" s="61" t="s">
        <v>1983</v>
      </c>
      <c r="L222" s="61"/>
      <c r="M222" s="61" t="s">
        <v>1755</v>
      </c>
      <c r="N222" s="61" t="s">
        <v>1976</v>
      </c>
      <c r="O222" s="61" t="s">
        <v>1673</v>
      </c>
      <c r="P222" s="61" t="s">
        <v>159</v>
      </c>
      <c r="Q222" s="61" t="s">
        <v>1674</v>
      </c>
      <c r="R222" s="60">
        <v>17</v>
      </c>
      <c r="S222" s="61" t="s">
        <v>1706</v>
      </c>
      <c r="T222" s="60">
        <v>3656</v>
      </c>
      <c r="U222" s="60">
        <v>2954</v>
      </c>
      <c r="V222" s="60"/>
      <c r="W222" s="60"/>
      <c r="X222" s="60">
        <v>902</v>
      </c>
      <c r="Y222" s="60">
        <v>1233</v>
      </c>
      <c r="Z222" s="60">
        <v>836</v>
      </c>
      <c r="AA222" s="60">
        <v>653</v>
      </c>
      <c r="AB222" s="60">
        <v>744</v>
      </c>
      <c r="AC222" s="60">
        <v>784</v>
      </c>
      <c r="AD222" s="60">
        <v>624</v>
      </c>
      <c r="AE222" s="60">
        <v>454</v>
      </c>
      <c r="AF222" s="60">
        <v>244</v>
      </c>
      <c r="AG222" s="60">
        <v>136</v>
      </c>
      <c r="AH222" s="60"/>
      <c r="AI222" s="60">
        <v>38</v>
      </c>
      <c r="AJ222" s="60">
        <v>132</v>
      </c>
      <c r="AK222" s="60">
        <v>769</v>
      </c>
      <c r="AL222" s="60">
        <v>8</v>
      </c>
      <c r="AM222" s="60">
        <v>82</v>
      </c>
      <c r="AN222" s="60">
        <v>7</v>
      </c>
      <c r="AO222" s="60">
        <v>5574</v>
      </c>
      <c r="AP222" s="60">
        <v>563</v>
      </c>
      <c r="AQ222" s="60">
        <v>136</v>
      </c>
      <c r="AR222" s="60">
        <v>1</v>
      </c>
      <c r="AS222" s="60">
        <v>8</v>
      </c>
      <c r="AT222" s="60"/>
      <c r="AU222" s="60"/>
      <c r="AV222" s="60"/>
      <c r="AW222" s="60"/>
      <c r="AX222" s="60"/>
      <c r="AY222" s="60">
        <v>1</v>
      </c>
      <c r="AZ222" s="60">
        <v>1</v>
      </c>
      <c r="BA222" s="60">
        <v>5831</v>
      </c>
      <c r="BB222" s="60">
        <v>6</v>
      </c>
      <c r="BC222" s="60">
        <v>18</v>
      </c>
      <c r="BD222" s="60">
        <v>45</v>
      </c>
      <c r="BE222" s="60">
        <v>2315</v>
      </c>
      <c r="BF222" s="60">
        <v>1175</v>
      </c>
      <c r="BG222" s="60">
        <v>201</v>
      </c>
      <c r="BH222" s="60">
        <v>2224</v>
      </c>
      <c r="BI222" s="60">
        <v>695</v>
      </c>
      <c r="BJ222" s="60">
        <v>42</v>
      </c>
      <c r="BK222" s="60">
        <v>4</v>
      </c>
      <c r="BL222" s="60">
        <v>227</v>
      </c>
      <c r="BM222" s="60">
        <v>2</v>
      </c>
      <c r="BN222" s="60">
        <v>523</v>
      </c>
      <c r="BO222" s="60">
        <v>91</v>
      </c>
      <c r="BP222" s="60">
        <v>324</v>
      </c>
      <c r="BQ222" s="60">
        <v>69</v>
      </c>
      <c r="BR222" s="60">
        <v>1902</v>
      </c>
      <c r="BS222" s="60">
        <v>343</v>
      </c>
      <c r="BT222" s="60">
        <v>8</v>
      </c>
      <c r="BU222" s="60">
        <v>399</v>
      </c>
      <c r="BV222" s="60">
        <v>183</v>
      </c>
      <c r="BW222" s="60">
        <v>4</v>
      </c>
      <c r="BX222" s="60">
        <v>198</v>
      </c>
      <c r="BY222" s="60">
        <v>1019</v>
      </c>
      <c r="BZ222" s="60">
        <v>315</v>
      </c>
      <c r="CA222" s="60">
        <v>956</v>
      </c>
      <c r="CB222" s="60"/>
      <c r="CC222" s="60">
        <v>1</v>
      </c>
      <c r="CD222" s="60">
        <v>860</v>
      </c>
      <c r="CE222" s="60">
        <v>39</v>
      </c>
      <c r="CF222" s="60">
        <v>10</v>
      </c>
      <c r="CG222" s="60">
        <v>1</v>
      </c>
      <c r="CH222" s="60">
        <v>51</v>
      </c>
      <c r="CI222" s="60"/>
      <c r="CJ222" s="60">
        <v>1</v>
      </c>
      <c r="CK222" s="60">
        <v>144</v>
      </c>
      <c r="CL222" s="60">
        <v>4638</v>
      </c>
      <c r="CM222" s="60">
        <v>604</v>
      </c>
      <c r="CN222" s="60">
        <v>55</v>
      </c>
      <c r="CO222" s="60">
        <v>116</v>
      </c>
      <c r="CP222" s="60">
        <v>10</v>
      </c>
      <c r="CQ222" s="60">
        <v>77</v>
      </c>
      <c r="CR222" s="60">
        <v>4</v>
      </c>
      <c r="CS222" s="60"/>
      <c r="CT222" s="60">
        <v>6610</v>
      </c>
      <c r="CU222" s="60">
        <v>10</v>
      </c>
      <c r="CV222" s="60">
        <v>6346</v>
      </c>
      <c r="CW222" s="60">
        <v>254</v>
      </c>
      <c r="CX222" s="60">
        <v>62</v>
      </c>
      <c r="CY222" s="60">
        <v>39</v>
      </c>
      <c r="CZ222" s="60"/>
      <c r="DA222" s="60"/>
      <c r="DB222" s="60">
        <v>8</v>
      </c>
      <c r="DC222" s="60">
        <v>8</v>
      </c>
      <c r="DD222" s="60">
        <v>6</v>
      </c>
      <c r="DE222" s="60">
        <v>14</v>
      </c>
      <c r="DF222" s="60">
        <v>12</v>
      </c>
      <c r="DG222" s="60">
        <v>13</v>
      </c>
      <c r="DH222" s="60">
        <v>14</v>
      </c>
      <c r="DI222" s="60">
        <v>14</v>
      </c>
      <c r="DJ222" s="60">
        <v>1</v>
      </c>
      <c r="DK222" s="60">
        <v>11</v>
      </c>
      <c r="DL222" s="60"/>
      <c r="DM222" s="60"/>
      <c r="DN222" s="60">
        <v>1</v>
      </c>
      <c r="DO222" s="60">
        <v>6</v>
      </c>
      <c r="DP222" s="60"/>
      <c r="DQ222" s="60"/>
      <c r="DR222" s="60">
        <v>94</v>
      </c>
      <c r="DS222" s="60"/>
      <c r="DT222" s="60">
        <v>2</v>
      </c>
      <c r="DU222" s="60">
        <v>1</v>
      </c>
      <c r="DV222" s="60"/>
      <c r="DW222" s="60"/>
      <c r="DX222" s="60"/>
      <c r="DY222" s="60"/>
      <c r="DZ222" s="60">
        <v>1</v>
      </c>
      <c r="EA222" s="60">
        <v>85</v>
      </c>
      <c r="EB222" s="60">
        <v>12</v>
      </c>
      <c r="EC222" s="60"/>
      <c r="ED222" s="60">
        <v>0</v>
      </c>
      <c r="EE222" s="60">
        <v>0</v>
      </c>
      <c r="EF222" s="60">
        <v>0</v>
      </c>
      <c r="EG222" s="60">
        <v>0</v>
      </c>
      <c r="EH222" s="60">
        <v>0</v>
      </c>
      <c r="EI222" s="60">
        <v>17</v>
      </c>
      <c r="EJ222" s="60">
        <v>38</v>
      </c>
      <c r="EK222" s="60">
        <v>11</v>
      </c>
      <c r="EL222" s="60">
        <v>25</v>
      </c>
      <c r="EM222" s="60">
        <v>10</v>
      </c>
      <c r="EN222" s="60"/>
      <c r="EO222" s="60"/>
      <c r="EP222" s="60">
        <v>6</v>
      </c>
      <c r="EQ222" s="60"/>
      <c r="ER222" s="60">
        <v>19</v>
      </c>
      <c r="ES222" s="60">
        <v>1</v>
      </c>
      <c r="ET222" s="60">
        <v>10</v>
      </c>
      <c r="EU222" s="60">
        <v>2</v>
      </c>
      <c r="EV222" s="60">
        <v>4</v>
      </c>
      <c r="EW222" s="60">
        <v>2</v>
      </c>
      <c r="EX222" s="60">
        <v>1</v>
      </c>
      <c r="EY222" s="60">
        <v>3</v>
      </c>
      <c r="EZ222" s="60"/>
      <c r="FA222" s="60">
        <v>1</v>
      </c>
      <c r="FB222" s="60">
        <v>36</v>
      </c>
      <c r="FC222" s="60">
        <v>9</v>
      </c>
      <c r="FD222" s="60">
        <v>6</v>
      </c>
      <c r="FE222" s="60"/>
      <c r="FF222" s="60">
        <v>1</v>
      </c>
      <c r="FG222" s="60"/>
      <c r="FH222" s="60">
        <v>7</v>
      </c>
      <c r="FI222" s="60"/>
      <c r="FJ222" s="60">
        <v>1</v>
      </c>
      <c r="FK222" s="60"/>
      <c r="FL222" s="60"/>
      <c r="FM222" s="60"/>
      <c r="FN222" s="60"/>
      <c r="FO222" s="60">
        <v>93</v>
      </c>
      <c r="FP222" s="60"/>
      <c r="FQ222" s="60"/>
      <c r="FR222" s="60"/>
      <c r="FS222" s="60"/>
      <c r="FT222" s="60"/>
      <c r="FU222" s="60"/>
      <c r="FV222" s="60"/>
      <c r="FW222" s="60"/>
      <c r="FX222" s="60">
        <v>101</v>
      </c>
      <c r="FY222" s="60"/>
      <c r="FZ222" s="60">
        <v>97</v>
      </c>
      <c r="GA222" s="60">
        <v>4</v>
      </c>
      <c r="GB222" s="60">
        <v>2011</v>
      </c>
    </row>
    <row r="223" spans="1:184" x14ac:dyDescent="0.3">
      <c r="A223" s="60">
        <v>106361308</v>
      </c>
      <c r="B223" s="61" t="s">
        <v>863</v>
      </c>
      <c r="C223" s="61" t="s">
        <v>864</v>
      </c>
      <c r="D223" s="61" t="s">
        <v>865</v>
      </c>
      <c r="E223" s="61" t="s">
        <v>866</v>
      </c>
      <c r="F223" s="60">
        <v>92373</v>
      </c>
      <c r="G223" s="61"/>
      <c r="H223" s="61" t="s">
        <v>1669</v>
      </c>
      <c r="I223" s="60">
        <v>63</v>
      </c>
      <c r="J223" s="60">
        <v>31</v>
      </c>
      <c r="K223" s="61" t="s">
        <v>1984</v>
      </c>
      <c r="L223" s="61"/>
      <c r="M223" s="61" t="s">
        <v>1755</v>
      </c>
      <c r="N223" s="61" t="s">
        <v>1976</v>
      </c>
      <c r="O223" s="61" t="s">
        <v>1673</v>
      </c>
      <c r="P223" s="61" t="s">
        <v>1678</v>
      </c>
      <c r="Q223" s="61" t="s">
        <v>1674</v>
      </c>
      <c r="R223" s="60">
        <v>195</v>
      </c>
      <c r="S223" s="61" t="s">
        <v>1675</v>
      </c>
      <c r="T223" s="60">
        <v>20053</v>
      </c>
      <c r="U223" s="60">
        <v>13713</v>
      </c>
      <c r="V223" s="60"/>
      <c r="W223" s="60"/>
      <c r="X223" s="60">
        <v>4703</v>
      </c>
      <c r="Y223" s="60">
        <v>4495</v>
      </c>
      <c r="Z223" s="60">
        <v>6369</v>
      </c>
      <c r="AA223" s="60">
        <v>4530</v>
      </c>
      <c r="AB223" s="60">
        <v>3663</v>
      </c>
      <c r="AC223" s="60">
        <v>3378</v>
      </c>
      <c r="AD223" s="60">
        <v>2093</v>
      </c>
      <c r="AE223" s="60">
        <v>1417</v>
      </c>
      <c r="AF223" s="60">
        <v>1892</v>
      </c>
      <c r="AG223" s="60">
        <v>1226</v>
      </c>
      <c r="AH223" s="60"/>
      <c r="AI223" s="60">
        <v>444</v>
      </c>
      <c r="AJ223" s="60">
        <v>2008</v>
      </c>
      <c r="AK223" s="60">
        <v>10279</v>
      </c>
      <c r="AL223" s="60">
        <v>64</v>
      </c>
      <c r="AM223" s="60">
        <v>688</v>
      </c>
      <c r="AN223" s="60">
        <v>430</v>
      </c>
      <c r="AO223" s="60">
        <v>19853</v>
      </c>
      <c r="AP223" s="60">
        <v>578</v>
      </c>
      <c r="AQ223" s="60">
        <v>419</v>
      </c>
      <c r="AR223" s="60"/>
      <c r="AS223" s="60">
        <v>63</v>
      </c>
      <c r="AT223" s="60"/>
      <c r="AU223" s="60"/>
      <c r="AV223" s="60">
        <v>43</v>
      </c>
      <c r="AW223" s="60">
        <v>6</v>
      </c>
      <c r="AX223" s="60"/>
      <c r="AY223" s="60"/>
      <c r="AZ223" s="60">
        <v>2</v>
      </c>
      <c r="BA223" s="60">
        <v>32593</v>
      </c>
      <c r="BB223" s="60">
        <v>62</v>
      </c>
      <c r="BC223" s="60"/>
      <c r="BD223" s="60"/>
      <c r="BE223" s="60">
        <v>13082</v>
      </c>
      <c r="BF223" s="60">
        <v>4272</v>
      </c>
      <c r="BG223" s="60">
        <v>315</v>
      </c>
      <c r="BH223" s="60">
        <v>9956</v>
      </c>
      <c r="BI223" s="60">
        <v>6141</v>
      </c>
      <c r="BJ223" s="60">
        <v>1084</v>
      </c>
      <c r="BK223" s="60">
        <v>96</v>
      </c>
      <c r="BL223" s="60">
        <v>910</v>
      </c>
      <c r="BM223" s="60">
        <v>10</v>
      </c>
      <c r="BN223" s="60">
        <v>1916</v>
      </c>
      <c r="BO223" s="60">
        <v>344</v>
      </c>
      <c r="BP223" s="60">
        <v>1891</v>
      </c>
      <c r="BQ223" s="60">
        <v>437</v>
      </c>
      <c r="BR223" s="60">
        <v>6414</v>
      </c>
      <c r="BS223" s="60">
        <v>2463</v>
      </c>
      <c r="BT223" s="60">
        <v>34</v>
      </c>
      <c r="BU223" s="60">
        <v>1943</v>
      </c>
      <c r="BV223" s="60">
        <v>1310</v>
      </c>
      <c r="BW223" s="60">
        <v>104</v>
      </c>
      <c r="BX223" s="60">
        <v>1043</v>
      </c>
      <c r="BY223" s="60">
        <v>4129</v>
      </c>
      <c r="BZ223" s="60">
        <v>1502</v>
      </c>
      <c r="CA223" s="60">
        <v>8136</v>
      </c>
      <c r="CB223" s="60"/>
      <c r="CC223" s="60"/>
      <c r="CD223" s="60">
        <v>2205</v>
      </c>
      <c r="CE223" s="60">
        <v>151</v>
      </c>
      <c r="CF223" s="60">
        <v>304</v>
      </c>
      <c r="CG223" s="60">
        <v>18</v>
      </c>
      <c r="CH223" s="60">
        <v>353</v>
      </c>
      <c r="CI223" s="60">
        <v>2</v>
      </c>
      <c r="CJ223" s="60">
        <v>128</v>
      </c>
      <c r="CK223" s="60">
        <v>354</v>
      </c>
      <c r="CL223" s="60">
        <v>26474</v>
      </c>
      <c r="CM223" s="60">
        <v>2765</v>
      </c>
      <c r="CN223" s="60">
        <v>151</v>
      </c>
      <c r="CO223" s="60">
        <v>642</v>
      </c>
      <c r="CP223" s="60">
        <v>55</v>
      </c>
      <c r="CQ223" s="60">
        <v>156</v>
      </c>
      <c r="CR223" s="60">
        <v>8</v>
      </c>
      <c r="CS223" s="60"/>
      <c r="CT223" s="60">
        <v>33766</v>
      </c>
      <c r="CU223" s="60">
        <v>61</v>
      </c>
      <c r="CV223" s="60">
        <v>33022</v>
      </c>
      <c r="CW223" s="60">
        <v>683</v>
      </c>
      <c r="CX223" s="60">
        <v>3504</v>
      </c>
      <c r="CY223" s="60">
        <v>2603</v>
      </c>
      <c r="CZ223" s="60"/>
      <c r="DA223" s="60"/>
      <c r="DB223" s="60">
        <v>120</v>
      </c>
      <c r="DC223" s="60">
        <v>354</v>
      </c>
      <c r="DD223" s="60">
        <v>373</v>
      </c>
      <c r="DE223" s="60">
        <v>590</v>
      </c>
      <c r="DF223" s="60">
        <v>852</v>
      </c>
      <c r="DG223" s="60">
        <v>1048</v>
      </c>
      <c r="DH223" s="60">
        <v>1099</v>
      </c>
      <c r="DI223" s="60">
        <v>1647</v>
      </c>
      <c r="DJ223" s="60">
        <v>9</v>
      </c>
      <c r="DK223" s="60">
        <v>15</v>
      </c>
      <c r="DL223" s="60"/>
      <c r="DM223" s="60">
        <v>104</v>
      </c>
      <c r="DN223" s="60">
        <v>293</v>
      </c>
      <c r="DO223" s="60">
        <v>1087</v>
      </c>
      <c r="DP223" s="60">
        <v>83</v>
      </c>
      <c r="DQ223" s="60">
        <v>28</v>
      </c>
      <c r="DR223" s="60">
        <v>4495</v>
      </c>
      <c r="DS223" s="60">
        <v>17</v>
      </c>
      <c r="DT223" s="60">
        <v>229</v>
      </c>
      <c r="DU223" s="60">
        <v>71</v>
      </c>
      <c r="DV223" s="60">
        <v>262</v>
      </c>
      <c r="DW223" s="60">
        <v>1255</v>
      </c>
      <c r="DX223" s="60">
        <v>65</v>
      </c>
      <c r="DY223" s="60">
        <v>63</v>
      </c>
      <c r="DZ223" s="60">
        <v>116</v>
      </c>
      <c r="EA223" s="60">
        <v>2846</v>
      </c>
      <c r="EB223" s="60">
        <v>1197</v>
      </c>
      <c r="EC223" s="60">
        <v>3</v>
      </c>
      <c r="ED223" s="60">
        <v>0</v>
      </c>
      <c r="EE223" s="60">
        <v>0</v>
      </c>
      <c r="EF223" s="60">
        <v>0</v>
      </c>
      <c r="EG223" s="60">
        <v>0</v>
      </c>
      <c r="EH223" s="60">
        <v>0</v>
      </c>
      <c r="EI223" s="60">
        <v>865</v>
      </c>
      <c r="EJ223" s="60">
        <v>3610</v>
      </c>
      <c r="EK223" s="60">
        <v>8</v>
      </c>
      <c r="EL223" s="60">
        <v>1481</v>
      </c>
      <c r="EM223" s="60">
        <v>143</v>
      </c>
      <c r="EN223" s="60">
        <v>25</v>
      </c>
      <c r="EO223" s="60">
        <v>70</v>
      </c>
      <c r="EP223" s="60">
        <v>1007</v>
      </c>
      <c r="EQ223" s="60">
        <v>4</v>
      </c>
      <c r="ER223" s="60">
        <v>988</v>
      </c>
      <c r="ES223" s="60">
        <v>263</v>
      </c>
      <c r="ET223" s="60">
        <v>335</v>
      </c>
      <c r="EU223" s="60">
        <v>505</v>
      </c>
      <c r="EV223" s="60">
        <v>477</v>
      </c>
      <c r="EW223" s="60">
        <v>94</v>
      </c>
      <c r="EX223" s="60">
        <v>131</v>
      </c>
      <c r="EY223" s="60">
        <v>93</v>
      </c>
      <c r="EZ223" s="60">
        <v>2</v>
      </c>
      <c r="FA223" s="60">
        <v>683</v>
      </c>
      <c r="FB223" s="60">
        <v>854</v>
      </c>
      <c r="FC223" s="60">
        <v>159</v>
      </c>
      <c r="FD223" s="60">
        <v>409</v>
      </c>
      <c r="FE223" s="60"/>
      <c r="FF223" s="60">
        <v>8</v>
      </c>
      <c r="FG223" s="60"/>
      <c r="FH223" s="60">
        <v>328</v>
      </c>
      <c r="FI223" s="60">
        <v>70</v>
      </c>
      <c r="FJ223" s="60">
        <v>383</v>
      </c>
      <c r="FK223" s="60">
        <v>9</v>
      </c>
      <c r="FL223" s="60">
        <v>15</v>
      </c>
      <c r="FM223" s="60">
        <v>204</v>
      </c>
      <c r="FN223" s="60">
        <v>9</v>
      </c>
      <c r="FO223" s="60">
        <v>4899</v>
      </c>
      <c r="FP223" s="60">
        <v>54</v>
      </c>
      <c r="FQ223" s="60">
        <v>4</v>
      </c>
      <c r="FR223" s="60">
        <v>9</v>
      </c>
      <c r="FS223" s="60">
        <v>104</v>
      </c>
      <c r="FT223" s="60">
        <v>12</v>
      </c>
      <c r="FU223" s="60">
        <v>7</v>
      </c>
      <c r="FV223" s="60"/>
      <c r="FW223" s="60"/>
      <c r="FX223" s="60">
        <v>6107</v>
      </c>
      <c r="FY223" s="60">
        <v>20</v>
      </c>
      <c r="FZ223" s="60">
        <v>5951</v>
      </c>
      <c r="GA223" s="60">
        <v>136</v>
      </c>
      <c r="GB223" s="60">
        <v>2011</v>
      </c>
    </row>
    <row r="224" spans="1:184" x14ac:dyDescent="0.3">
      <c r="A224" s="60">
        <v>106361318</v>
      </c>
      <c r="B224" s="61" t="s">
        <v>867</v>
      </c>
      <c r="C224" s="61" t="s">
        <v>868</v>
      </c>
      <c r="D224" s="61" t="s">
        <v>869</v>
      </c>
      <c r="E224" s="61" t="s">
        <v>870</v>
      </c>
      <c r="F224" s="60">
        <v>91786</v>
      </c>
      <c r="G224" s="61"/>
      <c r="H224" s="61" t="s">
        <v>1669</v>
      </c>
      <c r="I224" s="60">
        <v>63</v>
      </c>
      <c r="J224" s="60">
        <v>31</v>
      </c>
      <c r="K224" s="61" t="s">
        <v>1979</v>
      </c>
      <c r="L224" s="61"/>
      <c r="M224" s="61" t="s">
        <v>1755</v>
      </c>
      <c r="N224" s="61" t="s">
        <v>1976</v>
      </c>
      <c r="O224" s="61" t="s">
        <v>1673</v>
      </c>
      <c r="P224" s="61" t="s">
        <v>1678</v>
      </c>
      <c r="Q224" s="61" t="s">
        <v>1674</v>
      </c>
      <c r="R224" s="60">
        <v>279</v>
      </c>
      <c r="S224" s="61" t="s">
        <v>1675</v>
      </c>
      <c r="T224" s="60">
        <v>36849</v>
      </c>
      <c r="U224" s="60">
        <v>27060</v>
      </c>
      <c r="V224" s="60"/>
      <c r="W224" s="60"/>
      <c r="X224" s="60">
        <v>8453</v>
      </c>
      <c r="Y224" s="60">
        <v>7300</v>
      </c>
      <c r="Z224" s="60">
        <v>10080</v>
      </c>
      <c r="AA224" s="60">
        <v>8542</v>
      </c>
      <c r="AB224" s="60">
        <v>8161</v>
      </c>
      <c r="AC224" s="60">
        <v>7065</v>
      </c>
      <c r="AD224" s="60">
        <v>4805</v>
      </c>
      <c r="AE224" s="60">
        <v>3781</v>
      </c>
      <c r="AF224" s="60">
        <v>3900</v>
      </c>
      <c r="AG224" s="60">
        <v>1822</v>
      </c>
      <c r="AH224" s="60"/>
      <c r="AI224" s="60">
        <v>1802</v>
      </c>
      <c r="AJ224" s="60">
        <v>7334</v>
      </c>
      <c r="AK224" s="60">
        <v>26085</v>
      </c>
      <c r="AL224" s="60">
        <v>18</v>
      </c>
      <c r="AM224" s="60">
        <v>3842</v>
      </c>
      <c r="AN224" s="60">
        <v>114</v>
      </c>
      <c r="AO224" s="60">
        <v>24714</v>
      </c>
      <c r="AP224" s="60">
        <v>874</v>
      </c>
      <c r="AQ224" s="60">
        <v>212</v>
      </c>
      <c r="AR224" s="60">
        <v>32</v>
      </c>
      <c r="AS224" s="60">
        <v>161</v>
      </c>
      <c r="AT224" s="60">
        <v>64</v>
      </c>
      <c r="AU224" s="60">
        <v>1</v>
      </c>
      <c r="AV224" s="60">
        <v>80</v>
      </c>
      <c r="AW224" s="60">
        <v>12</v>
      </c>
      <c r="AX224" s="60"/>
      <c r="AY224" s="60">
        <v>137</v>
      </c>
      <c r="AZ224" s="60"/>
      <c r="BA224" s="60">
        <v>62092</v>
      </c>
      <c r="BB224" s="60">
        <v>244</v>
      </c>
      <c r="BC224" s="60"/>
      <c r="BD224" s="60"/>
      <c r="BE224" s="60">
        <v>14364</v>
      </c>
      <c r="BF224" s="60">
        <v>12265</v>
      </c>
      <c r="BG224" s="60">
        <v>1704</v>
      </c>
      <c r="BH224" s="60">
        <v>25206</v>
      </c>
      <c r="BI224" s="60">
        <v>10370</v>
      </c>
      <c r="BJ224" s="60">
        <v>1470</v>
      </c>
      <c r="BK224" s="60">
        <v>345</v>
      </c>
      <c r="BL224" s="60">
        <v>2074</v>
      </c>
      <c r="BM224" s="60">
        <v>13</v>
      </c>
      <c r="BN224" s="60">
        <v>3222</v>
      </c>
      <c r="BO224" s="60">
        <v>1114</v>
      </c>
      <c r="BP224" s="60">
        <v>4021</v>
      </c>
      <c r="BQ224" s="60">
        <v>1464</v>
      </c>
      <c r="BR224" s="60">
        <v>14367</v>
      </c>
      <c r="BS224" s="60">
        <v>4151</v>
      </c>
      <c r="BT224" s="60">
        <v>136</v>
      </c>
      <c r="BU224" s="60">
        <v>2960</v>
      </c>
      <c r="BV224" s="60">
        <v>1188</v>
      </c>
      <c r="BW224" s="60">
        <v>68</v>
      </c>
      <c r="BX224" s="60">
        <v>1201</v>
      </c>
      <c r="BY224" s="60">
        <v>6681</v>
      </c>
      <c r="BZ224" s="60">
        <v>2245</v>
      </c>
      <c r="CA224" s="60">
        <v>17188</v>
      </c>
      <c r="CB224" s="60">
        <v>1</v>
      </c>
      <c r="CC224" s="60"/>
      <c r="CD224" s="60">
        <v>4990</v>
      </c>
      <c r="CE224" s="60">
        <v>327</v>
      </c>
      <c r="CF224" s="60">
        <v>632</v>
      </c>
      <c r="CG224" s="60">
        <v>23</v>
      </c>
      <c r="CH224" s="60">
        <v>545</v>
      </c>
      <c r="CI224" s="60">
        <v>204</v>
      </c>
      <c r="CJ224" s="60">
        <v>160</v>
      </c>
      <c r="CK224" s="60">
        <v>596</v>
      </c>
      <c r="CL224" s="60">
        <v>48788</v>
      </c>
      <c r="CM224" s="60">
        <v>5083</v>
      </c>
      <c r="CN224" s="60">
        <v>259</v>
      </c>
      <c r="CO224" s="60">
        <v>1666</v>
      </c>
      <c r="CP224" s="60">
        <v>174</v>
      </c>
      <c r="CQ224" s="60">
        <v>352</v>
      </c>
      <c r="CR224" s="60">
        <v>110</v>
      </c>
      <c r="CS224" s="60"/>
      <c r="CT224" s="60">
        <v>63909</v>
      </c>
      <c r="CU224" s="60">
        <v>524</v>
      </c>
      <c r="CV224" s="60">
        <v>60398</v>
      </c>
      <c r="CW224" s="60">
        <v>2987</v>
      </c>
      <c r="CX224" s="60">
        <v>5584</v>
      </c>
      <c r="CY224" s="60">
        <v>4677</v>
      </c>
      <c r="CZ224" s="60"/>
      <c r="DA224" s="60"/>
      <c r="DB224" s="60">
        <v>338</v>
      </c>
      <c r="DC224" s="60">
        <v>605</v>
      </c>
      <c r="DD224" s="60">
        <v>766</v>
      </c>
      <c r="DE224" s="60">
        <v>1038</v>
      </c>
      <c r="DF224" s="60">
        <v>1598</v>
      </c>
      <c r="DG224" s="60">
        <v>1627</v>
      </c>
      <c r="DH224" s="60">
        <v>1775</v>
      </c>
      <c r="DI224" s="60">
        <v>2090</v>
      </c>
      <c r="DJ224" s="60">
        <v>130</v>
      </c>
      <c r="DK224" s="60">
        <v>294</v>
      </c>
      <c r="DL224" s="60"/>
      <c r="DM224" s="60">
        <v>390</v>
      </c>
      <c r="DN224" s="60">
        <v>845</v>
      </c>
      <c r="DO224" s="60">
        <v>3378</v>
      </c>
      <c r="DP224" s="60">
        <v>583</v>
      </c>
      <c r="DQ224" s="60">
        <v>45</v>
      </c>
      <c r="DR224" s="60">
        <v>5016</v>
      </c>
      <c r="DS224" s="60">
        <v>4</v>
      </c>
      <c r="DT224" s="60">
        <v>193</v>
      </c>
      <c r="DU224" s="60">
        <v>91</v>
      </c>
      <c r="DV224" s="60">
        <v>297</v>
      </c>
      <c r="DW224" s="60">
        <v>1050</v>
      </c>
      <c r="DX224" s="60">
        <v>65</v>
      </c>
      <c r="DY224" s="60"/>
      <c r="DZ224" s="60">
        <v>304</v>
      </c>
      <c r="EA224" s="60">
        <v>6704</v>
      </c>
      <c r="EB224" s="60">
        <v>1557</v>
      </c>
      <c r="EC224" s="60"/>
      <c r="ED224" s="60">
        <v>0</v>
      </c>
      <c r="EE224" s="60">
        <v>0</v>
      </c>
      <c r="EF224" s="60">
        <v>0</v>
      </c>
      <c r="EG224" s="60">
        <v>0</v>
      </c>
      <c r="EH224" s="60">
        <v>0</v>
      </c>
      <c r="EI224" s="60">
        <v>939</v>
      </c>
      <c r="EJ224" s="60">
        <v>5309</v>
      </c>
      <c r="EK224" s="60">
        <v>133</v>
      </c>
      <c r="EL224" s="60">
        <v>3193</v>
      </c>
      <c r="EM224" s="60">
        <v>687</v>
      </c>
      <c r="EN224" s="60">
        <v>255</v>
      </c>
      <c r="EO224" s="60">
        <v>206</v>
      </c>
      <c r="EP224" s="60">
        <v>2268</v>
      </c>
      <c r="EQ224" s="60">
        <v>7</v>
      </c>
      <c r="ER224" s="60">
        <v>1908</v>
      </c>
      <c r="ES224" s="60">
        <v>559</v>
      </c>
      <c r="ET224" s="60">
        <v>581</v>
      </c>
      <c r="EU224" s="60">
        <v>783</v>
      </c>
      <c r="EV224" s="60">
        <v>976</v>
      </c>
      <c r="EW224" s="60">
        <v>147</v>
      </c>
      <c r="EX224" s="60">
        <v>243</v>
      </c>
      <c r="EY224" s="60">
        <v>202</v>
      </c>
      <c r="EZ224" s="60">
        <v>8</v>
      </c>
      <c r="FA224" s="60">
        <v>75</v>
      </c>
      <c r="FB224" s="60">
        <v>1384</v>
      </c>
      <c r="FC224" s="60">
        <v>157</v>
      </c>
      <c r="FD224" s="60">
        <v>474</v>
      </c>
      <c r="FE224" s="60"/>
      <c r="FF224" s="60">
        <v>28</v>
      </c>
      <c r="FG224" s="60"/>
      <c r="FH224" s="60">
        <v>459</v>
      </c>
      <c r="FI224" s="60">
        <v>82</v>
      </c>
      <c r="FJ224" s="60">
        <v>580</v>
      </c>
      <c r="FK224" s="60">
        <v>19</v>
      </c>
      <c r="FL224" s="60">
        <v>21</v>
      </c>
      <c r="FM224" s="60">
        <v>97</v>
      </c>
      <c r="FN224" s="60">
        <v>19</v>
      </c>
      <c r="FO224" s="60">
        <v>8770</v>
      </c>
      <c r="FP224" s="60">
        <v>98</v>
      </c>
      <c r="FQ224" s="60">
        <v>6</v>
      </c>
      <c r="FR224" s="60">
        <v>34</v>
      </c>
      <c r="FS224" s="60">
        <v>60</v>
      </c>
      <c r="FT224" s="60">
        <v>9</v>
      </c>
      <c r="FU224" s="60">
        <v>6</v>
      </c>
      <c r="FV224" s="60">
        <v>1</v>
      </c>
      <c r="FW224" s="60"/>
      <c r="FX224" s="60">
        <v>10261</v>
      </c>
      <c r="FY224" s="60">
        <v>197</v>
      </c>
      <c r="FZ224" s="60">
        <v>9337</v>
      </c>
      <c r="GA224" s="60">
        <v>727</v>
      </c>
      <c r="GB224" s="60">
        <v>2011</v>
      </c>
    </row>
    <row r="225" spans="1:184" x14ac:dyDescent="0.3">
      <c r="A225" s="60">
        <v>106361323</v>
      </c>
      <c r="B225" s="61" t="s">
        <v>871</v>
      </c>
      <c r="C225" s="61" t="s">
        <v>872</v>
      </c>
      <c r="D225" s="61" t="s">
        <v>873</v>
      </c>
      <c r="E225" s="61" t="s">
        <v>841</v>
      </c>
      <c r="F225" s="60">
        <v>92411</v>
      </c>
      <c r="G225" s="61"/>
      <c r="H225" s="61" t="s">
        <v>1669</v>
      </c>
      <c r="I225" s="60">
        <v>62</v>
      </c>
      <c r="J225" s="60">
        <v>32</v>
      </c>
      <c r="K225" s="61" t="s">
        <v>1985</v>
      </c>
      <c r="L225" s="61"/>
      <c r="M225" s="61" t="s">
        <v>1755</v>
      </c>
      <c r="N225" s="61" t="s">
        <v>1976</v>
      </c>
      <c r="O225" s="61" t="s">
        <v>1673</v>
      </c>
      <c r="P225" s="61" t="s">
        <v>1678</v>
      </c>
      <c r="Q225" s="61" t="s">
        <v>1674</v>
      </c>
      <c r="R225" s="60">
        <v>196</v>
      </c>
      <c r="S225" s="61" t="s">
        <v>1675</v>
      </c>
      <c r="T225" s="60">
        <v>22611</v>
      </c>
      <c r="U225" s="60">
        <v>16626</v>
      </c>
      <c r="V225" s="60">
        <v>1</v>
      </c>
      <c r="W225" s="60"/>
      <c r="X225" s="60">
        <v>9462</v>
      </c>
      <c r="Y225" s="60">
        <v>6151</v>
      </c>
      <c r="Z225" s="60">
        <v>7153</v>
      </c>
      <c r="AA225" s="60">
        <v>4920</v>
      </c>
      <c r="AB225" s="60">
        <v>3873</v>
      </c>
      <c r="AC225" s="60">
        <v>2775</v>
      </c>
      <c r="AD225" s="60">
        <v>1219</v>
      </c>
      <c r="AE225" s="60">
        <v>681</v>
      </c>
      <c r="AF225" s="60">
        <v>409</v>
      </c>
      <c r="AG225" s="60">
        <v>2595</v>
      </c>
      <c r="AH225" s="60"/>
      <c r="AI225" s="60">
        <v>456</v>
      </c>
      <c r="AJ225" s="60">
        <v>8166</v>
      </c>
      <c r="AK225" s="60">
        <v>22760</v>
      </c>
      <c r="AL225" s="60">
        <v>38</v>
      </c>
      <c r="AM225" s="60">
        <v>405</v>
      </c>
      <c r="AN225" s="60">
        <v>93</v>
      </c>
      <c r="AO225" s="60">
        <v>7320</v>
      </c>
      <c r="AP225" s="60">
        <v>526</v>
      </c>
      <c r="AQ225" s="60">
        <v>966</v>
      </c>
      <c r="AR225" s="60"/>
      <c r="AS225" s="60">
        <v>60</v>
      </c>
      <c r="AT225" s="60">
        <v>9</v>
      </c>
      <c r="AU225" s="60">
        <v>2</v>
      </c>
      <c r="AV225" s="60">
        <v>17</v>
      </c>
      <c r="AW225" s="60"/>
      <c r="AX225" s="60"/>
      <c r="AY225" s="60">
        <v>33</v>
      </c>
      <c r="AZ225" s="60">
        <v>44</v>
      </c>
      <c r="BA225" s="60">
        <v>37520</v>
      </c>
      <c r="BB225" s="60">
        <v>61</v>
      </c>
      <c r="BC225" s="60"/>
      <c r="BD225" s="60"/>
      <c r="BE225" s="60">
        <v>24327</v>
      </c>
      <c r="BF225" s="60">
        <v>2466</v>
      </c>
      <c r="BG225" s="60">
        <v>745</v>
      </c>
      <c r="BH225" s="60">
        <v>3349</v>
      </c>
      <c r="BI225" s="60">
        <v>8351</v>
      </c>
      <c r="BJ225" s="60">
        <v>1576</v>
      </c>
      <c r="BK225" s="60">
        <v>142</v>
      </c>
      <c r="BL225" s="60">
        <v>444</v>
      </c>
      <c r="BM225" s="60">
        <v>11</v>
      </c>
      <c r="BN225" s="60">
        <v>2409</v>
      </c>
      <c r="BO225" s="60">
        <v>371</v>
      </c>
      <c r="BP225" s="60">
        <v>2551</v>
      </c>
      <c r="BQ225" s="60">
        <v>890</v>
      </c>
      <c r="BR225" s="60">
        <v>7447</v>
      </c>
      <c r="BS225" s="60">
        <v>1578</v>
      </c>
      <c r="BT225" s="60">
        <v>85</v>
      </c>
      <c r="BU225" s="60">
        <v>3053</v>
      </c>
      <c r="BV225" s="60">
        <v>1756</v>
      </c>
      <c r="BW225" s="60">
        <v>125</v>
      </c>
      <c r="BX225" s="60">
        <v>741</v>
      </c>
      <c r="BY225" s="60">
        <v>7272</v>
      </c>
      <c r="BZ225" s="60">
        <v>2182</v>
      </c>
      <c r="CA225" s="60">
        <v>6605</v>
      </c>
      <c r="CB225" s="60"/>
      <c r="CC225" s="60"/>
      <c r="CD225" s="60">
        <v>2383</v>
      </c>
      <c r="CE225" s="60">
        <v>99</v>
      </c>
      <c r="CF225" s="60">
        <v>242</v>
      </c>
      <c r="CG225" s="60">
        <v>14</v>
      </c>
      <c r="CH225" s="60">
        <v>522</v>
      </c>
      <c r="CI225" s="60">
        <v>60</v>
      </c>
      <c r="CJ225" s="60">
        <v>138</v>
      </c>
      <c r="CK225" s="60">
        <v>646</v>
      </c>
      <c r="CL225" s="60">
        <v>31154</v>
      </c>
      <c r="CM225" s="60">
        <v>3000</v>
      </c>
      <c r="CN225" s="60">
        <v>133</v>
      </c>
      <c r="CO225" s="60">
        <v>552</v>
      </c>
      <c r="CP225" s="60">
        <v>34</v>
      </c>
      <c r="CQ225" s="60">
        <v>255</v>
      </c>
      <c r="CR225" s="60">
        <v>6</v>
      </c>
      <c r="CS225" s="60"/>
      <c r="CT225" s="60">
        <v>39238</v>
      </c>
      <c r="CU225" s="60">
        <v>15</v>
      </c>
      <c r="CV225" s="60">
        <v>32946</v>
      </c>
      <c r="CW225" s="60">
        <v>6277</v>
      </c>
      <c r="CX225" s="60">
        <v>3385</v>
      </c>
      <c r="CY225" s="60">
        <v>2681</v>
      </c>
      <c r="CZ225" s="60"/>
      <c r="DA225" s="60"/>
      <c r="DB225" s="60">
        <v>262</v>
      </c>
      <c r="DC225" s="60">
        <v>660</v>
      </c>
      <c r="DD225" s="60">
        <v>766</v>
      </c>
      <c r="DE225" s="60">
        <v>1051</v>
      </c>
      <c r="DF225" s="60">
        <v>1195</v>
      </c>
      <c r="DG225" s="60">
        <v>730</v>
      </c>
      <c r="DH225" s="60">
        <v>530</v>
      </c>
      <c r="DI225" s="60">
        <v>420</v>
      </c>
      <c r="DJ225" s="60">
        <v>262</v>
      </c>
      <c r="DK225" s="60">
        <v>190</v>
      </c>
      <c r="DL225" s="60"/>
      <c r="DM225" s="60">
        <v>97</v>
      </c>
      <c r="DN225" s="60">
        <v>1407</v>
      </c>
      <c r="DO225" s="60">
        <v>2790</v>
      </c>
      <c r="DP225" s="60">
        <v>62</v>
      </c>
      <c r="DQ225" s="60">
        <v>1</v>
      </c>
      <c r="DR225" s="60">
        <v>1704</v>
      </c>
      <c r="DS225" s="60">
        <v>5</v>
      </c>
      <c r="DT225" s="60">
        <v>144</v>
      </c>
      <c r="DU225" s="60">
        <v>220</v>
      </c>
      <c r="DV225" s="60">
        <v>82</v>
      </c>
      <c r="DW225" s="60">
        <v>309</v>
      </c>
      <c r="DX225" s="60">
        <v>230</v>
      </c>
      <c r="DY225" s="60">
        <v>18</v>
      </c>
      <c r="DZ225" s="60">
        <v>8</v>
      </c>
      <c r="EA225" s="60">
        <v>4617</v>
      </c>
      <c r="EB225" s="60">
        <v>433</v>
      </c>
      <c r="EC225" s="60">
        <v>5</v>
      </c>
      <c r="ED225" s="60">
        <v>0</v>
      </c>
      <c r="EE225" s="60">
        <v>0</v>
      </c>
      <c r="EF225" s="60">
        <v>0</v>
      </c>
      <c r="EG225" s="60">
        <v>0</v>
      </c>
      <c r="EH225" s="60">
        <v>0</v>
      </c>
      <c r="EI225" s="60">
        <v>3195</v>
      </c>
      <c r="EJ225" s="60">
        <v>1629</v>
      </c>
      <c r="EK225" s="60">
        <v>60</v>
      </c>
      <c r="EL225" s="60">
        <v>542</v>
      </c>
      <c r="EM225" s="60">
        <v>640</v>
      </c>
      <c r="EN225" s="60">
        <v>186</v>
      </c>
      <c r="EO225" s="60">
        <v>132</v>
      </c>
      <c r="EP225" s="60">
        <v>737</v>
      </c>
      <c r="EQ225" s="60">
        <v>4</v>
      </c>
      <c r="ER225" s="60">
        <v>816</v>
      </c>
      <c r="ES225" s="60">
        <v>256</v>
      </c>
      <c r="ET225" s="60">
        <v>263</v>
      </c>
      <c r="EU225" s="60">
        <v>352</v>
      </c>
      <c r="EV225" s="60">
        <v>254</v>
      </c>
      <c r="EW225" s="60">
        <v>76</v>
      </c>
      <c r="EX225" s="60">
        <v>65</v>
      </c>
      <c r="EY225" s="60">
        <v>67</v>
      </c>
      <c r="EZ225" s="60">
        <v>4</v>
      </c>
      <c r="FA225" s="60">
        <v>1327</v>
      </c>
      <c r="FB225" s="60">
        <v>783</v>
      </c>
      <c r="FC225" s="60">
        <v>136</v>
      </c>
      <c r="FD225" s="60">
        <v>545</v>
      </c>
      <c r="FE225" s="60">
        <v>3</v>
      </c>
      <c r="FF225" s="60">
        <v>60</v>
      </c>
      <c r="FG225" s="60"/>
      <c r="FH225" s="60">
        <v>153</v>
      </c>
      <c r="FI225" s="60">
        <v>53</v>
      </c>
      <c r="FJ225" s="60">
        <v>149</v>
      </c>
      <c r="FK225" s="60">
        <v>13</v>
      </c>
      <c r="FL225" s="60">
        <v>47</v>
      </c>
      <c r="FM225" s="60">
        <v>59</v>
      </c>
      <c r="FN225" s="60">
        <v>17</v>
      </c>
      <c r="FO225" s="60">
        <v>5380</v>
      </c>
      <c r="FP225" s="60">
        <v>56</v>
      </c>
      <c r="FQ225" s="60">
        <v>5</v>
      </c>
      <c r="FR225" s="60">
        <v>5</v>
      </c>
      <c r="FS225" s="60">
        <v>111</v>
      </c>
      <c r="FT225" s="60">
        <v>5</v>
      </c>
      <c r="FU225" s="60">
        <v>13</v>
      </c>
      <c r="FV225" s="60"/>
      <c r="FW225" s="60"/>
      <c r="FX225" s="60">
        <v>6066</v>
      </c>
      <c r="FY225" s="60">
        <v>4</v>
      </c>
      <c r="FZ225" s="60">
        <v>5248</v>
      </c>
      <c r="GA225" s="60">
        <v>814</v>
      </c>
      <c r="GB225" s="60">
        <v>2011</v>
      </c>
    </row>
    <row r="226" spans="1:184" x14ac:dyDescent="0.3">
      <c r="A226" s="60">
        <v>106361339</v>
      </c>
      <c r="B226" s="61" t="s">
        <v>874</v>
      </c>
      <c r="C226" s="61" t="s">
        <v>875</v>
      </c>
      <c r="D226" s="61" t="s">
        <v>876</v>
      </c>
      <c r="E226" s="61" t="s">
        <v>841</v>
      </c>
      <c r="F226" s="60">
        <v>92404</v>
      </c>
      <c r="G226" s="61"/>
      <c r="H226" s="61" t="s">
        <v>1669</v>
      </c>
      <c r="I226" s="60">
        <v>62</v>
      </c>
      <c r="J226" s="60">
        <v>32</v>
      </c>
      <c r="K226" s="61" t="s">
        <v>1986</v>
      </c>
      <c r="L226" s="61"/>
      <c r="M226" s="61" t="s">
        <v>1755</v>
      </c>
      <c r="N226" s="61" t="s">
        <v>1976</v>
      </c>
      <c r="O226" s="61" t="s">
        <v>1673</v>
      </c>
      <c r="P226" s="61" t="s">
        <v>1678</v>
      </c>
      <c r="Q226" s="61" t="s">
        <v>1674</v>
      </c>
      <c r="R226" s="60">
        <v>427</v>
      </c>
      <c r="S226" s="61" t="s">
        <v>1675</v>
      </c>
      <c r="T226" s="60">
        <v>33996</v>
      </c>
      <c r="U226" s="60">
        <v>25036</v>
      </c>
      <c r="V226" s="60"/>
      <c r="W226" s="60"/>
      <c r="X226" s="60">
        <v>10972</v>
      </c>
      <c r="Y226" s="60">
        <v>7925</v>
      </c>
      <c r="Z226" s="60">
        <v>11141</v>
      </c>
      <c r="AA226" s="60">
        <v>7577</v>
      </c>
      <c r="AB226" s="60">
        <v>6639</v>
      </c>
      <c r="AC226" s="60">
        <v>5725</v>
      </c>
      <c r="AD226" s="60">
        <v>3013</v>
      </c>
      <c r="AE226" s="60">
        <v>1799</v>
      </c>
      <c r="AF226" s="60">
        <v>1428</v>
      </c>
      <c r="AG226" s="60">
        <v>2813</v>
      </c>
      <c r="AH226" s="60"/>
      <c r="AI226" s="60">
        <v>911</v>
      </c>
      <c r="AJ226" s="60">
        <v>15502</v>
      </c>
      <c r="AK226" s="60">
        <v>25728</v>
      </c>
      <c r="AL226" s="60">
        <v>81</v>
      </c>
      <c r="AM226" s="60">
        <v>371</v>
      </c>
      <c r="AN226" s="60">
        <v>569</v>
      </c>
      <c r="AO226" s="60">
        <v>15870</v>
      </c>
      <c r="AP226" s="60">
        <v>672</v>
      </c>
      <c r="AQ226" s="60">
        <v>3082</v>
      </c>
      <c r="AR226" s="60">
        <v>4</v>
      </c>
      <c r="AS226" s="60">
        <v>125</v>
      </c>
      <c r="AT226" s="60"/>
      <c r="AU226" s="60"/>
      <c r="AV226" s="60"/>
      <c r="AW226" s="60"/>
      <c r="AX226" s="60"/>
      <c r="AY226" s="60"/>
      <c r="AZ226" s="60"/>
      <c r="BA226" s="60">
        <v>55149</v>
      </c>
      <c r="BB226" s="60"/>
      <c r="BC226" s="60"/>
      <c r="BD226" s="60"/>
      <c r="BE226" s="60">
        <v>31235</v>
      </c>
      <c r="BF226" s="60">
        <v>6649</v>
      </c>
      <c r="BG226" s="60">
        <v>1466</v>
      </c>
      <c r="BH226" s="60">
        <v>5597</v>
      </c>
      <c r="BI226" s="60">
        <v>14085</v>
      </c>
      <c r="BJ226" s="60">
        <v>2236</v>
      </c>
      <c r="BK226" s="60">
        <v>178</v>
      </c>
      <c r="BL226" s="60">
        <v>1003</v>
      </c>
      <c r="BM226" s="60">
        <v>7</v>
      </c>
      <c r="BN226" s="60">
        <v>2911</v>
      </c>
      <c r="BO226" s="60">
        <v>995</v>
      </c>
      <c r="BP226" s="60">
        <v>3397</v>
      </c>
      <c r="BQ226" s="60">
        <v>1126</v>
      </c>
      <c r="BR226" s="60">
        <v>10104</v>
      </c>
      <c r="BS226" s="60">
        <v>4206</v>
      </c>
      <c r="BT226" s="60">
        <v>65</v>
      </c>
      <c r="BU226" s="60">
        <v>3591</v>
      </c>
      <c r="BV226" s="60">
        <v>1986</v>
      </c>
      <c r="BW226" s="60">
        <v>149</v>
      </c>
      <c r="BX226" s="60">
        <v>1346</v>
      </c>
      <c r="BY226" s="60">
        <v>7395</v>
      </c>
      <c r="BZ226" s="60">
        <v>3109</v>
      </c>
      <c r="CA226" s="60">
        <v>15227</v>
      </c>
      <c r="CB226" s="60">
        <v>1</v>
      </c>
      <c r="CC226" s="60"/>
      <c r="CD226" s="60">
        <v>3105</v>
      </c>
      <c r="CE226" s="60">
        <v>190</v>
      </c>
      <c r="CF226" s="60">
        <v>335</v>
      </c>
      <c r="CG226" s="60">
        <v>24</v>
      </c>
      <c r="CH226" s="60">
        <v>969</v>
      </c>
      <c r="CI226" s="60">
        <v>24</v>
      </c>
      <c r="CJ226" s="60">
        <v>198</v>
      </c>
      <c r="CK226" s="60">
        <v>873</v>
      </c>
      <c r="CL226" s="60">
        <v>47734</v>
      </c>
      <c r="CM226" s="60">
        <v>4199</v>
      </c>
      <c r="CN226" s="60">
        <v>140</v>
      </c>
      <c r="CO226" s="60">
        <v>806</v>
      </c>
      <c r="CP226" s="60">
        <v>136</v>
      </c>
      <c r="CQ226" s="60">
        <v>243</v>
      </c>
      <c r="CR226" s="60">
        <v>56</v>
      </c>
      <c r="CS226" s="60"/>
      <c r="CT226" s="60">
        <v>59032</v>
      </c>
      <c r="CU226" s="60">
        <v>101</v>
      </c>
      <c r="CV226" s="60">
        <v>56699</v>
      </c>
      <c r="CW226" s="60">
        <v>2232</v>
      </c>
      <c r="CX226" s="60">
        <v>4175</v>
      </c>
      <c r="CY226" s="60">
        <v>3721</v>
      </c>
      <c r="CZ226" s="60"/>
      <c r="DA226" s="60"/>
      <c r="DB226" s="60">
        <v>132</v>
      </c>
      <c r="DC226" s="60">
        <v>372</v>
      </c>
      <c r="DD226" s="60">
        <v>485</v>
      </c>
      <c r="DE226" s="60">
        <v>974</v>
      </c>
      <c r="DF226" s="60">
        <v>1494</v>
      </c>
      <c r="DG226" s="60">
        <v>1512</v>
      </c>
      <c r="DH226" s="60">
        <v>1405</v>
      </c>
      <c r="DI226" s="60">
        <v>1353</v>
      </c>
      <c r="DJ226" s="60">
        <v>94</v>
      </c>
      <c r="DK226" s="60">
        <v>75</v>
      </c>
      <c r="DL226" s="60"/>
      <c r="DM226" s="60">
        <v>193</v>
      </c>
      <c r="DN226" s="60">
        <v>1431</v>
      </c>
      <c r="DO226" s="60">
        <v>2623</v>
      </c>
      <c r="DP226" s="60">
        <v>115</v>
      </c>
      <c r="DQ226" s="60">
        <v>33</v>
      </c>
      <c r="DR226" s="60">
        <v>3492</v>
      </c>
      <c r="DS226" s="60">
        <v>9</v>
      </c>
      <c r="DT226" s="60">
        <v>372</v>
      </c>
      <c r="DU226" s="60">
        <v>170</v>
      </c>
      <c r="DV226" s="60">
        <v>274</v>
      </c>
      <c r="DW226" s="60">
        <v>774</v>
      </c>
      <c r="DX226" s="60">
        <v>271</v>
      </c>
      <c r="DY226" s="60">
        <v>45</v>
      </c>
      <c r="DZ226" s="60">
        <v>5</v>
      </c>
      <c r="EA226" s="60">
        <v>4994</v>
      </c>
      <c r="EB226" s="60">
        <v>972</v>
      </c>
      <c r="EC226" s="60">
        <v>19</v>
      </c>
      <c r="ED226" s="60">
        <v>0</v>
      </c>
      <c r="EE226" s="60">
        <v>0</v>
      </c>
      <c r="EF226" s="60">
        <v>0</v>
      </c>
      <c r="EG226" s="60">
        <v>0</v>
      </c>
      <c r="EH226" s="60">
        <v>0</v>
      </c>
      <c r="EI226" s="60">
        <v>2209</v>
      </c>
      <c r="EJ226" s="60">
        <v>3763</v>
      </c>
      <c r="EK226" s="60">
        <v>155</v>
      </c>
      <c r="EL226" s="60">
        <v>1057</v>
      </c>
      <c r="EM226" s="60">
        <v>712</v>
      </c>
      <c r="EN226" s="60">
        <v>93</v>
      </c>
      <c r="EO226" s="60">
        <v>231</v>
      </c>
      <c r="EP226" s="60">
        <v>2000</v>
      </c>
      <c r="EQ226" s="60">
        <v>3</v>
      </c>
      <c r="ER226" s="60">
        <v>1088</v>
      </c>
      <c r="ES226" s="60">
        <v>412</v>
      </c>
      <c r="ET226" s="60">
        <v>340</v>
      </c>
      <c r="EU226" s="60">
        <v>677</v>
      </c>
      <c r="EV226" s="60">
        <v>604</v>
      </c>
      <c r="EW226" s="60">
        <v>111</v>
      </c>
      <c r="EX226" s="60">
        <v>172</v>
      </c>
      <c r="EY226" s="60">
        <v>225</v>
      </c>
      <c r="EZ226" s="60">
        <v>7</v>
      </c>
      <c r="FA226" s="60">
        <v>49</v>
      </c>
      <c r="FB226" s="60">
        <v>990</v>
      </c>
      <c r="FC226" s="60">
        <v>164</v>
      </c>
      <c r="FD226" s="60">
        <v>712</v>
      </c>
      <c r="FE226" s="60"/>
      <c r="FF226" s="60">
        <v>18</v>
      </c>
      <c r="FG226" s="60"/>
      <c r="FH226" s="60">
        <v>315</v>
      </c>
      <c r="FI226" s="60">
        <v>70</v>
      </c>
      <c r="FJ226" s="60">
        <v>509</v>
      </c>
      <c r="FK226" s="60">
        <v>6</v>
      </c>
      <c r="FL226" s="60">
        <v>28</v>
      </c>
      <c r="FM226" s="60">
        <v>432</v>
      </c>
      <c r="FN226" s="60">
        <v>16</v>
      </c>
      <c r="FO226" s="60">
        <v>6345</v>
      </c>
      <c r="FP226" s="60">
        <v>78</v>
      </c>
      <c r="FQ226" s="60">
        <v>5</v>
      </c>
      <c r="FR226" s="60">
        <v>18</v>
      </c>
      <c r="FS226" s="60">
        <v>32</v>
      </c>
      <c r="FT226" s="60">
        <v>22</v>
      </c>
      <c r="FU226" s="60">
        <v>20</v>
      </c>
      <c r="FV226" s="60"/>
      <c r="FW226" s="60"/>
      <c r="FX226" s="60">
        <v>7896</v>
      </c>
      <c r="FY226" s="60">
        <v>40</v>
      </c>
      <c r="FZ226" s="60">
        <v>7343</v>
      </c>
      <c r="GA226" s="60">
        <v>513</v>
      </c>
      <c r="GB226" s="60">
        <v>2011</v>
      </c>
    </row>
    <row r="227" spans="1:184" x14ac:dyDescent="0.3">
      <c r="A227" s="60">
        <v>106361343</v>
      </c>
      <c r="B227" s="61" t="s">
        <v>877</v>
      </c>
      <c r="C227" s="61" t="s">
        <v>1987</v>
      </c>
      <c r="D227" s="61" t="s">
        <v>1988</v>
      </c>
      <c r="E227" s="61" t="s">
        <v>878</v>
      </c>
      <c r="F227" s="60">
        <v>92307</v>
      </c>
      <c r="G227" s="61"/>
      <c r="H227" s="61" t="s">
        <v>1669</v>
      </c>
      <c r="I227" s="60">
        <v>59</v>
      </c>
      <c r="J227" s="60">
        <v>17</v>
      </c>
      <c r="K227" s="61" t="s">
        <v>1989</v>
      </c>
      <c r="L227" s="61"/>
      <c r="M227" s="61" t="s">
        <v>1755</v>
      </c>
      <c r="N227" s="61" t="s">
        <v>1976</v>
      </c>
      <c r="O227" s="61" t="s">
        <v>1673</v>
      </c>
      <c r="P227" s="61" t="s">
        <v>1678</v>
      </c>
      <c r="Q227" s="61" t="s">
        <v>1674</v>
      </c>
      <c r="R227" s="60">
        <v>206</v>
      </c>
      <c r="S227" s="61" t="s">
        <v>1675</v>
      </c>
      <c r="T227" s="60">
        <v>32111</v>
      </c>
      <c r="U227" s="60">
        <v>23148</v>
      </c>
      <c r="V227" s="60">
        <v>4</v>
      </c>
      <c r="W227" s="60"/>
      <c r="X227" s="60">
        <v>9611</v>
      </c>
      <c r="Y227" s="60">
        <v>8005</v>
      </c>
      <c r="Z227" s="60">
        <v>9870</v>
      </c>
      <c r="AA227" s="60">
        <v>7160</v>
      </c>
      <c r="AB227" s="60">
        <v>6491</v>
      </c>
      <c r="AC227" s="60">
        <v>5542</v>
      </c>
      <c r="AD227" s="60">
        <v>2922</v>
      </c>
      <c r="AE227" s="60">
        <v>1672</v>
      </c>
      <c r="AF227" s="60">
        <v>1306</v>
      </c>
      <c r="AG227" s="60">
        <v>2684</v>
      </c>
      <c r="AH227" s="60"/>
      <c r="AI227" s="60">
        <v>228</v>
      </c>
      <c r="AJ227" s="60">
        <v>7859</v>
      </c>
      <c r="AK227" s="60">
        <v>13759</v>
      </c>
      <c r="AL227" s="60">
        <v>59</v>
      </c>
      <c r="AM227" s="60">
        <v>1507</v>
      </c>
      <c r="AN227" s="60">
        <v>287</v>
      </c>
      <c r="AO227" s="60">
        <v>31564</v>
      </c>
      <c r="AP227" s="60">
        <v>1268</v>
      </c>
      <c r="AQ227" s="60">
        <v>414</v>
      </c>
      <c r="AR227" s="60"/>
      <c r="AS227" s="60">
        <v>54</v>
      </c>
      <c r="AT227" s="60"/>
      <c r="AU227" s="60"/>
      <c r="AV227" s="60"/>
      <c r="AW227" s="60">
        <v>33</v>
      </c>
      <c r="AX227" s="60">
        <v>168</v>
      </c>
      <c r="AY227" s="60">
        <v>152</v>
      </c>
      <c r="AZ227" s="60"/>
      <c r="BA227" s="60">
        <v>53128</v>
      </c>
      <c r="BB227" s="60">
        <v>46</v>
      </c>
      <c r="BC227" s="60"/>
      <c r="BD227" s="60"/>
      <c r="BE227" s="60">
        <v>6526</v>
      </c>
      <c r="BF227" s="60">
        <v>2244</v>
      </c>
      <c r="BG227" s="60">
        <v>2649</v>
      </c>
      <c r="BH227" s="60">
        <v>34697</v>
      </c>
      <c r="BI227" s="60">
        <v>9147</v>
      </c>
      <c r="BJ227" s="60">
        <v>2759</v>
      </c>
      <c r="BK227" s="60">
        <v>231</v>
      </c>
      <c r="BL227" s="60">
        <v>1175</v>
      </c>
      <c r="BM227" s="60">
        <v>17</v>
      </c>
      <c r="BN227" s="60">
        <v>2419</v>
      </c>
      <c r="BO227" s="60">
        <v>659</v>
      </c>
      <c r="BP227" s="60">
        <v>3467</v>
      </c>
      <c r="BQ227" s="60">
        <v>658</v>
      </c>
      <c r="BR227" s="60">
        <v>10315</v>
      </c>
      <c r="BS227" s="60">
        <v>3304</v>
      </c>
      <c r="BT227" s="60">
        <v>104</v>
      </c>
      <c r="BU227" s="60">
        <v>3800</v>
      </c>
      <c r="BV227" s="60">
        <v>1514</v>
      </c>
      <c r="BW227" s="60">
        <v>221</v>
      </c>
      <c r="BX227" s="60">
        <v>868</v>
      </c>
      <c r="BY227" s="60">
        <v>7565</v>
      </c>
      <c r="BZ227" s="60">
        <v>2507</v>
      </c>
      <c r="CA227" s="60">
        <v>13680</v>
      </c>
      <c r="CB227" s="60"/>
      <c r="CC227" s="60"/>
      <c r="CD227" s="60">
        <v>3276</v>
      </c>
      <c r="CE227" s="60">
        <v>156</v>
      </c>
      <c r="CF227" s="60">
        <v>292</v>
      </c>
      <c r="CG227" s="60">
        <v>35</v>
      </c>
      <c r="CH227" s="60">
        <v>560</v>
      </c>
      <c r="CI227" s="60">
        <v>54</v>
      </c>
      <c r="CJ227" s="60">
        <v>312</v>
      </c>
      <c r="CK227" s="60">
        <v>457</v>
      </c>
      <c r="CL227" s="60">
        <v>43278</v>
      </c>
      <c r="CM227" s="60">
        <v>4459</v>
      </c>
      <c r="CN227" s="60">
        <v>254</v>
      </c>
      <c r="CO227" s="60">
        <v>1580</v>
      </c>
      <c r="CP227" s="60">
        <v>154</v>
      </c>
      <c r="CQ227" s="60">
        <v>340</v>
      </c>
      <c r="CR227" s="60">
        <v>56</v>
      </c>
      <c r="CS227" s="60"/>
      <c r="CT227" s="60">
        <v>55263</v>
      </c>
      <c r="CU227" s="60">
        <v>174</v>
      </c>
      <c r="CV227" s="60">
        <v>53146</v>
      </c>
      <c r="CW227" s="60">
        <v>1943</v>
      </c>
      <c r="CX227" s="60">
        <v>5942</v>
      </c>
      <c r="CY227" s="60">
        <v>5163</v>
      </c>
      <c r="CZ227" s="60"/>
      <c r="DA227" s="60"/>
      <c r="DB227" s="60">
        <v>233</v>
      </c>
      <c r="DC227" s="60">
        <v>574</v>
      </c>
      <c r="DD227" s="60">
        <v>667</v>
      </c>
      <c r="DE227" s="60">
        <v>1353</v>
      </c>
      <c r="DF227" s="60">
        <v>2044</v>
      </c>
      <c r="DG227" s="60">
        <v>2071</v>
      </c>
      <c r="DH227" s="60">
        <v>1986</v>
      </c>
      <c r="DI227" s="60">
        <v>1707</v>
      </c>
      <c r="DJ227" s="60">
        <v>220</v>
      </c>
      <c r="DK227" s="60">
        <v>250</v>
      </c>
      <c r="DL227" s="60"/>
      <c r="DM227" s="60">
        <v>103</v>
      </c>
      <c r="DN227" s="60">
        <v>1391</v>
      </c>
      <c r="DO227" s="60">
        <v>1993</v>
      </c>
      <c r="DP227" s="60">
        <v>141</v>
      </c>
      <c r="DQ227" s="60">
        <v>19</v>
      </c>
      <c r="DR227" s="60">
        <v>7452</v>
      </c>
      <c r="DS227" s="60">
        <v>6</v>
      </c>
      <c r="DT227" s="60">
        <v>272</v>
      </c>
      <c r="DU227" s="60">
        <v>321</v>
      </c>
      <c r="DV227" s="60">
        <v>222</v>
      </c>
      <c r="DW227" s="60">
        <v>1177</v>
      </c>
      <c r="DX227" s="60">
        <v>80</v>
      </c>
      <c r="DY227" s="60">
        <v>10</v>
      </c>
      <c r="DZ227" s="60">
        <v>14</v>
      </c>
      <c r="EA227" s="60">
        <v>8215</v>
      </c>
      <c r="EB227" s="60">
        <v>784</v>
      </c>
      <c r="EC227" s="60">
        <v>10</v>
      </c>
      <c r="ED227" s="60">
        <v>0</v>
      </c>
      <c r="EE227" s="60">
        <v>0</v>
      </c>
      <c r="EF227" s="60">
        <v>0</v>
      </c>
      <c r="EG227" s="60">
        <v>0</v>
      </c>
      <c r="EH227" s="60">
        <v>0</v>
      </c>
      <c r="EI227" s="60">
        <v>1195</v>
      </c>
      <c r="EJ227" s="60">
        <v>3866</v>
      </c>
      <c r="EK227" s="60">
        <v>262</v>
      </c>
      <c r="EL227" s="60">
        <v>4894</v>
      </c>
      <c r="EM227" s="60">
        <v>888</v>
      </c>
      <c r="EN227" s="60">
        <v>111</v>
      </c>
      <c r="EO227" s="60">
        <v>134</v>
      </c>
      <c r="EP227" s="60">
        <v>2705</v>
      </c>
      <c r="EQ227" s="60">
        <v>6</v>
      </c>
      <c r="ER227" s="60">
        <v>1786</v>
      </c>
      <c r="ES227" s="60">
        <v>532</v>
      </c>
      <c r="ET227" s="60">
        <v>711</v>
      </c>
      <c r="EU227" s="60">
        <v>600</v>
      </c>
      <c r="EV227" s="60">
        <v>693</v>
      </c>
      <c r="EW227" s="60">
        <v>148</v>
      </c>
      <c r="EX227" s="60">
        <v>222</v>
      </c>
      <c r="EY227" s="60">
        <v>286</v>
      </c>
      <c r="EZ227" s="60">
        <v>6</v>
      </c>
      <c r="FA227" s="60">
        <v>56</v>
      </c>
      <c r="FB227" s="60">
        <v>1382</v>
      </c>
      <c r="FC227" s="60">
        <v>286</v>
      </c>
      <c r="FD227" s="60">
        <v>1385</v>
      </c>
      <c r="FE227" s="60"/>
      <c r="FF227" s="60">
        <v>56</v>
      </c>
      <c r="FG227" s="60"/>
      <c r="FH227" s="60">
        <v>375</v>
      </c>
      <c r="FI227" s="60">
        <v>68</v>
      </c>
      <c r="FJ227" s="60">
        <v>902</v>
      </c>
      <c r="FK227" s="60">
        <v>11</v>
      </c>
      <c r="FL227" s="60">
        <v>45</v>
      </c>
      <c r="FM227" s="60">
        <v>686</v>
      </c>
      <c r="FN227" s="60">
        <v>58</v>
      </c>
      <c r="FO227" s="60">
        <v>8743</v>
      </c>
      <c r="FP227" s="60">
        <v>112</v>
      </c>
      <c r="FQ227" s="60">
        <v>7</v>
      </c>
      <c r="FR227" s="60">
        <v>28</v>
      </c>
      <c r="FS227" s="60">
        <v>26</v>
      </c>
      <c r="FT227" s="60">
        <v>25</v>
      </c>
      <c r="FU227" s="60">
        <v>16</v>
      </c>
      <c r="FV227" s="60">
        <v>3</v>
      </c>
      <c r="FW227" s="60"/>
      <c r="FX227" s="60">
        <v>11105</v>
      </c>
      <c r="FY227" s="60">
        <v>50</v>
      </c>
      <c r="FZ227" s="60">
        <v>10517</v>
      </c>
      <c r="GA227" s="60">
        <v>538</v>
      </c>
      <c r="GB227" s="60">
        <v>2011</v>
      </c>
    </row>
    <row r="228" spans="1:184" x14ac:dyDescent="0.3">
      <c r="A228" s="60">
        <v>106361370</v>
      </c>
      <c r="B228" s="61" t="s">
        <v>879</v>
      </c>
      <c r="C228" s="61" t="s">
        <v>1990</v>
      </c>
      <c r="D228" s="61" t="s">
        <v>880</v>
      </c>
      <c r="E228" s="61" t="s">
        <v>881</v>
      </c>
      <c r="F228" s="60">
        <v>92392</v>
      </c>
      <c r="G228" s="61"/>
      <c r="H228" s="61" t="s">
        <v>1669</v>
      </c>
      <c r="I228" s="60">
        <v>36</v>
      </c>
      <c r="J228" s="60">
        <v>17</v>
      </c>
      <c r="K228" s="61" t="s">
        <v>1991</v>
      </c>
      <c r="L228" s="61"/>
      <c r="M228" s="61" t="s">
        <v>1755</v>
      </c>
      <c r="N228" s="61" t="s">
        <v>1976</v>
      </c>
      <c r="O228" s="61" t="s">
        <v>1673</v>
      </c>
      <c r="P228" s="61" t="s">
        <v>1690</v>
      </c>
      <c r="Q228" s="61" t="s">
        <v>1674</v>
      </c>
      <c r="R228" s="60">
        <v>101</v>
      </c>
      <c r="S228" s="61" t="s">
        <v>1675</v>
      </c>
      <c r="T228" s="60">
        <v>19382</v>
      </c>
      <c r="U228" s="60">
        <v>13545</v>
      </c>
      <c r="V228" s="60"/>
      <c r="W228" s="60"/>
      <c r="X228" s="60">
        <v>6262</v>
      </c>
      <c r="Y228" s="60">
        <v>5390</v>
      </c>
      <c r="Z228" s="60">
        <v>5988</v>
      </c>
      <c r="AA228" s="60">
        <v>4873</v>
      </c>
      <c r="AB228" s="60">
        <v>4138</v>
      </c>
      <c r="AC228" s="60">
        <v>2590</v>
      </c>
      <c r="AD228" s="60">
        <v>1182</v>
      </c>
      <c r="AE228" s="60">
        <v>512</v>
      </c>
      <c r="AF228" s="60">
        <v>401</v>
      </c>
      <c r="AG228" s="60">
        <v>1591</v>
      </c>
      <c r="AH228" s="60"/>
      <c r="AI228" s="60">
        <v>297</v>
      </c>
      <c r="AJ228" s="60">
        <v>8443</v>
      </c>
      <c r="AK228" s="60">
        <v>12832</v>
      </c>
      <c r="AL228" s="60">
        <v>30</v>
      </c>
      <c r="AM228" s="60">
        <v>271</v>
      </c>
      <c r="AN228" s="60">
        <v>289</v>
      </c>
      <c r="AO228" s="60">
        <v>10765</v>
      </c>
      <c r="AP228" s="60">
        <v>341</v>
      </c>
      <c r="AQ228" s="60">
        <v>3102</v>
      </c>
      <c r="AR228" s="60">
        <v>3</v>
      </c>
      <c r="AS228" s="60">
        <v>99</v>
      </c>
      <c r="AT228" s="60">
        <v>4</v>
      </c>
      <c r="AU228" s="60"/>
      <c r="AV228" s="60"/>
      <c r="AW228" s="60">
        <v>160</v>
      </c>
      <c r="AX228" s="60">
        <v>19</v>
      </c>
      <c r="AY228" s="60">
        <v>3</v>
      </c>
      <c r="AZ228" s="60">
        <v>2</v>
      </c>
      <c r="BA228" s="60">
        <v>29116</v>
      </c>
      <c r="BB228" s="60">
        <v>9</v>
      </c>
      <c r="BC228" s="60"/>
      <c r="BD228" s="60">
        <v>69</v>
      </c>
      <c r="BE228" s="60">
        <v>6426</v>
      </c>
      <c r="BF228" s="60">
        <v>2246</v>
      </c>
      <c r="BG228" s="60">
        <v>435</v>
      </c>
      <c r="BH228" s="60">
        <v>16988</v>
      </c>
      <c r="BI228" s="60">
        <v>6832</v>
      </c>
      <c r="BJ228" s="60">
        <v>1087</v>
      </c>
      <c r="BK228" s="60">
        <v>100</v>
      </c>
      <c r="BL228" s="60">
        <v>497</v>
      </c>
      <c r="BM228" s="60">
        <v>13</v>
      </c>
      <c r="BN228" s="60">
        <v>1782</v>
      </c>
      <c r="BO228" s="60">
        <v>350</v>
      </c>
      <c r="BP228" s="60">
        <v>2400</v>
      </c>
      <c r="BQ228" s="60">
        <v>966</v>
      </c>
      <c r="BR228" s="60">
        <v>6484</v>
      </c>
      <c r="BS228" s="60">
        <v>1857</v>
      </c>
      <c r="BT228" s="60">
        <v>60</v>
      </c>
      <c r="BU228" s="60">
        <v>2328</v>
      </c>
      <c r="BV228" s="60">
        <v>2202</v>
      </c>
      <c r="BW228" s="60">
        <v>82</v>
      </c>
      <c r="BX228" s="60">
        <v>657</v>
      </c>
      <c r="BY228" s="60">
        <v>4705</v>
      </c>
      <c r="BZ228" s="60">
        <v>1342</v>
      </c>
      <c r="CA228" s="60">
        <v>6014</v>
      </c>
      <c r="CB228" s="60"/>
      <c r="CC228" s="60">
        <v>1</v>
      </c>
      <c r="CD228" s="60">
        <v>1856</v>
      </c>
      <c r="CE228" s="60">
        <v>106</v>
      </c>
      <c r="CF228" s="60">
        <v>153</v>
      </c>
      <c r="CG228" s="60">
        <v>9</v>
      </c>
      <c r="CH228" s="60">
        <v>408</v>
      </c>
      <c r="CI228" s="60">
        <v>51</v>
      </c>
      <c r="CJ228" s="60">
        <v>26</v>
      </c>
      <c r="CK228" s="60">
        <v>306</v>
      </c>
      <c r="CL228" s="60">
        <v>26289</v>
      </c>
      <c r="CM228" s="60">
        <v>2551</v>
      </c>
      <c r="CN228" s="60">
        <v>139</v>
      </c>
      <c r="CO228" s="60">
        <v>759</v>
      </c>
      <c r="CP228" s="60">
        <v>90</v>
      </c>
      <c r="CQ228" s="60">
        <v>127</v>
      </c>
      <c r="CR228" s="60">
        <v>57</v>
      </c>
      <c r="CS228" s="60"/>
      <c r="CT228" s="60">
        <v>32927</v>
      </c>
      <c r="CU228" s="60">
        <v>71</v>
      </c>
      <c r="CV228" s="60">
        <v>31799</v>
      </c>
      <c r="CW228" s="60">
        <v>1057</v>
      </c>
      <c r="CX228" s="60">
        <v>1497</v>
      </c>
      <c r="CY228" s="60">
        <v>1108</v>
      </c>
      <c r="CZ228" s="60"/>
      <c r="DA228" s="60"/>
      <c r="DB228" s="60">
        <v>111</v>
      </c>
      <c r="DC228" s="60">
        <v>206</v>
      </c>
      <c r="DD228" s="60">
        <v>245</v>
      </c>
      <c r="DE228" s="60">
        <v>437</v>
      </c>
      <c r="DF228" s="60">
        <v>493</v>
      </c>
      <c r="DG228" s="60">
        <v>406</v>
      </c>
      <c r="DH228" s="60">
        <v>286</v>
      </c>
      <c r="DI228" s="60">
        <v>228</v>
      </c>
      <c r="DJ228" s="60">
        <v>90</v>
      </c>
      <c r="DK228" s="60">
        <v>103</v>
      </c>
      <c r="DL228" s="60"/>
      <c r="DM228" s="60">
        <v>51</v>
      </c>
      <c r="DN228" s="60">
        <v>592</v>
      </c>
      <c r="DO228" s="60">
        <v>765</v>
      </c>
      <c r="DP228" s="60">
        <v>29</v>
      </c>
      <c r="DQ228" s="60">
        <v>2</v>
      </c>
      <c r="DR228" s="60">
        <v>1164</v>
      </c>
      <c r="DS228" s="60">
        <v>2</v>
      </c>
      <c r="DT228" s="60">
        <v>72</v>
      </c>
      <c r="DU228" s="60">
        <v>101</v>
      </c>
      <c r="DV228" s="60">
        <v>59</v>
      </c>
      <c r="DW228" s="60">
        <v>73</v>
      </c>
      <c r="DX228" s="60">
        <v>22</v>
      </c>
      <c r="DY228" s="60">
        <v>11</v>
      </c>
      <c r="DZ228" s="60">
        <v>5</v>
      </c>
      <c r="EA228" s="60">
        <v>2097</v>
      </c>
      <c r="EB228" s="60">
        <v>147</v>
      </c>
      <c r="EC228" s="60">
        <v>18</v>
      </c>
      <c r="ED228" s="60">
        <v>0</v>
      </c>
      <c r="EE228" s="60">
        <v>0</v>
      </c>
      <c r="EF228" s="60">
        <v>0</v>
      </c>
      <c r="EG228" s="60">
        <v>0</v>
      </c>
      <c r="EH228" s="60">
        <v>0</v>
      </c>
      <c r="EI228" s="60">
        <v>1128</v>
      </c>
      <c r="EJ228" s="60">
        <v>842</v>
      </c>
      <c r="EK228" s="60">
        <v>94</v>
      </c>
      <c r="EL228" s="60">
        <v>318</v>
      </c>
      <c r="EM228" s="60">
        <v>223</v>
      </c>
      <c r="EN228" s="60">
        <v>83</v>
      </c>
      <c r="EO228" s="60">
        <v>45</v>
      </c>
      <c r="EP228" s="60">
        <v>456</v>
      </c>
      <c r="EQ228" s="60">
        <v>2</v>
      </c>
      <c r="ER228" s="60">
        <v>505</v>
      </c>
      <c r="ES228" s="60">
        <v>155</v>
      </c>
      <c r="ET228" s="60">
        <v>162</v>
      </c>
      <c r="EU228" s="60">
        <v>109</v>
      </c>
      <c r="EV228" s="60">
        <v>154</v>
      </c>
      <c r="EW228" s="60">
        <v>28</v>
      </c>
      <c r="EX228" s="60">
        <v>38</v>
      </c>
      <c r="EY228" s="60">
        <v>72</v>
      </c>
      <c r="EZ228" s="60">
        <v>2</v>
      </c>
      <c r="FA228" s="60">
        <v>16</v>
      </c>
      <c r="FB228" s="60">
        <v>457</v>
      </c>
      <c r="FC228" s="60">
        <v>66</v>
      </c>
      <c r="FD228" s="60">
        <v>239</v>
      </c>
      <c r="FE228" s="60">
        <v>1</v>
      </c>
      <c r="FF228" s="60">
        <v>15</v>
      </c>
      <c r="FG228" s="60"/>
      <c r="FH228" s="60">
        <v>70</v>
      </c>
      <c r="FI228" s="60">
        <v>24</v>
      </c>
      <c r="FJ228" s="60">
        <v>130</v>
      </c>
      <c r="FK228" s="60">
        <v>2</v>
      </c>
      <c r="FL228" s="60">
        <v>13</v>
      </c>
      <c r="FM228" s="60">
        <v>27</v>
      </c>
      <c r="FN228" s="60">
        <v>4</v>
      </c>
      <c r="FO228" s="60">
        <v>2276</v>
      </c>
      <c r="FP228" s="60">
        <v>14</v>
      </c>
      <c r="FQ228" s="60">
        <v>3</v>
      </c>
      <c r="FR228" s="60">
        <v>4</v>
      </c>
      <c r="FS228" s="60">
        <v>21</v>
      </c>
      <c r="FT228" s="60">
        <v>7</v>
      </c>
      <c r="FU228" s="60">
        <v>10</v>
      </c>
      <c r="FV228" s="60"/>
      <c r="FW228" s="60"/>
      <c r="FX228" s="60">
        <v>2605</v>
      </c>
      <c r="FY228" s="60">
        <v>6</v>
      </c>
      <c r="FZ228" s="60">
        <v>2473</v>
      </c>
      <c r="GA228" s="60">
        <v>126</v>
      </c>
      <c r="GB228" s="60">
        <v>2011</v>
      </c>
    </row>
    <row r="229" spans="1:184" x14ac:dyDescent="0.3">
      <c r="A229" s="60">
        <v>106361458</v>
      </c>
      <c r="B229" s="61" t="s">
        <v>882</v>
      </c>
      <c r="C229" s="61" t="s">
        <v>883</v>
      </c>
      <c r="D229" s="61" t="s">
        <v>884</v>
      </c>
      <c r="E229" s="61" t="s">
        <v>885</v>
      </c>
      <c r="F229" s="60">
        <v>92363</v>
      </c>
      <c r="G229" s="61"/>
      <c r="H229" s="61" t="s">
        <v>1669</v>
      </c>
      <c r="I229" s="60">
        <v>34</v>
      </c>
      <c r="J229" s="60">
        <v>18</v>
      </c>
      <c r="K229" s="61" t="s">
        <v>1992</v>
      </c>
      <c r="L229" s="61"/>
      <c r="M229" s="61" t="s">
        <v>1755</v>
      </c>
      <c r="N229" s="61" t="s">
        <v>1976</v>
      </c>
      <c r="O229" s="61" t="s">
        <v>1673</v>
      </c>
      <c r="P229" s="61" t="s">
        <v>1690</v>
      </c>
      <c r="Q229" s="61" t="s">
        <v>1674</v>
      </c>
      <c r="R229" s="60">
        <v>25</v>
      </c>
      <c r="S229" s="61" t="s">
        <v>1675</v>
      </c>
      <c r="T229" s="60">
        <v>3992</v>
      </c>
      <c r="U229" s="60">
        <v>3424</v>
      </c>
      <c r="V229" s="60"/>
      <c r="W229" s="60"/>
      <c r="X229" s="60">
        <v>730</v>
      </c>
      <c r="Y229" s="60">
        <v>749</v>
      </c>
      <c r="Z229" s="60">
        <v>1171</v>
      </c>
      <c r="AA229" s="60">
        <v>1051</v>
      </c>
      <c r="AB229" s="60">
        <v>1328</v>
      </c>
      <c r="AC229" s="60">
        <v>1160</v>
      </c>
      <c r="AD229" s="60">
        <v>643</v>
      </c>
      <c r="AE229" s="60">
        <v>301</v>
      </c>
      <c r="AF229" s="60">
        <v>190</v>
      </c>
      <c r="AG229" s="60">
        <v>93</v>
      </c>
      <c r="AH229" s="60"/>
      <c r="AI229" s="60">
        <v>22</v>
      </c>
      <c r="AJ229" s="60">
        <v>215</v>
      </c>
      <c r="AK229" s="60">
        <v>867</v>
      </c>
      <c r="AL229" s="60">
        <v>495</v>
      </c>
      <c r="AM229" s="60">
        <v>2</v>
      </c>
      <c r="AN229" s="60">
        <v>1</v>
      </c>
      <c r="AO229" s="60">
        <v>5814</v>
      </c>
      <c r="AP229" s="60">
        <v>246</v>
      </c>
      <c r="AQ229" s="60">
        <v>174</v>
      </c>
      <c r="AR229" s="60">
        <v>36</v>
      </c>
      <c r="AS229" s="60">
        <v>13</v>
      </c>
      <c r="AT229" s="60"/>
      <c r="AU229" s="60"/>
      <c r="AV229" s="60"/>
      <c r="AW229" s="60"/>
      <c r="AX229" s="60"/>
      <c r="AY229" s="60">
        <v>2</v>
      </c>
      <c r="AZ229" s="60"/>
      <c r="BA229" s="60">
        <v>6820</v>
      </c>
      <c r="BB229" s="60"/>
      <c r="BC229" s="60"/>
      <c r="BD229" s="60">
        <v>125</v>
      </c>
      <c r="BE229" s="60">
        <v>3059</v>
      </c>
      <c r="BF229" s="60">
        <v>1439</v>
      </c>
      <c r="BG229" s="60">
        <v>175</v>
      </c>
      <c r="BH229" s="60">
        <v>1442</v>
      </c>
      <c r="BI229" s="60">
        <v>1301</v>
      </c>
      <c r="BJ229" s="60">
        <v>29</v>
      </c>
      <c r="BK229" s="60">
        <v>17</v>
      </c>
      <c r="BL229" s="60">
        <v>181</v>
      </c>
      <c r="BM229" s="60">
        <v>3</v>
      </c>
      <c r="BN229" s="60">
        <v>449</v>
      </c>
      <c r="BO229" s="60">
        <v>139</v>
      </c>
      <c r="BP229" s="60">
        <v>240</v>
      </c>
      <c r="BQ229" s="60">
        <v>108</v>
      </c>
      <c r="BR229" s="60">
        <v>1392</v>
      </c>
      <c r="BS229" s="60">
        <v>1073</v>
      </c>
      <c r="BT229" s="60">
        <v>12</v>
      </c>
      <c r="BU229" s="60">
        <v>603</v>
      </c>
      <c r="BV229" s="60">
        <v>229</v>
      </c>
      <c r="BW229" s="60">
        <v>1</v>
      </c>
      <c r="BX229" s="60">
        <v>290</v>
      </c>
      <c r="BY229" s="60">
        <v>1177</v>
      </c>
      <c r="BZ229" s="60">
        <v>350</v>
      </c>
      <c r="CA229" s="60">
        <v>1123</v>
      </c>
      <c r="CB229" s="60"/>
      <c r="CC229" s="60"/>
      <c r="CD229" s="60">
        <v>443</v>
      </c>
      <c r="CE229" s="60">
        <v>12</v>
      </c>
      <c r="CF229" s="60">
        <v>68</v>
      </c>
      <c r="CG229" s="60">
        <v>8</v>
      </c>
      <c r="CH229" s="60">
        <v>89</v>
      </c>
      <c r="CI229" s="60">
        <v>53</v>
      </c>
      <c r="CJ229" s="60">
        <v>36</v>
      </c>
      <c r="CK229" s="60">
        <v>136</v>
      </c>
      <c r="CL229" s="60">
        <v>5775</v>
      </c>
      <c r="CM229" s="60">
        <v>547</v>
      </c>
      <c r="CN229" s="60">
        <v>30</v>
      </c>
      <c r="CO229" s="60">
        <v>188</v>
      </c>
      <c r="CP229" s="60">
        <v>7</v>
      </c>
      <c r="CQ229" s="60">
        <v>17</v>
      </c>
      <c r="CR229" s="60">
        <v>7</v>
      </c>
      <c r="CS229" s="60"/>
      <c r="CT229" s="60">
        <v>7416</v>
      </c>
      <c r="CU229" s="60">
        <v>17</v>
      </c>
      <c r="CV229" s="60">
        <v>7317</v>
      </c>
      <c r="CW229" s="60">
        <v>82</v>
      </c>
      <c r="CX229" s="60">
        <v>108</v>
      </c>
      <c r="CY229" s="60">
        <v>127</v>
      </c>
      <c r="CZ229" s="60"/>
      <c r="DA229" s="60"/>
      <c r="DB229" s="60">
        <v>4</v>
      </c>
      <c r="DC229" s="60">
        <v>13</v>
      </c>
      <c r="DD229" s="60">
        <v>11</v>
      </c>
      <c r="DE229" s="60">
        <v>40</v>
      </c>
      <c r="DF229" s="60">
        <v>47</v>
      </c>
      <c r="DG229" s="60">
        <v>49</v>
      </c>
      <c r="DH229" s="60">
        <v>40</v>
      </c>
      <c r="DI229" s="60">
        <v>26</v>
      </c>
      <c r="DJ229" s="60"/>
      <c r="DK229" s="60">
        <v>5</v>
      </c>
      <c r="DL229" s="60"/>
      <c r="DM229" s="60">
        <v>1</v>
      </c>
      <c r="DN229" s="60">
        <v>2</v>
      </c>
      <c r="DO229" s="60">
        <v>23</v>
      </c>
      <c r="DP229" s="60"/>
      <c r="DQ229" s="60"/>
      <c r="DR229" s="60">
        <v>177</v>
      </c>
      <c r="DS229" s="60">
        <v>32</v>
      </c>
      <c r="DT229" s="60">
        <v>11</v>
      </c>
      <c r="DU229" s="60">
        <v>5</v>
      </c>
      <c r="DV229" s="60">
        <v>4</v>
      </c>
      <c r="DW229" s="60">
        <v>1</v>
      </c>
      <c r="DX229" s="60"/>
      <c r="DY229" s="60"/>
      <c r="DZ229" s="60">
        <v>2</v>
      </c>
      <c r="EA229" s="60">
        <v>210</v>
      </c>
      <c r="EB229" s="60">
        <v>2</v>
      </c>
      <c r="EC229" s="60"/>
      <c r="ED229" s="60">
        <v>0</v>
      </c>
      <c r="EE229" s="60">
        <v>0</v>
      </c>
      <c r="EF229" s="60">
        <v>0</v>
      </c>
      <c r="EG229" s="60">
        <v>0</v>
      </c>
      <c r="EH229" s="60">
        <v>0</v>
      </c>
      <c r="EI229" s="60">
        <v>65</v>
      </c>
      <c r="EJ229" s="60">
        <v>105</v>
      </c>
      <c r="EK229" s="60">
        <v>10</v>
      </c>
      <c r="EL229" s="60">
        <v>39</v>
      </c>
      <c r="EM229" s="60">
        <v>16</v>
      </c>
      <c r="EN229" s="60"/>
      <c r="EO229" s="60">
        <v>8</v>
      </c>
      <c r="EP229" s="60">
        <v>23</v>
      </c>
      <c r="EQ229" s="60"/>
      <c r="ER229" s="60">
        <v>45</v>
      </c>
      <c r="ES229" s="60">
        <v>33</v>
      </c>
      <c r="ET229" s="60">
        <v>8</v>
      </c>
      <c r="EU229" s="60">
        <v>2</v>
      </c>
      <c r="EV229" s="60">
        <v>33</v>
      </c>
      <c r="EW229" s="60">
        <v>2</v>
      </c>
      <c r="EX229" s="60">
        <v>4</v>
      </c>
      <c r="EY229" s="60">
        <v>5</v>
      </c>
      <c r="EZ229" s="60"/>
      <c r="FA229" s="60">
        <v>10</v>
      </c>
      <c r="FB229" s="60">
        <v>45</v>
      </c>
      <c r="FC229" s="60">
        <v>4</v>
      </c>
      <c r="FD229" s="60">
        <v>13</v>
      </c>
      <c r="FE229" s="60"/>
      <c r="FF229" s="60"/>
      <c r="FG229" s="60"/>
      <c r="FH229" s="60">
        <v>22</v>
      </c>
      <c r="FI229" s="60">
        <v>2</v>
      </c>
      <c r="FJ229" s="60">
        <v>1</v>
      </c>
      <c r="FK229" s="60">
        <v>2</v>
      </c>
      <c r="FL229" s="60">
        <v>1</v>
      </c>
      <c r="FM229" s="60">
        <v>6</v>
      </c>
      <c r="FN229" s="60">
        <v>1</v>
      </c>
      <c r="FO229" s="60">
        <v>182</v>
      </c>
      <c r="FP229" s="60">
        <v>2</v>
      </c>
      <c r="FQ229" s="60"/>
      <c r="FR229" s="60">
        <v>14</v>
      </c>
      <c r="FS229" s="60">
        <v>1</v>
      </c>
      <c r="FT229" s="60"/>
      <c r="FU229" s="60">
        <v>1</v>
      </c>
      <c r="FV229" s="60"/>
      <c r="FW229" s="60"/>
      <c r="FX229" s="60">
        <v>235</v>
      </c>
      <c r="FY229" s="60"/>
      <c r="FZ229" s="60">
        <v>232</v>
      </c>
      <c r="GA229" s="60">
        <v>3</v>
      </c>
      <c r="GB229" s="60">
        <v>2011</v>
      </c>
    </row>
    <row r="230" spans="1:184" x14ac:dyDescent="0.3">
      <c r="A230" s="60">
        <v>106362041</v>
      </c>
      <c r="B230" s="61" t="s">
        <v>886</v>
      </c>
      <c r="C230" s="61" t="s">
        <v>887</v>
      </c>
      <c r="D230" s="61" t="s">
        <v>888</v>
      </c>
      <c r="E230" s="61" t="s">
        <v>889</v>
      </c>
      <c r="F230" s="60">
        <v>92252</v>
      </c>
      <c r="G230" s="61"/>
      <c r="H230" s="61" t="s">
        <v>1669</v>
      </c>
      <c r="I230" s="60">
        <v>65</v>
      </c>
      <c r="J230" s="60">
        <v>18</v>
      </c>
      <c r="K230" s="61" t="s">
        <v>1993</v>
      </c>
      <c r="L230" s="61"/>
      <c r="M230" s="61" t="s">
        <v>1755</v>
      </c>
      <c r="N230" s="61" t="s">
        <v>1976</v>
      </c>
      <c r="O230" s="61" t="s">
        <v>1673</v>
      </c>
      <c r="P230" s="61" t="s">
        <v>159</v>
      </c>
      <c r="Q230" s="61" t="s">
        <v>1674</v>
      </c>
      <c r="R230" s="60">
        <v>59</v>
      </c>
      <c r="S230" s="61" t="s">
        <v>1675</v>
      </c>
      <c r="T230" s="60">
        <v>11374</v>
      </c>
      <c r="U230" s="60">
        <v>8442</v>
      </c>
      <c r="V230" s="60"/>
      <c r="W230" s="60"/>
      <c r="X230" s="60">
        <v>2878</v>
      </c>
      <c r="Y230" s="60">
        <v>2559</v>
      </c>
      <c r="Z230" s="60">
        <v>4087</v>
      </c>
      <c r="AA230" s="60">
        <v>2791</v>
      </c>
      <c r="AB230" s="60">
        <v>2664</v>
      </c>
      <c r="AC230" s="60">
        <v>2301</v>
      </c>
      <c r="AD230" s="60">
        <v>909</v>
      </c>
      <c r="AE230" s="60">
        <v>432</v>
      </c>
      <c r="AF230" s="60">
        <v>440</v>
      </c>
      <c r="AG230" s="60">
        <v>755</v>
      </c>
      <c r="AH230" s="60"/>
      <c r="AI230" s="60">
        <v>361</v>
      </c>
      <c r="AJ230" s="60">
        <v>1331</v>
      </c>
      <c r="AK230" s="60">
        <v>2434</v>
      </c>
      <c r="AL230" s="60">
        <v>61</v>
      </c>
      <c r="AM230" s="60">
        <v>509</v>
      </c>
      <c r="AN230" s="60">
        <v>50</v>
      </c>
      <c r="AO230" s="60">
        <v>15070</v>
      </c>
      <c r="AP230" s="60">
        <v>481</v>
      </c>
      <c r="AQ230" s="60">
        <v>671</v>
      </c>
      <c r="AR230" s="60"/>
      <c r="AS230" s="60">
        <v>29</v>
      </c>
      <c r="AT230" s="60">
        <v>2</v>
      </c>
      <c r="AU230" s="60">
        <v>2</v>
      </c>
      <c r="AV230" s="60"/>
      <c r="AW230" s="60">
        <v>23</v>
      </c>
      <c r="AX230" s="60"/>
      <c r="AY230" s="60">
        <v>34</v>
      </c>
      <c r="AZ230" s="60"/>
      <c r="BA230" s="60">
        <v>18513</v>
      </c>
      <c r="BB230" s="60">
        <v>61</v>
      </c>
      <c r="BC230" s="60"/>
      <c r="BD230" s="60"/>
      <c r="BE230" s="60">
        <v>7756</v>
      </c>
      <c r="BF230" s="60">
        <v>1205</v>
      </c>
      <c r="BG230" s="60">
        <v>2780</v>
      </c>
      <c r="BH230" s="60">
        <v>4254</v>
      </c>
      <c r="BI230" s="60">
        <v>3821</v>
      </c>
      <c r="BJ230" s="60">
        <v>553</v>
      </c>
      <c r="BK230" s="60">
        <v>33</v>
      </c>
      <c r="BL230" s="60">
        <v>391</v>
      </c>
      <c r="BM230" s="60">
        <v>4</v>
      </c>
      <c r="BN230" s="60">
        <v>1065</v>
      </c>
      <c r="BO230" s="60">
        <v>226</v>
      </c>
      <c r="BP230" s="60">
        <v>1004</v>
      </c>
      <c r="BQ230" s="60">
        <v>566</v>
      </c>
      <c r="BR230" s="60">
        <v>4850</v>
      </c>
      <c r="BS230" s="60">
        <v>969</v>
      </c>
      <c r="BT230" s="60">
        <v>17</v>
      </c>
      <c r="BU230" s="60">
        <v>1519</v>
      </c>
      <c r="BV230" s="60">
        <v>860</v>
      </c>
      <c r="BW230" s="60">
        <v>42</v>
      </c>
      <c r="BX230" s="60">
        <v>410</v>
      </c>
      <c r="BY230" s="60">
        <v>2066</v>
      </c>
      <c r="BZ230" s="60">
        <v>845</v>
      </c>
      <c r="CA230" s="60">
        <v>4396</v>
      </c>
      <c r="CB230" s="60"/>
      <c r="CC230" s="60"/>
      <c r="CD230" s="60">
        <v>1322</v>
      </c>
      <c r="CE230" s="60">
        <v>70</v>
      </c>
      <c r="CF230" s="60">
        <v>118</v>
      </c>
      <c r="CG230" s="60">
        <v>16</v>
      </c>
      <c r="CH230" s="60">
        <v>194</v>
      </c>
      <c r="CI230" s="60">
        <v>15</v>
      </c>
      <c r="CJ230" s="60">
        <v>56</v>
      </c>
      <c r="CK230" s="60">
        <v>304</v>
      </c>
      <c r="CL230" s="60">
        <v>14831</v>
      </c>
      <c r="CM230" s="60">
        <v>2092</v>
      </c>
      <c r="CN230" s="60">
        <v>87</v>
      </c>
      <c r="CO230" s="60">
        <v>473</v>
      </c>
      <c r="CP230" s="60">
        <v>107</v>
      </c>
      <c r="CQ230" s="60">
        <v>100</v>
      </c>
      <c r="CR230" s="60">
        <v>31</v>
      </c>
      <c r="CS230" s="60"/>
      <c r="CT230" s="60">
        <v>19816</v>
      </c>
      <c r="CU230" s="60">
        <v>33</v>
      </c>
      <c r="CV230" s="60">
        <v>19556</v>
      </c>
      <c r="CW230" s="60">
        <v>227</v>
      </c>
      <c r="CX230" s="60">
        <v>1470</v>
      </c>
      <c r="CY230" s="60">
        <v>1109</v>
      </c>
      <c r="CZ230" s="60"/>
      <c r="DA230" s="60"/>
      <c r="DB230" s="60">
        <v>52</v>
      </c>
      <c r="DC230" s="60">
        <v>145</v>
      </c>
      <c r="DD230" s="60">
        <v>177</v>
      </c>
      <c r="DE230" s="60">
        <v>262</v>
      </c>
      <c r="DF230" s="60">
        <v>487</v>
      </c>
      <c r="DG230" s="60">
        <v>477</v>
      </c>
      <c r="DH230" s="60">
        <v>407</v>
      </c>
      <c r="DI230" s="60">
        <v>534</v>
      </c>
      <c r="DJ230" s="60">
        <v>6</v>
      </c>
      <c r="DK230" s="60">
        <v>32</v>
      </c>
      <c r="DL230" s="60"/>
      <c r="DM230" s="60">
        <v>52</v>
      </c>
      <c r="DN230" s="60">
        <v>161</v>
      </c>
      <c r="DO230" s="60">
        <v>193</v>
      </c>
      <c r="DP230" s="60">
        <v>52</v>
      </c>
      <c r="DQ230" s="60">
        <v>4</v>
      </c>
      <c r="DR230" s="60">
        <v>2113</v>
      </c>
      <c r="DS230" s="60">
        <v>4</v>
      </c>
      <c r="DT230" s="60">
        <v>101</v>
      </c>
      <c r="DU230" s="60">
        <v>70</v>
      </c>
      <c r="DV230" s="60">
        <v>58</v>
      </c>
      <c r="DW230" s="60">
        <v>46</v>
      </c>
      <c r="DX230" s="60">
        <v>7</v>
      </c>
      <c r="DY230" s="60">
        <v>11</v>
      </c>
      <c r="DZ230" s="60">
        <v>9</v>
      </c>
      <c r="EA230" s="60">
        <v>1776</v>
      </c>
      <c r="EB230" s="60">
        <v>498</v>
      </c>
      <c r="EC230" s="60">
        <v>3</v>
      </c>
      <c r="ED230" s="60">
        <v>0</v>
      </c>
      <c r="EE230" s="60">
        <v>0</v>
      </c>
      <c r="EF230" s="60">
        <v>0</v>
      </c>
      <c r="EG230" s="60">
        <v>0</v>
      </c>
      <c r="EH230" s="60">
        <v>0</v>
      </c>
      <c r="EI230" s="60">
        <v>563</v>
      </c>
      <c r="EJ230" s="60">
        <v>795</v>
      </c>
      <c r="EK230" s="60">
        <v>100</v>
      </c>
      <c r="EL230" s="60">
        <v>855</v>
      </c>
      <c r="EM230" s="60">
        <v>266</v>
      </c>
      <c r="EN230" s="60">
        <v>44</v>
      </c>
      <c r="EO230" s="60">
        <v>48</v>
      </c>
      <c r="EP230" s="60">
        <v>466</v>
      </c>
      <c r="EQ230" s="60">
        <v>1</v>
      </c>
      <c r="ER230" s="60">
        <v>492</v>
      </c>
      <c r="ES230" s="60">
        <v>106</v>
      </c>
      <c r="ET230" s="60">
        <v>125</v>
      </c>
      <c r="EU230" s="60">
        <v>119</v>
      </c>
      <c r="EV230" s="60">
        <v>192</v>
      </c>
      <c r="EW230" s="60">
        <v>56</v>
      </c>
      <c r="EX230" s="60">
        <v>33</v>
      </c>
      <c r="EY230" s="60">
        <v>42</v>
      </c>
      <c r="EZ230" s="60">
        <v>15</v>
      </c>
      <c r="FA230" s="60">
        <v>32</v>
      </c>
      <c r="FB230" s="60">
        <v>389</v>
      </c>
      <c r="FC230" s="60">
        <v>83</v>
      </c>
      <c r="FD230" s="60">
        <v>331</v>
      </c>
      <c r="FE230" s="60"/>
      <c r="FF230" s="60">
        <v>5</v>
      </c>
      <c r="FG230" s="60"/>
      <c r="FH230" s="60">
        <v>153</v>
      </c>
      <c r="FI230" s="60">
        <v>26</v>
      </c>
      <c r="FJ230" s="60">
        <v>96</v>
      </c>
      <c r="FK230" s="60">
        <v>3</v>
      </c>
      <c r="FL230" s="60">
        <v>2</v>
      </c>
      <c r="FM230" s="60">
        <v>67</v>
      </c>
      <c r="FN230" s="60">
        <v>14</v>
      </c>
      <c r="FO230" s="60">
        <v>2150</v>
      </c>
      <c r="FP230" s="60">
        <v>27</v>
      </c>
      <c r="FQ230" s="60">
        <v>2</v>
      </c>
      <c r="FR230" s="60">
        <v>18</v>
      </c>
      <c r="FS230" s="60">
        <v>13</v>
      </c>
      <c r="FT230" s="60">
        <v>3</v>
      </c>
      <c r="FU230" s="60">
        <v>5</v>
      </c>
      <c r="FV230" s="60"/>
      <c r="FW230" s="60"/>
      <c r="FX230" s="60">
        <v>2579</v>
      </c>
      <c r="FY230" s="60">
        <v>8</v>
      </c>
      <c r="FZ230" s="60">
        <v>2553</v>
      </c>
      <c r="GA230" s="60">
        <v>18</v>
      </c>
      <c r="GB230" s="60">
        <v>2011</v>
      </c>
    </row>
    <row r="231" spans="1:184" x14ac:dyDescent="0.3">
      <c r="A231" s="60">
        <v>106364144</v>
      </c>
      <c r="B231" s="61" t="s">
        <v>890</v>
      </c>
      <c r="C231" s="61" t="s">
        <v>891</v>
      </c>
      <c r="D231" s="61" t="s">
        <v>892</v>
      </c>
      <c r="E231" s="61" t="s">
        <v>881</v>
      </c>
      <c r="F231" s="60">
        <v>92392</v>
      </c>
      <c r="G231" s="61"/>
      <c r="H231" s="61" t="s">
        <v>1669</v>
      </c>
      <c r="I231" s="60">
        <v>36</v>
      </c>
      <c r="J231" s="60">
        <v>17</v>
      </c>
      <c r="K231" s="61" t="s">
        <v>1991</v>
      </c>
      <c r="L231" s="61"/>
      <c r="M231" s="61" t="s">
        <v>1755</v>
      </c>
      <c r="N231" s="61" t="s">
        <v>1976</v>
      </c>
      <c r="O231" s="61" t="s">
        <v>1673</v>
      </c>
      <c r="P231" s="61" t="s">
        <v>221</v>
      </c>
      <c r="Q231" s="61" t="s">
        <v>1674</v>
      </c>
      <c r="R231" s="60">
        <v>83</v>
      </c>
      <c r="S231" s="61" t="s">
        <v>1675</v>
      </c>
      <c r="T231" s="60">
        <v>15277</v>
      </c>
      <c r="U231" s="60">
        <v>11885</v>
      </c>
      <c r="V231" s="60"/>
      <c r="W231" s="60"/>
      <c r="X231" s="60">
        <v>4297</v>
      </c>
      <c r="Y231" s="60">
        <v>3705</v>
      </c>
      <c r="Z231" s="60">
        <v>5020</v>
      </c>
      <c r="AA231" s="60">
        <v>3975</v>
      </c>
      <c r="AB231" s="60">
        <v>3396</v>
      </c>
      <c r="AC231" s="60">
        <v>2621</v>
      </c>
      <c r="AD231" s="60">
        <v>1409</v>
      </c>
      <c r="AE231" s="60">
        <v>947</v>
      </c>
      <c r="AF231" s="60">
        <v>824</v>
      </c>
      <c r="AG231" s="60">
        <v>968</v>
      </c>
      <c r="AH231" s="60"/>
      <c r="AI231" s="60">
        <v>333</v>
      </c>
      <c r="AJ231" s="60">
        <v>5402</v>
      </c>
      <c r="AK231" s="60">
        <v>309</v>
      </c>
      <c r="AL231" s="60">
        <v>54</v>
      </c>
      <c r="AM231" s="60">
        <v>10028</v>
      </c>
      <c r="AN231" s="60">
        <v>311</v>
      </c>
      <c r="AO231" s="60">
        <v>10725</v>
      </c>
      <c r="AP231" s="60">
        <v>1010</v>
      </c>
      <c r="AQ231" s="60">
        <v>3790</v>
      </c>
      <c r="AR231" s="60"/>
      <c r="AS231" s="60">
        <v>145</v>
      </c>
      <c r="AT231" s="60"/>
      <c r="AU231" s="60"/>
      <c r="AV231" s="60"/>
      <c r="AW231" s="60">
        <v>159</v>
      </c>
      <c r="AX231" s="60"/>
      <c r="AY231" s="60"/>
      <c r="AZ231" s="60"/>
      <c r="BA231" s="60">
        <v>22054</v>
      </c>
      <c r="BB231" s="60">
        <v>4</v>
      </c>
      <c r="BC231" s="60"/>
      <c r="BD231" s="60"/>
      <c r="BE231" s="60">
        <v>2965</v>
      </c>
      <c r="BF231" s="60">
        <v>3535</v>
      </c>
      <c r="BG231" s="60">
        <v>1105</v>
      </c>
      <c r="BH231" s="60">
        <v>13133</v>
      </c>
      <c r="BI231" s="60">
        <v>6424</v>
      </c>
      <c r="BJ231" s="60">
        <v>918</v>
      </c>
      <c r="BK231" s="60">
        <v>81</v>
      </c>
      <c r="BL231" s="60">
        <v>714</v>
      </c>
      <c r="BM231" s="60">
        <v>11</v>
      </c>
      <c r="BN231" s="60">
        <v>1751</v>
      </c>
      <c r="BO231" s="60">
        <v>314</v>
      </c>
      <c r="BP231" s="60">
        <v>1544</v>
      </c>
      <c r="BQ231" s="60">
        <v>332</v>
      </c>
      <c r="BR231" s="60">
        <v>7091</v>
      </c>
      <c r="BS231" s="60">
        <v>1879</v>
      </c>
      <c r="BT231" s="60">
        <v>78</v>
      </c>
      <c r="BU231" s="60">
        <v>2021</v>
      </c>
      <c r="BV231" s="60">
        <v>303</v>
      </c>
      <c r="BW231" s="60">
        <v>11</v>
      </c>
      <c r="BX231" s="60">
        <v>1040</v>
      </c>
      <c r="BY231" s="60">
        <v>3207</v>
      </c>
      <c r="BZ231" s="60">
        <v>1118</v>
      </c>
      <c r="CA231" s="60">
        <v>4749</v>
      </c>
      <c r="CB231" s="60"/>
      <c r="CC231" s="60"/>
      <c r="CD231" s="60">
        <v>2075</v>
      </c>
      <c r="CE231" s="60">
        <v>110</v>
      </c>
      <c r="CF231" s="60">
        <v>225</v>
      </c>
      <c r="CG231" s="60">
        <v>20</v>
      </c>
      <c r="CH231" s="60">
        <v>410</v>
      </c>
      <c r="CI231" s="60">
        <v>54</v>
      </c>
      <c r="CJ231" s="60">
        <v>5</v>
      </c>
      <c r="CK231" s="60">
        <v>394</v>
      </c>
      <c r="CL231" s="60">
        <v>19206</v>
      </c>
      <c r="CM231" s="60">
        <v>2958</v>
      </c>
      <c r="CN231" s="60">
        <v>119</v>
      </c>
      <c r="CO231" s="60">
        <v>1180</v>
      </c>
      <c r="CP231" s="60">
        <v>162</v>
      </c>
      <c r="CQ231" s="60">
        <v>222</v>
      </c>
      <c r="CR231" s="60">
        <v>21</v>
      </c>
      <c r="CS231" s="60">
        <v>1</v>
      </c>
      <c r="CT231" s="60">
        <v>27162</v>
      </c>
      <c r="CU231" s="60">
        <v>1</v>
      </c>
      <c r="CV231" s="60">
        <v>27032</v>
      </c>
      <c r="CW231" s="60">
        <v>129</v>
      </c>
      <c r="CX231" s="60">
        <v>3357</v>
      </c>
      <c r="CY231" s="60">
        <v>2505</v>
      </c>
      <c r="CZ231" s="60"/>
      <c r="DA231" s="60"/>
      <c r="DB231" s="60">
        <v>89</v>
      </c>
      <c r="DC231" s="60">
        <v>339</v>
      </c>
      <c r="DD231" s="60">
        <v>402</v>
      </c>
      <c r="DE231" s="60">
        <v>747</v>
      </c>
      <c r="DF231" s="60">
        <v>993</v>
      </c>
      <c r="DG231" s="60">
        <v>950</v>
      </c>
      <c r="DH231" s="60">
        <v>1093</v>
      </c>
      <c r="DI231" s="60">
        <v>1248</v>
      </c>
      <c r="DJ231" s="60"/>
      <c r="DK231" s="60">
        <v>1</v>
      </c>
      <c r="DL231" s="60"/>
      <c r="DM231" s="60">
        <v>93</v>
      </c>
      <c r="DN231" s="60">
        <v>922</v>
      </c>
      <c r="DO231" s="60">
        <v>533</v>
      </c>
      <c r="DP231" s="60">
        <v>1207</v>
      </c>
      <c r="DQ231" s="60">
        <v>77</v>
      </c>
      <c r="DR231" s="60">
        <v>3024</v>
      </c>
      <c r="DS231" s="60">
        <v>6</v>
      </c>
      <c r="DT231" s="60">
        <v>243</v>
      </c>
      <c r="DU231" s="60">
        <v>208</v>
      </c>
      <c r="DV231" s="60">
        <v>120</v>
      </c>
      <c r="DW231" s="60">
        <v>472</v>
      </c>
      <c r="DX231" s="60">
        <v>31</v>
      </c>
      <c r="DY231" s="60">
        <v>22</v>
      </c>
      <c r="DZ231" s="60"/>
      <c r="EA231" s="60">
        <v>4400</v>
      </c>
      <c r="EB231" s="60">
        <v>337</v>
      </c>
      <c r="EC231" s="60">
        <v>29</v>
      </c>
      <c r="ED231" s="60">
        <v>0</v>
      </c>
      <c r="EE231" s="60">
        <v>0</v>
      </c>
      <c r="EF231" s="60">
        <v>0</v>
      </c>
      <c r="EG231" s="60">
        <v>0</v>
      </c>
      <c r="EH231" s="60">
        <v>0</v>
      </c>
      <c r="EI231" s="60">
        <v>1320</v>
      </c>
      <c r="EJ231" s="60">
        <v>3416</v>
      </c>
      <c r="EK231" s="60">
        <v>208</v>
      </c>
      <c r="EL231" s="60">
        <v>542</v>
      </c>
      <c r="EM231" s="60">
        <v>376</v>
      </c>
      <c r="EN231" s="60">
        <v>109</v>
      </c>
      <c r="EO231" s="60">
        <v>81</v>
      </c>
      <c r="EP231" s="60">
        <v>1137</v>
      </c>
      <c r="EQ231" s="60"/>
      <c r="ER231" s="60">
        <v>953</v>
      </c>
      <c r="ES231" s="60">
        <v>236</v>
      </c>
      <c r="ET231" s="60">
        <v>456</v>
      </c>
      <c r="EU231" s="60">
        <v>573</v>
      </c>
      <c r="EV231" s="60">
        <v>332</v>
      </c>
      <c r="EW231" s="60">
        <v>176</v>
      </c>
      <c r="EX231" s="60">
        <v>119</v>
      </c>
      <c r="EY231" s="60">
        <v>211</v>
      </c>
      <c r="EZ231" s="60">
        <v>2</v>
      </c>
      <c r="FA231" s="60">
        <v>32</v>
      </c>
      <c r="FB231" s="60">
        <v>787</v>
      </c>
      <c r="FC231" s="60">
        <v>158</v>
      </c>
      <c r="FD231" s="60">
        <v>500</v>
      </c>
      <c r="FE231" s="60"/>
      <c r="FF231" s="60"/>
      <c r="FG231" s="60"/>
      <c r="FH231" s="60">
        <v>307</v>
      </c>
      <c r="FI231" s="60">
        <v>27</v>
      </c>
      <c r="FJ231" s="60">
        <v>290</v>
      </c>
      <c r="FK231" s="60">
        <v>3</v>
      </c>
      <c r="FL231" s="60">
        <v>15</v>
      </c>
      <c r="FM231" s="60">
        <v>117</v>
      </c>
      <c r="FN231" s="60">
        <v>16</v>
      </c>
      <c r="FO231" s="60">
        <v>4953</v>
      </c>
      <c r="FP231" s="60">
        <v>56</v>
      </c>
      <c r="FQ231" s="60">
        <v>1</v>
      </c>
      <c r="FR231" s="60">
        <v>17</v>
      </c>
      <c r="FS231" s="60">
        <v>30</v>
      </c>
      <c r="FT231" s="60">
        <v>9</v>
      </c>
      <c r="FU231" s="60">
        <v>21</v>
      </c>
      <c r="FV231" s="60"/>
      <c r="FW231" s="60"/>
      <c r="FX231" s="60">
        <v>5862</v>
      </c>
      <c r="FY231" s="60">
        <v>1</v>
      </c>
      <c r="FZ231" s="60">
        <v>5527</v>
      </c>
      <c r="GA231" s="60">
        <v>334</v>
      </c>
      <c r="GB231" s="60">
        <v>2011</v>
      </c>
    </row>
    <row r="232" spans="1:184" x14ac:dyDescent="0.3">
      <c r="A232" s="60">
        <v>106364231</v>
      </c>
      <c r="B232" s="61" t="s">
        <v>893</v>
      </c>
      <c r="C232" s="61" t="s">
        <v>894</v>
      </c>
      <c r="D232" s="61" t="s">
        <v>895</v>
      </c>
      <c r="E232" s="61" t="s">
        <v>896</v>
      </c>
      <c r="F232" s="60">
        <v>92324</v>
      </c>
      <c r="G232" s="61" t="s">
        <v>143</v>
      </c>
      <c r="H232" s="61" t="s">
        <v>1689</v>
      </c>
      <c r="I232" s="60">
        <v>62</v>
      </c>
      <c r="J232" s="60">
        <v>32</v>
      </c>
      <c r="K232" s="61" t="s">
        <v>1981</v>
      </c>
      <c r="L232" s="61"/>
      <c r="M232" s="61" t="s">
        <v>1755</v>
      </c>
      <c r="N232" s="61" t="s">
        <v>1976</v>
      </c>
      <c r="O232" s="61" t="s">
        <v>1673</v>
      </c>
      <c r="P232" s="61" t="s">
        <v>1690</v>
      </c>
      <c r="Q232" s="61" t="s">
        <v>1674</v>
      </c>
      <c r="R232" s="60">
        <v>366</v>
      </c>
      <c r="S232" s="61" t="s">
        <v>1675</v>
      </c>
      <c r="T232" s="60">
        <v>52241</v>
      </c>
      <c r="U232" s="60">
        <v>50006</v>
      </c>
      <c r="V232" s="60">
        <v>2</v>
      </c>
      <c r="W232" s="60"/>
      <c r="X232" s="60">
        <v>8071</v>
      </c>
      <c r="Y232" s="60">
        <v>9396</v>
      </c>
      <c r="Z232" s="60">
        <v>22278</v>
      </c>
      <c r="AA232" s="60">
        <v>16691</v>
      </c>
      <c r="AB232" s="60">
        <v>18596</v>
      </c>
      <c r="AC232" s="60">
        <v>17268</v>
      </c>
      <c r="AD232" s="60">
        <v>6068</v>
      </c>
      <c r="AE232" s="60">
        <v>1267</v>
      </c>
      <c r="AF232" s="60">
        <v>604</v>
      </c>
      <c r="AG232" s="60">
        <v>2010</v>
      </c>
      <c r="AH232" s="60"/>
      <c r="AI232" s="60">
        <v>1617</v>
      </c>
      <c r="AJ232" s="60">
        <v>17117</v>
      </c>
      <c r="AK232" s="60">
        <v>53866</v>
      </c>
      <c r="AL232" s="60">
        <v>131</v>
      </c>
      <c r="AM232" s="60">
        <v>1426</v>
      </c>
      <c r="AN232" s="60">
        <v>1086</v>
      </c>
      <c r="AO232" s="60">
        <v>27006</v>
      </c>
      <c r="AP232" s="60">
        <v>307</v>
      </c>
      <c r="AQ232" s="60">
        <v>3642</v>
      </c>
      <c r="AR232" s="60"/>
      <c r="AS232" s="60">
        <v>110</v>
      </c>
      <c r="AT232" s="60">
        <v>357</v>
      </c>
      <c r="AU232" s="60">
        <v>4</v>
      </c>
      <c r="AV232" s="60">
        <v>14</v>
      </c>
      <c r="AW232" s="60"/>
      <c r="AX232" s="60"/>
      <c r="AY232" s="60">
        <v>1390</v>
      </c>
      <c r="AZ232" s="60">
        <v>513</v>
      </c>
      <c r="BA232" s="60">
        <v>95912</v>
      </c>
      <c r="BB232" s="60"/>
      <c r="BC232" s="60"/>
      <c r="BD232" s="60"/>
      <c r="BE232" s="60">
        <v>30807</v>
      </c>
      <c r="BF232" s="60">
        <v>3511</v>
      </c>
      <c r="BG232" s="60">
        <v>22714</v>
      </c>
      <c r="BH232" s="60">
        <v>4439</v>
      </c>
      <c r="BI232" s="60">
        <v>40778</v>
      </c>
      <c r="BJ232" s="60">
        <v>5307</v>
      </c>
      <c r="BK232" s="60">
        <v>331</v>
      </c>
      <c r="BL232" s="60">
        <v>4753</v>
      </c>
      <c r="BM232" s="60">
        <v>67</v>
      </c>
      <c r="BN232" s="60">
        <v>6649</v>
      </c>
      <c r="BO232" s="60">
        <v>3425</v>
      </c>
      <c r="BP232" s="60">
        <v>6168</v>
      </c>
      <c r="BQ232" s="60">
        <v>1741</v>
      </c>
      <c r="BR232" s="60">
        <v>17148</v>
      </c>
      <c r="BS232" s="60">
        <v>7964</v>
      </c>
      <c r="BT232" s="60">
        <v>398</v>
      </c>
      <c r="BU232" s="60">
        <v>5871</v>
      </c>
      <c r="BV232" s="60">
        <v>5270</v>
      </c>
      <c r="BW232" s="60">
        <v>61</v>
      </c>
      <c r="BX232" s="60">
        <v>6557</v>
      </c>
      <c r="BY232" s="60">
        <v>9838</v>
      </c>
      <c r="BZ232" s="60">
        <v>5301</v>
      </c>
      <c r="CA232" s="60">
        <v>15394</v>
      </c>
      <c r="CB232" s="60">
        <v>6</v>
      </c>
      <c r="CC232" s="60"/>
      <c r="CD232" s="60">
        <v>4588</v>
      </c>
      <c r="CE232" s="60">
        <v>155</v>
      </c>
      <c r="CF232" s="60">
        <v>350</v>
      </c>
      <c r="CG232" s="60">
        <v>84</v>
      </c>
      <c r="CH232" s="60">
        <v>1899</v>
      </c>
      <c r="CI232" s="60">
        <v>646</v>
      </c>
      <c r="CJ232" s="60">
        <v>350</v>
      </c>
      <c r="CK232" s="60">
        <v>686</v>
      </c>
      <c r="CL232" s="60">
        <v>84472</v>
      </c>
      <c r="CM232" s="60">
        <v>5774</v>
      </c>
      <c r="CN232" s="60">
        <v>331</v>
      </c>
      <c r="CO232" s="60">
        <v>2427</v>
      </c>
      <c r="CP232" s="60">
        <v>141</v>
      </c>
      <c r="CQ232" s="60">
        <v>248</v>
      </c>
      <c r="CR232" s="60">
        <v>98</v>
      </c>
      <c r="CS232" s="60"/>
      <c r="CT232" s="60">
        <v>102249</v>
      </c>
      <c r="CU232" s="60">
        <v>877</v>
      </c>
      <c r="CV232" s="60">
        <v>85822</v>
      </c>
      <c r="CW232" s="60">
        <v>15550</v>
      </c>
      <c r="CX232" s="60">
        <v>10090</v>
      </c>
      <c r="CY232" s="60">
        <v>10693</v>
      </c>
      <c r="CZ232" s="60"/>
      <c r="DA232" s="60"/>
      <c r="DB232" s="60">
        <v>959</v>
      </c>
      <c r="DC232" s="60">
        <v>3469</v>
      </c>
      <c r="DD232" s="60">
        <v>2926</v>
      </c>
      <c r="DE232" s="60">
        <v>3900</v>
      </c>
      <c r="DF232" s="60">
        <v>4519</v>
      </c>
      <c r="DG232" s="60">
        <v>2329</v>
      </c>
      <c r="DH232" s="60">
        <v>1018</v>
      </c>
      <c r="DI232" s="60">
        <v>822</v>
      </c>
      <c r="DJ232" s="60">
        <v>301</v>
      </c>
      <c r="DK232" s="60">
        <v>540</v>
      </c>
      <c r="DL232" s="60"/>
      <c r="DM232" s="60">
        <v>508</v>
      </c>
      <c r="DN232" s="60">
        <v>3226</v>
      </c>
      <c r="DO232" s="60">
        <v>9948</v>
      </c>
      <c r="DP232" s="60">
        <v>316</v>
      </c>
      <c r="DQ232" s="60">
        <v>198</v>
      </c>
      <c r="DR232" s="60">
        <v>6550</v>
      </c>
      <c r="DS232" s="60">
        <v>37</v>
      </c>
      <c r="DT232" s="60">
        <v>225</v>
      </c>
      <c r="DU232" s="60">
        <v>472</v>
      </c>
      <c r="DV232" s="60">
        <v>365</v>
      </c>
      <c r="DW232" s="60">
        <v>189</v>
      </c>
      <c r="DX232" s="60">
        <v>335</v>
      </c>
      <c r="DY232" s="60">
        <v>227</v>
      </c>
      <c r="DZ232" s="60">
        <v>401</v>
      </c>
      <c r="EA232" s="60">
        <v>17411</v>
      </c>
      <c r="EB232" s="60">
        <v>615</v>
      </c>
      <c r="EC232" s="60">
        <v>543</v>
      </c>
      <c r="ED232" s="60">
        <v>0</v>
      </c>
      <c r="EE232" s="60">
        <v>0</v>
      </c>
      <c r="EF232" s="60">
        <v>0</v>
      </c>
      <c r="EG232" s="60">
        <v>0</v>
      </c>
      <c r="EH232" s="60">
        <v>0</v>
      </c>
      <c r="EI232" s="60">
        <v>8106</v>
      </c>
      <c r="EJ232" s="60">
        <v>2725</v>
      </c>
      <c r="EK232" s="60">
        <v>628</v>
      </c>
      <c r="EL232" s="60">
        <v>1707</v>
      </c>
      <c r="EM232" s="60">
        <v>7617</v>
      </c>
      <c r="EN232" s="60">
        <v>1538</v>
      </c>
      <c r="EO232" s="60">
        <v>253</v>
      </c>
      <c r="EP232" s="60">
        <v>2142</v>
      </c>
      <c r="EQ232" s="60">
        <v>23</v>
      </c>
      <c r="ER232" s="60">
        <v>2016</v>
      </c>
      <c r="ES232" s="60">
        <v>865</v>
      </c>
      <c r="ET232" s="60">
        <v>821</v>
      </c>
      <c r="EU232" s="60">
        <v>745</v>
      </c>
      <c r="EV232" s="60">
        <v>2633</v>
      </c>
      <c r="EW232" s="60">
        <v>370</v>
      </c>
      <c r="EX232" s="60">
        <v>595</v>
      </c>
      <c r="EY232" s="60">
        <v>342</v>
      </c>
      <c r="EZ232" s="60">
        <v>62</v>
      </c>
      <c r="FA232" s="60">
        <v>4591</v>
      </c>
      <c r="FB232" s="60">
        <v>1159</v>
      </c>
      <c r="FC232" s="60">
        <v>457</v>
      </c>
      <c r="FD232" s="60">
        <v>2110</v>
      </c>
      <c r="FE232" s="60">
        <v>8</v>
      </c>
      <c r="FF232" s="60">
        <v>53</v>
      </c>
      <c r="FG232" s="60"/>
      <c r="FH232" s="60">
        <v>617</v>
      </c>
      <c r="FI232" s="60">
        <v>58</v>
      </c>
      <c r="FJ232" s="60">
        <v>372</v>
      </c>
      <c r="FK232" s="60">
        <v>382</v>
      </c>
      <c r="FL232" s="60">
        <v>50</v>
      </c>
      <c r="FM232" s="60">
        <v>444</v>
      </c>
      <c r="FN232" s="60">
        <v>33</v>
      </c>
      <c r="FO232" s="60">
        <v>17085</v>
      </c>
      <c r="FP232" s="60">
        <v>488</v>
      </c>
      <c r="FQ232" s="60">
        <v>55</v>
      </c>
      <c r="FR232" s="60">
        <v>786</v>
      </c>
      <c r="FS232" s="60">
        <v>273</v>
      </c>
      <c r="FT232" s="60">
        <v>24</v>
      </c>
      <c r="FU232" s="60">
        <v>34</v>
      </c>
      <c r="FV232" s="60">
        <v>79</v>
      </c>
      <c r="FW232" s="60">
        <v>3</v>
      </c>
      <c r="FX232" s="60">
        <v>20783</v>
      </c>
      <c r="FY232" s="60">
        <v>350</v>
      </c>
      <c r="FZ232" s="60">
        <v>16564</v>
      </c>
      <c r="GA232" s="60">
        <v>3869</v>
      </c>
      <c r="GB232" s="60">
        <v>2011</v>
      </c>
    </row>
    <row r="233" spans="1:184" x14ac:dyDescent="0.3">
      <c r="A233" s="60">
        <v>106370652</v>
      </c>
      <c r="B233" s="61" t="s">
        <v>899</v>
      </c>
      <c r="C233" s="61" t="s">
        <v>900</v>
      </c>
      <c r="D233" s="61" t="s">
        <v>902</v>
      </c>
      <c r="E233" s="61" t="s">
        <v>901</v>
      </c>
      <c r="F233" s="60">
        <v>92120</v>
      </c>
      <c r="G233" s="61"/>
      <c r="H233" s="61" t="s">
        <v>1669</v>
      </c>
      <c r="I233" s="60">
        <v>78</v>
      </c>
      <c r="J233" s="60">
        <v>39</v>
      </c>
      <c r="K233" s="61" t="s">
        <v>1994</v>
      </c>
      <c r="L233" s="61"/>
      <c r="M233" s="61" t="s">
        <v>1750</v>
      </c>
      <c r="N233" s="61" t="s">
        <v>1995</v>
      </c>
      <c r="O233" s="61" t="s">
        <v>1673</v>
      </c>
      <c r="P233" s="61" t="s">
        <v>221</v>
      </c>
      <c r="Q233" s="61" t="s">
        <v>1674</v>
      </c>
      <c r="R233" s="60">
        <v>226</v>
      </c>
      <c r="S233" s="61" t="s">
        <v>1675</v>
      </c>
      <c r="T233" s="60">
        <v>10371</v>
      </c>
      <c r="U233" s="60">
        <v>8402</v>
      </c>
      <c r="V233" s="60"/>
      <c r="W233" s="60"/>
      <c r="X233" s="60">
        <v>668</v>
      </c>
      <c r="Y233" s="60">
        <v>1624</v>
      </c>
      <c r="Z233" s="60">
        <v>4329</v>
      </c>
      <c r="AA233" s="60">
        <v>3306</v>
      </c>
      <c r="AB233" s="60">
        <v>3218</v>
      </c>
      <c r="AC233" s="60">
        <v>2726</v>
      </c>
      <c r="AD233" s="60">
        <v>1259</v>
      </c>
      <c r="AE233" s="60">
        <v>733</v>
      </c>
      <c r="AF233" s="60">
        <v>821</v>
      </c>
      <c r="AG233" s="60">
        <v>89</v>
      </c>
      <c r="AH233" s="60"/>
      <c r="AI233" s="60">
        <v>835</v>
      </c>
      <c r="AJ233" s="60">
        <v>3553</v>
      </c>
      <c r="AK233" s="60">
        <v>3499</v>
      </c>
      <c r="AL233" s="60">
        <v>19</v>
      </c>
      <c r="AM233" s="60"/>
      <c r="AN233" s="60"/>
      <c r="AO233" s="60">
        <v>10867</v>
      </c>
      <c r="AP233" s="60">
        <v>241</v>
      </c>
      <c r="AQ233" s="60"/>
      <c r="AR233" s="60"/>
      <c r="AS233" s="60"/>
      <c r="AT233" s="60">
        <v>334</v>
      </c>
      <c r="AU233" s="60">
        <v>6</v>
      </c>
      <c r="AV233" s="60"/>
      <c r="AW233" s="60">
        <v>72</v>
      </c>
      <c r="AX233" s="60"/>
      <c r="AY233" s="60"/>
      <c r="AZ233" s="60">
        <v>20</v>
      </c>
      <c r="BA233" s="60">
        <v>18086</v>
      </c>
      <c r="BB233" s="60">
        <v>14</v>
      </c>
      <c r="BC233" s="60"/>
      <c r="BD233" s="60"/>
      <c r="BE233" s="60">
        <v>5429</v>
      </c>
      <c r="BF233" s="60">
        <v>4166</v>
      </c>
      <c r="BG233" s="60">
        <v>1667</v>
      </c>
      <c r="BH233" s="60">
        <v>2149</v>
      </c>
      <c r="BI233" s="60">
        <v>5362</v>
      </c>
      <c r="BJ233" s="60">
        <v>307</v>
      </c>
      <c r="BK233" s="60">
        <v>33</v>
      </c>
      <c r="BL233" s="60">
        <v>348</v>
      </c>
      <c r="BM233" s="60">
        <v>4</v>
      </c>
      <c r="BN233" s="60">
        <v>859</v>
      </c>
      <c r="BO233" s="60">
        <v>243</v>
      </c>
      <c r="BP233" s="60">
        <v>1012</v>
      </c>
      <c r="BQ233" s="60">
        <v>331</v>
      </c>
      <c r="BR233" s="60">
        <v>4163</v>
      </c>
      <c r="BS233" s="60">
        <v>1702</v>
      </c>
      <c r="BT233" s="60">
        <v>25</v>
      </c>
      <c r="BU233" s="60">
        <v>1374</v>
      </c>
      <c r="BV233" s="60">
        <v>881</v>
      </c>
      <c r="BW233" s="60">
        <v>9</v>
      </c>
      <c r="BX233" s="60">
        <v>1355</v>
      </c>
      <c r="BY233" s="60">
        <v>1481</v>
      </c>
      <c r="BZ233" s="60">
        <v>801</v>
      </c>
      <c r="CA233" s="60">
        <v>3844</v>
      </c>
      <c r="CB233" s="60">
        <v>1</v>
      </c>
      <c r="CC233" s="60"/>
      <c r="CD233" s="60">
        <v>1431</v>
      </c>
      <c r="CE233" s="60">
        <v>59</v>
      </c>
      <c r="CF233" s="60">
        <v>116</v>
      </c>
      <c r="CG233" s="60">
        <v>5</v>
      </c>
      <c r="CH233" s="60">
        <v>392</v>
      </c>
      <c r="CI233" s="60">
        <v>16</v>
      </c>
      <c r="CJ233" s="60">
        <v>81</v>
      </c>
      <c r="CK233" s="60">
        <v>179</v>
      </c>
      <c r="CL233" s="60">
        <v>13866</v>
      </c>
      <c r="CM233" s="60">
        <v>1829</v>
      </c>
      <c r="CN233" s="60">
        <v>68</v>
      </c>
      <c r="CO233" s="60">
        <v>523</v>
      </c>
      <c r="CP233" s="60">
        <v>95</v>
      </c>
      <c r="CQ233" s="60">
        <v>65</v>
      </c>
      <c r="CR233" s="60">
        <v>48</v>
      </c>
      <c r="CS233" s="60"/>
      <c r="CT233" s="60">
        <v>18773</v>
      </c>
      <c r="CU233" s="60">
        <v>570</v>
      </c>
      <c r="CV233" s="60">
        <v>17738</v>
      </c>
      <c r="CW233" s="60">
        <v>465</v>
      </c>
      <c r="CX233" s="60">
        <v>3149</v>
      </c>
      <c r="CY233" s="60">
        <v>2989</v>
      </c>
      <c r="CZ233" s="60"/>
      <c r="DA233" s="60"/>
      <c r="DB233" s="60">
        <v>50</v>
      </c>
      <c r="DC233" s="60">
        <v>320</v>
      </c>
      <c r="DD233" s="60">
        <v>367</v>
      </c>
      <c r="DE233" s="60">
        <v>708</v>
      </c>
      <c r="DF233" s="60">
        <v>1226</v>
      </c>
      <c r="DG233" s="60">
        <v>985</v>
      </c>
      <c r="DH233" s="60">
        <v>1022</v>
      </c>
      <c r="DI233" s="60">
        <v>1460</v>
      </c>
      <c r="DJ233" s="60"/>
      <c r="DK233" s="60"/>
      <c r="DL233" s="60"/>
      <c r="DM233" s="60">
        <v>515</v>
      </c>
      <c r="DN233" s="60">
        <v>890</v>
      </c>
      <c r="DO233" s="60">
        <v>1059</v>
      </c>
      <c r="DP233" s="60">
        <v>1</v>
      </c>
      <c r="DQ233" s="60">
        <v>1</v>
      </c>
      <c r="DR233" s="60">
        <v>3669</v>
      </c>
      <c r="DS233" s="60">
        <v>3</v>
      </c>
      <c r="DT233" s="60">
        <v>73</v>
      </c>
      <c r="DU233" s="60">
        <v>214</v>
      </c>
      <c r="DV233" s="60">
        <v>208</v>
      </c>
      <c r="DW233" s="60">
        <v>281</v>
      </c>
      <c r="DX233" s="60">
        <v>174</v>
      </c>
      <c r="DY233" s="60">
        <v>2</v>
      </c>
      <c r="DZ233" s="60">
        <v>332</v>
      </c>
      <c r="EA233" s="60">
        <v>3366</v>
      </c>
      <c r="EB233" s="60">
        <v>1258</v>
      </c>
      <c r="EC233" s="60">
        <v>230</v>
      </c>
      <c r="ED233" s="60">
        <v>0</v>
      </c>
      <c r="EE233" s="60">
        <v>0</v>
      </c>
      <c r="EF233" s="60">
        <v>0</v>
      </c>
      <c r="EG233" s="60">
        <v>0</v>
      </c>
      <c r="EH233" s="60">
        <v>0</v>
      </c>
      <c r="EI233" s="60">
        <v>1339</v>
      </c>
      <c r="EJ233" s="60">
        <v>3382</v>
      </c>
      <c r="EK233" s="60">
        <v>560</v>
      </c>
      <c r="EL233" s="60">
        <v>522</v>
      </c>
      <c r="EM233" s="60">
        <v>335</v>
      </c>
      <c r="EN233" s="60">
        <v>15</v>
      </c>
      <c r="EO233" s="60">
        <v>74</v>
      </c>
      <c r="EP233" s="60">
        <v>1112</v>
      </c>
      <c r="EQ233" s="60">
        <v>5</v>
      </c>
      <c r="ER233" s="60">
        <v>799</v>
      </c>
      <c r="ES233" s="60">
        <v>313</v>
      </c>
      <c r="ET233" s="60">
        <v>291</v>
      </c>
      <c r="EU233" s="60">
        <v>739</v>
      </c>
      <c r="EV233" s="60">
        <v>555</v>
      </c>
      <c r="EW233" s="60">
        <v>171</v>
      </c>
      <c r="EX233" s="60">
        <v>114</v>
      </c>
      <c r="EY233" s="60">
        <v>362</v>
      </c>
      <c r="EZ233" s="60">
        <v>29</v>
      </c>
      <c r="FA233" s="60">
        <v>91</v>
      </c>
      <c r="FB233" s="60">
        <v>763</v>
      </c>
      <c r="FC233" s="60">
        <v>179</v>
      </c>
      <c r="FD233" s="60">
        <v>526</v>
      </c>
      <c r="FE233" s="60"/>
      <c r="FF233" s="60"/>
      <c r="FG233" s="60"/>
      <c r="FH233" s="60">
        <v>283</v>
      </c>
      <c r="FI233" s="60">
        <v>38</v>
      </c>
      <c r="FJ233" s="60">
        <v>332</v>
      </c>
      <c r="FK233" s="60">
        <v>29</v>
      </c>
      <c r="FL233" s="60">
        <v>13</v>
      </c>
      <c r="FM233" s="60">
        <v>201</v>
      </c>
      <c r="FN233" s="60">
        <v>15</v>
      </c>
      <c r="FO233" s="60">
        <v>5011</v>
      </c>
      <c r="FP233" s="60">
        <v>75</v>
      </c>
      <c r="FQ233" s="60">
        <v>7</v>
      </c>
      <c r="FR233" s="60">
        <v>14</v>
      </c>
      <c r="FS233" s="60">
        <v>38</v>
      </c>
      <c r="FT233" s="60">
        <v>27</v>
      </c>
      <c r="FU233" s="60">
        <v>54</v>
      </c>
      <c r="FV233" s="60">
        <v>1</v>
      </c>
      <c r="FW233" s="60"/>
      <c r="FX233" s="60">
        <v>6138</v>
      </c>
      <c r="FY233" s="60">
        <v>431</v>
      </c>
      <c r="FZ233" s="60">
        <v>5458</v>
      </c>
      <c r="GA233" s="60">
        <v>249</v>
      </c>
      <c r="GB233" s="60">
        <v>2011</v>
      </c>
    </row>
    <row r="234" spans="1:184" s="55" customFormat="1" x14ac:dyDescent="0.3">
      <c r="A234" s="60">
        <v>106370673</v>
      </c>
      <c r="B234" s="61" t="s">
        <v>903</v>
      </c>
      <c r="C234" s="61" t="s">
        <v>1996</v>
      </c>
      <c r="D234" s="61" t="s">
        <v>1997</v>
      </c>
      <c r="E234" s="61" t="s">
        <v>901</v>
      </c>
      <c r="F234" s="60">
        <v>92123</v>
      </c>
      <c r="G234" s="61" t="s">
        <v>904</v>
      </c>
      <c r="H234" s="61" t="s">
        <v>1669</v>
      </c>
      <c r="I234" s="60">
        <v>76</v>
      </c>
      <c r="J234" s="60">
        <v>39</v>
      </c>
      <c r="K234" s="61" t="s">
        <v>1998</v>
      </c>
      <c r="L234" s="61"/>
      <c r="M234" s="61" t="s">
        <v>1750</v>
      </c>
      <c r="N234" s="61" t="s">
        <v>1995</v>
      </c>
      <c r="O234" s="61" t="s">
        <v>1673</v>
      </c>
      <c r="P234" s="61" t="s">
        <v>1678</v>
      </c>
      <c r="Q234" s="61" t="s">
        <v>1680</v>
      </c>
      <c r="R234" s="60">
        <v>442</v>
      </c>
      <c r="S234" s="61" t="s">
        <v>1675</v>
      </c>
      <c r="T234" s="60">
        <v>29431</v>
      </c>
      <c r="U234" s="60">
        <v>35912</v>
      </c>
      <c r="V234" s="60">
        <v>1</v>
      </c>
      <c r="W234" s="60"/>
      <c r="X234" s="60">
        <v>38641</v>
      </c>
      <c r="Y234" s="60">
        <v>16034</v>
      </c>
      <c r="Z234" s="60">
        <v>189</v>
      </c>
      <c r="AA234" s="60">
        <v>64</v>
      </c>
      <c r="AB234" s="60">
        <v>47</v>
      </c>
      <c r="AC234" s="60">
        <v>28</v>
      </c>
      <c r="AD234" s="60">
        <v>11</v>
      </c>
      <c r="AE234" s="60">
        <v>4</v>
      </c>
      <c r="AF234" s="60">
        <v>3</v>
      </c>
      <c r="AG234" s="60">
        <v>10323</v>
      </c>
      <c r="AH234" s="60"/>
      <c r="AI234" s="60">
        <v>3289</v>
      </c>
      <c r="AJ234" s="60">
        <v>4301</v>
      </c>
      <c r="AK234" s="60">
        <v>32262</v>
      </c>
      <c r="AL234" s="60">
        <v>100</v>
      </c>
      <c r="AM234" s="60">
        <v>8849</v>
      </c>
      <c r="AN234" s="60">
        <v>314</v>
      </c>
      <c r="AO234" s="60">
        <v>16229</v>
      </c>
      <c r="AP234" s="60">
        <v>239</v>
      </c>
      <c r="AQ234" s="60"/>
      <c r="AR234" s="60">
        <v>7</v>
      </c>
      <c r="AS234" s="60">
        <v>13</v>
      </c>
      <c r="AT234" s="60">
        <v>2</v>
      </c>
      <c r="AU234" s="60">
        <v>4</v>
      </c>
      <c r="AV234" s="60">
        <v>9</v>
      </c>
      <c r="AW234" s="60">
        <v>442</v>
      </c>
      <c r="AX234" s="60"/>
      <c r="AY234" s="60">
        <v>71</v>
      </c>
      <c r="AZ234" s="60"/>
      <c r="BA234" s="60">
        <v>64554</v>
      </c>
      <c r="BB234" s="60">
        <v>3</v>
      </c>
      <c r="BC234" s="60"/>
      <c r="BD234" s="60"/>
      <c r="BE234" s="60">
        <v>34213</v>
      </c>
      <c r="BF234" s="60">
        <v>20</v>
      </c>
      <c r="BG234" s="60">
        <v>5251</v>
      </c>
      <c r="BH234" s="60">
        <v>19505</v>
      </c>
      <c r="BI234" s="60">
        <v>6355</v>
      </c>
      <c r="BJ234" s="60">
        <v>14</v>
      </c>
      <c r="BK234" s="60">
        <v>267</v>
      </c>
      <c r="BL234" s="60">
        <v>115</v>
      </c>
      <c r="BM234" s="60">
        <v>93</v>
      </c>
      <c r="BN234" s="60">
        <v>3793</v>
      </c>
      <c r="BO234" s="60">
        <v>716</v>
      </c>
      <c r="BP234" s="60">
        <v>2228</v>
      </c>
      <c r="BQ234" s="60">
        <v>2451</v>
      </c>
      <c r="BR234" s="60">
        <v>18708</v>
      </c>
      <c r="BS234" s="60">
        <v>1398</v>
      </c>
      <c r="BT234" s="60">
        <v>48</v>
      </c>
      <c r="BU234" s="60">
        <v>4785</v>
      </c>
      <c r="BV234" s="60">
        <v>1214</v>
      </c>
      <c r="BW234" s="60">
        <v>476</v>
      </c>
      <c r="BX234" s="60">
        <v>418</v>
      </c>
      <c r="BY234" s="60">
        <v>12622</v>
      </c>
      <c r="BZ234" s="60">
        <v>2582</v>
      </c>
      <c r="CA234" s="60">
        <v>13414</v>
      </c>
      <c r="CB234" s="60">
        <v>1</v>
      </c>
      <c r="CC234" s="60">
        <v>1</v>
      </c>
      <c r="CD234" s="60">
        <v>7497</v>
      </c>
      <c r="CE234" s="60">
        <v>295</v>
      </c>
      <c r="CF234" s="60">
        <v>245</v>
      </c>
      <c r="CG234" s="60">
        <v>20</v>
      </c>
      <c r="CH234" s="60">
        <v>223</v>
      </c>
      <c r="CI234" s="60">
        <v>5</v>
      </c>
      <c r="CJ234" s="60">
        <v>102</v>
      </c>
      <c r="CK234" s="60">
        <v>699</v>
      </c>
      <c r="CL234" s="60">
        <v>48030</v>
      </c>
      <c r="CM234" s="60">
        <v>6145</v>
      </c>
      <c r="CN234" s="60">
        <v>568</v>
      </c>
      <c r="CO234" s="60">
        <v>640</v>
      </c>
      <c r="CP234" s="60">
        <v>77</v>
      </c>
      <c r="CQ234" s="60">
        <v>746</v>
      </c>
      <c r="CR234" s="60">
        <v>52</v>
      </c>
      <c r="CS234" s="60"/>
      <c r="CT234" s="60">
        <v>65344</v>
      </c>
      <c r="CU234" s="60">
        <v>1179</v>
      </c>
      <c r="CV234" s="60">
        <v>52433</v>
      </c>
      <c r="CW234" s="60">
        <v>11732</v>
      </c>
      <c r="CX234" s="60">
        <v>2775</v>
      </c>
      <c r="CY234" s="60">
        <v>3535</v>
      </c>
      <c r="CZ234" s="60"/>
      <c r="DA234" s="60"/>
      <c r="DB234" s="60">
        <v>1857</v>
      </c>
      <c r="DC234" s="60">
        <v>45</v>
      </c>
      <c r="DD234" s="60"/>
      <c r="DE234" s="60"/>
      <c r="DF234" s="60"/>
      <c r="DG234" s="60"/>
      <c r="DH234" s="60"/>
      <c r="DI234" s="60"/>
      <c r="DJ234" s="60">
        <v>1414</v>
      </c>
      <c r="DK234" s="60">
        <v>2994</v>
      </c>
      <c r="DL234" s="60"/>
      <c r="DM234" s="60">
        <v>317</v>
      </c>
      <c r="DN234" s="60">
        <v>386</v>
      </c>
      <c r="DO234" s="60">
        <v>3026</v>
      </c>
      <c r="DP234" s="60">
        <v>691</v>
      </c>
      <c r="DQ234" s="60">
        <v>10</v>
      </c>
      <c r="DR234" s="60">
        <v>1863</v>
      </c>
      <c r="DS234" s="60">
        <v>17</v>
      </c>
      <c r="DT234" s="60">
        <v>18</v>
      </c>
      <c r="DU234" s="60"/>
      <c r="DV234" s="60">
        <v>21</v>
      </c>
      <c r="DW234" s="60">
        <v>82</v>
      </c>
      <c r="DX234" s="60">
        <v>32</v>
      </c>
      <c r="DY234" s="60">
        <v>27</v>
      </c>
      <c r="DZ234" s="60">
        <v>2</v>
      </c>
      <c r="EA234" s="60">
        <v>6096</v>
      </c>
      <c r="EB234" s="60">
        <v>28</v>
      </c>
      <c r="EC234" s="60">
        <v>4</v>
      </c>
      <c r="ED234" s="60">
        <v>0</v>
      </c>
      <c r="EE234" s="60">
        <v>0</v>
      </c>
      <c r="EF234" s="60">
        <v>0</v>
      </c>
      <c r="EG234" s="60">
        <v>0</v>
      </c>
      <c r="EH234" s="60">
        <v>0</v>
      </c>
      <c r="EI234" s="60">
        <v>1955</v>
      </c>
      <c r="EJ234" s="60">
        <v>17</v>
      </c>
      <c r="EK234" s="60">
        <v>1652</v>
      </c>
      <c r="EL234" s="60">
        <v>2264</v>
      </c>
      <c r="EM234" s="60">
        <v>422</v>
      </c>
      <c r="EN234" s="60">
        <v>1</v>
      </c>
      <c r="EO234" s="60">
        <v>167</v>
      </c>
      <c r="EP234" s="60">
        <v>100</v>
      </c>
      <c r="EQ234" s="60">
        <v>85</v>
      </c>
      <c r="ER234" s="60">
        <v>1117</v>
      </c>
      <c r="ES234" s="60">
        <v>245</v>
      </c>
      <c r="ET234" s="60">
        <v>202</v>
      </c>
      <c r="EU234" s="60">
        <v>316</v>
      </c>
      <c r="EV234" s="60">
        <v>1216</v>
      </c>
      <c r="EW234" s="60">
        <v>142</v>
      </c>
      <c r="EX234" s="60">
        <v>74</v>
      </c>
      <c r="EY234" s="60">
        <v>278</v>
      </c>
      <c r="EZ234" s="60">
        <v>28</v>
      </c>
      <c r="FA234" s="60">
        <v>29</v>
      </c>
      <c r="FB234" s="60">
        <v>1557</v>
      </c>
      <c r="FC234" s="60">
        <v>201</v>
      </c>
      <c r="FD234" s="60">
        <v>336</v>
      </c>
      <c r="FE234" s="60"/>
      <c r="FF234" s="60">
        <v>216</v>
      </c>
      <c r="FG234" s="60"/>
      <c r="FH234" s="60">
        <v>315</v>
      </c>
      <c r="FI234" s="60">
        <v>36</v>
      </c>
      <c r="FJ234" s="60">
        <v>149</v>
      </c>
      <c r="FK234" s="60">
        <v>26</v>
      </c>
      <c r="FL234" s="60">
        <v>3</v>
      </c>
      <c r="FM234" s="60">
        <v>216</v>
      </c>
      <c r="FN234" s="60">
        <v>26</v>
      </c>
      <c r="FO234" s="60">
        <v>5188</v>
      </c>
      <c r="FP234" s="60">
        <v>118</v>
      </c>
      <c r="FQ234" s="60">
        <v>34</v>
      </c>
      <c r="FR234" s="60">
        <v>113</v>
      </c>
      <c r="FS234" s="60">
        <v>13</v>
      </c>
      <c r="FT234" s="60">
        <v>70</v>
      </c>
      <c r="FU234" s="60">
        <v>3</v>
      </c>
      <c r="FV234" s="60"/>
      <c r="FW234" s="60"/>
      <c r="FX234" s="60">
        <v>6310</v>
      </c>
      <c r="FY234" s="60">
        <v>119</v>
      </c>
      <c r="FZ234" s="60">
        <v>4946</v>
      </c>
      <c r="GA234" s="60">
        <v>1245</v>
      </c>
      <c r="GB234" s="60">
        <v>2011</v>
      </c>
    </row>
    <row r="235" spans="1:184" x14ac:dyDescent="0.3">
      <c r="A235" s="60">
        <v>106370689</v>
      </c>
      <c r="B235" s="61" t="s">
        <v>905</v>
      </c>
      <c r="C235" s="61" t="s">
        <v>906</v>
      </c>
      <c r="D235" s="61" t="s">
        <v>907</v>
      </c>
      <c r="E235" s="61" t="s">
        <v>908</v>
      </c>
      <c r="F235" s="60">
        <v>92118</v>
      </c>
      <c r="G235" s="61"/>
      <c r="H235" s="61" t="s">
        <v>1669</v>
      </c>
      <c r="I235" s="60">
        <v>79</v>
      </c>
      <c r="J235" s="60">
        <v>40</v>
      </c>
      <c r="K235" s="61" t="s">
        <v>1999</v>
      </c>
      <c r="L235" s="61"/>
      <c r="M235" s="61" t="s">
        <v>1750</v>
      </c>
      <c r="N235" s="61" t="s">
        <v>1995</v>
      </c>
      <c r="O235" s="61" t="s">
        <v>1673</v>
      </c>
      <c r="P235" s="61" t="s">
        <v>1678</v>
      </c>
      <c r="Q235" s="61" t="s">
        <v>1674</v>
      </c>
      <c r="R235" s="60">
        <v>59</v>
      </c>
      <c r="S235" s="61" t="s">
        <v>1675</v>
      </c>
      <c r="T235" s="60">
        <v>6317</v>
      </c>
      <c r="U235" s="60">
        <v>4648</v>
      </c>
      <c r="V235" s="60"/>
      <c r="W235" s="60"/>
      <c r="X235" s="60">
        <v>1043</v>
      </c>
      <c r="Y235" s="60">
        <v>1164</v>
      </c>
      <c r="Z235" s="60">
        <v>1841</v>
      </c>
      <c r="AA235" s="60">
        <v>1493</v>
      </c>
      <c r="AB235" s="60">
        <v>1408</v>
      </c>
      <c r="AC235" s="60">
        <v>1346</v>
      </c>
      <c r="AD235" s="60">
        <v>879</v>
      </c>
      <c r="AE235" s="60">
        <v>694</v>
      </c>
      <c r="AF235" s="60">
        <v>985</v>
      </c>
      <c r="AG235" s="60">
        <v>112</v>
      </c>
      <c r="AH235" s="60"/>
      <c r="AI235" s="60">
        <v>295</v>
      </c>
      <c r="AJ235" s="60">
        <v>411</v>
      </c>
      <c r="AK235" s="60">
        <v>2844</v>
      </c>
      <c r="AL235" s="60">
        <v>19</v>
      </c>
      <c r="AM235" s="60">
        <v>623</v>
      </c>
      <c r="AN235" s="60">
        <v>533</v>
      </c>
      <c r="AO235" s="60">
        <v>6240</v>
      </c>
      <c r="AP235" s="60">
        <v>166</v>
      </c>
      <c r="AQ235" s="60">
        <v>202</v>
      </c>
      <c r="AR235" s="60"/>
      <c r="AS235" s="60">
        <v>8</v>
      </c>
      <c r="AT235" s="60">
        <v>6</v>
      </c>
      <c r="AU235" s="60">
        <v>1</v>
      </c>
      <c r="AV235" s="60">
        <v>1</v>
      </c>
      <c r="AW235" s="60"/>
      <c r="AX235" s="60">
        <v>86</v>
      </c>
      <c r="AY235" s="60">
        <v>31</v>
      </c>
      <c r="AZ235" s="60">
        <v>15</v>
      </c>
      <c r="BA235" s="60">
        <v>10425</v>
      </c>
      <c r="BB235" s="60">
        <v>17</v>
      </c>
      <c r="BC235" s="60">
        <v>7</v>
      </c>
      <c r="BD235" s="60"/>
      <c r="BE235" s="60">
        <v>2045</v>
      </c>
      <c r="BF235" s="60">
        <v>2251</v>
      </c>
      <c r="BG235" s="60">
        <v>1790</v>
      </c>
      <c r="BH235" s="60">
        <v>3423</v>
      </c>
      <c r="BI235" s="60">
        <v>1456</v>
      </c>
      <c r="BJ235" s="60">
        <v>176</v>
      </c>
      <c r="BK235" s="60">
        <v>24</v>
      </c>
      <c r="BL235" s="60">
        <v>259</v>
      </c>
      <c r="BM235" s="60">
        <v>1</v>
      </c>
      <c r="BN235" s="60">
        <v>577</v>
      </c>
      <c r="BO235" s="60">
        <v>117</v>
      </c>
      <c r="BP235" s="60">
        <v>690</v>
      </c>
      <c r="BQ235" s="60">
        <v>194</v>
      </c>
      <c r="BR235" s="60">
        <v>3131</v>
      </c>
      <c r="BS235" s="60">
        <v>538</v>
      </c>
      <c r="BT235" s="60">
        <v>18</v>
      </c>
      <c r="BU235" s="60">
        <v>898</v>
      </c>
      <c r="BV235" s="60">
        <v>245</v>
      </c>
      <c r="BW235" s="60">
        <v>1</v>
      </c>
      <c r="BX235" s="60">
        <v>369</v>
      </c>
      <c r="BY235" s="60">
        <v>1055</v>
      </c>
      <c r="BZ235" s="60">
        <v>581</v>
      </c>
      <c r="CA235" s="60">
        <v>2091</v>
      </c>
      <c r="CB235" s="60"/>
      <c r="CC235" s="60"/>
      <c r="CD235" s="60">
        <v>1069</v>
      </c>
      <c r="CE235" s="60">
        <v>31</v>
      </c>
      <c r="CF235" s="60">
        <v>123</v>
      </c>
      <c r="CG235" s="60">
        <v>3</v>
      </c>
      <c r="CH235" s="60">
        <v>120</v>
      </c>
      <c r="CI235" s="60">
        <v>8</v>
      </c>
      <c r="CJ235" s="60">
        <v>39</v>
      </c>
      <c r="CK235" s="60">
        <v>154</v>
      </c>
      <c r="CL235" s="60">
        <v>7550</v>
      </c>
      <c r="CM235" s="60">
        <v>1469</v>
      </c>
      <c r="CN235" s="60">
        <v>114</v>
      </c>
      <c r="CO235" s="60">
        <v>214</v>
      </c>
      <c r="CP235" s="60">
        <v>18</v>
      </c>
      <c r="CQ235" s="60">
        <v>38</v>
      </c>
      <c r="CR235" s="60">
        <v>15</v>
      </c>
      <c r="CS235" s="60"/>
      <c r="CT235" s="60">
        <v>10965</v>
      </c>
      <c r="CU235" s="60">
        <v>133</v>
      </c>
      <c r="CV235" s="60">
        <v>10153</v>
      </c>
      <c r="CW235" s="60">
        <v>679</v>
      </c>
      <c r="CX235" s="60">
        <v>310</v>
      </c>
      <c r="CY235" s="60">
        <v>300</v>
      </c>
      <c r="CZ235" s="60"/>
      <c r="DA235" s="60"/>
      <c r="DB235" s="60">
        <v>5</v>
      </c>
      <c r="DC235" s="60">
        <v>21</v>
      </c>
      <c r="DD235" s="60">
        <v>37</v>
      </c>
      <c r="DE235" s="60">
        <v>49</v>
      </c>
      <c r="DF235" s="60">
        <v>91</v>
      </c>
      <c r="DG235" s="60">
        <v>101</v>
      </c>
      <c r="DH235" s="60">
        <v>91</v>
      </c>
      <c r="DI235" s="60">
        <v>215</v>
      </c>
      <c r="DJ235" s="60"/>
      <c r="DK235" s="60"/>
      <c r="DL235" s="60"/>
      <c r="DM235" s="60">
        <v>18</v>
      </c>
      <c r="DN235" s="60">
        <v>12</v>
      </c>
      <c r="DO235" s="60">
        <v>142</v>
      </c>
      <c r="DP235" s="60">
        <v>22</v>
      </c>
      <c r="DQ235" s="60">
        <v>24</v>
      </c>
      <c r="DR235" s="60">
        <v>392</v>
      </c>
      <c r="DS235" s="60"/>
      <c r="DT235" s="60">
        <v>35</v>
      </c>
      <c r="DU235" s="60">
        <v>7</v>
      </c>
      <c r="DV235" s="60">
        <v>23</v>
      </c>
      <c r="DW235" s="60">
        <v>81</v>
      </c>
      <c r="DX235" s="60">
        <v>7</v>
      </c>
      <c r="DY235" s="60">
        <v>5</v>
      </c>
      <c r="DZ235" s="60">
        <v>8</v>
      </c>
      <c r="EA235" s="60">
        <v>329</v>
      </c>
      <c r="EB235" s="60">
        <v>114</v>
      </c>
      <c r="EC235" s="60">
        <v>1</v>
      </c>
      <c r="ED235" s="60">
        <v>0</v>
      </c>
      <c r="EE235" s="60">
        <v>0</v>
      </c>
      <c r="EF235" s="60">
        <v>0</v>
      </c>
      <c r="EG235" s="60">
        <v>0</v>
      </c>
      <c r="EH235" s="60">
        <v>0</v>
      </c>
      <c r="EI235" s="60">
        <v>63</v>
      </c>
      <c r="EJ235" s="60">
        <v>350</v>
      </c>
      <c r="EK235" s="60">
        <v>12</v>
      </c>
      <c r="EL235" s="60">
        <v>131</v>
      </c>
      <c r="EM235" s="60">
        <v>54</v>
      </c>
      <c r="EN235" s="60">
        <v>1</v>
      </c>
      <c r="EO235" s="60">
        <v>7</v>
      </c>
      <c r="EP235" s="60">
        <v>112</v>
      </c>
      <c r="EQ235" s="60"/>
      <c r="ER235" s="60">
        <v>141</v>
      </c>
      <c r="ES235" s="60">
        <v>23</v>
      </c>
      <c r="ET235" s="60">
        <v>29</v>
      </c>
      <c r="EU235" s="60">
        <v>95</v>
      </c>
      <c r="EV235" s="60">
        <v>54</v>
      </c>
      <c r="EW235" s="60">
        <v>12</v>
      </c>
      <c r="EX235" s="60">
        <v>24</v>
      </c>
      <c r="EY235" s="60">
        <v>17</v>
      </c>
      <c r="EZ235" s="60"/>
      <c r="FA235" s="60">
        <v>6</v>
      </c>
      <c r="FB235" s="60">
        <v>49</v>
      </c>
      <c r="FC235" s="60">
        <v>16</v>
      </c>
      <c r="FD235" s="60">
        <v>24</v>
      </c>
      <c r="FE235" s="60"/>
      <c r="FF235" s="60"/>
      <c r="FG235" s="60"/>
      <c r="FH235" s="60">
        <v>37</v>
      </c>
      <c r="FI235" s="60">
        <v>2</v>
      </c>
      <c r="FJ235" s="60">
        <v>31</v>
      </c>
      <c r="FK235" s="60">
        <v>1</v>
      </c>
      <c r="FL235" s="60">
        <v>4</v>
      </c>
      <c r="FM235" s="60">
        <v>31</v>
      </c>
      <c r="FN235" s="60">
        <v>1</v>
      </c>
      <c r="FO235" s="60">
        <v>485</v>
      </c>
      <c r="FP235" s="60">
        <v>5</v>
      </c>
      <c r="FQ235" s="60">
        <v>4</v>
      </c>
      <c r="FR235" s="60">
        <v>2</v>
      </c>
      <c r="FS235" s="60">
        <v>6</v>
      </c>
      <c r="FT235" s="60"/>
      <c r="FU235" s="60">
        <v>1</v>
      </c>
      <c r="FV235" s="60"/>
      <c r="FW235" s="60"/>
      <c r="FX235" s="60">
        <v>610</v>
      </c>
      <c r="FY235" s="60">
        <v>9</v>
      </c>
      <c r="FZ235" s="60">
        <v>526</v>
      </c>
      <c r="GA235" s="60">
        <v>75</v>
      </c>
      <c r="GB235" s="60">
        <v>2011</v>
      </c>
    </row>
    <row r="236" spans="1:184" x14ac:dyDescent="0.3">
      <c r="A236" s="60">
        <v>106370694</v>
      </c>
      <c r="B236" s="61" t="s">
        <v>909</v>
      </c>
      <c r="C236" s="61" t="s">
        <v>910</v>
      </c>
      <c r="D236" s="61" t="s">
        <v>911</v>
      </c>
      <c r="E236" s="61" t="s">
        <v>901</v>
      </c>
      <c r="F236" s="60">
        <v>92123</v>
      </c>
      <c r="G236" s="61" t="s">
        <v>143</v>
      </c>
      <c r="H236" s="61" t="s">
        <v>1669</v>
      </c>
      <c r="I236" s="60">
        <v>76</v>
      </c>
      <c r="J236" s="60">
        <v>39</v>
      </c>
      <c r="K236" s="61" t="s">
        <v>1998</v>
      </c>
      <c r="L236" s="61"/>
      <c r="M236" s="61" t="s">
        <v>1750</v>
      </c>
      <c r="N236" s="61" t="s">
        <v>1995</v>
      </c>
      <c r="O236" s="61" t="s">
        <v>1673</v>
      </c>
      <c r="P236" s="61" t="s">
        <v>1678</v>
      </c>
      <c r="Q236" s="61" t="s">
        <v>1674</v>
      </c>
      <c r="R236" s="60">
        <v>675</v>
      </c>
      <c r="S236" s="61" t="s">
        <v>1675</v>
      </c>
      <c r="T236" s="60">
        <v>30769</v>
      </c>
      <c r="U236" s="60">
        <v>20125</v>
      </c>
      <c r="V236" s="60"/>
      <c r="W236" s="60"/>
      <c r="X236" s="60">
        <v>717</v>
      </c>
      <c r="Y236" s="60">
        <v>2991</v>
      </c>
      <c r="Z236" s="60">
        <v>11416</v>
      </c>
      <c r="AA236" s="60">
        <v>8957</v>
      </c>
      <c r="AB236" s="60">
        <v>8055</v>
      </c>
      <c r="AC236" s="60">
        <v>6882</v>
      </c>
      <c r="AD236" s="60">
        <v>4455</v>
      </c>
      <c r="AE236" s="60">
        <v>3164</v>
      </c>
      <c r="AF236" s="60">
        <v>4099</v>
      </c>
      <c r="AG236" s="60">
        <v>158</v>
      </c>
      <c r="AH236" s="60"/>
      <c r="AI236" s="60">
        <v>4669</v>
      </c>
      <c r="AJ236" s="60">
        <v>5028</v>
      </c>
      <c r="AK236" s="60">
        <v>10053</v>
      </c>
      <c r="AL236" s="60">
        <v>109</v>
      </c>
      <c r="AM236" s="60">
        <v>3647</v>
      </c>
      <c r="AN236" s="60">
        <v>2109</v>
      </c>
      <c r="AO236" s="60">
        <v>25279</v>
      </c>
      <c r="AP236" s="60">
        <v>314</v>
      </c>
      <c r="AQ236" s="60">
        <v>870</v>
      </c>
      <c r="AR236" s="60">
        <v>31</v>
      </c>
      <c r="AS236" s="60">
        <v>68</v>
      </c>
      <c r="AT236" s="60">
        <v>95</v>
      </c>
      <c r="AU236" s="60">
        <v>2</v>
      </c>
      <c r="AV236" s="60">
        <v>26</v>
      </c>
      <c r="AW236" s="60">
        <v>11</v>
      </c>
      <c r="AX236" s="60">
        <v>80</v>
      </c>
      <c r="AY236" s="60">
        <v>680</v>
      </c>
      <c r="AZ236" s="60">
        <v>61</v>
      </c>
      <c r="BA236" s="60">
        <v>47988</v>
      </c>
      <c r="BB236" s="60">
        <v>658</v>
      </c>
      <c r="BC236" s="60">
        <v>10</v>
      </c>
      <c r="BD236" s="60"/>
      <c r="BE236" s="60">
        <v>8356</v>
      </c>
      <c r="BF236" s="60">
        <v>10987</v>
      </c>
      <c r="BG236" s="60">
        <v>4904</v>
      </c>
      <c r="BH236" s="60">
        <v>18855</v>
      </c>
      <c r="BI236" s="60">
        <v>7792</v>
      </c>
      <c r="BJ236" s="60">
        <v>2735</v>
      </c>
      <c r="BK236" s="60">
        <v>184</v>
      </c>
      <c r="BL236" s="60">
        <v>1587</v>
      </c>
      <c r="BM236" s="60">
        <v>17</v>
      </c>
      <c r="BN236" s="60">
        <v>2925</v>
      </c>
      <c r="BO236" s="60">
        <v>803</v>
      </c>
      <c r="BP236" s="60">
        <v>3126</v>
      </c>
      <c r="BQ236" s="60">
        <v>709</v>
      </c>
      <c r="BR236" s="60">
        <v>10999</v>
      </c>
      <c r="BS236" s="60">
        <v>3790</v>
      </c>
      <c r="BT236" s="60">
        <v>129</v>
      </c>
      <c r="BU236" s="60">
        <v>2391</v>
      </c>
      <c r="BV236" s="60">
        <v>958</v>
      </c>
      <c r="BW236" s="60">
        <v>8</v>
      </c>
      <c r="BX236" s="60">
        <v>2224</v>
      </c>
      <c r="BY236" s="60">
        <v>2829</v>
      </c>
      <c r="BZ236" s="60">
        <v>1684</v>
      </c>
      <c r="CA236" s="60">
        <v>13796</v>
      </c>
      <c r="CB236" s="60"/>
      <c r="CC236" s="60"/>
      <c r="CD236" s="60">
        <v>3805</v>
      </c>
      <c r="CE236" s="60">
        <v>305</v>
      </c>
      <c r="CF236" s="60">
        <v>754</v>
      </c>
      <c r="CG236" s="60">
        <v>9</v>
      </c>
      <c r="CH236" s="60">
        <v>610</v>
      </c>
      <c r="CI236" s="60">
        <v>139</v>
      </c>
      <c r="CJ236" s="60">
        <v>562</v>
      </c>
      <c r="CK236" s="60">
        <v>296</v>
      </c>
      <c r="CL236" s="60">
        <v>37945</v>
      </c>
      <c r="CM236" s="60">
        <v>3688</v>
      </c>
      <c r="CN236" s="60">
        <v>243</v>
      </c>
      <c r="CO236" s="60">
        <v>2117</v>
      </c>
      <c r="CP236" s="60">
        <v>217</v>
      </c>
      <c r="CQ236" s="60">
        <v>192</v>
      </c>
      <c r="CR236" s="60">
        <v>12</v>
      </c>
      <c r="CS236" s="60"/>
      <c r="CT236" s="60">
        <v>50894</v>
      </c>
      <c r="CU236" s="60">
        <v>2079</v>
      </c>
      <c r="CV236" s="60">
        <v>46062</v>
      </c>
      <c r="CW236" s="60">
        <v>2753</v>
      </c>
      <c r="CX236" s="60">
        <v>6814</v>
      </c>
      <c r="CY236" s="60">
        <v>6210</v>
      </c>
      <c r="CZ236" s="60"/>
      <c r="DA236" s="60"/>
      <c r="DB236" s="60">
        <v>267</v>
      </c>
      <c r="DC236" s="60">
        <v>1171</v>
      </c>
      <c r="DD236" s="60">
        <v>1046</v>
      </c>
      <c r="DE236" s="60">
        <v>1562</v>
      </c>
      <c r="DF236" s="60">
        <v>2103</v>
      </c>
      <c r="DG236" s="60">
        <v>2097</v>
      </c>
      <c r="DH236" s="60">
        <v>1872</v>
      </c>
      <c r="DI236" s="60">
        <v>2904</v>
      </c>
      <c r="DJ236" s="60">
        <v>2</v>
      </c>
      <c r="DK236" s="60"/>
      <c r="DL236" s="60"/>
      <c r="DM236" s="60">
        <v>1460</v>
      </c>
      <c r="DN236" s="60">
        <v>876</v>
      </c>
      <c r="DO236" s="60">
        <v>2113</v>
      </c>
      <c r="DP236" s="60">
        <v>745</v>
      </c>
      <c r="DQ236" s="60">
        <v>350</v>
      </c>
      <c r="DR236" s="60">
        <v>7446</v>
      </c>
      <c r="DS236" s="60">
        <v>34</v>
      </c>
      <c r="DT236" s="60">
        <v>291</v>
      </c>
      <c r="DU236" s="60">
        <v>141</v>
      </c>
      <c r="DV236" s="60">
        <v>447</v>
      </c>
      <c r="DW236" s="60">
        <v>1622</v>
      </c>
      <c r="DX236" s="60">
        <v>276</v>
      </c>
      <c r="DY236" s="60">
        <v>60</v>
      </c>
      <c r="DZ236" s="60">
        <v>116</v>
      </c>
      <c r="EA236" s="60">
        <v>8265</v>
      </c>
      <c r="EB236" s="60">
        <v>1800</v>
      </c>
      <c r="EC236" s="60">
        <v>6</v>
      </c>
      <c r="ED236" s="60">
        <v>0</v>
      </c>
      <c r="EE236" s="60">
        <v>0</v>
      </c>
      <c r="EF236" s="60">
        <v>0</v>
      </c>
      <c r="EG236" s="60">
        <v>0</v>
      </c>
      <c r="EH236" s="60">
        <v>0</v>
      </c>
      <c r="EI236" s="60">
        <v>1721</v>
      </c>
      <c r="EJ236" s="60">
        <v>6061</v>
      </c>
      <c r="EK236" s="60">
        <v>311</v>
      </c>
      <c r="EL236" s="60">
        <v>3596</v>
      </c>
      <c r="EM236" s="60">
        <v>1335</v>
      </c>
      <c r="EN236" s="60">
        <v>295</v>
      </c>
      <c r="EO236" s="60">
        <v>214</v>
      </c>
      <c r="EP236" s="60">
        <v>2125</v>
      </c>
      <c r="EQ236" s="60">
        <v>7</v>
      </c>
      <c r="ER236" s="60">
        <v>2171</v>
      </c>
      <c r="ES236" s="60">
        <v>629</v>
      </c>
      <c r="ET236" s="60">
        <v>581</v>
      </c>
      <c r="EU236" s="60">
        <v>790</v>
      </c>
      <c r="EV236" s="60">
        <v>2584</v>
      </c>
      <c r="EW236" s="60">
        <v>299</v>
      </c>
      <c r="EX236" s="60">
        <v>449</v>
      </c>
      <c r="EY236" s="60">
        <v>281</v>
      </c>
      <c r="EZ236" s="60">
        <v>38</v>
      </c>
      <c r="FA236" s="60">
        <v>160</v>
      </c>
      <c r="FB236" s="60">
        <v>1382</v>
      </c>
      <c r="FC236" s="60">
        <v>386</v>
      </c>
      <c r="FD236" s="60">
        <v>631</v>
      </c>
      <c r="FE236" s="60">
        <v>1</v>
      </c>
      <c r="FF236" s="60">
        <v>1</v>
      </c>
      <c r="FG236" s="60"/>
      <c r="FH236" s="60">
        <v>1244</v>
      </c>
      <c r="FI236" s="60">
        <v>70</v>
      </c>
      <c r="FJ236" s="60">
        <v>1215</v>
      </c>
      <c r="FK236" s="60">
        <v>153</v>
      </c>
      <c r="FL236" s="60">
        <v>87</v>
      </c>
      <c r="FM236" s="60">
        <v>279</v>
      </c>
      <c r="FN236" s="60">
        <v>36</v>
      </c>
      <c r="FO236" s="60">
        <v>8991</v>
      </c>
      <c r="FP236" s="60">
        <v>202</v>
      </c>
      <c r="FQ236" s="60">
        <v>85</v>
      </c>
      <c r="FR236" s="60">
        <v>508</v>
      </c>
      <c r="FS236" s="60">
        <v>93</v>
      </c>
      <c r="FT236" s="60">
        <v>48</v>
      </c>
      <c r="FU236" s="60">
        <v>13</v>
      </c>
      <c r="FV236" s="60"/>
      <c r="FW236" s="60"/>
      <c r="FX236" s="60">
        <v>13024</v>
      </c>
      <c r="FY236" s="60">
        <v>933</v>
      </c>
      <c r="FZ236" s="60">
        <v>11300</v>
      </c>
      <c r="GA236" s="60">
        <v>791</v>
      </c>
      <c r="GB236" s="60">
        <v>2011</v>
      </c>
    </row>
    <row r="237" spans="1:184" x14ac:dyDescent="0.3">
      <c r="A237" s="60">
        <v>106370705</v>
      </c>
      <c r="B237" s="61" t="s">
        <v>912</v>
      </c>
      <c r="C237" s="61" t="s">
        <v>913</v>
      </c>
      <c r="D237" s="61" t="s">
        <v>914</v>
      </c>
      <c r="E237" s="61" t="s">
        <v>915</v>
      </c>
      <c r="F237" s="60">
        <v>92028</v>
      </c>
      <c r="G237" s="61"/>
      <c r="H237" s="61" t="s">
        <v>1669</v>
      </c>
      <c r="I237" s="60">
        <v>66</v>
      </c>
      <c r="J237" s="60">
        <v>36</v>
      </c>
      <c r="K237" s="61" t="s">
        <v>2000</v>
      </c>
      <c r="L237" s="61"/>
      <c r="M237" s="61" t="s">
        <v>1750</v>
      </c>
      <c r="N237" s="61" t="s">
        <v>1995</v>
      </c>
      <c r="O237" s="61" t="s">
        <v>1673</v>
      </c>
      <c r="P237" s="61" t="s">
        <v>221</v>
      </c>
      <c r="Q237" s="61" t="s">
        <v>1674</v>
      </c>
      <c r="R237" s="60">
        <v>47</v>
      </c>
      <c r="S237" s="61" t="s">
        <v>1675</v>
      </c>
      <c r="T237" s="60">
        <v>5117</v>
      </c>
      <c r="U237" s="60">
        <v>3817</v>
      </c>
      <c r="V237" s="60"/>
      <c r="W237" s="60"/>
      <c r="X237" s="60">
        <v>1317</v>
      </c>
      <c r="Y237" s="60">
        <v>1099</v>
      </c>
      <c r="Z237" s="60">
        <v>1370</v>
      </c>
      <c r="AA237" s="60">
        <v>1010</v>
      </c>
      <c r="AB237" s="60">
        <v>943</v>
      </c>
      <c r="AC237" s="60">
        <v>949</v>
      </c>
      <c r="AD237" s="60">
        <v>622</v>
      </c>
      <c r="AE237" s="60">
        <v>550</v>
      </c>
      <c r="AF237" s="60">
        <v>741</v>
      </c>
      <c r="AG237" s="60">
        <v>333</v>
      </c>
      <c r="AH237" s="60"/>
      <c r="AI237" s="60">
        <v>125</v>
      </c>
      <c r="AJ237" s="60">
        <v>201</v>
      </c>
      <c r="AK237" s="60">
        <v>3072</v>
      </c>
      <c r="AL237" s="60">
        <v>116</v>
      </c>
      <c r="AM237" s="60">
        <v>301</v>
      </c>
      <c r="AN237" s="60">
        <v>16</v>
      </c>
      <c r="AO237" s="60">
        <v>5103</v>
      </c>
      <c r="AP237" s="60">
        <v>140</v>
      </c>
      <c r="AQ237" s="60">
        <v>202</v>
      </c>
      <c r="AR237" s="60">
        <v>34</v>
      </c>
      <c r="AS237" s="60">
        <v>10</v>
      </c>
      <c r="AT237" s="60">
        <v>6</v>
      </c>
      <c r="AU237" s="60">
        <v>4</v>
      </c>
      <c r="AV237" s="60">
        <v>2</v>
      </c>
      <c r="AW237" s="60">
        <v>1</v>
      </c>
      <c r="AX237" s="60">
        <v>23</v>
      </c>
      <c r="AY237" s="60">
        <v>13</v>
      </c>
      <c r="AZ237" s="60">
        <v>1</v>
      </c>
      <c r="BA237" s="60">
        <v>8475</v>
      </c>
      <c r="BB237" s="60">
        <v>18</v>
      </c>
      <c r="BC237" s="60"/>
      <c r="BD237" s="60">
        <v>5</v>
      </c>
      <c r="BE237" s="60">
        <v>1705</v>
      </c>
      <c r="BF237" s="60">
        <v>1453</v>
      </c>
      <c r="BG237" s="60">
        <v>983</v>
      </c>
      <c r="BH237" s="60">
        <v>3620</v>
      </c>
      <c r="BI237" s="60">
        <v>1173</v>
      </c>
      <c r="BJ237" s="60">
        <v>302</v>
      </c>
      <c r="BK237" s="60">
        <v>23</v>
      </c>
      <c r="BL237" s="60">
        <v>211</v>
      </c>
      <c r="BM237" s="60">
        <v>3</v>
      </c>
      <c r="BN237" s="60">
        <v>562</v>
      </c>
      <c r="BO237" s="60">
        <v>136</v>
      </c>
      <c r="BP237" s="60">
        <v>540</v>
      </c>
      <c r="BQ237" s="60">
        <v>100</v>
      </c>
      <c r="BR237" s="60">
        <v>2637</v>
      </c>
      <c r="BS237" s="60">
        <v>314</v>
      </c>
      <c r="BT237" s="60">
        <v>2</v>
      </c>
      <c r="BU237" s="60">
        <v>751</v>
      </c>
      <c r="BV237" s="60">
        <v>169</v>
      </c>
      <c r="BW237" s="60">
        <v>32</v>
      </c>
      <c r="BX237" s="60">
        <v>252</v>
      </c>
      <c r="BY237" s="60">
        <v>915</v>
      </c>
      <c r="BZ237" s="60">
        <v>334</v>
      </c>
      <c r="CA237" s="60">
        <v>1651</v>
      </c>
      <c r="CB237" s="60"/>
      <c r="CC237" s="60"/>
      <c r="CD237" s="60">
        <v>743</v>
      </c>
      <c r="CE237" s="60">
        <v>50</v>
      </c>
      <c r="CF237" s="60">
        <v>136</v>
      </c>
      <c r="CG237" s="60">
        <v>12</v>
      </c>
      <c r="CH237" s="60">
        <v>80</v>
      </c>
      <c r="CI237" s="60"/>
      <c r="CJ237" s="60">
        <v>81</v>
      </c>
      <c r="CK237" s="60">
        <v>223</v>
      </c>
      <c r="CL237" s="60">
        <v>5968</v>
      </c>
      <c r="CM237" s="60">
        <v>1241</v>
      </c>
      <c r="CN237" s="60">
        <v>44</v>
      </c>
      <c r="CO237" s="60">
        <v>245</v>
      </c>
      <c r="CP237" s="60">
        <v>31</v>
      </c>
      <c r="CQ237" s="60">
        <v>65</v>
      </c>
      <c r="CR237" s="60">
        <v>15</v>
      </c>
      <c r="CS237" s="60"/>
      <c r="CT237" s="60">
        <v>8934</v>
      </c>
      <c r="CU237" s="60">
        <v>16</v>
      </c>
      <c r="CV237" s="60">
        <v>7524</v>
      </c>
      <c r="CW237" s="60">
        <v>1394</v>
      </c>
      <c r="CX237" s="60">
        <v>865</v>
      </c>
      <c r="CY237" s="60">
        <v>655</v>
      </c>
      <c r="CZ237" s="60"/>
      <c r="DA237" s="60"/>
      <c r="DB237" s="60">
        <v>19</v>
      </c>
      <c r="DC237" s="60">
        <v>88</v>
      </c>
      <c r="DD237" s="60">
        <v>98</v>
      </c>
      <c r="DE237" s="60">
        <v>110</v>
      </c>
      <c r="DF237" s="60">
        <v>210</v>
      </c>
      <c r="DG237" s="60">
        <v>172</v>
      </c>
      <c r="DH237" s="60">
        <v>304</v>
      </c>
      <c r="DI237" s="60">
        <v>519</v>
      </c>
      <c r="DJ237" s="60"/>
      <c r="DK237" s="60"/>
      <c r="DL237" s="60"/>
      <c r="DM237" s="60">
        <v>12</v>
      </c>
      <c r="DN237" s="60">
        <v>20</v>
      </c>
      <c r="DO237" s="60">
        <v>278</v>
      </c>
      <c r="DP237" s="60">
        <v>11</v>
      </c>
      <c r="DQ237" s="60">
        <v>2</v>
      </c>
      <c r="DR237" s="60">
        <v>1183</v>
      </c>
      <c r="DS237" s="60">
        <v>14</v>
      </c>
      <c r="DT237" s="60">
        <v>87</v>
      </c>
      <c r="DU237" s="60">
        <v>20</v>
      </c>
      <c r="DV237" s="60">
        <v>48</v>
      </c>
      <c r="DW237" s="60">
        <v>210</v>
      </c>
      <c r="DX237" s="60"/>
      <c r="DY237" s="60"/>
      <c r="DZ237" s="60">
        <v>4</v>
      </c>
      <c r="EA237" s="60">
        <v>926</v>
      </c>
      <c r="EB237" s="60">
        <v>225</v>
      </c>
      <c r="EC237" s="60"/>
      <c r="ED237" s="60">
        <v>0</v>
      </c>
      <c r="EE237" s="60">
        <v>0</v>
      </c>
      <c r="EF237" s="60">
        <v>0</v>
      </c>
      <c r="EG237" s="60">
        <v>0</v>
      </c>
      <c r="EH237" s="60">
        <v>0</v>
      </c>
      <c r="EI237" s="60">
        <v>198</v>
      </c>
      <c r="EJ237" s="60">
        <v>907</v>
      </c>
      <c r="EK237" s="60">
        <v>81</v>
      </c>
      <c r="EL237" s="60">
        <v>275</v>
      </c>
      <c r="EM237" s="60">
        <v>59</v>
      </c>
      <c r="EN237" s="60">
        <v>85</v>
      </c>
      <c r="EO237" s="60">
        <v>21</v>
      </c>
      <c r="EP237" s="60">
        <v>218</v>
      </c>
      <c r="EQ237" s="60">
        <v>1</v>
      </c>
      <c r="ER237" s="60">
        <v>280</v>
      </c>
      <c r="ES237" s="60">
        <v>53</v>
      </c>
      <c r="ET237" s="60">
        <v>90</v>
      </c>
      <c r="EU237" s="60">
        <v>106</v>
      </c>
      <c r="EV237" s="60">
        <v>131</v>
      </c>
      <c r="EW237" s="60">
        <v>24</v>
      </c>
      <c r="EX237" s="60">
        <v>27</v>
      </c>
      <c r="EY237" s="60">
        <v>28</v>
      </c>
      <c r="EZ237" s="60">
        <v>4</v>
      </c>
      <c r="FA237" s="60">
        <v>16</v>
      </c>
      <c r="FB237" s="60">
        <v>231</v>
      </c>
      <c r="FC237" s="60">
        <v>33</v>
      </c>
      <c r="FD237" s="60">
        <v>172</v>
      </c>
      <c r="FE237" s="60"/>
      <c r="FF237" s="60"/>
      <c r="FG237" s="60"/>
      <c r="FH237" s="60">
        <v>99</v>
      </c>
      <c r="FI237" s="60">
        <v>4</v>
      </c>
      <c r="FJ237" s="60">
        <v>31</v>
      </c>
      <c r="FK237" s="60">
        <v>1</v>
      </c>
      <c r="FL237" s="60"/>
      <c r="FM237" s="60">
        <v>37</v>
      </c>
      <c r="FN237" s="60">
        <v>5</v>
      </c>
      <c r="FO237" s="60">
        <v>1294</v>
      </c>
      <c r="FP237" s="60">
        <v>24</v>
      </c>
      <c r="FQ237" s="60">
        <v>1</v>
      </c>
      <c r="FR237" s="60">
        <v>9</v>
      </c>
      <c r="FS237" s="60">
        <v>8</v>
      </c>
      <c r="FT237" s="60">
        <v>1</v>
      </c>
      <c r="FU237" s="60">
        <v>6</v>
      </c>
      <c r="FV237" s="60"/>
      <c r="FW237" s="60"/>
      <c r="FX237" s="60">
        <v>1520</v>
      </c>
      <c r="FY237" s="60">
        <v>3</v>
      </c>
      <c r="FZ237" s="60">
        <v>1346</v>
      </c>
      <c r="GA237" s="60">
        <v>171</v>
      </c>
      <c r="GB237" s="60">
        <v>2011</v>
      </c>
    </row>
    <row r="238" spans="1:184" x14ac:dyDescent="0.3">
      <c r="A238" s="60">
        <v>106370714</v>
      </c>
      <c r="B238" s="61" t="s">
        <v>916</v>
      </c>
      <c r="C238" s="61" t="s">
        <v>917</v>
      </c>
      <c r="D238" s="61" t="s">
        <v>918</v>
      </c>
      <c r="E238" s="61" t="s">
        <v>919</v>
      </c>
      <c r="F238" s="60">
        <v>91942</v>
      </c>
      <c r="G238" s="61"/>
      <c r="H238" s="61" t="s">
        <v>1669</v>
      </c>
      <c r="I238" s="60">
        <v>77</v>
      </c>
      <c r="J238" s="60">
        <v>36</v>
      </c>
      <c r="K238" s="61" t="s">
        <v>2001</v>
      </c>
      <c r="L238" s="61"/>
      <c r="M238" s="61" t="s">
        <v>1750</v>
      </c>
      <c r="N238" s="61" t="s">
        <v>1995</v>
      </c>
      <c r="O238" s="61" t="s">
        <v>1673</v>
      </c>
      <c r="P238" s="61" t="s">
        <v>1678</v>
      </c>
      <c r="Q238" s="61" t="s">
        <v>1674</v>
      </c>
      <c r="R238" s="60">
        <v>460</v>
      </c>
      <c r="S238" s="61" t="s">
        <v>1675</v>
      </c>
      <c r="T238" s="60">
        <v>39997</v>
      </c>
      <c r="U238" s="60">
        <v>30426</v>
      </c>
      <c r="V238" s="60"/>
      <c r="W238" s="60"/>
      <c r="X238" s="60">
        <v>5343</v>
      </c>
      <c r="Y238" s="60">
        <v>6740</v>
      </c>
      <c r="Z238" s="60">
        <v>14808</v>
      </c>
      <c r="AA238" s="60">
        <v>10603</v>
      </c>
      <c r="AB238" s="60">
        <v>10180</v>
      </c>
      <c r="AC238" s="60">
        <v>9240</v>
      </c>
      <c r="AD238" s="60">
        <v>4855</v>
      </c>
      <c r="AE238" s="60">
        <v>3264</v>
      </c>
      <c r="AF238" s="60">
        <v>4149</v>
      </c>
      <c r="AG238" s="60">
        <v>1241</v>
      </c>
      <c r="AH238" s="60"/>
      <c r="AI238" s="60">
        <v>1188</v>
      </c>
      <c r="AJ238" s="60">
        <v>7274</v>
      </c>
      <c r="AK238" s="60">
        <v>13445</v>
      </c>
      <c r="AL238" s="60">
        <v>242</v>
      </c>
      <c r="AM238" s="60">
        <v>8800</v>
      </c>
      <c r="AN238" s="60">
        <v>3969</v>
      </c>
      <c r="AO238" s="60">
        <v>35505</v>
      </c>
      <c r="AP238" s="60">
        <v>1047</v>
      </c>
      <c r="AQ238" s="60">
        <v>5321</v>
      </c>
      <c r="AR238" s="60">
        <v>225</v>
      </c>
      <c r="AS238" s="60">
        <v>159</v>
      </c>
      <c r="AT238" s="60">
        <v>23</v>
      </c>
      <c r="AU238" s="60"/>
      <c r="AV238" s="60">
        <v>23</v>
      </c>
      <c r="AW238" s="60"/>
      <c r="AX238" s="60">
        <v>205</v>
      </c>
      <c r="AY238" s="60">
        <v>1175</v>
      </c>
      <c r="AZ238" s="60">
        <v>111</v>
      </c>
      <c r="BA238" s="60">
        <v>60962</v>
      </c>
      <c r="BB238" s="60">
        <v>1128</v>
      </c>
      <c r="BC238" s="60">
        <v>44</v>
      </c>
      <c r="BD238" s="60"/>
      <c r="BE238" s="60">
        <v>21674</v>
      </c>
      <c r="BF238" s="60">
        <v>12449</v>
      </c>
      <c r="BG238" s="60">
        <v>5777</v>
      </c>
      <c r="BH238" s="60">
        <v>15809</v>
      </c>
      <c r="BI238" s="60">
        <v>14714</v>
      </c>
      <c r="BJ238" s="60">
        <v>2524</v>
      </c>
      <c r="BK238" s="60">
        <v>161</v>
      </c>
      <c r="BL238" s="60">
        <v>1768</v>
      </c>
      <c r="BM238" s="60">
        <v>14</v>
      </c>
      <c r="BN238" s="60">
        <v>3320</v>
      </c>
      <c r="BO238" s="60">
        <v>860</v>
      </c>
      <c r="BP238" s="60">
        <v>3779</v>
      </c>
      <c r="BQ238" s="60">
        <v>1050</v>
      </c>
      <c r="BR238" s="60">
        <v>15461</v>
      </c>
      <c r="BS238" s="60">
        <v>5089</v>
      </c>
      <c r="BT238" s="60">
        <v>107</v>
      </c>
      <c r="BU238" s="60">
        <v>3653</v>
      </c>
      <c r="BV238" s="60">
        <v>2271</v>
      </c>
      <c r="BW238" s="60">
        <v>100</v>
      </c>
      <c r="BX238" s="60">
        <v>3771</v>
      </c>
      <c r="BY238" s="60">
        <v>5241</v>
      </c>
      <c r="BZ238" s="60">
        <v>2389</v>
      </c>
      <c r="CA238" s="60">
        <v>18865</v>
      </c>
      <c r="CB238" s="60"/>
      <c r="CC238" s="60"/>
      <c r="CD238" s="60">
        <v>5469</v>
      </c>
      <c r="CE238" s="60">
        <v>350</v>
      </c>
      <c r="CF238" s="60">
        <v>811</v>
      </c>
      <c r="CG238" s="60">
        <v>43</v>
      </c>
      <c r="CH238" s="60">
        <v>1000</v>
      </c>
      <c r="CI238" s="60">
        <v>129</v>
      </c>
      <c r="CJ238" s="60">
        <v>302</v>
      </c>
      <c r="CK238" s="60">
        <v>710</v>
      </c>
      <c r="CL238" s="60">
        <v>52216</v>
      </c>
      <c r="CM238" s="60">
        <v>6173</v>
      </c>
      <c r="CN238" s="60">
        <v>361</v>
      </c>
      <c r="CO238" s="60">
        <v>1880</v>
      </c>
      <c r="CP238" s="60">
        <v>506</v>
      </c>
      <c r="CQ238" s="60">
        <v>381</v>
      </c>
      <c r="CR238" s="60">
        <v>92</v>
      </c>
      <c r="CS238" s="60"/>
      <c r="CT238" s="60">
        <v>70423</v>
      </c>
      <c r="CU238" s="60">
        <v>3210</v>
      </c>
      <c r="CV238" s="60">
        <v>63950</v>
      </c>
      <c r="CW238" s="60">
        <v>3263</v>
      </c>
      <c r="CX238" s="60">
        <v>11075</v>
      </c>
      <c r="CY238" s="60">
        <v>9542</v>
      </c>
      <c r="CZ238" s="60"/>
      <c r="DA238" s="60"/>
      <c r="DB238" s="60">
        <v>303</v>
      </c>
      <c r="DC238" s="60">
        <v>1511</v>
      </c>
      <c r="DD238" s="60">
        <v>1667</v>
      </c>
      <c r="DE238" s="60">
        <v>2810</v>
      </c>
      <c r="DF238" s="60">
        <v>3857</v>
      </c>
      <c r="DG238" s="60">
        <v>3313</v>
      </c>
      <c r="DH238" s="60">
        <v>2870</v>
      </c>
      <c r="DI238" s="60">
        <v>4285</v>
      </c>
      <c r="DJ238" s="60">
        <v>1</v>
      </c>
      <c r="DK238" s="60"/>
      <c r="DL238" s="60"/>
      <c r="DM238" s="60">
        <v>461</v>
      </c>
      <c r="DN238" s="60">
        <v>1501</v>
      </c>
      <c r="DO238" s="60">
        <v>3040</v>
      </c>
      <c r="DP238" s="60">
        <v>2327</v>
      </c>
      <c r="DQ238" s="60">
        <v>941</v>
      </c>
      <c r="DR238" s="60">
        <v>12267</v>
      </c>
      <c r="DS238" s="60">
        <v>80</v>
      </c>
      <c r="DT238" s="60">
        <v>328</v>
      </c>
      <c r="DU238" s="60">
        <v>424</v>
      </c>
      <c r="DV238" s="60">
        <v>722</v>
      </c>
      <c r="DW238" s="60">
        <v>1650</v>
      </c>
      <c r="DX238" s="60">
        <v>353</v>
      </c>
      <c r="DY238" s="60">
        <v>205</v>
      </c>
      <c r="DZ238" s="60">
        <v>181</v>
      </c>
      <c r="EA238" s="60">
        <v>13464</v>
      </c>
      <c r="EB238" s="60">
        <v>3274</v>
      </c>
      <c r="EC238" s="60">
        <v>16</v>
      </c>
      <c r="ED238" s="60">
        <v>0</v>
      </c>
      <c r="EE238" s="60">
        <v>0</v>
      </c>
      <c r="EF238" s="60">
        <v>0</v>
      </c>
      <c r="EG238" s="60">
        <v>0</v>
      </c>
      <c r="EH238" s="60">
        <v>0</v>
      </c>
      <c r="EI238" s="60">
        <v>4327</v>
      </c>
      <c r="EJ238" s="60">
        <v>9948</v>
      </c>
      <c r="EK238" s="60">
        <v>322</v>
      </c>
      <c r="EL238" s="60">
        <v>2893</v>
      </c>
      <c r="EM238" s="60">
        <v>3127</v>
      </c>
      <c r="EN238" s="60">
        <v>183</v>
      </c>
      <c r="EO238" s="60">
        <v>258</v>
      </c>
      <c r="EP238" s="60">
        <v>3775</v>
      </c>
      <c r="EQ238" s="60">
        <v>9</v>
      </c>
      <c r="ER238" s="60">
        <v>3193</v>
      </c>
      <c r="ES238" s="60">
        <v>1134</v>
      </c>
      <c r="ET238" s="60">
        <v>1142</v>
      </c>
      <c r="EU238" s="60">
        <v>1504</v>
      </c>
      <c r="EV238" s="60">
        <v>1739</v>
      </c>
      <c r="EW238" s="60">
        <v>562</v>
      </c>
      <c r="EX238" s="60">
        <v>469</v>
      </c>
      <c r="EY238" s="60">
        <v>779</v>
      </c>
      <c r="EZ238" s="60">
        <v>32</v>
      </c>
      <c r="FA238" s="60">
        <v>1422</v>
      </c>
      <c r="FB238" s="60">
        <v>2352</v>
      </c>
      <c r="FC238" s="60">
        <v>663</v>
      </c>
      <c r="FD238" s="60">
        <v>1400</v>
      </c>
      <c r="FE238" s="60">
        <v>1</v>
      </c>
      <c r="FF238" s="60"/>
      <c r="FG238" s="60"/>
      <c r="FH238" s="60">
        <v>1007</v>
      </c>
      <c r="FI238" s="60">
        <v>184</v>
      </c>
      <c r="FJ238" s="60">
        <v>1825</v>
      </c>
      <c r="FK238" s="60">
        <v>67</v>
      </c>
      <c r="FL238" s="60">
        <v>42</v>
      </c>
      <c r="FM238" s="60">
        <v>420</v>
      </c>
      <c r="FN238" s="60">
        <v>59</v>
      </c>
      <c r="FO238" s="60">
        <v>16436</v>
      </c>
      <c r="FP238" s="60">
        <v>295</v>
      </c>
      <c r="FQ238" s="60">
        <v>16</v>
      </c>
      <c r="FR238" s="60">
        <v>49</v>
      </c>
      <c r="FS238" s="60">
        <v>138</v>
      </c>
      <c r="FT238" s="60">
        <v>43</v>
      </c>
      <c r="FU238" s="60">
        <v>30</v>
      </c>
      <c r="FV238" s="60">
        <v>6</v>
      </c>
      <c r="FW238" s="60"/>
      <c r="FX238" s="60">
        <v>20617</v>
      </c>
      <c r="FY238" s="60">
        <v>1102</v>
      </c>
      <c r="FZ238" s="60">
        <v>18334</v>
      </c>
      <c r="GA238" s="60">
        <v>1181</v>
      </c>
      <c r="GB238" s="60">
        <v>2011</v>
      </c>
    </row>
    <row r="239" spans="1:184" x14ac:dyDescent="0.3">
      <c r="A239" s="60">
        <v>106370730</v>
      </c>
      <c r="B239" s="61" t="s">
        <v>920</v>
      </c>
      <c r="C239" s="61" t="s">
        <v>2002</v>
      </c>
      <c r="D239" s="61" t="s">
        <v>921</v>
      </c>
      <c r="E239" s="61" t="s">
        <v>901</v>
      </c>
      <c r="F239" s="60">
        <v>92120</v>
      </c>
      <c r="G239" s="61"/>
      <c r="H239" s="61" t="s">
        <v>1669</v>
      </c>
      <c r="I239" s="60">
        <v>78</v>
      </c>
      <c r="J239" s="60">
        <v>39</v>
      </c>
      <c r="K239" s="61" t="s">
        <v>2003</v>
      </c>
      <c r="L239" s="61"/>
      <c r="M239" s="61" t="s">
        <v>1750</v>
      </c>
      <c r="N239" s="61" t="s">
        <v>1995</v>
      </c>
      <c r="O239" s="61" t="s">
        <v>1673</v>
      </c>
      <c r="P239" s="61" t="s">
        <v>1678</v>
      </c>
      <c r="Q239" s="61" t="s">
        <v>1674</v>
      </c>
      <c r="R239" s="60">
        <v>392</v>
      </c>
      <c r="S239" s="61" t="s">
        <v>1675</v>
      </c>
      <c r="T239" s="60">
        <v>45797</v>
      </c>
      <c r="U239" s="60">
        <v>35736</v>
      </c>
      <c r="V239" s="60"/>
      <c r="W239" s="60"/>
      <c r="X239" s="60">
        <v>6720</v>
      </c>
      <c r="Y239" s="60">
        <v>7760</v>
      </c>
      <c r="Z239" s="60">
        <v>11535</v>
      </c>
      <c r="AA239" s="60">
        <v>9512</v>
      </c>
      <c r="AB239" s="60">
        <v>10261</v>
      </c>
      <c r="AC239" s="60">
        <v>11518</v>
      </c>
      <c r="AD239" s="60">
        <v>9057</v>
      </c>
      <c r="AE239" s="60">
        <v>7138</v>
      </c>
      <c r="AF239" s="60">
        <v>6717</v>
      </c>
      <c r="AG239" s="60">
        <v>1315</v>
      </c>
      <c r="AH239" s="60"/>
      <c r="AI239" s="60">
        <v>6646</v>
      </c>
      <c r="AJ239" s="60">
        <v>7627</v>
      </c>
      <c r="AK239" s="60">
        <v>21574</v>
      </c>
      <c r="AL239" s="60">
        <v>207</v>
      </c>
      <c r="AM239" s="60">
        <v>616</v>
      </c>
      <c r="AN239" s="60">
        <v>782</v>
      </c>
      <c r="AO239" s="60">
        <v>44081</v>
      </c>
      <c r="AP239" s="60">
        <v>137</v>
      </c>
      <c r="AQ239" s="60">
        <v>471</v>
      </c>
      <c r="AR239" s="60">
        <v>2</v>
      </c>
      <c r="AS239" s="60">
        <v>34</v>
      </c>
      <c r="AT239" s="60">
        <v>255</v>
      </c>
      <c r="AU239" s="60">
        <v>86</v>
      </c>
      <c r="AV239" s="60">
        <v>7</v>
      </c>
      <c r="AW239" s="60">
        <v>4</v>
      </c>
      <c r="AX239" s="60">
        <v>11</v>
      </c>
      <c r="AY239" s="60">
        <v>720</v>
      </c>
      <c r="AZ239" s="60">
        <v>6</v>
      </c>
      <c r="BA239" s="60">
        <v>79284</v>
      </c>
      <c r="BB239" s="60">
        <v>338</v>
      </c>
      <c r="BC239" s="60">
        <v>176</v>
      </c>
      <c r="BD239" s="60">
        <v>2</v>
      </c>
      <c r="BE239" s="60">
        <v>4730</v>
      </c>
      <c r="BF239" s="60">
        <v>17871</v>
      </c>
      <c r="BG239" s="60">
        <v>200</v>
      </c>
      <c r="BH239" s="60">
        <v>54141</v>
      </c>
      <c r="BI239" s="60">
        <v>4591</v>
      </c>
      <c r="BJ239" s="60">
        <v>2047</v>
      </c>
      <c r="BK239" s="60">
        <v>375</v>
      </c>
      <c r="BL239" s="60">
        <v>3231</v>
      </c>
      <c r="BM239" s="60">
        <v>25</v>
      </c>
      <c r="BN239" s="60">
        <v>5132</v>
      </c>
      <c r="BO239" s="60">
        <v>1435</v>
      </c>
      <c r="BP239" s="60">
        <v>4954</v>
      </c>
      <c r="BQ239" s="60">
        <v>1183</v>
      </c>
      <c r="BR239" s="60">
        <v>19277</v>
      </c>
      <c r="BS239" s="60">
        <v>5075</v>
      </c>
      <c r="BT239" s="60">
        <v>186</v>
      </c>
      <c r="BU239" s="60">
        <v>4042</v>
      </c>
      <c r="BV239" s="60">
        <v>1917</v>
      </c>
      <c r="BW239" s="60">
        <v>153</v>
      </c>
      <c r="BX239" s="60">
        <v>2290</v>
      </c>
      <c r="BY239" s="60">
        <v>5644</v>
      </c>
      <c r="BZ239" s="60">
        <v>2373</v>
      </c>
      <c r="CA239" s="60">
        <v>22194</v>
      </c>
      <c r="CB239" s="60"/>
      <c r="CC239" s="60"/>
      <c r="CD239" s="60">
        <v>6141</v>
      </c>
      <c r="CE239" s="60">
        <v>263</v>
      </c>
      <c r="CF239" s="60">
        <v>1193</v>
      </c>
      <c r="CG239" s="60">
        <v>21</v>
      </c>
      <c r="CH239" s="60">
        <v>512</v>
      </c>
      <c r="CI239" s="60">
        <v>54</v>
      </c>
      <c r="CJ239" s="60">
        <v>1146</v>
      </c>
      <c r="CK239" s="60">
        <v>762</v>
      </c>
      <c r="CL239" s="60">
        <v>60233</v>
      </c>
      <c r="CM239" s="60">
        <v>8434</v>
      </c>
      <c r="CN239" s="60">
        <v>476</v>
      </c>
      <c r="CO239" s="60">
        <v>1528</v>
      </c>
      <c r="CP239" s="60">
        <v>214</v>
      </c>
      <c r="CQ239" s="60">
        <v>533</v>
      </c>
      <c r="CR239" s="60">
        <v>22</v>
      </c>
      <c r="CS239" s="60">
        <v>1</v>
      </c>
      <c r="CT239" s="60">
        <v>81533</v>
      </c>
      <c r="CU239" s="60">
        <v>763</v>
      </c>
      <c r="CV239" s="60">
        <v>75224</v>
      </c>
      <c r="CW239" s="60">
        <v>5546</v>
      </c>
      <c r="CX239" s="60">
        <v>7745</v>
      </c>
      <c r="CY239" s="60">
        <v>7193</v>
      </c>
      <c r="CZ239" s="60"/>
      <c r="DA239" s="60"/>
      <c r="DB239" s="60">
        <v>327</v>
      </c>
      <c r="DC239" s="60">
        <v>657</v>
      </c>
      <c r="DD239" s="60">
        <v>817</v>
      </c>
      <c r="DE239" s="60">
        <v>1319</v>
      </c>
      <c r="DF239" s="60">
        <v>2273</v>
      </c>
      <c r="DG239" s="60">
        <v>2664</v>
      </c>
      <c r="DH239" s="60">
        <v>3034</v>
      </c>
      <c r="DI239" s="60">
        <v>3542</v>
      </c>
      <c r="DJ239" s="60">
        <v>76</v>
      </c>
      <c r="DK239" s="60">
        <v>228</v>
      </c>
      <c r="DL239" s="60">
        <v>1</v>
      </c>
      <c r="DM239" s="60">
        <v>1006</v>
      </c>
      <c r="DN239" s="60">
        <v>1109</v>
      </c>
      <c r="DO239" s="60">
        <v>2843</v>
      </c>
      <c r="DP239" s="60">
        <v>50</v>
      </c>
      <c r="DQ239" s="60">
        <v>57</v>
      </c>
      <c r="DR239" s="60">
        <v>9841</v>
      </c>
      <c r="DS239" s="60">
        <v>32</v>
      </c>
      <c r="DT239" s="60">
        <v>413</v>
      </c>
      <c r="DU239" s="60">
        <v>93</v>
      </c>
      <c r="DV239" s="60">
        <v>374</v>
      </c>
      <c r="DW239" s="60">
        <v>3117</v>
      </c>
      <c r="DX239" s="60">
        <v>115</v>
      </c>
      <c r="DY239" s="60">
        <v>47</v>
      </c>
      <c r="DZ239" s="60">
        <v>131</v>
      </c>
      <c r="EA239" s="60">
        <v>9116</v>
      </c>
      <c r="EB239" s="60">
        <v>1531</v>
      </c>
      <c r="EC239" s="60">
        <v>1</v>
      </c>
      <c r="ED239" s="60">
        <v>0</v>
      </c>
      <c r="EE239" s="60">
        <v>0</v>
      </c>
      <c r="EF239" s="60">
        <v>0</v>
      </c>
      <c r="EG239" s="60">
        <v>0</v>
      </c>
      <c r="EH239" s="60">
        <v>0</v>
      </c>
      <c r="EI239" s="60">
        <v>431</v>
      </c>
      <c r="EJ239" s="60">
        <v>8005</v>
      </c>
      <c r="EK239" s="60">
        <v>23</v>
      </c>
      <c r="EL239" s="60">
        <v>6222</v>
      </c>
      <c r="EM239" s="60">
        <v>257</v>
      </c>
      <c r="EN239" s="60">
        <v>97</v>
      </c>
      <c r="EO239" s="60">
        <v>313</v>
      </c>
      <c r="EP239" s="60">
        <v>2533</v>
      </c>
      <c r="EQ239" s="60">
        <v>13</v>
      </c>
      <c r="ER239" s="60">
        <v>2979</v>
      </c>
      <c r="ES239" s="60">
        <v>706</v>
      </c>
      <c r="ET239" s="60">
        <v>1071</v>
      </c>
      <c r="EU239" s="60">
        <v>1204</v>
      </c>
      <c r="EV239" s="60">
        <v>1506</v>
      </c>
      <c r="EW239" s="60">
        <v>387</v>
      </c>
      <c r="EX239" s="60">
        <v>452</v>
      </c>
      <c r="EY239" s="60">
        <v>420</v>
      </c>
      <c r="EZ239" s="60">
        <v>22</v>
      </c>
      <c r="FA239" s="60">
        <v>203</v>
      </c>
      <c r="FB239" s="60">
        <v>1501</v>
      </c>
      <c r="FC239" s="60">
        <v>385</v>
      </c>
      <c r="FD239" s="60">
        <v>1132</v>
      </c>
      <c r="FE239" s="60">
        <v>2</v>
      </c>
      <c r="FF239" s="60">
        <v>12</v>
      </c>
      <c r="FG239" s="60"/>
      <c r="FH239" s="60">
        <v>771</v>
      </c>
      <c r="FI239" s="60">
        <v>61</v>
      </c>
      <c r="FJ239" s="60">
        <v>1161</v>
      </c>
      <c r="FK239" s="60">
        <v>12</v>
      </c>
      <c r="FL239" s="60">
        <v>54</v>
      </c>
      <c r="FM239" s="60">
        <v>786</v>
      </c>
      <c r="FN239" s="60">
        <v>33</v>
      </c>
      <c r="FO239" s="60">
        <v>11682</v>
      </c>
      <c r="FP239" s="60">
        <v>214</v>
      </c>
      <c r="FQ239" s="60">
        <v>27</v>
      </c>
      <c r="FR239" s="60">
        <v>51</v>
      </c>
      <c r="FS239" s="60">
        <v>50</v>
      </c>
      <c r="FT239" s="60">
        <v>26</v>
      </c>
      <c r="FU239" s="60">
        <v>10</v>
      </c>
      <c r="FV239" s="60"/>
      <c r="FW239" s="60"/>
      <c r="FX239" s="60">
        <v>14938</v>
      </c>
      <c r="FY239" s="60">
        <v>158</v>
      </c>
      <c r="FZ239" s="60">
        <v>13885</v>
      </c>
      <c r="GA239" s="60">
        <v>895</v>
      </c>
      <c r="GB239" s="60">
        <v>2011</v>
      </c>
    </row>
    <row r="240" spans="1:184" x14ac:dyDescent="0.3">
      <c r="A240" s="60">
        <v>106370744</v>
      </c>
      <c r="B240" s="61" t="s">
        <v>922</v>
      </c>
      <c r="C240" s="61" t="s">
        <v>923</v>
      </c>
      <c r="D240" s="61" t="s">
        <v>924</v>
      </c>
      <c r="E240" s="61" t="s">
        <v>901</v>
      </c>
      <c r="F240" s="60">
        <v>92103</v>
      </c>
      <c r="G240" s="61" t="s">
        <v>248</v>
      </c>
      <c r="H240" s="61" t="s">
        <v>1689</v>
      </c>
      <c r="I240" s="60">
        <v>76</v>
      </c>
      <c r="J240" s="60">
        <v>39</v>
      </c>
      <c r="K240" s="61" t="s">
        <v>1998</v>
      </c>
      <c r="L240" s="61"/>
      <c r="M240" s="61" t="s">
        <v>1750</v>
      </c>
      <c r="N240" s="61" t="s">
        <v>1995</v>
      </c>
      <c r="O240" s="61" t="s">
        <v>1673</v>
      </c>
      <c r="P240" s="61" t="s">
        <v>1678</v>
      </c>
      <c r="Q240" s="61" t="s">
        <v>1674</v>
      </c>
      <c r="R240" s="60">
        <v>465</v>
      </c>
      <c r="S240" s="61" t="s">
        <v>1675</v>
      </c>
      <c r="T240" s="60">
        <v>44662</v>
      </c>
      <c r="U240" s="60">
        <v>37742</v>
      </c>
      <c r="V240" s="60"/>
      <c r="W240" s="60"/>
      <c r="X240" s="60">
        <v>5504</v>
      </c>
      <c r="Y240" s="60">
        <v>6503</v>
      </c>
      <c r="Z240" s="60">
        <v>16368</v>
      </c>
      <c r="AA240" s="60">
        <v>12443</v>
      </c>
      <c r="AB240" s="60">
        <v>12519</v>
      </c>
      <c r="AC240" s="60">
        <v>12100</v>
      </c>
      <c r="AD240" s="60">
        <v>6747</v>
      </c>
      <c r="AE240" s="60">
        <v>4554</v>
      </c>
      <c r="AF240" s="60">
        <v>4284</v>
      </c>
      <c r="AG240" s="60">
        <v>1382</v>
      </c>
      <c r="AH240" s="60"/>
      <c r="AI240" s="60">
        <v>3207</v>
      </c>
      <c r="AJ240" s="60">
        <v>10032</v>
      </c>
      <c r="AK240" s="60">
        <v>35731</v>
      </c>
      <c r="AL240" s="60">
        <v>230</v>
      </c>
      <c r="AM240" s="60">
        <v>1175</v>
      </c>
      <c r="AN240" s="60">
        <v>83</v>
      </c>
      <c r="AO240" s="60">
        <v>31946</v>
      </c>
      <c r="AP240" s="60">
        <v>1220</v>
      </c>
      <c r="AQ240" s="60">
        <v>1484</v>
      </c>
      <c r="AR240" s="60">
        <v>11</v>
      </c>
      <c r="AS240" s="60">
        <v>130</v>
      </c>
      <c r="AT240" s="60">
        <v>45</v>
      </c>
      <c r="AU240" s="60">
        <v>29</v>
      </c>
      <c r="AV240" s="60">
        <v>16</v>
      </c>
      <c r="AW240" s="60">
        <v>264</v>
      </c>
      <c r="AX240" s="60"/>
      <c r="AY240" s="60">
        <v>537</v>
      </c>
      <c r="AZ240" s="60"/>
      <c r="BA240" s="60">
        <v>78177</v>
      </c>
      <c r="BB240" s="60">
        <v>491</v>
      </c>
      <c r="BC240" s="60"/>
      <c r="BD240" s="60"/>
      <c r="BE240" s="60">
        <v>25789</v>
      </c>
      <c r="BF240" s="60">
        <v>16095</v>
      </c>
      <c r="BG240" s="60">
        <v>11794</v>
      </c>
      <c r="BH240" s="60">
        <v>14288</v>
      </c>
      <c r="BI240" s="60">
        <v>14438</v>
      </c>
      <c r="BJ240" s="60">
        <v>3212</v>
      </c>
      <c r="BK240" s="60">
        <v>161</v>
      </c>
      <c r="BL240" s="60">
        <v>2021</v>
      </c>
      <c r="BM240" s="60">
        <v>23</v>
      </c>
      <c r="BN240" s="60">
        <v>4159</v>
      </c>
      <c r="BO240" s="60">
        <v>1129</v>
      </c>
      <c r="BP240" s="60">
        <v>4151</v>
      </c>
      <c r="BQ240" s="60">
        <v>1263</v>
      </c>
      <c r="BR240" s="60">
        <v>17313</v>
      </c>
      <c r="BS240" s="60">
        <v>6017</v>
      </c>
      <c r="BT240" s="60">
        <v>157</v>
      </c>
      <c r="BU240" s="60">
        <v>5073</v>
      </c>
      <c r="BV240" s="60">
        <v>3214</v>
      </c>
      <c r="BW240" s="60">
        <v>107</v>
      </c>
      <c r="BX240" s="60">
        <v>4682</v>
      </c>
      <c r="BY240" s="60">
        <v>7209</v>
      </c>
      <c r="BZ240" s="60">
        <v>3237</v>
      </c>
      <c r="CA240" s="60">
        <v>19276</v>
      </c>
      <c r="CB240" s="60"/>
      <c r="CC240" s="60"/>
      <c r="CD240" s="60">
        <v>6077</v>
      </c>
      <c r="CE240" s="60">
        <v>320</v>
      </c>
      <c r="CF240" s="60">
        <v>804</v>
      </c>
      <c r="CG240" s="60">
        <v>29</v>
      </c>
      <c r="CH240" s="60">
        <v>1535</v>
      </c>
      <c r="CI240" s="60">
        <v>31</v>
      </c>
      <c r="CJ240" s="60">
        <v>523</v>
      </c>
      <c r="CK240" s="60">
        <v>678</v>
      </c>
      <c r="CL240" s="60">
        <v>62293</v>
      </c>
      <c r="CM240" s="60">
        <v>6890</v>
      </c>
      <c r="CN240" s="60">
        <v>405</v>
      </c>
      <c r="CO240" s="60">
        <v>2102</v>
      </c>
      <c r="CP240" s="60">
        <v>235</v>
      </c>
      <c r="CQ240" s="60">
        <v>336</v>
      </c>
      <c r="CR240" s="60">
        <v>146</v>
      </c>
      <c r="CS240" s="60"/>
      <c r="CT240" s="60">
        <v>82404</v>
      </c>
      <c r="CU240" s="60">
        <v>677</v>
      </c>
      <c r="CV240" s="60">
        <v>70083</v>
      </c>
      <c r="CW240" s="60">
        <v>11644</v>
      </c>
      <c r="CX240" s="60">
        <v>10317</v>
      </c>
      <c r="CY240" s="60">
        <v>10845</v>
      </c>
      <c r="CZ240" s="60">
        <v>3</v>
      </c>
      <c r="DA240" s="60"/>
      <c r="DB240" s="60">
        <v>412</v>
      </c>
      <c r="DC240" s="60">
        <v>1811</v>
      </c>
      <c r="DD240" s="60">
        <v>1793</v>
      </c>
      <c r="DE240" s="60">
        <v>2709</v>
      </c>
      <c r="DF240" s="60">
        <v>3932</v>
      </c>
      <c r="DG240" s="60">
        <v>3378</v>
      </c>
      <c r="DH240" s="60">
        <v>3096</v>
      </c>
      <c r="DI240" s="60">
        <v>4025</v>
      </c>
      <c r="DJ240" s="60">
        <v>9</v>
      </c>
      <c r="DK240" s="60"/>
      <c r="DL240" s="60"/>
      <c r="DM240" s="60">
        <v>1288</v>
      </c>
      <c r="DN240" s="60">
        <v>2240</v>
      </c>
      <c r="DO240" s="60">
        <v>7775</v>
      </c>
      <c r="DP240" s="60">
        <v>229</v>
      </c>
      <c r="DQ240" s="60">
        <v>46</v>
      </c>
      <c r="DR240" s="60">
        <v>9532</v>
      </c>
      <c r="DS240" s="60">
        <v>55</v>
      </c>
      <c r="DT240" s="60">
        <v>519</v>
      </c>
      <c r="DU240" s="60">
        <v>503</v>
      </c>
      <c r="DV240" s="60">
        <v>573</v>
      </c>
      <c r="DW240" s="60">
        <v>2330</v>
      </c>
      <c r="DX240" s="60">
        <v>424</v>
      </c>
      <c r="DY240" s="60">
        <v>32</v>
      </c>
      <c r="DZ240" s="60">
        <v>156</v>
      </c>
      <c r="EA240" s="60">
        <v>13307</v>
      </c>
      <c r="EB240" s="60">
        <v>3281</v>
      </c>
      <c r="EC240" s="60">
        <v>40</v>
      </c>
      <c r="ED240" s="60">
        <v>0</v>
      </c>
      <c r="EE240" s="60">
        <v>0</v>
      </c>
      <c r="EF240" s="60">
        <v>0</v>
      </c>
      <c r="EG240" s="60">
        <v>0</v>
      </c>
      <c r="EH240" s="60">
        <v>0</v>
      </c>
      <c r="EI240" s="60">
        <v>4048</v>
      </c>
      <c r="EJ240" s="60">
        <v>10024</v>
      </c>
      <c r="EK240" s="60">
        <v>345</v>
      </c>
      <c r="EL240" s="60">
        <v>2839</v>
      </c>
      <c r="EM240" s="60">
        <v>3909</v>
      </c>
      <c r="EN240" s="60">
        <v>283</v>
      </c>
      <c r="EO240" s="60">
        <v>222</v>
      </c>
      <c r="EP240" s="60">
        <v>3663</v>
      </c>
      <c r="EQ240" s="60">
        <v>14</v>
      </c>
      <c r="ER240" s="60">
        <v>3034</v>
      </c>
      <c r="ES240" s="60">
        <v>1214</v>
      </c>
      <c r="ET240" s="60">
        <v>953</v>
      </c>
      <c r="EU240" s="60">
        <v>1692</v>
      </c>
      <c r="EV240" s="60">
        <v>3578</v>
      </c>
      <c r="EW240" s="60">
        <v>504</v>
      </c>
      <c r="EX240" s="60">
        <v>532</v>
      </c>
      <c r="EY240" s="60">
        <v>604</v>
      </c>
      <c r="EZ240" s="60">
        <v>156</v>
      </c>
      <c r="FA240" s="60">
        <v>1257</v>
      </c>
      <c r="FB240" s="60">
        <v>1912</v>
      </c>
      <c r="FC240" s="60">
        <v>593</v>
      </c>
      <c r="FD240" s="60">
        <v>945</v>
      </c>
      <c r="FE240" s="60">
        <v>3</v>
      </c>
      <c r="FF240" s="60">
        <v>6</v>
      </c>
      <c r="FG240" s="60"/>
      <c r="FH240" s="60">
        <v>1654</v>
      </c>
      <c r="FI240" s="60">
        <v>187</v>
      </c>
      <c r="FJ240" s="60">
        <v>1312</v>
      </c>
      <c r="FK240" s="60">
        <v>463</v>
      </c>
      <c r="FL240" s="60">
        <v>101</v>
      </c>
      <c r="FM240" s="60">
        <v>1192</v>
      </c>
      <c r="FN240" s="60">
        <v>76</v>
      </c>
      <c r="FO240" s="60">
        <v>14682</v>
      </c>
      <c r="FP240" s="60">
        <v>405</v>
      </c>
      <c r="FQ240" s="60">
        <v>88</v>
      </c>
      <c r="FR240" s="60">
        <v>679</v>
      </c>
      <c r="FS240" s="60">
        <v>219</v>
      </c>
      <c r="FT240" s="60">
        <v>41</v>
      </c>
      <c r="FU240" s="60">
        <v>61</v>
      </c>
      <c r="FV240" s="60">
        <v>5</v>
      </c>
      <c r="FW240" s="60"/>
      <c r="FX240" s="60">
        <v>21165</v>
      </c>
      <c r="FY240" s="60">
        <v>401</v>
      </c>
      <c r="FZ240" s="60">
        <v>16631</v>
      </c>
      <c r="GA240" s="60">
        <v>4133</v>
      </c>
      <c r="GB240" s="60">
        <v>2011</v>
      </c>
    </row>
    <row r="241" spans="1:184" x14ac:dyDescent="0.3">
      <c r="A241" s="60">
        <v>106370745</v>
      </c>
      <c r="B241" s="61" t="s">
        <v>2004</v>
      </c>
      <c r="C241" s="61" t="s">
        <v>2005</v>
      </c>
      <c r="D241" s="61" t="s">
        <v>2006</v>
      </c>
      <c r="E241" s="61" t="s">
        <v>901</v>
      </c>
      <c r="F241" s="60">
        <v>92123</v>
      </c>
      <c r="G241" s="61"/>
      <c r="H241" s="61" t="s">
        <v>1669</v>
      </c>
      <c r="I241" s="60">
        <v>76</v>
      </c>
      <c r="J241" s="60">
        <v>39</v>
      </c>
      <c r="K241" s="61" t="s">
        <v>1998</v>
      </c>
      <c r="L241" s="61"/>
      <c r="M241" s="61" t="s">
        <v>1750</v>
      </c>
      <c r="N241" s="61" t="s">
        <v>1995</v>
      </c>
      <c r="O241" s="61" t="s">
        <v>2007</v>
      </c>
      <c r="P241" s="61" t="s">
        <v>1678</v>
      </c>
      <c r="Q241" s="61" t="s">
        <v>1686</v>
      </c>
      <c r="R241" s="60">
        <v>0</v>
      </c>
      <c r="S241" s="61" t="s">
        <v>1687</v>
      </c>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0"/>
      <c r="BG241" s="60"/>
      <c r="BH241" s="60"/>
      <c r="BI241" s="60"/>
      <c r="BJ241" s="60"/>
      <c r="BK241" s="60"/>
      <c r="BL241" s="60"/>
      <c r="BM241" s="60"/>
      <c r="BN241" s="60"/>
      <c r="BO241" s="60"/>
      <c r="BP241" s="60"/>
      <c r="BQ241" s="60"/>
      <c r="BR241" s="60"/>
      <c r="BS241" s="60"/>
      <c r="BT241" s="60"/>
      <c r="BU241" s="60"/>
      <c r="BV241" s="60"/>
      <c r="BW241" s="60"/>
      <c r="BX241" s="60"/>
      <c r="BY241" s="60"/>
      <c r="BZ241" s="60"/>
      <c r="CA241" s="60"/>
      <c r="CB241" s="60"/>
      <c r="CC241" s="60"/>
      <c r="CD241" s="60"/>
      <c r="CE241" s="60"/>
      <c r="CF241" s="60"/>
      <c r="CG241" s="60"/>
      <c r="CH241" s="60"/>
      <c r="CI241" s="60"/>
      <c r="CJ241" s="60"/>
      <c r="CK241" s="60"/>
      <c r="CL241" s="60"/>
      <c r="CM241" s="60"/>
      <c r="CN241" s="60"/>
      <c r="CO241" s="60"/>
      <c r="CP241" s="60"/>
      <c r="CQ241" s="60"/>
      <c r="CR241" s="60"/>
      <c r="CS241" s="60"/>
      <c r="CT241" s="60"/>
      <c r="CU241" s="60"/>
      <c r="CV241" s="60"/>
      <c r="CW241" s="60"/>
      <c r="CX241" s="60">
        <v>1</v>
      </c>
      <c r="CY241" s="60"/>
      <c r="CZ241" s="60"/>
      <c r="DA241" s="60"/>
      <c r="DB241" s="60"/>
      <c r="DC241" s="60"/>
      <c r="DD241" s="60"/>
      <c r="DE241" s="60"/>
      <c r="DF241" s="60"/>
      <c r="DG241" s="60"/>
      <c r="DH241" s="60"/>
      <c r="DI241" s="60">
        <v>1</v>
      </c>
      <c r="DJ241" s="60"/>
      <c r="DK241" s="60"/>
      <c r="DL241" s="60"/>
      <c r="DM241" s="60"/>
      <c r="DN241" s="60"/>
      <c r="DO241" s="60"/>
      <c r="DP241" s="60"/>
      <c r="DQ241" s="60"/>
      <c r="DR241" s="60">
        <v>1</v>
      </c>
      <c r="DS241" s="60"/>
      <c r="DT241" s="60"/>
      <c r="DU241" s="60"/>
      <c r="DV241" s="60"/>
      <c r="DW241" s="60"/>
      <c r="DX241" s="60"/>
      <c r="DY241" s="60"/>
      <c r="DZ241" s="60"/>
      <c r="EA241" s="60"/>
      <c r="EB241" s="60">
        <v>1</v>
      </c>
      <c r="EC241" s="60"/>
      <c r="ED241" s="60">
        <v>0</v>
      </c>
      <c r="EE241" s="60">
        <v>0</v>
      </c>
      <c r="EF241" s="60">
        <v>0</v>
      </c>
      <c r="EG241" s="60">
        <v>0</v>
      </c>
      <c r="EH241" s="60">
        <v>0</v>
      </c>
      <c r="EI241" s="60"/>
      <c r="EJ241" s="60">
        <v>1</v>
      </c>
      <c r="EK241" s="60"/>
      <c r="EL241" s="60"/>
      <c r="EM241" s="60"/>
      <c r="EN241" s="60"/>
      <c r="EO241" s="60"/>
      <c r="EP241" s="60"/>
      <c r="EQ241" s="60"/>
      <c r="ER241" s="60"/>
      <c r="ES241" s="60"/>
      <c r="ET241" s="60"/>
      <c r="EU241" s="60"/>
      <c r="EV241" s="60"/>
      <c r="EW241" s="60"/>
      <c r="EX241" s="60"/>
      <c r="EY241" s="60">
        <v>1</v>
      </c>
      <c r="EZ241" s="60"/>
      <c r="FA241" s="60"/>
      <c r="FB241" s="60"/>
      <c r="FC241" s="60"/>
      <c r="FD241" s="60"/>
      <c r="FE241" s="60"/>
      <c r="FF241" s="60"/>
      <c r="FG241" s="60"/>
      <c r="FH241" s="60"/>
      <c r="FI241" s="60"/>
      <c r="FJ241" s="60"/>
      <c r="FK241" s="60"/>
      <c r="FL241" s="60"/>
      <c r="FM241" s="60"/>
      <c r="FN241" s="60"/>
      <c r="FO241" s="60">
        <v>1</v>
      </c>
      <c r="FP241" s="60"/>
      <c r="FQ241" s="60"/>
      <c r="FR241" s="60"/>
      <c r="FS241" s="60"/>
      <c r="FT241" s="60"/>
      <c r="FU241" s="60"/>
      <c r="FV241" s="60"/>
      <c r="FW241" s="60"/>
      <c r="FX241" s="60">
        <v>1</v>
      </c>
      <c r="FY241" s="60"/>
      <c r="FZ241" s="60">
        <v>1</v>
      </c>
      <c r="GA241" s="60"/>
      <c r="GB241" s="60">
        <v>2011</v>
      </c>
    </row>
    <row r="242" spans="1:184" x14ac:dyDescent="0.3">
      <c r="A242" s="60">
        <v>106370755</v>
      </c>
      <c r="B242" s="61" t="s">
        <v>925</v>
      </c>
      <c r="C242" s="61" t="s">
        <v>2008</v>
      </c>
      <c r="D242" s="61" t="s">
        <v>926</v>
      </c>
      <c r="E242" s="61" t="s">
        <v>927</v>
      </c>
      <c r="F242" s="60">
        <v>92025</v>
      </c>
      <c r="G242" s="61" t="s">
        <v>143</v>
      </c>
      <c r="H242" s="61" t="s">
        <v>1669</v>
      </c>
      <c r="I242" s="60">
        <v>75</v>
      </c>
      <c r="J242" s="60">
        <v>38</v>
      </c>
      <c r="K242" s="61" t="s">
        <v>2009</v>
      </c>
      <c r="L242" s="61"/>
      <c r="M242" s="61" t="s">
        <v>1750</v>
      </c>
      <c r="N242" s="61" t="s">
        <v>1995</v>
      </c>
      <c r="O242" s="61" t="s">
        <v>1673</v>
      </c>
      <c r="P242" s="61" t="s">
        <v>159</v>
      </c>
      <c r="Q242" s="61" t="s">
        <v>1674</v>
      </c>
      <c r="R242" s="60">
        <v>275</v>
      </c>
      <c r="S242" s="61" t="s">
        <v>1675</v>
      </c>
      <c r="T242" s="60">
        <v>29345</v>
      </c>
      <c r="U242" s="60">
        <v>23469</v>
      </c>
      <c r="V242" s="60">
        <v>4</v>
      </c>
      <c r="W242" s="60"/>
      <c r="X242" s="60">
        <v>6406</v>
      </c>
      <c r="Y242" s="60">
        <v>5913</v>
      </c>
      <c r="Z242" s="60">
        <v>8666</v>
      </c>
      <c r="AA242" s="60">
        <v>6479</v>
      </c>
      <c r="AB242" s="60">
        <v>6620</v>
      </c>
      <c r="AC242" s="60">
        <v>5916</v>
      </c>
      <c r="AD242" s="60">
        <v>3887</v>
      </c>
      <c r="AE242" s="60">
        <v>3114</v>
      </c>
      <c r="AF242" s="60">
        <v>4070</v>
      </c>
      <c r="AG242" s="60">
        <v>1747</v>
      </c>
      <c r="AH242" s="60"/>
      <c r="AI242" s="60">
        <v>1521</v>
      </c>
      <c r="AJ242" s="60">
        <v>2163</v>
      </c>
      <c r="AK242" s="60">
        <v>19553</v>
      </c>
      <c r="AL242" s="60">
        <v>672</v>
      </c>
      <c r="AM242" s="60">
        <v>893</v>
      </c>
      <c r="AN242" s="60">
        <v>224</v>
      </c>
      <c r="AO242" s="60">
        <v>27792</v>
      </c>
      <c r="AP242" s="60">
        <v>1096</v>
      </c>
      <c r="AQ242" s="60">
        <v>71</v>
      </c>
      <c r="AR242" s="60">
        <v>258</v>
      </c>
      <c r="AS242" s="60">
        <v>90</v>
      </c>
      <c r="AT242" s="60">
        <v>83</v>
      </c>
      <c r="AU242" s="60">
        <v>33</v>
      </c>
      <c r="AV242" s="60">
        <v>17</v>
      </c>
      <c r="AW242" s="60"/>
      <c r="AX242" s="60">
        <v>98</v>
      </c>
      <c r="AY242" s="60">
        <v>1052</v>
      </c>
      <c r="AZ242" s="60">
        <v>3</v>
      </c>
      <c r="BA242" s="60">
        <v>49659</v>
      </c>
      <c r="BB242" s="60">
        <v>358</v>
      </c>
      <c r="BC242" s="60"/>
      <c r="BD242" s="60"/>
      <c r="BE242" s="60">
        <v>15940</v>
      </c>
      <c r="BF242" s="60">
        <v>10168</v>
      </c>
      <c r="BG242" s="60">
        <v>4256</v>
      </c>
      <c r="BH242" s="60">
        <v>15590</v>
      </c>
      <c r="BI242" s="60">
        <v>6864</v>
      </c>
      <c r="BJ242" s="60">
        <v>1835</v>
      </c>
      <c r="BK242" s="60">
        <v>200</v>
      </c>
      <c r="BL242" s="60">
        <v>1358</v>
      </c>
      <c r="BM242" s="60">
        <v>12</v>
      </c>
      <c r="BN242" s="60">
        <v>3128</v>
      </c>
      <c r="BO242" s="60">
        <v>919</v>
      </c>
      <c r="BP242" s="60">
        <v>2803</v>
      </c>
      <c r="BQ242" s="60">
        <v>654</v>
      </c>
      <c r="BR242" s="60">
        <v>12319</v>
      </c>
      <c r="BS242" s="60">
        <v>3000</v>
      </c>
      <c r="BT242" s="60">
        <v>99</v>
      </c>
      <c r="BU242" s="60">
        <v>2598</v>
      </c>
      <c r="BV242" s="60">
        <v>1227</v>
      </c>
      <c r="BW242" s="60">
        <v>168</v>
      </c>
      <c r="BX242" s="60">
        <v>3107</v>
      </c>
      <c r="BY242" s="60">
        <v>4936</v>
      </c>
      <c r="BZ242" s="60">
        <v>1770</v>
      </c>
      <c r="CA242" s="60">
        <v>12684</v>
      </c>
      <c r="CB242" s="60">
        <v>1</v>
      </c>
      <c r="CC242" s="60"/>
      <c r="CD242" s="60">
        <v>4518</v>
      </c>
      <c r="CE242" s="60">
        <v>194</v>
      </c>
      <c r="CF242" s="60">
        <v>543</v>
      </c>
      <c r="CG242" s="60">
        <v>21</v>
      </c>
      <c r="CH242" s="60">
        <v>667</v>
      </c>
      <c r="CI242" s="60">
        <v>42</v>
      </c>
      <c r="CJ242" s="60">
        <v>381</v>
      </c>
      <c r="CK242" s="60">
        <v>599</v>
      </c>
      <c r="CL242" s="60">
        <v>38599</v>
      </c>
      <c r="CM242" s="60">
        <v>4414</v>
      </c>
      <c r="CN242" s="60">
        <v>329</v>
      </c>
      <c r="CO242" s="60">
        <v>1952</v>
      </c>
      <c r="CP242" s="60">
        <v>225</v>
      </c>
      <c r="CQ242" s="60">
        <v>251</v>
      </c>
      <c r="CR242" s="60">
        <v>83</v>
      </c>
      <c r="CS242" s="60"/>
      <c r="CT242" s="60">
        <v>52818</v>
      </c>
      <c r="CU242" s="60">
        <v>732</v>
      </c>
      <c r="CV242" s="60">
        <v>44505</v>
      </c>
      <c r="CW242" s="60">
        <v>7581</v>
      </c>
      <c r="CX242" s="60">
        <v>5560</v>
      </c>
      <c r="CY242" s="60">
        <v>5432</v>
      </c>
      <c r="CZ242" s="60"/>
      <c r="DA242" s="60">
        <v>2</v>
      </c>
      <c r="DB242" s="60">
        <v>257</v>
      </c>
      <c r="DC242" s="60">
        <v>839</v>
      </c>
      <c r="DD242" s="60">
        <v>788</v>
      </c>
      <c r="DE242" s="60">
        <v>1278</v>
      </c>
      <c r="DF242" s="60">
        <v>1779</v>
      </c>
      <c r="DG242" s="60">
        <v>1588</v>
      </c>
      <c r="DH242" s="60">
        <v>1633</v>
      </c>
      <c r="DI242" s="60">
        <v>2827</v>
      </c>
      <c r="DJ242" s="60">
        <v>2</v>
      </c>
      <c r="DK242" s="60">
        <v>1</v>
      </c>
      <c r="DL242" s="60">
        <v>2</v>
      </c>
      <c r="DM242" s="60">
        <v>376</v>
      </c>
      <c r="DN242" s="60">
        <v>299</v>
      </c>
      <c r="DO242" s="60">
        <v>2176</v>
      </c>
      <c r="DP242" s="60">
        <v>151</v>
      </c>
      <c r="DQ242" s="60">
        <v>29</v>
      </c>
      <c r="DR242" s="60">
        <v>7804</v>
      </c>
      <c r="DS242" s="60">
        <v>159</v>
      </c>
      <c r="DT242" s="60">
        <v>239</v>
      </c>
      <c r="DU242" s="60">
        <v>187</v>
      </c>
      <c r="DV242" s="60">
        <v>436</v>
      </c>
      <c r="DW242" s="60">
        <v>1447</v>
      </c>
      <c r="DX242" s="60">
        <v>383</v>
      </c>
      <c r="DY242" s="60">
        <v>1</v>
      </c>
      <c r="DZ242" s="60">
        <v>276</v>
      </c>
      <c r="EA242" s="60">
        <v>6029</v>
      </c>
      <c r="EB242" s="60">
        <v>1986</v>
      </c>
      <c r="EC242" s="60">
        <v>10</v>
      </c>
      <c r="ED242" s="60">
        <v>0</v>
      </c>
      <c r="EE242" s="60">
        <v>0</v>
      </c>
      <c r="EF242" s="60">
        <v>0</v>
      </c>
      <c r="EG242" s="60">
        <v>0</v>
      </c>
      <c r="EH242" s="60">
        <v>0</v>
      </c>
      <c r="EI242" s="60">
        <v>1564</v>
      </c>
      <c r="EJ242" s="60">
        <v>5632</v>
      </c>
      <c r="EK242" s="60">
        <v>212</v>
      </c>
      <c r="EL242" s="60">
        <v>2209</v>
      </c>
      <c r="EM242" s="60">
        <v>1377</v>
      </c>
      <c r="EN242" s="60">
        <v>106</v>
      </c>
      <c r="EO242" s="60">
        <v>149</v>
      </c>
      <c r="EP242" s="60">
        <v>2141</v>
      </c>
      <c r="EQ242" s="60">
        <v>3</v>
      </c>
      <c r="ER242" s="60">
        <v>1479</v>
      </c>
      <c r="ES242" s="60">
        <v>485</v>
      </c>
      <c r="ET242" s="60">
        <v>513</v>
      </c>
      <c r="EU242" s="60">
        <v>850</v>
      </c>
      <c r="EV242" s="60">
        <v>1927</v>
      </c>
      <c r="EW242" s="60">
        <v>188</v>
      </c>
      <c r="EX242" s="60">
        <v>234</v>
      </c>
      <c r="EY242" s="60">
        <v>274</v>
      </c>
      <c r="EZ242" s="60">
        <v>13</v>
      </c>
      <c r="FA242" s="60">
        <v>766</v>
      </c>
      <c r="FB242" s="60">
        <v>1199</v>
      </c>
      <c r="FC242" s="60">
        <v>218</v>
      </c>
      <c r="FD242" s="60">
        <v>447</v>
      </c>
      <c r="FE242" s="60">
        <v>2</v>
      </c>
      <c r="FF242" s="60"/>
      <c r="FG242" s="60"/>
      <c r="FH242" s="60">
        <v>886</v>
      </c>
      <c r="FI242" s="60">
        <v>66</v>
      </c>
      <c r="FJ242" s="60">
        <v>751</v>
      </c>
      <c r="FK242" s="60">
        <v>91</v>
      </c>
      <c r="FL242" s="60">
        <v>121</v>
      </c>
      <c r="FM242" s="60">
        <v>475</v>
      </c>
      <c r="FN242" s="60">
        <v>43</v>
      </c>
      <c r="FO242" s="60">
        <v>7624</v>
      </c>
      <c r="FP242" s="60">
        <v>149</v>
      </c>
      <c r="FQ242" s="60">
        <v>62</v>
      </c>
      <c r="FR242" s="60">
        <v>537</v>
      </c>
      <c r="FS242" s="60">
        <v>108</v>
      </c>
      <c r="FT242" s="60">
        <v>56</v>
      </c>
      <c r="FU242" s="60">
        <v>25</v>
      </c>
      <c r="FV242" s="60"/>
      <c r="FW242" s="60"/>
      <c r="FX242" s="60">
        <v>10994</v>
      </c>
      <c r="FY242" s="60">
        <v>226</v>
      </c>
      <c r="FZ242" s="60">
        <v>9760</v>
      </c>
      <c r="GA242" s="60">
        <v>1008</v>
      </c>
      <c r="GB242" s="60">
        <v>2011</v>
      </c>
    </row>
    <row r="243" spans="1:184" x14ac:dyDescent="0.3">
      <c r="A243" s="60">
        <v>106370759</v>
      </c>
      <c r="B243" s="61" t="s">
        <v>928</v>
      </c>
      <c r="C243" s="61" t="s">
        <v>929</v>
      </c>
      <c r="D243" s="61" t="s">
        <v>930</v>
      </c>
      <c r="E243" s="61" t="s">
        <v>931</v>
      </c>
      <c r="F243" s="60">
        <v>92050</v>
      </c>
      <c r="G243" s="61"/>
      <c r="H243" s="61" t="s">
        <v>1669</v>
      </c>
      <c r="I243" s="60">
        <v>79</v>
      </c>
      <c r="J243" s="60">
        <v>40</v>
      </c>
      <c r="K243" s="61" t="s">
        <v>2010</v>
      </c>
      <c r="L243" s="61"/>
      <c r="M243" s="61" t="s">
        <v>1750</v>
      </c>
      <c r="N243" s="61" t="s">
        <v>1995</v>
      </c>
      <c r="O243" s="61" t="s">
        <v>1673</v>
      </c>
      <c r="P243" s="61" t="s">
        <v>321</v>
      </c>
      <c r="Q243" s="61" t="s">
        <v>1674</v>
      </c>
      <c r="R243" s="60">
        <v>198</v>
      </c>
      <c r="S243" s="61" t="s">
        <v>1675</v>
      </c>
      <c r="T243" s="60">
        <v>14237</v>
      </c>
      <c r="U243" s="60">
        <v>11078</v>
      </c>
      <c r="V243" s="60"/>
      <c r="W243" s="60"/>
      <c r="X243" s="60">
        <v>2631</v>
      </c>
      <c r="Y243" s="60">
        <v>3113</v>
      </c>
      <c r="Z243" s="60">
        <v>5028</v>
      </c>
      <c r="AA243" s="60">
        <v>3648</v>
      </c>
      <c r="AB243" s="60">
        <v>3888</v>
      </c>
      <c r="AC243" s="60">
        <v>3319</v>
      </c>
      <c r="AD243" s="60">
        <v>1471</v>
      </c>
      <c r="AE243" s="60">
        <v>937</v>
      </c>
      <c r="AF243" s="60">
        <v>746</v>
      </c>
      <c r="AG243" s="60">
        <v>532</v>
      </c>
      <c r="AH243" s="60">
        <v>2</v>
      </c>
      <c r="AI243" s="60">
        <v>2430</v>
      </c>
      <c r="AJ243" s="60">
        <v>7173</v>
      </c>
      <c r="AK243" s="60">
        <v>10048</v>
      </c>
      <c r="AL243" s="60">
        <v>6</v>
      </c>
      <c r="AM243" s="60">
        <v>136</v>
      </c>
      <c r="AN243" s="60">
        <v>6</v>
      </c>
      <c r="AO243" s="60">
        <v>5516</v>
      </c>
      <c r="AP243" s="60">
        <v>142</v>
      </c>
      <c r="AQ243" s="60">
        <v>1298</v>
      </c>
      <c r="AR243" s="60">
        <v>111</v>
      </c>
      <c r="AS243" s="60">
        <v>57</v>
      </c>
      <c r="AT243" s="60"/>
      <c r="AU243" s="60">
        <v>1</v>
      </c>
      <c r="AV243" s="60"/>
      <c r="AW243" s="60"/>
      <c r="AX243" s="60"/>
      <c r="AY243" s="60">
        <v>84</v>
      </c>
      <c r="AZ243" s="60"/>
      <c r="BA243" s="60">
        <v>23539</v>
      </c>
      <c r="BB243" s="60">
        <v>83</v>
      </c>
      <c r="BC243" s="60"/>
      <c r="BD243" s="60"/>
      <c r="BE243" s="60">
        <v>11675</v>
      </c>
      <c r="BF243" s="60">
        <v>4054</v>
      </c>
      <c r="BG243" s="60">
        <v>2796</v>
      </c>
      <c r="BH243" s="60">
        <v>1742</v>
      </c>
      <c r="BI243" s="60">
        <v>5048</v>
      </c>
      <c r="BJ243" s="60">
        <v>881</v>
      </c>
      <c r="BK243" s="60">
        <v>58</v>
      </c>
      <c r="BL243" s="60">
        <v>475</v>
      </c>
      <c r="BM243" s="60">
        <v>3</v>
      </c>
      <c r="BN243" s="60">
        <v>1253</v>
      </c>
      <c r="BO243" s="60">
        <v>443</v>
      </c>
      <c r="BP243" s="60">
        <v>1389</v>
      </c>
      <c r="BQ243" s="60">
        <v>504</v>
      </c>
      <c r="BR243" s="60">
        <v>5829</v>
      </c>
      <c r="BS243" s="60">
        <v>1380</v>
      </c>
      <c r="BT243" s="60">
        <v>20</v>
      </c>
      <c r="BU243" s="60">
        <v>2031</v>
      </c>
      <c r="BV243" s="60">
        <v>734</v>
      </c>
      <c r="BW243" s="60">
        <v>5</v>
      </c>
      <c r="BX243" s="60">
        <v>2276</v>
      </c>
      <c r="BY243" s="60">
        <v>2949</v>
      </c>
      <c r="BZ243" s="60">
        <v>1044</v>
      </c>
      <c r="CA243" s="60">
        <v>4041</v>
      </c>
      <c r="CB243" s="60"/>
      <c r="CC243" s="60"/>
      <c r="CD243" s="60">
        <v>1677</v>
      </c>
      <c r="CE243" s="60">
        <v>175</v>
      </c>
      <c r="CF243" s="60">
        <v>225</v>
      </c>
      <c r="CG243" s="60">
        <v>2</v>
      </c>
      <c r="CH243" s="60">
        <v>434</v>
      </c>
      <c r="CI243" s="60">
        <v>1</v>
      </c>
      <c r="CJ243" s="60">
        <v>20</v>
      </c>
      <c r="CK243" s="60">
        <v>275</v>
      </c>
      <c r="CL243" s="60">
        <v>19136</v>
      </c>
      <c r="CM243" s="60">
        <v>2544</v>
      </c>
      <c r="CN243" s="60">
        <v>73</v>
      </c>
      <c r="CO243" s="60">
        <v>590</v>
      </c>
      <c r="CP243" s="60">
        <v>46</v>
      </c>
      <c r="CQ243" s="60">
        <v>114</v>
      </c>
      <c r="CR243" s="60">
        <v>3</v>
      </c>
      <c r="CS243" s="60"/>
      <c r="CT243" s="60">
        <v>25315</v>
      </c>
      <c r="CU243" s="60">
        <v>488</v>
      </c>
      <c r="CV243" s="60">
        <v>21230</v>
      </c>
      <c r="CW243" s="60">
        <v>3597</v>
      </c>
      <c r="CX243" s="60">
        <v>3458</v>
      </c>
      <c r="CY243" s="60">
        <v>3290</v>
      </c>
      <c r="CZ243" s="60"/>
      <c r="DA243" s="60"/>
      <c r="DB243" s="60">
        <v>111</v>
      </c>
      <c r="DC243" s="60">
        <v>587</v>
      </c>
      <c r="DD243" s="60">
        <v>631</v>
      </c>
      <c r="DE243" s="60">
        <v>1036</v>
      </c>
      <c r="DF243" s="60">
        <v>1282</v>
      </c>
      <c r="DG243" s="60">
        <v>985</v>
      </c>
      <c r="DH243" s="60">
        <v>876</v>
      </c>
      <c r="DI243" s="60">
        <v>1240</v>
      </c>
      <c r="DJ243" s="60"/>
      <c r="DK243" s="60"/>
      <c r="DL243" s="60"/>
      <c r="DM243" s="60">
        <v>1293</v>
      </c>
      <c r="DN243" s="60">
        <v>1287</v>
      </c>
      <c r="DO243" s="60">
        <v>1933</v>
      </c>
      <c r="DP243" s="60">
        <v>15</v>
      </c>
      <c r="DQ243" s="60"/>
      <c r="DR243" s="60">
        <v>2219</v>
      </c>
      <c r="DS243" s="60">
        <v>1</v>
      </c>
      <c r="DT243" s="60">
        <v>427</v>
      </c>
      <c r="DU243" s="60">
        <v>247</v>
      </c>
      <c r="DV243" s="60">
        <v>138</v>
      </c>
      <c r="DW243" s="60">
        <v>381</v>
      </c>
      <c r="DX243" s="60">
        <v>81</v>
      </c>
      <c r="DY243" s="60">
        <v>5</v>
      </c>
      <c r="DZ243" s="60">
        <v>5</v>
      </c>
      <c r="EA243" s="60">
        <v>4490</v>
      </c>
      <c r="EB243" s="60">
        <v>971</v>
      </c>
      <c r="EC243" s="60">
        <v>3</v>
      </c>
      <c r="ED243" s="60">
        <v>0</v>
      </c>
      <c r="EE243" s="60">
        <v>0</v>
      </c>
      <c r="EF243" s="60">
        <v>0</v>
      </c>
      <c r="EG243" s="60">
        <v>0</v>
      </c>
      <c r="EH243" s="60">
        <v>0</v>
      </c>
      <c r="EI243" s="60">
        <v>2214</v>
      </c>
      <c r="EJ243" s="60">
        <v>3411</v>
      </c>
      <c r="EK243" s="60">
        <v>91</v>
      </c>
      <c r="EL243" s="60">
        <v>199</v>
      </c>
      <c r="EM243" s="60">
        <v>833</v>
      </c>
      <c r="EN243" s="60">
        <v>181</v>
      </c>
      <c r="EO243" s="60">
        <v>64</v>
      </c>
      <c r="EP243" s="60">
        <v>1043</v>
      </c>
      <c r="EQ243" s="60">
        <v>1</v>
      </c>
      <c r="ER243" s="60">
        <v>596</v>
      </c>
      <c r="ES243" s="60">
        <v>332</v>
      </c>
      <c r="ET243" s="60">
        <v>321</v>
      </c>
      <c r="EU243" s="60">
        <v>635</v>
      </c>
      <c r="EV243" s="60">
        <v>290</v>
      </c>
      <c r="EW243" s="60">
        <v>100</v>
      </c>
      <c r="EX243" s="60">
        <v>62</v>
      </c>
      <c r="EY243" s="60">
        <v>172</v>
      </c>
      <c r="EZ243" s="60">
        <v>15</v>
      </c>
      <c r="FA243" s="60">
        <v>1858</v>
      </c>
      <c r="FB243" s="60">
        <v>556</v>
      </c>
      <c r="FC243" s="60">
        <v>97</v>
      </c>
      <c r="FD243" s="60">
        <v>425</v>
      </c>
      <c r="FE243" s="60"/>
      <c r="FF243" s="60"/>
      <c r="FG243" s="60"/>
      <c r="FH243" s="60">
        <v>194</v>
      </c>
      <c r="FI243" s="60">
        <v>26</v>
      </c>
      <c r="FJ243" s="60">
        <v>162</v>
      </c>
      <c r="FK243" s="60">
        <v>34</v>
      </c>
      <c r="FL243" s="60">
        <v>2</v>
      </c>
      <c r="FM243" s="60">
        <v>12</v>
      </c>
      <c r="FN243" s="60">
        <v>7</v>
      </c>
      <c r="FO243" s="60">
        <v>5883</v>
      </c>
      <c r="FP243" s="60">
        <v>150</v>
      </c>
      <c r="FQ243" s="60"/>
      <c r="FR243" s="60">
        <v>7</v>
      </c>
      <c r="FS243" s="60">
        <v>233</v>
      </c>
      <c r="FT243" s="60">
        <v>13</v>
      </c>
      <c r="FU243" s="60">
        <v>24</v>
      </c>
      <c r="FV243" s="60">
        <v>1</v>
      </c>
      <c r="FW243" s="60"/>
      <c r="FX243" s="60">
        <v>6748</v>
      </c>
      <c r="FY243" s="60">
        <v>544</v>
      </c>
      <c r="FZ243" s="60">
        <v>5185</v>
      </c>
      <c r="GA243" s="60">
        <v>1019</v>
      </c>
      <c r="GB243" s="60">
        <v>2011</v>
      </c>
    </row>
    <row r="244" spans="1:184" x14ac:dyDescent="0.3">
      <c r="A244" s="60">
        <v>106370771</v>
      </c>
      <c r="B244" s="61" t="s">
        <v>932</v>
      </c>
      <c r="C244" s="61" t="s">
        <v>933</v>
      </c>
      <c r="D244" s="61" t="s">
        <v>934</v>
      </c>
      <c r="E244" s="61" t="s">
        <v>935</v>
      </c>
      <c r="F244" s="60">
        <v>92037</v>
      </c>
      <c r="G244" s="61" t="s">
        <v>143</v>
      </c>
      <c r="H244" s="61" t="s">
        <v>1669</v>
      </c>
      <c r="I244" s="60">
        <v>75</v>
      </c>
      <c r="J244" s="60">
        <v>39</v>
      </c>
      <c r="K244" s="61" t="s">
        <v>2011</v>
      </c>
      <c r="L244" s="61"/>
      <c r="M244" s="61" t="s">
        <v>1750</v>
      </c>
      <c r="N244" s="61" t="s">
        <v>1995</v>
      </c>
      <c r="O244" s="61" t="s">
        <v>1673</v>
      </c>
      <c r="P244" s="61" t="s">
        <v>1678</v>
      </c>
      <c r="Q244" s="61" t="s">
        <v>1674</v>
      </c>
      <c r="R244" s="60">
        <v>318</v>
      </c>
      <c r="S244" s="61" t="s">
        <v>1675</v>
      </c>
      <c r="T244" s="60">
        <v>13216</v>
      </c>
      <c r="U244" s="60">
        <v>10782</v>
      </c>
      <c r="V244" s="60">
        <v>1</v>
      </c>
      <c r="W244" s="60"/>
      <c r="X244" s="60">
        <v>914</v>
      </c>
      <c r="Y244" s="60">
        <v>1712</v>
      </c>
      <c r="Z244" s="60">
        <v>4424</v>
      </c>
      <c r="AA244" s="60">
        <v>3673</v>
      </c>
      <c r="AB244" s="60">
        <v>3404</v>
      </c>
      <c r="AC244" s="60">
        <v>3020</v>
      </c>
      <c r="AD244" s="60">
        <v>2094</v>
      </c>
      <c r="AE244" s="60">
        <v>1865</v>
      </c>
      <c r="AF244" s="60">
        <v>2726</v>
      </c>
      <c r="AG244" s="60">
        <v>167</v>
      </c>
      <c r="AH244" s="60"/>
      <c r="AI244" s="60">
        <v>1766</v>
      </c>
      <c r="AJ244" s="60">
        <v>811</v>
      </c>
      <c r="AK244" s="60">
        <v>2134</v>
      </c>
      <c r="AL244" s="60">
        <v>32</v>
      </c>
      <c r="AM244" s="60">
        <v>1321</v>
      </c>
      <c r="AN244" s="60">
        <v>37</v>
      </c>
      <c r="AO244" s="60">
        <v>17898</v>
      </c>
      <c r="AP244" s="60">
        <v>502</v>
      </c>
      <c r="AQ244" s="60">
        <v>194</v>
      </c>
      <c r="AR244" s="60">
        <v>4</v>
      </c>
      <c r="AS244" s="60">
        <v>80</v>
      </c>
      <c r="AT244" s="60">
        <v>43</v>
      </c>
      <c r="AU244" s="60">
        <v>26</v>
      </c>
      <c r="AV244" s="60">
        <v>13</v>
      </c>
      <c r="AW244" s="60">
        <v>34</v>
      </c>
      <c r="AX244" s="60"/>
      <c r="AY244" s="60">
        <v>151</v>
      </c>
      <c r="AZ244" s="60"/>
      <c r="BA244" s="60">
        <v>22650</v>
      </c>
      <c r="BB244" s="60">
        <v>302</v>
      </c>
      <c r="BC244" s="60"/>
      <c r="BD244" s="60"/>
      <c r="BE244" s="60">
        <v>1623</v>
      </c>
      <c r="BF244" s="60">
        <v>5980</v>
      </c>
      <c r="BG244" s="60">
        <v>2950</v>
      </c>
      <c r="BH244" s="60">
        <v>11092</v>
      </c>
      <c r="BI244" s="60">
        <v>2354</v>
      </c>
      <c r="BJ244" s="60">
        <v>662</v>
      </c>
      <c r="BK244" s="60">
        <v>61</v>
      </c>
      <c r="BL244" s="60">
        <v>893</v>
      </c>
      <c r="BM244" s="60">
        <v>2</v>
      </c>
      <c r="BN244" s="60">
        <v>1054</v>
      </c>
      <c r="BO244" s="60">
        <v>287</v>
      </c>
      <c r="BP244" s="60">
        <v>1097</v>
      </c>
      <c r="BQ244" s="60">
        <v>190</v>
      </c>
      <c r="BR244" s="60">
        <v>7266</v>
      </c>
      <c r="BS244" s="60">
        <v>1096</v>
      </c>
      <c r="BT244" s="60">
        <v>24</v>
      </c>
      <c r="BU244" s="60">
        <v>1352</v>
      </c>
      <c r="BV244" s="60">
        <v>661</v>
      </c>
      <c r="BW244" s="60">
        <v>18</v>
      </c>
      <c r="BX244" s="60">
        <v>1130</v>
      </c>
      <c r="BY244" s="60">
        <v>1388</v>
      </c>
      <c r="BZ244" s="60">
        <v>755</v>
      </c>
      <c r="CA244" s="60">
        <v>6063</v>
      </c>
      <c r="CB244" s="60"/>
      <c r="CC244" s="60"/>
      <c r="CD244" s="60">
        <v>2400</v>
      </c>
      <c r="CE244" s="60">
        <v>280</v>
      </c>
      <c r="CF244" s="60">
        <v>270</v>
      </c>
      <c r="CG244" s="60">
        <v>5</v>
      </c>
      <c r="CH244" s="60">
        <v>331</v>
      </c>
      <c r="CI244" s="60">
        <v>62</v>
      </c>
      <c r="CJ244" s="60">
        <v>233</v>
      </c>
      <c r="CK244" s="60">
        <v>246</v>
      </c>
      <c r="CL244" s="60">
        <v>16033</v>
      </c>
      <c r="CM244" s="60">
        <v>2642</v>
      </c>
      <c r="CN244" s="60">
        <v>213</v>
      </c>
      <c r="CO244" s="60">
        <v>1053</v>
      </c>
      <c r="CP244" s="60">
        <v>76</v>
      </c>
      <c r="CQ244" s="60">
        <v>92</v>
      </c>
      <c r="CR244" s="60">
        <v>63</v>
      </c>
      <c r="CS244" s="60"/>
      <c r="CT244" s="60">
        <v>23999</v>
      </c>
      <c r="CU244" s="60">
        <v>501</v>
      </c>
      <c r="CV244" s="60">
        <v>23119</v>
      </c>
      <c r="CW244" s="60">
        <v>379</v>
      </c>
      <c r="CX244" s="60">
        <v>3460</v>
      </c>
      <c r="CY244" s="60">
        <v>3426</v>
      </c>
      <c r="CZ244" s="60"/>
      <c r="DA244" s="60"/>
      <c r="DB244" s="60">
        <v>142</v>
      </c>
      <c r="DC244" s="60">
        <v>541</v>
      </c>
      <c r="DD244" s="60">
        <v>475</v>
      </c>
      <c r="DE244" s="60">
        <v>679</v>
      </c>
      <c r="DF244" s="60">
        <v>909</v>
      </c>
      <c r="DG244" s="60">
        <v>878</v>
      </c>
      <c r="DH244" s="60">
        <v>1119</v>
      </c>
      <c r="DI244" s="60">
        <v>2143</v>
      </c>
      <c r="DJ244" s="60"/>
      <c r="DK244" s="60"/>
      <c r="DL244" s="60"/>
      <c r="DM244" s="60">
        <v>469</v>
      </c>
      <c r="DN244" s="60">
        <v>161</v>
      </c>
      <c r="DO244" s="60">
        <v>536</v>
      </c>
      <c r="DP244" s="60">
        <v>245</v>
      </c>
      <c r="DQ244" s="60">
        <v>16</v>
      </c>
      <c r="DR244" s="60">
        <v>5448</v>
      </c>
      <c r="DS244" s="60">
        <v>11</v>
      </c>
      <c r="DT244" s="60">
        <v>197</v>
      </c>
      <c r="DU244" s="60">
        <v>105</v>
      </c>
      <c r="DV244" s="60">
        <v>317</v>
      </c>
      <c r="DW244" s="60">
        <v>1017</v>
      </c>
      <c r="DX244" s="60">
        <v>199</v>
      </c>
      <c r="DY244" s="60">
        <v>5</v>
      </c>
      <c r="DZ244" s="60">
        <v>11</v>
      </c>
      <c r="EA244" s="60">
        <v>3819</v>
      </c>
      <c r="EB244" s="60">
        <v>1215</v>
      </c>
      <c r="EC244" s="60">
        <v>1</v>
      </c>
      <c r="ED244" s="60">
        <v>0</v>
      </c>
      <c r="EE244" s="60">
        <v>0</v>
      </c>
      <c r="EF244" s="60">
        <v>0</v>
      </c>
      <c r="EG244" s="60">
        <v>0</v>
      </c>
      <c r="EH244" s="60">
        <v>0</v>
      </c>
      <c r="EI244" s="60">
        <v>345</v>
      </c>
      <c r="EJ244" s="60">
        <v>3788</v>
      </c>
      <c r="EK244" s="60">
        <v>238</v>
      </c>
      <c r="EL244" s="60">
        <v>1886</v>
      </c>
      <c r="EM244" s="60">
        <v>629</v>
      </c>
      <c r="EN244" s="60">
        <v>60</v>
      </c>
      <c r="EO244" s="60">
        <v>45</v>
      </c>
      <c r="EP244" s="60">
        <v>1252</v>
      </c>
      <c r="EQ244" s="60">
        <v>7</v>
      </c>
      <c r="ER244" s="60">
        <v>901</v>
      </c>
      <c r="ES244" s="60">
        <v>197</v>
      </c>
      <c r="ET244" s="60">
        <v>238</v>
      </c>
      <c r="EU244" s="60">
        <v>620</v>
      </c>
      <c r="EV244" s="60">
        <v>1958</v>
      </c>
      <c r="EW244" s="60">
        <v>127</v>
      </c>
      <c r="EX244" s="60">
        <v>226</v>
      </c>
      <c r="EY244" s="60">
        <v>245</v>
      </c>
      <c r="EZ244" s="60">
        <v>4</v>
      </c>
      <c r="FA244" s="60">
        <v>80</v>
      </c>
      <c r="FB244" s="60">
        <v>547</v>
      </c>
      <c r="FC244" s="60">
        <v>123</v>
      </c>
      <c r="FD244" s="60">
        <v>256</v>
      </c>
      <c r="FE244" s="60"/>
      <c r="FF244" s="60"/>
      <c r="FG244" s="60"/>
      <c r="FH244" s="60">
        <v>846</v>
      </c>
      <c r="FI244" s="60">
        <v>58</v>
      </c>
      <c r="FJ244" s="60">
        <v>462</v>
      </c>
      <c r="FK244" s="60">
        <v>98</v>
      </c>
      <c r="FL244" s="60">
        <v>10</v>
      </c>
      <c r="FM244" s="60">
        <v>507</v>
      </c>
      <c r="FN244" s="60">
        <v>14</v>
      </c>
      <c r="FO244" s="60">
        <v>4127</v>
      </c>
      <c r="FP244" s="60">
        <v>173</v>
      </c>
      <c r="FQ244" s="60">
        <v>101</v>
      </c>
      <c r="FR244" s="60">
        <v>396</v>
      </c>
      <c r="FS244" s="60">
        <v>71</v>
      </c>
      <c r="FT244" s="60">
        <v>19</v>
      </c>
      <c r="FU244" s="60">
        <v>4</v>
      </c>
      <c r="FV244" s="60"/>
      <c r="FW244" s="60"/>
      <c r="FX244" s="60">
        <v>6886</v>
      </c>
      <c r="FY244" s="60">
        <v>224</v>
      </c>
      <c r="FZ244" s="60">
        <v>6523</v>
      </c>
      <c r="GA244" s="60">
        <v>139</v>
      </c>
      <c r="GB244" s="60">
        <v>2011</v>
      </c>
    </row>
    <row r="245" spans="1:184" x14ac:dyDescent="0.3">
      <c r="A245" s="60">
        <v>106370780</v>
      </c>
      <c r="B245" s="61" t="s">
        <v>936</v>
      </c>
      <c r="C245" s="61" t="s">
        <v>937</v>
      </c>
      <c r="D245" s="61" t="s">
        <v>938</v>
      </c>
      <c r="E245" s="61" t="s">
        <v>939</v>
      </c>
      <c r="F245" s="60">
        <v>92056</v>
      </c>
      <c r="G245" s="61"/>
      <c r="H245" s="61" t="s">
        <v>1669</v>
      </c>
      <c r="I245" s="60">
        <v>73</v>
      </c>
      <c r="J245" s="60">
        <v>38</v>
      </c>
      <c r="K245" s="61" t="s">
        <v>2012</v>
      </c>
      <c r="L245" s="61"/>
      <c r="M245" s="61" t="s">
        <v>1750</v>
      </c>
      <c r="N245" s="61" t="s">
        <v>1995</v>
      </c>
      <c r="O245" s="61" t="s">
        <v>1673</v>
      </c>
      <c r="P245" s="61" t="s">
        <v>159</v>
      </c>
      <c r="Q245" s="61" t="s">
        <v>1674</v>
      </c>
      <c r="R245" s="60">
        <v>368</v>
      </c>
      <c r="S245" s="61" t="s">
        <v>1675</v>
      </c>
      <c r="T245" s="60">
        <v>31766</v>
      </c>
      <c r="U245" s="60">
        <v>26005</v>
      </c>
      <c r="V245" s="60"/>
      <c r="W245" s="60"/>
      <c r="X245" s="60">
        <v>7169</v>
      </c>
      <c r="Y245" s="60">
        <v>5706</v>
      </c>
      <c r="Z245" s="60">
        <v>10363</v>
      </c>
      <c r="AA245" s="60">
        <v>7555</v>
      </c>
      <c r="AB245" s="60">
        <v>7028</v>
      </c>
      <c r="AC245" s="60">
        <v>6267</v>
      </c>
      <c r="AD245" s="60">
        <v>3878</v>
      </c>
      <c r="AE245" s="60">
        <v>3174</v>
      </c>
      <c r="AF245" s="60">
        <v>4766</v>
      </c>
      <c r="AG245" s="60">
        <v>1865</v>
      </c>
      <c r="AH245" s="60"/>
      <c r="AI245" s="60">
        <v>2026</v>
      </c>
      <c r="AJ245" s="60">
        <v>3621</v>
      </c>
      <c r="AK245" s="60">
        <v>17453</v>
      </c>
      <c r="AL245" s="60">
        <v>67</v>
      </c>
      <c r="AM245" s="60">
        <v>3172</v>
      </c>
      <c r="AN245" s="60">
        <v>280</v>
      </c>
      <c r="AO245" s="60">
        <v>31152</v>
      </c>
      <c r="AP245" s="60">
        <v>1762</v>
      </c>
      <c r="AQ245" s="60">
        <v>541</v>
      </c>
      <c r="AR245" s="60"/>
      <c r="AS245" s="60">
        <v>98</v>
      </c>
      <c r="AT245" s="60">
        <v>113</v>
      </c>
      <c r="AU245" s="60">
        <v>53</v>
      </c>
      <c r="AV245" s="60">
        <v>10</v>
      </c>
      <c r="AW245" s="60">
        <v>153</v>
      </c>
      <c r="AX245" s="60">
        <v>330</v>
      </c>
      <c r="AY245" s="60">
        <v>281</v>
      </c>
      <c r="AZ245" s="60">
        <v>81</v>
      </c>
      <c r="BA245" s="60">
        <v>53992</v>
      </c>
      <c r="BB245" s="60">
        <v>357</v>
      </c>
      <c r="BC245" s="60"/>
      <c r="BD245" s="60"/>
      <c r="BE245" s="60">
        <v>15831</v>
      </c>
      <c r="BF245" s="60">
        <v>11697</v>
      </c>
      <c r="BG245" s="60">
        <v>6705</v>
      </c>
      <c r="BH245" s="60">
        <v>12833</v>
      </c>
      <c r="BI245" s="60">
        <v>10705</v>
      </c>
      <c r="BJ245" s="60">
        <v>1849</v>
      </c>
      <c r="BK245" s="60">
        <v>147</v>
      </c>
      <c r="BL245" s="60">
        <v>1680</v>
      </c>
      <c r="BM245" s="60">
        <v>10</v>
      </c>
      <c r="BN245" s="60">
        <v>2996</v>
      </c>
      <c r="BO245" s="60">
        <v>1068</v>
      </c>
      <c r="BP245" s="60">
        <v>3282</v>
      </c>
      <c r="BQ245" s="60">
        <v>977</v>
      </c>
      <c r="BR245" s="60">
        <v>14907</v>
      </c>
      <c r="BS245" s="60">
        <v>3118</v>
      </c>
      <c r="BT245" s="60">
        <v>102</v>
      </c>
      <c r="BU245" s="60">
        <v>3148</v>
      </c>
      <c r="BV245" s="60">
        <v>1213</v>
      </c>
      <c r="BW245" s="60">
        <v>110</v>
      </c>
      <c r="BX245" s="60">
        <v>3293</v>
      </c>
      <c r="BY245" s="60">
        <v>5495</v>
      </c>
      <c r="BZ245" s="60">
        <v>2268</v>
      </c>
      <c r="CA245" s="60">
        <v>12108</v>
      </c>
      <c r="CB245" s="60"/>
      <c r="CC245" s="60"/>
      <c r="CD245" s="60">
        <v>5132</v>
      </c>
      <c r="CE245" s="60">
        <v>497</v>
      </c>
      <c r="CF245" s="60">
        <v>744</v>
      </c>
      <c r="CG245" s="60">
        <v>26</v>
      </c>
      <c r="CH245" s="60">
        <v>768</v>
      </c>
      <c r="CI245" s="60">
        <v>78</v>
      </c>
      <c r="CJ245" s="60">
        <v>391</v>
      </c>
      <c r="CK245" s="60">
        <v>755</v>
      </c>
      <c r="CL245" s="60">
        <v>40991</v>
      </c>
      <c r="CM245" s="60">
        <v>5831</v>
      </c>
      <c r="CN245" s="60">
        <v>275</v>
      </c>
      <c r="CO245" s="60">
        <v>1501</v>
      </c>
      <c r="CP245" s="60">
        <v>277</v>
      </c>
      <c r="CQ245" s="60">
        <v>452</v>
      </c>
      <c r="CR245" s="60">
        <v>53</v>
      </c>
      <c r="CS245" s="60"/>
      <c r="CT245" s="60">
        <v>57771</v>
      </c>
      <c r="CU245" s="60">
        <v>373</v>
      </c>
      <c r="CV245" s="60">
        <v>52005</v>
      </c>
      <c r="CW245" s="60">
        <v>5393</v>
      </c>
      <c r="CX245" s="60">
        <v>5637</v>
      </c>
      <c r="CY245" s="60">
        <v>4765</v>
      </c>
      <c r="CZ245" s="60"/>
      <c r="DA245" s="60"/>
      <c r="DB245" s="60">
        <v>150</v>
      </c>
      <c r="DC245" s="60">
        <v>756</v>
      </c>
      <c r="DD245" s="60">
        <v>736</v>
      </c>
      <c r="DE245" s="60">
        <v>1187</v>
      </c>
      <c r="DF245" s="60">
        <v>1553</v>
      </c>
      <c r="DG245" s="60">
        <v>1409</v>
      </c>
      <c r="DH245" s="60">
        <v>1581</v>
      </c>
      <c r="DI245" s="60">
        <v>2943</v>
      </c>
      <c r="DJ245" s="60">
        <v>56</v>
      </c>
      <c r="DK245" s="60">
        <v>31</v>
      </c>
      <c r="DL245" s="60"/>
      <c r="DM245" s="60">
        <v>470</v>
      </c>
      <c r="DN245" s="60">
        <v>453</v>
      </c>
      <c r="DO245" s="60">
        <v>1922</v>
      </c>
      <c r="DP245" s="60">
        <v>509</v>
      </c>
      <c r="DQ245" s="60">
        <v>32</v>
      </c>
      <c r="DR245" s="60">
        <v>7003</v>
      </c>
      <c r="DS245" s="60">
        <v>13</v>
      </c>
      <c r="DT245" s="60">
        <v>248</v>
      </c>
      <c r="DU245" s="60">
        <v>148</v>
      </c>
      <c r="DV245" s="60">
        <v>378</v>
      </c>
      <c r="DW245" s="60">
        <v>1310</v>
      </c>
      <c r="DX245" s="60">
        <v>308</v>
      </c>
      <c r="DY245" s="60">
        <v>13</v>
      </c>
      <c r="DZ245" s="60">
        <v>431</v>
      </c>
      <c r="EA245" s="60">
        <v>5708</v>
      </c>
      <c r="EB245" s="60">
        <v>1673</v>
      </c>
      <c r="EC245" s="60">
        <v>185</v>
      </c>
      <c r="ED245" s="60">
        <v>0</v>
      </c>
      <c r="EE245" s="60">
        <v>0</v>
      </c>
      <c r="EF245" s="60">
        <v>0</v>
      </c>
      <c r="EG245" s="60">
        <v>0</v>
      </c>
      <c r="EH245" s="60">
        <v>0</v>
      </c>
      <c r="EI245" s="60">
        <v>1402</v>
      </c>
      <c r="EJ245" s="60">
        <v>5874</v>
      </c>
      <c r="EK245" s="60">
        <v>510</v>
      </c>
      <c r="EL245" s="60">
        <v>1505</v>
      </c>
      <c r="EM245" s="60">
        <v>1111</v>
      </c>
      <c r="EN245" s="60">
        <v>132</v>
      </c>
      <c r="EO245" s="60">
        <v>152</v>
      </c>
      <c r="EP245" s="60">
        <v>2107</v>
      </c>
      <c r="EQ245" s="60">
        <v>4</v>
      </c>
      <c r="ER245" s="60">
        <v>1512</v>
      </c>
      <c r="ES245" s="60">
        <v>535</v>
      </c>
      <c r="ET245" s="60">
        <v>593</v>
      </c>
      <c r="EU245" s="60">
        <v>687</v>
      </c>
      <c r="EV245" s="60">
        <v>1083</v>
      </c>
      <c r="EW245" s="60">
        <v>161</v>
      </c>
      <c r="EX245" s="60">
        <v>255</v>
      </c>
      <c r="EY245" s="60">
        <v>246</v>
      </c>
      <c r="EZ245" s="60">
        <v>11</v>
      </c>
      <c r="FA245" s="60">
        <v>987</v>
      </c>
      <c r="FB245" s="60">
        <v>1268</v>
      </c>
      <c r="FC245" s="60">
        <v>290</v>
      </c>
      <c r="FD245" s="60">
        <v>369</v>
      </c>
      <c r="FE245" s="60">
        <v>1</v>
      </c>
      <c r="FF245" s="60">
        <v>9</v>
      </c>
      <c r="FG245" s="60"/>
      <c r="FH245" s="60">
        <v>688</v>
      </c>
      <c r="FI245" s="60">
        <v>98</v>
      </c>
      <c r="FJ245" s="60">
        <v>753</v>
      </c>
      <c r="FK245" s="60">
        <v>29</v>
      </c>
      <c r="FL245" s="60">
        <v>34</v>
      </c>
      <c r="FM245" s="60">
        <v>646</v>
      </c>
      <c r="FN245" s="60">
        <v>28</v>
      </c>
      <c r="FO245" s="60">
        <v>7727</v>
      </c>
      <c r="FP245" s="60">
        <v>117</v>
      </c>
      <c r="FQ245" s="60">
        <v>19</v>
      </c>
      <c r="FR245" s="60">
        <v>31</v>
      </c>
      <c r="FS245" s="60">
        <v>169</v>
      </c>
      <c r="FT245" s="60">
        <v>32</v>
      </c>
      <c r="FU245" s="60">
        <v>31</v>
      </c>
      <c r="FV245" s="60"/>
      <c r="FW245" s="60"/>
      <c r="FX245" s="60">
        <v>10402</v>
      </c>
      <c r="FY245" s="60">
        <v>98</v>
      </c>
      <c r="FZ245" s="60">
        <v>9499</v>
      </c>
      <c r="GA245" s="60">
        <v>805</v>
      </c>
      <c r="GB245" s="60">
        <v>2011</v>
      </c>
    </row>
    <row r="246" spans="1:184" x14ac:dyDescent="0.3">
      <c r="A246" s="60">
        <v>106370782</v>
      </c>
      <c r="B246" s="61" t="s">
        <v>940</v>
      </c>
      <c r="C246" s="61" t="s">
        <v>941</v>
      </c>
      <c r="D246" s="61" t="s">
        <v>942</v>
      </c>
      <c r="E246" s="61" t="s">
        <v>901</v>
      </c>
      <c r="F246" s="60">
        <v>92103</v>
      </c>
      <c r="G246" s="61" t="s">
        <v>248</v>
      </c>
      <c r="H246" s="61" t="s">
        <v>1689</v>
      </c>
      <c r="I246" s="60">
        <v>76</v>
      </c>
      <c r="J246" s="60">
        <v>39</v>
      </c>
      <c r="K246" s="61" t="s">
        <v>1998</v>
      </c>
      <c r="L246" s="61"/>
      <c r="M246" s="61" t="s">
        <v>1750</v>
      </c>
      <c r="N246" s="61" t="s">
        <v>1995</v>
      </c>
      <c r="O246" s="61" t="s">
        <v>1673</v>
      </c>
      <c r="P246" s="61" t="s">
        <v>1835</v>
      </c>
      <c r="Q246" s="61" t="s">
        <v>1674</v>
      </c>
      <c r="R246" s="60">
        <v>360</v>
      </c>
      <c r="S246" s="61" t="s">
        <v>1738</v>
      </c>
      <c r="T246" s="60">
        <v>24469</v>
      </c>
      <c r="U246" s="60">
        <v>24118</v>
      </c>
      <c r="V246" s="60"/>
      <c r="W246" s="60"/>
      <c r="X246" s="60">
        <v>865</v>
      </c>
      <c r="Y246" s="60">
        <v>2552</v>
      </c>
      <c r="Z246" s="60">
        <v>10106</v>
      </c>
      <c r="AA246" s="60">
        <v>8145</v>
      </c>
      <c r="AB246" s="60">
        <v>8446</v>
      </c>
      <c r="AC246" s="60">
        <v>8854</v>
      </c>
      <c r="AD246" s="60">
        <v>4860</v>
      </c>
      <c r="AE246" s="60">
        <v>2518</v>
      </c>
      <c r="AF246" s="60">
        <v>2041</v>
      </c>
      <c r="AG246" s="60">
        <v>177</v>
      </c>
      <c r="AH246" s="60">
        <v>23</v>
      </c>
      <c r="AI246" s="60">
        <v>3522</v>
      </c>
      <c r="AJ246" s="60">
        <v>6339</v>
      </c>
      <c r="AK246" s="60">
        <v>8167</v>
      </c>
      <c r="AL246" s="60">
        <v>125</v>
      </c>
      <c r="AM246" s="60">
        <v>2403</v>
      </c>
      <c r="AN246" s="60">
        <v>528</v>
      </c>
      <c r="AO246" s="60">
        <v>27503</v>
      </c>
      <c r="AP246" s="60">
        <v>441</v>
      </c>
      <c r="AQ246" s="60">
        <v>763</v>
      </c>
      <c r="AR246" s="60">
        <v>7</v>
      </c>
      <c r="AS246" s="60">
        <v>55</v>
      </c>
      <c r="AT246" s="60">
        <v>45</v>
      </c>
      <c r="AU246" s="60">
        <v>9</v>
      </c>
      <c r="AV246" s="60"/>
      <c r="AW246" s="60">
        <v>11</v>
      </c>
      <c r="AX246" s="60"/>
      <c r="AY246" s="60"/>
      <c r="AZ246" s="60">
        <v>17</v>
      </c>
      <c r="BA246" s="60">
        <v>47009</v>
      </c>
      <c r="BB246" s="60">
        <v>230</v>
      </c>
      <c r="BC246" s="60"/>
      <c r="BD246" s="60"/>
      <c r="BE246" s="60">
        <v>8090</v>
      </c>
      <c r="BF246" s="60">
        <v>8324</v>
      </c>
      <c r="BG246" s="60">
        <v>6119</v>
      </c>
      <c r="BH246" s="60">
        <v>15020</v>
      </c>
      <c r="BI246" s="60">
        <v>11034</v>
      </c>
      <c r="BJ246" s="60">
        <v>716</v>
      </c>
      <c r="BK246" s="60">
        <v>129</v>
      </c>
      <c r="BL246" s="60">
        <v>1177</v>
      </c>
      <c r="BM246" s="60">
        <v>10</v>
      </c>
      <c r="BN246" s="60">
        <v>1925</v>
      </c>
      <c r="BO246" s="60">
        <v>722</v>
      </c>
      <c r="BP246" s="60">
        <v>2386</v>
      </c>
      <c r="BQ246" s="60">
        <v>609</v>
      </c>
      <c r="BR246" s="60">
        <v>8329</v>
      </c>
      <c r="BS246" s="60">
        <v>4668</v>
      </c>
      <c r="BT246" s="60">
        <v>77</v>
      </c>
      <c r="BU246" s="60">
        <v>2843</v>
      </c>
      <c r="BV246" s="60">
        <v>2874</v>
      </c>
      <c r="BW246" s="60">
        <v>4</v>
      </c>
      <c r="BX246" s="60">
        <v>2874</v>
      </c>
      <c r="BY246" s="60">
        <v>3096</v>
      </c>
      <c r="BZ246" s="60">
        <v>2198</v>
      </c>
      <c r="CA246" s="60">
        <v>13950</v>
      </c>
      <c r="CB246" s="60"/>
      <c r="CC246" s="60"/>
      <c r="CD246" s="60">
        <v>3021</v>
      </c>
      <c r="CE246" s="60">
        <v>114</v>
      </c>
      <c r="CF246" s="60">
        <v>324</v>
      </c>
      <c r="CG246" s="60">
        <v>45</v>
      </c>
      <c r="CH246" s="60">
        <v>910</v>
      </c>
      <c r="CI246" s="60">
        <v>37</v>
      </c>
      <c r="CJ246" s="60">
        <v>147</v>
      </c>
      <c r="CK246" s="60">
        <v>440</v>
      </c>
      <c r="CL246" s="60">
        <v>37226</v>
      </c>
      <c r="CM246" s="60">
        <v>4513</v>
      </c>
      <c r="CN246" s="60">
        <v>275</v>
      </c>
      <c r="CO246" s="60">
        <v>1092</v>
      </c>
      <c r="CP246" s="60">
        <v>190</v>
      </c>
      <c r="CQ246" s="60">
        <v>157</v>
      </c>
      <c r="CR246" s="60">
        <v>95</v>
      </c>
      <c r="CS246" s="60">
        <v>1</v>
      </c>
      <c r="CT246" s="60">
        <v>48587</v>
      </c>
      <c r="CU246" s="60">
        <v>582</v>
      </c>
      <c r="CV246" s="60">
        <v>46001</v>
      </c>
      <c r="CW246" s="60">
        <v>2004</v>
      </c>
      <c r="CX246" s="60">
        <v>5041</v>
      </c>
      <c r="CY246" s="60">
        <v>5893</v>
      </c>
      <c r="CZ246" s="60"/>
      <c r="DA246" s="60"/>
      <c r="DB246" s="60">
        <v>116</v>
      </c>
      <c r="DC246" s="60">
        <v>1005</v>
      </c>
      <c r="DD246" s="60">
        <v>1100</v>
      </c>
      <c r="DE246" s="60">
        <v>1786</v>
      </c>
      <c r="DF246" s="60">
        <v>2547</v>
      </c>
      <c r="DG246" s="60">
        <v>1843</v>
      </c>
      <c r="DH246" s="60">
        <v>1222</v>
      </c>
      <c r="DI246" s="60">
        <v>1309</v>
      </c>
      <c r="DJ246" s="60">
        <v>5</v>
      </c>
      <c r="DK246" s="60"/>
      <c r="DL246" s="60">
        <v>1</v>
      </c>
      <c r="DM246" s="60">
        <v>707</v>
      </c>
      <c r="DN246" s="60">
        <v>1384</v>
      </c>
      <c r="DO246" s="60">
        <v>2338</v>
      </c>
      <c r="DP246" s="60">
        <v>419</v>
      </c>
      <c r="DQ246" s="60">
        <v>10</v>
      </c>
      <c r="DR246" s="60">
        <v>6056</v>
      </c>
      <c r="DS246" s="60">
        <v>20</v>
      </c>
      <c r="DT246" s="60">
        <v>82</v>
      </c>
      <c r="DU246" s="60">
        <v>219</v>
      </c>
      <c r="DV246" s="60">
        <v>237</v>
      </c>
      <c r="DW246" s="60">
        <v>1082</v>
      </c>
      <c r="DX246" s="60">
        <v>335</v>
      </c>
      <c r="DY246" s="60"/>
      <c r="DZ246" s="60">
        <v>13</v>
      </c>
      <c r="EA246" s="60">
        <v>7720</v>
      </c>
      <c r="EB246" s="60">
        <v>1088</v>
      </c>
      <c r="EC246" s="60">
        <v>158</v>
      </c>
      <c r="ED246" s="60">
        <v>0</v>
      </c>
      <c r="EE246" s="60">
        <v>0</v>
      </c>
      <c r="EF246" s="60">
        <v>0</v>
      </c>
      <c r="EG246" s="60">
        <v>0</v>
      </c>
      <c r="EH246" s="60">
        <v>0</v>
      </c>
      <c r="EI246" s="60">
        <v>2533</v>
      </c>
      <c r="EJ246" s="60">
        <v>4234</v>
      </c>
      <c r="EK246" s="60">
        <v>327</v>
      </c>
      <c r="EL246" s="60">
        <v>1921</v>
      </c>
      <c r="EM246" s="60">
        <v>1919</v>
      </c>
      <c r="EN246" s="60">
        <v>137</v>
      </c>
      <c r="EO246" s="60">
        <v>207</v>
      </c>
      <c r="EP246" s="60">
        <v>1647</v>
      </c>
      <c r="EQ246" s="60">
        <v>12</v>
      </c>
      <c r="ER246" s="60">
        <v>1595</v>
      </c>
      <c r="ES246" s="60">
        <v>554</v>
      </c>
      <c r="ET246" s="60">
        <v>583</v>
      </c>
      <c r="EU246" s="60">
        <v>1238</v>
      </c>
      <c r="EV246" s="60">
        <v>1282</v>
      </c>
      <c r="EW246" s="60">
        <v>247</v>
      </c>
      <c r="EX246" s="60">
        <v>632</v>
      </c>
      <c r="EY246" s="60">
        <v>311</v>
      </c>
      <c r="EZ246" s="60">
        <v>58</v>
      </c>
      <c r="FA246" s="60">
        <v>695</v>
      </c>
      <c r="FB246" s="60">
        <v>896</v>
      </c>
      <c r="FC246" s="60">
        <v>294</v>
      </c>
      <c r="FD246" s="60">
        <v>541</v>
      </c>
      <c r="FE246" s="60">
        <v>4</v>
      </c>
      <c r="FF246" s="60">
        <v>1</v>
      </c>
      <c r="FG246" s="60"/>
      <c r="FH246" s="60">
        <v>574</v>
      </c>
      <c r="FI246" s="60">
        <v>71</v>
      </c>
      <c r="FJ246" s="60">
        <v>708</v>
      </c>
      <c r="FK246" s="60">
        <v>72</v>
      </c>
      <c r="FL246" s="60">
        <v>36</v>
      </c>
      <c r="FM246" s="60">
        <v>885</v>
      </c>
      <c r="FN246" s="60">
        <v>23</v>
      </c>
      <c r="FO246" s="60">
        <v>8193</v>
      </c>
      <c r="FP246" s="60">
        <v>145</v>
      </c>
      <c r="FQ246" s="60">
        <v>27</v>
      </c>
      <c r="FR246" s="60">
        <v>64</v>
      </c>
      <c r="FS246" s="60">
        <v>76</v>
      </c>
      <c r="FT246" s="60">
        <v>27</v>
      </c>
      <c r="FU246" s="60">
        <v>30</v>
      </c>
      <c r="FV246" s="60">
        <v>3</v>
      </c>
      <c r="FW246" s="60"/>
      <c r="FX246" s="60">
        <v>10934</v>
      </c>
      <c r="FY246" s="60">
        <v>255</v>
      </c>
      <c r="FZ246" s="60">
        <v>9668</v>
      </c>
      <c r="GA246" s="60">
        <v>1011</v>
      </c>
      <c r="GB246" s="60">
        <v>2011</v>
      </c>
    </row>
    <row r="247" spans="1:184" x14ac:dyDescent="0.3">
      <c r="A247" s="60">
        <v>106370875</v>
      </c>
      <c r="B247" s="61" t="s">
        <v>943</v>
      </c>
      <c r="C247" s="61" t="s">
        <v>944</v>
      </c>
      <c r="D247" s="61" t="s">
        <v>945</v>
      </c>
      <c r="E247" s="61" t="s">
        <v>946</v>
      </c>
      <c r="F247" s="60">
        <v>91911</v>
      </c>
      <c r="G247" s="61"/>
      <c r="H247" s="61" t="s">
        <v>1669</v>
      </c>
      <c r="I247" s="60">
        <v>78</v>
      </c>
      <c r="J247" s="60">
        <v>40</v>
      </c>
      <c r="K247" s="61" t="s">
        <v>2013</v>
      </c>
      <c r="L247" s="61"/>
      <c r="M247" s="61" t="s">
        <v>1750</v>
      </c>
      <c r="N247" s="61" t="s">
        <v>1995</v>
      </c>
      <c r="O247" s="61" t="s">
        <v>1673</v>
      </c>
      <c r="P247" s="61" t="s">
        <v>1678</v>
      </c>
      <c r="Q247" s="61" t="s">
        <v>1674</v>
      </c>
      <c r="R247" s="60">
        <v>243</v>
      </c>
      <c r="S247" s="61" t="s">
        <v>1675</v>
      </c>
      <c r="T247" s="60">
        <v>24455</v>
      </c>
      <c r="U247" s="60">
        <v>16805</v>
      </c>
      <c r="V247" s="60"/>
      <c r="W247" s="60"/>
      <c r="X247" s="60">
        <v>4891</v>
      </c>
      <c r="Y247" s="60">
        <v>4674</v>
      </c>
      <c r="Z247" s="60">
        <v>7625</v>
      </c>
      <c r="AA247" s="60">
        <v>5865</v>
      </c>
      <c r="AB247" s="60">
        <v>5166</v>
      </c>
      <c r="AC247" s="60">
        <v>4071</v>
      </c>
      <c r="AD247" s="60">
        <v>2634</v>
      </c>
      <c r="AE247" s="60">
        <v>2673</v>
      </c>
      <c r="AF247" s="60">
        <v>2642</v>
      </c>
      <c r="AG247" s="60">
        <v>1019</v>
      </c>
      <c r="AH247" s="60"/>
      <c r="AI247" s="60">
        <v>3053</v>
      </c>
      <c r="AJ247" s="60">
        <v>2408</v>
      </c>
      <c r="AK247" s="60">
        <v>23635</v>
      </c>
      <c r="AL247" s="60">
        <v>66</v>
      </c>
      <c r="AM247" s="60">
        <v>2588</v>
      </c>
      <c r="AN247" s="60">
        <v>1933</v>
      </c>
      <c r="AO247" s="60">
        <v>7577</v>
      </c>
      <c r="AP247" s="60">
        <v>798</v>
      </c>
      <c r="AQ247" s="60">
        <v>1573</v>
      </c>
      <c r="AR247" s="60">
        <v>60</v>
      </c>
      <c r="AS247" s="60">
        <v>80</v>
      </c>
      <c r="AT247" s="60">
        <v>31</v>
      </c>
      <c r="AU247" s="60"/>
      <c r="AV247" s="60">
        <v>5</v>
      </c>
      <c r="AW247" s="60">
        <v>2</v>
      </c>
      <c r="AX247" s="60">
        <v>467</v>
      </c>
      <c r="AY247" s="60">
        <v>172</v>
      </c>
      <c r="AZ247" s="60">
        <v>117</v>
      </c>
      <c r="BA247" s="60">
        <v>37694</v>
      </c>
      <c r="BB247" s="60">
        <v>234</v>
      </c>
      <c r="BC247" s="60">
        <v>27</v>
      </c>
      <c r="BD247" s="60"/>
      <c r="BE247" s="60">
        <v>12790</v>
      </c>
      <c r="BF247" s="60">
        <v>7370</v>
      </c>
      <c r="BG247" s="60">
        <v>3790</v>
      </c>
      <c r="BH247" s="60">
        <v>11575</v>
      </c>
      <c r="BI247" s="60">
        <v>5735</v>
      </c>
      <c r="BJ247" s="60">
        <v>1774</v>
      </c>
      <c r="BK247" s="60">
        <v>119</v>
      </c>
      <c r="BL247" s="60">
        <v>1009</v>
      </c>
      <c r="BM247" s="60">
        <v>14</v>
      </c>
      <c r="BN247" s="60">
        <v>2572</v>
      </c>
      <c r="BO247" s="60">
        <v>563</v>
      </c>
      <c r="BP247" s="60">
        <v>2647</v>
      </c>
      <c r="BQ247" s="60">
        <v>655</v>
      </c>
      <c r="BR247" s="60">
        <v>8574</v>
      </c>
      <c r="BS247" s="60">
        <v>3171</v>
      </c>
      <c r="BT247" s="60">
        <v>71</v>
      </c>
      <c r="BU247" s="60">
        <v>2054</v>
      </c>
      <c r="BV247" s="60">
        <v>695</v>
      </c>
      <c r="BW247" s="60">
        <v>82</v>
      </c>
      <c r="BX247" s="60">
        <v>1035</v>
      </c>
      <c r="BY247" s="60">
        <v>4271</v>
      </c>
      <c r="BZ247" s="60">
        <v>1651</v>
      </c>
      <c r="CA247" s="60">
        <v>10303</v>
      </c>
      <c r="CB247" s="60"/>
      <c r="CC247" s="60"/>
      <c r="CD247" s="60">
        <v>2948</v>
      </c>
      <c r="CE247" s="60">
        <v>148</v>
      </c>
      <c r="CF247" s="60">
        <v>461</v>
      </c>
      <c r="CG247" s="60">
        <v>10</v>
      </c>
      <c r="CH247" s="60">
        <v>346</v>
      </c>
      <c r="CI247" s="60">
        <v>14</v>
      </c>
      <c r="CJ247" s="60">
        <v>243</v>
      </c>
      <c r="CK247" s="60">
        <v>354</v>
      </c>
      <c r="CL247" s="60">
        <v>31689</v>
      </c>
      <c r="CM247" s="60">
        <v>3633</v>
      </c>
      <c r="CN247" s="60">
        <v>161</v>
      </c>
      <c r="CO247" s="60">
        <v>946</v>
      </c>
      <c r="CP247" s="60">
        <v>95</v>
      </c>
      <c r="CQ247" s="60">
        <v>184</v>
      </c>
      <c r="CR247" s="60">
        <v>28</v>
      </c>
      <c r="CS247" s="60"/>
      <c r="CT247" s="60">
        <v>41260</v>
      </c>
      <c r="CU247" s="60">
        <v>976</v>
      </c>
      <c r="CV247" s="60">
        <v>31520</v>
      </c>
      <c r="CW247" s="60">
        <v>8764</v>
      </c>
      <c r="CX247" s="60">
        <v>5091</v>
      </c>
      <c r="CY247" s="60">
        <v>4225</v>
      </c>
      <c r="CZ247" s="60"/>
      <c r="DA247" s="60"/>
      <c r="DB247" s="60">
        <v>90</v>
      </c>
      <c r="DC247" s="60">
        <v>468</v>
      </c>
      <c r="DD247" s="60">
        <v>596</v>
      </c>
      <c r="DE247" s="60">
        <v>868</v>
      </c>
      <c r="DF247" s="60">
        <v>1380</v>
      </c>
      <c r="DG247" s="60">
        <v>1439</v>
      </c>
      <c r="DH247" s="60">
        <v>1940</v>
      </c>
      <c r="DI247" s="60">
        <v>2533</v>
      </c>
      <c r="DJ247" s="60">
        <v>2</v>
      </c>
      <c r="DK247" s="60"/>
      <c r="DL247" s="60"/>
      <c r="DM247" s="60">
        <v>976</v>
      </c>
      <c r="DN247" s="60">
        <v>404</v>
      </c>
      <c r="DO247" s="60">
        <v>5193</v>
      </c>
      <c r="DP247" s="60">
        <v>495</v>
      </c>
      <c r="DQ247" s="60">
        <v>34</v>
      </c>
      <c r="DR247" s="60">
        <v>2192</v>
      </c>
      <c r="DS247" s="60">
        <v>22</v>
      </c>
      <c r="DT247" s="60">
        <v>269</v>
      </c>
      <c r="DU247" s="60">
        <v>144</v>
      </c>
      <c r="DV247" s="60">
        <v>283</v>
      </c>
      <c r="DW247" s="60">
        <v>1141</v>
      </c>
      <c r="DX247" s="60">
        <v>46</v>
      </c>
      <c r="DY247" s="60">
        <v>38</v>
      </c>
      <c r="DZ247" s="60">
        <v>104</v>
      </c>
      <c r="EA247" s="60">
        <v>5843</v>
      </c>
      <c r="EB247" s="60">
        <v>1393</v>
      </c>
      <c r="EC247" s="60">
        <v>55</v>
      </c>
      <c r="ED247" s="60">
        <v>0</v>
      </c>
      <c r="EE247" s="60">
        <v>0</v>
      </c>
      <c r="EF247" s="60">
        <v>0</v>
      </c>
      <c r="EG247" s="60">
        <v>0</v>
      </c>
      <c r="EH247" s="60">
        <v>0</v>
      </c>
      <c r="EI247" s="60">
        <v>1889</v>
      </c>
      <c r="EJ247" s="60">
        <v>5181</v>
      </c>
      <c r="EK247" s="60">
        <v>138</v>
      </c>
      <c r="EL247" s="60">
        <v>1170</v>
      </c>
      <c r="EM247" s="60">
        <v>938</v>
      </c>
      <c r="EN247" s="60">
        <v>125</v>
      </c>
      <c r="EO247" s="60">
        <v>126</v>
      </c>
      <c r="EP247" s="60">
        <v>2172</v>
      </c>
      <c r="EQ247" s="60">
        <v>3</v>
      </c>
      <c r="ER247" s="60">
        <v>1385</v>
      </c>
      <c r="ES247" s="60">
        <v>501</v>
      </c>
      <c r="ET247" s="60">
        <v>587</v>
      </c>
      <c r="EU247" s="60">
        <v>801</v>
      </c>
      <c r="EV247" s="60">
        <v>706</v>
      </c>
      <c r="EW247" s="60">
        <v>175</v>
      </c>
      <c r="EX247" s="60">
        <v>363</v>
      </c>
      <c r="EY247" s="60">
        <v>183</v>
      </c>
      <c r="EZ247" s="60">
        <v>30</v>
      </c>
      <c r="FA247" s="60">
        <v>77</v>
      </c>
      <c r="FB247" s="60">
        <v>903</v>
      </c>
      <c r="FC247" s="60">
        <v>260</v>
      </c>
      <c r="FD247" s="60">
        <v>917</v>
      </c>
      <c r="FE247" s="60">
        <v>1</v>
      </c>
      <c r="FF247" s="60">
        <v>1</v>
      </c>
      <c r="FG247" s="60"/>
      <c r="FH247" s="60">
        <v>348</v>
      </c>
      <c r="FI247" s="60">
        <v>33</v>
      </c>
      <c r="FJ247" s="60">
        <v>700</v>
      </c>
      <c r="FK247" s="60">
        <v>24</v>
      </c>
      <c r="FL247" s="60">
        <v>10</v>
      </c>
      <c r="FM247" s="60">
        <v>569</v>
      </c>
      <c r="FN247" s="60">
        <v>18</v>
      </c>
      <c r="FO247" s="60">
        <v>7442</v>
      </c>
      <c r="FP247" s="60">
        <v>96</v>
      </c>
      <c r="FQ247" s="60">
        <v>3</v>
      </c>
      <c r="FR247" s="60">
        <v>9</v>
      </c>
      <c r="FS247" s="60">
        <v>32</v>
      </c>
      <c r="FT247" s="60">
        <v>22</v>
      </c>
      <c r="FU247" s="60">
        <v>10</v>
      </c>
      <c r="FV247" s="60"/>
      <c r="FW247" s="60"/>
      <c r="FX247" s="60">
        <v>9316</v>
      </c>
      <c r="FY247" s="60">
        <v>537</v>
      </c>
      <c r="FZ247" s="60">
        <v>5254</v>
      </c>
      <c r="GA247" s="60">
        <v>3525</v>
      </c>
      <c r="GB247" s="60">
        <v>2011</v>
      </c>
    </row>
    <row r="248" spans="1:184" x14ac:dyDescent="0.3">
      <c r="A248" s="60">
        <v>106370977</v>
      </c>
      <c r="B248" s="61" t="s">
        <v>947</v>
      </c>
      <c r="C248" s="61" t="s">
        <v>948</v>
      </c>
      <c r="D248" s="61" t="s">
        <v>949</v>
      </c>
      <c r="E248" s="61" t="s">
        <v>950</v>
      </c>
      <c r="F248" s="60">
        <v>92064</v>
      </c>
      <c r="G248" s="61"/>
      <c r="H248" s="61" t="s">
        <v>1669</v>
      </c>
      <c r="I248" s="60">
        <v>75</v>
      </c>
      <c r="J248" s="60">
        <v>36</v>
      </c>
      <c r="K248" s="61" t="s">
        <v>2014</v>
      </c>
      <c r="L248" s="61"/>
      <c r="M248" s="61" t="s">
        <v>1750</v>
      </c>
      <c r="N248" s="61" t="s">
        <v>1995</v>
      </c>
      <c r="O248" s="61" t="s">
        <v>1673</v>
      </c>
      <c r="P248" s="61" t="s">
        <v>159</v>
      </c>
      <c r="Q248" s="61" t="s">
        <v>1674</v>
      </c>
      <c r="R248" s="60">
        <v>95</v>
      </c>
      <c r="S248" s="61" t="s">
        <v>1675</v>
      </c>
      <c r="T248" s="60">
        <v>14402</v>
      </c>
      <c r="U248" s="60">
        <v>10859</v>
      </c>
      <c r="V248" s="60">
        <v>1</v>
      </c>
      <c r="W248" s="60"/>
      <c r="X248" s="60">
        <v>2585</v>
      </c>
      <c r="Y248" s="60">
        <v>2837</v>
      </c>
      <c r="Z248" s="60">
        <v>4048</v>
      </c>
      <c r="AA248" s="60">
        <v>3055</v>
      </c>
      <c r="AB248" s="60">
        <v>3202</v>
      </c>
      <c r="AC248" s="60">
        <v>2912</v>
      </c>
      <c r="AD248" s="60">
        <v>1870</v>
      </c>
      <c r="AE248" s="60">
        <v>1578</v>
      </c>
      <c r="AF248" s="60">
        <v>2758</v>
      </c>
      <c r="AG248" s="60">
        <v>417</v>
      </c>
      <c r="AH248" s="60"/>
      <c r="AI248" s="60">
        <v>1718</v>
      </c>
      <c r="AJ248" s="60">
        <v>947</v>
      </c>
      <c r="AK248" s="60">
        <v>3701</v>
      </c>
      <c r="AL248" s="60">
        <v>142</v>
      </c>
      <c r="AM248" s="60">
        <v>1697</v>
      </c>
      <c r="AN248" s="60">
        <v>40</v>
      </c>
      <c r="AO248" s="60">
        <v>17017</v>
      </c>
      <c r="AP248" s="60">
        <v>738</v>
      </c>
      <c r="AQ248" s="60">
        <v>19</v>
      </c>
      <c r="AR248" s="60">
        <v>9</v>
      </c>
      <c r="AS248" s="60">
        <v>59</v>
      </c>
      <c r="AT248" s="60">
        <v>2</v>
      </c>
      <c r="AU248" s="60">
        <v>12</v>
      </c>
      <c r="AV248" s="60">
        <v>1</v>
      </c>
      <c r="AW248" s="60"/>
      <c r="AX248" s="60">
        <v>20</v>
      </c>
      <c r="AY248" s="60">
        <v>322</v>
      </c>
      <c r="AZ248" s="60"/>
      <c r="BA248" s="60">
        <v>23712</v>
      </c>
      <c r="BB248" s="60">
        <v>362</v>
      </c>
      <c r="BC248" s="60">
        <v>6</v>
      </c>
      <c r="BD248" s="60"/>
      <c r="BE248" s="60">
        <v>5289</v>
      </c>
      <c r="BF248" s="60">
        <v>5499</v>
      </c>
      <c r="BG248" s="60">
        <v>2650</v>
      </c>
      <c r="BH248" s="60">
        <v>9291</v>
      </c>
      <c r="BI248" s="60">
        <v>2533</v>
      </c>
      <c r="BJ248" s="60">
        <v>632</v>
      </c>
      <c r="BK248" s="60">
        <v>71</v>
      </c>
      <c r="BL248" s="60">
        <v>781</v>
      </c>
      <c r="BM248" s="60">
        <v>5</v>
      </c>
      <c r="BN248" s="60">
        <v>1488</v>
      </c>
      <c r="BO248" s="60">
        <v>237</v>
      </c>
      <c r="BP248" s="60">
        <v>1461</v>
      </c>
      <c r="BQ248" s="60">
        <v>271</v>
      </c>
      <c r="BR248" s="60">
        <v>6504</v>
      </c>
      <c r="BS248" s="60">
        <v>1748</v>
      </c>
      <c r="BT248" s="60">
        <v>31</v>
      </c>
      <c r="BU248" s="60">
        <v>1214</v>
      </c>
      <c r="BV248" s="60">
        <v>364</v>
      </c>
      <c r="BW248" s="60">
        <v>8</v>
      </c>
      <c r="BX248" s="60">
        <v>1020</v>
      </c>
      <c r="BY248" s="60">
        <v>2161</v>
      </c>
      <c r="BZ248" s="60">
        <v>823</v>
      </c>
      <c r="CA248" s="60">
        <v>6443</v>
      </c>
      <c r="CB248" s="60"/>
      <c r="CC248" s="60"/>
      <c r="CD248" s="60">
        <v>2341</v>
      </c>
      <c r="CE248" s="60">
        <v>188</v>
      </c>
      <c r="CF248" s="60">
        <v>297</v>
      </c>
      <c r="CG248" s="60">
        <v>7</v>
      </c>
      <c r="CH248" s="60">
        <v>140</v>
      </c>
      <c r="CI248" s="60">
        <v>26</v>
      </c>
      <c r="CJ248" s="60">
        <v>77</v>
      </c>
      <c r="CK248" s="60">
        <v>341</v>
      </c>
      <c r="CL248" s="60">
        <v>17829</v>
      </c>
      <c r="CM248" s="60">
        <v>2966</v>
      </c>
      <c r="CN248" s="60">
        <v>193</v>
      </c>
      <c r="CO248" s="60">
        <v>644</v>
      </c>
      <c r="CP248" s="60">
        <v>67</v>
      </c>
      <c r="CQ248" s="60">
        <v>140</v>
      </c>
      <c r="CR248" s="60">
        <v>6</v>
      </c>
      <c r="CS248" s="60"/>
      <c r="CT248" s="60">
        <v>25262</v>
      </c>
      <c r="CU248" s="60">
        <v>1005</v>
      </c>
      <c r="CV248" s="60">
        <v>23205</v>
      </c>
      <c r="CW248" s="60">
        <v>1052</v>
      </c>
      <c r="CX248" s="60">
        <v>2034</v>
      </c>
      <c r="CY248" s="60">
        <v>1653</v>
      </c>
      <c r="CZ248" s="60"/>
      <c r="DA248" s="60"/>
      <c r="DB248" s="60">
        <v>37</v>
      </c>
      <c r="DC248" s="60">
        <v>147</v>
      </c>
      <c r="DD248" s="60">
        <v>171</v>
      </c>
      <c r="DE248" s="60">
        <v>288</v>
      </c>
      <c r="DF248" s="60">
        <v>427</v>
      </c>
      <c r="DG248" s="60">
        <v>528</v>
      </c>
      <c r="DH248" s="60">
        <v>644</v>
      </c>
      <c r="DI248" s="60">
        <v>1444</v>
      </c>
      <c r="DJ248" s="60">
        <v>1</v>
      </c>
      <c r="DK248" s="60"/>
      <c r="DL248" s="60"/>
      <c r="DM248" s="60">
        <v>335</v>
      </c>
      <c r="DN248" s="60">
        <v>56</v>
      </c>
      <c r="DO248" s="60">
        <v>297</v>
      </c>
      <c r="DP248" s="60">
        <v>139</v>
      </c>
      <c r="DQ248" s="60">
        <v>6</v>
      </c>
      <c r="DR248" s="60">
        <v>2830</v>
      </c>
      <c r="DS248" s="60">
        <v>24</v>
      </c>
      <c r="DT248" s="60">
        <v>178</v>
      </c>
      <c r="DU248" s="60">
        <v>36</v>
      </c>
      <c r="DV248" s="60">
        <v>197</v>
      </c>
      <c r="DW248" s="60">
        <v>351</v>
      </c>
      <c r="DX248" s="60">
        <v>127</v>
      </c>
      <c r="DY248" s="60">
        <v>4</v>
      </c>
      <c r="DZ248" s="60">
        <v>82</v>
      </c>
      <c r="EA248" s="60">
        <v>1761</v>
      </c>
      <c r="EB248" s="60">
        <v>951</v>
      </c>
      <c r="EC248" s="60"/>
      <c r="ED248" s="60">
        <v>0</v>
      </c>
      <c r="EE248" s="60">
        <v>0</v>
      </c>
      <c r="EF248" s="60">
        <v>0</v>
      </c>
      <c r="EG248" s="60">
        <v>0</v>
      </c>
      <c r="EH248" s="60">
        <v>0</v>
      </c>
      <c r="EI248" s="60">
        <v>302</v>
      </c>
      <c r="EJ248" s="60">
        <v>2400</v>
      </c>
      <c r="EK248" s="60">
        <v>69</v>
      </c>
      <c r="EL248" s="60">
        <v>651</v>
      </c>
      <c r="EM248" s="60">
        <v>265</v>
      </c>
      <c r="EN248" s="60">
        <v>22</v>
      </c>
      <c r="EO248" s="60">
        <v>32</v>
      </c>
      <c r="EP248" s="60">
        <v>739</v>
      </c>
      <c r="EQ248" s="60"/>
      <c r="ER248" s="60">
        <v>718</v>
      </c>
      <c r="ES248" s="60">
        <v>143</v>
      </c>
      <c r="ET248" s="60">
        <v>211</v>
      </c>
      <c r="EU248" s="60">
        <v>419</v>
      </c>
      <c r="EV248" s="60">
        <v>435</v>
      </c>
      <c r="EW248" s="60">
        <v>59</v>
      </c>
      <c r="EX248" s="60">
        <v>83</v>
      </c>
      <c r="EY248" s="60">
        <v>69</v>
      </c>
      <c r="EZ248" s="60">
        <v>5</v>
      </c>
      <c r="FA248" s="60">
        <v>35</v>
      </c>
      <c r="FB248" s="60">
        <v>489</v>
      </c>
      <c r="FC248" s="60">
        <v>68</v>
      </c>
      <c r="FD248" s="60">
        <v>159</v>
      </c>
      <c r="FE248" s="60">
        <v>1</v>
      </c>
      <c r="FF248" s="60"/>
      <c r="FG248" s="60"/>
      <c r="FH248" s="60">
        <v>327</v>
      </c>
      <c r="FI248" s="60">
        <v>33</v>
      </c>
      <c r="FJ248" s="60">
        <v>211</v>
      </c>
      <c r="FK248" s="60">
        <v>3</v>
      </c>
      <c r="FL248" s="60">
        <v>12</v>
      </c>
      <c r="FM248" s="60">
        <v>45</v>
      </c>
      <c r="FN248" s="60">
        <v>14</v>
      </c>
      <c r="FO248" s="60">
        <v>2924</v>
      </c>
      <c r="FP248" s="60">
        <v>47</v>
      </c>
      <c r="FQ248" s="60">
        <v>3</v>
      </c>
      <c r="FR248" s="60">
        <v>7</v>
      </c>
      <c r="FS248" s="60">
        <v>35</v>
      </c>
      <c r="FT248" s="60">
        <v>23</v>
      </c>
      <c r="FU248" s="60">
        <v>2</v>
      </c>
      <c r="FV248" s="60">
        <v>1</v>
      </c>
      <c r="FW248" s="60"/>
      <c r="FX248" s="60">
        <v>3687</v>
      </c>
      <c r="FY248" s="60">
        <v>247</v>
      </c>
      <c r="FZ248" s="60">
        <v>3313</v>
      </c>
      <c r="GA248" s="60">
        <v>127</v>
      </c>
      <c r="GB248" s="60">
        <v>2011</v>
      </c>
    </row>
    <row r="249" spans="1:184" x14ac:dyDescent="0.3">
      <c r="A249" s="60">
        <v>106371394</v>
      </c>
      <c r="B249" s="61" t="s">
        <v>951</v>
      </c>
      <c r="C249" s="61" t="s">
        <v>952</v>
      </c>
      <c r="D249" s="61" t="s">
        <v>953</v>
      </c>
      <c r="E249" s="61" t="s">
        <v>954</v>
      </c>
      <c r="F249" s="60">
        <v>92024</v>
      </c>
      <c r="G249" s="61"/>
      <c r="H249" s="61" t="s">
        <v>1669</v>
      </c>
      <c r="I249" s="60">
        <v>74</v>
      </c>
      <c r="J249" s="60">
        <v>38</v>
      </c>
      <c r="K249" s="61" t="s">
        <v>2015</v>
      </c>
      <c r="L249" s="61"/>
      <c r="M249" s="61" t="s">
        <v>1750</v>
      </c>
      <c r="N249" s="61" t="s">
        <v>1995</v>
      </c>
      <c r="O249" s="61" t="s">
        <v>1673</v>
      </c>
      <c r="P249" s="61" t="s">
        <v>1678</v>
      </c>
      <c r="Q249" s="61" t="s">
        <v>1674</v>
      </c>
      <c r="R249" s="60">
        <v>158</v>
      </c>
      <c r="S249" s="61" t="s">
        <v>1675</v>
      </c>
      <c r="T249" s="60">
        <v>18356</v>
      </c>
      <c r="U249" s="60">
        <v>14845</v>
      </c>
      <c r="V249" s="60"/>
      <c r="W249" s="60"/>
      <c r="X249" s="60">
        <v>3081</v>
      </c>
      <c r="Y249" s="60">
        <v>3065</v>
      </c>
      <c r="Z249" s="60">
        <v>4263</v>
      </c>
      <c r="AA249" s="60">
        <v>4156</v>
      </c>
      <c r="AB249" s="60">
        <v>4449</v>
      </c>
      <c r="AC249" s="60">
        <v>3952</v>
      </c>
      <c r="AD249" s="60">
        <v>3044</v>
      </c>
      <c r="AE249" s="60">
        <v>2549</v>
      </c>
      <c r="AF249" s="60">
        <v>4142</v>
      </c>
      <c r="AG249" s="60">
        <v>499</v>
      </c>
      <c r="AH249" s="60">
        <v>1</v>
      </c>
      <c r="AI249" s="60">
        <v>941</v>
      </c>
      <c r="AJ249" s="60">
        <v>716</v>
      </c>
      <c r="AK249" s="60">
        <v>4878</v>
      </c>
      <c r="AL249" s="60">
        <v>19</v>
      </c>
      <c r="AM249" s="60">
        <v>832</v>
      </c>
      <c r="AN249" s="60">
        <v>104</v>
      </c>
      <c r="AO249" s="60">
        <v>25711</v>
      </c>
      <c r="AP249" s="60">
        <v>1176</v>
      </c>
      <c r="AQ249" s="60">
        <v>513</v>
      </c>
      <c r="AR249" s="60">
        <v>2</v>
      </c>
      <c r="AS249" s="60">
        <v>37</v>
      </c>
      <c r="AT249" s="60">
        <v>86</v>
      </c>
      <c r="AU249" s="60">
        <v>39</v>
      </c>
      <c r="AV249" s="60">
        <v>6</v>
      </c>
      <c r="AW249" s="60">
        <v>8</v>
      </c>
      <c r="AX249" s="60"/>
      <c r="AY249" s="60">
        <v>236</v>
      </c>
      <c r="AZ249" s="60"/>
      <c r="BA249" s="60">
        <v>30664</v>
      </c>
      <c r="BB249" s="60">
        <v>434</v>
      </c>
      <c r="BC249" s="60"/>
      <c r="BD249" s="60"/>
      <c r="BE249" s="60">
        <v>3518</v>
      </c>
      <c r="BF249" s="60">
        <v>8488</v>
      </c>
      <c r="BG249" s="60">
        <v>1897</v>
      </c>
      <c r="BH249" s="60">
        <v>14730</v>
      </c>
      <c r="BI249" s="60">
        <v>4568</v>
      </c>
      <c r="BJ249" s="60">
        <v>530</v>
      </c>
      <c r="BK249" s="60">
        <v>154</v>
      </c>
      <c r="BL249" s="60">
        <v>1148</v>
      </c>
      <c r="BM249" s="60">
        <v>7</v>
      </c>
      <c r="BN249" s="60">
        <v>1368</v>
      </c>
      <c r="BO249" s="60">
        <v>432</v>
      </c>
      <c r="BP249" s="60">
        <v>1660</v>
      </c>
      <c r="BQ249" s="60">
        <v>346</v>
      </c>
      <c r="BR249" s="60">
        <v>9006</v>
      </c>
      <c r="BS249" s="60">
        <v>2032</v>
      </c>
      <c r="BT249" s="60">
        <v>99</v>
      </c>
      <c r="BU249" s="60">
        <v>2039</v>
      </c>
      <c r="BV249" s="60">
        <v>1076</v>
      </c>
      <c r="BW249" s="60">
        <v>25</v>
      </c>
      <c r="BX249" s="60">
        <v>926</v>
      </c>
      <c r="BY249" s="60">
        <v>2279</v>
      </c>
      <c r="BZ249" s="60">
        <v>1165</v>
      </c>
      <c r="CA249" s="60">
        <v>8909</v>
      </c>
      <c r="CB249" s="60"/>
      <c r="CC249" s="60"/>
      <c r="CD249" s="60">
        <v>3567</v>
      </c>
      <c r="CE249" s="60">
        <v>109</v>
      </c>
      <c r="CF249" s="60">
        <v>438</v>
      </c>
      <c r="CG249" s="60">
        <v>29</v>
      </c>
      <c r="CH249" s="60">
        <v>184</v>
      </c>
      <c r="CI249" s="60">
        <v>126</v>
      </c>
      <c r="CJ249" s="60">
        <v>252</v>
      </c>
      <c r="CK249" s="60">
        <v>455</v>
      </c>
      <c r="CL249" s="60">
        <v>22694</v>
      </c>
      <c r="CM249" s="60">
        <v>3967</v>
      </c>
      <c r="CN249" s="60">
        <v>273</v>
      </c>
      <c r="CO249" s="60">
        <v>794</v>
      </c>
      <c r="CP249" s="60">
        <v>96</v>
      </c>
      <c r="CQ249" s="60">
        <v>199</v>
      </c>
      <c r="CR249" s="60">
        <v>18</v>
      </c>
      <c r="CS249" s="60"/>
      <c r="CT249" s="60">
        <v>33201</v>
      </c>
      <c r="CU249" s="60">
        <v>229</v>
      </c>
      <c r="CV249" s="60">
        <v>31553</v>
      </c>
      <c r="CW249" s="60">
        <v>1419</v>
      </c>
      <c r="CX249" s="60">
        <v>2986</v>
      </c>
      <c r="CY249" s="60">
        <v>2549</v>
      </c>
      <c r="CZ249" s="60"/>
      <c r="DA249" s="60"/>
      <c r="DB249" s="60">
        <v>83</v>
      </c>
      <c r="DC249" s="60">
        <v>287</v>
      </c>
      <c r="DD249" s="60">
        <v>319</v>
      </c>
      <c r="DE249" s="60">
        <v>516</v>
      </c>
      <c r="DF249" s="60">
        <v>766</v>
      </c>
      <c r="DG249" s="60">
        <v>750</v>
      </c>
      <c r="DH249" s="60">
        <v>867</v>
      </c>
      <c r="DI249" s="60">
        <v>1947</v>
      </c>
      <c r="DJ249" s="60"/>
      <c r="DK249" s="60"/>
      <c r="DL249" s="60"/>
      <c r="DM249" s="60">
        <v>222</v>
      </c>
      <c r="DN249" s="60">
        <v>91</v>
      </c>
      <c r="DO249" s="60">
        <v>638</v>
      </c>
      <c r="DP249" s="60">
        <v>81</v>
      </c>
      <c r="DQ249" s="60">
        <v>21</v>
      </c>
      <c r="DR249" s="60">
        <v>4481</v>
      </c>
      <c r="DS249" s="60">
        <v>1</v>
      </c>
      <c r="DT249" s="60">
        <v>174</v>
      </c>
      <c r="DU249" s="60">
        <v>53</v>
      </c>
      <c r="DV249" s="60">
        <v>157</v>
      </c>
      <c r="DW249" s="60">
        <v>1150</v>
      </c>
      <c r="DX249" s="60">
        <v>199</v>
      </c>
      <c r="DY249" s="60"/>
      <c r="DZ249" s="60">
        <v>56</v>
      </c>
      <c r="EA249" s="60">
        <v>2644</v>
      </c>
      <c r="EB249" s="60">
        <v>1100</v>
      </c>
      <c r="EC249" s="60">
        <v>2</v>
      </c>
      <c r="ED249" s="60">
        <v>0</v>
      </c>
      <c r="EE249" s="60">
        <v>0</v>
      </c>
      <c r="EF249" s="60">
        <v>0</v>
      </c>
      <c r="EG249" s="60">
        <v>0</v>
      </c>
      <c r="EH249" s="60">
        <v>0</v>
      </c>
      <c r="EI249" s="60">
        <v>358</v>
      </c>
      <c r="EJ249" s="60">
        <v>3263</v>
      </c>
      <c r="EK249" s="60">
        <v>57</v>
      </c>
      <c r="EL249" s="60">
        <v>1344</v>
      </c>
      <c r="EM249" s="60">
        <v>513</v>
      </c>
      <c r="EN249" s="60">
        <v>39</v>
      </c>
      <c r="EO249" s="60">
        <v>47</v>
      </c>
      <c r="EP249" s="60">
        <v>1240</v>
      </c>
      <c r="EQ249" s="60">
        <v>2</v>
      </c>
      <c r="ER249" s="60">
        <v>1101</v>
      </c>
      <c r="ES249" s="60">
        <v>205</v>
      </c>
      <c r="ET249" s="60">
        <v>258</v>
      </c>
      <c r="EU249" s="60">
        <v>545</v>
      </c>
      <c r="EV249" s="60">
        <v>723</v>
      </c>
      <c r="EW249" s="60">
        <v>106</v>
      </c>
      <c r="EX249" s="60">
        <v>177</v>
      </c>
      <c r="EY249" s="60">
        <v>146</v>
      </c>
      <c r="EZ249" s="60">
        <v>5</v>
      </c>
      <c r="FA249" s="60">
        <v>64</v>
      </c>
      <c r="FB249" s="60">
        <v>492</v>
      </c>
      <c r="FC249" s="60">
        <v>143</v>
      </c>
      <c r="FD249" s="60">
        <v>242</v>
      </c>
      <c r="FE249" s="60"/>
      <c r="FF249" s="60"/>
      <c r="FG249" s="60"/>
      <c r="FH249" s="60">
        <v>428</v>
      </c>
      <c r="FI249" s="60">
        <v>62</v>
      </c>
      <c r="FJ249" s="60">
        <v>563</v>
      </c>
      <c r="FK249" s="60">
        <v>5</v>
      </c>
      <c r="FL249" s="60">
        <v>28</v>
      </c>
      <c r="FM249" s="60">
        <v>413</v>
      </c>
      <c r="FN249" s="60">
        <v>16</v>
      </c>
      <c r="FO249" s="60">
        <v>3845</v>
      </c>
      <c r="FP249" s="60">
        <v>77</v>
      </c>
      <c r="FQ249" s="60">
        <v>11</v>
      </c>
      <c r="FR249" s="60">
        <v>12</v>
      </c>
      <c r="FS249" s="60">
        <v>48</v>
      </c>
      <c r="FT249" s="60">
        <v>23</v>
      </c>
      <c r="FU249" s="60">
        <v>4</v>
      </c>
      <c r="FV249" s="60"/>
      <c r="FW249" s="60"/>
      <c r="FX249" s="60">
        <v>5535</v>
      </c>
      <c r="FY249" s="60">
        <v>89</v>
      </c>
      <c r="FZ249" s="60">
        <v>5173</v>
      </c>
      <c r="GA249" s="60">
        <v>273</v>
      </c>
      <c r="GB249" s="60">
        <v>2011</v>
      </c>
    </row>
    <row r="250" spans="1:184" x14ac:dyDescent="0.3">
      <c r="A250" s="60">
        <v>106380857</v>
      </c>
      <c r="B250" s="61" t="s">
        <v>955</v>
      </c>
      <c r="C250" s="61" t="s">
        <v>2016</v>
      </c>
      <c r="D250" s="61" t="s">
        <v>957</v>
      </c>
      <c r="E250" s="61" t="s">
        <v>956</v>
      </c>
      <c r="F250" s="60">
        <v>94115</v>
      </c>
      <c r="G250" s="61"/>
      <c r="H250" s="61" t="s">
        <v>1689</v>
      </c>
      <c r="I250" s="60">
        <v>12</v>
      </c>
      <c r="J250" s="60">
        <v>8</v>
      </c>
      <c r="K250" s="61" t="s">
        <v>2017</v>
      </c>
      <c r="L250" s="61"/>
      <c r="M250" s="61" t="s">
        <v>1862</v>
      </c>
      <c r="N250" s="61" t="s">
        <v>2018</v>
      </c>
      <c r="O250" s="61" t="s">
        <v>1673</v>
      </c>
      <c r="P250" s="61" t="s">
        <v>1678</v>
      </c>
      <c r="Q250" s="61" t="s">
        <v>1674</v>
      </c>
      <c r="R250" s="60">
        <v>247</v>
      </c>
      <c r="S250" s="61" t="s">
        <v>1675</v>
      </c>
      <c r="T250" s="60">
        <v>13947</v>
      </c>
      <c r="U250" s="60">
        <v>12945</v>
      </c>
      <c r="V250" s="60">
        <v>4</v>
      </c>
      <c r="W250" s="60"/>
      <c r="X250" s="60">
        <v>1892</v>
      </c>
      <c r="Y250" s="60">
        <v>1680</v>
      </c>
      <c r="Z250" s="60">
        <v>4456</v>
      </c>
      <c r="AA250" s="60">
        <v>4142</v>
      </c>
      <c r="AB250" s="60">
        <v>3605</v>
      </c>
      <c r="AC250" s="60">
        <v>3456</v>
      </c>
      <c r="AD250" s="60">
        <v>2913</v>
      </c>
      <c r="AE250" s="60">
        <v>2051</v>
      </c>
      <c r="AF250" s="60">
        <v>2300</v>
      </c>
      <c r="AG250" s="60">
        <v>400</v>
      </c>
      <c r="AH250" s="60">
        <v>1</v>
      </c>
      <c r="AI250" s="60">
        <v>5812</v>
      </c>
      <c r="AJ250" s="60">
        <v>4226</v>
      </c>
      <c r="AK250" s="60">
        <v>4180</v>
      </c>
      <c r="AL250" s="60">
        <v>48</v>
      </c>
      <c r="AM250" s="60">
        <v>876</v>
      </c>
      <c r="AN250" s="60">
        <v>538</v>
      </c>
      <c r="AO250" s="60">
        <v>11216</v>
      </c>
      <c r="AP250" s="60">
        <v>79</v>
      </c>
      <c r="AQ250" s="60">
        <v>137</v>
      </c>
      <c r="AR250" s="60">
        <v>4</v>
      </c>
      <c r="AS250" s="60">
        <v>18</v>
      </c>
      <c r="AT250" s="60">
        <v>25</v>
      </c>
      <c r="AU250" s="60">
        <v>25</v>
      </c>
      <c r="AV250" s="60">
        <v>27</v>
      </c>
      <c r="AW250" s="60">
        <v>1</v>
      </c>
      <c r="AX250" s="60">
        <v>2</v>
      </c>
      <c r="AY250" s="60">
        <v>293</v>
      </c>
      <c r="AZ250" s="60">
        <v>3</v>
      </c>
      <c r="BA250" s="60">
        <v>26099</v>
      </c>
      <c r="BB250" s="60">
        <v>97</v>
      </c>
      <c r="BC250" s="60">
        <v>85</v>
      </c>
      <c r="BD250" s="60">
        <v>1</v>
      </c>
      <c r="BE250" s="60">
        <v>1378</v>
      </c>
      <c r="BF250" s="60">
        <v>5507</v>
      </c>
      <c r="BG250" s="60">
        <v>346</v>
      </c>
      <c r="BH250" s="60">
        <v>17476</v>
      </c>
      <c r="BI250" s="60">
        <v>2189</v>
      </c>
      <c r="BJ250" s="60">
        <v>651</v>
      </c>
      <c r="BK250" s="60">
        <v>97</v>
      </c>
      <c r="BL250" s="60">
        <v>781</v>
      </c>
      <c r="BM250" s="60">
        <v>4</v>
      </c>
      <c r="BN250" s="60">
        <v>1497</v>
      </c>
      <c r="BO250" s="60">
        <v>553</v>
      </c>
      <c r="BP250" s="60">
        <v>1389</v>
      </c>
      <c r="BQ250" s="60">
        <v>385</v>
      </c>
      <c r="BR250" s="60">
        <v>7090</v>
      </c>
      <c r="BS250" s="60">
        <v>1429</v>
      </c>
      <c r="BT250" s="60">
        <v>64</v>
      </c>
      <c r="BU250" s="60">
        <v>1445</v>
      </c>
      <c r="BV250" s="60">
        <v>836</v>
      </c>
      <c r="BW250" s="60">
        <v>38</v>
      </c>
      <c r="BX250" s="60">
        <v>1253</v>
      </c>
      <c r="BY250" s="60">
        <v>1924</v>
      </c>
      <c r="BZ250" s="60">
        <v>827</v>
      </c>
      <c r="CA250" s="60">
        <v>6633</v>
      </c>
      <c r="CB250" s="60"/>
      <c r="CC250" s="60"/>
      <c r="CD250" s="60">
        <v>2110</v>
      </c>
      <c r="CE250" s="60">
        <v>82</v>
      </c>
      <c r="CF250" s="60">
        <v>185</v>
      </c>
      <c r="CG250" s="60">
        <v>8</v>
      </c>
      <c r="CH250" s="60">
        <v>356</v>
      </c>
      <c r="CI250" s="60">
        <v>16</v>
      </c>
      <c r="CJ250" s="60">
        <v>208</v>
      </c>
      <c r="CK250" s="60">
        <v>213</v>
      </c>
      <c r="CL250" s="60">
        <v>19450</v>
      </c>
      <c r="CM250" s="60">
        <v>3111</v>
      </c>
      <c r="CN250" s="60">
        <v>255</v>
      </c>
      <c r="CO250" s="60">
        <v>629</v>
      </c>
      <c r="CP250" s="60">
        <v>81</v>
      </c>
      <c r="CQ250" s="60">
        <v>180</v>
      </c>
      <c r="CR250" s="60">
        <v>12</v>
      </c>
      <c r="CS250" s="60"/>
      <c r="CT250" s="60">
        <v>26896</v>
      </c>
      <c r="CU250" s="60">
        <v>1877</v>
      </c>
      <c r="CV250" s="60">
        <v>23491</v>
      </c>
      <c r="CW250" s="60">
        <v>1528</v>
      </c>
      <c r="CX250" s="60">
        <v>2312</v>
      </c>
      <c r="CY250" s="60">
        <v>2684</v>
      </c>
      <c r="CZ250" s="60"/>
      <c r="DA250" s="60"/>
      <c r="DB250" s="60">
        <v>74</v>
      </c>
      <c r="DC250" s="60">
        <v>190</v>
      </c>
      <c r="DD250" s="60">
        <v>275</v>
      </c>
      <c r="DE250" s="60">
        <v>425</v>
      </c>
      <c r="DF250" s="60">
        <v>674</v>
      </c>
      <c r="DG250" s="60">
        <v>823</v>
      </c>
      <c r="DH250" s="60">
        <v>985</v>
      </c>
      <c r="DI250" s="60">
        <v>1452</v>
      </c>
      <c r="DJ250" s="60">
        <v>36</v>
      </c>
      <c r="DK250" s="60">
        <v>62</v>
      </c>
      <c r="DL250" s="60"/>
      <c r="DM250" s="60">
        <v>1415</v>
      </c>
      <c r="DN250" s="60">
        <v>798</v>
      </c>
      <c r="DO250" s="60">
        <v>534</v>
      </c>
      <c r="DP250" s="60">
        <v>53</v>
      </c>
      <c r="DQ250" s="60">
        <v>10</v>
      </c>
      <c r="DR250" s="60">
        <v>2184</v>
      </c>
      <c r="DS250" s="60">
        <v>2</v>
      </c>
      <c r="DT250" s="60">
        <v>43</v>
      </c>
      <c r="DU250" s="60">
        <v>55</v>
      </c>
      <c r="DV250" s="60">
        <v>151</v>
      </c>
      <c r="DW250" s="60">
        <v>683</v>
      </c>
      <c r="DX250" s="60">
        <v>52</v>
      </c>
      <c r="DY250" s="60">
        <v>6</v>
      </c>
      <c r="DZ250" s="60">
        <v>88</v>
      </c>
      <c r="EA250" s="60">
        <v>3365</v>
      </c>
      <c r="EB250" s="60">
        <v>553</v>
      </c>
      <c r="EC250" s="60"/>
      <c r="ED250" s="60">
        <v>0</v>
      </c>
      <c r="EE250" s="60">
        <v>0</v>
      </c>
      <c r="EF250" s="60">
        <v>0</v>
      </c>
      <c r="EG250" s="60">
        <v>0</v>
      </c>
      <c r="EH250" s="60">
        <v>0</v>
      </c>
      <c r="EI250" s="60">
        <v>100</v>
      </c>
      <c r="EJ250" s="60">
        <v>2840</v>
      </c>
      <c r="EK250" s="60">
        <v>26</v>
      </c>
      <c r="EL250" s="60">
        <v>1971</v>
      </c>
      <c r="EM250" s="60">
        <v>59</v>
      </c>
      <c r="EN250" s="60">
        <v>50</v>
      </c>
      <c r="EO250" s="60">
        <v>58</v>
      </c>
      <c r="EP250" s="60">
        <v>1229</v>
      </c>
      <c r="EQ250" s="60">
        <v>4</v>
      </c>
      <c r="ER250" s="60">
        <v>914</v>
      </c>
      <c r="ES250" s="60">
        <v>199</v>
      </c>
      <c r="ET250" s="60">
        <v>193</v>
      </c>
      <c r="EU250" s="60">
        <v>805</v>
      </c>
      <c r="EV250" s="60">
        <v>402</v>
      </c>
      <c r="EW250" s="60">
        <v>57</v>
      </c>
      <c r="EX250" s="60">
        <v>148</v>
      </c>
      <c r="EY250" s="60">
        <v>101</v>
      </c>
      <c r="EZ250" s="60">
        <v>3</v>
      </c>
      <c r="FA250" s="60">
        <v>69</v>
      </c>
      <c r="FB250" s="60">
        <v>385</v>
      </c>
      <c r="FC250" s="60">
        <v>79</v>
      </c>
      <c r="FD250" s="60">
        <v>292</v>
      </c>
      <c r="FE250" s="60"/>
      <c r="FF250" s="60">
        <v>8</v>
      </c>
      <c r="FG250" s="60"/>
      <c r="FH250" s="60">
        <v>261</v>
      </c>
      <c r="FI250" s="60">
        <v>23</v>
      </c>
      <c r="FJ250" s="60">
        <v>502</v>
      </c>
      <c r="FK250" s="60">
        <v>8</v>
      </c>
      <c r="FL250" s="60">
        <v>12</v>
      </c>
      <c r="FM250" s="60">
        <v>347</v>
      </c>
      <c r="FN250" s="60">
        <v>5</v>
      </c>
      <c r="FO250" s="60">
        <v>3729</v>
      </c>
      <c r="FP250" s="60">
        <v>57</v>
      </c>
      <c r="FQ250" s="60">
        <v>8</v>
      </c>
      <c r="FR250" s="60">
        <v>13</v>
      </c>
      <c r="FS250" s="60">
        <v>15</v>
      </c>
      <c r="FT250" s="60">
        <v>10</v>
      </c>
      <c r="FU250" s="60">
        <v>4</v>
      </c>
      <c r="FV250" s="60">
        <v>2</v>
      </c>
      <c r="FW250" s="60"/>
      <c r="FX250" s="60">
        <v>4996</v>
      </c>
      <c r="FY250" s="60">
        <v>588</v>
      </c>
      <c r="FZ250" s="60">
        <v>4209</v>
      </c>
      <c r="GA250" s="60">
        <v>199</v>
      </c>
      <c r="GB250" s="60">
        <v>2011</v>
      </c>
    </row>
    <row r="251" spans="1:184" x14ac:dyDescent="0.3">
      <c r="A251" s="60">
        <v>106380929</v>
      </c>
      <c r="B251" s="61" t="s">
        <v>958</v>
      </c>
      <c r="C251" s="61" t="s">
        <v>959</v>
      </c>
      <c r="D251" s="61" t="s">
        <v>960</v>
      </c>
      <c r="E251" s="61" t="s">
        <v>956</v>
      </c>
      <c r="F251" s="60">
        <v>94115</v>
      </c>
      <c r="G251" s="61"/>
      <c r="H251" s="61" t="s">
        <v>1689</v>
      </c>
      <c r="I251" s="60">
        <v>13</v>
      </c>
      <c r="J251" s="60">
        <v>3</v>
      </c>
      <c r="K251" s="61" t="s">
        <v>2019</v>
      </c>
      <c r="L251" s="61"/>
      <c r="M251" s="61" t="s">
        <v>1862</v>
      </c>
      <c r="N251" s="61" t="s">
        <v>2018</v>
      </c>
      <c r="O251" s="61" t="s">
        <v>1673</v>
      </c>
      <c r="P251" s="61" t="s">
        <v>1678</v>
      </c>
      <c r="Q251" s="61" t="s">
        <v>1674</v>
      </c>
      <c r="R251" s="60">
        <v>295</v>
      </c>
      <c r="S251" s="61" t="s">
        <v>1675</v>
      </c>
      <c r="T251" s="60">
        <v>20914</v>
      </c>
      <c r="U251" s="60">
        <v>21703</v>
      </c>
      <c r="V251" s="60"/>
      <c r="W251" s="60"/>
      <c r="X251" s="60">
        <v>6859</v>
      </c>
      <c r="Y251" s="60">
        <v>2540</v>
      </c>
      <c r="Z251" s="60">
        <v>5167</v>
      </c>
      <c r="AA251" s="60">
        <v>6233</v>
      </c>
      <c r="AB251" s="60">
        <v>6179</v>
      </c>
      <c r="AC251" s="60">
        <v>5132</v>
      </c>
      <c r="AD251" s="60">
        <v>3747</v>
      </c>
      <c r="AE251" s="60">
        <v>2514</v>
      </c>
      <c r="AF251" s="60">
        <v>2833</v>
      </c>
      <c r="AG251" s="60">
        <v>1413</v>
      </c>
      <c r="AH251" s="60"/>
      <c r="AI251" s="60">
        <v>7319</v>
      </c>
      <c r="AJ251" s="60">
        <v>4256</v>
      </c>
      <c r="AK251" s="60">
        <v>332</v>
      </c>
      <c r="AL251" s="60">
        <v>730</v>
      </c>
      <c r="AM251" s="60">
        <v>3037</v>
      </c>
      <c r="AN251" s="60">
        <v>59</v>
      </c>
      <c r="AO251" s="60">
        <v>26884</v>
      </c>
      <c r="AP251" s="60">
        <v>137</v>
      </c>
      <c r="AQ251" s="60">
        <v>954</v>
      </c>
      <c r="AR251" s="60"/>
      <c r="AS251" s="60">
        <v>27</v>
      </c>
      <c r="AT251" s="60">
        <v>11</v>
      </c>
      <c r="AU251" s="60">
        <v>7</v>
      </c>
      <c r="AV251" s="60">
        <v>26</v>
      </c>
      <c r="AW251" s="60">
        <v>244</v>
      </c>
      <c r="AX251" s="60"/>
      <c r="AY251" s="60">
        <v>68</v>
      </c>
      <c r="AZ251" s="60">
        <v>1</v>
      </c>
      <c r="BA251" s="60">
        <v>41056</v>
      </c>
      <c r="BB251" s="60">
        <v>21</v>
      </c>
      <c r="BC251" s="60">
        <v>65</v>
      </c>
      <c r="BD251" s="60"/>
      <c r="BE251" s="60">
        <v>2557</v>
      </c>
      <c r="BF251" s="60">
        <v>6698</v>
      </c>
      <c r="BG251" s="60">
        <v>411</v>
      </c>
      <c r="BH251" s="60">
        <v>32739</v>
      </c>
      <c r="BI251" s="60">
        <v>212</v>
      </c>
      <c r="BJ251" s="60">
        <v>328</v>
      </c>
      <c r="BK251" s="60">
        <v>100</v>
      </c>
      <c r="BL251" s="60">
        <v>785</v>
      </c>
      <c r="BM251" s="60">
        <v>3</v>
      </c>
      <c r="BN251" s="60">
        <v>1682</v>
      </c>
      <c r="BO251" s="60">
        <v>411</v>
      </c>
      <c r="BP251" s="60">
        <v>2027</v>
      </c>
      <c r="BQ251" s="60">
        <v>1166</v>
      </c>
      <c r="BR251" s="60">
        <v>11942</v>
      </c>
      <c r="BS251" s="60">
        <v>2757</v>
      </c>
      <c r="BT251" s="60">
        <v>31</v>
      </c>
      <c r="BU251" s="60">
        <v>2374</v>
      </c>
      <c r="BV251" s="60">
        <v>755</v>
      </c>
      <c r="BW251" s="60">
        <v>57</v>
      </c>
      <c r="BX251" s="60">
        <v>1186</v>
      </c>
      <c r="BY251" s="60">
        <v>3821</v>
      </c>
      <c r="BZ251" s="60">
        <v>1909</v>
      </c>
      <c r="CA251" s="60">
        <v>11283</v>
      </c>
      <c r="CB251" s="60"/>
      <c r="CC251" s="60"/>
      <c r="CD251" s="60">
        <v>4448</v>
      </c>
      <c r="CE251" s="60">
        <v>361</v>
      </c>
      <c r="CF251" s="60">
        <v>244</v>
      </c>
      <c r="CG251" s="60">
        <v>25</v>
      </c>
      <c r="CH251" s="60">
        <v>463</v>
      </c>
      <c r="CI251" s="60">
        <v>35</v>
      </c>
      <c r="CJ251" s="60">
        <v>212</v>
      </c>
      <c r="CK251" s="60">
        <v>417</v>
      </c>
      <c r="CL251" s="60">
        <v>29611</v>
      </c>
      <c r="CM251" s="60">
        <v>4696</v>
      </c>
      <c r="CN251" s="60">
        <v>384</v>
      </c>
      <c r="CO251" s="60">
        <v>795</v>
      </c>
      <c r="CP251" s="60">
        <v>43</v>
      </c>
      <c r="CQ251" s="60">
        <v>328</v>
      </c>
      <c r="CR251" s="60">
        <v>555</v>
      </c>
      <c r="CS251" s="60"/>
      <c r="CT251" s="60">
        <v>42617</v>
      </c>
      <c r="CU251" s="60">
        <v>2748</v>
      </c>
      <c r="CV251" s="60">
        <v>39336</v>
      </c>
      <c r="CW251" s="60">
        <v>533</v>
      </c>
      <c r="CX251" s="60">
        <v>4454</v>
      </c>
      <c r="CY251" s="60">
        <v>4519</v>
      </c>
      <c r="CZ251" s="60"/>
      <c r="DA251" s="60">
        <v>1</v>
      </c>
      <c r="DB251" s="60">
        <v>160</v>
      </c>
      <c r="DC251" s="60">
        <v>396</v>
      </c>
      <c r="DD251" s="60">
        <v>570</v>
      </c>
      <c r="DE251" s="60">
        <v>852</v>
      </c>
      <c r="DF251" s="60">
        <v>1201</v>
      </c>
      <c r="DG251" s="60">
        <v>1380</v>
      </c>
      <c r="DH251" s="60">
        <v>1322</v>
      </c>
      <c r="DI251" s="60">
        <v>2729</v>
      </c>
      <c r="DJ251" s="60">
        <v>148</v>
      </c>
      <c r="DK251" s="60">
        <v>216</v>
      </c>
      <c r="DL251" s="60"/>
      <c r="DM251" s="60">
        <v>1537</v>
      </c>
      <c r="DN251" s="60">
        <v>956</v>
      </c>
      <c r="DO251" s="60">
        <v>389</v>
      </c>
      <c r="DP251" s="60">
        <v>218</v>
      </c>
      <c r="DQ251" s="60">
        <v>4</v>
      </c>
      <c r="DR251" s="60">
        <v>5522</v>
      </c>
      <c r="DS251" s="60">
        <v>348</v>
      </c>
      <c r="DT251" s="60">
        <v>106</v>
      </c>
      <c r="DU251" s="60">
        <v>140</v>
      </c>
      <c r="DV251" s="60">
        <v>336</v>
      </c>
      <c r="DW251" s="60">
        <v>1230</v>
      </c>
      <c r="DX251" s="60">
        <v>142</v>
      </c>
      <c r="DY251" s="60">
        <v>60</v>
      </c>
      <c r="DZ251" s="60">
        <v>185</v>
      </c>
      <c r="EA251" s="60">
        <v>5470</v>
      </c>
      <c r="EB251" s="60">
        <v>1299</v>
      </c>
      <c r="EC251" s="60">
        <v>6</v>
      </c>
      <c r="ED251" s="60">
        <v>0</v>
      </c>
      <c r="EE251" s="60">
        <v>0</v>
      </c>
      <c r="EF251" s="60">
        <v>0</v>
      </c>
      <c r="EG251" s="60">
        <v>0</v>
      </c>
      <c r="EH251" s="60">
        <v>0</v>
      </c>
      <c r="EI251" s="60">
        <v>744</v>
      </c>
      <c r="EJ251" s="60">
        <v>3771</v>
      </c>
      <c r="EK251" s="60">
        <v>174</v>
      </c>
      <c r="EL251" s="60">
        <v>4183</v>
      </c>
      <c r="EM251" s="60">
        <v>102</v>
      </c>
      <c r="EN251" s="60">
        <v>27</v>
      </c>
      <c r="EO251" s="60">
        <v>139</v>
      </c>
      <c r="EP251" s="60">
        <v>1486</v>
      </c>
      <c r="EQ251" s="60">
        <v>14</v>
      </c>
      <c r="ER251" s="60">
        <v>1504</v>
      </c>
      <c r="ES251" s="60">
        <v>373</v>
      </c>
      <c r="ET251" s="60">
        <v>441</v>
      </c>
      <c r="EU251" s="60">
        <v>902</v>
      </c>
      <c r="EV251" s="60">
        <v>1154</v>
      </c>
      <c r="EW251" s="60">
        <v>229</v>
      </c>
      <c r="EX251" s="60">
        <v>286</v>
      </c>
      <c r="EY251" s="60">
        <v>234</v>
      </c>
      <c r="EZ251" s="60">
        <v>14</v>
      </c>
      <c r="FA251" s="60">
        <v>420</v>
      </c>
      <c r="FB251" s="60">
        <v>876</v>
      </c>
      <c r="FC251" s="60">
        <v>309</v>
      </c>
      <c r="FD251" s="60">
        <v>536</v>
      </c>
      <c r="FE251" s="60">
        <v>1</v>
      </c>
      <c r="FF251" s="60">
        <v>29</v>
      </c>
      <c r="FG251" s="60"/>
      <c r="FH251" s="60">
        <v>645</v>
      </c>
      <c r="FI251" s="60">
        <v>59</v>
      </c>
      <c r="FJ251" s="60">
        <v>541</v>
      </c>
      <c r="FK251" s="60">
        <v>24</v>
      </c>
      <c r="FL251" s="60">
        <v>13</v>
      </c>
      <c r="FM251" s="60">
        <v>468</v>
      </c>
      <c r="FN251" s="60">
        <v>13</v>
      </c>
      <c r="FO251" s="60">
        <v>6830</v>
      </c>
      <c r="FP251" s="60">
        <v>270</v>
      </c>
      <c r="FQ251" s="60">
        <v>17</v>
      </c>
      <c r="FR251" s="60">
        <v>20</v>
      </c>
      <c r="FS251" s="60">
        <v>56</v>
      </c>
      <c r="FT251" s="60">
        <v>12</v>
      </c>
      <c r="FU251" s="60">
        <v>3</v>
      </c>
      <c r="FV251" s="60">
        <v>3</v>
      </c>
      <c r="FW251" s="60"/>
      <c r="FX251" s="60">
        <v>8974</v>
      </c>
      <c r="FY251" s="60">
        <v>1159</v>
      </c>
      <c r="FZ251" s="60">
        <v>7631</v>
      </c>
      <c r="GA251" s="60">
        <v>184</v>
      </c>
      <c r="GB251" s="60">
        <v>2011</v>
      </c>
    </row>
    <row r="252" spans="1:184" s="55" customFormat="1" x14ac:dyDescent="0.3">
      <c r="A252" s="60">
        <v>106380939</v>
      </c>
      <c r="B252" s="61" t="s">
        <v>961</v>
      </c>
      <c r="C252" s="61" t="s">
        <v>962</v>
      </c>
      <c r="D252" s="61" t="s">
        <v>963</v>
      </c>
      <c r="E252" s="61" t="s">
        <v>956</v>
      </c>
      <c r="F252" s="60">
        <v>94110</v>
      </c>
      <c r="G252" s="61" t="s">
        <v>248</v>
      </c>
      <c r="H252" s="61" t="s">
        <v>1689</v>
      </c>
      <c r="I252" s="60">
        <v>13</v>
      </c>
      <c r="J252" s="60">
        <v>3</v>
      </c>
      <c r="K252" s="61" t="s">
        <v>2020</v>
      </c>
      <c r="L252" s="61"/>
      <c r="M252" s="61" t="s">
        <v>1862</v>
      </c>
      <c r="N252" s="61" t="s">
        <v>2018</v>
      </c>
      <c r="O252" s="61" t="s">
        <v>1673</v>
      </c>
      <c r="P252" s="61" t="s">
        <v>1690</v>
      </c>
      <c r="Q252" s="61" t="s">
        <v>1674</v>
      </c>
      <c r="R252" s="60">
        <v>403</v>
      </c>
      <c r="S252" s="61" t="s">
        <v>1738</v>
      </c>
      <c r="T252" s="60">
        <v>15013</v>
      </c>
      <c r="U252" s="60">
        <v>22993</v>
      </c>
      <c r="V252" s="60"/>
      <c r="W252" s="60"/>
      <c r="X252" s="60">
        <v>1574</v>
      </c>
      <c r="Y252" s="60">
        <v>1710</v>
      </c>
      <c r="Z252" s="60">
        <v>7403</v>
      </c>
      <c r="AA252" s="60">
        <v>7266</v>
      </c>
      <c r="AB252" s="60">
        <v>7678</v>
      </c>
      <c r="AC252" s="60">
        <v>6924</v>
      </c>
      <c r="AD252" s="60">
        <v>3405</v>
      </c>
      <c r="AE252" s="60">
        <v>954</v>
      </c>
      <c r="AF252" s="60">
        <v>598</v>
      </c>
      <c r="AG252" s="60">
        <v>441</v>
      </c>
      <c r="AH252" s="60">
        <v>53</v>
      </c>
      <c r="AI252" s="60">
        <v>5526</v>
      </c>
      <c r="AJ252" s="60">
        <v>9171</v>
      </c>
      <c r="AK252" s="60">
        <v>9670</v>
      </c>
      <c r="AL252" s="60">
        <v>485</v>
      </c>
      <c r="AM252" s="60">
        <v>630</v>
      </c>
      <c r="AN252" s="60">
        <v>558</v>
      </c>
      <c r="AO252" s="60">
        <v>11966</v>
      </c>
      <c r="AP252" s="60">
        <v>745</v>
      </c>
      <c r="AQ252" s="60">
        <v>439</v>
      </c>
      <c r="AR252" s="60">
        <v>748</v>
      </c>
      <c r="AS252" s="60">
        <v>34</v>
      </c>
      <c r="AT252" s="60">
        <v>1</v>
      </c>
      <c r="AU252" s="60"/>
      <c r="AV252" s="60">
        <v>5</v>
      </c>
      <c r="AW252" s="60"/>
      <c r="AX252" s="60"/>
      <c r="AY252" s="60">
        <v>1191</v>
      </c>
      <c r="AZ252" s="60">
        <v>1</v>
      </c>
      <c r="BA252" s="60">
        <v>34605</v>
      </c>
      <c r="BB252" s="60">
        <v>237</v>
      </c>
      <c r="BC252" s="60"/>
      <c r="BD252" s="60"/>
      <c r="BE252" s="60">
        <v>12041</v>
      </c>
      <c r="BF252" s="60">
        <v>5025</v>
      </c>
      <c r="BG252" s="60">
        <v>10505</v>
      </c>
      <c r="BH252" s="60">
        <v>5523</v>
      </c>
      <c r="BI252" s="60">
        <v>4912</v>
      </c>
      <c r="BJ252" s="60">
        <v>548</v>
      </c>
      <c r="BK252" s="60">
        <v>91</v>
      </c>
      <c r="BL252" s="60">
        <v>660</v>
      </c>
      <c r="BM252" s="60">
        <v>20</v>
      </c>
      <c r="BN252" s="60">
        <v>1345</v>
      </c>
      <c r="BO252" s="60">
        <v>470</v>
      </c>
      <c r="BP252" s="60">
        <v>1496</v>
      </c>
      <c r="BQ252" s="60">
        <v>642</v>
      </c>
      <c r="BR252" s="60">
        <v>9592</v>
      </c>
      <c r="BS252" s="60">
        <v>2493</v>
      </c>
      <c r="BT252" s="60">
        <v>34</v>
      </c>
      <c r="BU252" s="60">
        <v>1188</v>
      </c>
      <c r="BV252" s="60">
        <v>1189</v>
      </c>
      <c r="BW252" s="60">
        <v>15</v>
      </c>
      <c r="BX252" s="60">
        <v>6487</v>
      </c>
      <c r="BY252" s="60">
        <v>1772</v>
      </c>
      <c r="BZ252" s="60">
        <v>1242</v>
      </c>
      <c r="CA252" s="60">
        <v>8720</v>
      </c>
      <c r="CB252" s="60">
        <v>1</v>
      </c>
      <c r="CC252" s="60">
        <v>1</v>
      </c>
      <c r="CD252" s="60">
        <v>2367</v>
      </c>
      <c r="CE252" s="60">
        <v>96</v>
      </c>
      <c r="CF252" s="60">
        <v>91</v>
      </c>
      <c r="CG252" s="60">
        <v>17</v>
      </c>
      <c r="CH252" s="60">
        <v>2228</v>
      </c>
      <c r="CI252" s="60">
        <v>13</v>
      </c>
      <c r="CJ252" s="60">
        <v>126</v>
      </c>
      <c r="CK252" s="60">
        <v>137</v>
      </c>
      <c r="CL252" s="60">
        <v>27324</v>
      </c>
      <c r="CM252" s="60">
        <v>2148</v>
      </c>
      <c r="CN252" s="60">
        <v>373</v>
      </c>
      <c r="CO252" s="60">
        <v>2289</v>
      </c>
      <c r="CP252" s="60">
        <v>345</v>
      </c>
      <c r="CQ252" s="60">
        <v>124</v>
      </c>
      <c r="CR252" s="60">
        <v>327</v>
      </c>
      <c r="CS252" s="60">
        <v>1</v>
      </c>
      <c r="CT252" s="60">
        <v>38006</v>
      </c>
      <c r="CU252" s="60">
        <v>2219</v>
      </c>
      <c r="CV252" s="60">
        <v>30745</v>
      </c>
      <c r="CW252" s="60">
        <v>5042</v>
      </c>
      <c r="CX252" s="60">
        <v>3746</v>
      </c>
      <c r="CY252" s="60">
        <v>6685</v>
      </c>
      <c r="CZ252" s="60"/>
      <c r="DA252" s="60"/>
      <c r="DB252" s="60">
        <v>192</v>
      </c>
      <c r="DC252" s="60">
        <v>1158</v>
      </c>
      <c r="DD252" s="60">
        <v>1372</v>
      </c>
      <c r="DE252" s="60">
        <v>1866</v>
      </c>
      <c r="DF252" s="60">
        <v>2515</v>
      </c>
      <c r="DG252" s="60">
        <v>1650</v>
      </c>
      <c r="DH252" s="60">
        <v>769</v>
      </c>
      <c r="DI252" s="60">
        <v>748</v>
      </c>
      <c r="DJ252" s="60">
        <v>41</v>
      </c>
      <c r="DK252" s="60">
        <v>116</v>
      </c>
      <c r="DL252" s="60">
        <v>4</v>
      </c>
      <c r="DM252" s="60">
        <v>2078</v>
      </c>
      <c r="DN252" s="60">
        <v>2492</v>
      </c>
      <c r="DO252" s="60">
        <v>2053</v>
      </c>
      <c r="DP252" s="60">
        <v>92</v>
      </c>
      <c r="DQ252" s="60">
        <v>117</v>
      </c>
      <c r="DR252" s="60">
        <v>3422</v>
      </c>
      <c r="DS252" s="60">
        <v>177</v>
      </c>
      <c r="DT252" s="60">
        <v>426</v>
      </c>
      <c r="DU252" s="60">
        <v>314</v>
      </c>
      <c r="DV252" s="60">
        <v>316</v>
      </c>
      <c r="DW252" s="60">
        <v>346</v>
      </c>
      <c r="DX252" s="60">
        <v>187</v>
      </c>
      <c r="DY252" s="60">
        <v>43</v>
      </c>
      <c r="DZ252" s="60">
        <v>239</v>
      </c>
      <c r="EA252" s="60">
        <v>7522</v>
      </c>
      <c r="EB252" s="60">
        <v>862</v>
      </c>
      <c r="EC252" s="60">
        <v>176</v>
      </c>
      <c r="ED252" s="60">
        <v>0</v>
      </c>
      <c r="EE252" s="60">
        <v>0</v>
      </c>
      <c r="EF252" s="60">
        <v>0</v>
      </c>
      <c r="EG252" s="60">
        <v>0</v>
      </c>
      <c r="EH252" s="60">
        <v>0</v>
      </c>
      <c r="EI252" s="60">
        <v>4970</v>
      </c>
      <c r="EJ252" s="60">
        <v>3003</v>
      </c>
      <c r="EK252" s="60">
        <v>515</v>
      </c>
      <c r="EL252" s="60">
        <v>842</v>
      </c>
      <c r="EM252" s="60">
        <v>1101</v>
      </c>
      <c r="EN252" s="60">
        <v>27</v>
      </c>
      <c r="EO252" s="60">
        <v>130</v>
      </c>
      <c r="EP252" s="60">
        <v>1504</v>
      </c>
      <c r="EQ252" s="60">
        <v>4</v>
      </c>
      <c r="ER252" s="60">
        <v>1127</v>
      </c>
      <c r="ES252" s="60">
        <v>392</v>
      </c>
      <c r="ET252" s="60">
        <v>380</v>
      </c>
      <c r="EU252" s="60">
        <v>473</v>
      </c>
      <c r="EV252" s="60">
        <v>2202</v>
      </c>
      <c r="EW252" s="60">
        <v>195</v>
      </c>
      <c r="EX252" s="60">
        <v>255</v>
      </c>
      <c r="EY252" s="60">
        <v>184</v>
      </c>
      <c r="EZ252" s="60">
        <v>12</v>
      </c>
      <c r="FA252" s="60">
        <v>1722</v>
      </c>
      <c r="FB252" s="60">
        <v>831</v>
      </c>
      <c r="FC252" s="60">
        <v>407</v>
      </c>
      <c r="FD252" s="60">
        <v>575</v>
      </c>
      <c r="FE252" s="60">
        <v>4</v>
      </c>
      <c r="FF252" s="60">
        <v>7</v>
      </c>
      <c r="FG252" s="60"/>
      <c r="FH252" s="60">
        <v>816</v>
      </c>
      <c r="FI252" s="60">
        <v>145</v>
      </c>
      <c r="FJ252" s="60">
        <v>229</v>
      </c>
      <c r="FK252" s="60">
        <v>403</v>
      </c>
      <c r="FL252" s="60">
        <v>52</v>
      </c>
      <c r="FM252" s="60">
        <v>339</v>
      </c>
      <c r="FN252" s="60">
        <v>43</v>
      </c>
      <c r="FO252" s="60">
        <v>7449</v>
      </c>
      <c r="FP252" s="60">
        <v>179</v>
      </c>
      <c r="FQ252" s="60">
        <v>69</v>
      </c>
      <c r="FR252" s="60">
        <v>539</v>
      </c>
      <c r="FS252" s="60">
        <v>120</v>
      </c>
      <c r="FT252" s="60">
        <v>22</v>
      </c>
      <c r="FU252" s="60">
        <v>13</v>
      </c>
      <c r="FV252" s="60">
        <v>13</v>
      </c>
      <c r="FW252" s="60"/>
      <c r="FX252" s="60">
        <v>10431</v>
      </c>
      <c r="FY252" s="60">
        <v>934</v>
      </c>
      <c r="FZ252" s="60">
        <v>8496</v>
      </c>
      <c r="GA252" s="60">
        <v>1001</v>
      </c>
      <c r="GB252" s="60">
        <v>2011</v>
      </c>
    </row>
    <row r="253" spans="1:184" x14ac:dyDescent="0.3">
      <c r="A253" s="60">
        <v>106380960</v>
      </c>
      <c r="B253" s="61" t="s">
        <v>964</v>
      </c>
      <c r="C253" s="61" t="s">
        <v>965</v>
      </c>
      <c r="D253" s="61" t="s">
        <v>966</v>
      </c>
      <c r="E253" s="61" t="s">
        <v>956</v>
      </c>
      <c r="F253" s="60">
        <v>94109</v>
      </c>
      <c r="G253" s="61"/>
      <c r="H253" s="61" t="s">
        <v>1669</v>
      </c>
      <c r="I253" s="60">
        <v>13</v>
      </c>
      <c r="J253" s="60">
        <v>3</v>
      </c>
      <c r="K253" s="61" t="s">
        <v>2019</v>
      </c>
      <c r="L253" s="61"/>
      <c r="M253" s="61" t="s">
        <v>1862</v>
      </c>
      <c r="N253" s="61" t="s">
        <v>2018</v>
      </c>
      <c r="O253" s="61" t="s">
        <v>1673</v>
      </c>
      <c r="P253" s="61" t="s">
        <v>1678</v>
      </c>
      <c r="Q253" s="61" t="s">
        <v>1674</v>
      </c>
      <c r="R253" s="60">
        <v>287</v>
      </c>
      <c r="S253" s="61" t="s">
        <v>1675</v>
      </c>
      <c r="T253" s="60">
        <v>11531</v>
      </c>
      <c r="U253" s="60">
        <v>17035</v>
      </c>
      <c r="V253" s="60">
        <v>3</v>
      </c>
      <c r="W253" s="60"/>
      <c r="X253" s="60">
        <v>405</v>
      </c>
      <c r="Y253" s="60">
        <v>933</v>
      </c>
      <c r="Z253" s="60">
        <v>5379</v>
      </c>
      <c r="AA253" s="60">
        <v>4896</v>
      </c>
      <c r="AB253" s="60">
        <v>6050</v>
      </c>
      <c r="AC253" s="60">
        <v>5549</v>
      </c>
      <c r="AD253" s="60">
        <v>3307</v>
      </c>
      <c r="AE253" s="60">
        <v>987</v>
      </c>
      <c r="AF253" s="60">
        <v>1013</v>
      </c>
      <c r="AG253" s="60">
        <v>50</v>
      </c>
      <c r="AH253" s="60"/>
      <c r="AI253" s="60">
        <v>2874</v>
      </c>
      <c r="AJ253" s="60">
        <v>5809</v>
      </c>
      <c r="AK253" s="60">
        <v>2832</v>
      </c>
      <c r="AL253" s="60">
        <v>32</v>
      </c>
      <c r="AM253" s="60">
        <v>747</v>
      </c>
      <c r="AN253" s="60">
        <v>362</v>
      </c>
      <c r="AO253" s="60">
        <v>15913</v>
      </c>
      <c r="AP253" s="60">
        <v>108</v>
      </c>
      <c r="AQ253" s="60">
        <v>1196</v>
      </c>
      <c r="AR253" s="60"/>
      <c r="AS253" s="60">
        <v>40</v>
      </c>
      <c r="AT253" s="60">
        <v>37</v>
      </c>
      <c r="AU253" s="60">
        <v>3</v>
      </c>
      <c r="AV253" s="60"/>
      <c r="AW253" s="60"/>
      <c r="AX253" s="60">
        <v>13</v>
      </c>
      <c r="AY253" s="60">
        <v>13</v>
      </c>
      <c r="AZ253" s="60">
        <v>2</v>
      </c>
      <c r="BA253" s="60">
        <v>27070</v>
      </c>
      <c r="BB253" s="60">
        <v>84</v>
      </c>
      <c r="BC253" s="60">
        <v>3</v>
      </c>
      <c r="BD253" s="60"/>
      <c r="BE253" s="60">
        <v>6483</v>
      </c>
      <c r="BF253" s="60">
        <v>6018</v>
      </c>
      <c r="BG253" s="60">
        <v>3761</v>
      </c>
      <c r="BH253" s="60">
        <v>5788</v>
      </c>
      <c r="BI253" s="60">
        <v>6519</v>
      </c>
      <c r="BJ253" s="60">
        <v>182</v>
      </c>
      <c r="BK253" s="60">
        <v>25</v>
      </c>
      <c r="BL253" s="60">
        <v>510</v>
      </c>
      <c r="BM253" s="60">
        <v>1</v>
      </c>
      <c r="BN253" s="60">
        <v>1082</v>
      </c>
      <c r="BO253" s="60">
        <v>369</v>
      </c>
      <c r="BP253" s="60">
        <v>825</v>
      </c>
      <c r="BQ253" s="60">
        <v>573</v>
      </c>
      <c r="BR253" s="60">
        <v>6502</v>
      </c>
      <c r="BS253" s="60">
        <v>2562</v>
      </c>
      <c r="BT253" s="60">
        <v>5</v>
      </c>
      <c r="BU253" s="60">
        <v>1403</v>
      </c>
      <c r="BV253" s="60">
        <v>1493</v>
      </c>
      <c r="BW253" s="60">
        <v>1</v>
      </c>
      <c r="BX253" s="60">
        <v>3139</v>
      </c>
      <c r="BY253" s="60">
        <v>2051</v>
      </c>
      <c r="BZ253" s="60">
        <v>1373</v>
      </c>
      <c r="CA253" s="60">
        <v>6473</v>
      </c>
      <c r="CB253" s="60"/>
      <c r="CC253" s="60"/>
      <c r="CD253" s="60">
        <v>2035</v>
      </c>
      <c r="CE253" s="60">
        <v>310</v>
      </c>
      <c r="CF253" s="60">
        <v>175</v>
      </c>
      <c r="CG253" s="60">
        <v>45</v>
      </c>
      <c r="CH253" s="60">
        <v>896</v>
      </c>
      <c r="CI253" s="60">
        <v>12</v>
      </c>
      <c r="CJ253" s="60">
        <v>98</v>
      </c>
      <c r="CK253" s="60">
        <v>271</v>
      </c>
      <c r="CL253" s="60">
        <v>20878</v>
      </c>
      <c r="CM253" s="60">
        <v>3239</v>
      </c>
      <c r="CN253" s="60">
        <v>168</v>
      </c>
      <c r="CO253" s="60">
        <v>291</v>
      </c>
      <c r="CP253" s="60">
        <v>42</v>
      </c>
      <c r="CQ253" s="60">
        <v>104</v>
      </c>
      <c r="CR253" s="60">
        <v>5</v>
      </c>
      <c r="CS253" s="60"/>
      <c r="CT253" s="60">
        <v>28569</v>
      </c>
      <c r="CU253" s="60">
        <v>1161</v>
      </c>
      <c r="CV253" s="60">
        <v>26769</v>
      </c>
      <c r="CW253" s="60">
        <v>639</v>
      </c>
      <c r="CX253" s="60">
        <v>1704</v>
      </c>
      <c r="CY253" s="60">
        <v>2624</v>
      </c>
      <c r="CZ253" s="60"/>
      <c r="DA253" s="60"/>
      <c r="DB253" s="60">
        <v>26</v>
      </c>
      <c r="DC253" s="60">
        <v>298</v>
      </c>
      <c r="DD253" s="60">
        <v>425</v>
      </c>
      <c r="DE253" s="60">
        <v>641</v>
      </c>
      <c r="DF253" s="60">
        <v>880</v>
      </c>
      <c r="DG253" s="60">
        <v>639</v>
      </c>
      <c r="DH253" s="60">
        <v>489</v>
      </c>
      <c r="DI253" s="60">
        <v>921</v>
      </c>
      <c r="DJ253" s="60">
        <v>2</v>
      </c>
      <c r="DK253" s="60">
        <v>7</v>
      </c>
      <c r="DL253" s="60"/>
      <c r="DM253" s="60">
        <v>1049</v>
      </c>
      <c r="DN253" s="60">
        <v>797</v>
      </c>
      <c r="DO253" s="60">
        <v>223</v>
      </c>
      <c r="DP253" s="60">
        <v>66</v>
      </c>
      <c r="DQ253" s="60">
        <v>34</v>
      </c>
      <c r="DR253" s="60">
        <v>2151</v>
      </c>
      <c r="DS253" s="60">
        <v>8</v>
      </c>
      <c r="DT253" s="60">
        <v>117</v>
      </c>
      <c r="DU253" s="60">
        <v>222</v>
      </c>
      <c r="DV253" s="60">
        <v>194</v>
      </c>
      <c r="DW253" s="60">
        <v>339</v>
      </c>
      <c r="DX253" s="60">
        <v>168</v>
      </c>
      <c r="DY253" s="60">
        <v>16</v>
      </c>
      <c r="DZ253" s="60">
        <v>38</v>
      </c>
      <c r="EA253" s="60">
        <v>2658</v>
      </c>
      <c r="EB253" s="60">
        <v>576</v>
      </c>
      <c r="EC253" s="60"/>
      <c r="ED253" s="60">
        <v>0</v>
      </c>
      <c r="EE253" s="60">
        <v>0</v>
      </c>
      <c r="EF253" s="60">
        <v>0</v>
      </c>
      <c r="EG253" s="60">
        <v>0</v>
      </c>
      <c r="EH253" s="60">
        <v>0</v>
      </c>
      <c r="EI253" s="60">
        <v>1074</v>
      </c>
      <c r="EJ253" s="60">
        <v>1786</v>
      </c>
      <c r="EK253" s="60">
        <v>401</v>
      </c>
      <c r="EL253" s="60">
        <v>743</v>
      </c>
      <c r="EM253" s="60">
        <v>324</v>
      </c>
      <c r="EN253" s="60">
        <v>7</v>
      </c>
      <c r="EO253" s="60">
        <v>42</v>
      </c>
      <c r="EP253" s="60">
        <v>591</v>
      </c>
      <c r="EQ253" s="60">
        <v>1</v>
      </c>
      <c r="ER253" s="60">
        <v>458</v>
      </c>
      <c r="ES253" s="60">
        <v>143</v>
      </c>
      <c r="ET253" s="60">
        <v>193</v>
      </c>
      <c r="EU253" s="60">
        <v>274</v>
      </c>
      <c r="EV253" s="60">
        <v>464</v>
      </c>
      <c r="EW253" s="60">
        <v>93</v>
      </c>
      <c r="EX253" s="60">
        <v>121</v>
      </c>
      <c r="EY253" s="60">
        <v>111</v>
      </c>
      <c r="EZ253" s="60">
        <v>8</v>
      </c>
      <c r="FA253" s="60">
        <v>811</v>
      </c>
      <c r="FB253" s="60">
        <v>696</v>
      </c>
      <c r="FC253" s="60">
        <v>149</v>
      </c>
      <c r="FD253" s="60">
        <v>166</v>
      </c>
      <c r="FE253" s="60"/>
      <c r="FF253" s="60"/>
      <c r="FG253" s="60"/>
      <c r="FH253" s="60">
        <v>259</v>
      </c>
      <c r="FI253" s="60">
        <v>41</v>
      </c>
      <c r="FJ253" s="60">
        <v>223</v>
      </c>
      <c r="FK253" s="60">
        <v>46</v>
      </c>
      <c r="FL253" s="60">
        <v>32</v>
      </c>
      <c r="FM253" s="60">
        <v>141</v>
      </c>
      <c r="FN253" s="60">
        <v>22</v>
      </c>
      <c r="FO253" s="60">
        <v>3260</v>
      </c>
      <c r="FP253" s="60">
        <v>80</v>
      </c>
      <c r="FQ253" s="60">
        <v>7</v>
      </c>
      <c r="FR253" s="60">
        <v>11</v>
      </c>
      <c r="FS253" s="60">
        <v>128</v>
      </c>
      <c r="FT253" s="60">
        <v>16</v>
      </c>
      <c r="FU253" s="60">
        <v>36</v>
      </c>
      <c r="FV253" s="60">
        <v>26</v>
      </c>
      <c r="FW253" s="60"/>
      <c r="FX253" s="60">
        <v>4328</v>
      </c>
      <c r="FY253" s="60">
        <v>716</v>
      </c>
      <c r="FZ253" s="60">
        <v>3566</v>
      </c>
      <c r="GA253" s="60">
        <v>46</v>
      </c>
      <c r="GB253" s="60">
        <v>2011</v>
      </c>
    </row>
    <row r="254" spans="1:184" x14ac:dyDescent="0.3">
      <c r="A254" s="60">
        <v>106380964</v>
      </c>
      <c r="B254" s="61" t="s">
        <v>967</v>
      </c>
      <c r="C254" s="61" t="s">
        <v>2021</v>
      </c>
      <c r="D254" s="61" t="s">
        <v>968</v>
      </c>
      <c r="E254" s="61" t="s">
        <v>956</v>
      </c>
      <c r="F254" s="60">
        <v>94110</v>
      </c>
      <c r="G254" s="61"/>
      <c r="H254" s="61" t="s">
        <v>1669</v>
      </c>
      <c r="I254" s="60">
        <v>13</v>
      </c>
      <c r="J254" s="60">
        <v>3</v>
      </c>
      <c r="K254" s="61" t="s">
        <v>2020</v>
      </c>
      <c r="L254" s="61"/>
      <c r="M254" s="61" t="s">
        <v>1862</v>
      </c>
      <c r="N254" s="61" t="s">
        <v>2018</v>
      </c>
      <c r="O254" s="61" t="s">
        <v>1673</v>
      </c>
      <c r="P254" s="61" t="s">
        <v>1678</v>
      </c>
      <c r="Q254" s="61" t="s">
        <v>1674</v>
      </c>
      <c r="R254" s="60">
        <v>149</v>
      </c>
      <c r="S254" s="61" t="s">
        <v>1675</v>
      </c>
      <c r="T254" s="60">
        <v>13495</v>
      </c>
      <c r="U254" s="60">
        <v>10746</v>
      </c>
      <c r="V254" s="60"/>
      <c r="W254" s="60"/>
      <c r="X254" s="60">
        <v>2961</v>
      </c>
      <c r="Y254" s="60">
        <v>1948</v>
      </c>
      <c r="Z254" s="60">
        <v>4150</v>
      </c>
      <c r="AA254" s="60">
        <v>3836</v>
      </c>
      <c r="AB254" s="60">
        <v>3940</v>
      </c>
      <c r="AC254" s="60">
        <v>2997</v>
      </c>
      <c r="AD254" s="60">
        <v>1633</v>
      </c>
      <c r="AE254" s="60">
        <v>1031</v>
      </c>
      <c r="AF254" s="60">
        <v>998</v>
      </c>
      <c r="AG254" s="60">
        <v>747</v>
      </c>
      <c r="AH254" s="60"/>
      <c r="AI254" s="60">
        <v>2166</v>
      </c>
      <c r="AJ254" s="60">
        <v>7197</v>
      </c>
      <c r="AK254" s="60">
        <v>5273</v>
      </c>
      <c r="AL254" s="60">
        <v>46</v>
      </c>
      <c r="AM254" s="60">
        <v>5</v>
      </c>
      <c r="AN254" s="60">
        <v>1</v>
      </c>
      <c r="AO254" s="60">
        <v>9553</v>
      </c>
      <c r="AP254" s="60">
        <v>336</v>
      </c>
      <c r="AQ254" s="60">
        <v>209</v>
      </c>
      <c r="AR254" s="60"/>
      <c r="AS254" s="60">
        <v>10</v>
      </c>
      <c r="AT254" s="60"/>
      <c r="AU254" s="60"/>
      <c r="AV254" s="60"/>
      <c r="AW254" s="60"/>
      <c r="AX254" s="60">
        <v>2</v>
      </c>
      <c r="AY254" s="60">
        <v>20</v>
      </c>
      <c r="AZ254" s="60"/>
      <c r="BA254" s="60">
        <v>23664</v>
      </c>
      <c r="BB254" s="60"/>
      <c r="BC254" s="60"/>
      <c r="BD254" s="60"/>
      <c r="BE254" s="60">
        <v>10656</v>
      </c>
      <c r="BF254" s="60">
        <v>3922</v>
      </c>
      <c r="BG254" s="60">
        <v>708</v>
      </c>
      <c r="BH254" s="60">
        <v>3923</v>
      </c>
      <c r="BI254" s="60">
        <v>5032</v>
      </c>
      <c r="BJ254" s="60">
        <v>425</v>
      </c>
      <c r="BK254" s="60">
        <v>37</v>
      </c>
      <c r="BL254" s="60">
        <v>339</v>
      </c>
      <c r="BM254" s="60">
        <v>4</v>
      </c>
      <c r="BN254" s="60">
        <v>1149</v>
      </c>
      <c r="BO254" s="60">
        <v>323</v>
      </c>
      <c r="BP254" s="60">
        <v>1299</v>
      </c>
      <c r="BQ254" s="60">
        <v>983</v>
      </c>
      <c r="BR254" s="60">
        <v>4735</v>
      </c>
      <c r="BS254" s="60">
        <v>1554</v>
      </c>
      <c r="BT254" s="60">
        <v>14</v>
      </c>
      <c r="BU254" s="60">
        <v>2184</v>
      </c>
      <c r="BV254" s="60">
        <v>767</v>
      </c>
      <c r="BW254" s="60">
        <v>17</v>
      </c>
      <c r="BX254" s="60">
        <v>1452</v>
      </c>
      <c r="BY254" s="60">
        <v>2947</v>
      </c>
      <c r="BZ254" s="60">
        <v>1267</v>
      </c>
      <c r="CA254" s="60">
        <v>4745</v>
      </c>
      <c r="CB254" s="60"/>
      <c r="CC254" s="60"/>
      <c r="CD254" s="60">
        <v>1582</v>
      </c>
      <c r="CE254" s="60">
        <v>109</v>
      </c>
      <c r="CF254" s="60">
        <v>108</v>
      </c>
      <c r="CG254" s="60">
        <v>9</v>
      </c>
      <c r="CH254" s="60">
        <v>454</v>
      </c>
      <c r="CI254" s="60">
        <v>8</v>
      </c>
      <c r="CJ254" s="60">
        <v>34</v>
      </c>
      <c r="CK254" s="60">
        <v>192</v>
      </c>
      <c r="CL254" s="60">
        <v>18961</v>
      </c>
      <c r="CM254" s="60">
        <v>1691</v>
      </c>
      <c r="CN254" s="60">
        <v>99</v>
      </c>
      <c r="CO254" s="60">
        <v>484</v>
      </c>
      <c r="CP254" s="60">
        <v>17</v>
      </c>
      <c r="CQ254" s="60">
        <v>78</v>
      </c>
      <c r="CR254" s="60">
        <v>413</v>
      </c>
      <c r="CS254" s="60">
        <v>2</v>
      </c>
      <c r="CT254" s="60">
        <v>24241</v>
      </c>
      <c r="CU254" s="60">
        <v>584</v>
      </c>
      <c r="CV254" s="60">
        <v>18519</v>
      </c>
      <c r="CW254" s="60">
        <v>5138</v>
      </c>
      <c r="CX254" s="60">
        <v>1236</v>
      </c>
      <c r="CY254" s="60">
        <v>966</v>
      </c>
      <c r="CZ254" s="60"/>
      <c r="DA254" s="60"/>
      <c r="DB254" s="60">
        <v>35</v>
      </c>
      <c r="DC254" s="60">
        <v>133</v>
      </c>
      <c r="DD254" s="60">
        <v>194</v>
      </c>
      <c r="DE254" s="60">
        <v>205</v>
      </c>
      <c r="DF254" s="60">
        <v>303</v>
      </c>
      <c r="DG254" s="60">
        <v>289</v>
      </c>
      <c r="DH254" s="60">
        <v>343</v>
      </c>
      <c r="DI254" s="60">
        <v>621</v>
      </c>
      <c r="DJ254" s="60">
        <v>27</v>
      </c>
      <c r="DK254" s="60">
        <v>52</v>
      </c>
      <c r="DL254" s="60"/>
      <c r="DM254" s="60">
        <v>454</v>
      </c>
      <c r="DN254" s="60">
        <v>416</v>
      </c>
      <c r="DO254" s="60">
        <v>652</v>
      </c>
      <c r="DP254" s="60">
        <v>5</v>
      </c>
      <c r="DQ254" s="60"/>
      <c r="DR254" s="60">
        <v>672</v>
      </c>
      <c r="DS254" s="60">
        <v>3</v>
      </c>
      <c r="DT254" s="60">
        <v>90</v>
      </c>
      <c r="DU254" s="60">
        <v>68</v>
      </c>
      <c r="DV254" s="60">
        <v>68</v>
      </c>
      <c r="DW254" s="60">
        <v>254</v>
      </c>
      <c r="DX254" s="60">
        <v>5</v>
      </c>
      <c r="DY254" s="60">
        <v>11</v>
      </c>
      <c r="DZ254" s="60">
        <v>25</v>
      </c>
      <c r="EA254" s="60">
        <v>1415</v>
      </c>
      <c r="EB254" s="60">
        <v>266</v>
      </c>
      <c r="EC254" s="60"/>
      <c r="ED254" s="60">
        <v>0</v>
      </c>
      <c r="EE254" s="60">
        <v>0</v>
      </c>
      <c r="EF254" s="60">
        <v>0</v>
      </c>
      <c r="EG254" s="60">
        <v>0</v>
      </c>
      <c r="EH254" s="60">
        <v>0</v>
      </c>
      <c r="EI254" s="60">
        <v>517</v>
      </c>
      <c r="EJ254" s="60">
        <v>1163</v>
      </c>
      <c r="EK254" s="60">
        <v>24</v>
      </c>
      <c r="EL254" s="60">
        <v>309</v>
      </c>
      <c r="EM254" s="60">
        <v>189</v>
      </c>
      <c r="EN254" s="60">
        <v>43</v>
      </c>
      <c r="EO254" s="60">
        <v>38</v>
      </c>
      <c r="EP254" s="60">
        <v>334</v>
      </c>
      <c r="EQ254" s="60"/>
      <c r="ER254" s="60">
        <v>374</v>
      </c>
      <c r="ES254" s="60">
        <v>120</v>
      </c>
      <c r="ET254" s="60">
        <v>132</v>
      </c>
      <c r="EU254" s="60">
        <v>299</v>
      </c>
      <c r="EV254" s="60">
        <v>152</v>
      </c>
      <c r="EW254" s="60">
        <v>43</v>
      </c>
      <c r="EX254" s="60">
        <v>43</v>
      </c>
      <c r="EY254" s="60">
        <v>46</v>
      </c>
      <c r="EZ254" s="60">
        <v>8</v>
      </c>
      <c r="FA254" s="60">
        <v>43</v>
      </c>
      <c r="FB254" s="60">
        <v>287</v>
      </c>
      <c r="FC254" s="60">
        <v>88</v>
      </c>
      <c r="FD254" s="60">
        <v>148</v>
      </c>
      <c r="FE254" s="60"/>
      <c r="FF254" s="60">
        <v>4</v>
      </c>
      <c r="FG254" s="60"/>
      <c r="FH254" s="60">
        <v>98</v>
      </c>
      <c r="FI254" s="60">
        <v>20</v>
      </c>
      <c r="FJ254" s="60">
        <v>213</v>
      </c>
      <c r="FK254" s="60">
        <v>5</v>
      </c>
      <c r="FL254" s="60"/>
      <c r="FM254" s="60">
        <v>92</v>
      </c>
      <c r="FN254" s="60">
        <v>11</v>
      </c>
      <c r="FO254" s="60">
        <v>1728</v>
      </c>
      <c r="FP254" s="60">
        <v>21</v>
      </c>
      <c r="FQ254" s="60">
        <v>2</v>
      </c>
      <c r="FR254" s="60">
        <v>4</v>
      </c>
      <c r="FS254" s="60">
        <v>6</v>
      </c>
      <c r="FT254" s="60">
        <v>2</v>
      </c>
      <c r="FU254" s="60"/>
      <c r="FV254" s="60"/>
      <c r="FW254" s="60"/>
      <c r="FX254" s="60">
        <v>2202</v>
      </c>
      <c r="FY254" s="60">
        <v>254</v>
      </c>
      <c r="FZ254" s="60">
        <v>1382</v>
      </c>
      <c r="GA254" s="60">
        <v>566</v>
      </c>
      <c r="GB254" s="60">
        <v>2011</v>
      </c>
    </row>
    <row r="255" spans="1:184" x14ac:dyDescent="0.3">
      <c r="A255" s="60">
        <v>106380965</v>
      </c>
      <c r="B255" s="61" t="s">
        <v>969</v>
      </c>
      <c r="C255" s="61" t="s">
        <v>970</v>
      </c>
      <c r="D255" s="61" t="s">
        <v>971</v>
      </c>
      <c r="E255" s="61" t="s">
        <v>956</v>
      </c>
      <c r="F255" s="60">
        <v>94117</v>
      </c>
      <c r="G255" s="61"/>
      <c r="H255" s="61" t="s">
        <v>1689</v>
      </c>
      <c r="I255" s="60">
        <v>12</v>
      </c>
      <c r="J255" s="60">
        <v>8</v>
      </c>
      <c r="K255" s="61" t="s">
        <v>2022</v>
      </c>
      <c r="L255" s="61"/>
      <c r="M255" s="61" t="s">
        <v>1862</v>
      </c>
      <c r="N255" s="61" t="s">
        <v>2018</v>
      </c>
      <c r="O255" s="61" t="s">
        <v>1673</v>
      </c>
      <c r="P255" s="61" t="s">
        <v>1678</v>
      </c>
      <c r="Q255" s="61" t="s">
        <v>1674</v>
      </c>
      <c r="R255" s="60">
        <v>336</v>
      </c>
      <c r="S255" s="61" t="s">
        <v>1675</v>
      </c>
      <c r="T255" s="60">
        <v>7111</v>
      </c>
      <c r="U255" s="60">
        <v>7576</v>
      </c>
      <c r="V255" s="60"/>
      <c r="W255" s="60"/>
      <c r="X255" s="60">
        <v>192</v>
      </c>
      <c r="Y255" s="60">
        <v>724</v>
      </c>
      <c r="Z255" s="60">
        <v>2934</v>
      </c>
      <c r="AA255" s="60">
        <v>2266</v>
      </c>
      <c r="AB255" s="60">
        <v>2272</v>
      </c>
      <c r="AC255" s="60">
        <v>2031</v>
      </c>
      <c r="AD255" s="60">
        <v>1536</v>
      </c>
      <c r="AE255" s="60">
        <v>1144</v>
      </c>
      <c r="AF255" s="60">
        <v>1577</v>
      </c>
      <c r="AG255" s="60">
        <v>11</v>
      </c>
      <c r="AH255" s="60"/>
      <c r="AI255" s="60">
        <v>2426</v>
      </c>
      <c r="AJ255" s="60">
        <v>1699</v>
      </c>
      <c r="AK255" s="60">
        <v>1056</v>
      </c>
      <c r="AL255" s="60">
        <v>3</v>
      </c>
      <c r="AM255" s="60">
        <v>353</v>
      </c>
      <c r="AN255" s="60">
        <v>128</v>
      </c>
      <c r="AO255" s="60">
        <v>9022</v>
      </c>
      <c r="AP255" s="60">
        <v>35</v>
      </c>
      <c r="AQ255" s="60">
        <v>269</v>
      </c>
      <c r="AR255" s="60"/>
      <c r="AS255" s="60">
        <v>25</v>
      </c>
      <c r="AT255" s="60">
        <v>21</v>
      </c>
      <c r="AU255" s="60">
        <v>2</v>
      </c>
      <c r="AV255" s="60"/>
      <c r="AW255" s="60"/>
      <c r="AX255" s="60"/>
      <c r="AY255" s="60">
        <v>77</v>
      </c>
      <c r="AZ255" s="60">
        <v>41</v>
      </c>
      <c r="BA255" s="60">
        <v>14087</v>
      </c>
      <c r="BB255" s="60">
        <v>129</v>
      </c>
      <c r="BC255" s="60">
        <v>1</v>
      </c>
      <c r="BD255" s="60"/>
      <c r="BE255" s="60">
        <v>2087</v>
      </c>
      <c r="BF255" s="60">
        <v>4003</v>
      </c>
      <c r="BG255" s="60">
        <v>367</v>
      </c>
      <c r="BH255" s="60">
        <v>5092</v>
      </c>
      <c r="BI255" s="60">
        <v>3138</v>
      </c>
      <c r="BJ255" s="60">
        <v>54</v>
      </c>
      <c r="BK255" s="60">
        <v>32</v>
      </c>
      <c r="BL255" s="60">
        <v>295</v>
      </c>
      <c r="BM255" s="60">
        <v>2</v>
      </c>
      <c r="BN255" s="60">
        <v>632</v>
      </c>
      <c r="BO255" s="60">
        <v>205</v>
      </c>
      <c r="BP255" s="60">
        <v>677</v>
      </c>
      <c r="BQ255" s="60">
        <v>204</v>
      </c>
      <c r="BR255" s="60">
        <v>3573</v>
      </c>
      <c r="BS255" s="60">
        <v>1252</v>
      </c>
      <c r="BT255" s="60">
        <v>12</v>
      </c>
      <c r="BU255" s="60">
        <v>620</v>
      </c>
      <c r="BV255" s="60">
        <v>711</v>
      </c>
      <c r="BW255" s="60"/>
      <c r="BX255" s="60">
        <v>878</v>
      </c>
      <c r="BY255" s="60">
        <v>934</v>
      </c>
      <c r="BZ255" s="60">
        <v>659</v>
      </c>
      <c r="CA255" s="60">
        <v>3947</v>
      </c>
      <c r="CB255" s="60"/>
      <c r="CC255" s="60"/>
      <c r="CD255" s="60">
        <v>1085</v>
      </c>
      <c r="CE255" s="60">
        <v>17</v>
      </c>
      <c r="CF255" s="60">
        <v>94</v>
      </c>
      <c r="CG255" s="60">
        <v>18</v>
      </c>
      <c r="CH255" s="60">
        <v>146</v>
      </c>
      <c r="CI255" s="60">
        <v>2</v>
      </c>
      <c r="CJ255" s="60">
        <v>109</v>
      </c>
      <c r="CK255" s="60">
        <v>145</v>
      </c>
      <c r="CL255" s="60">
        <v>10511</v>
      </c>
      <c r="CM255" s="60">
        <v>2098</v>
      </c>
      <c r="CN255" s="60">
        <v>95</v>
      </c>
      <c r="CO255" s="60">
        <v>187</v>
      </c>
      <c r="CP255" s="60">
        <v>21</v>
      </c>
      <c r="CQ255" s="60">
        <v>80</v>
      </c>
      <c r="CR255" s="60">
        <v>79</v>
      </c>
      <c r="CS255" s="60"/>
      <c r="CT255" s="60">
        <v>14687</v>
      </c>
      <c r="CU255" s="60">
        <v>907</v>
      </c>
      <c r="CV255" s="60">
        <v>13647</v>
      </c>
      <c r="CW255" s="60">
        <v>133</v>
      </c>
      <c r="CX255" s="60">
        <v>1566</v>
      </c>
      <c r="CY255" s="60">
        <v>1484</v>
      </c>
      <c r="CZ255" s="60"/>
      <c r="DA255" s="60"/>
      <c r="DB255" s="60">
        <v>31</v>
      </c>
      <c r="DC255" s="60">
        <v>108</v>
      </c>
      <c r="DD255" s="60">
        <v>122</v>
      </c>
      <c r="DE255" s="60">
        <v>188</v>
      </c>
      <c r="DF255" s="60">
        <v>352</v>
      </c>
      <c r="DG255" s="60">
        <v>377</v>
      </c>
      <c r="DH255" s="60">
        <v>584</v>
      </c>
      <c r="DI255" s="60">
        <v>1288</v>
      </c>
      <c r="DJ255" s="60"/>
      <c r="DK255" s="60"/>
      <c r="DL255" s="60"/>
      <c r="DM255" s="60">
        <v>908</v>
      </c>
      <c r="DN255" s="60">
        <v>297</v>
      </c>
      <c r="DO255" s="60">
        <v>147</v>
      </c>
      <c r="DP255" s="60">
        <v>22</v>
      </c>
      <c r="DQ255" s="60">
        <v>13</v>
      </c>
      <c r="DR255" s="60">
        <v>1663</v>
      </c>
      <c r="DS255" s="60"/>
      <c r="DT255" s="60">
        <v>27</v>
      </c>
      <c r="DU255" s="60">
        <v>57</v>
      </c>
      <c r="DV255" s="60">
        <v>126</v>
      </c>
      <c r="DW255" s="60">
        <v>427</v>
      </c>
      <c r="DX255" s="60">
        <v>80</v>
      </c>
      <c r="DY255" s="60">
        <v>9</v>
      </c>
      <c r="DZ255" s="60">
        <v>14</v>
      </c>
      <c r="EA255" s="60">
        <v>1524</v>
      </c>
      <c r="EB255" s="60">
        <v>786</v>
      </c>
      <c r="EC255" s="60"/>
      <c r="ED255" s="60">
        <v>0</v>
      </c>
      <c r="EE255" s="60">
        <v>0</v>
      </c>
      <c r="EF255" s="60">
        <v>0</v>
      </c>
      <c r="EG255" s="60">
        <v>0</v>
      </c>
      <c r="EH255" s="60">
        <v>0</v>
      </c>
      <c r="EI255" s="60">
        <v>347</v>
      </c>
      <c r="EJ255" s="60">
        <v>1931</v>
      </c>
      <c r="EK255" s="60">
        <v>180</v>
      </c>
      <c r="EL255" s="60">
        <v>575</v>
      </c>
      <c r="EM255" s="60">
        <v>17</v>
      </c>
      <c r="EN255" s="60">
        <v>2</v>
      </c>
      <c r="EO255" s="60">
        <v>58</v>
      </c>
      <c r="EP255" s="60">
        <v>677</v>
      </c>
      <c r="EQ255" s="60">
        <v>2</v>
      </c>
      <c r="ER255" s="60">
        <v>473</v>
      </c>
      <c r="ES255" s="60">
        <v>88</v>
      </c>
      <c r="ET255" s="60">
        <v>176</v>
      </c>
      <c r="EU255" s="60">
        <v>218</v>
      </c>
      <c r="EV255" s="60">
        <v>316</v>
      </c>
      <c r="EW255" s="60">
        <v>109</v>
      </c>
      <c r="EX255" s="60">
        <v>101</v>
      </c>
      <c r="EY255" s="60">
        <v>57</v>
      </c>
      <c r="EZ255" s="60">
        <v>4</v>
      </c>
      <c r="FA255" s="60">
        <v>65</v>
      </c>
      <c r="FB255" s="60">
        <v>457</v>
      </c>
      <c r="FC255" s="60">
        <v>140</v>
      </c>
      <c r="FD255" s="60">
        <v>107</v>
      </c>
      <c r="FE255" s="60"/>
      <c r="FF255" s="60"/>
      <c r="FG255" s="60"/>
      <c r="FH255" s="60">
        <v>257</v>
      </c>
      <c r="FI255" s="60">
        <v>11</v>
      </c>
      <c r="FJ255" s="60">
        <v>179</v>
      </c>
      <c r="FK255" s="60">
        <v>2</v>
      </c>
      <c r="FL255" s="60">
        <v>3</v>
      </c>
      <c r="FM255" s="60">
        <v>143</v>
      </c>
      <c r="FN255" s="60">
        <v>17</v>
      </c>
      <c r="FO255" s="60">
        <v>2362</v>
      </c>
      <c r="FP255" s="60">
        <v>40</v>
      </c>
      <c r="FQ255" s="60">
        <v>6</v>
      </c>
      <c r="FR255" s="60">
        <v>4</v>
      </c>
      <c r="FS255" s="60">
        <v>14</v>
      </c>
      <c r="FT255" s="60">
        <v>7</v>
      </c>
      <c r="FU255" s="60">
        <v>5</v>
      </c>
      <c r="FV255" s="60"/>
      <c r="FW255" s="60"/>
      <c r="FX255" s="60">
        <v>3050</v>
      </c>
      <c r="FY255" s="60">
        <v>564</v>
      </c>
      <c r="FZ255" s="60">
        <v>2437</v>
      </c>
      <c r="GA255" s="60">
        <v>49</v>
      </c>
      <c r="GB255" s="60">
        <v>2011</v>
      </c>
    </row>
    <row r="256" spans="1:184" x14ac:dyDescent="0.3">
      <c r="A256" s="60">
        <v>106381154</v>
      </c>
      <c r="B256" s="61" t="s">
        <v>972</v>
      </c>
      <c r="C256" s="61" t="s">
        <v>973</v>
      </c>
      <c r="D256" s="61" t="s">
        <v>974</v>
      </c>
      <c r="E256" s="61" t="s">
        <v>956</v>
      </c>
      <c r="F256" s="60">
        <v>94122</v>
      </c>
      <c r="G256" s="61"/>
      <c r="H256" s="61" t="s">
        <v>1689</v>
      </c>
      <c r="I256" s="60">
        <v>12</v>
      </c>
      <c r="J256" s="60">
        <v>8</v>
      </c>
      <c r="K256" s="61" t="s">
        <v>2022</v>
      </c>
      <c r="L256" s="61"/>
      <c r="M256" s="61" t="s">
        <v>1862</v>
      </c>
      <c r="N256" s="61" t="s">
        <v>2018</v>
      </c>
      <c r="O256" s="61" t="s">
        <v>1673</v>
      </c>
      <c r="P256" s="61" t="s">
        <v>1835</v>
      </c>
      <c r="Q256" s="61" t="s">
        <v>1674</v>
      </c>
      <c r="R256" s="60">
        <v>582</v>
      </c>
      <c r="S256" s="61" t="s">
        <v>1675</v>
      </c>
      <c r="T256" s="60">
        <v>14778</v>
      </c>
      <c r="U256" s="60">
        <v>12649</v>
      </c>
      <c r="V256" s="60"/>
      <c r="W256" s="60"/>
      <c r="X256" s="60">
        <v>1780</v>
      </c>
      <c r="Y256" s="60">
        <v>1805</v>
      </c>
      <c r="Z256" s="60">
        <v>5007</v>
      </c>
      <c r="AA256" s="60">
        <v>4408</v>
      </c>
      <c r="AB256" s="60">
        <v>3941</v>
      </c>
      <c r="AC256" s="60">
        <v>3662</v>
      </c>
      <c r="AD256" s="60">
        <v>2878</v>
      </c>
      <c r="AE256" s="60">
        <v>1805</v>
      </c>
      <c r="AF256" s="60">
        <v>1774</v>
      </c>
      <c r="AG256" s="60">
        <v>356</v>
      </c>
      <c r="AH256" s="60">
        <v>11</v>
      </c>
      <c r="AI256" s="60">
        <v>1210</v>
      </c>
      <c r="AJ256" s="60">
        <v>4595</v>
      </c>
      <c r="AK256" s="60">
        <v>2079</v>
      </c>
      <c r="AL256" s="60">
        <v>95</v>
      </c>
      <c r="AM256" s="60">
        <v>3081</v>
      </c>
      <c r="AN256" s="60">
        <v>3538</v>
      </c>
      <c r="AO256" s="60">
        <v>12829</v>
      </c>
      <c r="AP256" s="60">
        <v>106</v>
      </c>
      <c r="AQ256" s="60">
        <v>113</v>
      </c>
      <c r="AR256" s="60"/>
      <c r="AS256" s="60">
        <v>42</v>
      </c>
      <c r="AT256" s="60">
        <v>163</v>
      </c>
      <c r="AU256" s="60">
        <v>8</v>
      </c>
      <c r="AV256" s="60">
        <v>19</v>
      </c>
      <c r="AW256" s="60">
        <v>34</v>
      </c>
      <c r="AX256" s="60"/>
      <c r="AY256" s="60">
        <v>412</v>
      </c>
      <c r="AZ256" s="60">
        <v>3</v>
      </c>
      <c r="BA256" s="60">
        <v>26458</v>
      </c>
      <c r="BB256" s="60">
        <v>69</v>
      </c>
      <c r="BC256" s="60"/>
      <c r="BD256" s="60"/>
      <c r="BE256" s="60">
        <v>5284</v>
      </c>
      <c r="BF256" s="60">
        <v>6450</v>
      </c>
      <c r="BG256" s="60">
        <v>948</v>
      </c>
      <c r="BH256" s="60">
        <v>11575</v>
      </c>
      <c r="BI256" s="60">
        <v>3170</v>
      </c>
      <c r="BJ256" s="60">
        <v>415</v>
      </c>
      <c r="BK256" s="60">
        <v>142</v>
      </c>
      <c r="BL256" s="60">
        <v>720</v>
      </c>
      <c r="BM256" s="60">
        <v>13</v>
      </c>
      <c r="BN256" s="60">
        <v>989</v>
      </c>
      <c r="BO256" s="60">
        <v>358</v>
      </c>
      <c r="BP256" s="60">
        <v>1389</v>
      </c>
      <c r="BQ256" s="60">
        <v>455</v>
      </c>
      <c r="BR256" s="60">
        <v>5024</v>
      </c>
      <c r="BS256" s="60">
        <v>2108</v>
      </c>
      <c r="BT256" s="60">
        <v>102</v>
      </c>
      <c r="BU256" s="60">
        <v>1778</v>
      </c>
      <c r="BV256" s="60">
        <v>157</v>
      </c>
      <c r="BW256" s="60">
        <v>10</v>
      </c>
      <c r="BX256" s="60">
        <v>1857</v>
      </c>
      <c r="BY256" s="60">
        <v>1694</v>
      </c>
      <c r="BZ256" s="60">
        <v>1184</v>
      </c>
      <c r="CA256" s="60">
        <v>9032</v>
      </c>
      <c r="CB256" s="60"/>
      <c r="CC256" s="60"/>
      <c r="CD256" s="60">
        <v>1748</v>
      </c>
      <c r="CE256" s="60">
        <v>30</v>
      </c>
      <c r="CF256" s="60">
        <v>52</v>
      </c>
      <c r="CG256" s="60">
        <v>7</v>
      </c>
      <c r="CH256" s="60">
        <v>289</v>
      </c>
      <c r="CI256" s="60"/>
      <c r="CJ256" s="60">
        <v>310</v>
      </c>
      <c r="CK256" s="60">
        <v>164</v>
      </c>
      <c r="CL256" s="60">
        <v>21391</v>
      </c>
      <c r="CM256" s="60">
        <v>2584</v>
      </c>
      <c r="CN256" s="60">
        <v>211</v>
      </c>
      <c r="CO256" s="60">
        <v>432</v>
      </c>
      <c r="CP256" s="60">
        <v>48</v>
      </c>
      <c r="CQ256" s="60">
        <v>129</v>
      </c>
      <c r="CR256" s="60">
        <v>32</v>
      </c>
      <c r="CS256" s="60"/>
      <c r="CT256" s="60">
        <v>27427</v>
      </c>
      <c r="CU256" s="60">
        <v>2671</v>
      </c>
      <c r="CV256" s="60">
        <v>23949</v>
      </c>
      <c r="CW256" s="60">
        <v>807</v>
      </c>
      <c r="CX256" s="60">
        <v>3753</v>
      </c>
      <c r="CY256" s="60">
        <v>3836</v>
      </c>
      <c r="CZ256" s="60"/>
      <c r="DA256" s="60"/>
      <c r="DB256" s="60">
        <v>302</v>
      </c>
      <c r="DC256" s="60">
        <v>592</v>
      </c>
      <c r="DD256" s="60">
        <v>542</v>
      </c>
      <c r="DE256" s="60">
        <v>856</v>
      </c>
      <c r="DF256" s="60">
        <v>1276</v>
      </c>
      <c r="DG256" s="60">
        <v>1193</v>
      </c>
      <c r="DH256" s="60">
        <v>1067</v>
      </c>
      <c r="DI256" s="60">
        <v>1312</v>
      </c>
      <c r="DJ256" s="60">
        <v>134</v>
      </c>
      <c r="DK256" s="60">
        <v>315</v>
      </c>
      <c r="DL256" s="60"/>
      <c r="DM256" s="60">
        <v>1669</v>
      </c>
      <c r="DN256" s="60">
        <v>1112</v>
      </c>
      <c r="DO256" s="60">
        <v>885</v>
      </c>
      <c r="DP256" s="60">
        <v>471</v>
      </c>
      <c r="DQ256" s="60">
        <v>14</v>
      </c>
      <c r="DR256" s="60">
        <v>3407</v>
      </c>
      <c r="DS256" s="60">
        <v>31</v>
      </c>
      <c r="DT256" s="60">
        <v>83</v>
      </c>
      <c r="DU256" s="60">
        <v>117</v>
      </c>
      <c r="DV256" s="60">
        <v>284</v>
      </c>
      <c r="DW256" s="60">
        <v>1328</v>
      </c>
      <c r="DX256" s="60">
        <v>197</v>
      </c>
      <c r="DY256" s="60">
        <v>52</v>
      </c>
      <c r="DZ256" s="60">
        <v>31</v>
      </c>
      <c r="EA256" s="60">
        <v>4802</v>
      </c>
      <c r="EB256" s="60">
        <v>687</v>
      </c>
      <c r="EC256" s="60">
        <v>8</v>
      </c>
      <c r="ED256" s="60">
        <v>0</v>
      </c>
      <c r="EE256" s="60">
        <v>0</v>
      </c>
      <c r="EF256" s="60">
        <v>0</v>
      </c>
      <c r="EG256" s="60">
        <v>0</v>
      </c>
      <c r="EH256" s="60">
        <v>0</v>
      </c>
      <c r="EI256" s="60">
        <v>1690</v>
      </c>
      <c r="EJ256" s="60">
        <v>3459</v>
      </c>
      <c r="EK256" s="60">
        <v>38</v>
      </c>
      <c r="EL256" s="60">
        <v>2022</v>
      </c>
      <c r="EM256" s="60">
        <v>380</v>
      </c>
      <c r="EN256" s="60">
        <v>17</v>
      </c>
      <c r="EO256" s="60">
        <v>224</v>
      </c>
      <c r="EP256" s="60">
        <v>1249</v>
      </c>
      <c r="EQ256" s="60">
        <v>22</v>
      </c>
      <c r="ER256" s="60">
        <v>1111</v>
      </c>
      <c r="ES256" s="60">
        <v>365</v>
      </c>
      <c r="ET256" s="60">
        <v>436</v>
      </c>
      <c r="EU256" s="60">
        <v>547</v>
      </c>
      <c r="EV256" s="60">
        <v>861</v>
      </c>
      <c r="EW256" s="60">
        <v>194</v>
      </c>
      <c r="EX256" s="60">
        <v>482</v>
      </c>
      <c r="EY256" s="60">
        <v>261</v>
      </c>
      <c r="EZ256" s="60">
        <v>20</v>
      </c>
      <c r="FA256" s="60">
        <v>123</v>
      </c>
      <c r="FB256" s="60">
        <v>922</v>
      </c>
      <c r="FC256" s="60">
        <v>247</v>
      </c>
      <c r="FD256" s="60">
        <v>488</v>
      </c>
      <c r="FE256" s="60">
        <v>1</v>
      </c>
      <c r="FF256" s="60">
        <v>19</v>
      </c>
      <c r="FG256" s="60"/>
      <c r="FH256" s="60">
        <v>271</v>
      </c>
      <c r="FI256" s="60">
        <v>49</v>
      </c>
      <c r="FJ256" s="60">
        <v>668</v>
      </c>
      <c r="FK256" s="60">
        <v>15</v>
      </c>
      <c r="FL256" s="60">
        <v>35</v>
      </c>
      <c r="FM256" s="60">
        <v>221</v>
      </c>
      <c r="FN256" s="60">
        <v>24</v>
      </c>
      <c r="FO256" s="60">
        <v>6117</v>
      </c>
      <c r="FP256" s="60">
        <v>73</v>
      </c>
      <c r="FQ256" s="60">
        <v>12</v>
      </c>
      <c r="FR256" s="60">
        <v>8</v>
      </c>
      <c r="FS256" s="60">
        <v>43</v>
      </c>
      <c r="FT256" s="60">
        <v>50</v>
      </c>
      <c r="FU256" s="60">
        <v>2</v>
      </c>
      <c r="FV256" s="60">
        <v>1</v>
      </c>
      <c r="FW256" s="60"/>
      <c r="FX256" s="60">
        <v>7589</v>
      </c>
      <c r="FY256" s="60">
        <v>1276</v>
      </c>
      <c r="FZ256" s="60">
        <v>5968</v>
      </c>
      <c r="GA256" s="60">
        <v>345</v>
      </c>
      <c r="GB256" s="60">
        <v>2011</v>
      </c>
    </row>
    <row r="257" spans="1:184" x14ac:dyDescent="0.3">
      <c r="A257" s="60">
        <v>106382715</v>
      </c>
      <c r="B257" s="61" t="s">
        <v>975</v>
      </c>
      <c r="C257" s="61" t="s">
        <v>976</v>
      </c>
      <c r="D257" s="61" t="s">
        <v>977</v>
      </c>
      <c r="E257" s="61" t="s">
        <v>956</v>
      </c>
      <c r="F257" s="60">
        <v>94133</v>
      </c>
      <c r="G257" s="61"/>
      <c r="H257" s="61" t="s">
        <v>1669</v>
      </c>
      <c r="I257" s="60">
        <v>13</v>
      </c>
      <c r="J257" s="60">
        <v>3</v>
      </c>
      <c r="K257" s="61" t="s">
        <v>2023</v>
      </c>
      <c r="L257" s="61"/>
      <c r="M257" s="61" t="s">
        <v>1862</v>
      </c>
      <c r="N257" s="61" t="s">
        <v>2018</v>
      </c>
      <c r="O257" s="61" t="s">
        <v>1673</v>
      </c>
      <c r="P257" s="61" t="s">
        <v>1678</v>
      </c>
      <c r="Q257" s="61" t="s">
        <v>1674</v>
      </c>
      <c r="R257" s="60">
        <v>54</v>
      </c>
      <c r="S257" s="61" t="s">
        <v>1706</v>
      </c>
      <c r="T257" s="60">
        <v>2223</v>
      </c>
      <c r="U257" s="60">
        <v>1968</v>
      </c>
      <c r="V257" s="60"/>
      <c r="W257" s="60"/>
      <c r="X257" s="60">
        <v>168</v>
      </c>
      <c r="Y257" s="60">
        <v>166</v>
      </c>
      <c r="Z257" s="60">
        <v>303</v>
      </c>
      <c r="AA257" s="60">
        <v>230</v>
      </c>
      <c r="AB257" s="60">
        <v>383</v>
      </c>
      <c r="AC257" s="60">
        <v>424</v>
      </c>
      <c r="AD257" s="60">
        <v>519</v>
      </c>
      <c r="AE257" s="60">
        <v>970</v>
      </c>
      <c r="AF257" s="60">
        <v>1018</v>
      </c>
      <c r="AG257" s="60">
        <v>10</v>
      </c>
      <c r="AH257" s="60"/>
      <c r="AI257" s="60">
        <v>3751</v>
      </c>
      <c r="AJ257" s="60">
        <v>139</v>
      </c>
      <c r="AK257" s="60">
        <v>48</v>
      </c>
      <c r="AL257" s="60"/>
      <c r="AM257" s="60">
        <v>16</v>
      </c>
      <c r="AN257" s="60">
        <v>14</v>
      </c>
      <c r="AO257" s="60">
        <v>223</v>
      </c>
      <c r="AP257" s="60">
        <v>57</v>
      </c>
      <c r="AQ257" s="60">
        <v>57</v>
      </c>
      <c r="AR257" s="60"/>
      <c r="AS257" s="60">
        <v>2</v>
      </c>
      <c r="AT257" s="60"/>
      <c r="AU257" s="60"/>
      <c r="AV257" s="60"/>
      <c r="AW257" s="60">
        <v>4</v>
      </c>
      <c r="AX257" s="60"/>
      <c r="AY257" s="60"/>
      <c r="AZ257" s="60"/>
      <c r="BA257" s="60">
        <v>4069</v>
      </c>
      <c r="BB257" s="60">
        <v>2</v>
      </c>
      <c r="BC257" s="60"/>
      <c r="BD257" s="60"/>
      <c r="BE257" s="60">
        <v>830</v>
      </c>
      <c r="BF257" s="60">
        <v>1344</v>
      </c>
      <c r="BG257" s="60">
        <v>87</v>
      </c>
      <c r="BH257" s="60">
        <v>1682</v>
      </c>
      <c r="BI257" s="60">
        <v>248</v>
      </c>
      <c r="BJ257" s="60">
        <v>6</v>
      </c>
      <c r="BK257" s="60">
        <v>12</v>
      </c>
      <c r="BL257" s="60">
        <v>112</v>
      </c>
      <c r="BM257" s="60"/>
      <c r="BN257" s="60">
        <v>234</v>
      </c>
      <c r="BO257" s="60">
        <v>99</v>
      </c>
      <c r="BP257" s="60">
        <v>246</v>
      </c>
      <c r="BQ257" s="60">
        <v>56</v>
      </c>
      <c r="BR257" s="60">
        <v>1028</v>
      </c>
      <c r="BS257" s="60">
        <v>285</v>
      </c>
      <c r="BT257" s="60">
        <v>6</v>
      </c>
      <c r="BU257" s="60">
        <v>141</v>
      </c>
      <c r="BV257" s="60">
        <v>65</v>
      </c>
      <c r="BW257" s="60"/>
      <c r="BX257" s="60">
        <v>62</v>
      </c>
      <c r="BY257" s="60">
        <v>325</v>
      </c>
      <c r="BZ257" s="60">
        <v>123</v>
      </c>
      <c r="CA257" s="60">
        <v>1391</v>
      </c>
      <c r="CB257" s="60"/>
      <c r="CC257" s="60"/>
      <c r="CD257" s="60">
        <v>480</v>
      </c>
      <c r="CE257" s="60">
        <v>5</v>
      </c>
      <c r="CF257" s="60">
        <v>21</v>
      </c>
      <c r="CG257" s="60">
        <v>1</v>
      </c>
      <c r="CH257" s="60">
        <v>22</v>
      </c>
      <c r="CI257" s="60">
        <v>23</v>
      </c>
      <c r="CJ257" s="60">
        <v>14</v>
      </c>
      <c r="CK257" s="60">
        <v>45</v>
      </c>
      <c r="CL257" s="60">
        <v>3123</v>
      </c>
      <c r="CM257" s="60">
        <v>388</v>
      </c>
      <c r="CN257" s="60">
        <v>9</v>
      </c>
      <c r="CO257" s="60">
        <v>25</v>
      </c>
      <c r="CP257" s="60">
        <v>1</v>
      </c>
      <c r="CQ257" s="60">
        <v>31</v>
      </c>
      <c r="CR257" s="60">
        <v>3</v>
      </c>
      <c r="CS257" s="60"/>
      <c r="CT257" s="60">
        <v>4191</v>
      </c>
      <c r="CU257" s="60">
        <v>3610</v>
      </c>
      <c r="CV257" s="60">
        <v>575</v>
      </c>
      <c r="CW257" s="60">
        <v>6</v>
      </c>
      <c r="CX257" s="60">
        <v>762</v>
      </c>
      <c r="CY257" s="60">
        <v>740</v>
      </c>
      <c r="CZ257" s="60"/>
      <c r="DA257" s="60"/>
      <c r="DB257" s="60">
        <v>1</v>
      </c>
      <c r="DC257" s="60">
        <v>9</v>
      </c>
      <c r="DD257" s="60">
        <v>8</v>
      </c>
      <c r="DE257" s="60">
        <v>36</v>
      </c>
      <c r="DF257" s="60">
        <v>70</v>
      </c>
      <c r="DG257" s="60">
        <v>145</v>
      </c>
      <c r="DH257" s="60">
        <v>465</v>
      </c>
      <c r="DI257" s="60">
        <v>768</v>
      </c>
      <c r="DJ257" s="60"/>
      <c r="DK257" s="60"/>
      <c r="DL257" s="60"/>
      <c r="DM257" s="60">
        <v>1474</v>
      </c>
      <c r="DN257" s="60">
        <v>5</v>
      </c>
      <c r="DO257" s="60">
        <v>1</v>
      </c>
      <c r="DP257" s="60">
        <v>2</v>
      </c>
      <c r="DQ257" s="60"/>
      <c r="DR257" s="60">
        <v>20</v>
      </c>
      <c r="DS257" s="60"/>
      <c r="DT257" s="60">
        <v>36</v>
      </c>
      <c r="DU257" s="60">
        <v>13</v>
      </c>
      <c r="DV257" s="60">
        <v>58</v>
      </c>
      <c r="DW257" s="60">
        <v>475</v>
      </c>
      <c r="DX257" s="60">
        <v>2</v>
      </c>
      <c r="DY257" s="60"/>
      <c r="DZ257" s="60">
        <v>9</v>
      </c>
      <c r="EA257" s="60">
        <v>707</v>
      </c>
      <c r="EB257" s="60">
        <v>202</v>
      </c>
      <c r="EC257" s="60"/>
      <c r="ED257" s="60">
        <v>0</v>
      </c>
      <c r="EE257" s="60">
        <v>0</v>
      </c>
      <c r="EF257" s="60">
        <v>0</v>
      </c>
      <c r="EG257" s="60">
        <v>0</v>
      </c>
      <c r="EH257" s="60">
        <v>0</v>
      </c>
      <c r="EI257" s="60">
        <v>110</v>
      </c>
      <c r="EJ257" s="60">
        <v>1286</v>
      </c>
      <c r="EK257" s="60">
        <v>27</v>
      </c>
      <c r="EL257" s="60">
        <v>66</v>
      </c>
      <c r="EM257" s="60">
        <v>13</v>
      </c>
      <c r="EN257" s="60"/>
      <c r="EO257" s="60">
        <v>31</v>
      </c>
      <c r="EP257" s="60">
        <v>262</v>
      </c>
      <c r="EQ257" s="60"/>
      <c r="ER257" s="60">
        <v>291</v>
      </c>
      <c r="ES257" s="60">
        <v>71</v>
      </c>
      <c r="ET257" s="60">
        <v>72</v>
      </c>
      <c r="EU257" s="60">
        <v>54</v>
      </c>
      <c r="EV257" s="60">
        <v>97</v>
      </c>
      <c r="EW257" s="60">
        <v>18</v>
      </c>
      <c r="EX257" s="60">
        <v>130</v>
      </c>
      <c r="EY257" s="60">
        <v>11</v>
      </c>
      <c r="EZ257" s="60"/>
      <c r="FA257" s="60">
        <v>2</v>
      </c>
      <c r="FB257" s="60">
        <v>334</v>
      </c>
      <c r="FC257" s="60">
        <v>23</v>
      </c>
      <c r="FD257" s="60">
        <v>106</v>
      </c>
      <c r="FE257" s="60"/>
      <c r="FF257" s="60"/>
      <c r="FG257" s="60"/>
      <c r="FH257" s="60">
        <v>101</v>
      </c>
      <c r="FI257" s="60">
        <v>5</v>
      </c>
      <c r="FJ257" s="60">
        <v>85</v>
      </c>
      <c r="FK257" s="60"/>
      <c r="FL257" s="60">
        <v>1</v>
      </c>
      <c r="FM257" s="60">
        <v>37</v>
      </c>
      <c r="FN257" s="60">
        <v>5</v>
      </c>
      <c r="FO257" s="60">
        <v>1249</v>
      </c>
      <c r="FP257" s="60">
        <v>7</v>
      </c>
      <c r="FQ257" s="60">
        <v>1</v>
      </c>
      <c r="FR257" s="60">
        <v>4</v>
      </c>
      <c r="FS257" s="60">
        <v>5</v>
      </c>
      <c r="FT257" s="60">
        <v>1</v>
      </c>
      <c r="FU257" s="60">
        <v>1</v>
      </c>
      <c r="FV257" s="60"/>
      <c r="FW257" s="60"/>
      <c r="FX257" s="60">
        <v>1502</v>
      </c>
      <c r="FY257" s="60">
        <v>1436</v>
      </c>
      <c r="FZ257" s="60">
        <v>66</v>
      </c>
      <c r="GA257" s="60"/>
      <c r="GB257" s="60">
        <v>2011</v>
      </c>
    </row>
    <row r="258" spans="1:184" x14ac:dyDescent="0.3">
      <c r="A258" s="60">
        <v>106390846</v>
      </c>
      <c r="B258" s="61" t="s">
        <v>978</v>
      </c>
      <c r="C258" s="61" t="s">
        <v>979</v>
      </c>
      <c r="D258" s="61" t="s">
        <v>980</v>
      </c>
      <c r="E258" s="61" t="s">
        <v>981</v>
      </c>
      <c r="F258" s="60">
        <v>95203</v>
      </c>
      <c r="G258" s="61"/>
      <c r="H258" s="61" t="s">
        <v>1669</v>
      </c>
      <c r="I258" s="60">
        <v>17</v>
      </c>
      <c r="J258" s="60">
        <v>5</v>
      </c>
      <c r="K258" s="61" t="s">
        <v>2024</v>
      </c>
      <c r="L258" s="61"/>
      <c r="M258" s="61" t="s">
        <v>1700</v>
      </c>
      <c r="N258" s="61" t="s">
        <v>2025</v>
      </c>
      <c r="O258" s="61" t="s">
        <v>1673</v>
      </c>
      <c r="P258" s="61" t="s">
        <v>1678</v>
      </c>
      <c r="Q258" s="61" t="s">
        <v>1674</v>
      </c>
      <c r="R258" s="60">
        <v>202</v>
      </c>
      <c r="S258" s="61" t="s">
        <v>1675</v>
      </c>
      <c r="T258" s="60">
        <v>20761</v>
      </c>
      <c r="U258" s="60">
        <v>15700</v>
      </c>
      <c r="V258" s="60"/>
      <c r="W258" s="60"/>
      <c r="X258" s="60">
        <v>5775</v>
      </c>
      <c r="Y258" s="60">
        <v>4490</v>
      </c>
      <c r="Z258" s="60">
        <v>6440</v>
      </c>
      <c r="AA258" s="60">
        <v>4698</v>
      </c>
      <c r="AB258" s="60">
        <v>4513</v>
      </c>
      <c r="AC258" s="60">
        <v>3785</v>
      </c>
      <c r="AD258" s="60">
        <v>2341</v>
      </c>
      <c r="AE258" s="60">
        <v>1515</v>
      </c>
      <c r="AF258" s="60">
        <v>1497</v>
      </c>
      <c r="AG258" s="60">
        <v>1407</v>
      </c>
      <c r="AH258" s="60"/>
      <c r="AI258" s="60">
        <v>3079</v>
      </c>
      <c r="AJ258" s="60">
        <v>9292</v>
      </c>
      <c r="AK258" s="60">
        <v>12716</v>
      </c>
      <c r="AL258" s="60">
        <v>8</v>
      </c>
      <c r="AM258" s="60">
        <v>635</v>
      </c>
      <c r="AN258" s="60">
        <v>1</v>
      </c>
      <c r="AO258" s="60">
        <v>10730</v>
      </c>
      <c r="AP258" s="60">
        <v>380</v>
      </c>
      <c r="AQ258" s="60">
        <v>1312</v>
      </c>
      <c r="AR258" s="60"/>
      <c r="AS258" s="60">
        <v>66</v>
      </c>
      <c r="AT258" s="60">
        <v>5</v>
      </c>
      <c r="AU258" s="60">
        <v>2</v>
      </c>
      <c r="AV258" s="60"/>
      <c r="AW258" s="60">
        <v>15</v>
      </c>
      <c r="AX258" s="60"/>
      <c r="AY258" s="60">
        <v>195</v>
      </c>
      <c r="AZ258" s="60">
        <v>1</v>
      </c>
      <c r="BA258" s="60">
        <v>34166</v>
      </c>
      <c r="BB258" s="60">
        <v>319</v>
      </c>
      <c r="BC258" s="60"/>
      <c r="BD258" s="60"/>
      <c r="BE258" s="60">
        <v>16167</v>
      </c>
      <c r="BF258" s="60">
        <v>5692</v>
      </c>
      <c r="BG258" s="60">
        <v>943</v>
      </c>
      <c r="BH258" s="60">
        <v>9489</v>
      </c>
      <c r="BI258" s="60">
        <v>4170</v>
      </c>
      <c r="BJ258" s="60">
        <v>855</v>
      </c>
      <c r="BK258" s="60">
        <v>142</v>
      </c>
      <c r="BL258" s="60">
        <v>858</v>
      </c>
      <c r="BM258" s="60">
        <v>9</v>
      </c>
      <c r="BN258" s="60">
        <v>1649</v>
      </c>
      <c r="BO258" s="60">
        <v>591</v>
      </c>
      <c r="BP258" s="60">
        <v>2011</v>
      </c>
      <c r="BQ258" s="60">
        <v>1029</v>
      </c>
      <c r="BR258" s="60">
        <v>8110</v>
      </c>
      <c r="BS258" s="60">
        <v>1828</v>
      </c>
      <c r="BT258" s="60">
        <v>39</v>
      </c>
      <c r="BU258" s="60">
        <v>2118</v>
      </c>
      <c r="BV258" s="60">
        <v>858</v>
      </c>
      <c r="BW258" s="60">
        <v>39</v>
      </c>
      <c r="BX258" s="60">
        <v>957</v>
      </c>
      <c r="BY258" s="60">
        <v>4837</v>
      </c>
      <c r="BZ258" s="60">
        <v>1737</v>
      </c>
      <c r="CA258" s="60">
        <v>8790</v>
      </c>
      <c r="CB258" s="60">
        <v>4</v>
      </c>
      <c r="CC258" s="60"/>
      <c r="CD258" s="60">
        <v>2287</v>
      </c>
      <c r="CE258" s="60">
        <v>182</v>
      </c>
      <c r="CF258" s="60">
        <v>177</v>
      </c>
      <c r="CG258" s="60">
        <v>33</v>
      </c>
      <c r="CH258" s="60">
        <v>533</v>
      </c>
      <c r="CI258" s="60">
        <v>31</v>
      </c>
      <c r="CJ258" s="60">
        <v>124</v>
      </c>
      <c r="CK258" s="60">
        <v>516</v>
      </c>
      <c r="CL258" s="60">
        <v>27602</v>
      </c>
      <c r="CM258" s="60">
        <v>3342</v>
      </c>
      <c r="CN258" s="60">
        <v>169</v>
      </c>
      <c r="CO258" s="60">
        <v>1100</v>
      </c>
      <c r="CP258" s="60">
        <v>117</v>
      </c>
      <c r="CQ258" s="60">
        <v>206</v>
      </c>
      <c r="CR258" s="60">
        <v>42</v>
      </c>
      <c r="CS258" s="60"/>
      <c r="CT258" s="60">
        <v>36461</v>
      </c>
      <c r="CU258" s="60">
        <v>446</v>
      </c>
      <c r="CV258" s="60">
        <v>34626</v>
      </c>
      <c r="CW258" s="60">
        <v>1389</v>
      </c>
      <c r="CX258" s="60">
        <v>2501</v>
      </c>
      <c r="CY258" s="60">
        <v>2043</v>
      </c>
      <c r="CZ258" s="60"/>
      <c r="DA258" s="60"/>
      <c r="DB258" s="60">
        <v>137</v>
      </c>
      <c r="DC258" s="60">
        <v>251</v>
      </c>
      <c r="DD258" s="60">
        <v>345</v>
      </c>
      <c r="DE258" s="60">
        <v>465</v>
      </c>
      <c r="DF258" s="60">
        <v>772</v>
      </c>
      <c r="DG258" s="60">
        <v>769</v>
      </c>
      <c r="DH258" s="60">
        <v>786</v>
      </c>
      <c r="DI258" s="60">
        <v>829</v>
      </c>
      <c r="DJ258" s="60">
        <v>64</v>
      </c>
      <c r="DK258" s="60">
        <v>126</v>
      </c>
      <c r="DL258" s="60"/>
      <c r="DM258" s="60">
        <v>591</v>
      </c>
      <c r="DN258" s="60">
        <v>857</v>
      </c>
      <c r="DO258" s="60">
        <v>1063</v>
      </c>
      <c r="DP258" s="60">
        <v>72</v>
      </c>
      <c r="DQ258" s="60"/>
      <c r="DR258" s="60">
        <v>1961</v>
      </c>
      <c r="DS258" s="60"/>
      <c r="DT258" s="60">
        <v>130</v>
      </c>
      <c r="DU258" s="60">
        <v>100</v>
      </c>
      <c r="DV258" s="60">
        <v>192</v>
      </c>
      <c r="DW258" s="60">
        <v>283</v>
      </c>
      <c r="DX258" s="60">
        <v>26</v>
      </c>
      <c r="DY258" s="60">
        <v>56</v>
      </c>
      <c r="DZ258" s="60">
        <v>36</v>
      </c>
      <c r="EA258" s="60">
        <v>2893</v>
      </c>
      <c r="EB258" s="60">
        <v>828</v>
      </c>
      <c r="EC258" s="60"/>
      <c r="ED258" s="60">
        <v>0</v>
      </c>
      <c r="EE258" s="60">
        <v>0</v>
      </c>
      <c r="EF258" s="60">
        <v>0</v>
      </c>
      <c r="EG258" s="60">
        <v>0</v>
      </c>
      <c r="EH258" s="60">
        <v>0</v>
      </c>
      <c r="EI258" s="60">
        <v>1226</v>
      </c>
      <c r="EJ258" s="60">
        <v>2145</v>
      </c>
      <c r="EK258" s="60">
        <v>43</v>
      </c>
      <c r="EL258" s="60">
        <v>906</v>
      </c>
      <c r="EM258" s="60">
        <v>224</v>
      </c>
      <c r="EN258" s="60">
        <v>67</v>
      </c>
      <c r="EO258" s="60">
        <v>81</v>
      </c>
      <c r="EP258" s="60">
        <v>822</v>
      </c>
      <c r="EQ258" s="60">
        <v>4</v>
      </c>
      <c r="ER258" s="60">
        <v>742</v>
      </c>
      <c r="ES258" s="60">
        <v>245</v>
      </c>
      <c r="ET258" s="60">
        <v>290</v>
      </c>
      <c r="EU258" s="60">
        <v>307</v>
      </c>
      <c r="EV258" s="60">
        <v>316</v>
      </c>
      <c r="EW258" s="60">
        <v>56</v>
      </c>
      <c r="EX258" s="60">
        <v>69</v>
      </c>
      <c r="EY258" s="60">
        <v>73</v>
      </c>
      <c r="EZ258" s="60">
        <v>1</v>
      </c>
      <c r="FA258" s="60">
        <v>34</v>
      </c>
      <c r="FB258" s="60">
        <v>868</v>
      </c>
      <c r="FC258" s="60">
        <v>133</v>
      </c>
      <c r="FD258" s="60">
        <v>427</v>
      </c>
      <c r="FE258" s="60">
        <v>1</v>
      </c>
      <c r="FF258" s="60">
        <v>8</v>
      </c>
      <c r="FG258" s="60"/>
      <c r="FH258" s="60">
        <v>179</v>
      </c>
      <c r="FI258" s="60">
        <v>31</v>
      </c>
      <c r="FJ258" s="60">
        <v>140</v>
      </c>
      <c r="FK258" s="60">
        <v>16</v>
      </c>
      <c r="FL258" s="60">
        <v>5</v>
      </c>
      <c r="FM258" s="60">
        <v>15</v>
      </c>
      <c r="FN258" s="60">
        <v>12</v>
      </c>
      <c r="FO258" s="60">
        <v>4033</v>
      </c>
      <c r="FP258" s="60">
        <v>38</v>
      </c>
      <c r="FQ258" s="60">
        <v>7</v>
      </c>
      <c r="FR258" s="60">
        <v>22</v>
      </c>
      <c r="FS258" s="60">
        <v>30</v>
      </c>
      <c r="FT258" s="60">
        <v>9</v>
      </c>
      <c r="FU258" s="60">
        <v>6</v>
      </c>
      <c r="FV258" s="60">
        <v>1</v>
      </c>
      <c r="FW258" s="60"/>
      <c r="FX258" s="60">
        <v>4544</v>
      </c>
      <c r="FY258" s="60">
        <v>199</v>
      </c>
      <c r="FZ258" s="60">
        <v>4162</v>
      </c>
      <c r="GA258" s="60">
        <v>183</v>
      </c>
      <c r="GB258" s="60">
        <v>2011</v>
      </c>
    </row>
    <row r="259" spans="1:184" x14ac:dyDescent="0.3">
      <c r="A259" s="60">
        <v>106390923</v>
      </c>
      <c r="B259" s="61" t="s">
        <v>982</v>
      </c>
      <c r="C259" s="61" t="s">
        <v>983</v>
      </c>
      <c r="D259" s="61" t="s">
        <v>984</v>
      </c>
      <c r="E259" s="61" t="s">
        <v>985</v>
      </c>
      <c r="F259" s="60">
        <v>95240</v>
      </c>
      <c r="G259" s="61"/>
      <c r="H259" s="61" t="s">
        <v>1669</v>
      </c>
      <c r="I259" s="60">
        <v>10</v>
      </c>
      <c r="J259" s="60">
        <v>14</v>
      </c>
      <c r="K259" s="61" t="s">
        <v>2026</v>
      </c>
      <c r="L259" s="61"/>
      <c r="M259" s="61" t="s">
        <v>1700</v>
      </c>
      <c r="N259" s="61" t="s">
        <v>2025</v>
      </c>
      <c r="O259" s="61" t="s">
        <v>1673</v>
      </c>
      <c r="P259" s="61" t="s">
        <v>1678</v>
      </c>
      <c r="Q259" s="61" t="s">
        <v>1674</v>
      </c>
      <c r="R259" s="60">
        <v>190</v>
      </c>
      <c r="S259" s="61" t="s">
        <v>1675</v>
      </c>
      <c r="T259" s="60">
        <v>14202</v>
      </c>
      <c r="U259" s="60">
        <v>11660</v>
      </c>
      <c r="V259" s="60">
        <v>3</v>
      </c>
      <c r="W259" s="60"/>
      <c r="X259" s="60">
        <v>3746</v>
      </c>
      <c r="Y259" s="60">
        <v>2916</v>
      </c>
      <c r="Z259" s="60">
        <v>4004</v>
      </c>
      <c r="AA259" s="60">
        <v>3083</v>
      </c>
      <c r="AB259" s="60">
        <v>2957</v>
      </c>
      <c r="AC259" s="60">
        <v>2631</v>
      </c>
      <c r="AD259" s="60">
        <v>1972</v>
      </c>
      <c r="AE259" s="60">
        <v>1603</v>
      </c>
      <c r="AF259" s="60">
        <v>1987</v>
      </c>
      <c r="AG259" s="60">
        <v>966</v>
      </c>
      <c r="AH259" s="60"/>
      <c r="AI259" s="60">
        <v>714</v>
      </c>
      <c r="AJ259" s="60">
        <v>548</v>
      </c>
      <c r="AK259" s="60">
        <v>7441</v>
      </c>
      <c r="AL259" s="60">
        <v>12</v>
      </c>
      <c r="AM259" s="60">
        <v>479</v>
      </c>
      <c r="AN259" s="60">
        <v>119</v>
      </c>
      <c r="AO259" s="60">
        <v>16552</v>
      </c>
      <c r="AP259" s="60">
        <v>882</v>
      </c>
      <c r="AQ259" s="60">
        <v>1360</v>
      </c>
      <c r="AR259" s="60"/>
      <c r="AS259" s="60">
        <v>110</v>
      </c>
      <c r="AT259" s="60">
        <v>8</v>
      </c>
      <c r="AU259" s="60">
        <v>4</v>
      </c>
      <c r="AV259" s="60"/>
      <c r="AW259" s="60"/>
      <c r="AX259" s="60">
        <v>171</v>
      </c>
      <c r="AY259" s="60">
        <v>117</v>
      </c>
      <c r="AZ259" s="60"/>
      <c r="BA259" s="60">
        <v>22987</v>
      </c>
      <c r="BB259" s="60">
        <v>226</v>
      </c>
      <c r="BC259" s="60"/>
      <c r="BD259" s="60"/>
      <c r="BE259" s="60">
        <v>9314</v>
      </c>
      <c r="BF259" s="60">
        <v>5604</v>
      </c>
      <c r="BG259" s="60">
        <v>1696</v>
      </c>
      <c r="BH259" s="60">
        <v>5550</v>
      </c>
      <c r="BI259" s="60">
        <v>3701</v>
      </c>
      <c r="BJ259" s="60">
        <v>899</v>
      </c>
      <c r="BK259" s="60">
        <v>111</v>
      </c>
      <c r="BL259" s="60">
        <v>689</v>
      </c>
      <c r="BM259" s="60">
        <v>5</v>
      </c>
      <c r="BN259" s="60">
        <v>1480</v>
      </c>
      <c r="BO259" s="60">
        <v>442</v>
      </c>
      <c r="BP259" s="60">
        <v>1582</v>
      </c>
      <c r="BQ259" s="60">
        <v>391</v>
      </c>
      <c r="BR259" s="60">
        <v>6026</v>
      </c>
      <c r="BS259" s="60">
        <v>1230</v>
      </c>
      <c r="BT259" s="60">
        <v>47</v>
      </c>
      <c r="BU259" s="60">
        <v>1409</v>
      </c>
      <c r="BV259" s="60">
        <v>1101</v>
      </c>
      <c r="BW259" s="60">
        <v>35</v>
      </c>
      <c r="BX259" s="60">
        <v>756</v>
      </c>
      <c r="BY259" s="60">
        <v>2713</v>
      </c>
      <c r="BZ259" s="60">
        <v>975</v>
      </c>
      <c r="CA259" s="60">
        <v>5974</v>
      </c>
      <c r="CB259" s="60"/>
      <c r="CC259" s="60"/>
      <c r="CD259" s="60">
        <v>2020</v>
      </c>
      <c r="CE259" s="60">
        <v>185</v>
      </c>
      <c r="CF259" s="60">
        <v>276</v>
      </c>
      <c r="CG259" s="60">
        <v>6</v>
      </c>
      <c r="CH259" s="60">
        <v>330</v>
      </c>
      <c r="CI259" s="60">
        <v>6</v>
      </c>
      <c r="CJ259" s="60">
        <v>137</v>
      </c>
      <c r="CK259" s="60">
        <v>259</v>
      </c>
      <c r="CL259" s="60">
        <v>19180</v>
      </c>
      <c r="CM259" s="60">
        <v>2258</v>
      </c>
      <c r="CN259" s="60">
        <v>170</v>
      </c>
      <c r="CO259" s="60">
        <v>720</v>
      </c>
      <c r="CP259" s="60">
        <v>99</v>
      </c>
      <c r="CQ259" s="60">
        <v>195</v>
      </c>
      <c r="CR259" s="60">
        <v>24</v>
      </c>
      <c r="CS259" s="60"/>
      <c r="CT259" s="60">
        <v>25865</v>
      </c>
      <c r="CU259" s="60">
        <v>386</v>
      </c>
      <c r="CV259" s="60">
        <v>22205</v>
      </c>
      <c r="CW259" s="60">
        <v>3274</v>
      </c>
      <c r="CX259" s="60">
        <v>2785</v>
      </c>
      <c r="CY259" s="60">
        <v>2338</v>
      </c>
      <c r="CZ259" s="60"/>
      <c r="DA259" s="60"/>
      <c r="DB259" s="60">
        <v>113</v>
      </c>
      <c r="DC259" s="60">
        <v>234</v>
      </c>
      <c r="DD259" s="60">
        <v>273</v>
      </c>
      <c r="DE259" s="60">
        <v>435</v>
      </c>
      <c r="DF259" s="60">
        <v>649</v>
      </c>
      <c r="DG259" s="60">
        <v>790</v>
      </c>
      <c r="DH259" s="60">
        <v>951</v>
      </c>
      <c r="DI259" s="60">
        <v>1505</v>
      </c>
      <c r="DJ259" s="60">
        <v>50</v>
      </c>
      <c r="DK259" s="60">
        <v>123</v>
      </c>
      <c r="DL259" s="60"/>
      <c r="DM259" s="60">
        <v>155</v>
      </c>
      <c r="DN259" s="60">
        <v>64</v>
      </c>
      <c r="DO259" s="60">
        <v>820</v>
      </c>
      <c r="DP259" s="60">
        <v>42</v>
      </c>
      <c r="DQ259" s="60">
        <v>13</v>
      </c>
      <c r="DR259" s="60">
        <v>4026</v>
      </c>
      <c r="DS259" s="60">
        <v>3</v>
      </c>
      <c r="DT259" s="60">
        <v>207</v>
      </c>
      <c r="DU259" s="60">
        <v>67</v>
      </c>
      <c r="DV259" s="60">
        <v>218</v>
      </c>
      <c r="DW259" s="60">
        <v>732</v>
      </c>
      <c r="DX259" s="60">
        <v>35</v>
      </c>
      <c r="DY259" s="60">
        <v>13</v>
      </c>
      <c r="DZ259" s="60">
        <v>52</v>
      </c>
      <c r="EA259" s="60">
        <v>2672</v>
      </c>
      <c r="EB259" s="60">
        <v>1127</v>
      </c>
      <c r="EC259" s="60"/>
      <c r="ED259" s="60">
        <v>0</v>
      </c>
      <c r="EE259" s="60">
        <v>0</v>
      </c>
      <c r="EF259" s="60">
        <v>0</v>
      </c>
      <c r="EG259" s="60">
        <v>0</v>
      </c>
      <c r="EH259" s="60">
        <v>0</v>
      </c>
      <c r="EI259" s="60">
        <v>782</v>
      </c>
      <c r="EJ259" s="60">
        <v>3194</v>
      </c>
      <c r="EK259" s="60">
        <v>80</v>
      </c>
      <c r="EL259" s="60">
        <v>662</v>
      </c>
      <c r="EM259" s="60">
        <v>405</v>
      </c>
      <c r="EN259" s="60">
        <v>81</v>
      </c>
      <c r="EO259" s="60">
        <v>77</v>
      </c>
      <c r="EP259" s="60">
        <v>943</v>
      </c>
      <c r="EQ259" s="60">
        <v>1</v>
      </c>
      <c r="ER259" s="60">
        <v>869</v>
      </c>
      <c r="ES259" s="60">
        <v>230</v>
      </c>
      <c r="ET259" s="60">
        <v>244</v>
      </c>
      <c r="EU259" s="60">
        <v>710</v>
      </c>
      <c r="EV259" s="60">
        <v>394</v>
      </c>
      <c r="EW259" s="60">
        <v>79</v>
      </c>
      <c r="EX259" s="60">
        <v>91</v>
      </c>
      <c r="EY259" s="60">
        <v>96</v>
      </c>
      <c r="EZ259" s="60">
        <v>2</v>
      </c>
      <c r="FA259" s="60">
        <v>50</v>
      </c>
      <c r="FB259" s="60">
        <v>773</v>
      </c>
      <c r="FC259" s="60">
        <v>151</v>
      </c>
      <c r="FD259" s="60">
        <v>327</v>
      </c>
      <c r="FE259" s="60"/>
      <c r="FF259" s="60">
        <v>5</v>
      </c>
      <c r="FG259" s="60"/>
      <c r="FH259" s="60">
        <v>261</v>
      </c>
      <c r="FI259" s="60">
        <v>58</v>
      </c>
      <c r="FJ259" s="60">
        <v>194</v>
      </c>
      <c r="FK259" s="60">
        <v>11</v>
      </c>
      <c r="FL259" s="60">
        <v>21</v>
      </c>
      <c r="FM259" s="60">
        <v>154</v>
      </c>
      <c r="FN259" s="60">
        <v>8</v>
      </c>
      <c r="FO259" s="60">
        <v>4283</v>
      </c>
      <c r="FP259" s="60">
        <v>61</v>
      </c>
      <c r="FQ259" s="60">
        <v>4</v>
      </c>
      <c r="FR259" s="60">
        <v>18</v>
      </c>
      <c r="FS259" s="60">
        <v>33</v>
      </c>
      <c r="FT259" s="60">
        <v>10</v>
      </c>
      <c r="FU259" s="60">
        <v>6</v>
      </c>
      <c r="FV259" s="60">
        <v>1</v>
      </c>
      <c r="FW259" s="60"/>
      <c r="FX259" s="60">
        <v>5123</v>
      </c>
      <c r="FY259" s="60">
        <v>91</v>
      </c>
      <c r="FZ259" s="60">
        <v>4636</v>
      </c>
      <c r="GA259" s="60">
        <v>396</v>
      </c>
      <c r="GB259" s="60">
        <v>2011</v>
      </c>
    </row>
    <row r="260" spans="1:184" x14ac:dyDescent="0.3">
      <c r="A260" s="60">
        <v>106391010</v>
      </c>
      <c r="B260" s="61" t="s">
        <v>986</v>
      </c>
      <c r="C260" s="61" t="s">
        <v>987</v>
      </c>
      <c r="D260" s="61" t="s">
        <v>988</v>
      </c>
      <c r="E260" s="61" t="s">
        <v>989</v>
      </c>
      <c r="F260" s="60">
        <v>95231</v>
      </c>
      <c r="G260" s="61"/>
      <c r="H260" s="61" t="s">
        <v>1669</v>
      </c>
      <c r="I260" s="60">
        <v>17</v>
      </c>
      <c r="J260" s="60">
        <v>5</v>
      </c>
      <c r="K260" s="61" t="s">
        <v>2024</v>
      </c>
      <c r="L260" s="61"/>
      <c r="M260" s="61" t="s">
        <v>1700</v>
      </c>
      <c r="N260" s="61" t="s">
        <v>2025</v>
      </c>
      <c r="O260" s="61" t="s">
        <v>1673</v>
      </c>
      <c r="P260" s="61" t="s">
        <v>1690</v>
      </c>
      <c r="Q260" s="61" t="s">
        <v>1674</v>
      </c>
      <c r="R260" s="60">
        <v>196</v>
      </c>
      <c r="S260" s="61" t="s">
        <v>1675</v>
      </c>
      <c r="T260" s="60">
        <v>17792</v>
      </c>
      <c r="U260" s="60">
        <v>20905</v>
      </c>
      <c r="V260" s="60"/>
      <c r="W260" s="60"/>
      <c r="X260" s="60">
        <v>2931</v>
      </c>
      <c r="Y260" s="60">
        <v>3137</v>
      </c>
      <c r="Z260" s="60">
        <v>7401</v>
      </c>
      <c r="AA260" s="60">
        <v>5984</v>
      </c>
      <c r="AB260" s="60">
        <v>6927</v>
      </c>
      <c r="AC260" s="60">
        <v>6754</v>
      </c>
      <c r="AD260" s="60">
        <v>3077</v>
      </c>
      <c r="AE260" s="60">
        <v>1053</v>
      </c>
      <c r="AF260" s="60">
        <v>500</v>
      </c>
      <c r="AG260" s="60">
        <v>933</v>
      </c>
      <c r="AH260" s="60"/>
      <c r="AI260" s="60">
        <v>3038</v>
      </c>
      <c r="AJ260" s="60">
        <v>7372</v>
      </c>
      <c r="AK260" s="60">
        <v>15731</v>
      </c>
      <c r="AL260" s="60">
        <v>56</v>
      </c>
      <c r="AM260" s="60">
        <v>837</v>
      </c>
      <c r="AN260" s="60">
        <v>107</v>
      </c>
      <c r="AO260" s="60">
        <v>11556</v>
      </c>
      <c r="AP260" s="60">
        <v>2744</v>
      </c>
      <c r="AQ260" s="60">
        <v>3522</v>
      </c>
      <c r="AR260" s="60">
        <v>10</v>
      </c>
      <c r="AS260" s="60">
        <v>47</v>
      </c>
      <c r="AT260" s="60"/>
      <c r="AU260" s="60"/>
      <c r="AV260" s="60"/>
      <c r="AW260" s="60"/>
      <c r="AX260" s="60">
        <v>1830</v>
      </c>
      <c r="AY260" s="60">
        <v>12</v>
      </c>
      <c r="AZ260" s="60"/>
      <c r="BA260" s="60">
        <v>30448</v>
      </c>
      <c r="BB260" s="60">
        <v>84</v>
      </c>
      <c r="BC260" s="60"/>
      <c r="BD260" s="60"/>
      <c r="BE260" s="60">
        <v>12742</v>
      </c>
      <c r="BF260" s="60">
        <v>3222</v>
      </c>
      <c r="BG260" s="60">
        <v>5802</v>
      </c>
      <c r="BH260" s="60">
        <v>2007</v>
      </c>
      <c r="BI260" s="60">
        <v>14924</v>
      </c>
      <c r="BJ260" s="60">
        <v>1061</v>
      </c>
      <c r="BK260" s="60">
        <v>257</v>
      </c>
      <c r="BL260" s="60">
        <v>1270</v>
      </c>
      <c r="BM260" s="60">
        <v>16</v>
      </c>
      <c r="BN260" s="60">
        <v>2813</v>
      </c>
      <c r="BO260" s="60">
        <v>1025</v>
      </c>
      <c r="BP260" s="60">
        <v>2226</v>
      </c>
      <c r="BQ260" s="60">
        <v>942</v>
      </c>
      <c r="BR260" s="60">
        <v>6590</v>
      </c>
      <c r="BS260" s="60">
        <v>2998</v>
      </c>
      <c r="BT260" s="60">
        <v>86</v>
      </c>
      <c r="BU260" s="60">
        <v>2106</v>
      </c>
      <c r="BV260" s="60">
        <v>1619</v>
      </c>
      <c r="BW260" s="60">
        <v>89</v>
      </c>
      <c r="BX260" s="60">
        <v>1191</v>
      </c>
      <c r="BY260" s="60">
        <v>3867</v>
      </c>
      <c r="BZ260" s="60">
        <v>2115</v>
      </c>
      <c r="CA260" s="60">
        <v>8425</v>
      </c>
      <c r="CB260" s="60"/>
      <c r="CC260" s="60">
        <v>1</v>
      </c>
      <c r="CD260" s="60">
        <v>1806</v>
      </c>
      <c r="CE260" s="60">
        <v>76</v>
      </c>
      <c r="CF260" s="60">
        <v>187</v>
      </c>
      <c r="CG260" s="60">
        <v>23</v>
      </c>
      <c r="CH260" s="60">
        <v>1006</v>
      </c>
      <c r="CI260" s="60">
        <v>38</v>
      </c>
      <c r="CJ260" s="60">
        <v>158</v>
      </c>
      <c r="CK260" s="60">
        <v>412</v>
      </c>
      <c r="CL260" s="60">
        <v>30316</v>
      </c>
      <c r="CM260" s="60">
        <v>2791</v>
      </c>
      <c r="CN260" s="60">
        <v>164</v>
      </c>
      <c r="CO260" s="60">
        <v>1123</v>
      </c>
      <c r="CP260" s="60">
        <v>218</v>
      </c>
      <c r="CQ260" s="60">
        <v>177</v>
      </c>
      <c r="CR260" s="60">
        <v>202</v>
      </c>
      <c r="CS260" s="60"/>
      <c r="CT260" s="60">
        <v>38697</v>
      </c>
      <c r="CU260" s="60">
        <v>1385</v>
      </c>
      <c r="CV260" s="60">
        <v>31373</v>
      </c>
      <c r="CW260" s="60">
        <v>5939</v>
      </c>
      <c r="CX260" s="60">
        <v>1594</v>
      </c>
      <c r="CY260" s="60">
        <v>2671</v>
      </c>
      <c r="CZ260" s="60"/>
      <c r="DA260" s="60"/>
      <c r="DB260" s="60">
        <v>134</v>
      </c>
      <c r="DC260" s="60">
        <v>456</v>
      </c>
      <c r="DD260" s="60">
        <v>477</v>
      </c>
      <c r="DE260" s="60">
        <v>728</v>
      </c>
      <c r="DF260" s="60">
        <v>1093</v>
      </c>
      <c r="DG260" s="60">
        <v>718</v>
      </c>
      <c r="DH260" s="60">
        <v>315</v>
      </c>
      <c r="DI260" s="60">
        <v>185</v>
      </c>
      <c r="DJ260" s="60">
        <v>66</v>
      </c>
      <c r="DK260" s="60">
        <v>93</v>
      </c>
      <c r="DL260" s="60"/>
      <c r="DM260" s="60">
        <v>476</v>
      </c>
      <c r="DN260" s="60">
        <v>704</v>
      </c>
      <c r="DO260" s="60">
        <v>1641</v>
      </c>
      <c r="DP260" s="60">
        <v>60</v>
      </c>
      <c r="DQ260" s="60">
        <v>14</v>
      </c>
      <c r="DR260" s="60">
        <v>1363</v>
      </c>
      <c r="DS260" s="60">
        <v>7</v>
      </c>
      <c r="DT260" s="60">
        <v>144</v>
      </c>
      <c r="DU260" s="60">
        <v>120</v>
      </c>
      <c r="DV260" s="60">
        <v>138</v>
      </c>
      <c r="DW260" s="60">
        <v>80</v>
      </c>
      <c r="DX260" s="60">
        <v>34</v>
      </c>
      <c r="DY260" s="60"/>
      <c r="DZ260" s="60"/>
      <c r="EA260" s="60">
        <v>3069</v>
      </c>
      <c r="EB260" s="60">
        <v>347</v>
      </c>
      <c r="EC260" s="60">
        <v>333</v>
      </c>
      <c r="ED260" s="60">
        <v>0</v>
      </c>
      <c r="EE260" s="60">
        <v>0</v>
      </c>
      <c r="EF260" s="60">
        <v>0</v>
      </c>
      <c r="EG260" s="60">
        <v>0</v>
      </c>
      <c r="EH260" s="60">
        <v>0</v>
      </c>
      <c r="EI260" s="60">
        <v>1229</v>
      </c>
      <c r="EJ260" s="60">
        <v>879</v>
      </c>
      <c r="EK260" s="60">
        <v>473</v>
      </c>
      <c r="EL260" s="60">
        <v>162</v>
      </c>
      <c r="EM260" s="60">
        <v>1522</v>
      </c>
      <c r="EN260" s="60">
        <v>69</v>
      </c>
      <c r="EO260" s="60">
        <v>59</v>
      </c>
      <c r="EP260" s="60">
        <v>715</v>
      </c>
      <c r="EQ260" s="60">
        <v>4</v>
      </c>
      <c r="ER260" s="60">
        <v>791</v>
      </c>
      <c r="ES260" s="60">
        <v>266</v>
      </c>
      <c r="ET260" s="60">
        <v>210</v>
      </c>
      <c r="EU260" s="60">
        <v>475</v>
      </c>
      <c r="EV260" s="60">
        <v>594</v>
      </c>
      <c r="EW260" s="60">
        <v>59</v>
      </c>
      <c r="EX260" s="60">
        <v>103</v>
      </c>
      <c r="EY260" s="60">
        <v>83</v>
      </c>
      <c r="EZ260" s="60">
        <v>3</v>
      </c>
      <c r="FA260" s="60">
        <v>32</v>
      </c>
      <c r="FB260" s="60">
        <v>401</v>
      </c>
      <c r="FC260" s="60">
        <v>184</v>
      </c>
      <c r="FD260" s="60">
        <v>207</v>
      </c>
      <c r="FE260" s="60">
        <v>2</v>
      </c>
      <c r="FF260" s="60">
        <v>8</v>
      </c>
      <c r="FG260" s="60"/>
      <c r="FH260" s="60">
        <v>151</v>
      </c>
      <c r="FI260" s="60">
        <v>18</v>
      </c>
      <c r="FJ260" s="60">
        <v>200</v>
      </c>
      <c r="FK260" s="60">
        <v>96</v>
      </c>
      <c r="FL260" s="60">
        <v>6</v>
      </c>
      <c r="FM260" s="60">
        <v>191</v>
      </c>
      <c r="FN260" s="60">
        <v>15</v>
      </c>
      <c r="FO260" s="60">
        <v>3285</v>
      </c>
      <c r="FP260" s="60">
        <v>68</v>
      </c>
      <c r="FQ260" s="60">
        <v>11</v>
      </c>
      <c r="FR260" s="60">
        <v>132</v>
      </c>
      <c r="FS260" s="60">
        <v>33</v>
      </c>
      <c r="FT260" s="60">
        <v>25</v>
      </c>
      <c r="FU260" s="60">
        <v>33</v>
      </c>
      <c r="FV260" s="60">
        <v>1</v>
      </c>
      <c r="FW260" s="60"/>
      <c r="FX260" s="60">
        <v>4265</v>
      </c>
      <c r="FY260" s="60">
        <v>252</v>
      </c>
      <c r="FZ260" s="60">
        <v>3292</v>
      </c>
      <c r="GA260" s="60">
        <v>721</v>
      </c>
      <c r="GB260" s="60">
        <v>2011</v>
      </c>
    </row>
    <row r="261" spans="1:184" x14ac:dyDescent="0.3">
      <c r="A261" s="60">
        <v>106391042</v>
      </c>
      <c r="B261" s="61" t="s">
        <v>990</v>
      </c>
      <c r="C261" s="61" t="s">
        <v>2027</v>
      </c>
      <c r="D261" s="61" t="s">
        <v>991</v>
      </c>
      <c r="E261" s="61" t="s">
        <v>981</v>
      </c>
      <c r="F261" s="60">
        <v>95204</v>
      </c>
      <c r="G261" s="61"/>
      <c r="H261" s="61" t="s">
        <v>1669</v>
      </c>
      <c r="I261" s="60">
        <v>17</v>
      </c>
      <c r="J261" s="60">
        <v>5</v>
      </c>
      <c r="K261" s="61" t="s">
        <v>2028</v>
      </c>
      <c r="L261" s="61"/>
      <c r="M261" s="61" t="s">
        <v>1700</v>
      </c>
      <c r="N261" s="61" t="s">
        <v>2025</v>
      </c>
      <c r="O261" s="61" t="s">
        <v>1673</v>
      </c>
      <c r="P261" s="61" t="s">
        <v>1678</v>
      </c>
      <c r="Q261" s="61" t="s">
        <v>1674</v>
      </c>
      <c r="R261" s="60">
        <v>338</v>
      </c>
      <c r="S261" s="61" t="s">
        <v>1675</v>
      </c>
      <c r="T261" s="60">
        <v>21955</v>
      </c>
      <c r="U261" s="60">
        <v>17261</v>
      </c>
      <c r="V261" s="60"/>
      <c r="W261" s="60"/>
      <c r="X261" s="60">
        <v>5905</v>
      </c>
      <c r="Y261" s="60">
        <v>4153</v>
      </c>
      <c r="Z261" s="60">
        <v>6724</v>
      </c>
      <c r="AA261" s="60">
        <v>4715</v>
      </c>
      <c r="AB261" s="60">
        <v>4849</v>
      </c>
      <c r="AC261" s="60">
        <v>4261</v>
      </c>
      <c r="AD261" s="60">
        <v>2809</v>
      </c>
      <c r="AE261" s="60">
        <v>1866</v>
      </c>
      <c r="AF261" s="60">
        <v>2276</v>
      </c>
      <c r="AG261" s="60">
        <v>1658</v>
      </c>
      <c r="AH261" s="60"/>
      <c r="AI261" s="60">
        <v>2927</v>
      </c>
      <c r="AJ261" s="60">
        <v>7303</v>
      </c>
      <c r="AK261" s="60">
        <v>16159</v>
      </c>
      <c r="AL261" s="60">
        <v>151</v>
      </c>
      <c r="AM261" s="60">
        <v>810</v>
      </c>
      <c r="AN261" s="60">
        <v>249</v>
      </c>
      <c r="AO261" s="60">
        <v>11617</v>
      </c>
      <c r="AP261" s="60">
        <v>536</v>
      </c>
      <c r="AQ261" s="60">
        <v>2529</v>
      </c>
      <c r="AR261" s="60">
        <v>22</v>
      </c>
      <c r="AS261" s="60">
        <v>189</v>
      </c>
      <c r="AT261" s="60">
        <v>29</v>
      </c>
      <c r="AU261" s="60">
        <v>19</v>
      </c>
      <c r="AV261" s="60">
        <v>17</v>
      </c>
      <c r="AW261" s="60">
        <v>16</v>
      </c>
      <c r="AX261" s="60"/>
      <c r="AY261" s="60">
        <v>264</v>
      </c>
      <c r="AZ261" s="60">
        <v>9</v>
      </c>
      <c r="BA261" s="60">
        <v>35414</v>
      </c>
      <c r="BB261" s="60">
        <v>170</v>
      </c>
      <c r="BC261" s="60"/>
      <c r="BD261" s="60">
        <v>2</v>
      </c>
      <c r="BE261" s="60">
        <v>18700</v>
      </c>
      <c r="BF261" s="60">
        <v>7983</v>
      </c>
      <c r="BG261" s="60">
        <v>1047</v>
      </c>
      <c r="BH261" s="60">
        <v>5930</v>
      </c>
      <c r="BI261" s="60">
        <v>5556</v>
      </c>
      <c r="BJ261" s="60">
        <v>1217</v>
      </c>
      <c r="BK261" s="60">
        <v>144</v>
      </c>
      <c r="BL261" s="60">
        <v>822</v>
      </c>
      <c r="BM261" s="60">
        <v>10</v>
      </c>
      <c r="BN261" s="60">
        <v>1942</v>
      </c>
      <c r="BO261" s="60">
        <v>547</v>
      </c>
      <c r="BP261" s="60">
        <v>2053</v>
      </c>
      <c r="BQ261" s="60">
        <v>568</v>
      </c>
      <c r="BR261" s="60">
        <v>7511</v>
      </c>
      <c r="BS261" s="60">
        <v>2621</v>
      </c>
      <c r="BT261" s="60">
        <v>68</v>
      </c>
      <c r="BU261" s="60">
        <v>2127</v>
      </c>
      <c r="BV261" s="60">
        <v>1934</v>
      </c>
      <c r="BW261" s="60">
        <v>62</v>
      </c>
      <c r="BX261" s="60">
        <v>1474</v>
      </c>
      <c r="BY261" s="60">
        <v>4560</v>
      </c>
      <c r="BZ261" s="60">
        <v>1705</v>
      </c>
      <c r="CA261" s="60">
        <v>9851</v>
      </c>
      <c r="CB261" s="60"/>
      <c r="CC261" s="60"/>
      <c r="CD261" s="60">
        <v>2659</v>
      </c>
      <c r="CE261" s="60">
        <v>145</v>
      </c>
      <c r="CF261" s="60">
        <v>274</v>
      </c>
      <c r="CG261" s="60">
        <v>26</v>
      </c>
      <c r="CH261" s="60">
        <v>630</v>
      </c>
      <c r="CI261" s="60">
        <v>47</v>
      </c>
      <c r="CJ261" s="60">
        <v>79</v>
      </c>
      <c r="CK261" s="60">
        <v>443</v>
      </c>
      <c r="CL261" s="60">
        <v>30521</v>
      </c>
      <c r="CM261" s="60">
        <v>2818</v>
      </c>
      <c r="CN261" s="60">
        <v>147</v>
      </c>
      <c r="CO261" s="60">
        <v>941</v>
      </c>
      <c r="CP261" s="60">
        <v>139</v>
      </c>
      <c r="CQ261" s="60">
        <v>238</v>
      </c>
      <c r="CR261" s="60">
        <v>109</v>
      </c>
      <c r="CS261" s="60"/>
      <c r="CT261" s="60">
        <v>39216</v>
      </c>
      <c r="CU261" s="60">
        <v>668</v>
      </c>
      <c r="CV261" s="60">
        <v>34887</v>
      </c>
      <c r="CW261" s="60">
        <v>3661</v>
      </c>
      <c r="CX261" s="60">
        <v>4917</v>
      </c>
      <c r="CY261" s="60">
        <v>4366</v>
      </c>
      <c r="CZ261" s="60"/>
      <c r="DA261" s="60"/>
      <c r="DB261" s="60">
        <v>203</v>
      </c>
      <c r="DC261" s="60">
        <v>435</v>
      </c>
      <c r="DD261" s="60">
        <v>519</v>
      </c>
      <c r="DE261" s="60">
        <v>865</v>
      </c>
      <c r="DF261" s="60">
        <v>1465</v>
      </c>
      <c r="DG261" s="60">
        <v>1648</v>
      </c>
      <c r="DH261" s="60">
        <v>1547</v>
      </c>
      <c r="DI261" s="60">
        <v>2308</v>
      </c>
      <c r="DJ261" s="60">
        <v>119</v>
      </c>
      <c r="DK261" s="60">
        <v>174</v>
      </c>
      <c r="DL261" s="60"/>
      <c r="DM261" s="60">
        <v>969</v>
      </c>
      <c r="DN261" s="60">
        <v>1187</v>
      </c>
      <c r="DO261" s="60">
        <v>2742</v>
      </c>
      <c r="DP261" s="60">
        <v>198</v>
      </c>
      <c r="DQ261" s="60">
        <v>28</v>
      </c>
      <c r="DR261" s="60">
        <v>4130</v>
      </c>
      <c r="DS261" s="60">
        <v>29</v>
      </c>
      <c r="DT261" s="60">
        <v>125</v>
      </c>
      <c r="DU261" s="60">
        <v>196</v>
      </c>
      <c r="DV261" s="60">
        <v>528</v>
      </c>
      <c r="DW261" s="60">
        <v>1223</v>
      </c>
      <c r="DX261" s="60">
        <v>126</v>
      </c>
      <c r="DY261" s="60">
        <v>106</v>
      </c>
      <c r="DZ261" s="60">
        <v>78</v>
      </c>
      <c r="EA261" s="60">
        <v>5068</v>
      </c>
      <c r="EB261" s="60">
        <v>1831</v>
      </c>
      <c r="EC261" s="60">
        <v>2</v>
      </c>
      <c r="ED261" s="60">
        <v>0</v>
      </c>
      <c r="EE261" s="60">
        <v>0</v>
      </c>
      <c r="EF261" s="60">
        <v>0</v>
      </c>
      <c r="EG261" s="60">
        <v>0</v>
      </c>
      <c r="EH261" s="60">
        <v>0</v>
      </c>
      <c r="EI261" s="60">
        <v>2281</v>
      </c>
      <c r="EJ261" s="60">
        <v>5204</v>
      </c>
      <c r="EK261" s="60">
        <v>92</v>
      </c>
      <c r="EL261" s="60">
        <v>1208</v>
      </c>
      <c r="EM261" s="60">
        <v>498</v>
      </c>
      <c r="EN261" s="60">
        <v>101</v>
      </c>
      <c r="EO261" s="60">
        <v>146</v>
      </c>
      <c r="EP261" s="60">
        <v>1809</v>
      </c>
      <c r="EQ261" s="60">
        <v>8</v>
      </c>
      <c r="ER261" s="60">
        <v>1295</v>
      </c>
      <c r="ES261" s="60">
        <v>451</v>
      </c>
      <c r="ET261" s="60">
        <v>581</v>
      </c>
      <c r="EU261" s="60">
        <v>1057</v>
      </c>
      <c r="EV261" s="60">
        <v>927</v>
      </c>
      <c r="EW261" s="60">
        <v>129</v>
      </c>
      <c r="EX261" s="60">
        <v>265</v>
      </c>
      <c r="EY261" s="60">
        <v>235</v>
      </c>
      <c r="EZ261" s="60">
        <v>5</v>
      </c>
      <c r="FA261" s="60">
        <v>103</v>
      </c>
      <c r="FB261" s="60">
        <v>1386</v>
      </c>
      <c r="FC261" s="60">
        <v>260</v>
      </c>
      <c r="FD261" s="60">
        <v>500</v>
      </c>
      <c r="FE261" s="60">
        <v>5</v>
      </c>
      <c r="FF261" s="60">
        <v>20</v>
      </c>
      <c r="FG261" s="60"/>
      <c r="FH261" s="60">
        <v>507</v>
      </c>
      <c r="FI261" s="60">
        <v>109</v>
      </c>
      <c r="FJ261" s="60">
        <v>609</v>
      </c>
      <c r="FK261" s="60">
        <v>77</v>
      </c>
      <c r="FL261" s="60">
        <v>46</v>
      </c>
      <c r="FM261" s="60">
        <v>464</v>
      </c>
      <c r="FN261" s="60">
        <v>25</v>
      </c>
      <c r="FO261" s="60">
        <v>7094</v>
      </c>
      <c r="FP261" s="60">
        <v>136</v>
      </c>
      <c r="FQ261" s="60">
        <v>18</v>
      </c>
      <c r="FR261" s="60">
        <v>81</v>
      </c>
      <c r="FS261" s="60">
        <v>46</v>
      </c>
      <c r="FT261" s="60">
        <v>37</v>
      </c>
      <c r="FU261" s="60">
        <v>32</v>
      </c>
      <c r="FV261" s="60">
        <v>2</v>
      </c>
      <c r="FW261" s="60"/>
      <c r="FX261" s="60">
        <v>9283</v>
      </c>
      <c r="FY261" s="60">
        <v>380</v>
      </c>
      <c r="FZ261" s="60">
        <v>8210</v>
      </c>
      <c r="GA261" s="60">
        <v>693</v>
      </c>
      <c r="GB261" s="60">
        <v>2011</v>
      </c>
    </row>
    <row r="262" spans="1:184" x14ac:dyDescent="0.3">
      <c r="A262" s="60">
        <v>106391056</v>
      </c>
      <c r="B262" s="61" t="s">
        <v>992</v>
      </c>
      <c r="C262" s="61" t="s">
        <v>993</v>
      </c>
      <c r="D262" s="61" t="s">
        <v>994</v>
      </c>
      <c r="E262" s="61" t="s">
        <v>995</v>
      </c>
      <c r="F262" s="60">
        <v>95376</v>
      </c>
      <c r="G262" s="61"/>
      <c r="H262" s="61" t="s">
        <v>1669</v>
      </c>
      <c r="I262" s="60">
        <v>17</v>
      </c>
      <c r="J262" s="60">
        <v>5</v>
      </c>
      <c r="K262" s="61" t="s">
        <v>2029</v>
      </c>
      <c r="L262" s="61"/>
      <c r="M262" s="61" t="s">
        <v>1700</v>
      </c>
      <c r="N262" s="61" t="s">
        <v>2025</v>
      </c>
      <c r="O262" s="61" t="s">
        <v>1673</v>
      </c>
      <c r="P262" s="61" t="s">
        <v>1678</v>
      </c>
      <c r="Q262" s="61" t="s">
        <v>1674</v>
      </c>
      <c r="R262" s="60">
        <v>82</v>
      </c>
      <c r="S262" s="61" t="s">
        <v>1675</v>
      </c>
      <c r="T262" s="60">
        <v>16577</v>
      </c>
      <c r="U262" s="60">
        <v>12883</v>
      </c>
      <c r="V262" s="60">
        <v>1</v>
      </c>
      <c r="W262" s="60"/>
      <c r="X262" s="60">
        <v>5140</v>
      </c>
      <c r="Y262" s="60">
        <v>3681</v>
      </c>
      <c r="Z262" s="60">
        <v>4310</v>
      </c>
      <c r="AA262" s="60">
        <v>4276</v>
      </c>
      <c r="AB262" s="60">
        <v>4092</v>
      </c>
      <c r="AC262" s="60">
        <v>2983</v>
      </c>
      <c r="AD262" s="60">
        <v>1639</v>
      </c>
      <c r="AE262" s="60">
        <v>1199</v>
      </c>
      <c r="AF262" s="60">
        <v>1046</v>
      </c>
      <c r="AG262" s="60">
        <v>1095</v>
      </c>
      <c r="AH262" s="60"/>
      <c r="AI262" s="60">
        <v>2151</v>
      </c>
      <c r="AJ262" s="60">
        <v>3241</v>
      </c>
      <c r="AK262" s="60">
        <v>10581</v>
      </c>
      <c r="AL262" s="60">
        <v>99</v>
      </c>
      <c r="AM262" s="60">
        <v>1780</v>
      </c>
      <c r="AN262" s="60">
        <v>58</v>
      </c>
      <c r="AO262" s="60">
        <v>11551</v>
      </c>
      <c r="AP262" s="60">
        <v>300</v>
      </c>
      <c r="AQ262" s="60">
        <v>80</v>
      </c>
      <c r="AR262" s="60">
        <v>42</v>
      </c>
      <c r="AS262" s="60">
        <v>44</v>
      </c>
      <c r="AT262" s="60">
        <v>46</v>
      </c>
      <c r="AU262" s="60">
        <v>17</v>
      </c>
      <c r="AV262" s="60"/>
      <c r="AW262" s="60">
        <v>118</v>
      </c>
      <c r="AX262" s="60">
        <v>16</v>
      </c>
      <c r="AY262" s="60">
        <v>134</v>
      </c>
      <c r="AZ262" s="60">
        <v>47</v>
      </c>
      <c r="BA262" s="60">
        <v>28418</v>
      </c>
      <c r="BB262" s="60">
        <v>157</v>
      </c>
      <c r="BC262" s="60">
        <v>34</v>
      </c>
      <c r="BD262" s="60">
        <v>8</v>
      </c>
      <c r="BE262" s="60">
        <v>10336</v>
      </c>
      <c r="BF262" s="60">
        <v>3622</v>
      </c>
      <c r="BG262" s="60">
        <v>931</v>
      </c>
      <c r="BH262" s="60">
        <v>9320</v>
      </c>
      <c r="BI262" s="60">
        <v>5252</v>
      </c>
      <c r="BJ262" s="60">
        <v>691</v>
      </c>
      <c r="BK262" s="60">
        <v>80</v>
      </c>
      <c r="BL262" s="60">
        <v>455</v>
      </c>
      <c r="BM262" s="60">
        <v>6</v>
      </c>
      <c r="BN262" s="60">
        <v>1469</v>
      </c>
      <c r="BO262" s="60">
        <v>392</v>
      </c>
      <c r="BP262" s="60">
        <v>1664</v>
      </c>
      <c r="BQ262" s="60">
        <v>1096</v>
      </c>
      <c r="BR262" s="60">
        <v>6174</v>
      </c>
      <c r="BS262" s="60">
        <v>1874</v>
      </c>
      <c r="BT262" s="60">
        <v>20</v>
      </c>
      <c r="BU262" s="60">
        <v>2758</v>
      </c>
      <c r="BV262" s="60">
        <v>498</v>
      </c>
      <c r="BW262" s="60">
        <v>20</v>
      </c>
      <c r="BX262" s="60">
        <v>800</v>
      </c>
      <c r="BY262" s="60">
        <v>4060</v>
      </c>
      <c r="BZ262" s="60">
        <v>1246</v>
      </c>
      <c r="CA262" s="60">
        <v>6158</v>
      </c>
      <c r="CB262" s="60"/>
      <c r="CC262" s="60"/>
      <c r="CD262" s="60">
        <v>1937</v>
      </c>
      <c r="CE262" s="60">
        <v>130</v>
      </c>
      <c r="CF262" s="60">
        <v>168</v>
      </c>
      <c r="CG262" s="60">
        <v>13</v>
      </c>
      <c r="CH262" s="60">
        <v>248</v>
      </c>
      <c r="CI262" s="60">
        <v>5</v>
      </c>
      <c r="CJ262" s="60">
        <v>152</v>
      </c>
      <c r="CK262" s="60">
        <v>300</v>
      </c>
      <c r="CL262" s="60">
        <v>22568</v>
      </c>
      <c r="CM262" s="60">
        <v>2751</v>
      </c>
      <c r="CN262" s="60">
        <v>105</v>
      </c>
      <c r="CO262" s="60">
        <v>793</v>
      </c>
      <c r="CP262" s="60">
        <v>96</v>
      </c>
      <c r="CQ262" s="60">
        <v>166</v>
      </c>
      <c r="CR262" s="60">
        <v>28</v>
      </c>
      <c r="CS262" s="60">
        <v>1</v>
      </c>
      <c r="CT262" s="60">
        <v>29461</v>
      </c>
      <c r="CU262" s="60">
        <v>1228</v>
      </c>
      <c r="CV262" s="60">
        <v>24603</v>
      </c>
      <c r="CW262" s="60">
        <v>3630</v>
      </c>
      <c r="CX262" s="60">
        <v>1222</v>
      </c>
      <c r="CY262" s="60">
        <v>1036</v>
      </c>
      <c r="CZ262" s="60"/>
      <c r="DA262" s="60"/>
      <c r="DB262" s="60">
        <v>56</v>
      </c>
      <c r="DC262" s="60">
        <v>122</v>
      </c>
      <c r="DD262" s="60">
        <v>183</v>
      </c>
      <c r="DE262" s="60">
        <v>253</v>
      </c>
      <c r="DF262" s="60">
        <v>330</v>
      </c>
      <c r="DG262" s="60">
        <v>406</v>
      </c>
      <c r="DH262" s="60">
        <v>361</v>
      </c>
      <c r="DI262" s="60">
        <v>499</v>
      </c>
      <c r="DJ262" s="60">
        <v>9</v>
      </c>
      <c r="DK262" s="60">
        <v>39</v>
      </c>
      <c r="DL262" s="60"/>
      <c r="DM262" s="60">
        <v>198</v>
      </c>
      <c r="DN262" s="60">
        <v>187</v>
      </c>
      <c r="DO262" s="60">
        <v>586</v>
      </c>
      <c r="DP262" s="60">
        <v>137</v>
      </c>
      <c r="DQ262" s="60"/>
      <c r="DR262" s="60">
        <v>1142</v>
      </c>
      <c r="DS262" s="60">
        <v>8</v>
      </c>
      <c r="DT262" s="60">
        <v>141</v>
      </c>
      <c r="DU262" s="60">
        <v>21</v>
      </c>
      <c r="DV262" s="60">
        <v>81</v>
      </c>
      <c r="DW262" s="60">
        <v>54</v>
      </c>
      <c r="DX262" s="60">
        <v>102</v>
      </c>
      <c r="DY262" s="60">
        <v>2</v>
      </c>
      <c r="DZ262" s="60">
        <v>12</v>
      </c>
      <c r="EA262" s="60">
        <v>1523</v>
      </c>
      <c r="EB262" s="60">
        <v>322</v>
      </c>
      <c r="EC262" s="60"/>
      <c r="ED262" s="60">
        <v>0</v>
      </c>
      <c r="EE262" s="60">
        <v>0</v>
      </c>
      <c r="EF262" s="60">
        <v>0</v>
      </c>
      <c r="EG262" s="60">
        <v>0</v>
      </c>
      <c r="EH262" s="60">
        <v>0</v>
      </c>
      <c r="EI262" s="60">
        <v>355</v>
      </c>
      <c r="EJ262" s="60">
        <v>1185</v>
      </c>
      <c r="EK262" s="60">
        <v>36</v>
      </c>
      <c r="EL262" s="60">
        <v>467</v>
      </c>
      <c r="EM262" s="60">
        <v>215</v>
      </c>
      <c r="EN262" s="60">
        <v>25</v>
      </c>
      <c r="EO262" s="60">
        <v>55</v>
      </c>
      <c r="EP262" s="60">
        <v>345</v>
      </c>
      <c r="EQ262" s="60"/>
      <c r="ER262" s="60">
        <v>486</v>
      </c>
      <c r="ES262" s="60">
        <v>143</v>
      </c>
      <c r="ET262" s="60">
        <v>140</v>
      </c>
      <c r="EU262" s="60">
        <v>237</v>
      </c>
      <c r="EV262" s="60">
        <v>189</v>
      </c>
      <c r="EW262" s="60">
        <v>31</v>
      </c>
      <c r="EX262" s="60">
        <v>51</v>
      </c>
      <c r="EY262" s="60">
        <v>65</v>
      </c>
      <c r="EZ262" s="60"/>
      <c r="FA262" s="60">
        <v>27</v>
      </c>
      <c r="FB262" s="60">
        <v>317</v>
      </c>
      <c r="FC262" s="60">
        <v>54</v>
      </c>
      <c r="FD262" s="60">
        <v>88</v>
      </c>
      <c r="FE262" s="60">
        <v>2</v>
      </c>
      <c r="FF262" s="60">
        <v>3</v>
      </c>
      <c r="FG262" s="60"/>
      <c r="FH262" s="60">
        <v>108</v>
      </c>
      <c r="FI262" s="60">
        <v>33</v>
      </c>
      <c r="FJ262" s="60">
        <v>132</v>
      </c>
      <c r="FK262" s="60">
        <v>6</v>
      </c>
      <c r="FL262" s="60">
        <v>2</v>
      </c>
      <c r="FM262" s="60">
        <v>105</v>
      </c>
      <c r="FN262" s="60">
        <v>6</v>
      </c>
      <c r="FO262" s="60">
        <v>1802</v>
      </c>
      <c r="FP262" s="60">
        <v>36</v>
      </c>
      <c r="FQ262" s="60">
        <v>3</v>
      </c>
      <c r="FR262" s="60">
        <v>9</v>
      </c>
      <c r="FS262" s="60">
        <v>10</v>
      </c>
      <c r="FT262" s="60">
        <v>4</v>
      </c>
      <c r="FU262" s="60">
        <v>2</v>
      </c>
      <c r="FV262" s="60"/>
      <c r="FW262" s="60"/>
      <c r="FX262" s="60">
        <v>2258</v>
      </c>
      <c r="FY262" s="60">
        <v>214</v>
      </c>
      <c r="FZ262" s="60">
        <v>1828</v>
      </c>
      <c r="GA262" s="60">
        <v>216</v>
      </c>
      <c r="GB262" s="60">
        <v>2011</v>
      </c>
    </row>
    <row r="263" spans="1:184" x14ac:dyDescent="0.3">
      <c r="A263" s="60">
        <v>106392287</v>
      </c>
      <c r="B263" s="61" t="s">
        <v>996</v>
      </c>
      <c r="C263" s="61" t="s">
        <v>997</v>
      </c>
      <c r="D263" s="61" t="s">
        <v>998</v>
      </c>
      <c r="E263" s="61" t="s">
        <v>999</v>
      </c>
      <c r="F263" s="60">
        <v>95336</v>
      </c>
      <c r="G263" s="61"/>
      <c r="H263" s="61" t="s">
        <v>1669</v>
      </c>
      <c r="I263" s="60">
        <v>26</v>
      </c>
      <c r="J263" s="60">
        <v>5</v>
      </c>
      <c r="K263" s="61" t="s">
        <v>2030</v>
      </c>
      <c r="L263" s="61"/>
      <c r="M263" s="61" t="s">
        <v>1700</v>
      </c>
      <c r="N263" s="61" t="s">
        <v>2025</v>
      </c>
      <c r="O263" s="61" t="s">
        <v>1673</v>
      </c>
      <c r="P263" s="61" t="s">
        <v>221</v>
      </c>
      <c r="Q263" s="61" t="s">
        <v>1674</v>
      </c>
      <c r="R263" s="60">
        <v>73</v>
      </c>
      <c r="S263" s="61" t="s">
        <v>1675</v>
      </c>
      <c r="T263" s="60">
        <v>13697</v>
      </c>
      <c r="U263" s="60">
        <v>10378</v>
      </c>
      <c r="V263" s="60"/>
      <c r="W263" s="60"/>
      <c r="X263" s="60">
        <v>4191</v>
      </c>
      <c r="Y263" s="60">
        <v>2886</v>
      </c>
      <c r="Z263" s="60">
        <v>4056</v>
      </c>
      <c r="AA263" s="60">
        <v>3355</v>
      </c>
      <c r="AB263" s="60">
        <v>2874</v>
      </c>
      <c r="AC263" s="60">
        <v>2242</v>
      </c>
      <c r="AD263" s="60">
        <v>1369</v>
      </c>
      <c r="AE263" s="60">
        <v>1106</v>
      </c>
      <c r="AF263" s="60">
        <v>1061</v>
      </c>
      <c r="AG263" s="60">
        <v>935</v>
      </c>
      <c r="AH263" s="60"/>
      <c r="AI263" s="60">
        <v>370</v>
      </c>
      <c r="AJ263" s="60">
        <v>1134</v>
      </c>
      <c r="AK263" s="60">
        <v>7396</v>
      </c>
      <c r="AL263" s="60">
        <v>24</v>
      </c>
      <c r="AM263" s="60">
        <v>1237</v>
      </c>
      <c r="AN263" s="60">
        <v>230</v>
      </c>
      <c r="AO263" s="60">
        <v>13684</v>
      </c>
      <c r="AP263" s="60">
        <v>293</v>
      </c>
      <c r="AQ263" s="60">
        <v>332</v>
      </c>
      <c r="AR263" s="60"/>
      <c r="AS263" s="60">
        <v>40</v>
      </c>
      <c r="AT263" s="60">
        <v>9</v>
      </c>
      <c r="AU263" s="60">
        <v>3</v>
      </c>
      <c r="AV263" s="60"/>
      <c r="AW263" s="60"/>
      <c r="AX263" s="60"/>
      <c r="AY263" s="60">
        <v>47</v>
      </c>
      <c r="AZ263" s="60">
        <v>5</v>
      </c>
      <c r="BA263" s="60">
        <v>23275</v>
      </c>
      <c r="BB263" s="60">
        <v>71</v>
      </c>
      <c r="BC263" s="60"/>
      <c r="BD263" s="60"/>
      <c r="BE263" s="60">
        <v>2120</v>
      </c>
      <c r="BF263" s="60">
        <v>3604</v>
      </c>
      <c r="BG263" s="60">
        <v>1558</v>
      </c>
      <c r="BH263" s="60">
        <v>13538</v>
      </c>
      <c r="BI263" s="60">
        <v>3255</v>
      </c>
      <c r="BJ263" s="60">
        <v>514</v>
      </c>
      <c r="BK263" s="60">
        <v>76</v>
      </c>
      <c r="BL263" s="60">
        <v>461</v>
      </c>
      <c r="BM263" s="60">
        <v>5</v>
      </c>
      <c r="BN263" s="60">
        <v>1350</v>
      </c>
      <c r="BO263" s="60">
        <v>367</v>
      </c>
      <c r="BP263" s="60">
        <v>1330</v>
      </c>
      <c r="BQ263" s="60">
        <v>632</v>
      </c>
      <c r="BR263" s="60">
        <v>6051</v>
      </c>
      <c r="BS263" s="60">
        <v>1390</v>
      </c>
      <c r="BT263" s="60">
        <v>15</v>
      </c>
      <c r="BU263" s="60">
        <v>2036</v>
      </c>
      <c r="BV263" s="60">
        <v>597</v>
      </c>
      <c r="BW263" s="60">
        <v>33</v>
      </c>
      <c r="BX263" s="60">
        <v>696</v>
      </c>
      <c r="BY263" s="60">
        <v>3163</v>
      </c>
      <c r="BZ263" s="60">
        <v>1110</v>
      </c>
      <c r="CA263" s="60">
        <v>4249</v>
      </c>
      <c r="CB263" s="60"/>
      <c r="CC263" s="60"/>
      <c r="CD263" s="60">
        <v>1595</v>
      </c>
      <c r="CE263" s="60">
        <v>126</v>
      </c>
      <c r="CF263" s="60">
        <v>137</v>
      </c>
      <c r="CG263" s="60">
        <v>16</v>
      </c>
      <c r="CH263" s="60">
        <v>222</v>
      </c>
      <c r="CI263" s="60">
        <v>12</v>
      </c>
      <c r="CJ263" s="60">
        <v>89</v>
      </c>
      <c r="CK263" s="60">
        <v>319</v>
      </c>
      <c r="CL263" s="60">
        <v>18032</v>
      </c>
      <c r="CM263" s="60">
        <v>2539</v>
      </c>
      <c r="CN263" s="60">
        <v>123</v>
      </c>
      <c r="CO263" s="60">
        <v>679</v>
      </c>
      <c r="CP263" s="60">
        <v>51</v>
      </c>
      <c r="CQ263" s="60">
        <v>121</v>
      </c>
      <c r="CR263" s="60">
        <v>14</v>
      </c>
      <c r="CS263" s="60"/>
      <c r="CT263" s="60">
        <v>24075</v>
      </c>
      <c r="CU263" s="60">
        <v>208</v>
      </c>
      <c r="CV263" s="60">
        <v>22857</v>
      </c>
      <c r="CW263" s="60">
        <v>1010</v>
      </c>
      <c r="CX263" s="60">
        <v>1317</v>
      </c>
      <c r="CY263" s="60">
        <v>975</v>
      </c>
      <c r="CZ263" s="60"/>
      <c r="DA263" s="60"/>
      <c r="DB263" s="60">
        <v>39</v>
      </c>
      <c r="DC263" s="60">
        <v>89</v>
      </c>
      <c r="DD263" s="60">
        <v>95</v>
      </c>
      <c r="DE263" s="60">
        <v>157</v>
      </c>
      <c r="DF263" s="60">
        <v>292</v>
      </c>
      <c r="DG263" s="60">
        <v>424</v>
      </c>
      <c r="DH263" s="60">
        <v>478</v>
      </c>
      <c r="DI263" s="60">
        <v>698</v>
      </c>
      <c r="DJ263" s="60">
        <v>2</v>
      </c>
      <c r="DK263" s="60">
        <v>18</v>
      </c>
      <c r="DL263" s="60"/>
      <c r="DM263" s="60">
        <v>55</v>
      </c>
      <c r="DN263" s="60">
        <v>77</v>
      </c>
      <c r="DO263" s="60">
        <v>349</v>
      </c>
      <c r="DP263" s="60">
        <v>66</v>
      </c>
      <c r="DQ263" s="60">
        <v>12</v>
      </c>
      <c r="DR263" s="60">
        <v>1728</v>
      </c>
      <c r="DS263" s="60">
        <v>5</v>
      </c>
      <c r="DT263" s="60">
        <v>90</v>
      </c>
      <c r="DU263" s="60">
        <v>29</v>
      </c>
      <c r="DV263" s="60">
        <v>81</v>
      </c>
      <c r="DW263" s="60">
        <v>206</v>
      </c>
      <c r="DX263" s="60">
        <v>11</v>
      </c>
      <c r="DY263" s="60">
        <v>6</v>
      </c>
      <c r="DZ263" s="60">
        <v>23</v>
      </c>
      <c r="EA263" s="60">
        <v>1408</v>
      </c>
      <c r="EB263" s="60">
        <v>438</v>
      </c>
      <c r="EC263" s="60"/>
      <c r="ED263" s="60">
        <v>0</v>
      </c>
      <c r="EE263" s="60">
        <v>0</v>
      </c>
      <c r="EF263" s="60">
        <v>0</v>
      </c>
      <c r="EG263" s="60">
        <v>0</v>
      </c>
      <c r="EH263" s="60">
        <v>0</v>
      </c>
      <c r="EI263" s="60">
        <v>75</v>
      </c>
      <c r="EJ263" s="60">
        <v>1533</v>
      </c>
      <c r="EK263" s="60">
        <v>41</v>
      </c>
      <c r="EL263" s="60">
        <v>533</v>
      </c>
      <c r="EM263" s="60">
        <v>110</v>
      </c>
      <c r="EN263" s="60">
        <v>23</v>
      </c>
      <c r="EO263" s="60">
        <v>54</v>
      </c>
      <c r="EP263" s="60">
        <v>435</v>
      </c>
      <c r="EQ263" s="60">
        <v>3</v>
      </c>
      <c r="ER263" s="60">
        <v>402</v>
      </c>
      <c r="ES263" s="60">
        <v>141</v>
      </c>
      <c r="ET263" s="60">
        <v>166</v>
      </c>
      <c r="EU263" s="60">
        <v>154</v>
      </c>
      <c r="EV263" s="60">
        <v>219</v>
      </c>
      <c r="EW263" s="60">
        <v>50</v>
      </c>
      <c r="EX263" s="60">
        <v>64</v>
      </c>
      <c r="EY263" s="60">
        <v>47</v>
      </c>
      <c r="EZ263" s="60">
        <v>3</v>
      </c>
      <c r="FA263" s="60">
        <v>21</v>
      </c>
      <c r="FB263" s="60">
        <v>342</v>
      </c>
      <c r="FC263" s="60">
        <v>47</v>
      </c>
      <c r="FD263" s="60">
        <v>120</v>
      </c>
      <c r="FE263" s="60"/>
      <c r="FF263" s="60">
        <v>1</v>
      </c>
      <c r="FG263" s="60"/>
      <c r="FH263" s="60">
        <v>166</v>
      </c>
      <c r="FI263" s="60">
        <v>31</v>
      </c>
      <c r="FJ263" s="60">
        <v>187</v>
      </c>
      <c r="FK263" s="60">
        <v>5</v>
      </c>
      <c r="FL263" s="60">
        <v>8</v>
      </c>
      <c r="FM263" s="60">
        <v>93</v>
      </c>
      <c r="FN263" s="60">
        <v>6</v>
      </c>
      <c r="FO263" s="60">
        <v>1679</v>
      </c>
      <c r="FP263" s="60">
        <v>40</v>
      </c>
      <c r="FQ263" s="60">
        <v>3</v>
      </c>
      <c r="FR263" s="60">
        <v>13</v>
      </c>
      <c r="FS263" s="60">
        <v>18</v>
      </c>
      <c r="FT263" s="60">
        <v>42</v>
      </c>
      <c r="FU263" s="60"/>
      <c r="FV263" s="60">
        <v>1</v>
      </c>
      <c r="FW263" s="60"/>
      <c r="FX263" s="60">
        <v>2292</v>
      </c>
      <c r="FY263" s="60">
        <v>17</v>
      </c>
      <c r="FZ263" s="60">
        <v>2217</v>
      </c>
      <c r="GA263" s="60">
        <v>58</v>
      </c>
      <c r="GB263" s="60">
        <v>2011</v>
      </c>
    </row>
    <row r="264" spans="1:184" x14ac:dyDescent="0.3">
      <c r="A264" s="60">
        <v>106394009</v>
      </c>
      <c r="B264" s="61" t="s">
        <v>1000</v>
      </c>
      <c r="C264" s="61" t="s">
        <v>2031</v>
      </c>
      <c r="D264" s="61" t="s">
        <v>1001</v>
      </c>
      <c r="E264" s="61" t="s">
        <v>999</v>
      </c>
      <c r="F264" s="60">
        <v>95336</v>
      </c>
      <c r="G264" s="61"/>
      <c r="H264" s="61" t="s">
        <v>1669</v>
      </c>
      <c r="I264" s="60">
        <v>26</v>
      </c>
      <c r="J264" s="60">
        <v>5</v>
      </c>
      <c r="K264" s="61" t="s">
        <v>2030</v>
      </c>
      <c r="L264" s="61"/>
      <c r="M264" s="61" t="s">
        <v>1700</v>
      </c>
      <c r="N264" s="61" t="s">
        <v>2025</v>
      </c>
      <c r="O264" s="61" t="s">
        <v>1673</v>
      </c>
      <c r="P264" s="61" t="s">
        <v>1678</v>
      </c>
      <c r="Q264" s="61" t="s">
        <v>1674</v>
      </c>
      <c r="R264" s="60">
        <v>61</v>
      </c>
      <c r="S264" s="61" t="s">
        <v>1675</v>
      </c>
      <c r="T264" s="60">
        <v>27112</v>
      </c>
      <c r="U264" s="60">
        <v>21889</v>
      </c>
      <c r="V264" s="60"/>
      <c r="W264" s="60"/>
      <c r="X264" s="60">
        <v>6000</v>
      </c>
      <c r="Y264" s="60">
        <v>6203</v>
      </c>
      <c r="Z264" s="60">
        <v>6120</v>
      </c>
      <c r="AA264" s="60">
        <v>5844</v>
      </c>
      <c r="AB264" s="60">
        <v>6881</v>
      </c>
      <c r="AC264" s="60">
        <v>6379</v>
      </c>
      <c r="AD264" s="60">
        <v>4396</v>
      </c>
      <c r="AE264" s="60">
        <v>3410</v>
      </c>
      <c r="AF264" s="60">
        <v>2792</v>
      </c>
      <c r="AG264" s="60">
        <v>976</v>
      </c>
      <c r="AH264" s="60"/>
      <c r="AI264" s="60">
        <v>3099</v>
      </c>
      <c r="AJ264" s="60">
        <v>3750</v>
      </c>
      <c r="AK264" s="60">
        <v>15197</v>
      </c>
      <c r="AL264" s="60">
        <v>257</v>
      </c>
      <c r="AM264" s="60">
        <v>1231</v>
      </c>
      <c r="AN264" s="60">
        <v>432</v>
      </c>
      <c r="AO264" s="60">
        <v>25035</v>
      </c>
      <c r="AP264" s="60">
        <v>695</v>
      </c>
      <c r="AQ264" s="60">
        <v>366</v>
      </c>
      <c r="AR264" s="60">
        <v>1</v>
      </c>
      <c r="AS264" s="60">
        <v>60</v>
      </c>
      <c r="AT264" s="60">
        <v>9</v>
      </c>
      <c r="AU264" s="60">
        <v>60</v>
      </c>
      <c r="AV264" s="60">
        <v>47</v>
      </c>
      <c r="AW264" s="60">
        <v>22</v>
      </c>
      <c r="AX264" s="60">
        <v>6</v>
      </c>
      <c r="AY264" s="60">
        <v>261</v>
      </c>
      <c r="AZ264" s="60">
        <v>8</v>
      </c>
      <c r="BA264" s="60">
        <v>46762</v>
      </c>
      <c r="BB264" s="60">
        <v>230</v>
      </c>
      <c r="BC264" s="60">
        <v>462</v>
      </c>
      <c r="BD264" s="60">
        <v>12</v>
      </c>
      <c r="BE264" s="60">
        <v>2070</v>
      </c>
      <c r="BF264" s="60">
        <v>8963</v>
      </c>
      <c r="BG264" s="60">
        <v>260</v>
      </c>
      <c r="BH264" s="60">
        <v>34001</v>
      </c>
      <c r="BI264" s="60">
        <v>3707</v>
      </c>
      <c r="BJ264" s="60">
        <v>832</v>
      </c>
      <c r="BK264" s="60">
        <v>328</v>
      </c>
      <c r="BL264" s="60">
        <v>1700</v>
      </c>
      <c r="BM264" s="60">
        <v>12</v>
      </c>
      <c r="BN264" s="60">
        <v>3080</v>
      </c>
      <c r="BO264" s="60">
        <v>943</v>
      </c>
      <c r="BP264" s="60">
        <v>2713</v>
      </c>
      <c r="BQ264" s="60">
        <v>1220</v>
      </c>
      <c r="BR264" s="60">
        <v>11190</v>
      </c>
      <c r="BS264" s="60">
        <v>3221</v>
      </c>
      <c r="BT264" s="60">
        <v>97</v>
      </c>
      <c r="BU264" s="60">
        <v>3100</v>
      </c>
      <c r="BV264" s="60">
        <v>1057</v>
      </c>
      <c r="BW264" s="60">
        <v>64</v>
      </c>
      <c r="BX264" s="60">
        <v>1340</v>
      </c>
      <c r="BY264" s="60">
        <v>4377</v>
      </c>
      <c r="BZ264" s="60">
        <v>1640</v>
      </c>
      <c r="CA264" s="60">
        <v>12086</v>
      </c>
      <c r="CB264" s="60">
        <v>1</v>
      </c>
      <c r="CC264" s="60"/>
      <c r="CD264" s="60">
        <v>2971</v>
      </c>
      <c r="CE264" s="60">
        <v>149</v>
      </c>
      <c r="CF264" s="60">
        <v>448</v>
      </c>
      <c r="CG264" s="60">
        <v>34</v>
      </c>
      <c r="CH264" s="60">
        <v>226</v>
      </c>
      <c r="CI264" s="60">
        <v>6</v>
      </c>
      <c r="CJ264" s="60">
        <v>209</v>
      </c>
      <c r="CK264" s="60">
        <v>515</v>
      </c>
      <c r="CL264" s="60">
        <v>37557</v>
      </c>
      <c r="CM264" s="60">
        <v>5460</v>
      </c>
      <c r="CN264" s="60">
        <v>120</v>
      </c>
      <c r="CO264" s="60">
        <v>883</v>
      </c>
      <c r="CP264" s="60">
        <v>93</v>
      </c>
      <c r="CQ264" s="60">
        <v>287</v>
      </c>
      <c r="CR264" s="60">
        <v>43</v>
      </c>
      <c r="CS264" s="60"/>
      <c r="CT264" s="60">
        <v>49001</v>
      </c>
      <c r="CU264" s="60">
        <v>418</v>
      </c>
      <c r="CV264" s="60">
        <v>45144</v>
      </c>
      <c r="CW264" s="60">
        <v>3439</v>
      </c>
      <c r="CX264" s="60">
        <v>2359</v>
      </c>
      <c r="CY264" s="60">
        <v>2056</v>
      </c>
      <c r="CZ264" s="60"/>
      <c r="DA264" s="60"/>
      <c r="DB264" s="60">
        <v>155</v>
      </c>
      <c r="DC264" s="60">
        <v>214</v>
      </c>
      <c r="DD264" s="60">
        <v>308</v>
      </c>
      <c r="DE264" s="60">
        <v>424</v>
      </c>
      <c r="DF264" s="60">
        <v>729</v>
      </c>
      <c r="DG264" s="60">
        <v>737</v>
      </c>
      <c r="DH264" s="60">
        <v>859</v>
      </c>
      <c r="DI264" s="60">
        <v>791</v>
      </c>
      <c r="DJ264" s="60">
        <v>64</v>
      </c>
      <c r="DK264" s="60">
        <v>134</v>
      </c>
      <c r="DL264" s="60"/>
      <c r="DM264" s="60">
        <v>258</v>
      </c>
      <c r="DN264" s="60">
        <v>337</v>
      </c>
      <c r="DO264" s="60">
        <v>995</v>
      </c>
      <c r="DP264" s="60">
        <v>68</v>
      </c>
      <c r="DQ264" s="60">
        <v>6</v>
      </c>
      <c r="DR264" s="60">
        <v>2721</v>
      </c>
      <c r="DS264" s="60">
        <v>30</v>
      </c>
      <c r="DT264" s="60">
        <v>285</v>
      </c>
      <c r="DU264" s="60">
        <v>23</v>
      </c>
      <c r="DV264" s="60">
        <v>132</v>
      </c>
      <c r="DW264" s="60">
        <v>142</v>
      </c>
      <c r="DX264" s="60">
        <v>33</v>
      </c>
      <c r="DY264" s="60">
        <v>13</v>
      </c>
      <c r="DZ264" s="60">
        <v>30</v>
      </c>
      <c r="EA264" s="60">
        <v>3149</v>
      </c>
      <c r="EB264" s="60">
        <v>608</v>
      </c>
      <c r="EC264" s="60"/>
      <c r="ED264" s="60">
        <v>0</v>
      </c>
      <c r="EE264" s="60">
        <v>0</v>
      </c>
      <c r="EF264" s="60">
        <v>0</v>
      </c>
      <c r="EG264" s="60">
        <v>0</v>
      </c>
      <c r="EH264" s="60">
        <v>0</v>
      </c>
      <c r="EI264" s="60">
        <v>42</v>
      </c>
      <c r="EJ264" s="60">
        <v>2198</v>
      </c>
      <c r="EK264" s="60">
        <v>12</v>
      </c>
      <c r="EL264" s="60">
        <v>2099</v>
      </c>
      <c r="EM264" s="60">
        <v>64</v>
      </c>
      <c r="EN264" s="60">
        <v>38</v>
      </c>
      <c r="EO264" s="60">
        <v>80</v>
      </c>
      <c r="EP264" s="60">
        <v>778</v>
      </c>
      <c r="EQ264" s="60">
        <v>2</v>
      </c>
      <c r="ER264" s="60">
        <v>934</v>
      </c>
      <c r="ES264" s="60">
        <v>229</v>
      </c>
      <c r="ET264" s="60">
        <v>220</v>
      </c>
      <c r="EU264" s="60">
        <v>789</v>
      </c>
      <c r="EV264" s="60">
        <v>419</v>
      </c>
      <c r="EW264" s="60">
        <v>48</v>
      </c>
      <c r="EX264" s="60">
        <v>70</v>
      </c>
      <c r="EY264" s="60">
        <v>82</v>
      </c>
      <c r="EZ264" s="60">
        <v>13</v>
      </c>
      <c r="FA264" s="60">
        <v>34</v>
      </c>
      <c r="FB264" s="60">
        <v>424</v>
      </c>
      <c r="FC264" s="60">
        <v>79</v>
      </c>
      <c r="FD264" s="60">
        <v>160</v>
      </c>
      <c r="FE264" s="60">
        <v>2</v>
      </c>
      <c r="FF264" s="60">
        <v>14</v>
      </c>
      <c r="FG264" s="60"/>
      <c r="FH264" s="60">
        <v>197</v>
      </c>
      <c r="FI264" s="60">
        <v>17</v>
      </c>
      <c r="FJ264" s="60">
        <v>294</v>
      </c>
      <c r="FK264" s="60">
        <v>4</v>
      </c>
      <c r="FL264" s="60">
        <v>2</v>
      </c>
      <c r="FM264" s="60">
        <v>358</v>
      </c>
      <c r="FN264" s="60">
        <v>5</v>
      </c>
      <c r="FO264" s="60">
        <v>3424</v>
      </c>
      <c r="FP264" s="60">
        <v>56</v>
      </c>
      <c r="FQ264" s="60">
        <v>5</v>
      </c>
      <c r="FR264" s="60">
        <v>10</v>
      </c>
      <c r="FS264" s="60">
        <v>21</v>
      </c>
      <c r="FT264" s="60">
        <v>12</v>
      </c>
      <c r="FU264" s="60">
        <v>9</v>
      </c>
      <c r="FV264" s="60">
        <v>1</v>
      </c>
      <c r="FW264" s="60"/>
      <c r="FX264" s="60">
        <v>4415</v>
      </c>
      <c r="FY264" s="60">
        <v>65</v>
      </c>
      <c r="FZ264" s="60">
        <v>4118</v>
      </c>
      <c r="GA264" s="60">
        <v>232</v>
      </c>
      <c r="GB264" s="60">
        <v>2011</v>
      </c>
    </row>
    <row r="265" spans="1:184" x14ac:dyDescent="0.3">
      <c r="A265" s="60">
        <v>106400466</v>
      </c>
      <c r="B265" s="61" t="s">
        <v>1002</v>
      </c>
      <c r="C265" s="61" t="s">
        <v>2032</v>
      </c>
      <c r="D265" s="61" t="s">
        <v>1004</v>
      </c>
      <c r="E265" s="61" t="s">
        <v>1005</v>
      </c>
      <c r="F265" s="60">
        <v>93420</v>
      </c>
      <c r="G265" s="61"/>
      <c r="H265" s="61" t="s">
        <v>1669</v>
      </c>
      <c r="I265" s="60">
        <v>33</v>
      </c>
      <c r="J265" s="60">
        <v>15</v>
      </c>
      <c r="K265" s="61" t="s">
        <v>2033</v>
      </c>
      <c r="L265" s="61"/>
      <c r="M265" s="61" t="s">
        <v>1885</v>
      </c>
      <c r="N265" s="61" t="s">
        <v>2034</v>
      </c>
      <c r="O265" s="61" t="s">
        <v>1673</v>
      </c>
      <c r="P265" s="61" t="s">
        <v>1678</v>
      </c>
      <c r="Q265" s="61" t="s">
        <v>1674</v>
      </c>
      <c r="R265" s="60">
        <v>67</v>
      </c>
      <c r="S265" s="61" t="s">
        <v>1675</v>
      </c>
      <c r="T265" s="60">
        <v>7542</v>
      </c>
      <c r="U265" s="60">
        <v>6725</v>
      </c>
      <c r="V265" s="60"/>
      <c r="W265" s="60"/>
      <c r="X265" s="60">
        <v>2087</v>
      </c>
      <c r="Y265" s="60">
        <v>2234</v>
      </c>
      <c r="Z265" s="60">
        <v>2601</v>
      </c>
      <c r="AA265" s="60">
        <v>2117</v>
      </c>
      <c r="AB265" s="60">
        <v>1924</v>
      </c>
      <c r="AC265" s="60">
        <v>1849</v>
      </c>
      <c r="AD265" s="60">
        <v>846</v>
      </c>
      <c r="AE265" s="60">
        <v>163</v>
      </c>
      <c r="AF265" s="60">
        <v>138</v>
      </c>
      <c r="AG265" s="60">
        <v>308</v>
      </c>
      <c r="AH265" s="60"/>
      <c r="AI265" s="60">
        <v>130</v>
      </c>
      <c r="AJ265" s="60">
        <v>184</v>
      </c>
      <c r="AK265" s="60">
        <v>3140</v>
      </c>
      <c r="AL265" s="60">
        <v>36</v>
      </c>
      <c r="AM265" s="60">
        <v>470</v>
      </c>
      <c r="AN265" s="60">
        <v>83</v>
      </c>
      <c r="AO265" s="60">
        <v>10224</v>
      </c>
      <c r="AP265" s="60">
        <v>237</v>
      </c>
      <c r="AQ265" s="60">
        <v>71</v>
      </c>
      <c r="AR265" s="60"/>
      <c r="AS265" s="60">
        <v>18</v>
      </c>
      <c r="AT265" s="60">
        <v>8</v>
      </c>
      <c r="AU265" s="60">
        <v>2</v>
      </c>
      <c r="AV265" s="60">
        <v>3</v>
      </c>
      <c r="AW265" s="60">
        <v>4</v>
      </c>
      <c r="AX265" s="60"/>
      <c r="AY265" s="60">
        <v>39</v>
      </c>
      <c r="AZ265" s="60">
        <v>1</v>
      </c>
      <c r="BA265" s="60">
        <v>13874</v>
      </c>
      <c r="BB265" s="60">
        <v>6</v>
      </c>
      <c r="BC265" s="60">
        <v>3</v>
      </c>
      <c r="BD265" s="60">
        <v>1</v>
      </c>
      <c r="BE265" s="60">
        <v>4519</v>
      </c>
      <c r="BF265" s="60">
        <v>173</v>
      </c>
      <c r="BG265" s="60">
        <v>867</v>
      </c>
      <c r="BH265" s="60">
        <v>6026</v>
      </c>
      <c r="BI265" s="60">
        <v>2682</v>
      </c>
      <c r="BJ265" s="60">
        <v>301</v>
      </c>
      <c r="BK265" s="60">
        <v>33</v>
      </c>
      <c r="BL265" s="60">
        <v>228</v>
      </c>
      <c r="BM265" s="60">
        <v>1</v>
      </c>
      <c r="BN265" s="60">
        <v>599</v>
      </c>
      <c r="BO265" s="60">
        <v>140</v>
      </c>
      <c r="BP265" s="60">
        <v>697</v>
      </c>
      <c r="BQ265" s="60">
        <v>265</v>
      </c>
      <c r="BR265" s="60">
        <v>3990</v>
      </c>
      <c r="BS265" s="60">
        <v>1000</v>
      </c>
      <c r="BT265" s="60">
        <v>4</v>
      </c>
      <c r="BU265" s="60">
        <v>672</v>
      </c>
      <c r="BV265" s="60">
        <v>407</v>
      </c>
      <c r="BW265" s="60">
        <v>9</v>
      </c>
      <c r="BX265" s="60">
        <v>373</v>
      </c>
      <c r="BY265" s="60">
        <v>1252</v>
      </c>
      <c r="BZ265" s="60">
        <v>762</v>
      </c>
      <c r="CA265" s="60">
        <v>3532</v>
      </c>
      <c r="CB265" s="60"/>
      <c r="CC265" s="60">
        <v>2</v>
      </c>
      <c r="CD265" s="60">
        <v>983</v>
      </c>
      <c r="CE265" s="60">
        <v>105</v>
      </c>
      <c r="CF265" s="60">
        <v>132</v>
      </c>
      <c r="CG265" s="60">
        <v>20</v>
      </c>
      <c r="CH265" s="60">
        <v>125</v>
      </c>
      <c r="CI265" s="60">
        <v>3</v>
      </c>
      <c r="CJ265" s="60">
        <v>74</v>
      </c>
      <c r="CK265" s="60">
        <v>158</v>
      </c>
      <c r="CL265" s="60">
        <v>9895</v>
      </c>
      <c r="CM265" s="60">
        <v>1889</v>
      </c>
      <c r="CN265" s="60">
        <v>117</v>
      </c>
      <c r="CO265" s="60">
        <v>603</v>
      </c>
      <c r="CP265" s="60">
        <v>49</v>
      </c>
      <c r="CQ265" s="60">
        <v>101</v>
      </c>
      <c r="CR265" s="60">
        <v>13</v>
      </c>
      <c r="CS265" s="60"/>
      <c r="CT265" s="60">
        <v>14267</v>
      </c>
      <c r="CU265" s="60">
        <v>35</v>
      </c>
      <c r="CV265" s="60">
        <v>13466</v>
      </c>
      <c r="CW265" s="60">
        <v>766</v>
      </c>
      <c r="CX265" s="60">
        <v>1151</v>
      </c>
      <c r="CY265" s="60">
        <v>948</v>
      </c>
      <c r="CZ265" s="60"/>
      <c r="DA265" s="60"/>
      <c r="DB265" s="60">
        <v>32</v>
      </c>
      <c r="DC265" s="60">
        <v>100</v>
      </c>
      <c r="DD265" s="60">
        <v>103</v>
      </c>
      <c r="DE265" s="60">
        <v>169</v>
      </c>
      <c r="DF265" s="60">
        <v>287</v>
      </c>
      <c r="DG265" s="60">
        <v>356</v>
      </c>
      <c r="DH265" s="60">
        <v>405</v>
      </c>
      <c r="DI265" s="60">
        <v>641</v>
      </c>
      <c r="DJ265" s="60"/>
      <c r="DK265" s="60">
        <v>6</v>
      </c>
      <c r="DL265" s="60"/>
      <c r="DM265" s="60">
        <v>37</v>
      </c>
      <c r="DN265" s="60">
        <v>22</v>
      </c>
      <c r="DO265" s="60">
        <v>221</v>
      </c>
      <c r="DP265" s="60">
        <v>34</v>
      </c>
      <c r="DQ265" s="60">
        <v>6</v>
      </c>
      <c r="DR265" s="60">
        <v>1776</v>
      </c>
      <c r="DS265" s="60">
        <v>3</v>
      </c>
      <c r="DT265" s="60">
        <v>80</v>
      </c>
      <c r="DU265" s="60">
        <v>16</v>
      </c>
      <c r="DV265" s="60">
        <v>89</v>
      </c>
      <c r="DW265" s="60">
        <v>229</v>
      </c>
      <c r="DX265" s="60">
        <v>57</v>
      </c>
      <c r="DY265" s="60">
        <v>9</v>
      </c>
      <c r="DZ265" s="60">
        <v>17</v>
      </c>
      <c r="EA265" s="60">
        <v>1337</v>
      </c>
      <c r="EB265" s="60">
        <v>263</v>
      </c>
      <c r="EC265" s="60">
        <v>2</v>
      </c>
      <c r="ED265" s="60">
        <v>0</v>
      </c>
      <c r="EE265" s="60">
        <v>0</v>
      </c>
      <c r="EF265" s="60">
        <v>0</v>
      </c>
      <c r="EG265" s="60">
        <v>0</v>
      </c>
      <c r="EH265" s="60">
        <v>0</v>
      </c>
      <c r="EI265" s="60">
        <v>214</v>
      </c>
      <c r="EJ265" s="60">
        <v>1335</v>
      </c>
      <c r="EK265" s="60">
        <v>46</v>
      </c>
      <c r="EL265" s="60">
        <v>359</v>
      </c>
      <c r="EM265" s="60">
        <v>145</v>
      </c>
      <c r="EN265" s="60">
        <v>1</v>
      </c>
      <c r="EO265" s="60">
        <v>39</v>
      </c>
      <c r="EP265" s="60">
        <v>369</v>
      </c>
      <c r="EQ265" s="60"/>
      <c r="ER265" s="60">
        <v>432</v>
      </c>
      <c r="ES265" s="60">
        <v>113</v>
      </c>
      <c r="ET265" s="60">
        <v>110</v>
      </c>
      <c r="EU265" s="60">
        <v>298</v>
      </c>
      <c r="EV265" s="60">
        <v>255</v>
      </c>
      <c r="EW265" s="60">
        <v>25</v>
      </c>
      <c r="EX265" s="60">
        <v>39</v>
      </c>
      <c r="EY265" s="60">
        <v>41</v>
      </c>
      <c r="EZ265" s="60">
        <v>4</v>
      </c>
      <c r="FA265" s="60">
        <v>19</v>
      </c>
      <c r="FB265" s="60">
        <v>248</v>
      </c>
      <c r="FC265" s="60">
        <v>41</v>
      </c>
      <c r="FD265" s="60">
        <v>65</v>
      </c>
      <c r="FE265" s="60"/>
      <c r="FF265" s="60"/>
      <c r="FG265" s="60"/>
      <c r="FH265" s="60">
        <v>196</v>
      </c>
      <c r="FI265" s="60">
        <v>27</v>
      </c>
      <c r="FJ265" s="60">
        <v>131</v>
      </c>
      <c r="FK265" s="60">
        <v>5</v>
      </c>
      <c r="FL265" s="60">
        <v>5</v>
      </c>
      <c r="FM265" s="60">
        <v>51</v>
      </c>
      <c r="FN265" s="60">
        <v>7</v>
      </c>
      <c r="FO265" s="60">
        <v>1587</v>
      </c>
      <c r="FP265" s="60">
        <v>23</v>
      </c>
      <c r="FQ265" s="60">
        <v>4</v>
      </c>
      <c r="FR265" s="60">
        <v>31</v>
      </c>
      <c r="FS265" s="60">
        <v>26</v>
      </c>
      <c r="FT265" s="60">
        <v>5</v>
      </c>
      <c r="FU265" s="60">
        <v>1</v>
      </c>
      <c r="FV265" s="60"/>
      <c r="FW265" s="60"/>
      <c r="FX265" s="60">
        <v>2099</v>
      </c>
      <c r="FY265" s="60">
        <v>9</v>
      </c>
      <c r="FZ265" s="60">
        <v>2022</v>
      </c>
      <c r="GA265" s="60">
        <v>68</v>
      </c>
      <c r="GB265" s="60">
        <v>2011</v>
      </c>
    </row>
    <row r="266" spans="1:184" x14ac:dyDescent="0.3">
      <c r="A266" s="60">
        <v>106400480</v>
      </c>
      <c r="B266" s="61" t="s">
        <v>1006</v>
      </c>
      <c r="C266" s="61" t="s">
        <v>1007</v>
      </c>
      <c r="D266" s="61" t="s">
        <v>1008</v>
      </c>
      <c r="E266" s="61" t="s">
        <v>1003</v>
      </c>
      <c r="F266" s="60">
        <v>93401</v>
      </c>
      <c r="G266" s="61"/>
      <c r="H266" s="61" t="s">
        <v>1669</v>
      </c>
      <c r="I266" s="60">
        <v>33</v>
      </c>
      <c r="J266" s="60">
        <v>15</v>
      </c>
      <c r="K266" s="61" t="s">
        <v>2035</v>
      </c>
      <c r="L266" s="61"/>
      <c r="M266" s="61" t="s">
        <v>1885</v>
      </c>
      <c r="N266" s="61" t="s">
        <v>2034</v>
      </c>
      <c r="O266" s="61" t="s">
        <v>1673</v>
      </c>
      <c r="P266" s="61" t="s">
        <v>1678</v>
      </c>
      <c r="Q266" s="61" t="s">
        <v>1674</v>
      </c>
      <c r="R266" s="60">
        <v>112</v>
      </c>
      <c r="S266" s="61" t="s">
        <v>1675</v>
      </c>
      <c r="T266" s="60">
        <v>4941</v>
      </c>
      <c r="U266" s="60">
        <v>4714</v>
      </c>
      <c r="V266" s="60"/>
      <c r="W266" s="60"/>
      <c r="X266" s="60">
        <v>865</v>
      </c>
      <c r="Y266" s="60">
        <v>1029</v>
      </c>
      <c r="Z266" s="60">
        <v>2259</v>
      </c>
      <c r="AA266" s="60">
        <v>1361</v>
      </c>
      <c r="AB266" s="60">
        <v>1363</v>
      </c>
      <c r="AC266" s="60">
        <v>1575</v>
      </c>
      <c r="AD266" s="60">
        <v>821</v>
      </c>
      <c r="AE266" s="60">
        <v>123</v>
      </c>
      <c r="AF266" s="60">
        <v>96</v>
      </c>
      <c r="AG266" s="60">
        <v>163</v>
      </c>
      <c r="AH266" s="60"/>
      <c r="AI266" s="60">
        <v>132</v>
      </c>
      <c r="AJ266" s="60">
        <v>227</v>
      </c>
      <c r="AK266" s="60">
        <v>1173</v>
      </c>
      <c r="AL266" s="60">
        <v>2</v>
      </c>
      <c r="AM266" s="60">
        <v>299</v>
      </c>
      <c r="AN266" s="60">
        <v>184</v>
      </c>
      <c r="AO266" s="60">
        <v>7638</v>
      </c>
      <c r="AP266" s="60">
        <v>109</v>
      </c>
      <c r="AQ266" s="60">
        <v>58</v>
      </c>
      <c r="AR266" s="60"/>
      <c r="AS266" s="60">
        <v>5</v>
      </c>
      <c r="AT266" s="60">
        <v>13</v>
      </c>
      <c r="AU266" s="60">
        <v>1</v>
      </c>
      <c r="AV266" s="60">
        <v>1</v>
      </c>
      <c r="AW266" s="60"/>
      <c r="AX266" s="60"/>
      <c r="AY266" s="60">
        <v>81</v>
      </c>
      <c r="AZ266" s="60">
        <v>5</v>
      </c>
      <c r="BA266" s="60">
        <v>9370</v>
      </c>
      <c r="BB266" s="60">
        <v>8</v>
      </c>
      <c r="BC266" s="60">
        <v>4</v>
      </c>
      <c r="BD266" s="60"/>
      <c r="BE266" s="60">
        <v>2283</v>
      </c>
      <c r="BF266" s="60">
        <v>114</v>
      </c>
      <c r="BG266" s="60">
        <v>687</v>
      </c>
      <c r="BH266" s="60">
        <v>4580</v>
      </c>
      <c r="BI266" s="60">
        <v>1991</v>
      </c>
      <c r="BJ266" s="60">
        <v>219</v>
      </c>
      <c r="BK266" s="60">
        <v>19</v>
      </c>
      <c r="BL266" s="60">
        <v>231</v>
      </c>
      <c r="BM266" s="60">
        <v>2</v>
      </c>
      <c r="BN266" s="60">
        <v>487</v>
      </c>
      <c r="BO266" s="60">
        <v>94</v>
      </c>
      <c r="BP266" s="60">
        <v>476</v>
      </c>
      <c r="BQ266" s="60">
        <v>158</v>
      </c>
      <c r="BR266" s="60">
        <v>2225</v>
      </c>
      <c r="BS266" s="60">
        <v>644</v>
      </c>
      <c r="BT266" s="60">
        <v>14</v>
      </c>
      <c r="BU266" s="60">
        <v>509</v>
      </c>
      <c r="BV266" s="60">
        <v>378</v>
      </c>
      <c r="BW266" s="60">
        <v>4</v>
      </c>
      <c r="BX266" s="60">
        <v>321</v>
      </c>
      <c r="BY266" s="60">
        <v>760</v>
      </c>
      <c r="BZ266" s="60">
        <v>520</v>
      </c>
      <c r="CA266" s="60">
        <v>2594</v>
      </c>
      <c r="CB266" s="60"/>
      <c r="CC266" s="60"/>
      <c r="CD266" s="60">
        <v>638</v>
      </c>
      <c r="CE266" s="60">
        <v>47</v>
      </c>
      <c r="CF266" s="60">
        <v>67</v>
      </c>
      <c r="CG266" s="60">
        <v>12</v>
      </c>
      <c r="CH266" s="60">
        <v>109</v>
      </c>
      <c r="CI266" s="60">
        <v>7</v>
      </c>
      <c r="CJ266" s="60">
        <v>48</v>
      </c>
      <c r="CK266" s="60">
        <v>98</v>
      </c>
      <c r="CL266" s="60">
        <v>7098</v>
      </c>
      <c r="CM266" s="60">
        <v>1084</v>
      </c>
      <c r="CN266" s="60">
        <v>119</v>
      </c>
      <c r="CO266" s="60">
        <v>242</v>
      </c>
      <c r="CP266" s="60">
        <v>34</v>
      </c>
      <c r="CQ266" s="60">
        <v>46</v>
      </c>
      <c r="CR266" s="60">
        <v>6</v>
      </c>
      <c r="CS266" s="60"/>
      <c r="CT266" s="60">
        <v>9655</v>
      </c>
      <c r="CU266" s="60">
        <v>46</v>
      </c>
      <c r="CV266" s="60">
        <v>9192</v>
      </c>
      <c r="CW266" s="60">
        <v>417</v>
      </c>
      <c r="CX266" s="60">
        <v>1192</v>
      </c>
      <c r="CY266" s="60">
        <v>1169</v>
      </c>
      <c r="CZ266" s="60"/>
      <c r="DA266" s="60"/>
      <c r="DB266" s="60">
        <v>22</v>
      </c>
      <c r="DC266" s="60">
        <v>101</v>
      </c>
      <c r="DD266" s="60">
        <v>78</v>
      </c>
      <c r="DE266" s="60">
        <v>177</v>
      </c>
      <c r="DF266" s="60">
        <v>331</v>
      </c>
      <c r="DG266" s="60">
        <v>438</v>
      </c>
      <c r="DH266" s="60">
        <v>411</v>
      </c>
      <c r="DI266" s="60">
        <v>803</v>
      </c>
      <c r="DJ266" s="60"/>
      <c r="DK266" s="60"/>
      <c r="DL266" s="60"/>
      <c r="DM266" s="60">
        <v>22</v>
      </c>
      <c r="DN266" s="60">
        <v>31</v>
      </c>
      <c r="DO266" s="60">
        <v>115</v>
      </c>
      <c r="DP266" s="60">
        <v>29</v>
      </c>
      <c r="DQ266" s="60">
        <v>49</v>
      </c>
      <c r="DR266" s="60">
        <v>2114</v>
      </c>
      <c r="DS266" s="60">
        <v>1</v>
      </c>
      <c r="DT266" s="60">
        <v>57</v>
      </c>
      <c r="DU266" s="60">
        <v>21</v>
      </c>
      <c r="DV266" s="60">
        <v>81</v>
      </c>
      <c r="DW266" s="60">
        <v>247</v>
      </c>
      <c r="DX266" s="60">
        <v>22</v>
      </c>
      <c r="DY266" s="60">
        <v>41</v>
      </c>
      <c r="DZ266" s="60">
        <v>11</v>
      </c>
      <c r="EA266" s="60">
        <v>1383</v>
      </c>
      <c r="EB266" s="60">
        <v>487</v>
      </c>
      <c r="EC266" s="60">
        <v>11</v>
      </c>
      <c r="ED266" s="60">
        <v>0</v>
      </c>
      <c r="EE266" s="60">
        <v>0</v>
      </c>
      <c r="EF266" s="60">
        <v>0</v>
      </c>
      <c r="EG266" s="60">
        <v>0</v>
      </c>
      <c r="EH266" s="60">
        <v>0</v>
      </c>
      <c r="EI266" s="60">
        <v>190</v>
      </c>
      <c r="EJ266" s="60">
        <v>1510</v>
      </c>
      <c r="EK266" s="60">
        <v>39</v>
      </c>
      <c r="EL266" s="60">
        <v>511</v>
      </c>
      <c r="EM266" s="60">
        <v>111</v>
      </c>
      <c r="EN266" s="60">
        <v>15</v>
      </c>
      <c r="EO266" s="60">
        <v>49</v>
      </c>
      <c r="EP266" s="60">
        <v>627</v>
      </c>
      <c r="EQ266" s="60">
        <v>1</v>
      </c>
      <c r="ER266" s="60">
        <v>413</v>
      </c>
      <c r="ES266" s="60">
        <v>87</v>
      </c>
      <c r="ET266" s="60">
        <v>90</v>
      </c>
      <c r="EU266" s="60">
        <v>276</v>
      </c>
      <c r="EV266" s="60">
        <v>193</v>
      </c>
      <c r="EW266" s="60">
        <v>45</v>
      </c>
      <c r="EX266" s="60">
        <v>64</v>
      </c>
      <c r="EY266" s="60">
        <v>45</v>
      </c>
      <c r="EZ266" s="60">
        <v>1</v>
      </c>
      <c r="FA266" s="60">
        <v>16</v>
      </c>
      <c r="FB266" s="60">
        <v>246</v>
      </c>
      <c r="FC266" s="60">
        <v>47</v>
      </c>
      <c r="FD266" s="60">
        <v>146</v>
      </c>
      <c r="FE266" s="60"/>
      <c r="FF266" s="60"/>
      <c r="FG266" s="60"/>
      <c r="FH266" s="60">
        <v>147</v>
      </c>
      <c r="FI266" s="60">
        <v>6</v>
      </c>
      <c r="FJ266" s="60">
        <v>169</v>
      </c>
      <c r="FK266" s="60">
        <v>6</v>
      </c>
      <c r="FL266" s="60">
        <v>11</v>
      </c>
      <c r="FM266" s="60">
        <v>86</v>
      </c>
      <c r="FN266" s="60">
        <v>2</v>
      </c>
      <c r="FO266" s="60">
        <v>1860</v>
      </c>
      <c r="FP266" s="60">
        <v>32</v>
      </c>
      <c r="FQ266" s="60">
        <v>6</v>
      </c>
      <c r="FR266" s="60">
        <v>12</v>
      </c>
      <c r="FS266" s="60">
        <v>11</v>
      </c>
      <c r="FT266" s="60">
        <v>5</v>
      </c>
      <c r="FU266" s="60">
        <v>8</v>
      </c>
      <c r="FV266" s="60"/>
      <c r="FW266" s="60"/>
      <c r="FX266" s="60">
        <v>2361</v>
      </c>
      <c r="FY266" s="60">
        <v>5</v>
      </c>
      <c r="FZ266" s="60">
        <v>2324</v>
      </c>
      <c r="GA266" s="60">
        <v>32</v>
      </c>
      <c r="GB266" s="60">
        <v>2011</v>
      </c>
    </row>
    <row r="267" spans="1:184" x14ac:dyDescent="0.3">
      <c r="A267" s="60">
        <v>106400524</v>
      </c>
      <c r="B267" s="61" t="s">
        <v>1009</v>
      </c>
      <c r="C267" s="61" t="s">
        <v>1010</v>
      </c>
      <c r="D267" s="61" t="s">
        <v>1011</v>
      </c>
      <c r="E267" s="61" t="s">
        <v>1003</v>
      </c>
      <c r="F267" s="60">
        <v>93405</v>
      </c>
      <c r="G267" s="61"/>
      <c r="H267" s="61" t="s">
        <v>1669</v>
      </c>
      <c r="I267" s="60">
        <v>33</v>
      </c>
      <c r="J267" s="60">
        <v>15</v>
      </c>
      <c r="K267" s="61" t="s">
        <v>2035</v>
      </c>
      <c r="L267" s="61"/>
      <c r="M267" s="61" t="s">
        <v>1885</v>
      </c>
      <c r="N267" s="61" t="s">
        <v>2034</v>
      </c>
      <c r="O267" s="61" t="s">
        <v>1673</v>
      </c>
      <c r="P267" s="61" t="s">
        <v>221</v>
      </c>
      <c r="Q267" s="61" t="s">
        <v>1674</v>
      </c>
      <c r="R267" s="60">
        <v>164</v>
      </c>
      <c r="S267" s="61" t="s">
        <v>1675</v>
      </c>
      <c r="T267" s="60">
        <v>9307</v>
      </c>
      <c r="U267" s="60">
        <v>8318</v>
      </c>
      <c r="V267" s="60"/>
      <c r="W267" s="60"/>
      <c r="X267" s="60">
        <v>1591</v>
      </c>
      <c r="Y267" s="60">
        <v>2262</v>
      </c>
      <c r="Z267" s="60">
        <v>3685</v>
      </c>
      <c r="AA267" s="60">
        <v>2116</v>
      </c>
      <c r="AB267" s="60">
        <v>2002</v>
      </c>
      <c r="AC267" s="60">
        <v>2106</v>
      </c>
      <c r="AD267" s="60">
        <v>1374</v>
      </c>
      <c r="AE267" s="60">
        <v>825</v>
      </c>
      <c r="AF267" s="60">
        <v>1207</v>
      </c>
      <c r="AG267" s="60">
        <v>457</v>
      </c>
      <c r="AH267" s="60"/>
      <c r="AI267" s="60">
        <v>247</v>
      </c>
      <c r="AJ267" s="60">
        <v>325</v>
      </c>
      <c r="AK267" s="60">
        <v>1882</v>
      </c>
      <c r="AL267" s="60">
        <v>25</v>
      </c>
      <c r="AM267" s="60">
        <v>489</v>
      </c>
      <c r="AN267" s="60">
        <v>269</v>
      </c>
      <c r="AO267" s="60">
        <v>14388</v>
      </c>
      <c r="AP267" s="60">
        <v>115</v>
      </c>
      <c r="AQ267" s="60">
        <v>50</v>
      </c>
      <c r="AR267" s="60"/>
      <c r="AS267" s="60">
        <v>34</v>
      </c>
      <c r="AT267" s="60">
        <v>36</v>
      </c>
      <c r="AU267" s="60">
        <v>9</v>
      </c>
      <c r="AV267" s="60"/>
      <c r="AW267" s="60"/>
      <c r="AX267" s="60"/>
      <c r="AY267" s="60">
        <v>72</v>
      </c>
      <c r="AZ267" s="60">
        <v>10</v>
      </c>
      <c r="BA267" s="60">
        <v>17213</v>
      </c>
      <c r="BB267" s="60">
        <v>86</v>
      </c>
      <c r="BC267" s="60"/>
      <c r="BD267" s="60"/>
      <c r="BE267" s="60">
        <v>332</v>
      </c>
      <c r="BF267" s="60">
        <v>3543</v>
      </c>
      <c r="BG267" s="60">
        <v>1200</v>
      </c>
      <c r="BH267" s="60">
        <v>10137</v>
      </c>
      <c r="BI267" s="60">
        <v>2413</v>
      </c>
      <c r="BJ267" s="60">
        <v>367</v>
      </c>
      <c r="BK267" s="60">
        <v>55</v>
      </c>
      <c r="BL267" s="60">
        <v>350</v>
      </c>
      <c r="BM267" s="60">
        <v>9</v>
      </c>
      <c r="BN267" s="60">
        <v>841</v>
      </c>
      <c r="BO267" s="60">
        <v>267</v>
      </c>
      <c r="BP267" s="60">
        <v>910</v>
      </c>
      <c r="BQ267" s="60">
        <v>313</v>
      </c>
      <c r="BR267" s="60">
        <v>4725</v>
      </c>
      <c r="BS267" s="60">
        <v>949</v>
      </c>
      <c r="BT267" s="60">
        <v>25</v>
      </c>
      <c r="BU267" s="60">
        <v>1254</v>
      </c>
      <c r="BV267" s="60">
        <v>651</v>
      </c>
      <c r="BW267" s="60">
        <v>29</v>
      </c>
      <c r="BX267" s="60">
        <v>717</v>
      </c>
      <c r="BY267" s="60">
        <v>1602</v>
      </c>
      <c r="BZ267" s="60">
        <v>872</v>
      </c>
      <c r="CA267" s="60">
        <v>3689</v>
      </c>
      <c r="CB267" s="60"/>
      <c r="CC267" s="60"/>
      <c r="CD267" s="60">
        <v>1538</v>
      </c>
      <c r="CE267" s="60">
        <v>68</v>
      </c>
      <c r="CF267" s="60">
        <v>146</v>
      </c>
      <c r="CG267" s="60">
        <v>9</v>
      </c>
      <c r="CH267" s="60">
        <v>217</v>
      </c>
      <c r="CI267" s="60">
        <v>6</v>
      </c>
      <c r="CJ267" s="60">
        <v>102</v>
      </c>
      <c r="CK267" s="60">
        <v>176</v>
      </c>
      <c r="CL267" s="60">
        <v>12942</v>
      </c>
      <c r="CM267" s="60">
        <v>1708</v>
      </c>
      <c r="CN267" s="60">
        <v>210</v>
      </c>
      <c r="CO267" s="60">
        <v>333</v>
      </c>
      <c r="CP267" s="60">
        <v>62</v>
      </c>
      <c r="CQ267" s="60">
        <v>94</v>
      </c>
      <c r="CR267" s="60">
        <v>14</v>
      </c>
      <c r="CS267" s="60"/>
      <c r="CT267" s="60">
        <v>17625</v>
      </c>
      <c r="CU267" s="60">
        <v>63</v>
      </c>
      <c r="CV267" s="60">
        <v>17059</v>
      </c>
      <c r="CW267" s="60">
        <v>503</v>
      </c>
      <c r="CX267" s="60">
        <v>1214</v>
      </c>
      <c r="CY267" s="60">
        <v>1340</v>
      </c>
      <c r="CZ267" s="60"/>
      <c r="DA267" s="60"/>
      <c r="DB267" s="60">
        <v>96</v>
      </c>
      <c r="DC267" s="60">
        <v>252</v>
      </c>
      <c r="DD267" s="60">
        <v>145</v>
      </c>
      <c r="DE267" s="60">
        <v>200</v>
      </c>
      <c r="DF267" s="60">
        <v>410</v>
      </c>
      <c r="DG267" s="60">
        <v>361</v>
      </c>
      <c r="DH267" s="60">
        <v>328</v>
      </c>
      <c r="DI267" s="60">
        <v>622</v>
      </c>
      <c r="DJ267" s="60">
        <v>46</v>
      </c>
      <c r="DK267" s="60">
        <v>94</v>
      </c>
      <c r="DL267" s="60"/>
      <c r="DM267" s="60">
        <v>35</v>
      </c>
      <c r="DN267" s="60">
        <v>34</v>
      </c>
      <c r="DO267" s="60">
        <v>215</v>
      </c>
      <c r="DP267" s="60">
        <v>50</v>
      </c>
      <c r="DQ267" s="60">
        <v>22</v>
      </c>
      <c r="DR267" s="60">
        <v>2193</v>
      </c>
      <c r="DS267" s="60">
        <v>5</v>
      </c>
      <c r="DT267" s="60">
        <v>76</v>
      </c>
      <c r="DU267" s="60">
        <v>25</v>
      </c>
      <c r="DV267" s="60">
        <v>86</v>
      </c>
      <c r="DW267" s="60">
        <v>258</v>
      </c>
      <c r="DX267" s="60">
        <v>37</v>
      </c>
      <c r="DY267" s="60">
        <v>8</v>
      </c>
      <c r="DZ267" s="60">
        <v>16</v>
      </c>
      <c r="EA267" s="60">
        <v>1571</v>
      </c>
      <c r="EB267" s="60">
        <v>419</v>
      </c>
      <c r="EC267" s="60">
        <v>58</v>
      </c>
      <c r="ED267" s="60">
        <v>0</v>
      </c>
      <c r="EE267" s="60">
        <v>0</v>
      </c>
      <c r="EF267" s="60">
        <v>0</v>
      </c>
      <c r="EG267" s="60">
        <v>0</v>
      </c>
      <c r="EH267" s="60">
        <v>0</v>
      </c>
      <c r="EI267" s="60">
        <v>266</v>
      </c>
      <c r="EJ267" s="60">
        <v>1151</v>
      </c>
      <c r="EK267" s="60">
        <v>222</v>
      </c>
      <c r="EL267" s="60">
        <v>705</v>
      </c>
      <c r="EM267" s="60">
        <v>210</v>
      </c>
      <c r="EN267" s="60">
        <v>26</v>
      </c>
      <c r="EO267" s="60">
        <v>40</v>
      </c>
      <c r="EP267" s="60">
        <v>353</v>
      </c>
      <c r="EQ267" s="60">
        <v>2</v>
      </c>
      <c r="ER267" s="60">
        <v>467</v>
      </c>
      <c r="ES267" s="60">
        <v>123</v>
      </c>
      <c r="ET267" s="60">
        <v>96</v>
      </c>
      <c r="EU267" s="60">
        <v>286</v>
      </c>
      <c r="EV267" s="60">
        <v>402</v>
      </c>
      <c r="EW267" s="60">
        <v>59</v>
      </c>
      <c r="EX267" s="60">
        <v>60</v>
      </c>
      <c r="EY267" s="60">
        <v>72</v>
      </c>
      <c r="EZ267" s="60"/>
      <c r="FA267" s="60">
        <v>42</v>
      </c>
      <c r="FB267" s="60">
        <v>316</v>
      </c>
      <c r="FC267" s="60">
        <v>65</v>
      </c>
      <c r="FD267" s="60">
        <v>143</v>
      </c>
      <c r="FE267" s="60">
        <v>1</v>
      </c>
      <c r="FF267" s="60">
        <v>1</v>
      </c>
      <c r="FG267" s="60"/>
      <c r="FH267" s="60">
        <v>189</v>
      </c>
      <c r="FI267" s="60">
        <v>28</v>
      </c>
      <c r="FJ267" s="60">
        <v>102</v>
      </c>
      <c r="FK267" s="60">
        <v>5</v>
      </c>
      <c r="FL267" s="60">
        <v>3</v>
      </c>
      <c r="FM267" s="60">
        <v>101</v>
      </c>
      <c r="FN267" s="60">
        <v>8</v>
      </c>
      <c r="FO267" s="60">
        <v>1961</v>
      </c>
      <c r="FP267" s="60">
        <v>36</v>
      </c>
      <c r="FQ267" s="60">
        <v>20</v>
      </c>
      <c r="FR267" s="60">
        <v>51</v>
      </c>
      <c r="FS267" s="60">
        <v>41</v>
      </c>
      <c r="FT267" s="60">
        <v>5</v>
      </c>
      <c r="FU267" s="60">
        <v>3</v>
      </c>
      <c r="FV267" s="60">
        <v>1</v>
      </c>
      <c r="FW267" s="60"/>
      <c r="FX267" s="60">
        <v>2554</v>
      </c>
      <c r="FY267" s="60">
        <v>3</v>
      </c>
      <c r="FZ267" s="60">
        <v>2495</v>
      </c>
      <c r="GA267" s="60">
        <v>56</v>
      </c>
      <c r="GB267" s="60">
        <v>2011</v>
      </c>
    </row>
    <row r="268" spans="1:184" x14ac:dyDescent="0.3">
      <c r="A268" s="60">
        <v>106400548</v>
      </c>
      <c r="B268" s="61" t="s">
        <v>1012</v>
      </c>
      <c r="C268" s="61" t="s">
        <v>1013</v>
      </c>
      <c r="D268" s="61" t="s">
        <v>1014</v>
      </c>
      <c r="E268" s="61" t="s">
        <v>1015</v>
      </c>
      <c r="F268" s="60">
        <v>93465</v>
      </c>
      <c r="G268" s="61"/>
      <c r="H268" s="61" t="s">
        <v>1669</v>
      </c>
      <c r="I268" s="60">
        <v>33</v>
      </c>
      <c r="J268" s="60">
        <v>15</v>
      </c>
      <c r="K268" s="61" t="s">
        <v>2036</v>
      </c>
      <c r="L268" s="61"/>
      <c r="M268" s="61" t="s">
        <v>1885</v>
      </c>
      <c r="N268" s="61" t="s">
        <v>2034</v>
      </c>
      <c r="O268" s="61" t="s">
        <v>1673</v>
      </c>
      <c r="P268" s="61" t="s">
        <v>221</v>
      </c>
      <c r="Q268" s="61" t="s">
        <v>1674</v>
      </c>
      <c r="R268" s="60">
        <v>122</v>
      </c>
      <c r="S268" s="61" t="s">
        <v>1675</v>
      </c>
      <c r="T268" s="60">
        <v>16607</v>
      </c>
      <c r="U268" s="60">
        <v>12952</v>
      </c>
      <c r="V268" s="60"/>
      <c r="W268" s="60"/>
      <c r="X268" s="60">
        <v>3719</v>
      </c>
      <c r="Y268" s="60">
        <v>3322</v>
      </c>
      <c r="Z268" s="60">
        <v>5137</v>
      </c>
      <c r="AA268" s="60">
        <v>3854</v>
      </c>
      <c r="AB268" s="60">
        <v>3809</v>
      </c>
      <c r="AC268" s="60">
        <v>3476</v>
      </c>
      <c r="AD268" s="60">
        <v>2158</v>
      </c>
      <c r="AE268" s="60">
        <v>1549</v>
      </c>
      <c r="AF268" s="60">
        <v>1806</v>
      </c>
      <c r="AG268" s="60">
        <v>729</v>
      </c>
      <c r="AH268" s="60"/>
      <c r="AI268" s="60">
        <v>229</v>
      </c>
      <c r="AJ268" s="60">
        <v>637</v>
      </c>
      <c r="AK268" s="60">
        <v>4943</v>
      </c>
      <c r="AL268" s="60">
        <v>29</v>
      </c>
      <c r="AM268" s="60">
        <v>349</v>
      </c>
      <c r="AN268" s="60">
        <v>261</v>
      </c>
      <c r="AO268" s="60">
        <v>23111</v>
      </c>
      <c r="AP268" s="60">
        <v>356</v>
      </c>
      <c r="AQ268" s="60">
        <v>102</v>
      </c>
      <c r="AR268" s="60">
        <v>90</v>
      </c>
      <c r="AS268" s="60">
        <v>48</v>
      </c>
      <c r="AT268" s="60">
        <v>14</v>
      </c>
      <c r="AU268" s="60">
        <v>2</v>
      </c>
      <c r="AV268" s="60"/>
      <c r="AW268" s="60"/>
      <c r="AX268" s="60"/>
      <c r="AY268" s="60">
        <v>39</v>
      </c>
      <c r="AZ268" s="60">
        <v>2</v>
      </c>
      <c r="BA268" s="60">
        <v>28832</v>
      </c>
      <c r="BB268" s="60">
        <v>73</v>
      </c>
      <c r="BC268" s="60"/>
      <c r="BD268" s="60">
        <v>1</v>
      </c>
      <c r="BE268" s="60">
        <v>870</v>
      </c>
      <c r="BF268" s="60">
        <v>5737</v>
      </c>
      <c r="BG268" s="60">
        <v>2248</v>
      </c>
      <c r="BH268" s="60">
        <v>16860</v>
      </c>
      <c r="BI268" s="60">
        <v>3844</v>
      </c>
      <c r="BJ268" s="60">
        <v>771</v>
      </c>
      <c r="BK268" s="60">
        <v>89</v>
      </c>
      <c r="BL268" s="60">
        <v>654</v>
      </c>
      <c r="BM268" s="60">
        <v>5</v>
      </c>
      <c r="BN268" s="60">
        <v>1495</v>
      </c>
      <c r="BO268" s="60">
        <v>352</v>
      </c>
      <c r="BP268" s="60">
        <v>1618</v>
      </c>
      <c r="BQ268" s="60">
        <v>446</v>
      </c>
      <c r="BR268" s="60">
        <v>7326</v>
      </c>
      <c r="BS268" s="60">
        <v>2071</v>
      </c>
      <c r="BT268" s="60">
        <v>25</v>
      </c>
      <c r="BU268" s="60">
        <v>1805</v>
      </c>
      <c r="BV268" s="60">
        <v>732</v>
      </c>
      <c r="BW268" s="60">
        <v>35</v>
      </c>
      <c r="BX268" s="60">
        <v>753</v>
      </c>
      <c r="BY268" s="60">
        <v>3167</v>
      </c>
      <c r="BZ268" s="60">
        <v>1645</v>
      </c>
      <c r="CA268" s="60">
        <v>6570</v>
      </c>
      <c r="CB268" s="60"/>
      <c r="CC268" s="60"/>
      <c r="CD268" s="60">
        <v>2357</v>
      </c>
      <c r="CE268" s="60">
        <v>128</v>
      </c>
      <c r="CF268" s="60">
        <v>192</v>
      </c>
      <c r="CG268" s="60">
        <v>17</v>
      </c>
      <c r="CH268" s="60">
        <v>212</v>
      </c>
      <c r="CI268" s="60">
        <v>7</v>
      </c>
      <c r="CJ268" s="60">
        <v>143</v>
      </c>
      <c r="CK268" s="60">
        <v>446</v>
      </c>
      <c r="CL268" s="60">
        <v>21553</v>
      </c>
      <c r="CM268" s="60">
        <v>3200</v>
      </c>
      <c r="CN268" s="60">
        <v>244</v>
      </c>
      <c r="CO268" s="60">
        <v>770</v>
      </c>
      <c r="CP268" s="60">
        <v>105</v>
      </c>
      <c r="CQ268" s="60">
        <v>162</v>
      </c>
      <c r="CR268" s="60">
        <v>23</v>
      </c>
      <c r="CS268" s="60"/>
      <c r="CT268" s="60">
        <v>29559</v>
      </c>
      <c r="CU268" s="60">
        <v>77</v>
      </c>
      <c r="CV268" s="60">
        <v>27261</v>
      </c>
      <c r="CW268" s="60">
        <v>2221</v>
      </c>
      <c r="CX268" s="60">
        <v>2280</v>
      </c>
      <c r="CY268" s="60">
        <v>2151</v>
      </c>
      <c r="CZ268" s="60"/>
      <c r="DA268" s="60"/>
      <c r="DB268" s="60">
        <v>82</v>
      </c>
      <c r="DC268" s="60">
        <v>279</v>
      </c>
      <c r="DD268" s="60">
        <v>331</v>
      </c>
      <c r="DE268" s="60">
        <v>469</v>
      </c>
      <c r="DF268" s="60">
        <v>668</v>
      </c>
      <c r="DG268" s="60">
        <v>690</v>
      </c>
      <c r="DH268" s="60">
        <v>658</v>
      </c>
      <c r="DI268" s="60">
        <v>1248</v>
      </c>
      <c r="DJ268" s="60">
        <v>1</v>
      </c>
      <c r="DK268" s="60">
        <v>5</v>
      </c>
      <c r="DL268" s="60"/>
      <c r="DM268" s="60">
        <v>18</v>
      </c>
      <c r="DN268" s="60">
        <v>153</v>
      </c>
      <c r="DO268" s="60">
        <v>425</v>
      </c>
      <c r="DP268" s="60">
        <v>44</v>
      </c>
      <c r="DQ268" s="60">
        <v>70</v>
      </c>
      <c r="DR268" s="60">
        <v>3719</v>
      </c>
      <c r="DS268" s="60">
        <v>2</v>
      </c>
      <c r="DT268" s="60">
        <v>129</v>
      </c>
      <c r="DU268" s="60">
        <v>60</v>
      </c>
      <c r="DV268" s="60">
        <v>153</v>
      </c>
      <c r="DW268" s="60">
        <v>587</v>
      </c>
      <c r="DX268" s="60">
        <v>84</v>
      </c>
      <c r="DY268" s="60">
        <v>5</v>
      </c>
      <c r="DZ268" s="60">
        <v>40</v>
      </c>
      <c r="EA268" s="60">
        <v>2488</v>
      </c>
      <c r="EB268" s="60">
        <v>586</v>
      </c>
      <c r="EC268" s="60">
        <v>299</v>
      </c>
      <c r="ED268" s="60">
        <v>0</v>
      </c>
      <c r="EE268" s="60">
        <v>0</v>
      </c>
      <c r="EF268" s="60">
        <v>0</v>
      </c>
      <c r="EG268" s="60">
        <v>0</v>
      </c>
      <c r="EH268" s="60">
        <v>0</v>
      </c>
      <c r="EI268" s="60">
        <v>430</v>
      </c>
      <c r="EJ268" s="60">
        <v>2315</v>
      </c>
      <c r="EK268" s="60">
        <v>616</v>
      </c>
      <c r="EL268" s="60">
        <v>735</v>
      </c>
      <c r="EM268" s="60">
        <v>335</v>
      </c>
      <c r="EN268" s="60">
        <v>41</v>
      </c>
      <c r="EO268" s="60">
        <v>57</v>
      </c>
      <c r="EP268" s="60">
        <v>673</v>
      </c>
      <c r="EQ268" s="60"/>
      <c r="ER268" s="60">
        <v>847</v>
      </c>
      <c r="ES268" s="60">
        <v>217</v>
      </c>
      <c r="ET268" s="60">
        <v>223</v>
      </c>
      <c r="EU268" s="60">
        <v>283</v>
      </c>
      <c r="EV268" s="60">
        <v>542</v>
      </c>
      <c r="EW268" s="60">
        <v>101</v>
      </c>
      <c r="EX268" s="60">
        <v>112</v>
      </c>
      <c r="EY268" s="60">
        <v>100</v>
      </c>
      <c r="EZ268" s="60">
        <v>6</v>
      </c>
      <c r="FA268" s="60">
        <v>52</v>
      </c>
      <c r="FB268" s="60">
        <v>555</v>
      </c>
      <c r="FC268" s="60">
        <v>126</v>
      </c>
      <c r="FD268" s="60">
        <v>495</v>
      </c>
      <c r="FE268" s="60"/>
      <c r="FF268" s="60">
        <v>1</v>
      </c>
      <c r="FG268" s="60"/>
      <c r="FH268" s="60">
        <v>317</v>
      </c>
      <c r="FI268" s="60">
        <v>55</v>
      </c>
      <c r="FJ268" s="60">
        <v>262</v>
      </c>
      <c r="FK268" s="60">
        <v>16</v>
      </c>
      <c r="FL268" s="60">
        <v>15</v>
      </c>
      <c r="FM268" s="60">
        <v>108</v>
      </c>
      <c r="FN268" s="60">
        <v>15</v>
      </c>
      <c r="FO268" s="60">
        <v>3448</v>
      </c>
      <c r="FP268" s="60">
        <v>70</v>
      </c>
      <c r="FQ268" s="60">
        <v>19</v>
      </c>
      <c r="FR268" s="60">
        <v>47</v>
      </c>
      <c r="FS268" s="60">
        <v>43</v>
      </c>
      <c r="FT268" s="60">
        <v>12</v>
      </c>
      <c r="FU268" s="60">
        <v>4</v>
      </c>
      <c r="FV268" s="60"/>
      <c r="FW268" s="60"/>
      <c r="FX268" s="60">
        <v>4431</v>
      </c>
      <c r="FY268" s="60">
        <v>5</v>
      </c>
      <c r="FZ268" s="60">
        <v>4276</v>
      </c>
      <c r="GA268" s="60">
        <v>150</v>
      </c>
      <c r="GB268" s="60">
        <v>2011</v>
      </c>
    </row>
    <row r="269" spans="1:184" x14ac:dyDescent="0.3">
      <c r="A269" s="60">
        <v>106410782</v>
      </c>
      <c r="B269" s="61" t="s">
        <v>1016</v>
      </c>
      <c r="C269" s="61" t="s">
        <v>1017</v>
      </c>
      <c r="D269" s="61" t="s">
        <v>1019</v>
      </c>
      <c r="E269" s="61" t="s">
        <v>1018</v>
      </c>
      <c r="F269" s="60">
        <v>94403</v>
      </c>
      <c r="G269" s="61"/>
      <c r="H269" s="61" t="s">
        <v>1669</v>
      </c>
      <c r="I269" s="60">
        <v>19</v>
      </c>
      <c r="J269" s="60">
        <v>8</v>
      </c>
      <c r="K269" s="61" t="s">
        <v>2037</v>
      </c>
      <c r="L269" s="61"/>
      <c r="M269" s="61" t="s">
        <v>1862</v>
      </c>
      <c r="N269" s="61" t="s">
        <v>2038</v>
      </c>
      <c r="O269" s="61" t="s">
        <v>1673</v>
      </c>
      <c r="P269" s="61" t="s">
        <v>1690</v>
      </c>
      <c r="Q269" s="61" t="s">
        <v>1674</v>
      </c>
      <c r="R269" s="60">
        <v>100</v>
      </c>
      <c r="S269" s="61" t="s">
        <v>1675</v>
      </c>
      <c r="T269" s="60">
        <v>19389</v>
      </c>
      <c r="U269" s="60">
        <v>18053</v>
      </c>
      <c r="V269" s="60"/>
      <c r="W269" s="60"/>
      <c r="X269" s="60">
        <v>1994</v>
      </c>
      <c r="Y269" s="60">
        <v>2274</v>
      </c>
      <c r="Z269" s="60">
        <v>7284</v>
      </c>
      <c r="AA269" s="60">
        <v>7091</v>
      </c>
      <c r="AB269" s="60">
        <v>7076</v>
      </c>
      <c r="AC269" s="60">
        <v>6568</v>
      </c>
      <c r="AD269" s="60">
        <v>3119</v>
      </c>
      <c r="AE269" s="60">
        <v>1059</v>
      </c>
      <c r="AF269" s="60">
        <v>542</v>
      </c>
      <c r="AG269" s="60">
        <v>435</v>
      </c>
      <c r="AH269" s="60"/>
      <c r="AI269" s="60">
        <v>473</v>
      </c>
      <c r="AJ269" s="60">
        <v>325</v>
      </c>
      <c r="AK269" s="60">
        <v>32057</v>
      </c>
      <c r="AL269" s="60">
        <v>175</v>
      </c>
      <c r="AM269" s="60">
        <v>1938</v>
      </c>
      <c r="AN269" s="60">
        <v>156</v>
      </c>
      <c r="AO269" s="60">
        <v>2318</v>
      </c>
      <c r="AP269" s="60">
        <v>1249</v>
      </c>
      <c r="AQ269" s="60">
        <v>365</v>
      </c>
      <c r="AR269" s="60"/>
      <c r="AS269" s="60">
        <v>20</v>
      </c>
      <c r="AT269" s="60"/>
      <c r="AU269" s="60"/>
      <c r="AV269" s="60">
        <v>2</v>
      </c>
      <c r="AW269" s="60">
        <v>85</v>
      </c>
      <c r="AX269" s="60">
        <v>367</v>
      </c>
      <c r="AY269" s="60">
        <v>750</v>
      </c>
      <c r="AZ269" s="60"/>
      <c r="BA269" s="60">
        <v>34583</v>
      </c>
      <c r="BB269" s="60">
        <v>21</v>
      </c>
      <c r="BC269" s="60"/>
      <c r="BD269" s="60"/>
      <c r="BE269" s="60">
        <v>8390</v>
      </c>
      <c r="BF269" s="60">
        <v>3420</v>
      </c>
      <c r="BG269" s="60">
        <v>17393</v>
      </c>
      <c r="BH269" s="60">
        <v>1232</v>
      </c>
      <c r="BI269" s="60">
        <v>7007</v>
      </c>
      <c r="BJ269" s="60">
        <v>921</v>
      </c>
      <c r="BK269" s="60">
        <v>93</v>
      </c>
      <c r="BL269" s="60">
        <v>933</v>
      </c>
      <c r="BM269" s="60">
        <v>6</v>
      </c>
      <c r="BN269" s="60">
        <v>2062</v>
      </c>
      <c r="BO269" s="60">
        <v>764</v>
      </c>
      <c r="BP269" s="60">
        <v>2668</v>
      </c>
      <c r="BQ269" s="60">
        <v>1102</v>
      </c>
      <c r="BR269" s="60">
        <v>4940</v>
      </c>
      <c r="BS269" s="60">
        <v>3228</v>
      </c>
      <c r="BT269" s="60">
        <v>114</v>
      </c>
      <c r="BU269" s="60">
        <v>2380</v>
      </c>
      <c r="BV269" s="60">
        <v>2830</v>
      </c>
      <c r="BW269" s="60">
        <v>20</v>
      </c>
      <c r="BX269" s="60">
        <v>1228</v>
      </c>
      <c r="BY269" s="60">
        <v>3952</v>
      </c>
      <c r="BZ269" s="60">
        <v>2129</v>
      </c>
      <c r="CA269" s="60">
        <v>8070</v>
      </c>
      <c r="CB269" s="60"/>
      <c r="CC269" s="60">
        <v>2</v>
      </c>
      <c r="CD269" s="60">
        <v>1392</v>
      </c>
      <c r="CE269" s="60">
        <v>95</v>
      </c>
      <c r="CF269" s="60">
        <v>174</v>
      </c>
      <c r="CG269" s="60">
        <v>12</v>
      </c>
      <c r="CH269" s="60">
        <v>352</v>
      </c>
      <c r="CI269" s="60">
        <v>5</v>
      </c>
      <c r="CJ269" s="60">
        <v>43</v>
      </c>
      <c r="CK269" s="60">
        <v>220</v>
      </c>
      <c r="CL269" s="60">
        <v>31970</v>
      </c>
      <c r="CM269" s="60">
        <v>2327</v>
      </c>
      <c r="CN269" s="60">
        <v>134</v>
      </c>
      <c r="CO269" s="60">
        <v>363</v>
      </c>
      <c r="CP269" s="60">
        <v>156</v>
      </c>
      <c r="CQ269" s="60">
        <v>165</v>
      </c>
      <c r="CR269" s="60">
        <v>34</v>
      </c>
      <c r="CS269" s="60"/>
      <c r="CT269" s="60">
        <v>37442</v>
      </c>
      <c r="CU269" s="60">
        <v>975</v>
      </c>
      <c r="CV269" s="60">
        <v>22011</v>
      </c>
      <c r="CW269" s="60">
        <v>14456</v>
      </c>
      <c r="CX269" s="60">
        <v>1282</v>
      </c>
      <c r="CY269" s="60">
        <v>1529</v>
      </c>
      <c r="CZ269" s="60"/>
      <c r="DA269" s="60"/>
      <c r="DB269" s="60">
        <v>56</v>
      </c>
      <c r="DC269" s="60">
        <v>385</v>
      </c>
      <c r="DD269" s="60">
        <v>388</v>
      </c>
      <c r="DE269" s="60">
        <v>495</v>
      </c>
      <c r="DF269" s="60">
        <v>609</v>
      </c>
      <c r="DG269" s="60">
        <v>447</v>
      </c>
      <c r="DH269" s="60">
        <v>228</v>
      </c>
      <c r="DI269" s="60">
        <v>166</v>
      </c>
      <c r="DJ269" s="60">
        <v>2</v>
      </c>
      <c r="DK269" s="60">
        <v>35</v>
      </c>
      <c r="DL269" s="60"/>
      <c r="DM269" s="60">
        <v>39</v>
      </c>
      <c r="DN269" s="60">
        <v>29</v>
      </c>
      <c r="DO269" s="60">
        <v>2379</v>
      </c>
      <c r="DP269" s="60">
        <v>118</v>
      </c>
      <c r="DQ269" s="60">
        <v>7</v>
      </c>
      <c r="DR269" s="60">
        <v>225</v>
      </c>
      <c r="DS269" s="60">
        <v>14</v>
      </c>
      <c r="DT269" s="60">
        <v>115</v>
      </c>
      <c r="DU269" s="60">
        <v>35</v>
      </c>
      <c r="DV269" s="60">
        <v>58</v>
      </c>
      <c r="DW269" s="60">
        <v>44</v>
      </c>
      <c r="DX269" s="60">
        <v>33</v>
      </c>
      <c r="DY269" s="60">
        <v>9</v>
      </c>
      <c r="DZ269" s="60">
        <v>300</v>
      </c>
      <c r="EA269" s="60">
        <v>2005</v>
      </c>
      <c r="EB269" s="60">
        <v>180</v>
      </c>
      <c r="EC269" s="60">
        <v>32</v>
      </c>
      <c r="ED269" s="60">
        <v>0</v>
      </c>
      <c r="EE269" s="60">
        <v>0</v>
      </c>
      <c r="EF269" s="60">
        <v>0</v>
      </c>
      <c r="EG269" s="60">
        <v>0</v>
      </c>
      <c r="EH269" s="60">
        <v>0</v>
      </c>
      <c r="EI269" s="60">
        <v>875</v>
      </c>
      <c r="EJ269" s="60">
        <v>661</v>
      </c>
      <c r="EK269" s="60">
        <v>342</v>
      </c>
      <c r="EL269" s="60">
        <v>49</v>
      </c>
      <c r="EM269" s="60">
        <v>884</v>
      </c>
      <c r="EN269" s="60">
        <v>21</v>
      </c>
      <c r="EO269" s="60">
        <v>36</v>
      </c>
      <c r="EP269" s="60">
        <v>309</v>
      </c>
      <c r="EQ269" s="60">
        <v>1</v>
      </c>
      <c r="ER269" s="60">
        <v>568</v>
      </c>
      <c r="ES269" s="60">
        <v>113</v>
      </c>
      <c r="ET269" s="60">
        <v>136</v>
      </c>
      <c r="EU269" s="60">
        <v>128</v>
      </c>
      <c r="EV269" s="60">
        <v>147</v>
      </c>
      <c r="EW269" s="60">
        <v>39</v>
      </c>
      <c r="EX269" s="60">
        <v>59</v>
      </c>
      <c r="EY269" s="60">
        <v>42</v>
      </c>
      <c r="EZ269" s="60">
        <v>7</v>
      </c>
      <c r="FA269" s="60">
        <v>770</v>
      </c>
      <c r="FB269" s="60">
        <v>250</v>
      </c>
      <c r="FC269" s="60">
        <v>104</v>
      </c>
      <c r="FD269" s="60">
        <v>81</v>
      </c>
      <c r="FE269" s="60"/>
      <c r="FF269" s="60"/>
      <c r="FG269" s="60"/>
      <c r="FH269" s="60">
        <v>56</v>
      </c>
      <c r="FI269" s="60">
        <v>14</v>
      </c>
      <c r="FJ269" s="60">
        <v>90</v>
      </c>
      <c r="FK269" s="60">
        <v>9</v>
      </c>
      <c r="FL269" s="60">
        <v>9</v>
      </c>
      <c r="FM269" s="60">
        <v>3</v>
      </c>
      <c r="FN269" s="60">
        <v>6</v>
      </c>
      <c r="FO269" s="60">
        <v>2552</v>
      </c>
      <c r="FP269" s="60">
        <v>26</v>
      </c>
      <c r="FQ269" s="60">
        <v>2</v>
      </c>
      <c r="FR269" s="60">
        <v>5</v>
      </c>
      <c r="FS269" s="60">
        <v>34</v>
      </c>
      <c r="FT269" s="60">
        <v>4</v>
      </c>
      <c r="FU269" s="60">
        <v>1</v>
      </c>
      <c r="FV269" s="60"/>
      <c r="FW269" s="60"/>
      <c r="FX269" s="60">
        <v>2811</v>
      </c>
      <c r="FY269" s="60">
        <v>105</v>
      </c>
      <c r="FZ269" s="60">
        <v>1992</v>
      </c>
      <c r="GA269" s="60">
        <v>714</v>
      </c>
      <c r="GB269" s="60">
        <v>2011</v>
      </c>
    </row>
    <row r="270" spans="1:184" x14ac:dyDescent="0.3">
      <c r="A270" s="60">
        <v>106410804</v>
      </c>
      <c r="B270" s="61" t="s">
        <v>1020</v>
      </c>
      <c r="C270" s="61" t="s">
        <v>2039</v>
      </c>
      <c r="D270" s="61" t="s">
        <v>1021</v>
      </c>
      <c r="E270" s="61" t="s">
        <v>1022</v>
      </c>
      <c r="F270" s="60">
        <v>94063</v>
      </c>
      <c r="G270" s="61"/>
      <c r="H270" s="61" t="s">
        <v>1669</v>
      </c>
      <c r="I270" s="60">
        <v>21</v>
      </c>
      <c r="J270" s="60">
        <v>11</v>
      </c>
      <c r="K270" s="61" t="s">
        <v>2040</v>
      </c>
      <c r="L270" s="61"/>
      <c r="M270" s="61" t="s">
        <v>1862</v>
      </c>
      <c r="N270" s="61" t="s">
        <v>2038</v>
      </c>
      <c r="O270" s="61" t="s">
        <v>1673</v>
      </c>
      <c r="P270" s="61" t="s">
        <v>1678</v>
      </c>
      <c r="Q270" s="61" t="s">
        <v>1674</v>
      </c>
      <c r="R270" s="60">
        <v>213</v>
      </c>
      <c r="S270" s="61" t="s">
        <v>1675</v>
      </c>
      <c r="T270" s="60">
        <v>11613</v>
      </c>
      <c r="U270" s="60">
        <v>11039</v>
      </c>
      <c r="V270" s="60"/>
      <c r="W270" s="60"/>
      <c r="X270" s="60">
        <v>2125</v>
      </c>
      <c r="Y270" s="60">
        <v>2133</v>
      </c>
      <c r="Z270" s="60">
        <v>2710</v>
      </c>
      <c r="AA270" s="60">
        <v>2597</v>
      </c>
      <c r="AB270" s="60">
        <v>2994</v>
      </c>
      <c r="AC270" s="60">
        <v>2925</v>
      </c>
      <c r="AD270" s="60">
        <v>2361</v>
      </c>
      <c r="AE270" s="60">
        <v>1969</v>
      </c>
      <c r="AF270" s="60">
        <v>2498</v>
      </c>
      <c r="AG270" s="60">
        <v>340</v>
      </c>
      <c r="AH270" s="60"/>
      <c r="AI270" s="60">
        <v>2564</v>
      </c>
      <c r="AJ270" s="60">
        <v>1360</v>
      </c>
      <c r="AK270" s="60">
        <v>6124</v>
      </c>
      <c r="AL270" s="60">
        <v>93</v>
      </c>
      <c r="AM270" s="60">
        <v>501</v>
      </c>
      <c r="AN270" s="60">
        <v>221</v>
      </c>
      <c r="AO270" s="60">
        <v>11789</v>
      </c>
      <c r="AP270" s="60">
        <v>97</v>
      </c>
      <c r="AQ270" s="60">
        <v>206</v>
      </c>
      <c r="AR270" s="60"/>
      <c r="AS270" s="60">
        <v>20</v>
      </c>
      <c r="AT270" s="60">
        <v>48</v>
      </c>
      <c r="AU270" s="60">
        <v>17</v>
      </c>
      <c r="AV270" s="60">
        <v>7</v>
      </c>
      <c r="AW270" s="60"/>
      <c r="AX270" s="60">
        <v>9</v>
      </c>
      <c r="AY270" s="60">
        <v>107</v>
      </c>
      <c r="AZ270" s="60"/>
      <c r="BA270" s="60">
        <v>21956</v>
      </c>
      <c r="BB270" s="60">
        <v>56</v>
      </c>
      <c r="BC270" s="60">
        <v>110</v>
      </c>
      <c r="BD270" s="60">
        <v>19</v>
      </c>
      <c r="BE270" s="60">
        <v>583</v>
      </c>
      <c r="BF270" s="60">
        <v>5580</v>
      </c>
      <c r="BG270" s="60">
        <v>382</v>
      </c>
      <c r="BH270" s="60">
        <v>14280</v>
      </c>
      <c r="BI270" s="60">
        <v>1827</v>
      </c>
      <c r="BJ270" s="60">
        <v>380</v>
      </c>
      <c r="BK270" s="60">
        <v>143</v>
      </c>
      <c r="BL270" s="60">
        <v>691</v>
      </c>
      <c r="BM270" s="60">
        <v>3</v>
      </c>
      <c r="BN270" s="60">
        <v>1047</v>
      </c>
      <c r="BO270" s="60">
        <v>346</v>
      </c>
      <c r="BP270" s="60">
        <v>954</v>
      </c>
      <c r="BQ270" s="60">
        <v>473</v>
      </c>
      <c r="BR270" s="60">
        <v>6540</v>
      </c>
      <c r="BS270" s="60">
        <v>1199</v>
      </c>
      <c r="BT270" s="60">
        <v>41</v>
      </c>
      <c r="BU270" s="60">
        <v>1415</v>
      </c>
      <c r="BV270" s="60">
        <v>822</v>
      </c>
      <c r="BW270" s="60">
        <v>22</v>
      </c>
      <c r="BX270" s="60">
        <v>885</v>
      </c>
      <c r="BY270" s="60">
        <v>1475</v>
      </c>
      <c r="BZ270" s="60">
        <v>733</v>
      </c>
      <c r="CA270" s="60">
        <v>5483</v>
      </c>
      <c r="CB270" s="60"/>
      <c r="CC270" s="60"/>
      <c r="CD270" s="60">
        <v>2001</v>
      </c>
      <c r="CE270" s="60">
        <v>69</v>
      </c>
      <c r="CF270" s="60">
        <v>205</v>
      </c>
      <c r="CG270" s="60">
        <v>10</v>
      </c>
      <c r="CH270" s="60">
        <v>149</v>
      </c>
      <c r="CI270" s="60">
        <v>9</v>
      </c>
      <c r="CJ270" s="60">
        <v>96</v>
      </c>
      <c r="CK270" s="60">
        <v>268</v>
      </c>
      <c r="CL270" s="60">
        <v>15675</v>
      </c>
      <c r="CM270" s="60">
        <v>3428</v>
      </c>
      <c r="CN270" s="60">
        <v>121</v>
      </c>
      <c r="CO270" s="60">
        <v>443</v>
      </c>
      <c r="CP270" s="60">
        <v>33</v>
      </c>
      <c r="CQ270" s="60">
        <v>128</v>
      </c>
      <c r="CR270" s="60">
        <v>17</v>
      </c>
      <c r="CS270" s="60"/>
      <c r="CT270" s="60">
        <v>22652</v>
      </c>
      <c r="CU270" s="60">
        <v>353</v>
      </c>
      <c r="CV270" s="60">
        <v>20088</v>
      </c>
      <c r="CW270" s="60">
        <v>2211</v>
      </c>
      <c r="CX270" s="60">
        <v>1614</v>
      </c>
      <c r="CY270" s="60">
        <v>1443</v>
      </c>
      <c r="CZ270" s="60"/>
      <c r="DA270" s="60"/>
      <c r="DB270" s="60">
        <v>35</v>
      </c>
      <c r="DC270" s="60">
        <v>79</v>
      </c>
      <c r="DD270" s="60">
        <v>121</v>
      </c>
      <c r="DE270" s="60">
        <v>207</v>
      </c>
      <c r="DF270" s="60">
        <v>360</v>
      </c>
      <c r="DG270" s="60">
        <v>497</v>
      </c>
      <c r="DH270" s="60">
        <v>600</v>
      </c>
      <c r="DI270" s="60">
        <v>1157</v>
      </c>
      <c r="DJ270" s="60">
        <v>1</v>
      </c>
      <c r="DK270" s="60"/>
      <c r="DL270" s="60"/>
      <c r="DM270" s="60">
        <v>344</v>
      </c>
      <c r="DN270" s="60">
        <v>195</v>
      </c>
      <c r="DO270" s="60">
        <v>377</v>
      </c>
      <c r="DP270" s="60">
        <v>19</v>
      </c>
      <c r="DQ270" s="60">
        <v>4</v>
      </c>
      <c r="DR270" s="60">
        <v>2103</v>
      </c>
      <c r="DS270" s="60">
        <v>15</v>
      </c>
      <c r="DT270" s="60">
        <v>124</v>
      </c>
      <c r="DU270" s="60">
        <v>19</v>
      </c>
      <c r="DV270" s="60">
        <v>147</v>
      </c>
      <c r="DW270" s="60">
        <v>576</v>
      </c>
      <c r="DX270" s="60">
        <v>27</v>
      </c>
      <c r="DY270" s="60">
        <v>3</v>
      </c>
      <c r="DZ270" s="60">
        <v>95</v>
      </c>
      <c r="EA270" s="60">
        <v>1614</v>
      </c>
      <c r="EB270" s="60">
        <v>452</v>
      </c>
      <c r="EC270" s="60"/>
      <c r="ED270" s="60">
        <v>0</v>
      </c>
      <c r="EE270" s="60">
        <v>0</v>
      </c>
      <c r="EF270" s="60">
        <v>0</v>
      </c>
      <c r="EG270" s="60">
        <v>0</v>
      </c>
      <c r="EH270" s="60">
        <v>0</v>
      </c>
      <c r="EI270" s="60">
        <v>36</v>
      </c>
      <c r="EJ270" s="60">
        <v>2024</v>
      </c>
      <c r="EK270" s="60">
        <v>4</v>
      </c>
      <c r="EL270" s="60">
        <v>918</v>
      </c>
      <c r="EM270" s="60">
        <v>75</v>
      </c>
      <c r="EN270" s="60">
        <v>10</v>
      </c>
      <c r="EO270" s="60">
        <v>49</v>
      </c>
      <c r="EP270" s="60">
        <v>676</v>
      </c>
      <c r="EQ270" s="60">
        <v>4</v>
      </c>
      <c r="ER270" s="60">
        <v>457</v>
      </c>
      <c r="ES270" s="60">
        <v>88</v>
      </c>
      <c r="ET270" s="60">
        <v>146</v>
      </c>
      <c r="EU270" s="60">
        <v>688</v>
      </c>
      <c r="EV270" s="60">
        <v>293</v>
      </c>
      <c r="EW270" s="60">
        <v>52</v>
      </c>
      <c r="EX270" s="60">
        <v>86</v>
      </c>
      <c r="EY270" s="60">
        <v>63</v>
      </c>
      <c r="EZ270" s="60"/>
      <c r="FA270" s="60">
        <v>35</v>
      </c>
      <c r="FB270" s="60">
        <v>227</v>
      </c>
      <c r="FC270" s="60">
        <v>67</v>
      </c>
      <c r="FD270" s="60">
        <v>115</v>
      </c>
      <c r="FE270" s="60">
        <v>1</v>
      </c>
      <c r="FF270" s="60"/>
      <c r="FG270" s="60"/>
      <c r="FH270" s="60">
        <v>214</v>
      </c>
      <c r="FI270" s="60">
        <v>19</v>
      </c>
      <c r="FJ270" s="60">
        <v>324</v>
      </c>
      <c r="FK270" s="60">
        <v>2</v>
      </c>
      <c r="FL270" s="60">
        <v>12</v>
      </c>
      <c r="FM270" s="60">
        <v>104</v>
      </c>
      <c r="FN270" s="60">
        <v>12</v>
      </c>
      <c r="FO270" s="60">
        <v>2277</v>
      </c>
      <c r="FP270" s="60">
        <v>72</v>
      </c>
      <c r="FQ270" s="60">
        <v>5</v>
      </c>
      <c r="FR270" s="60">
        <v>9</v>
      </c>
      <c r="FS270" s="60">
        <v>6</v>
      </c>
      <c r="FT270" s="60">
        <v>1</v>
      </c>
      <c r="FU270" s="60"/>
      <c r="FV270" s="60"/>
      <c r="FW270" s="60"/>
      <c r="FX270" s="60">
        <v>3057</v>
      </c>
      <c r="FY270" s="60">
        <v>74</v>
      </c>
      <c r="FZ270" s="60">
        <v>2850</v>
      </c>
      <c r="GA270" s="60">
        <v>133</v>
      </c>
      <c r="GB270" s="60">
        <v>2011</v>
      </c>
    </row>
    <row r="271" spans="1:184" x14ac:dyDescent="0.3">
      <c r="A271" s="60">
        <v>106410806</v>
      </c>
      <c r="B271" s="61" t="s">
        <v>1023</v>
      </c>
      <c r="C271" s="61" t="s">
        <v>2041</v>
      </c>
      <c r="D271" s="61" t="s">
        <v>1024</v>
      </c>
      <c r="E271" s="61" t="s">
        <v>1025</v>
      </c>
      <c r="F271" s="60">
        <v>94080</v>
      </c>
      <c r="G271" s="61"/>
      <c r="H271" s="61" t="s">
        <v>1669</v>
      </c>
      <c r="I271" s="60">
        <v>19</v>
      </c>
      <c r="J271" s="60">
        <v>8</v>
      </c>
      <c r="K271" s="61" t="s">
        <v>2042</v>
      </c>
      <c r="L271" s="61"/>
      <c r="M271" s="61" t="s">
        <v>1862</v>
      </c>
      <c r="N271" s="61" t="s">
        <v>2038</v>
      </c>
      <c r="O271" s="61" t="s">
        <v>1673</v>
      </c>
      <c r="P271" s="61" t="s">
        <v>1678</v>
      </c>
      <c r="Q271" s="61" t="s">
        <v>1674</v>
      </c>
      <c r="R271" s="60">
        <v>120</v>
      </c>
      <c r="S271" s="61" t="s">
        <v>1675</v>
      </c>
      <c r="T271" s="60">
        <v>15412</v>
      </c>
      <c r="U271" s="60">
        <v>14529</v>
      </c>
      <c r="V271" s="60"/>
      <c r="W271" s="60"/>
      <c r="X271" s="60">
        <v>2804</v>
      </c>
      <c r="Y271" s="60">
        <v>2435</v>
      </c>
      <c r="Z271" s="60">
        <v>3979</v>
      </c>
      <c r="AA271" s="60">
        <v>3409</v>
      </c>
      <c r="AB271" s="60">
        <v>3564</v>
      </c>
      <c r="AC271" s="60">
        <v>4023</v>
      </c>
      <c r="AD271" s="60">
        <v>3256</v>
      </c>
      <c r="AE271" s="60">
        <v>2821</v>
      </c>
      <c r="AF271" s="60">
        <v>3223</v>
      </c>
      <c r="AG271" s="60">
        <v>427</v>
      </c>
      <c r="AH271" s="60"/>
      <c r="AI271" s="60">
        <v>8827</v>
      </c>
      <c r="AJ271" s="60">
        <v>2052</v>
      </c>
      <c r="AK271" s="60">
        <v>8084</v>
      </c>
      <c r="AL271" s="60">
        <v>89</v>
      </c>
      <c r="AM271" s="60">
        <v>431</v>
      </c>
      <c r="AN271" s="60">
        <v>178</v>
      </c>
      <c r="AO271" s="60">
        <v>10280</v>
      </c>
      <c r="AP271" s="60">
        <v>291</v>
      </c>
      <c r="AQ271" s="60">
        <v>189</v>
      </c>
      <c r="AR271" s="60"/>
      <c r="AS271" s="60">
        <v>37</v>
      </c>
      <c r="AT271" s="60">
        <v>160</v>
      </c>
      <c r="AU271" s="60">
        <v>32</v>
      </c>
      <c r="AV271" s="60">
        <v>5</v>
      </c>
      <c r="AW271" s="60"/>
      <c r="AX271" s="60">
        <v>15</v>
      </c>
      <c r="AY271" s="60">
        <v>140</v>
      </c>
      <c r="AZ271" s="60">
        <v>1</v>
      </c>
      <c r="BA271" s="60">
        <v>28876</v>
      </c>
      <c r="BB271" s="60">
        <v>78</v>
      </c>
      <c r="BC271" s="60">
        <v>115</v>
      </c>
      <c r="BD271" s="60">
        <v>2</v>
      </c>
      <c r="BE271" s="60">
        <v>744</v>
      </c>
      <c r="BF271" s="60">
        <v>7060</v>
      </c>
      <c r="BG271" s="60">
        <v>421</v>
      </c>
      <c r="BH271" s="60">
        <v>18972</v>
      </c>
      <c r="BI271" s="60">
        <v>2744</v>
      </c>
      <c r="BJ271" s="60">
        <v>329</v>
      </c>
      <c r="BK271" s="60">
        <v>129</v>
      </c>
      <c r="BL271" s="60">
        <v>1123</v>
      </c>
      <c r="BM271" s="60">
        <v>6</v>
      </c>
      <c r="BN271" s="60">
        <v>2035</v>
      </c>
      <c r="BO271" s="60">
        <v>740</v>
      </c>
      <c r="BP271" s="60">
        <v>1237</v>
      </c>
      <c r="BQ271" s="60">
        <v>680</v>
      </c>
      <c r="BR271" s="60">
        <v>7459</v>
      </c>
      <c r="BS271" s="60">
        <v>1587</v>
      </c>
      <c r="BT271" s="60">
        <v>64</v>
      </c>
      <c r="BU271" s="60">
        <v>1802</v>
      </c>
      <c r="BV271" s="60">
        <v>328</v>
      </c>
      <c r="BW271" s="60">
        <v>10</v>
      </c>
      <c r="BX271" s="60">
        <v>1210</v>
      </c>
      <c r="BY271" s="60">
        <v>3092</v>
      </c>
      <c r="BZ271" s="60">
        <v>1079</v>
      </c>
      <c r="CA271" s="60">
        <v>7029</v>
      </c>
      <c r="CB271" s="60"/>
      <c r="CC271" s="60">
        <v>2</v>
      </c>
      <c r="CD271" s="60">
        <v>2328</v>
      </c>
      <c r="CE271" s="60">
        <v>164</v>
      </c>
      <c r="CF271" s="60">
        <v>477</v>
      </c>
      <c r="CG271" s="60">
        <v>14</v>
      </c>
      <c r="CH271" s="60">
        <v>218</v>
      </c>
      <c r="CI271" s="60">
        <v>8</v>
      </c>
      <c r="CJ271" s="60">
        <v>248</v>
      </c>
      <c r="CK271" s="60">
        <v>285</v>
      </c>
      <c r="CL271" s="60">
        <v>21501</v>
      </c>
      <c r="CM271" s="60">
        <v>3677</v>
      </c>
      <c r="CN271" s="60">
        <v>125</v>
      </c>
      <c r="CO271" s="60">
        <v>639</v>
      </c>
      <c r="CP271" s="60">
        <v>29</v>
      </c>
      <c r="CQ271" s="60">
        <v>209</v>
      </c>
      <c r="CR271" s="60">
        <v>19</v>
      </c>
      <c r="CS271" s="60"/>
      <c r="CT271" s="60">
        <v>29941</v>
      </c>
      <c r="CU271" s="60">
        <v>875</v>
      </c>
      <c r="CV271" s="60">
        <v>26710</v>
      </c>
      <c r="CW271" s="60">
        <v>2356</v>
      </c>
      <c r="CX271" s="60">
        <v>2140</v>
      </c>
      <c r="CY271" s="60">
        <v>2075</v>
      </c>
      <c r="CZ271" s="60"/>
      <c r="DA271" s="60"/>
      <c r="DB271" s="60">
        <v>29</v>
      </c>
      <c r="DC271" s="60">
        <v>149</v>
      </c>
      <c r="DD271" s="60">
        <v>160</v>
      </c>
      <c r="DE271" s="60">
        <v>304</v>
      </c>
      <c r="DF271" s="60">
        <v>510</v>
      </c>
      <c r="DG271" s="60">
        <v>758</v>
      </c>
      <c r="DH271" s="60">
        <v>970</v>
      </c>
      <c r="DI271" s="60">
        <v>1335</v>
      </c>
      <c r="DJ271" s="60"/>
      <c r="DK271" s="60"/>
      <c r="DL271" s="60"/>
      <c r="DM271" s="60">
        <v>1165</v>
      </c>
      <c r="DN271" s="60">
        <v>264</v>
      </c>
      <c r="DO271" s="60">
        <v>699</v>
      </c>
      <c r="DP271" s="60">
        <v>26</v>
      </c>
      <c r="DQ271" s="60">
        <v>2</v>
      </c>
      <c r="DR271" s="60">
        <v>2048</v>
      </c>
      <c r="DS271" s="60">
        <v>11</v>
      </c>
      <c r="DT271" s="60">
        <v>241</v>
      </c>
      <c r="DU271" s="60">
        <v>28</v>
      </c>
      <c r="DV271" s="60">
        <v>194</v>
      </c>
      <c r="DW271" s="60">
        <v>751</v>
      </c>
      <c r="DX271" s="60">
        <v>37</v>
      </c>
      <c r="DY271" s="60">
        <v>3</v>
      </c>
      <c r="DZ271" s="60">
        <v>85</v>
      </c>
      <c r="EA271" s="60">
        <v>2445</v>
      </c>
      <c r="EB271" s="60">
        <v>431</v>
      </c>
      <c r="EC271" s="60"/>
      <c r="ED271" s="60">
        <v>0</v>
      </c>
      <c r="EE271" s="60">
        <v>0</v>
      </c>
      <c r="EF271" s="60">
        <v>0</v>
      </c>
      <c r="EG271" s="60">
        <v>0</v>
      </c>
      <c r="EH271" s="60">
        <v>0</v>
      </c>
      <c r="EI271" s="60">
        <v>42</v>
      </c>
      <c r="EJ271" s="60">
        <v>2694</v>
      </c>
      <c r="EK271" s="60">
        <v>14</v>
      </c>
      <c r="EL271" s="60">
        <v>1367</v>
      </c>
      <c r="EM271" s="60">
        <v>98</v>
      </c>
      <c r="EN271" s="60">
        <v>10</v>
      </c>
      <c r="EO271" s="60">
        <v>51</v>
      </c>
      <c r="EP271" s="60">
        <v>857</v>
      </c>
      <c r="EQ271" s="60">
        <v>2</v>
      </c>
      <c r="ER271" s="60">
        <v>711</v>
      </c>
      <c r="ES271" s="60">
        <v>173</v>
      </c>
      <c r="ET271" s="60">
        <v>198</v>
      </c>
      <c r="EU271" s="60">
        <v>795</v>
      </c>
      <c r="EV271" s="60">
        <v>356</v>
      </c>
      <c r="EW271" s="60">
        <v>69</v>
      </c>
      <c r="EX271" s="60">
        <v>127</v>
      </c>
      <c r="EY271" s="60">
        <v>52</v>
      </c>
      <c r="EZ271" s="60"/>
      <c r="FA271" s="60">
        <v>53</v>
      </c>
      <c r="FB271" s="60">
        <v>431</v>
      </c>
      <c r="FC271" s="60">
        <v>77</v>
      </c>
      <c r="FD271" s="60">
        <v>253</v>
      </c>
      <c r="FE271" s="60"/>
      <c r="FF271" s="60"/>
      <c r="FG271" s="60"/>
      <c r="FH271" s="60">
        <v>254</v>
      </c>
      <c r="FI271" s="60">
        <v>19</v>
      </c>
      <c r="FJ271" s="60">
        <v>548</v>
      </c>
      <c r="FK271" s="60">
        <v>8</v>
      </c>
      <c r="FL271" s="60">
        <v>7</v>
      </c>
      <c r="FM271" s="60">
        <v>151</v>
      </c>
      <c r="FN271" s="60">
        <v>15</v>
      </c>
      <c r="FO271" s="60">
        <v>3102</v>
      </c>
      <c r="FP271" s="60">
        <v>75</v>
      </c>
      <c r="FQ271" s="60">
        <v>2</v>
      </c>
      <c r="FR271" s="60">
        <v>6</v>
      </c>
      <c r="FS271" s="60">
        <v>9</v>
      </c>
      <c r="FT271" s="60">
        <v>12</v>
      </c>
      <c r="FU271" s="60">
        <v>7</v>
      </c>
      <c r="FV271" s="60"/>
      <c r="FW271" s="60"/>
      <c r="FX271" s="60">
        <v>4215</v>
      </c>
      <c r="FY271" s="60">
        <v>191</v>
      </c>
      <c r="FZ271" s="60">
        <v>3784</v>
      </c>
      <c r="GA271" s="60">
        <v>240</v>
      </c>
      <c r="GB271" s="60">
        <v>2011</v>
      </c>
    </row>
    <row r="272" spans="1:184" x14ac:dyDescent="0.3">
      <c r="A272" s="60">
        <v>106410817</v>
      </c>
      <c r="B272" s="61" t="s">
        <v>1026</v>
      </c>
      <c r="C272" s="61" t="s">
        <v>1027</v>
      </c>
      <c r="D272" s="61" t="s">
        <v>1028</v>
      </c>
      <c r="E272" s="61" t="s">
        <v>1029</v>
      </c>
      <c r="F272" s="60">
        <v>94015</v>
      </c>
      <c r="G272" s="61"/>
      <c r="H272" s="61" t="s">
        <v>1669</v>
      </c>
      <c r="I272" s="60">
        <v>19</v>
      </c>
      <c r="J272" s="60">
        <v>8</v>
      </c>
      <c r="K272" s="61" t="s">
        <v>2043</v>
      </c>
      <c r="L272" s="61"/>
      <c r="M272" s="61" t="s">
        <v>1862</v>
      </c>
      <c r="N272" s="61" t="s">
        <v>2038</v>
      </c>
      <c r="O272" s="61" t="s">
        <v>1673</v>
      </c>
      <c r="P272" s="61" t="s">
        <v>1678</v>
      </c>
      <c r="Q272" s="61" t="s">
        <v>1674</v>
      </c>
      <c r="R272" s="60">
        <v>250</v>
      </c>
      <c r="S272" s="61" t="s">
        <v>1675</v>
      </c>
      <c r="T272" s="60">
        <v>11276</v>
      </c>
      <c r="U272" s="60">
        <v>8710</v>
      </c>
      <c r="V272" s="60"/>
      <c r="W272" s="60"/>
      <c r="X272" s="60">
        <v>2300</v>
      </c>
      <c r="Y272" s="60">
        <v>1965</v>
      </c>
      <c r="Z272" s="60">
        <v>3263</v>
      </c>
      <c r="AA272" s="60">
        <v>2744</v>
      </c>
      <c r="AB272" s="60">
        <v>2400</v>
      </c>
      <c r="AC272" s="60">
        <v>2135</v>
      </c>
      <c r="AD272" s="60">
        <v>1686</v>
      </c>
      <c r="AE272" s="60">
        <v>1453</v>
      </c>
      <c r="AF272" s="60">
        <v>1540</v>
      </c>
      <c r="AG272" s="60">
        <v>500</v>
      </c>
      <c r="AH272" s="60"/>
      <c r="AI272" s="60">
        <v>4737</v>
      </c>
      <c r="AJ272" s="60">
        <v>1204</v>
      </c>
      <c r="AK272" s="60">
        <v>7459</v>
      </c>
      <c r="AL272" s="60">
        <v>19</v>
      </c>
      <c r="AM272" s="60">
        <v>115</v>
      </c>
      <c r="AN272" s="60">
        <v>1316</v>
      </c>
      <c r="AO272" s="60">
        <v>5136</v>
      </c>
      <c r="AP272" s="60">
        <v>205</v>
      </c>
      <c r="AQ272" s="60">
        <v>593</v>
      </c>
      <c r="AR272" s="60"/>
      <c r="AS272" s="60">
        <v>68</v>
      </c>
      <c r="AT272" s="60">
        <v>1</v>
      </c>
      <c r="AU272" s="60">
        <v>4</v>
      </c>
      <c r="AV272" s="60">
        <v>5</v>
      </c>
      <c r="AW272" s="60">
        <v>34</v>
      </c>
      <c r="AX272" s="60"/>
      <c r="AY272" s="60">
        <v>10</v>
      </c>
      <c r="AZ272" s="60"/>
      <c r="BA272" s="60">
        <v>18996</v>
      </c>
      <c r="BB272" s="60">
        <v>70</v>
      </c>
      <c r="BC272" s="60"/>
      <c r="BD272" s="60"/>
      <c r="BE272" s="60">
        <v>5644</v>
      </c>
      <c r="BF272" s="60">
        <v>4608</v>
      </c>
      <c r="BG272" s="60">
        <v>902</v>
      </c>
      <c r="BH272" s="60">
        <v>6206</v>
      </c>
      <c r="BI272" s="60">
        <v>2626</v>
      </c>
      <c r="BJ272" s="60">
        <v>391</v>
      </c>
      <c r="BK272" s="60">
        <v>40</v>
      </c>
      <c r="BL272" s="60">
        <v>427</v>
      </c>
      <c r="BM272" s="60">
        <v>3</v>
      </c>
      <c r="BN272" s="60">
        <v>841</v>
      </c>
      <c r="BO272" s="60">
        <v>308</v>
      </c>
      <c r="BP272" s="60">
        <v>1084</v>
      </c>
      <c r="BQ272" s="60">
        <v>435</v>
      </c>
      <c r="BR272" s="60">
        <v>4509</v>
      </c>
      <c r="BS272" s="60">
        <v>1137</v>
      </c>
      <c r="BT272" s="60">
        <v>21</v>
      </c>
      <c r="BU272" s="60">
        <v>2276</v>
      </c>
      <c r="BV272" s="60">
        <v>451</v>
      </c>
      <c r="BW272" s="60">
        <v>8</v>
      </c>
      <c r="BX272" s="60">
        <v>570</v>
      </c>
      <c r="BY272" s="60">
        <v>2078</v>
      </c>
      <c r="BZ272" s="60">
        <v>1075</v>
      </c>
      <c r="CA272" s="60">
        <v>4332</v>
      </c>
      <c r="CB272" s="60"/>
      <c r="CC272" s="60"/>
      <c r="CD272" s="60">
        <v>1763</v>
      </c>
      <c r="CE272" s="60">
        <v>136</v>
      </c>
      <c r="CF272" s="60">
        <v>177</v>
      </c>
      <c r="CG272" s="60">
        <v>14</v>
      </c>
      <c r="CH272" s="60">
        <v>192</v>
      </c>
      <c r="CI272" s="60">
        <v>25</v>
      </c>
      <c r="CJ272" s="60">
        <v>11</v>
      </c>
      <c r="CK272" s="60">
        <v>159</v>
      </c>
      <c r="CL272" s="60">
        <v>14758</v>
      </c>
      <c r="CM272" s="60">
        <v>1909</v>
      </c>
      <c r="CN272" s="60">
        <v>81</v>
      </c>
      <c r="CO272" s="60">
        <v>606</v>
      </c>
      <c r="CP272" s="60">
        <v>14</v>
      </c>
      <c r="CQ272" s="60">
        <v>123</v>
      </c>
      <c r="CR272" s="60">
        <v>18</v>
      </c>
      <c r="CS272" s="60"/>
      <c r="CT272" s="60">
        <v>19986</v>
      </c>
      <c r="CU272" s="60">
        <v>2263</v>
      </c>
      <c r="CV272" s="60">
        <v>16221</v>
      </c>
      <c r="CW272" s="60">
        <v>1502</v>
      </c>
      <c r="CX272" s="60">
        <v>2783</v>
      </c>
      <c r="CY272" s="60">
        <v>2241</v>
      </c>
      <c r="CZ272" s="60"/>
      <c r="DA272" s="60"/>
      <c r="DB272" s="60">
        <v>26</v>
      </c>
      <c r="DC272" s="60">
        <v>138</v>
      </c>
      <c r="DD272" s="60">
        <v>216</v>
      </c>
      <c r="DE272" s="60">
        <v>334</v>
      </c>
      <c r="DF272" s="60">
        <v>531</v>
      </c>
      <c r="DG272" s="60">
        <v>777</v>
      </c>
      <c r="DH272" s="60">
        <v>1160</v>
      </c>
      <c r="DI272" s="60">
        <v>1839</v>
      </c>
      <c r="DJ272" s="60">
        <v>2</v>
      </c>
      <c r="DK272" s="60">
        <v>1</v>
      </c>
      <c r="DL272" s="60"/>
      <c r="DM272" s="60">
        <v>2111</v>
      </c>
      <c r="DN272" s="60">
        <v>291</v>
      </c>
      <c r="DO272" s="60">
        <v>622</v>
      </c>
      <c r="DP272" s="60">
        <v>15</v>
      </c>
      <c r="DQ272" s="60">
        <v>18</v>
      </c>
      <c r="DR272" s="60">
        <v>1965</v>
      </c>
      <c r="DS272" s="60">
        <v>2</v>
      </c>
      <c r="DT272" s="60">
        <v>81</v>
      </c>
      <c r="DU272" s="60">
        <v>72</v>
      </c>
      <c r="DV272" s="60">
        <v>250</v>
      </c>
      <c r="DW272" s="60">
        <v>447</v>
      </c>
      <c r="DX272" s="60">
        <v>38</v>
      </c>
      <c r="DY272" s="60">
        <v>9</v>
      </c>
      <c r="DZ272" s="60">
        <v>124</v>
      </c>
      <c r="EA272" s="60">
        <v>2989</v>
      </c>
      <c r="EB272" s="60">
        <v>1014</v>
      </c>
      <c r="EC272" s="60"/>
      <c r="ED272" s="60">
        <v>0</v>
      </c>
      <c r="EE272" s="60">
        <v>0</v>
      </c>
      <c r="EF272" s="60">
        <v>0</v>
      </c>
      <c r="EG272" s="60">
        <v>0</v>
      </c>
      <c r="EH272" s="60">
        <v>0</v>
      </c>
      <c r="EI272" s="60">
        <v>669</v>
      </c>
      <c r="EJ272" s="60">
        <v>3303</v>
      </c>
      <c r="EK272" s="60">
        <v>109</v>
      </c>
      <c r="EL272" s="60">
        <v>872</v>
      </c>
      <c r="EM272" s="60">
        <v>71</v>
      </c>
      <c r="EN272" s="60">
        <v>27</v>
      </c>
      <c r="EO272" s="60">
        <v>90</v>
      </c>
      <c r="EP272" s="60">
        <v>1321</v>
      </c>
      <c r="EQ272" s="60">
        <v>3</v>
      </c>
      <c r="ER272" s="60">
        <v>670</v>
      </c>
      <c r="ES272" s="60">
        <v>223</v>
      </c>
      <c r="ET272" s="60">
        <v>313</v>
      </c>
      <c r="EU272" s="60">
        <v>531</v>
      </c>
      <c r="EV272" s="60">
        <v>424</v>
      </c>
      <c r="EW272" s="60">
        <v>72</v>
      </c>
      <c r="EX272" s="60">
        <v>187</v>
      </c>
      <c r="EY272" s="60">
        <v>107</v>
      </c>
      <c r="EZ272" s="60">
        <v>5</v>
      </c>
      <c r="FA272" s="60">
        <v>23</v>
      </c>
      <c r="FB272" s="60">
        <v>740</v>
      </c>
      <c r="FC272" s="60">
        <v>123</v>
      </c>
      <c r="FD272" s="60">
        <v>163</v>
      </c>
      <c r="FE272" s="60"/>
      <c r="FF272" s="60">
        <v>2</v>
      </c>
      <c r="FG272" s="60"/>
      <c r="FH272" s="60">
        <v>313</v>
      </c>
      <c r="FI272" s="60">
        <v>31</v>
      </c>
      <c r="FJ272" s="60">
        <v>515</v>
      </c>
      <c r="FK272" s="60">
        <v>5</v>
      </c>
      <c r="FL272" s="60">
        <v>13</v>
      </c>
      <c r="FM272" s="60">
        <v>86</v>
      </c>
      <c r="FN272" s="60">
        <v>11</v>
      </c>
      <c r="FO272" s="60">
        <v>3940</v>
      </c>
      <c r="FP272" s="60">
        <v>64</v>
      </c>
      <c r="FQ272" s="60">
        <v>5</v>
      </c>
      <c r="FR272" s="60">
        <v>15</v>
      </c>
      <c r="FS272" s="60">
        <v>13</v>
      </c>
      <c r="FT272" s="60">
        <v>9</v>
      </c>
      <c r="FU272" s="60">
        <v>2</v>
      </c>
      <c r="FV272" s="60"/>
      <c r="FW272" s="60">
        <v>2</v>
      </c>
      <c r="FX272" s="60">
        <v>5024</v>
      </c>
      <c r="FY272" s="60">
        <v>1350</v>
      </c>
      <c r="FZ272" s="60">
        <v>3353</v>
      </c>
      <c r="GA272" s="60">
        <v>321</v>
      </c>
      <c r="GB272" s="60">
        <v>2011</v>
      </c>
    </row>
    <row r="273" spans="1:184" x14ac:dyDescent="0.3">
      <c r="A273" s="60">
        <v>106410828</v>
      </c>
      <c r="B273" s="61" t="s">
        <v>1030</v>
      </c>
      <c r="C273" s="61" t="s">
        <v>2044</v>
      </c>
      <c r="D273" s="61" t="s">
        <v>1031</v>
      </c>
      <c r="E273" s="61" t="s">
        <v>1032</v>
      </c>
      <c r="F273" s="60">
        <v>94038</v>
      </c>
      <c r="G273" s="61"/>
      <c r="H273" s="61" t="s">
        <v>1669</v>
      </c>
      <c r="I273" s="60">
        <v>19</v>
      </c>
      <c r="J273" s="60">
        <v>8</v>
      </c>
      <c r="K273" s="61" t="s">
        <v>2045</v>
      </c>
      <c r="L273" s="61"/>
      <c r="M273" s="61" t="s">
        <v>1862</v>
      </c>
      <c r="N273" s="61" t="s">
        <v>2038</v>
      </c>
      <c r="O273" s="61" t="s">
        <v>1673</v>
      </c>
      <c r="P273" s="61" t="s">
        <v>1678</v>
      </c>
      <c r="Q273" s="61" t="s">
        <v>1758</v>
      </c>
      <c r="R273" s="60">
        <v>5</v>
      </c>
      <c r="S273" s="61" t="s">
        <v>1706</v>
      </c>
      <c r="T273" s="60">
        <v>1570</v>
      </c>
      <c r="U273" s="60">
        <v>1494</v>
      </c>
      <c r="V273" s="60"/>
      <c r="W273" s="60"/>
      <c r="X273" s="60">
        <v>537</v>
      </c>
      <c r="Y273" s="60">
        <v>386</v>
      </c>
      <c r="Z273" s="60">
        <v>353</v>
      </c>
      <c r="AA273" s="60">
        <v>362</v>
      </c>
      <c r="AB273" s="60">
        <v>429</v>
      </c>
      <c r="AC273" s="60">
        <v>370</v>
      </c>
      <c r="AD273" s="60">
        <v>285</v>
      </c>
      <c r="AE273" s="60">
        <v>120</v>
      </c>
      <c r="AF273" s="60">
        <v>131</v>
      </c>
      <c r="AG273" s="60">
        <v>91</v>
      </c>
      <c r="AH273" s="60"/>
      <c r="AI273" s="60"/>
      <c r="AJ273" s="60"/>
      <c r="AK273" s="60">
        <v>2061</v>
      </c>
      <c r="AL273" s="60"/>
      <c r="AM273" s="60">
        <v>29</v>
      </c>
      <c r="AN273" s="60">
        <v>973</v>
      </c>
      <c r="AO273" s="60">
        <v>1</v>
      </c>
      <c r="AP273" s="60">
        <v>195</v>
      </c>
      <c r="AQ273" s="60">
        <v>8</v>
      </c>
      <c r="AR273" s="60"/>
      <c r="AS273" s="60">
        <v>3</v>
      </c>
      <c r="AT273" s="60"/>
      <c r="AU273" s="60"/>
      <c r="AV273" s="60"/>
      <c r="AW273" s="60"/>
      <c r="AX273" s="60"/>
      <c r="AY273" s="60">
        <v>1</v>
      </c>
      <c r="AZ273" s="60"/>
      <c r="BA273" s="60">
        <v>2845</v>
      </c>
      <c r="BB273" s="60">
        <v>12</v>
      </c>
      <c r="BC273" s="60"/>
      <c r="BD273" s="60"/>
      <c r="BE273" s="60">
        <v>959</v>
      </c>
      <c r="BF273" s="60">
        <v>435</v>
      </c>
      <c r="BG273" s="60">
        <v>180</v>
      </c>
      <c r="BH273" s="60">
        <v>1148</v>
      </c>
      <c r="BI273" s="60">
        <v>342</v>
      </c>
      <c r="BJ273" s="60">
        <v>16</v>
      </c>
      <c r="BK273" s="60">
        <v>2</v>
      </c>
      <c r="BL273" s="60">
        <v>47</v>
      </c>
      <c r="BM273" s="60"/>
      <c r="BN273" s="60">
        <v>140</v>
      </c>
      <c r="BO273" s="60">
        <v>14</v>
      </c>
      <c r="BP273" s="60">
        <v>104</v>
      </c>
      <c r="BQ273" s="60">
        <v>102</v>
      </c>
      <c r="BR273" s="60">
        <v>955</v>
      </c>
      <c r="BS273" s="60">
        <v>149</v>
      </c>
      <c r="BT273" s="60"/>
      <c r="BU273" s="60">
        <v>321</v>
      </c>
      <c r="BV273" s="60">
        <v>127</v>
      </c>
      <c r="BW273" s="60"/>
      <c r="BX273" s="60">
        <v>67</v>
      </c>
      <c r="BY273" s="60">
        <v>403</v>
      </c>
      <c r="BZ273" s="60">
        <v>190</v>
      </c>
      <c r="CA273" s="60">
        <v>427</v>
      </c>
      <c r="CB273" s="60"/>
      <c r="CC273" s="60"/>
      <c r="CD273" s="60">
        <v>247</v>
      </c>
      <c r="CE273" s="60">
        <v>45</v>
      </c>
      <c r="CF273" s="60">
        <v>16</v>
      </c>
      <c r="CG273" s="60">
        <v>3</v>
      </c>
      <c r="CH273" s="60">
        <v>11</v>
      </c>
      <c r="CI273" s="60">
        <v>1</v>
      </c>
      <c r="CJ273" s="60">
        <v>9</v>
      </c>
      <c r="CK273" s="60">
        <v>69</v>
      </c>
      <c r="CL273" s="60">
        <v>2019</v>
      </c>
      <c r="CM273" s="60">
        <v>541</v>
      </c>
      <c r="CN273" s="60">
        <v>37</v>
      </c>
      <c r="CO273" s="60">
        <v>45</v>
      </c>
      <c r="CP273" s="60">
        <v>3</v>
      </c>
      <c r="CQ273" s="60">
        <v>17</v>
      </c>
      <c r="CR273" s="60">
        <v>1</v>
      </c>
      <c r="CS273" s="60"/>
      <c r="CT273" s="60">
        <v>3064</v>
      </c>
      <c r="CU273" s="60">
        <v>31</v>
      </c>
      <c r="CV273" s="60">
        <v>2245</v>
      </c>
      <c r="CW273" s="60">
        <v>788</v>
      </c>
      <c r="CX273" s="60"/>
      <c r="CY273" s="60"/>
      <c r="CZ273" s="60"/>
      <c r="DA273" s="60"/>
      <c r="DB273" s="60"/>
      <c r="DC273" s="60"/>
      <c r="DD273" s="60"/>
      <c r="DE273" s="60"/>
      <c r="DF273" s="60"/>
      <c r="DG273" s="60"/>
      <c r="DH273" s="60"/>
      <c r="DI273" s="60"/>
      <c r="DJ273" s="60"/>
      <c r="DK273" s="60"/>
      <c r="DL273" s="60"/>
      <c r="DM273" s="60"/>
      <c r="DN273" s="60"/>
      <c r="DO273" s="60"/>
      <c r="DP273" s="60"/>
      <c r="DQ273" s="60"/>
      <c r="DR273" s="60"/>
      <c r="DS273" s="60"/>
      <c r="DT273" s="60"/>
      <c r="DU273" s="60"/>
      <c r="DV273" s="60"/>
      <c r="DW273" s="60"/>
      <c r="DX273" s="60"/>
      <c r="DY273" s="60"/>
      <c r="DZ273" s="60"/>
      <c r="EA273" s="60"/>
      <c r="EB273" s="60"/>
      <c r="EC273" s="60"/>
      <c r="ED273" s="60"/>
      <c r="EE273" s="60"/>
      <c r="EF273" s="60"/>
      <c r="EG273" s="60"/>
      <c r="EH273" s="60"/>
      <c r="EI273" s="60"/>
      <c r="EJ273" s="60"/>
      <c r="EK273" s="60"/>
      <c r="EL273" s="60"/>
      <c r="EM273" s="60"/>
      <c r="EN273" s="60"/>
      <c r="EO273" s="60"/>
      <c r="EP273" s="60"/>
      <c r="EQ273" s="60"/>
      <c r="ER273" s="60"/>
      <c r="ES273" s="60"/>
      <c r="ET273" s="60"/>
      <c r="EU273" s="60"/>
      <c r="EV273" s="60"/>
      <c r="EW273" s="60"/>
      <c r="EX273" s="60"/>
      <c r="EY273" s="60"/>
      <c r="EZ273" s="60"/>
      <c r="FA273" s="60"/>
      <c r="FB273" s="60"/>
      <c r="FC273" s="60"/>
      <c r="FD273" s="60"/>
      <c r="FE273" s="60"/>
      <c r="FF273" s="60"/>
      <c r="FG273" s="60"/>
      <c r="FH273" s="60"/>
      <c r="FI273" s="60"/>
      <c r="FJ273" s="60"/>
      <c r="FK273" s="60"/>
      <c r="FL273" s="60"/>
      <c r="FM273" s="60"/>
      <c r="FN273" s="60"/>
      <c r="FO273" s="60"/>
      <c r="FP273" s="60"/>
      <c r="FQ273" s="60"/>
      <c r="FR273" s="60"/>
      <c r="FS273" s="60"/>
      <c r="FT273" s="60"/>
      <c r="FU273" s="60"/>
      <c r="FV273" s="60"/>
      <c r="FW273" s="60"/>
      <c r="FX273" s="60"/>
      <c r="FY273" s="60"/>
      <c r="FZ273" s="60"/>
      <c r="GA273" s="60"/>
      <c r="GB273" s="60">
        <v>2011</v>
      </c>
    </row>
    <row r="274" spans="1:184" x14ac:dyDescent="0.3">
      <c r="A274" s="60">
        <v>106410852</v>
      </c>
      <c r="B274" s="61" t="s">
        <v>1033</v>
      </c>
      <c r="C274" s="61" t="s">
        <v>1034</v>
      </c>
      <c r="D274" s="61" t="s">
        <v>1035</v>
      </c>
      <c r="E274" s="61" t="s">
        <v>1036</v>
      </c>
      <c r="F274" s="60">
        <v>94010</v>
      </c>
      <c r="G274" s="61"/>
      <c r="H274" s="61" t="s">
        <v>1669</v>
      </c>
      <c r="I274" s="60">
        <v>19</v>
      </c>
      <c r="J274" s="60">
        <v>8</v>
      </c>
      <c r="K274" s="61" t="s">
        <v>2037</v>
      </c>
      <c r="L274" s="61"/>
      <c r="M274" s="61" t="s">
        <v>1862</v>
      </c>
      <c r="N274" s="61" t="s">
        <v>2038</v>
      </c>
      <c r="O274" s="61" t="s">
        <v>1673</v>
      </c>
      <c r="P274" s="61" t="s">
        <v>1678</v>
      </c>
      <c r="Q274" s="61" t="s">
        <v>1674</v>
      </c>
      <c r="R274" s="60">
        <v>241</v>
      </c>
      <c r="S274" s="61" t="s">
        <v>1675</v>
      </c>
      <c r="T274" s="60">
        <v>19511</v>
      </c>
      <c r="U274" s="60">
        <v>15977</v>
      </c>
      <c r="V274" s="60">
        <v>2</v>
      </c>
      <c r="W274" s="60"/>
      <c r="X274" s="60">
        <v>4469</v>
      </c>
      <c r="Y274" s="60">
        <v>3291</v>
      </c>
      <c r="Z274" s="60">
        <v>4457</v>
      </c>
      <c r="AA274" s="60">
        <v>4483</v>
      </c>
      <c r="AB274" s="60">
        <v>4684</v>
      </c>
      <c r="AC274" s="60">
        <v>4250</v>
      </c>
      <c r="AD274" s="60">
        <v>2995</v>
      </c>
      <c r="AE274" s="60">
        <v>2338</v>
      </c>
      <c r="AF274" s="60">
        <v>3610</v>
      </c>
      <c r="AG274" s="60">
        <v>913</v>
      </c>
      <c r="AH274" s="60"/>
      <c r="AI274" s="60">
        <v>5174</v>
      </c>
      <c r="AJ274" s="60">
        <v>1560</v>
      </c>
      <c r="AK274" s="60">
        <v>7446</v>
      </c>
      <c r="AL274" s="60">
        <v>58</v>
      </c>
      <c r="AM274" s="60">
        <v>1572</v>
      </c>
      <c r="AN274" s="60">
        <v>145</v>
      </c>
      <c r="AO274" s="60">
        <v>19535</v>
      </c>
      <c r="AP274" s="60">
        <v>247</v>
      </c>
      <c r="AQ274" s="60">
        <v>225</v>
      </c>
      <c r="AR274" s="60"/>
      <c r="AS274" s="60">
        <v>43</v>
      </c>
      <c r="AT274" s="60">
        <v>98</v>
      </c>
      <c r="AU274" s="60">
        <v>34</v>
      </c>
      <c r="AV274" s="60"/>
      <c r="AW274" s="60">
        <v>2</v>
      </c>
      <c r="AX274" s="60">
        <v>21</v>
      </c>
      <c r="AY274" s="60">
        <v>193</v>
      </c>
      <c r="AZ274" s="60">
        <v>3</v>
      </c>
      <c r="BA274" s="60">
        <v>34413</v>
      </c>
      <c r="BB274" s="60">
        <v>134</v>
      </c>
      <c r="BC274" s="60">
        <v>69</v>
      </c>
      <c r="BD274" s="60">
        <v>8</v>
      </c>
      <c r="BE274" s="60">
        <v>6505</v>
      </c>
      <c r="BF274" s="60">
        <v>7845</v>
      </c>
      <c r="BG274" s="60">
        <v>1284</v>
      </c>
      <c r="BH274" s="60">
        <v>16037</v>
      </c>
      <c r="BI274" s="60">
        <v>3819</v>
      </c>
      <c r="BJ274" s="60">
        <v>700</v>
      </c>
      <c r="BK274" s="60">
        <v>63</v>
      </c>
      <c r="BL274" s="60">
        <v>740</v>
      </c>
      <c r="BM274" s="60">
        <v>5</v>
      </c>
      <c r="BN274" s="60">
        <v>1657</v>
      </c>
      <c r="BO274" s="60">
        <v>429</v>
      </c>
      <c r="BP274" s="60">
        <v>1676</v>
      </c>
      <c r="BQ274" s="60">
        <v>927</v>
      </c>
      <c r="BR274" s="60">
        <v>9702</v>
      </c>
      <c r="BS274" s="60">
        <v>2216</v>
      </c>
      <c r="BT274" s="60">
        <v>35</v>
      </c>
      <c r="BU274" s="60">
        <v>2126</v>
      </c>
      <c r="BV274" s="60">
        <v>1157</v>
      </c>
      <c r="BW274" s="60">
        <v>31</v>
      </c>
      <c r="BX274" s="60">
        <v>1232</v>
      </c>
      <c r="BY274" s="60">
        <v>3136</v>
      </c>
      <c r="BZ274" s="60">
        <v>1429</v>
      </c>
      <c r="CA274" s="60">
        <v>8229</v>
      </c>
      <c r="CB274" s="60"/>
      <c r="CC274" s="60"/>
      <c r="CD274" s="60">
        <v>3564</v>
      </c>
      <c r="CE274" s="60">
        <v>149</v>
      </c>
      <c r="CF274" s="60">
        <v>299</v>
      </c>
      <c r="CG274" s="60">
        <v>14</v>
      </c>
      <c r="CH274" s="60">
        <v>195</v>
      </c>
      <c r="CI274" s="60">
        <v>21</v>
      </c>
      <c r="CJ274" s="60">
        <v>191</v>
      </c>
      <c r="CK274" s="60">
        <v>359</v>
      </c>
      <c r="CL274" s="60">
        <v>25108</v>
      </c>
      <c r="CM274" s="60">
        <v>4318</v>
      </c>
      <c r="CN274" s="60">
        <v>263</v>
      </c>
      <c r="CO274" s="60">
        <v>701</v>
      </c>
      <c r="CP274" s="60">
        <v>49</v>
      </c>
      <c r="CQ274" s="60">
        <v>254</v>
      </c>
      <c r="CR274" s="60">
        <v>5</v>
      </c>
      <c r="CS274" s="60"/>
      <c r="CT274" s="60">
        <v>35490</v>
      </c>
      <c r="CU274" s="60">
        <v>1019</v>
      </c>
      <c r="CV274" s="60">
        <v>32340</v>
      </c>
      <c r="CW274" s="60">
        <v>2131</v>
      </c>
      <c r="CX274" s="60">
        <v>4344</v>
      </c>
      <c r="CY274" s="60">
        <v>3487</v>
      </c>
      <c r="CZ274" s="60">
        <v>2</v>
      </c>
      <c r="DA274" s="60">
        <v>1</v>
      </c>
      <c r="DB274" s="60">
        <v>431</v>
      </c>
      <c r="DC274" s="60">
        <v>403</v>
      </c>
      <c r="DD274" s="60">
        <v>449</v>
      </c>
      <c r="DE274" s="60">
        <v>669</v>
      </c>
      <c r="DF274" s="60">
        <v>944</v>
      </c>
      <c r="DG274" s="60">
        <v>1041</v>
      </c>
      <c r="DH274" s="60">
        <v>1124</v>
      </c>
      <c r="DI274" s="60">
        <v>2754</v>
      </c>
      <c r="DJ274" s="60">
        <v>7</v>
      </c>
      <c r="DK274" s="60">
        <v>12</v>
      </c>
      <c r="DL274" s="60"/>
      <c r="DM274" s="60">
        <v>1092</v>
      </c>
      <c r="DN274" s="60">
        <v>255</v>
      </c>
      <c r="DO274" s="60">
        <v>740</v>
      </c>
      <c r="DP274" s="60">
        <v>225</v>
      </c>
      <c r="DQ274" s="60">
        <v>45</v>
      </c>
      <c r="DR274" s="60">
        <v>5466</v>
      </c>
      <c r="DS274" s="60">
        <v>11</v>
      </c>
      <c r="DT274" s="60">
        <v>155</v>
      </c>
      <c r="DU274" s="60">
        <v>92</v>
      </c>
      <c r="DV274" s="60">
        <v>304</v>
      </c>
      <c r="DW274" s="60">
        <v>1209</v>
      </c>
      <c r="DX274" s="60">
        <v>87</v>
      </c>
      <c r="DY274" s="60">
        <v>29</v>
      </c>
      <c r="DZ274" s="60"/>
      <c r="EA274" s="60">
        <v>4643</v>
      </c>
      <c r="EB274" s="60">
        <v>1313</v>
      </c>
      <c r="EC274" s="60">
        <v>2</v>
      </c>
      <c r="ED274" s="60">
        <v>0</v>
      </c>
      <c r="EE274" s="60">
        <v>0</v>
      </c>
      <c r="EF274" s="60">
        <v>0</v>
      </c>
      <c r="EG274" s="60">
        <v>0</v>
      </c>
      <c r="EH274" s="60">
        <v>0</v>
      </c>
      <c r="EI274" s="60">
        <v>478</v>
      </c>
      <c r="EJ274" s="60">
        <v>4625</v>
      </c>
      <c r="EK274" s="60">
        <v>54</v>
      </c>
      <c r="EL274" s="60">
        <v>2145</v>
      </c>
      <c r="EM274" s="60">
        <v>532</v>
      </c>
      <c r="EN274" s="60">
        <v>64</v>
      </c>
      <c r="EO274" s="60">
        <v>98</v>
      </c>
      <c r="EP274" s="60">
        <v>1317</v>
      </c>
      <c r="EQ274" s="60">
        <v>3</v>
      </c>
      <c r="ER274" s="60">
        <v>1122</v>
      </c>
      <c r="ES274" s="60">
        <v>236</v>
      </c>
      <c r="ET274" s="60">
        <v>348</v>
      </c>
      <c r="EU274" s="60">
        <v>945</v>
      </c>
      <c r="EV274" s="60">
        <v>770</v>
      </c>
      <c r="EW274" s="60">
        <v>159</v>
      </c>
      <c r="EX274" s="60">
        <v>145</v>
      </c>
      <c r="EY274" s="60">
        <v>179</v>
      </c>
      <c r="EZ274" s="60">
        <v>26</v>
      </c>
      <c r="FA274" s="60">
        <v>1200</v>
      </c>
      <c r="FB274" s="60">
        <v>722</v>
      </c>
      <c r="FC274" s="60">
        <v>195</v>
      </c>
      <c r="FD274" s="60">
        <v>300</v>
      </c>
      <c r="FE274" s="60"/>
      <c r="FF274" s="60">
        <v>5</v>
      </c>
      <c r="FG274" s="60"/>
      <c r="FH274" s="60">
        <v>597</v>
      </c>
      <c r="FI274" s="60">
        <v>53</v>
      </c>
      <c r="FJ274" s="60">
        <v>612</v>
      </c>
      <c r="FK274" s="60">
        <v>9</v>
      </c>
      <c r="FL274" s="60">
        <v>25</v>
      </c>
      <c r="FM274" s="60">
        <v>215</v>
      </c>
      <c r="FN274" s="60">
        <v>14</v>
      </c>
      <c r="FO274" s="60">
        <v>6065</v>
      </c>
      <c r="FP274" s="60">
        <v>102</v>
      </c>
      <c r="FQ274" s="60">
        <v>5</v>
      </c>
      <c r="FR274" s="60">
        <v>15</v>
      </c>
      <c r="FS274" s="60">
        <v>110</v>
      </c>
      <c r="FT274" s="60">
        <v>10</v>
      </c>
      <c r="FU274" s="60">
        <v>1</v>
      </c>
      <c r="FV274" s="60">
        <v>1</v>
      </c>
      <c r="FW274" s="60"/>
      <c r="FX274" s="60">
        <v>7834</v>
      </c>
      <c r="FY274" s="60">
        <v>365</v>
      </c>
      <c r="FZ274" s="60">
        <v>7242</v>
      </c>
      <c r="GA274" s="60">
        <v>227</v>
      </c>
      <c r="GB274" s="60">
        <v>2011</v>
      </c>
    </row>
    <row r="275" spans="1:184" x14ac:dyDescent="0.3">
      <c r="A275" s="60">
        <v>106410891</v>
      </c>
      <c r="B275" s="61" t="s">
        <v>1037</v>
      </c>
      <c r="C275" s="61" t="s">
        <v>1038</v>
      </c>
      <c r="D275" s="61" t="s">
        <v>1039</v>
      </c>
      <c r="E275" s="61" t="s">
        <v>1022</v>
      </c>
      <c r="F275" s="60">
        <v>94062</v>
      </c>
      <c r="G275" s="61"/>
      <c r="H275" s="61" t="s">
        <v>1669</v>
      </c>
      <c r="I275" s="60">
        <v>21</v>
      </c>
      <c r="J275" s="60">
        <v>11</v>
      </c>
      <c r="K275" s="61" t="s">
        <v>2046</v>
      </c>
      <c r="L275" s="61"/>
      <c r="M275" s="61" t="s">
        <v>1862</v>
      </c>
      <c r="N275" s="61" t="s">
        <v>2038</v>
      </c>
      <c r="O275" s="61" t="s">
        <v>1673</v>
      </c>
      <c r="P275" s="61" t="s">
        <v>1678</v>
      </c>
      <c r="Q275" s="61" t="s">
        <v>1674</v>
      </c>
      <c r="R275" s="60">
        <v>279</v>
      </c>
      <c r="S275" s="61" t="s">
        <v>1675</v>
      </c>
      <c r="T275" s="60">
        <v>9557</v>
      </c>
      <c r="U275" s="60">
        <v>7616</v>
      </c>
      <c r="V275" s="60"/>
      <c r="W275" s="60"/>
      <c r="X275" s="60">
        <v>2173</v>
      </c>
      <c r="Y275" s="60">
        <v>1742</v>
      </c>
      <c r="Z275" s="60">
        <v>2048</v>
      </c>
      <c r="AA275" s="60">
        <v>2182</v>
      </c>
      <c r="AB275" s="60">
        <v>2366</v>
      </c>
      <c r="AC275" s="60">
        <v>2067</v>
      </c>
      <c r="AD275" s="60">
        <v>1444</v>
      </c>
      <c r="AE275" s="60">
        <v>1176</v>
      </c>
      <c r="AF275" s="60">
        <v>1624</v>
      </c>
      <c r="AG275" s="60">
        <v>351</v>
      </c>
      <c r="AH275" s="60"/>
      <c r="AI275" s="60">
        <v>1008</v>
      </c>
      <c r="AJ275" s="60">
        <v>633</v>
      </c>
      <c r="AK275" s="60">
        <v>4304</v>
      </c>
      <c r="AL275" s="60"/>
      <c r="AM275" s="60">
        <v>1076</v>
      </c>
      <c r="AN275" s="60">
        <v>69</v>
      </c>
      <c r="AO275" s="60">
        <v>10083</v>
      </c>
      <c r="AP275" s="60">
        <v>33</v>
      </c>
      <c r="AQ275" s="60">
        <v>73</v>
      </c>
      <c r="AR275" s="60">
        <v>48</v>
      </c>
      <c r="AS275" s="60">
        <v>21</v>
      </c>
      <c r="AT275" s="60">
        <v>2</v>
      </c>
      <c r="AU275" s="60">
        <v>4</v>
      </c>
      <c r="AV275" s="60">
        <v>1</v>
      </c>
      <c r="AW275" s="60">
        <v>4</v>
      </c>
      <c r="AX275" s="60"/>
      <c r="AY275" s="60">
        <v>11</v>
      </c>
      <c r="AZ275" s="60">
        <v>130</v>
      </c>
      <c r="BA275" s="60">
        <v>16710</v>
      </c>
      <c r="BB275" s="60">
        <v>136</v>
      </c>
      <c r="BC275" s="60"/>
      <c r="BD275" s="60"/>
      <c r="BE275" s="60">
        <v>3433</v>
      </c>
      <c r="BF275" s="60">
        <v>4043</v>
      </c>
      <c r="BG275" s="60">
        <v>589</v>
      </c>
      <c r="BH275" s="60">
        <v>7091</v>
      </c>
      <c r="BI275" s="60">
        <v>2017</v>
      </c>
      <c r="BJ275" s="60">
        <v>287</v>
      </c>
      <c r="BK275" s="60">
        <v>32</v>
      </c>
      <c r="BL275" s="60">
        <v>369</v>
      </c>
      <c r="BM275" s="60">
        <v>2</v>
      </c>
      <c r="BN275" s="60">
        <v>996</v>
      </c>
      <c r="BO275" s="60">
        <v>183</v>
      </c>
      <c r="BP275" s="60">
        <v>878</v>
      </c>
      <c r="BQ275" s="60">
        <v>301</v>
      </c>
      <c r="BR275" s="60">
        <v>4817</v>
      </c>
      <c r="BS275" s="60">
        <v>818</v>
      </c>
      <c r="BT275" s="60">
        <v>24</v>
      </c>
      <c r="BU275" s="60">
        <v>1787</v>
      </c>
      <c r="BV275" s="60">
        <v>324</v>
      </c>
      <c r="BW275" s="60">
        <v>17</v>
      </c>
      <c r="BX275" s="60">
        <v>504</v>
      </c>
      <c r="BY275" s="60">
        <v>1922</v>
      </c>
      <c r="BZ275" s="60">
        <v>807</v>
      </c>
      <c r="CA275" s="60">
        <v>3105</v>
      </c>
      <c r="CB275" s="60"/>
      <c r="CC275" s="60"/>
      <c r="CD275" s="60">
        <v>1650</v>
      </c>
      <c r="CE275" s="60">
        <v>57</v>
      </c>
      <c r="CF275" s="60">
        <v>92</v>
      </c>
      <c r="CG275" s="60">
        <v>4</v>
      </c>
      <c r="CH275" s="60">
        <v>108</v>
      </c>
      <c r="CI275" s="60"/>
      <c r="CJ275" s="60">
        <v>4</v>
      </c>
      <c r="CK275" s="60">
        <v>237</v>
      </c>
      <c r="CL275" s="60">
        <v>12347</v>
      </c>
      <c r="CM275" s="60">
        <v>2064</v>
      </c>
      <c r="CN275" s="60">
        <v>153</v>
      </c>
      <c r="CO275" s="60">
        <v>296</v>
      </c>
      <c r="CP275" s="60">
        <v>14</v>
      </c>
      <c r="CQ275" s="60">
        <v>147</v>
      </c>
      <c r="CR275" s="60"/>
      <c r="CS275" s="60"/>
      <c r="CT275" s="60">
        <v>17173</v>
      </c>
      <c r="CU275" s="60">
        <v>72</v>
      </c>
      <c r="CV275" s="60">
        <v>15953</v>
      </c>
      <c r="CW275" s="60">
        <v>1148</v>
      </c>
      <c r="CX275" s="60">
        <v>1580</v>
      </c>
      <c r="CY275" s="60">
        <v>1267</v>
      </c>
      <c r="CZ275" s="60"/>
      <c r="DA275" s="60"/>
      <c r="DB275" s="60">
        <v>28</v>
      </c>
      <c r="DC275" s="60">
        <v>74</v>
      </c>
      <c r="DD275" s="60">
        <v>127</v>
      </c>
      <c r="DE275" s="60">
        <v>175</v>
      </c>
      <c r="DF275" s="60">
        <v>330</v>
      </c>
      <c r="DG275" s="60">
        <v>416</v>
      </c>
      <c r="DH275" s="60">
        <v>493</v>
      </c>
      <c r="DI275" s="60">
        <v>1204</v>
      </c>
      <c r="DJ275" s="60"/>
      <c r="DK275" s="60"/>
      <c r="DL275" s="60"/>
      <c r="DM275" s="60">
        <v>170</v>
      </c>
      <c r="DN275" s="60">
        <v>57</v>
      </c>
      <c r="DO275" s="60">
        <v>293</v>
      </c>
      <c r="DP275" s="60">
        <v>148</v>
      </c>
      <c r="DQ275" s="60">
        <v>3</v>
      </c>
      <c r="DR275" s="60">
        <v>2172</v>
      </c>
      <c r="DS275" s="60">
        <v>4</v>
      </c>
      <c r="DT275" s="60">
        <v>39</v>
      </c>
      <c r="DU275" s="60">
        <v>18</v>
      </c>
      <c r="DV275" s="60">
        <v>117</v>
      </c>
      <c r="DW275" s="60">
        <v>532</v>
      </c>
      <c r="DX275" s="60">
        <v>29</v>
      </c>
      <c r="DY275" s="60"/>
      <c r="DZ275" s="60">
        <v>106</v>
      </c>
      <c r="EA275" s="60">
        <v>1507</v>
      </c>
      <c r="EB275" s="60">
        <v>498</v>
      </c>
      <c r="EC275" s="60">
        <v>1</v>
      </c>
      <c r="ED275" s="60">
        <v>0</v>
      </c>
      <c r="EE275" s="60">
        <v>0</v>
      </c>
      <c r="EF275" s="60">
        <v>0</v>
      </c>
      <c r="EG275" s="60">
        <v>0</v>
      </c>
      <c r="EH275" s="60">
        <v>0</v>
      </c>
      <c r="EI275" s="60">
        <v>135</v>
      </c>
      <c r="EJ275" s="60">
        <v>1970</v>
      </c>
      <c r="EK275" s="60">
        <v>23</v>
      </c>
      <c r="EL275" s="60">
        <v>607</v>
      </c>
      <c r="EM275" s="60">
        <v>112</v>
      </c>
      <c r="EN275" s="60">
        <v>24</v>
      </c>
      <c r="EO275" s="60">
        <v>47</v>
      </c>
      <c r="EP275" s="60">
        <v>681</v>
      </c>
      <c r="EQ275" s="60">
        <v>1</v>
      </c>
      <c r="ER275" s="60">
        <v>463</v>
      </c>
      <c r="ES275" s="60">
        <v>103</v>
      </c>
      <c r="ET275" s="60">
        <v>166</v>
      </c>
      <c r="EU275" s="60">
        <v>268</v>
      </c>
      <c r="EV275" s="60">
        <v>345</v>
      </c>
      <c r="EW275" s="60">
        <v>40</v>
      </c>
      <c r="EX275" s="60">
        <v>77</v>
      </c>
      <c r="EY275" s="60">
        <v>32</v>
      </c>
      <c r="EZ275" s="60">
        <v>2</v>
      </c>
      <c r="FA275" s="60">
        <v>106</v>
      </c>
      <c r="FB275" s="60">
        <v>358</v>
      </c>
      <c r="FC275" s="60">
        <v>68</v>
      </c>
      <c r="FD275" s="60">
        <v>66</v>
      </c>
      <c r="FE275" s="60"/>
      <c r="FF275" s="60"/>
      <c r="FG275" s="60"/>
      <c r="FH275" s="60">
        <v>233</v>
      </c>
      <c r="FI275" s="60">
        <v>24</v>
      </c>
      <c r="FJ275" s="60">
        <v>226</v>
      </c>
      <c r="FK275" s="60">
        <v>2</v>
      </c>
      <c r="FL275" s="60">
        <v>5</v>
      </c>
      <c r="FM275" s="60">
        <v>193</v>
      </c>
      <c r="FN275" s="60">
        <v>2</v>
      </c>
      <c r="FO275" s="60">
        <v>2086</v>
      </c>
      <c r="FP275" s="60">
        <v>40</v>
      </c>
      <c r="FQ275" s="60">
        <v>8</v>
      </c>
      <c r="FR275" s="60">
        <v>5</v>
      </c>
      <c r="FS275" s="60">
        <v>16</v>
      </c>
      <c r="FT275" s="60">
        <v>6</v>
      </c>
      <c r="FU275" s="60"/>
      <c r="FV275" s="60">
        <v>1</v>
      </c>
      <c r="FW275" s="60"/>
      <c r="FX275" s="60">
        <v>2847</v>
      </c>
      <c r="FY275" s="60">
        <v>30</v>
      </c>
      <c r="FZ275" s="60">
        <v>2700</v>
      </c>
      <c r="GA275" s="60">
        <v>117</v>
      </c>
      <c r="GB275" s="60">
        <v>2011</v>
      </c>
    </row>
    <row r="276" spans="1:184" x14ac:dyDescent="0.3">
      <c r="A276" s="60">
        <v>106420483</v>
      </c>
      <c r="B276" s="61" t="s">
        <v>1040</v>
      </c>
      <c r="C276" s="61" t="s">
        <v>1041</v>
      </c>
      <c r="D276" s="61" t="s">
        <v>1043</v>
      </c>
      <c r="E276" s="61" t="s">
        <v>1042</v>
      </c>
      <c r="F276" s="60">
        <v>93111</v>
      </c>
      <c r="G276" s="61"/>
      <c r="H276" s="61" t="s">
        <v>1669</v>
      </c>
      <c r="I276" s="60">
        <v>35</v>
      </c>
      <c r="J276" s="60">
        <v>19</v>
      </c>
      <c r="K276" s="61" t="s">
        <v>2047</v>
      </c>
      <c r="L276" s="61"/>
      <c r="M276" s="61" t="s">
        <v>2048</v>
      </c>
      <c r="N276" s="61" t="s">
        <v>2049</v>
      </c>
      <c r="O276" s="61" t="s">
        <v>1673</v>
      </c>
      <c r="P276" s="61" t="s">
        <v>1678</v>
      </c>
      <c r="Q276" s="61" t="s">
        <v>1674</v>
      </c>
      <c r="R276" s="60">
        <v>67</v>
      </c>
      <c r="S276" s="61" t="s">
        <v>1675</v>
      </c>
      <c r="T276" s="60">
        <v>8945</v>
      </c>
      <c r="U276" s="60">
        <v>8593</v>
      </c>
      <c r="V276" s="60"/>
      <c r="W276" s="60"/>
      <c r="X276" s="60">
        <v>1634</v>
      </c>
      <c r="Y276" s="60">
        <v>2835</v>
      </c>
      <c r="Z276" s="60">
        <v>3818</v>
      </c>
      <c r="AA276" s="60">
        <v>1647</v>
      </c>
      <c r="AB276" s="60">
        <v>1739</v>
      </c>
      <c r="AC276" s="60">
        <v>1849</v>
      </c>
      <c r="AD276" s="60">
        <v>1150</v>
      </c>
      <c r="AE276" s="60">
        <v>959</v>
      </c>
      <c r="AF276" s="60">
        <v>1694</v>
      </c>
      <c r="AG276" s="60">
        <v>213</v>
      </c>
      <c r="AH276" s="60"/>
      <c r="AI276" s="60">
        <v>601</v>
      </c>
      <c r="AJ276" s="60">
        <v>457</v>
      </c>
      <c r="AK276" s="60">
        <v>4153</v>
      </c>
      <c r="AL276" s="60">
        <v>28</v>
      </c>
      <c r="AM276" s="60">
        <v>36</v>
      </c>
      <c r="AN276" s="60">
        <v>123</v>
      </c>
      <c r="AO276" s="60">
        <v>12140</v>
      </c>
      <c r="AP276" s="60">
        <v>821</v>
      </c>
      <c r="AQ276" s="60">
        <v>299</v>
      </c>
      <c r="AR276" s="60"/>
      <c r="AS276" s="60">
        <v>15</v>
      </c>
      <c r="AT276" s="60">
        <v>1</v>
      </c>
      <c r="AU276" s="60"/>
      <c r="AV276" s="60">
        <v>1</v>
      </c>
      <c r="AW276" s="60">
        <v>6</v>
      </c>
      <c r="AX276" s="60"/>
      <c r="AY276" s="60">
        <v>81</v>
      </c>
      <c r="AZ276" s="60">
        <v>1</v>
      </c>
      <c r="BA276" s="60">
        <v>16241</v>
      </c>
      <c r="BB276" s="60">
        <v>72</v>
      </c>
      <c r="BC276" s="60"/>
      <c r="BD276" s="60"/>
      <c r="BE276" s="60">
        <v>2740</v>
      </c>
      <c r="BF276" s="60">
        <v>3153</v>
      </c>
      <c r="BG276" s="60">
        <v>1095</v>
      </c>
      <c r="BH276" s="60">
        <v>8176</v>
      </c>
      <c r="BI276" s="60">
        <v>2374</v>
      </c>
      <c r="BJ276" s="60">
        <v>178</v>
      </c>
      <c r="BK276" s="60">
        <v>38</v>
      </c>
      <c r="BL276" s="60">
        <v>424</v>
      </c>
      <c r="BM276" s="60">
        <v>1</v>
      </c>
      <c r="BN276" s="60">
        <v>963</v>
      </c>
      <c r="BO276" s="60">
        <v>215</v>
      </c>
      <c r="BP276" s="60">
        <v>830</v>
      </c>
      <c r="BQ276" s="60">
        <v>435</v>
      </c>
      <c r="BR276" s="60">
        <v>5063</v>
      </c>
      <c r="BS276" s="60">
        <v>795</v>
      </c>
      <c r="BT276" s="60">
        <v>19</v>
      </c>
      <c r="BU276" s="60">
        <v>988</v>
      </c>
      <c r="BV276" s="60">
        <v>957</v>
      </c>
      <c r="BW276" s="60">
        <v>3</v>
      </c>
      <c r="BX276" s="60">
        <v>1130</v>
      </c>
      <c r="BY276" s="60">
        <v>1586</v>
      </c>
      <c r="BZ276" s="60">
        <v>835</v>
      </c>
      <c r="CA276" s="60">
        <v>3077</v>
      </c>
      <c r="CB276" s="60">
        <v>1</v>
      </c>
      <c r="CC276" s="60"/>
      <c r="CD276" s="60">
        <v>1699</v>
      </c>
      <c r="CE276" s="60">
        <v>78</v>
      </c>
      <c r="CF276" s="60">
        <v>141</v>
      </c>
      <c r="CG276" s="60">
        <v>15</v>
      </c>
      <c r="CH276" s="60">
        <v>253</v>
      </c>
      <c r="CI276" s="60">
        <v>13</v>
      </c>
      <c r="CJ276" s="60">
        <v>87</v>
      </c>
      <c r="CK276" s="60">
        <v>236</v>
      </c>
      <c r="CL276" s="60">
        <v>12121</v>
      </c>
      <c r="CM276" s="60">
        <v>2150</v>
      </c>
      <c r="CN276" s="60">
        <v>241</v>
      </c>
      <c r="CO276" s="60">
        <v>305</v>
      </c>
      <c r="CP276" s="60">
        <v>51</v>
      </c>
      <c r="CQ276" s="60">
        <v>77</v>
      </c>
      <c r="CR276" s="60">
        <v>71</v>
      </c>
      <c r="CS276" s="60"/>
      <c r="CT276" s="60">
        <v>17538</v>
      </c>
      <c r="CU276" s="60">
        <v>155</v>
      </c>
      <c r="CV276" s="60">
        <v>16198</v>
      </c>
      <c r="CW276" s="60">
        <v>1185</v>
      </c>
      <c r="CX276" s="60">
        <v>361</v>
      </c>
      <c r="CY276" s="60">
        <v>302</v>
      </c>
      <c r="CZ276" s="60"/>
      <c r="DA276" s="60"/>
      <c r="DB276" s="60">
        <v>39</v>
      </c>
      <c r="DC276" s="60">
        <v>83</v>
      </c>
      <c r="DD276" s="60">
        <v>24</v>
      </c>
      <c r="DE276" s="60">
        <v>67</v>
      </c>
      <c r="DF276" s="60">
        <v>66</v>
      </c>
      <c r="DG276" s="60">
        <v>62</v>
      </c>
      <c r="DH276" s="60">
        <v>96</v>
      </c>
      <c r="DI276" s="60">
        <v>226</v>
      </c>
      <c r="DJ276" s="60"/>
      <c r="DK276" s="60"/>
      <c r="DL276" s="60"/>
      <c r="DM276" s="60">
        <v>16</v>
      </c>
      <c r="DN276" s="60">
        <v>18</v>
      </c>
      <c r="DO276" s="60">
        <v>102</v>
      </c>
      <c r="DP276" s="60">
        <v>3</v>
      </c>
      <c r="DQ276" s="60">
        <v>1</v>
      </c>
      <c r="DR276" s="60">
        <v>522</v>
      </c>
      <c r="DS276" s="60">
        <v>1</v>
      </c>
      <c r="DT276" s="60">
        <v>36</v>
      </c>
      <c r="DU276" s="60">
        <v>3</v>
      </c>
      <c r="DV276" s="60">
        <v>14</v>
      </c>
      <c r="DW276" s="60">
        <v>47</v>
      </c>
      <c r="DX276" s="60">
        <v>19</v>
      </c>
      <c r="DY276" s="60">
        <v>6</v>
      </c>
      <c r="DZ276" s="60"/>
      <c r="EA276" s="60">
        <v>419</v>
      </c>
      <c r="EB276" s="60">
        <v>109</v>
      </c>
      <c r="EC276" s="60">
        <v>10</v>
      </c>
      <c r="ED276" s="60">
        <v>0</v>
      </c>
      <c r="EE276" s="60">
        <v>0</v>
      </c>
      <c r="EF276" s="60">
        <v>0</v>
      </c>
      <c r="EG276" s="60">
        <v>0</v>
      </c>
      <c r="EH276" s="60">
        <v>0</v>
      </c>
      <c r="EI276" s="60">
        <v>47</v>
      </c>
      <c r="EJ276" s="60">
        <v>341</v>
      </c>
      <c r="EK276" s="60">
        <v>45</v>
      </c>
      <c r="EL276" s="60">
        <v>179</v>
      </c>
      <c r="EM276" s="60">
        <v>51</v>
      </c>
      <c r="EN276" s="60">
        <v>5</v>
      </c>
      <c r="EO276" s="60">
        <v>5</v>
      </c>
      <c r="EP276" s="60">
        <v>66</v>
      </c>
      <c r="EQ276" s="60"/>
      <c r="ER276" s="60">
        <v>134</v>
      </c>
      <c r="ES276" s="60">
        <v>39</v>
      </c>
      <c r="ET276" s="60">
        <v>38</v>
      </c>
      <c r="EU276" s="60">
        <v>52</v>
      </c>
      <c r="EV276" s="60">
        <v>137</v>
      </c>
      <c r="EW276" s="60">
        <v>14</v>
      </c>
      <c r="EX276" s="60">
        <v>5</v>
      </c>
      <c r="EY276" s="60">
        <v>11</v>
      </c>
      <c r="EZ276" s="60"/>
      <c r="FA276" s="60">
        <v>10</v>
      </c>
      <c r="FB276" s="60">
        <v>82</v>
      </c>
      <c r="FC276" s="60">
        <v>28</v>
      </c>
      <c r="FD276" s="60">
        <v>37</v>
      </c>
      <c r="FE276" s="60"/>
      <c r="FF276" s="60"/>
      <c r="FG276" s="60"/>
      <c r="FH276" s="60">
        <v>95</v>
      </c>
      <c r="FI276" s="60">
        <v>8</v>
      </c>
      <c r="FJ276" s="60">
        <v>37</v>
      </c>
      <c r="FK276" s="60">
        <v>4</v>
      </c>
      <c r="FL276" s="60">
        <v>1</v>
      </c>
      <c r="FM276" s="60">
        <v>16</v>
      </c>
      <c r="FN276" s="60"/>
      <c r="FO276" s="60">
        <v>462</v>
      </c>
      <c r="FP276" s="60">
        <v>17</v>
      </c>
      <c r="FQ276" s="60">
        <v>4</v>
      </c>
      <c r="FR276" s="60">
        <v>4</v>
      </c>
      <c r="FS276" s="60">
        <v>11</v>
      </c>
      <c r="FT276" s="60">
        <v>2</v>
      </c>
      <c r="FU276" s="60">
        <v>2</v>
      </c>
      <c r="FV276" s="60"/>
      <c r="FW276" s="60"/>
      <c r="FX276" s="60">
        <v>663</v>
      </c>
      <c r="FY276" s="60">
        <v>6</v>
      </c>
      <c r="FZ276" s="60">
        <v>621</v>
      </c>
      <c r="GA276" s="60">
        <v>36</v>
      </c>
      <c r="GB276" s="60">
        <v>2011</v>
      </c>
    </row>
    <row r="277" spans="1:184" x14ac:dyDescent="0.3">
      <c r="A277" s="60">
        <v>106420491</v>
      </c>
      <c r="B277" s="61" t="s">
        <v>1044</v>
      </c>
      <c r="C277" s="61" t="s">
        <v>1045</v>
      </c>
      <c r="D277" s="61" t="s">
        <v>1046</v>
      </c>
      <c r="E277" s="61" t="s">
        <v>1047</v>
      </c>
      <c r="F277" s="60">
        <v>93436</v>
      </c>
      <c r="G277" s="61"/>
      <c r="H277" s="61" t="s">
        <v>1669</v>
      </c>
      <c r="I277" s="60">
        <v>33</v>
      </c>
      <c r="J277" s="60">
        <v>19</v>
      </c>
      <c r="K277" s="61" t="s">
        <v>2050</v>
      </c>
      <c r="L277" s="61"/>
      <c r="M277" s="61" t="s">
        <v>2048</v>
      </c>
      <c r="N277" s="61" t="s">
        <v>2049</v>
      </c>
      <c r="O277" s="61" t="s">
        <v>1673</v>
      </c>
      <c r="P277" s="61" t="s">
        <v>159</v>
      </c>
      <c r="Q277" s="61" t="s">
        <v>1674</v>
      </c>
      <c r="R277" s="60">
        <v>100</v>
      </c>
      <c r="S277" s="61" t="s">
        <v>1675</v>
      </c>
      <c r="T277" s="60">
        <v>10114</v>
      </c>
      <c r="U277" s="60">
        <v>7921</v>
      </c>
      <c r="V277" s="60"/>
      <c r="W277" s="60"/>
      <c r="X277" s="60">
        <v>2565</v>
      </c>
      <c r="Y277" s="60">
        <v>2012</v>
      </c>
      <c r="Z277" s="60">
        <v>3660</v>
      </c>
      <c r="AA277" s="60">
        <v>2185</v>
      </c>
      <c r="AB277" s="60">
        <v>2017</v>
      </c>
      <c r="AC277" s="60">
        <v>1909</v>
      </c>
      <c r="AD277" s="60">
        <v>1164</v>
      </c>
      <c r="AE277" s="60">
        <v>984</v>
      </c>
      <c r="AF277" s="60">
        <v>935</v>
      </c>
      <c r="AG277" s="60">
        <v>604</v>
      </c>
      <c r="AH277" s="60"/>
      <c r="AI277" s="60">
        <v>269</v>
      </c>
      <c r="AJ277" s="60">
        <v>1398</v>
      </c>
      <c r="AK277" s="60">
        <v>7489</v>
      </c>
      <c r="AL277" s="60">
        <v>38</v>
      </c>
      <c r="AM277" s="60">
        <v>242</v>
      </c>
      <c r="AN277" s="60">
        <v>89</v>
      </c>
      <c r="AO277" s="60">
        <v>8510</v>
      </c>
      <c r="AP277" s="60">
        <v>399</v>
      </c>
      <c r="AQ277" s="60">
        <v>893</v>
      </c>
      <c r="AR277" s="60"/>
      <c r="AS277" s="60">
        <v>24</v>
      </c>
      <c r="AT277" s="60">
        <v>11</v>
      </c>
      <c r="AU277" s="60"/>
      <c r="AV277" s="60"/>
      <c r="AW277" s="60">
        <v>43</v>
      </c>
      <c r="AX277" s="60">
        <v>182</v>
      </c>
      <c r="AY277" s="60">
        <v>87</v>
      </c>
      <c r="AZ277" s="60">
        <v>5</v>
      </c>
      <c r="BA277" s="60">
        <v>16326</v>
      </c>
      <c r="BB277" s="60">
        <v>65</v>
      </c>
      <c r="BC277" s="60"/>
      <c r="BD277" s="60"/>
      <c r="BE277" s="60">
        <v>6691</v>
      </c>
      <c r="BF277" s="60">
        <v>3230</v>
      </c>
      <c r="BG277" s="60">
        <v>2123</v>
      </c>
      <c r="BH277" s="60">
        <v>3548</v>
      </c>
      <c r="BI277" s="60">
        <v>2443</v>
      </c>
      <c r="BJ277" s="60">
        <v>539</v>
      </c>
      <c r="BK277" s="60">
        <v>70</v>
      </c>
      <c r="BL277" s="60">
        <v>545</v>
      </c>
      <c r="BM277" s="60">
        <v>4</v>
      </c>
      <c r="BN277" s="60">
        <v>920</v>
      </c>
      <c r="BO277" s="60">
        <v>324</v>
      </c>
      <c r="BP277" s="60">
        <v>933</v>
      </c>
      <c r="BQ277" s="60">
        <v>195</v>
      </c>
      <c r="BR277" s="60">
        <v>3967</v>
      </c>
      <c r="BS277" s="60">
        <v>1018</v>
      </c>
      <c r="BT277" s="60">
        <v>28</v>
      </c>
      <c r="BU277" s="60">
        <v>1109</v>
      </c>
      <c r="BV277" s="60">
        <v>645</v>
      </c>
      <c r="BW277" s="60">
        <v>9</v>
      </c>
      <c r="BX277" s="60">
        <v>613</v>
      </c>
      <c r="BY277" s="60">
        <v>1719</v>
      </c>
      <c r="BZ277" s="60">
        <v>652</v>
      </c>
      <c r="CA277" s="60">
        <v>4745</v>
      </c>
      <c r="CB277" s="60"/>
      <c r="CC277" s="60"/>
      <c r="CD277" s="60">
        <v>1404</v>
      </c>
      <c r="CE277" s="60">
        <v>146</v>
      </c>
      <c r="CF277" s="60">
        <v>136</v>
      </c>
      <c r="CG277" s="60">
        <v>9</v>
      </c>
      <c r="CH277" s="60">
        <v>195</v>
      </c>
      <c r="CI277" s="60">
        <v>5</v>
      </c>
      <c r="CJ277" s="60">
        <v>153</v>
      </c>
      <c r="CK277" s="60">
        <v>154</v>
      </c>
      <c r="CL277" s="60">
        <v>13149</v>
      </c>
      <c r="CM277" s="60">
        <v>2087</v>
      </c>
      <c r="CN277" s="60">
        <v>108</v>
      </c>
      <c r="CO277" s="60">
        <v>302</v>
      </c>
      <c r="CP277" s="60">
        <v>77</v>
      </c>
      <c r="CQ277" s="60">
        <v>105</v>
      </c>
      <c r="CR277" s="60">
        <v>5</v>
      </c>
      <c r="CS277" s="60"/>
      <c r="CT277" s="60">
        <v>18035</v>
      </c>
      <c r="CU277" s="60">
        <v>18</v>
      </c>
      <c r="CV277" s="60">
        <v>16448</v>
      </c>
      <c r="CW277" s="60">
        <v>1569</v>
      </c>
      <c r="CX277" s="60">
        <v>780</v>
      </c>
      <c r="CY277" s="60">
        <v>690</v>
      </c>
      <c r="CZ277" s="60"/>
      <c r="DA277" s="60"/>
      <c r="DB277" s="60">
        <v>49</v>
      </c>
      <c r="DC277" s="60">
        <v>108</v>
      </c>
      <c r="DD277" s="60">
        <v>84</v>
      </c>
      <c r="DE277" s="60">
        <v>117</v>
      </c>
      <c r="DF277" s="60">
        <v>210</v>
      </c>
      <c r="DG277" s="60">
        <v>229</v>
      </c>
      <c r="DH277" s="60">
        <v>307</v>
      </c>
      <c r="DI277" s="60">
        <v>321</v>
      </c>
      <c r="DJ277" s="60">
        <v>9</v>
      </c>
      <c r="DK277" s="60">
        <v>36</v>
      </c>
      <c r="DL277" s="60"/>
      <c r="DM277" s="60">
        <v>24</v>
      </c>
      <c r="DN277" s="60">
        <v>101</v>
      </c>
      <c r="DO277" s="60">
        <v>423</v>
      </c>
      <c r="DP277" s="60">
        <v>7</v>
      </c>
      <c r="DQ277" s="60">
        <v>6</v>
      </c>
      <c r="DR277" s="60">
        <v>903</v>
      </c>
      <c r="DS277" s="60">
        <v>6</v>
      </c>
      <c r="DT277" s="60">
        <v>88</v>
      </c>
      <c r="DU277" s="60">
        <v>21</v>
      </c>
      <c r="DV277" s="60">
        <v>51</v>
      </c>
      <c r="DW277" s="60">
        <v>137</v>
      </c>
      <c r="DX277" s="60">
        <v>7</v>
      </c>
      <c r="DY277" s="60">
        <v>6</v>
      </c>
      <c r="DZ277" s="60">
        <v>6</v>
      </c>
      <c r="EA277" s="60">
        <v>919</v>
      </c>
      <c r="EB277" s="60">
        <v>224</v>
      </c>
      <c r="EC277" s="60">
        <v>11</v>
      </c>
      <c r="ED277" s="60">
        <v>0</v>
      </c>
      <c r="EE277" s="60">
        <v>0</v>
      </c>
      <c r="EF277" s="60">
        <v>0</v>
      </c>
      <c r="EG277" s="60">
        <v>0</v>
      </c>
      <c r="EH277" s="60">
        <v>0</v>
      </c>
      <c r="EI277" s="60">
        <v>247</v>
      </c>
      <c r="EJ277" s="60">
        <v>831</v>
      </c>
      <c r="EK277" s="60">
        <v>74</v>
      </c>
      <c r="EL277" s="60">
        <v>205</v>
      </c>
      <c r="EM277" s="60">
        <v>113</v>
      </c>
      <c r="EN277" s="60">
        <v>30</v>
      </c>
      <c r="EO277" s="60">
        <v>34</v>
      </c>
      <c r="EP277" s="60">
        <v>217</v>
      </c>
      <c r="EQ277" s="60"/>
      <c r="ER277" s="60">
        <v>352</v>
      </c>
      <c r="ES277" s="60">
        <v>85</v>
      </c>
      <c r="ET277" s="60">
        <v>91</v>
      </c>
      <c r="EU277" s="60">
        <v>58</v>
      </c>
      <c r="EV277" s="60">
        <v>156</v>
      </c>
      <c r="EW277" s="60">
        <v>18</v>
      </c>
      <c r="EX277" s="60">
        <v>27</v>
      </c>
      <c r="EY277" s="60">
        <v>29</v>
      </c>
      <c r="EZ277" s="60">
        <v>1</v>
      </c>
      <c r="FA277" s="60">
        <v>16</v>
      </c>
      <c r="FB277" s="60">
        <v>278</v>
      </c>
      <c r="FC277" s="60">
        <v>39</v>
      </c>
      <c r="FD277" s="60">
        <v>38</v>
      </c>
      <c r="FE277" s="60"/>
      <c r="FF277" s="60">
        <v>1</v>
      </c>
      <c r="FG277" s="60"/>
      <c r="FH277" s="60">
        <v>141</v>
      </c>
      <c r="FI277" s="60">
        <v>24</v>
      </c>
      <c r="FJ277" s="60">
        <v>60</v>
      </c>
      <c r="FK277" s="60">
        <v>5</v>
      </c>
      <c r="FL277" s="60">
        <v>8</v>
      </c>
      <c r="FM277" s="60">
        <v>55</v>
      </c>
      <c r="FN277" s="60">
        <v>6</v>
      </c>
      <c r="FO277" s="60">
        <v>1108</v>
      </c>
      <c r="FP277" s="60">
        <v>30</v>
      </c>
      <c r="FQ277" s="60">
        <v>3</v>
      </c>
      <c r="FR277" s="60">
        <v>12</v>
      </c>
      <c r="FS277" s="60">
        <v>14</v>
      </c>
      <c r="FT277" s="60">
        <v>4</v>
      </c>
      <c r="FU277" s="60"/>
      <c r="FV277" s="60"/>
      <c r="FW277" s="60"/>
      <c r="FX277" s="60">
        <v>1470</v>
      </c>
      <c r="FY277" s="60">
        <v>3</v>
      </c>
      <c r="FZ277" s="60">
        <v>1361</v>
      </c>
      <c r="GA277" s="60">
        <v>106</v>
      </c>
      <c r="GB277" s="60">
        <v>2011</v>
      </c>
    </row>
    <row r="278" spans="1:184" x14ac:dyDescent="0.3">
      <c r="A278" s="60">
        <v>106420493</v>
      </c>
      <c r="B278" s="61" t="s">
        <v>1048</v>
      </c>
      <c r="C278" s="61" t="s">
        <v>2051</v>
      </c>
      <c r="D278" s="61" t="s">
        <v>1049</v>
      </c>
      <c r="E278" s="61" t="s">
        <v>1050</v>
      </c>
      <c r="F278" s="60">
        <v>93454</v>
      </c>
      <c r="G278" s="61"/>
      <c r="H278" s="61" t="s">
        <v>1669</v>
      </c>
      <c r="I278" s="60">
        <v>33</v>
      </c>
      <c r="J278" s="60">
        <v>15</v>
      </c>
      <c r="K278" s="61" t="s">
        <v>2052</v>
      </c>
      <c r="L278" s="61"/>
      <c r="M278" s="61" t="s">
        <v>2048</v>
      </c>
      <c r="N278" s="61" t="s">
        <v>2049</v>
      </c>
      <c r="O278" s="61" t="s">
        <v>1673</v>
      </c>
      <c r="P278" s="61" t="s">
        <v>1678</v>
      </c>
      <c r="Q278" s="61" t="s">
        <v>1674</v>
      </c>
      <c r="R278" s="60">
        <v>161</v>
      </c>
      <c r="S278" s="61" t="s">
        <v>1675</v>
      </c>
      <c r="T278" s="60">
        <v>19770</v>
      </c>
      <c r="U278" s="60">
        <v>16595</v>
      </c>
      <c r="V278" s="60"/>
      <c r="W278" s="60"/>
      <c r="X278" s="60">
        <v>7244</v>
      </c>
      <c r="Y278" s="60">
        <v>5275</v>
      </c>
      <c r="Z278" s="60">
        <v>7003</v>
      </c>
      <c r="AA278" s="60">
        <v>5125</v>
      </c>
      <c r="AB278" s="60">
        <v>4332</v>
      </c>
      <c r="AC278" s="60">
        <v>3341</v>
      </c>
      <c r="AD278" s="60">
        <v>1306</v>
      </c>
      <c r="AE278" s="60">
        <v>382</v>
      </c>
      <c r="AF278" s="60">
        <v>340</v>
      </c>
      <c r="AG278" s="60">
        <v>2017</v>
      </c>
      <c r="AH278" s="60"/>
      <c r="AI278" s="60">
        <v>735</v>
      </c>
      <c r="AJ278" s="60">
        <v>783</v>
      </c>
      <c r="AK278" s="60">
        <v>21847</v>
      </c>
      <c r="AL278" s="60">
        <v>24</v>
      </c>
      <c r="AM278" s="60">
        <v>137</v>
      </c>
      <c r="AN278" s="60">
        <v>76</v>
      </c>
      <c r="AO278" s="60">
        <v>12763</v>
      </c>
      <c r="AP278" s="60">
        <v>167</v>
      </c>
      <c r="AQ278" s="60">
        <v>93</v>
      </c>
      <c r="AR278" s="60"/>
      <c r="AS278" s="60">
        <v>29</v>
      </c>
      <c r="AT278" s="60">
        <v>21</v>
      </c>
      <c r="AU278" s="60">
        <v>5</v>
      </c>
      <c r="AV278" s="60">
        <v>4</v>
      </c>
      <c r="AW278" s="60">
        <v>6</v>
      </c>
      <c r="AX278" s="60"/>
      <c r="AY278" s="60">
        <v>171</v>
      </c>
      <c r="AZ278" s="60">
        <v>6</v>
      </c>
      <c r="BA278" s="60">
        <v>35850</v>
      </c>
      <c r="BB278" s="60">
        <v>9</v>
      </c>
      <c r="BC278" s="60">
        <v>4</v>
      </c>
      <c r="BD278" s="60"/>
      <c r="BE278" s="60">
        <v>18762</v>
      </c>
      <c r="BF278" s="60">
        <v>314</v>
      </c>
      <c r="BG278" s="60">
        <v>1918</v>
      </c>
      <c r="BH278" s="60">
        <v>9306</v>
      </c>
      <c r="BI278" s="60">
        <v>6065</v>
      </c>
      <c r="BJ278" s="60">
        <v>989</v>
      </c>
      <c r="BK278" s="60">
        <v>59</v>
      </c>
      <c r="BL278" s="60">
        <v>414</v>
      </c>
      <c r="BM278" s="60">
        <v>9</v>
      </c>
      <c r="BN278" s="60">
        <v>2044</v>
      </c>
      <c r="BO278" s="60">
        <v>292</v>
      </c>
      <c r="BP278" s="60">
        <v>1873</v>
      </c>
      <c r="BQ278" s="60">
        <v>1129</v>
      </c>
      <c r="BR278" s="60">
        <v>7023</v>
      </c>
      <c r="BS278" s="60">
        <v>2168</v>
      </c>
      <c r="BT278" s="60">
        <v>27</v>
      </c>
      <c r="BU278" s="60">
        <v>2901</v>
      </c>
      <c r="BV278" s="60">
        <v>1867</v>
      </c>
      <c r="BW278" s="60">
        <v>75</v>
      </c>
      <c r="BX278" s="60">
        <v>1086</v>
      </c>
      <c r="BY278" s="60">
        <v>3983</v>
      </c>
      <c r="BZ278" s="60">
        <v>1725</v>
      </c>
      <c r="CA278" s="60">
        <v>8701</v>
      </c>
      <c r="CB278" s="60"/>
      <c r="CC278" s="60"/>
      <c r="CD278" s="60">
        <v>2061</v>
      </c>
      <c r="CE278" s="60">
        <v>139</v>
      </c>
      <c r="CF278" s="60">
        <v>203</v>
      </c>
      <c r="CG278" s="60">
        <v>19</v>
      </c>
      <c r="CH278" s="60">
        <v>318</v>
      </c>
      <c r="CI278" s="60">
        <v>21</v>
      </c>
      <c r="CJ278" s="60">
        <v>145</v>
      </c>
      <c r="CK278" s="60">
        <v>215</v>
      </c>
      <c r="CL278" s="60">
        <v>28950</v>
      </c>
      <c r="CM278" s="60">
        <v>2958</v>
      </c>
      <c r="CN278" s="60">
        <v>186</v>
      </c>
      <c r="CO278" s="60">
        <v>824</v>
      </c>
      <c r="CP278" s="60">
        <v>108</v>
      </c>
      <c r="CQ278" s="60">
        <v>189</v>
      </c>
      <c r="CR278" s="60">
        <v>29</v>
      </c>
      <c r="CS278" s="60"/>
      <c r="CT278" s="60">
        <v>36365</v>
      </c>
      <c r="CU278" s="60">
        <v>238</v>
      </c>
      <c r="CV278" s="60">
        <v>26923</v>
      </c>
      <c r="CW278" s="60">
        <v>9204</v>
      </c>
      <c r="CX278" s="60">
        <v>2659</v>
      </c>
      <c r="CY278" s="60">
        <v>2500</v>
      </c>
      <c r="CZ278" s="60"/>
      <c r="DA278" s="60"/>
      <c r="DB278" s="60">
        <v>186</v>
      </c>
      <c r="DC278" s="60">
        <v>353</v>
      </c>
      <c r="DD278" s="60">
        <v>286</v>
      </c>
      <c r="DE278" s="60">
        <v>431</v>
      </c>
      <c r="DF278" s="60">
        <v>680</v>
      </c>
      <c r="DG278" s="60">
        <v>768</v>
      </c>
      <c r="DH278" s="60">
        <v>858</v>
      </c>
      <c r="DI278" s="60">
        <v>1344</v>
      </c>
      <c r="DJ278" s="60">
        <v>103</v>
      </c>
      <c r="DK278" s="60">
        <v>150</v>
      </c>
      <c r="DL278" s="60"/>
      <c r="DM278" s="60">
        <v>202</v>
      </c>
      <c r="DN278" s="60">
        <v>108</v>
      </c>
      <c r="DO278" s="60">
        <v>1843</v>
      </c>
      <c r="DP278" s="60">
        <v>25</v>
      </c>
      <c r="DQ278" s="60">
        <v>8</v>
      </c>
      <c r="DR278" s="60">
        <v>2967</v>
      </c>
      <c r="DS278" s="60">
        <v>6</v>
      </c>
      <c r="DT278" s="60">
        <v>77</v>
      </c>
      <c r="DU278" s="60">
        <v>39</v>
      </c>
      <c r="DV278" s="60">
        <v>212</v>
      </c>
      <c r="DW278" s="60">
        <v>497</v>
      </c>
      <c r="DX278" s="60">
        <v>81</v>
      </c>
      <c r="DY278" s="60">
        <v>101</v>
      </c>
      <c r="DZ278" s="60">
        <v>54</v>
      </c>
      <c r="EA278" s="60">
        <v>3434</v>
      </c>
      <c r="EB278" s="60">
        <v>658</v>
      </c>
      <c r="EC278" s="60">
        <v>6</v>
      </c>
      <c r="ED278" s="60">
        <v>0</v>
      </c>
      <c r="EE278" s="60">
        <v>0</v>
      </c>
      <c r="EF278" s="60">
        <v>0</v>
      </c>
      <c r="EG278" s="60">
        <v>0</v>
      </c>
      <c r="EH278" s="60">
        <v>0</v>
      </c>
      <c r="EI278" s="60">
        <v>973</v>
      </c>
      <c r="EJ278" s="60">
        <v>2739</v>
      </c>
      <c r="EK278" s="60">
        <v>146</v>
      </c>
      <c r="EL278" s="60">
        <v>925</v>
      </c>
      <c r="EM278" s="60">
        <v>376</v>
      </c>
      <c r="EN278" s="60">
        <v>101</v>
      </c>
      <c r="EO278" s="60">
        <v>77</v>
      </c>
      <c r="EP278" s="60">
        <v>881</v>
      </c>
      <c r="EQ278" s="60">
        <v>2</v>
      </c>
      <c r="ER278" s="60">
        <v>997</v>
      </c>
      <c r="ES278" s="60">
        <v>236</v>
      </c>
      <c r="ET278" s="60">
        <v>257</v>
      </c>
      <c r="EU278" s="60">
        <v>871</v>
      </c>
      <c r="EV278" s="60">
        <v>526</v>
      </c>
      <c r="EW278" s="60">
        <v>67</v>
      </c>
      <c r="EX278" s="60">
        <v>85</v>
      </c>
      <c r="EY278" s="60">
        <v>116</v>
      </c>
      <c r="EZ278" s="60">
        <v>3</v>
      </c>
      <c r="FA278" s="60">
        <v>36</v>
      </c>
      <c r="FB278" s="60">
        <v>546</v>
      </c>
      <c r="FC278" s="60">
        <v>72</v>
      </c>
      <c r="FD278" s="60">
        <v>270</v>
      </c>
      <c r="FE278" s="60">
        <v>2</v>
      </c>
      <c r="FF278" s="60">
        <v>14</v>
      </c>
      <c r="FG278" s="60"/>
      <c r="FH278" s="60">
        <v>339</v>
      </c>
      <c r="FI278" s="60">
        <v>34</v>
      </c>
      <c r="FJ278" s="60">
        <v>409</v>
      </c>
      <c r="FK278" s="60">
        <v>28</v>
      </c>
      <c r="FL278" s="60">
        <v>9</v>
      </c>
      <c r="FM278" s="60">
        <v>230</v>
      </c>
      <c r="FN278" s="60">
        <v>9</v>
      </c>
      <c r="FO278" s="60">
        <v>3889</v>
      </c>
      <c r="FP278" s="60">
        <v>89</v>
      </c>
      <c r="FQ278" s="60">
        <v>12</v>
      </c>
      <c r="FR278" s="60">
        <v>50</v>
      </c>
      <c r="FS278" s="60">
        <v>23</v>
      </c>
      <c r="FT278" s="60">
        <v>15</v>
      </c>
      <c r="FU278" s="60">
        <v>21</v>
      </c>
      <c r="FV278" s="60">
        <v>2</v>
      </c>
      <c r="FW278" s="60"/>
      <c r="FX278" s="60">
        <v>5159</v>
      </c>
      <c r="FY278" s="60">
        <v>54</v>
      </c>
      <c r="FZ278" s="60">
        <v>4293</v>
      </c>
      <c r="GA278" s="60">
        <v>812</v>
      </c>
      <c r="GB278" s="60">
        <v>2011</v>
      </c>
    </row>
    <row r="279" spans="1:184" x14ac:dyDescent="0.3">
      <c r="A279" s="60">
        <v>106420514</v>
      </c>
      <c r="B279" s="61" t="s">
        <v>1051</v>
      </c>
      <c r="C279" s="61" t="s">
        <v>1052</v>
      </c>
      <c r="D279" s="61" t="s">
        <v>2053</v>
      </c>
      <c r="E279" s="61" t="s">
        <v>1042</v>
      </c>
      <c r="F279" s="60">
        <v>93105</v>
      </c>
      <c r="G279" s="61" t="s">
        <v>143</v>
      </c>
      <c r="H279" s="61" t="s">
        <v>1669</v>
      </c>
      <c r="I279" s="60">
        <v>35</v>
      </c>
      <c r="J279" s="60">
        <v>19</v>
      </c>
      <c r="K279" s="61" t="s">
        <v>2054</v>
      </c>
      <c r="L279" s="61"/>
      <c r="M279" s="61" t="s">
        <v>2048</v>
      </c>
      <c r="N279" s="61" t="s">
        <v>2049</v>
      </c>
      <c r="O279" s="61" t="s">
        <v>1673</v>
      </c>
      <c r="P279" s="61" t="s">
        <v>1678</v>
      </c>
      <c r="Q279" s="61" t="s">
        <v>1674</v>
      </c>
      <c r="R279" s="60">
        <v>350</v>
      </c>
      <c r="S279" s="61" t="s">
        <v>1675</v>
      </c>
      <c r="T279" s="60">
        <v>16808</v>
      </c>
      <c r="U279" s="60">
        <v>16216</v>
      </c>
      <c r="V279" s="60"/>
      <c r="W279" s="60"/>
      <c r="X279" s="60">
        <v>3411</v>
      </c>
      <c r="Y279" s="60">
        <v>3009</v>
      </c>
      <c r="Z279" s="60">
        <v>5538</v>
      </c>
      <c r="AA279" s="60">
        <v>3751</v>
      </c>
      <c r="AB279" s="60">
        <v>4094</v>
      </c>
      <c r="AC279" s="60">
        <v>4406</v>
      </c>
      <c r="AD279" s="60">
        <v>2809</v>
      </c>
      <c r="AE279" s="60">
        <v>1993</v>
      </c>
      <c r="AF279" s="60">
        <v>3076</v>
      </c>
      <c r="AG279" s="60">
        <v>936</v>
      </c>
      <c r="AH279" s="60">
        <v>1</v>
      </c>
      <c r="AI279" s="60">
        <v>605</v>
      </c>
      <c r="AJ279" s="60">
        <v>783</v>
      </c>
      <c r="AK279" s="60">
        <v>10498</v>
      </c>
      <c r="AL279" s="60">
        <v>78</v>
      </c>
      <c r="AM279" s="60">
        <v>94</v>
      </c>
      <c r="AN279" s="60">
        <v>222</v>
      </c>
      <c r="AO279" s="60">
        <v>20744</v>
      </c>
      <c r="AP279" s="60">
        <v>140</v>
      </c>
      <c r="AQ279" s="60">
        <v>814</v>
      </c>
      <c r="AR279" s="60"/>
      <c r="AS279" s="60">
        <v>46</v>
      </c>
      <c r="AT279" s="60">
        <v>21</v>
      </c>
      <c r="AU279" s="60">
        <v>6</v>
      </c>
      <c r="AV279" s="60">
        <v>10</v>
      </c>
      <c r="AW279" s="60">
        <v>2</v>
      </c>
      <c r="AX279" s="60"/>
      <c r="AY279" s="60">
        <v>437</v>
      </c>
      <c r="AZ279" s="60">
        <v>4</v>
      </c>
      <c r="BA279" s="60">
        <v>31248</v>
      </c>
      <c r="BB279" s="60">
        <v>296</v>
      </c>
      <c r="BC279" s="60"/>
      <c r="BD279" s="60"/>
      <c r="BE279" s="60">
        <v>7534</v>
      </c>
      <c r="BF279" s="60">
        <v>7087</v>
      </c>
      <c r="BG279" s="60">
        <v>1339</v>
      </c>
      <c r="BH279" s="60">
        <v>11270</v>
      </c>
      <c r="BI279" s="60">
        <v>5794</v>
      </c>
      <c r="BJ279" s="60">
        <v>605</v>
      </c>
      <c r="BK279" s="60">
        <v>92</v>
      </c>
      <c r="BL279" s="60">
        <v>873</v>
      </c>
      <c r="BM279" s="60">
        <v>8</v>
      </c>
      <c r="BN279" s="60">
        <v>1712</v>
      </c>
      <c r="BO279" s="60">
        <v>421</v>
      </c>
      <c r="BP279" s="60">
        <v>1578</v>
      </c>
      <c r="BQ279" s="60">
        <v>769</v>
      </c>
      <c r="BR279" s="60">
        <v>7811</v>
      </c>
      <c r="BS279" s="60">
        <v>1579</v>
      </c>
      <c r="BT279" s="60">
        <v>58</v>
      </c>
      <c r="BU279" s="60">
        <v>2133</v>
      </c>
      <c r="BV279" s="60">
        <v>1061</v>
      </c>
      <c r="BW279" s="60">
        <v>55</v>
      </c>
      <c r="BX279" s="60">
        <v>2912</v>
      </c>
      <c r="BY279" s="60">
        <v>2862</v>
      </c>
      <c r="BZ279" s="60">
        <v>1340</v>
      </c>
      <c r="CA279" s="60">
        <v>7155</v>
      </c>
      <c r="CB279" s="60"/>
      <c r="CC279" s="60"/>
      <c r="CD279" s="60">
        <v>2928</v>
      </c>
      <c r="CE279" s="60">
        <v>148</v>
      </c>
      <c r="CF279" s="60">
        <v>272</v>
      </c>
      <c r="CG279" s="60">
        <v>19</v>
      </c>
      <c r="CH279" s="60">
        <v>422</v>
      </c>
      <c r="CI279" s="60">
        <v>27</v>
      </c>
      <c r="CJ279" s="60">
        <v>238</v>
      </c>
      <c r="CK279" s="60">
        <v>324</v>
      </c>
      <c r="CL279" s="60">
        <v>24382</v>
      </c>
      <c r="CM279" s="60">
        <v>2814</v>
      </c>
      <c r="CN279" s="60">
        <v>335</v>
      </c>
      <c r="CO279" s="60">
        <v>694</v>
      </c>
      <c r="CP279" s="60">
        <v>102</v>
      </c>
      <c r="CQ279" s="60">
        <v>194</v>
      </c>
      <c r="CR279" s="60">
        <v>125</v>
      </c>
      <c r="CS279" s="60"/>
      <c r="CT279" s="60">
        <v>33024</v>
      </c>
      <c r="CU279" s="60">
        <v>365</v>
      </c>
      <c r="CV279" s="60">
        <v>28322</v>
      </c>
      <c r="CW279" s="60">
        <v>4337</v>
      </c>
      <c r="CX279" s="60">
        <v>3862</v>
      </c>
      <c r="CY279" s="60">
        <v>3650</v>
      </c>
      <c r="CZ279" s="60"/>
      <c r="DA279" s="60"/>
      <c r="DB279" s="60">
        <v>229</v>
      </c>
      <c r="DC279" s="60">
        <v>576</v>
      </c>
      <c r="DD279" s="60">
        <v>446</v>
      </c>
      <c r="DE279" s="60">
        <v>818</v>
      </c>
      <c r="DF279" s="60">
        <v>1159</v>
      </c>
      <c r="DG279" s="60">
        <v>1065</v>
      </c>
      <c r="DH279" s="60">
        <v>1002</v>
      </c>
      <c r="DI279" s="60">
        <v>1925</v>
      </c>
      <c r="DJ279" s="60">
        <v>98</v>
      </c>
      <c r="DK279" s="60">
        <v>194</v>
      </c>
      <c r="DL279" s="60"/>
      <c r="DM279" s="60">
        <v>144</v>
      </c>
      <c r="DN279" s="60">
        <v>114</v>
      </c>
      <c r="DO279" s="60">
        <v>1616</v>
      </c>
      <c r="DP279" s="60">
        <v>13</v>
      </c>
      <c r="DQ279" s="60">
        <v>39</v>
      </c>
      <c r="DR279" s="60">
        <v>5577</v>
      </c>
      <c r="DS279" s="60">
        <v>9</v>
      </c>
      <c r="DT279" s="60">
        <v>27</v>
      </c>
      <c r="DU279" s="60">
        <v>77</v>
      </c>
      <c r="DV279" s="60">
        <v>276</v>
      </c>
      <c r="DW279" s="60">
        <v>503</v>
      </c>
      <c r="DX279" s="60">
        <v>263</v>
      </c>
      <c r="DY279" s="60">
        <v>62</v>
      </c>
      <c r="DZ279" s="60"/>
      <c r="EA279" s="60">
        <v>5374</v>
      </c>
      <c r="EB279" s="60">
        <v>911</v>
      </c>
      <c r="EC279" s="60">
        <v>19</v>
      </c>
      <c r="ED279" s="60">
        <v>0</v>
      </c>
      <c r="EE279" s="60">
        <v>0</v>
      </c>
      <c r="EF279" s="60">
        <v>0</v>
      </c>
      <c r="EG279" s="60">
        <v>0</v>
      </c>
      <c r="EH279" s="60">
        <v>0</v>
      </c>
      <c r="EI279" s="60">
        <v>785</v>
      </c>
      <c r="EJ279" s="60">
        <v>3744</v>
      </c>
      <c r="EK279" s="60">
        <v>296</v>
      </c>
      <c r="EL279" s="60">
        <v>2178</v>
      </c>
      <c r="EM279" s="60">
        <v>509</v>
      </c>
      <c r="EN279" s="60">
        <v>46</v>
      </c>
      <c r="EO279" s="60">
        <v>101</v>
      </c>
      <c r="EP279" s="60">
        <v>1456</v>
      </c>
      <c r="EQ279" s="60">
        <v>26</v>
      </c>
      <c r="ER279" s="60">
        <v>1295</v>
      </c>
      <c r="ES279" s="60">
        <v>231</v>
      </c>
      <c r="ET279" s="60">
        <v>345</v>
      </c>
      <c r="EU279" s="60">
        <v>460</v>
      </c>
      <c r="EV279" s="60">
        <v>715</v>
      </c>
      <c r="EW279" s="60">
        <v>159</v>
      </c>
      <c r="EX279" s="60">
        <v>224</v>
      </c>
      <c r="EY279" s="60">
        <v>184</v>
      </c>
      <c r="EZ279" s="60">
        <v>2</v>
      </c>
      <c r="FA279" s="60">
        <v>1102</v>
      </c>
      <c r="FB279" s="60">
        <v>689</v>
      </c>
      <c r="FC279" s="60">
        <v>142</v>
      </c>
      <c r="FD279" s="60">
        <v>318</v>
      </c>
      <c r="FE279" s="60"/>
      <c r="FF279" s="60">
        <v>17</v>
      </c>
      <c r="FG279" s="60"/>
      <c r="FH279" s="60">
        <v>368</v>
      </c>
      <c r="FI279" s="60">
        <v>46</v>
      </c>
      <c r="FJ279" s="60">
        <v>545</v>
      </c>
      <c r="FK279" s="60">
        <v>8</v>
      </c>
      <c r="FL279" s="60">
        <v>24</v>
      </c>
      <c r="FM279" s="60">
        <v>440</v>
      </c>
      <c r="FN279" s="60">
        <v>15</v>
      </c>
      <c r="FO279" s="60">
        <v>5798</v>
      </c>
      <c r="FP279" s="60">
        <v>104</v>
      </c>
      <c r="FQ279" s="60">
        <v>13</v>
      </c>
      <c r="FR279" s="60">
        <v>9</v>
      </c>
      <c r="FS279" s="60">
        <v>87</v>
      </c>
      <c r="FT279" s="60">
        <v>34</v>
      </c>
      <c r="FU279" s="60">
        <v>18</v>
      </c>
      <c r="FV279" s="60">
        <v>3</v>
      </c>
      <c r="FW279" s="60"/>
      <c r="FX279" s="60">
        <v>7512</v>
      </c>
      <c r="FY279" s="60">
        <v>52</v>
      </c>
      <c r="FZ279" s="60">
        <v>6787</v>
      </c>
      <c r="GA279" s="60">
        <v>673</v>
      </c>
      <c r="GB279" s="60">
        <v>2011</v>
      </c>
    </row>
    <row r="280" spans="1:184" x14ac:dyDescent="0.3">
      <c r="A280" s="60">
        <v>106420522</v>
      </c>
      <c r="B280" s="61" t="s">
        <v>1053</v>
      </c>
      <c r="C280" s="61" t="s">
        <v>1054</v>
      </c>
      <c r="D280" s="61" t="s">
        <v>1055</v>
      </c>
      <c r="E280" s="61" t="s">
        <v>1056</v>
      </c>
      <c r="F280" s="60">
        <v>93463</v>
      </c>
      <c r="G280" s="61"/>
      <c r="H280" s="61" t="s">
        <v>1669</v>
      </c>
      <c r="I280" s="60">
        <v>35</v>
      </c>
      <c r="J280" s="60">
        <v>19</v>
      </c>
      <c r="K280" s="61" t="s">
        <v>2055</v>
      </c>
      <c r="L280" s="61"/>
      <c r="M280" s="61" t="s">
        <v>2048</v>
      </c>
      <c r="N280" s="61" t="s">
        <v>2049</v>
      </c>
      <c r="O280" s="61" t="s">
        <v>1673</v>
      </c>
      <c r="P280" s="61" t="s">
        <v>1678</v>
      </c>
      <c r="Q280" s="61" t="s">
        <v>1674</v>
      </c>
      <c r="R280" s="60">
        <v>11</v>
      </c>
      <c r="S280" s="61" t="s">
        <v>1706</v>
      </c>
      <c r="T280" s="60">
        <v>3354</v>
      </c>
      <c r="U280" s="60">
        <v>3080</v>
      </c>
      <c r="V280" s="60"/>
      <c r="W280" s="60"/>
      <c r="X280" s="60">
        <v>606</v>
      </c>
      <c r="Y280" s="60">
        <v>634</v>
      </c>
      <c r="Z280" s="60">
        <v>736</v>
      </c>
      <c r="AA280" s="60">
        <v>504</v>
      </c>
      <c r="AB280" s="60">
        <v>694</v>
      </c>
      <c r="AC280" s="60">
        <v>852</v>
      </c>
      <c r="AD280" s="60">
        <v>801</v>
      </c>
      <c r="AE280" s="60">
        <v>668</v>
      </c>
      <c r="AF280" s="60">
        <v>863</v>
      </c>
      <c r="AG280" s="60">
        <v>76</v>
      </c>
      <c r="AH280" s="60"/>
      <c r="AI280" s="60">
        <v>102</v>
      </c>
      <c r="AJ280" s="60">
        <v>75</v>
      </c>
      <c r="AK280" s="60">
        <v>1089</v>
      </c>
      <c r="AL280" s="60">
        <v>60</v>
      </c>
      <c r="AM280" s="60">
        <v>9</v>
      </c>
      <c r="AN280" s="60">
        <v>26</v>
      </c>
      <c r="AO280" s="60">
        <v>5073</v>
      </c>
      <c r="AP280" s="60">
        <v>488</v>
      </c>
      <c r="AQ280" s="60">
        <v>74</v>
      </c>
      <c r="AR280" s="60"/>
      <c r="AS280" s="60">
        <v>12</v>
      </c>
      <c r="AT280" s="60">
        <v>2</v>
      </c>
      <c r="AU280" s="60">
        <v>1</v>
      </c>
      <c r="AV280" s="60"/>
      <c r="AW280" s="60"/>
      <c r="AX280" s="60"/>
      <c r="AY280" s="60">
        <v>22</v>
      </c>
      <c r="AZ280" s="60">
        <v>1</v>
      </c>
      <c r="BA280" s="60">
        <v>5817</v>
      </c>
      <c r="BB280" s="60">
        <v>17</v>
      </c>
      <c r="BC280" s="60"/>
      <c r="BD280" s="60"/>
      <c r="BE280" s="60">
        <v>803</v>
      </c>
      <c r="BF280" s="60">
        <v>1761</v>
      </c>
      <c r="BG280" s="60">
        <v>412</v>
      </c>
      <c r="BH280" s="60">
        <v>2751</v>
      </c>
      <c r="BI280" s="60">
        <v>707</v>
      </c>
      <c r="BJ280" s="60">
        <v>57</v>
      </c>
      <c r="BK280" s="60">
        <v>38</v>
      </c>
      <c r="BL280" s="60">
        <v>288</v>
      </c>
      <c r="BM280" s="60"/>
      <c r="BN280" s="60">
        <v>327</v>
      </c>
      <c r="BO280" s="60">
        <v>104</v>
      </c>
      <c r="BP280" s="60">
        <v>291</v>
      </c>
      <c r="BQ280" s="60">
        <v>130</v>
      </c>
      <c r="BR280" s="60">
        <v>1889</v>
      </c>
      <c r="BS280" s="60">
        <v>405</v>
      </c>
      <c r="BT280" s="60">
        <v>10</v>
      </c>
      <c r="BU280" s="60">
        <v>324</v>
      </c>
      <c r="BV280" s="60">
        <v>225</v>
      </c>
      <c r="BW280" s="60">
        <v>3</v>
      </c>
      <c r="BX280" s="60">
        <v>200</v>
      </c>
      <c r="BY280" s="60">
        <v>446</v>
      </c>
      <c r="BZ280" s="60">
        <v>206</v>
      </c>
      <c r="CA280" s="60">
        <v>1491</v>
      </c>
      <c r="CB280" s="60"/>
      <c r="CC280" s="60"/>
      <c r="CD280" s="60">
        <v>695</v>
      </c>
      <c r="CE280" s="60">
        <v>29</v>
      </c>
      <c r="CF280" s="60">
        <v>49</v>
      </c>
      <c r="CG280" s="60">
        <v>2</v>
      </c>
      <c r="CH280" s="60">
        <v>30</v>
      </c>
      <c r="CI280" s="60"/>
      <c r="CJ280" s="60">
        <v>42</v>
      </c>
      <c r="CK280" s="60">
        <v>148</v>
      </c>
      <c r="CL280" s="60">
        <v>4403</v>
      </c>
      <c r="CM280" s="60">
        <v>784</v>
      </c>
      <c r="CN280" s="60">
        <v>76</v>
      </c>
      <c r="CO280" s="60">
        <v>115</v>
      </c>
      <c r="CP280" s="60">
        <v>10</v>
      </c>
      <c r="CQ280" s="60">
        <v>38</v>
      </c>
      <c r="CR280" s="60">
        <v>13</v>
      </c>
      <c r="CS280" s="60"/>
      <c r="CT280" s="60">
        <v>6434</v>
      </c>
      <c r="CU280" s="60">
        <v>41</v>
      </c>
      <c r="CV280" s="60">
        <v>6032</v>
      </c>
      <c r="CW280" s="60">
        <v>361</v>
      </c>
      <c r="CX280" s="60">
        <v>154</v>
      </c>
      <c r="CY280" s="60">
        <v>100</v>
      </c>
      <c r="CZ280" s="60"/>
      <c r="DA280" s="60"/>
      <c r="DB280" s="60">
        <v>4</v>
      </c>
      <c r="DC280" s="60">
        <v>2</v>
      </c>
      <c r="DD280" s="60">
        <v>2</v>
      </c>
      <c r="DE280" s="60">
        <v>9</v>
      </c>
      <c r="DF280" s="60">
        <v>23</v>
      </c>
      <c r="DG280" s="60">
        <v>29</v>
      </c>
      <c r="DH280" s="60">
        <v>39</v>
      </c>
      <c r="DI280" s="60">
        <v>146</v>
      </c>
      <c r="DJ280" s="60"/>
      <c r="DK280" s="60"/>
      <c r="DL280" s="60"/>
      <c r="DM280" s="60"/>
      <c r="DN280" s="60">
        <v>1</v>
      </c>
      <c r="DO280" s="60">
        <v>10</v>
      </c>
      <c r="DP280" s="60"/>
      <c r="DQ280" s="60"/>
      <c r="DR280" s="60">
        <v>241</v>
      </c>
      <c r="DS280" s="60">
        <v>2</v>
      </c>
      <c r="DT280" s="60">
        <v>29</v>
      </c>
      <c r="DU280" s="60">
        <v>2</v>
      </c>
      <c r="DV280" s="60">
        <v>4</v>
      </c>
      <c r="DW280" s="60">
        <v>27</v>
      </c>
      <c r="DX280" s="60">
        <v>1</v>
      </c>
      <c r="DY280" s="60">
        <v>1</v>
      </c>
      <c r="DZ280" s="60"/>
      <c r="EA280" s="60">
        <v>142</v>
      </c>
      <c r="EB280" s="60">
        <v>48</v>
      </c>
      <c r="EC280" s="60"/>
      <c r="ED280" s="60">
        <v>0</v>
      </c>
      <c r="EE280" s="60">
        <v>0</v>
      </c>
      <c r="EF280" s="60">
        <v>0</v>
      </c>
      <c r="EG280" s="60">
        <v>0</v>
      </c>
      <c r="EH280" s="60">
        <v>0</v>
      </c>
      <c r="EI280" s="60">
        <v>5</v>
      </c>
      <c r="EJ280" s="60">
        <v>190</v>
      </c>
      <c r="EK280" s="60">
        <v>3</v>
      </c>
      <c r="EL280" s="60">
        <v>48</v>
      </c>
      <c r="EM280" s="60">
        <v>8</v>
      </c>
      <c r="EN280" s="60">
        <v>1</v>
      </c>
      <c r="EO280" s="60">
        <v>6</v>
      </c>
      <c r="EP280" s="60">
        <v>48</v>
      </c>
      <c r="EQ280" s="60"/>
      <c r="ER280" s="60">
        <v>23</v>
      </c>
      <c r="ES280" s="60">
        <v>22</v>
      </c>
      <c r="ET280" s="60">
        <v>25</v>
      </c>
      <c r="EU280" s="60">
        <v>17</v>
      </c>
      <c r="EV280" s="60">
        <v>15</v>
      </c>
      <c r="EW280" s="60">
        <v>9</v>
      </c>
      <c r="EX280" s="60">
        <v>7</v>
      </c>
      <c r="EY280" s="60">
        <v>3</v>
      </c>
      <c r="EZ280" s="60"/>
      <c r="FA280" s="60">
        <v>6</v>
      </c>
      <c r="FB280" s="60">
        <v>50</v>
      </c>
      <c r="FC280" s="60">
        <v>5</v>
      </c>
      <c r="FD280" s="60">
        <v>17</v>
      </c>
      <c r="FE280" s="60"/>
      <c r="FF280" s="60"/>
      <c r="FG280" s="60"/>
      <c r="FH280" s="60">
        <v>22</v>
      </c>
      <c r="FI280" s="60"/>
      <c r="FJ280" s="60">
        <v>34</v>
      </c>
      <c r="FK280" s="60"/>
      <c r="FL280" s="60">
        <v>1</v>
      </c>
      <c r="FM280" s="60">
        <v>5</v>
      </c>
      <c r="FN280" s="60">
        <v>1</v>
      </c>
      <c r="FO280" s="60">
        <v>185</v>
      </c>
      <c r="FP280" s="60">
        <v>5</v>
      </c>
      <c r="FQ280" s="60"/>
      <c r="FR280" s="60"/>
      <c r="FS280" s="60">
        <v>1</v>
      </c>
      <c r="FT280" s="60"/>
      <c r="FU280" s="60"/>
      <c r="FV280" s="60"/>
      <c r="FW280" s="60"/>
      <c r="FX280" s="60">
        <v>254</v>
      </c>
      <c r="FY280" s="60"/>
      <c r="FZ280" s="60">
        <v>252</v>
      </c>
      <c r="GA280" s="60">
        <v>2</v>
      </c>
      <c r="GB280" s="60">
        <v>2011</v>
      </c>
    </row>
    <row r="281" spans="1:184" x14ac:dyDescent="0.3">
      <c r="A281" s="60">
        <v>106430705</v>
      </c>
      <c r="B281" s="61" t="s">
        <v>1057</v>
      </c>
      <c r="C281" s="61" t="s">
        <v>1058</v>
      </c>
      <c r="D281" s="61" t="s">
        <v>1060</v>
      </c>
      <c r="E281" s="61" t="s">
        <v>1061</v>
      </c>
      <c r="F281" s="60">
        <v>95116</v>
      </c>
      <c r="G281" s="61" t="s">
        <v>143</v>
      </c>
      <c r="H281" s="61" t="s">
        <v>1669</v>
      </c>
      <c r="I281" s="60">
        <v>23</v>
      </c>
      <c r="J281" s="60">
        <v>13</v>
      </c>
      <c r="K281" s="61" t="s">
        <v>2056</v>
      </c>
      <c r="L281" s="61"/>
      <c r="M281" s="61" t="s">
        <v>2057</v>
      </c>
      <c r="N281" s="61" t="s">
        <v>2058</v>
      </c>
      <c r="O281" s="61" t="s">
        <v>1673</v>
      </c>
      <c r="P281" s="61" t="s">
        <v>221</v>
      </c>
      <c r="Q281" s="61" t="s">
        <v>1674</v>
      </c>
      <c r="R281" s="60">
        <v>247</v>
      </c>
      <c r="S281" s="61" t="s">
        <v>1675</v>
      </c>
      <c r="T281" s="60">
        <v>27271</v>
      </c>
      <c r="U281" s="60">
        <v>23476</v>
      </c>
      <c r="V281" s="60"/>
      <c r="W281" s="60"/>
      <c r="X281" s="60">
        <v>9457</v>
      </c>
      <c r="Y281" s="60">
        <v>6664</v>
      </c>
      <c r="Z281" s="60">
        <v>8797</v>
      </c>
      <c r="AA281" s="60">
        <v>6777</v>
      </c>
      <c r="AB281" s="60">
        <v>6115</v>
      </c>
      <c r="AC281" s="60">
        <v>4390</v>
      </c>
      <c r="AD281" s="60">
        <v>2663</v>
      </c>
      <c r="AE281" s="60">
        <v>2228</v>
      </c>
      <c r="AF281" s="60">
        <v>1929</v>
      </c>
      <c r="AG281" s="60">
        <v>1727</v>
      </c>
      <c r="AH281" s="60"/>
      <c r="AI281" s="60">
        <v>9619</v>
      </c>
      <c r="AJ281" s="60">
        <v>2039</v>
      </c>
      <c r="AK281" s="60">
        <v>32063</v>
      </c>
      <c r="AL281" s="60">
        <v>31</v>
      </c>
      <c r="AM281" s="60">
        <v>1009</v>
      </c>
      <c r="AN281" s="60">
        <v>159</v>
      </c>
      <c r="AO281" s="60">
        <v>5827</v>
      </c>
      <c r="AP281" s="60">
        <v>331</v>
      </c>
      <c r="AQ281" s="60">
        <v>955</v>
      </c>
      <c r="AR281" s="60"/>
      <c r="AS281" s="60">
        <v>132</v>
      </c>
      <c r="AT281" s="60">
        <v>40</v>
      </c>
      <c r="AU281" s="60">
        <v>2</v>
      </c>
      <c r="AV281" s="60">
        <v>1</v>
      </c>
      <c r="AW281" s="60">
        <v>115</v>
      </c>
      <c r="AX281" s="60">
        <v>246</v>
      </c>
      <c r="AY281" s="60">
        <v>203</v>
      </c>
      <c r="AZ281" s="60">
        <v>16</v>
      </c>
      <c r="BA281" s="60">
        <v>48590</v>
      </c>
      <c r="BB281" s="60">
        <v>96</v>
      </c>
      <c r="BC281" s="60">
        <v>20</v>
      </c>
      <c r="BD281" s="60"/>
      <c r="BE281" s="60">
        <v>7286</v>
      </c>
      <c r="BF281" s="60">
        <v>6743</v>
      </c>
      <c r="BG281" s="60">
        <v>18584</v>
      </c>
      <c r="BH281" s="60">
        <v>7929</v>
      </c>
      <c r="BI281" s="60">
        <v>10205</v>
      </c>
      <c r="BJ281" s="60">
        <v>1768</v>
      </c>
      <c r="BK281" s="60">
        <v>135</v>
      </c>
      <c r="BL281" s="60">
        <v>772</v>
      </c>
      <c r="BM281" s="60">
        <v>5</v>
      </c>
      <c r="BN281" s="60">
        <v>2370</v>
      </c>
      <c r="BO281" s="60">
        <v>477</v>
      </c>
      <c r="BP281" s="60">
        <v>2369</v>
      </c>
      <c r="BQ281" s="60">
        <v>1108</v>
      </c>
      <c r="BR281" s="60">
        <v>12012</v>
      </c>
      <c r="BS281" s="60">
        <v>1942</v>
      </c>
      <c r="BT281" s="60">
        <v>34</v>
      </c>
      <c r="BU281" s="60">
        <v>3102</v>
      </c>
      <c r="BV281" s="60">
        <v>2270</v>
      </c>
      <c r="BW281" s="60">
        <v>66</v>
      </c>
      <c r="BX281" s="60">
        <v>1946</v>
      </c>
      <c r="BY281" s="60">
        <v>5980</v>
      </c>
      <c r="BZ281" s="60">
        <v>1978</v>
      </c>
      <c r="CA281" s="60">
        <v>12413</v>
      </c>
      <c r="CB281" s="60"/>
      <c r="CC281" s="60"/>
      <c r="CD281" s="60">
        <v>3462</v>
      </c>
      <c r="CE281" s="60">
        <v>171</v>
      </c>
      <c r="CF281" s="60">
        <v>269</v>
      </c>
      <c r="CG281" s="60">
        <v>18</v>
      </c>
      <c r="CH281" s="60">
        <v>823</v>
      </c>
      <c r="CI281" s="60">
        <v>5</v>
      </c>
      <c r="CJ281" s="60">
        <v>26</v>
      </c>
      <c r="CK281" s="60">
        <v>480</v>
      </c>
      <c r="CL281" s="60">
        <v>38240</v>
      </c>
      <c r="CM281" s="60">
        <v>4780</v>
      </c>
      <c r="CN281" s="60">
        <v>299</v>
      </c>
      <c r="CO281" s="60">
        <v>1837</v>
      </c>
      <c r="CP281" s="60">
        <v>87</v>
      </c>
      <c r="CQ281" s="60">
        <v>224</v>
      </c>
      <c r="CR281" s="60">
        <v>26</v>
      </c>
      <c r="CS281" s="60"/>
      <c r="CT281" s="60">
        <v>50747</v>
      </c>
      <c r="CU281" s="60">
        <v>2967</v>
      </c>
      <c r="CV281" s="60">
        <v>39634</v>
      </c>
      <c r="CW281" s="60">
        <v>8146</v>
      </c>
      <c r="CX281" s="60">
        <v>4964</v>
      </c>
      <c r="CY281" s="60">
        <v>4743</v>
      </c>
      <c r="CZ281" s="60"/>
      <c r="DA281" s="60"/>
      <c r="DB281" s="60">
        <v>291</v>
      </c>
      <c r="DC281" s="60">
        <v>699</v>
      </c>
      <c r="DD281" s="60">
        <v>694</v>
      </c>
      <c r="DE281" s="60">
        <v>991</v>
      </c>
      <c r="DF281" s="60">
        <v>1214</v>
      </c>
      <c r="DG281" s="60">
        <v>1313</v>
      </c>
      <c r="DH281" s="60">
        <v>1827</v>
      </c>
      <c r="DI281" s="60">
        <v>2415</v>
      </c>
      <c r="DJ281" s="60">
        <v>82</v>
      </c>
      <c r="DK281" s="60">
        <v>181</v>
      </c>
      <c r="DL281" s="60"/>
      <c r="DM281" s="60">
        <v>3447</v>
      </c>
      <c r="DN281" s="60">
        <v>291</v>
      </c>
      <c r="DO281" s="60">
        <v>3670</v>
      </c>
      <c r="DP281" s="60">
        <v>568</v>
      </c>
      <c r="DQ281" s="60">
        <v>16</v>
      </c>
      <c r="DR281" s="60">
        <v>1709</v>
      </c>
      <c r="DS281" s="60">
        <v>6</v>
      </c>
      <c r="DT281" s="60">
        <v>417</v>
      </c>
      <c r="DU281" s="60">
        <v>213</v>
      </c>
      <c r="DV281" s="60">
        <v>403</v>
      </c>
      <c r="DW281" s="60">
        <v>680</v>
      </c>
      <c r="DX281" s="60">
        <v>168</v>
      </c>
      <c r="DY281" s="60">
        <v>79</v>
      </c>
      <c r="DZ281" s="60">
        <v>149</v>
      </c>
      <c r="EA281" s="60">
        <v>6123</v>
      </c>
      <c r="EB281" s="60">
        <v>1467</v>
      </c>
      <c r="EC281" s="60">
        <v>8</v>
      </c>
      <c r="ED281" s="60">
        <v>0</v>
      </c>
      <c r="EE281" s="60">
        <v>0</v>
      </c>
      <c r="EF281" s="60">
        <v>0</v>
      </c>
      <c r="EG281" s="60">
        <v>0</v>
      </c>
      <c r="EH281" s="60">
        <v>0</v>
      </c>
      <c r="EI281" s="60">
        <v>1842</v>
      </c>
      <c r="EJ281" s="60">
        <v>5268</v>
      </c>
      <c r="EK281" s="60">
        <v>250</v>
      </c>
      <c r="EL281" s="60">
        <v>1356</v>
      </c>
      <c r="EM281" s="60">
        <v>991</v>
      </c>
      <c r="EN281" s="60">
        <v>327</v>
      </c>
      <c r="EO281" s="60">
        <v>101</v>
      </c>
      <c r="EP281" s="60">
        <v>1807</v>
      </c>
      <c r="EQ281" s="60">
        <v>3</v>
      </c>
      <c r="ER281" s="60">
        <v>1274</v>
      </c>
      <c r="ES281" s="60">
        <v>438</v>
      </c>
      <c r="ET281" s="60">
        <v>546</v>
      </c>
      <c r="EU281" s="60">
        <v>947</v>
      </c>
      <c r="EV281" s="60">
        <v>1637</v>
      </c>
      <c r="EW281" s="60">
        <v>120</v>
      </c>
      <c r="EX281" s="60">
        <v>182</v>
      </c>
      <c r="EY281" s="60">
        <v>190</v>
      </c>
      <c r="EZ281" s="60">
        <v>20</v>
      </c>
      <c r="FA281" s="60">
        <v>113</v>
      </c>
      <c r="FB281" s="60">
        <v>1250</v>
      </c>
      <c r="FC281" s="60">
        <v>200</v>
      </c>
      <c r="FD281" s="60">
        <v>540</v>
      </c>
      <c r="FE281" s="60"/>
      <c r="FF281" s="60">
        <v>12</v>
      </c>
      <c r="FG281" s="60"/>
      <c r="FH281" s="60">
        <v>621</v>
      </c>
      <c r="FI281" s="60">
        <v>73</v>
      </c>
      <c r="FJ281" s="60">
        <v>488</v>
      </c>
      <c r="FK281" s="60">
        <v>229</v>
      </c>
      <c r="FL281" s="60">
        <v>3</v>
      </c>
      <c r="FM281" s="60">
        <v>18</v>
      </c>
      <c r="FN281" s="60">
        <v>26</v>
      </c>
      <c r="FO281" s="60">
        <v>7407</v>
      </c>
      <c r="FP281" s="60">
        <v>188</v>
      </c>
      <c r="FQ281" s="60">
        <v>65</v>
      </c>
      <c r="FR281" s="60">
        <v>486</v>
      </c>
      <c r="FS281" s="60">
        <v>63</v>
      </c>
      <c r="FT281" s="60">
        <v>25</v>
      </c>
      <c r="FU281" s="60">
        <v>14</v>
      </c>
      <c r="FV281" s="60">
        <v>1</v>
      </c>
      <c r="FW281" s="60"/>
      <c r="FX281" s="60">
        <v>9707</v>
      </c>
      <c r="FY281" s="60">
        <v>2188</v>
      </c>
      <c r="FZ281" s="60">
        <v>6356</v>
      </c>
      <c r="GA281" s="60">
        <v>1163</v>
      </c>
      <c r="GB281" s="60">
        <v>2011</v>
      </c>
    </row>
    <row r="282" spans="1:184" x14ac:dyDescent="0.3">
      <c r="A282" s="60">
        <v>106430763</v>
      </c>
      <c r="B282" s="61" t="s">
        <v>1062</v>
      </c>
      <c r="C282" s="61" t="s">
        <v>1063</v>
      </c>
      <c r="D282" s="61" t="s">
        <v>1064</v>
      </c>
      <c r="E282" s="61" t="s">
        <v>1065</v>
      </c>
      <c r="F282" s="60">
        <v>94040</v>
      </c>
      <c r="G282" s="61"/>
      <c r="H282" s="61" t="s">
        <v>1669</v>
      </c>
      <c r="I282" s="60">
        <v>22</v>
      </c>
      <c r="J282" s="60">
        <v>13</v>
      </c>
      <c r="K282" s="61" t="s">
        <v>2059</v>
      </c>
      <c r="L282" s="61"/>
      <c r="M282" s="61" t="s">
        <v>2057</v>
      </c>
      <c r="N282" s="61" t="s">
        <v>2058</v>
      </c>
      <c r="O282" s="61" t="s">
        <v>1673</v>
      </c>
      <c r="P282" s="61" t="s">
        <v>159</v>
      </c>
      <c r="Q282" s="61" t="s">
        <v>1674</v>
      </c>
      <c r="R282" s="60">
        <v>374</v>
      </c>
      <c r="S282" s="61" t="s">
        <v>1675</v>
      </c>
      <c r="T282" s="60">
        <v>24830</v>
      </c>
      <c r="U282" s="60">
        <v>20394</v>
      </c>
      <c r="V282" s="60"/>
      <c r="W282" s="60"/>
      <c r="X282" s="60">
        <v>6518</v>
      </c>
      <c r="Y282" s="60">
        <v>4085</v>
      </c>
      <c r="Z282" s="60">
        <v>6051</v>
      </c>
      <c r="AA282" s="60">
        <v>6360</v>
      </c>
      <c r="AB282" s="60">
        <v>5792</v>
      </c>
      <c r="AC282" s="60">
        <v>4867</v>
      </c>
      <c r="AD282" s="60">
        <v>3109</v>
      </c>
      <c r="AE282" s="60">
        <v>2761</v>
      </c>
      <c r="AF282" s="60">
        <v>4374</v>
      </c>
      <c r="AG282" s="60">
        <v>1304</v>
      </c>
      <c r="AH282" s="60">
        <v>3</v>
      </c>
      <c r="AI282" s="60">
        <v>8278</v>
      </c>
      <c r="AJ282" s="60">
        <v>1587</v>
      </c>
      <c r="AK282" s="60">
        <v>9236</v>
      </c>
      <c r="AL282" s="60">
        <v>16</v>
      </c>
      <c r="AM282" s="60">
        <v>4046</v>
      </c>
      <c r="AN282" s="60">
        <v>618</v>
      </c>
      <c r="AO282" s="60">
        <v>21443</v>
      </c>
      <c r="AP282" s="60">
        <v>589</v>
      </c>
      <c r="AQ282" s="60">
        <v>560</v>
      </c>
      <c r="AR282" s="60"/>
      <c r="AS282" s="60">
        <v>101</v>
      </c>
      <c r="AT282" s="60">
        <v>134</v>
      </c>
      <c r="AU282" s="60">
        <v>44</v>
      </c>
      <c r="AV282" s="60">
        <v>3</v>
      </c>
      <c r="AW282" s="60"/>
      <c r="AX282" s="60"/>
      <c r="AY282" s="60">
        <v>134</v>
      </c>
      <c r="AZ282" s="60"/>
      <c r="BA282" s="60">
        <v>43151</v>
      </c>
      <c r="BB282" s="60">
        <v>508</v>
      </c>
      <c r="BC282" s="60"/>
      <c r="BD282" s="60"/>
      <c r="BE282" s="60">
        <v>8637</v>
      </c>
      <c r="BF282" s="60">
        <v>9064</v>
      </c>
      <c r="BG282" s="60">
        <v>2688</v>
      </c>
      <c r="BH282" s="60">
        <v>19818</v>
      </c>
      <c r="BI282" s="60">
        <v>5017</v>
      </c>
      <c r="BJ282" s="60">
        <v>914</v>
      </c>
      <c r="BK282" s="60">
        <v>160</v>
      </c>
      <c r="BL282" s="60">
        <v>1174</v>
      </c>
      <c r="BM282" s="60">
        <v>6</v>
      </c>
      <c r="BN282" s="60">
        <v>2116</v>
      </c>
      <c r="BO282" s="60">
        <v>471</v>
      </c>
      <c r="BP282" s="60">
        <v>2148</v>
      </c>
      <c r="BQ282" s="60">
        <v>1074</v>
      </c>
      <c r="BR282" s="60">
        <v>11212</v>
      </c>
      <c r="BS282" s="60">
        <v>2540</v>
      </c>
      <c r="BT282" s="60">
        <v>52</v>
      </c>
      <c r="BU282" s="60">
        <v>3547</v>
      </c>
      <c r="BV282" s="60">
        <v>2136</v>
      </c>
      <c r="BW282" s="60">
        <v>90</v>
      </c>
      <c r="BX282" s="60">
        <v>1463</v>
      </c>
      <c r="BY282" s="60">
        <v>3660</v>
      </c>
      <c r="BZ282" s="60">
        <v>1429</v>
      </c>
      <c r="CA282" s="60">
        <v>11032</v>
      </c>
      <c r="CB282" s="60"/>
      <c r="CC282" s="60"/>
      <c r="CD282" s="60">
        <v>3785</v>
      </c>
      <c r="CE282" s="60">
        <v>126</v>
      </c>
      <c r="CF282" s="60">
        <v>619</v>
      </c>
      <c r="CG282" s="60">
        <v>16</v>
      </c>
      <c r="CH282" s="60">
        <v>196</v>
      </c>
      <c r="CI282" s="60">
        <v>28</v>
      </c>
      <c r="CJ282" s="60">
        <v>179</v>
      </c>
      <c r="CK282" s="60">
        <v>407</v>
      </c>
      <c r="CL282" s="60">
        <v>32824</v>
      </c>
      <c r="CM282" s="60">
        <v>5472</v>
      </c>
      <c r="CN282" s="60">
        <v>352</v>
      </c>
      <c r="CO282" s="60">
        <v>752</v>
      </c>
      <c r="CP282" s="60">
        <v>92</v>
      </c>
      <c r="CQ282" s="60">
        <v>317</v>
      </c>
      <c r="CR282" s="60">
        <v>59</v>
      </c>
      <c r="CS282" s="60"/>
      <c r="CT282" s="60">
        <v>45224</v>
      </c>
      <c r="CU282" s="60">
        <v>2944</v>
      </c>
      <c r="CV282" s="60">
        <v>38017</v>
      </c>
      <c r="CW282" s="60">
        <v>4263</v>
      </c>
      <c r="CX282" s="60">
        <v>4261</v>
      </c>
      <c r="CY282" s="60">
        <v>3386</v>
      </c>
      <c r="CZ282" s="60"/>
      <c r="DA282" s="60"/>
      <c r="DB282" s="60">
        <v>87</v>
      </c>
      <c r="DC282" s="60">
        <v>360</v>
      </c>
      <c r="DD282" s="60">
        <v>527</v>
      </c>
      <c r="DE282" s="60">
        <v>684</v>
      </c>
      <c r="DF282" s="60">
        <v>985</v>
      </c>
      <c r="DG282" s="60">
        <v>1034</v>
      </c>
      <c r="DH282" s="60">
        <v>1336</v>
      </c>
      <c r="DI282" s="60">
        <v>2592</v>
      </c>
      <c r="DJ282" s="60">
        <v>26</v>
      </c>
      <c r="DK282" s="60">
        <v>16</v>
      </c>
      <c r="DL282" s="60"/>
      <c r="DM282" s="60">
        <v>1336</v>
      </c>
      <c r="DN282" s="60">
        <v>184</v>
      </c>
      <c r="DO282" s="60">
        <v>643</v>
      </c>
      <c r="DP282" s="60">
        <v>400</v>
      </c>
      <c r="DQ282" s="60">
        <v>6</v>
      </c>
      <c r="DR282" s="60">
        <v>5074</v>
      </c>
      <c r="DS282" s="60">
        <v>4</v>
      </c>
      <c r="DT282" s="60">
        <v>123</v>
      </c>
      <c r="DU282" s="60">
        <v>84</v>
      </c>
      <c r="DV282" s="60">
        <v>358</v>
      </c>
      <c r="DW282" s="60">
        <v>833</v>
      </c>
      <c r="DX282" s="60">
        <v>193</v>
      </c>
      <c r="DY282" s="60">
        <v>57</v>
      </c>
      <c r="DZ282" s="60">
        <v>183</v>
      </c>
      <c r="EA282" s="60">
        <v>4313</v>
      </c>
      <c r="EB282" s="60">
        <v>1501</v>
      </c>
      <c r="EC282" s="60">
        <v>2</v>
      </c>
      <c r="ED282" s="60">
        <v>0</v>
      </c>
      <c r="EE282" s="60">
        <v>0</v>
      </c>
      <c r="EF282" s="60">
        <v>0</v>
      </c>
      <c r="EG282" s="60">
        <v>0</v>
      </c>
      <c r="EH282" s="60">
        <v>0</v>
      </c>
      <c r="EI282" s="60">
        <v>489</v>
      </c>
      <c r="EJ282" s="60">
        <v>4808</v>
      </c>
      <c r="EK282" s="60">
        <v>95</v>
      </c>
      <c r="EL282" s="60">
        <v>2036</v>
      </c>
      <c r="EM282" s="60">
        <v>219</v>
      </c>
      <c r="EN282" s="60">
        <v>106</v>
      </c>
      <c r="EO282" s="60">
        <v>93</v>
      </c>
      <c r="EP282" s="60">
        <v>1453</v>
      </c>
      <c r="EQ282" s="60">
        <v>7</v>
      </c>
      <c r="ER282" s="60">
        <v>1217</v>
      </c>
      <c r="ES282" s="60">
        <v>261</v>
      </c>
      <c r="ET282" s="60">
        <v>425</v>
      </c>
      <c r="EU282" s="60">
        <v>756</v>
      </c>
      <c r="EV282" s="60">
        <v>870</v>
      </c>
      <c r="EW282" s="60">
        <v>128</v>
      </c>
      <c r="EX282" s="60">
        <v>235</v>
      </c>
      <c r="EY282" s="60">
        <v>136</v>
      </c>
      <c r="EZ282" s="60">
        <v>8</v>
      </c>
      <c r="FA282" s="60">
        <v>632</v>
      </c>
      <c r="FB282" s="60">
        <v>883</v>
      </c>
      <c r="FC282" s="60">
        <v>181</v>
      </c>
      <c r="FD282" s="60">
        <v>230</v>
      </c>
      <c r="FE282" s="60">
        <v>9</v>
      </c>
      <c r="FF282" s="60">
        <v>17</v>
      </c>
      <c r="FG282" s="60"/>
      <c r="FH282" s="60">
        <v>600</v>
      </c>
      <c r="FI282" s="60">
        <v>56</v>
      </c>
      <c r="FJ282" s="60">
        <v>671</v>
      </c>
      <c r="FK282" s="60">
        <v>5</v>
      </c>
      <c r="FL282" s="60">
        <v>29</v>
      </c>
      <c r="FM282" s="60">
        <v>535</v>
      </c>
      <c r="FN282" s="60">
        <v>6</v>
      </c>
      <c r="FO282" s="60">
        <v>5436</v>
      </c>
      <c r="FP282" s="60">
        <v>117</v>
      </c>
      <c r="FQ282" s="60">
        <v>17</v>
      </c>
      <c r="FR282" s="60">
        <v>18</v>
      </c>
      <c r="FS282" s="60">
        <v>115</v>
      </c>
      <c r="FT282" s="60">
        <v>38</v>
      </c>
      <c r="FU282" s="60">
        <v>4</v>
      </c>
      <c r="FV282" s="60"/>
      <c r="FW282" s="60"/>
      <c r="FX282" s="60">
        <v>7647</v>
      </c>
      <c r="FY282" s="60">
        <v>628</v>
      </c>
      <c r="FZ282" s="60">
        <v>6764</v>
      </c>
      <c r="GA282" s="60">
        <v>255</v>
      </c>
      <c r="GB282" s="60">
        <v>2011</v>
      </c>
    </row>
    <row r="283" spans="1:184" x14ac:dyDescent="0.3">
      <c r="A283" s="60">
        <v>106430779</v>
      </c>
      <c r="B283" s="61" t="s">
        <v>1066</v>
      </c>
      <c r="C283" s="61" t="s">
        <v>1067</v>
      </c>
      <c r="D283" s="61" t="s">
        <v>1068</v>
      </c>
      <c r="E283" s="61" t="s">
        <v>1061</v>
      </c>
      <c r="F283" s="60">
        <v>95124</v>
      </c>
      <c r="G283" s="61"/>
      <c r="H283" s="61" t="s">
        <v>1669</v>
      </c>
      <c r="I283" s="60">
        <v>24</v>
      </c>
      <c r="J283" s="60">
        <v>11</v>
      </c>
      <c r="K283" s="61" t="s">
        <v>2060</v>
      </c>
      <c r="L283" s="61"/>
      <c r="M283" s="61" t="s">
        <v>2057</v>
      </c>
      <c r="N283" s="61" t="s">
        <v>2058</v>
      </c>
      <c r="O283" s="61" t="s">
        <v>1673</v>
      </c>
      <c r="P283" s="61" t="s">
        <v>221</v>
      </c>
      <c r="Q283" s="61" t="s">
        <v>1674</v>
      </c>
      <c r="R283" s="60">
        <v>332</v>
      </c>
      <c r="S283" s="61" t="s">
        <v>1675</v>
      </c>
      <c r="T283" s="60">
        <v>19710</v>
      </c>
      <c r="U283" s="60">
        <v>15229</v>
      </c>
      <c r="V283" s="60">
        <v>1</v>
      </c>
      <c r="W283" s="60"/>
      <c r="X283" s="60">
        <v>4974</v>
      </c>
      <c r="Y283" s="60">
        <v>3758</v>
      </c>
      <c r="Z283" s="60">
        <v>4331</v>
      </c>
      <c r="AA283" s="60">
        <v>4634</v>
      </c>
      <c r="AB283" s="60">
        <v>5024</v>
      </c>
      <c r="AC283" s="60">
        <v>3659</v>
      </c>
      <c r="AD283" s="60">
        <v>2570</v>
      </c>
      <c r="AE283" s="60">
        <v>2191</v>
      </c>
      <c r="AF283" s="60">
        <v>2979</v>
      </c>
      <c r="AG283" s="60">
        <v>820</v>
      </c>
      <c r="AH283" s="60"/>
      <c r="AI283" s="60">
        <v>3652</v>
      </c>
      <c r="AJ283" s="60">
        <v>1016</v>
      </c>
      <c r="AK283" s="60">
        <v>6767</v>
      </c>
      <c r="AL283" s="60">
        <v>17</v>
      </c>
      <c r="AM283" s="60">
        <v>1298</v>
      </c>
      <c r="AN283" s="60">
        <v>429</v>
      </c>
      <c r="AO283" s="60">
        <v>21761</v>
      </c>
      <c r="AP283" s="60">
        <v>253</v>
      </c>
      <c r="AQ283" s="60">
        <v>210</v>
      </c>
      <c r="AR283" s="60">
        <v>1</v>
      </c>
      <c r="AS283" s="60">
        <v>58</v>
      </c>
      <c r="AT283" s="60">
        <v>26</v>
      </c>
      <c r="AU283" s="60">
        <v>6</v>
      </c>
      <c r="AV283" s="60">
        <v>9</v>
      </c>
      <c r="AW283" s="60">
        <v>31</v>
      </c>
      <c r="AX283" s="60">
        <v>6</v>
      </c>
      <c r="AY283" s="60">
        <v>261</v>
      </c>
      <c r="AZ283" s="60">
        <v>9</v>
      </c>
      <c r="BA283" s="60">
        <v>33966</v>
      </c>
      <c r="BB283" s="60">
        <v>97</v>
      </c>
      <c r="BC283" s="60">
        <v>7</v>
      </c>
      <c r="BD283" s="60"/>
      <c r="BE283" s="60">
        <v>1313</v>
      </c>
      <c r="BF283" s="60">
        <v>6902</v>
      </c>
      <c r="BG283" s="60">
        <v>4432</v>
      </c>
      <c r="BH283" s="60">
        <v>19455</v>
      </c>
      <c r="BI283" s="60">
        <v>2838</v>
      </c>
      <c r="BJ283" s="60">
        <v>707</v>
      </c>
      <c r="BK283" s="60">
        <v>73</v>
      </c>
      <c r="BL283" s="60">
        <v>772</v>
      </c>
      <c r="BM283" s="60">
        <v>7</v>
      </c>
      <c r="BN283" s="60">
        <v>1528</v>
      </c>
      <c r="BO283" s="60">
        <v>324</v>
      </c>
      <c r="BP283" s="60">
        <v>1727</v>
      </c>
      <c r="BQ283" s="60">
        <v>363</v>
      </c>
      <c r="BR283" s="60">
        <v>9953</v>
      </c>
      <c r="BS283" s="60">
        <v>1683</v>
      </c>
      <c r="BT283" s="60">
        <v>45</v>
      </c>
      <c r="BU283" s="60">
        <v>1877</v>
      </c>
      <c r="BV283" s="60">
        <v>675</v>
      </c>
      <c r="BW283" s="60">
        <v>53</v>
      </c>
      <c r="BX283" s="60">
        <v>1096</v>
      </c>
      <c r="BY283" s="60">
        <v>2954</v>
      </c>
      <c r="BZ283" s="60">
        <v>1245</v>
      </c>
      <c r="CA283" s="60">
        <v>9856</v>
      </c>
      <c r="CB283" s="60">
        <v>2</v>
      </c>
      <c r="CC283" s="60"/>
      <c r="CD283" s="60">
        <v>3707</v>
      </c>
      <c r="CE283" s="60">
        <v>140</v>
      </c>
      <c r="CF283" s="60">
        <v>201</v>
      </c>
      <c r="CG283" s="60">
        <v>18</v>
      </c>
      <c r="CH283" s="60">
        <v>167</v>
      </c>
      <c r="CI283" s="60">
        <v>3</v>
      </c>
      <c r="CJ283" s="60">
        <v>19</v>
      </c>
      <c r="CK283" s="60">
        <v>385</v>
      </c>
      <c r="CL283" s="60">
        <v>24311</v>
      </c>
      <c r="CM283" s="60">
        <v>4582</v>
      </c>
      <c r="CN283" s="60">
        <v>308</v>
      </c>
      <c r="CO283" s="60">
        <v>758</v>
      </c>
      <c r="CP283" s="60">
        <v>68</v>
      </c>
      <c r="CQ283" s="60">
        <v>267</v>
      </c>
      <c r="CR283" s="60">
        <v>6</v>
      </c>
      <c r="CS283" s="60"/>
      <c r="CT283" s="60">
        <v>34940</v>
      </c>
      <c r="CU283" s="60">
        <v>408</v>
      </c>
      <c r="CV283" s="60">
        <v>34048</v>
      </c>
      <c r="CW283" s="60">
        <v>484</v>
      </c>
      <c r="CX283" s="60">
        <v>4403</v>
      </c>
      <c r="CY283" s="60">
        <v>3680</v>
      </c>
      <c r="CZ283" s="60">
        <v>1</v>
      </c>
      <c r="DA283" s="60"/>
      <c r="DB283" s="60">
        <v>248</v>
      </c>
      <c r="DC283" s="60">
        <v>276</v>
      </c>
      <c r="DD283" s="60">
        <v>468</v>
      </c>
      <c r="DE283" s="60">
        <v>802</v>
      </c>
      <c r="DF283" s="60">
        <v>921</v>
      </c>
      <c r="DG283" s="60">
        <v>1089</v>
      </c>
      <c r="DH283" s="60">
        <v>1408</v>
      </c>
      <c r="DI283" s="60">
        <v>2474</v>
      </c>
      <c r="DJ283" s="60">
        <v>126</v>
      </c>
      <c r="DK283" s="60">
        <v>272</v>
      </c>
      <c r="DL283" s="60"/>
      <c r="DM283" s="60">
        <v>824</v>
      </c>
      <c r="DN283" s="60">
        <v>177</v>
      </c>
      <c r="DO283" s="60">
        <v>798</v>
      </c>
      <c r="DP283" s="60">
        <v>264</v>
      </c>
      <c r="DQ283" s="60">
        <v>8</v>
      </c>
      <c r="DR283" s="60">
        <v>6012</v>
      </c>
      <c r="DS283" s="60">
        <v>1</v>
      </c>
      <c r="DT283" s="60">
        <v>97</v>
      </c>
      <c r="DU283" s="60">
        <v>59</v>
      </c>
      <c r="DV283" s="60">
        <v>385</v>
      </c>
      <c r="DW283" s="60">
        <v>646</v>
      </c>
      <c r="DX283" s="60">
        <v>239</v>
      </c>
      <c r="DY283" s="60">
        <v>83</v>
      </c>
      <c r="DZ283" s="60">
        <v>50</v>
      </c>
      <c r="EA283" s="60">
        <v>5262</v>
      </c>
      <c r="EB283" s="60">
        <v>1263</v>
      </c>
      <c r="EC283" s="60"/>
      <c r="ED283" s="60">
        <v>0</v>
      </c>
      <c r="EE283" s="60">
        <v>0</v>
      </c>
      <c r="EF283" s="60">
        <v>0</v>
      </c>
      <c r="EG283" s="60">
        <v>0</v>
      </c>
      <c r="EH283" s="60">
        <v>0</v>
      </c>
      <c r="EI283" s="60">
        <v>359</v>
      </c>
      <c r="EJ283" s="60">
        <v>4547</v>
      </c>
      <c r="EK283" s="60">
        <v>175</v>
      </c>
      <c r="EL283" s="60">
        <v>2719</v>
      </c>
      <c r="EM283" s="60">
        <v>284</v>
      </c>
      <c r="EN283" s="60">
        <v>149</v>
      </c>
      <c r="EO283" s="60">
        <v>109</v>
      </c>
      <c r="EP283" s="60">
        <v>1794</v>
      </c>
      <c r="EQ283" s="60">
        <v>16</v>
      </c>
      <c r="ER283" s="60">
        <v>1253</v>
      </c>
      <c r="ES283" s="60">
        <v>303</v>
      </c>
      <c r="ET283" s="60">
        <v>433</v>
      </c>
      <c r="EU283" s="60">
        <v>633</v>
      </c>
      <c r="EV283" s="60">
        <v>815</v>
      </c>
      <c r="EW283" s="60">
        <v>150</v>
      </c>
      <c r="EX283" s="60">
        <v>257</v>
      </c>
      <c r="EY283" s="60">
        <v>218</v>
      </c>
      <c r="EZ283" s="60">
        <v>1</v>
      </c>
      <c r="FA283" s="60">
        <v>256</v>
      </c>
      <c r="FB283" s="60">
        <v>932</v>
      </c>
      <c r="FC283" s="60">
        <v>197</v>
      </c>
      <c r="FD283" s="60">
        <v>536</v>
      </c>
      <c r="FE283" s="60"/>
      <c r="FF283" s="60">
        <v>32</v>
      </c>
      <c r="FG283" s="60"/>
      <c r="FH283" s="60">
        <v>571</v>
      </c>
      <c r="FI283" s="60">
        <v>41</v>
      </c>
      <c r="FJ283" s="60">
        <v>625</v>
      </c>
      <c r="FK283" s="60">
        <v>5</v>
      </c>
      <c r="FL283" s="60">
        <v>16</v>
      </c>
      <c r="FM283" s="60">
        <v>35</v>
      </c>
      <c r="FN283" s="60">
        <v>28</v>
      </c>
      <c r="FO283" s="60">
        <v>6551</v>
      </c>
      <c r="FP283" s="60">
        <v>105</v>
      </c>
      <c r="FQ283" s="60">
        <v>19</v>
      </c>
      <c r="FR283" s="60">
        <v>13</v>
      </c>
      <c r="FS283" s="60">
        <v>26</v>
      </c>
      <c r="FT283" s="60">
        <v>27</v>
      </c>
      <c r="FU283" s="60">
        <v>21</v>
      </c>
      <c r="FV283" s="60">
        <v>1</v>
      </c>
      <c r="FW283" s="60"/>
      <c r="FX283" s="60">
        <v>8084</v>
      </c>
      <c r="FY283" s="60">
        <v>178</v>
      </c>
      <c r="FZ283" s="60">
        <v>7795</v>
      </c>
      <c r="GA283" s="60">
        <v>111</v>
      </c>
      <c r="GB283" s="60">
        <v>2011</v>
      </c>
    </row>
    <row r="284" spans="1:184" x14ac:dyDescent="0.3">
      <c r="A284" s="60">
        <v>106430837</v>
      </c>
      <c r="B284" s="61" t="s">
        <v>1069</v>
      </c>
      <c r="C284" s="61" t="s">
        <v>2061</v>
      </c>
      <c r="D284" s="61" t="s">
        <v>1070</v>
      </c>
      <c r="E284" s="61" t="s">
        <v>1061</v>
      </c>
      <c r="F284" s="60">
        <v>95128</v>
      </c>
      <c r="G284" s="61"/>
      <c r="H284" s="61" t="s">
        <v>1669</v>
      </c>
      <c r="I284" s="60">
        <v>24</v>
      </c>
      <c r="J284" s="60">
        <v>13</v>
      </c>
      <c r="K284" s="61" t="s">
        <v>2062</v>
      </c>
      <c r="L284" s="61"/>
      <c r="M284" s="61" t="s">
        <v>2057</v>
      </c>
      <c r="N284" s="61" t="s">
        <v>2058</v>
      </c>
      <c r="O284" s="61" t="s">
        <v>1673</v>
      </c>
      <c r="P284" s="61" t="s">
        <v>1678</v>
      </c>
      <c r="Q284" s="61" t="s">
        <v>1674</v>
      </c>
      <c r="R284" s="60">
        <v>334</v>
      </c>
      <c r="S284" s="61" t="s">
        <v>1675</v>
      </c>
      <c r="T284" s="60">
        <v>25263</v>
      </c>
      <c r="U284" s="60">
        <v>18814</v>
      </c>
      <c r="V284" s="60"/>
      <c r="W284" s="60"/>
      <c r="X284" s="60">
        <v>9187</v>
      </c>
      <c r="Y284" s="60">
        <v>4843</v>
      </c>
      <c r="Z284" s="60">
        <v>7714</v>
      </c>
      <c r="AA284" s="60">
        <v>5947</v>
      </c>
      <c r="AB284" s="60">
        <v>4410</v>
      </c>
      <c r="AC284" s="60">
        <v>3293</v>
      </c>
      <c r="AD284" s="60">
        <v>2032</v>
      </c>
      <c r="AE284" s="60">
        <v>1645</v>
      </c>
      <c r="AF284" s="60">
        <v>2433</v>
      </c>
      <c r="AG284" s="60">
        <v>2573</v>
      </c>
      <c r="AH284" s="60"/>
      <c r="AI284" s="60">
        <v>4757</v>
      </c>
      <c r="AJ284" s="60">
        <v>1912</v>
      </c>
      <c r="AK284" s="60">
        <v>22608</v>
      </c>
      <c r="AL284" s="60">
        <v>197</v>
      </c>
      <c r="AM284" s="60">
        <v>1592</v>
      </c>
      <c r="AN284" s="60">
        <v>723</v>
      </c>
      <c r="AO284" s="60">
        <v>12288</v>
      </c>
      <c r="AP284" s="60">
        <v>137</v>
      </c>
      <c r="AQ284" s="60">
        <v>158</v>
      </c>
      <c r="AR284" s="60"/>
      <c r="AS284" s="60">
        <v>31</v>
      </c>
      <c r="AT284" s="60"/>
      <c r="AU284" s="60"/>
      <c r="AV284" s="60"/>
      <c r="AW284" s="60">
        <v>1</v>
      </c>
      <c r="AX284" s="60"/>
      <c r="AY284" s="60">
        <v>83</v>
      </c>
      <c r="AZ284" s="60"/>
      <c r="BA284" s="60">
        <v>43530</v>
      </c>
      <c r="BB284" s="60">
        <v>137</v>
      </c>
      <c r="BC284" s="60"/>
      <c r="BD284" s="60"/>
      <c r="BE284" s="60">
        <v>20673</v>
      </c>
      <c r="BF284" s="60">
        <v>5662</v>
      </c>
      <c r="BG284" s="60">
        <v>2230</v>
      </c>
      <c r="BH284" s="60">
        <v>10671</v>
      </c>
      <c r="BI284" s="60">
        <v>4841</v>
      </c>
      <c r="BJ284" s="60">
        <v>908</v>
      </c>
      <c r="BK284" s="60">
        <v>99</v>
      </c>
      <c r="BL284" s="60">
        <v>603</v>
      </c>
      <c r="BM284" s="60">
        <v>15</v>
      </c>
      <c r="BN284" s="60">
        <v>2104</v>
      </c>
      <c r="BO284" s="60">
        <v>434</v>
      </c>
      <c r="BP284" s="60">
        <v>2452</v>
      </c>
      <c r="BQ284" s="60">
        <v>1260</v>
      </c>
      <c r="BR284" s="60">
        <v>9384</v>
      </c>
      <c r="BS284" s="60">
        <v>2363</v>
      </c>
      <c r="BT284" s="60">
        <v>36</v>
      </c>
      <c r="BU284" s="60">
        <v>2739</v>
      </c>
      <c r="BV284" s="60">
        <v>1139</v>
      </c>
      <c r="BW284" s="60">
        <v>75</v>
      </c>
      <c r="BX284" s="60">
        <v>862</v>
      </c>
      <c r="BY284" s="60">
        <v>6377</v>
      </c>
      <c r="BZ284" s="60">
        <v>1761</v>
      </c>
      <c r="CA284" s="60">
        <v>11464</v>
      </c>
      <c r="CB284" s="60">
        <v>2</v>
      </c>
      <c r="CC284" s="60"/>
      <c r="CD284" s="60">
        <v>3157</v>
      </c>
      <c r="CE284" s="60">
        <v>151</v>
      </c>
      <c r="CF284" s="60">
        <v>178</v>
      </c>
      <c r="CG284" s="60">
        <v>11</v>
      </c>
      <c r="CH284" s="60">
        <v>323</v>
      </c>
      <c r="CI284" s="60">
        <v>51</v>
      </c>
      <c r="CJ284" s="60">
        <v>294</v>
      </c>
      <c r="CK284" s="60">
        <v>380</v>
      </c>
      <c r="CL284" s="60">
        <v>33986</v>
      </c>
      <c r="CM284" s="60">
        <v>4206</v>
      </c>
      <c r="CN284" s="60">
        <v>208</v>
      </c>
      <c r="CO284" s="60">
        <v>851</v>
      </c>
      <c r="CP284" s="60">
        <v>31</v>
      </c>
      <c r="CQ284" s="60">
        <v>238</v>
      </c>
      <c r="CR284" s="60">
        <v>12</v>
      </c>
      <c r="CS284" s="60"/>
      <c r="CT284" s="60">
        <v>44077</v>
      </c>
      <c r="CU284" s="60">
        <v>934</v>
      </c>
      <c r="CV284" s="60">
        <v>38717</v>
      </c>
      <c r="CW284" s="60">
        <v>4426</v>
      </c>
      <c r="CX284" s="60">
        <v>3430</v>
      </c>
      <c r="CY284" s="60">
        <v>2852</v>
      </c>
      <c r="CZ284" s="60"/>
      <c r="DA284" s="60"/>
      <c r="DB284" s="60">
        <v>141</v>
      </c>
      <c r="DC284" s="60">
        <v>277</v>
      </c>
      <c r="DD284" s="60">
        <v>385</v>
      </c>
      <c r="DE284" s="60">
        <v>522</v>
      </c>
      <c r="DF284" s="60">
        <v>719</v>
      </c>
      <c r="DG284" s="60">
        <v>762</v>
      </c>
      <c r="DH284" s="60">
        <v>1006</v>
      </c>
      <c r="DI284" s="60">
        <v>2129</v>
      </c>
      <c r="DJ284" s="60">
        <v>158</v>
      </c>
      <c r="DK284" s="60">
        <v>183</v>
      </c>
      <c r="DL284" s="60"/>
      <c r="DM284" s="60">
        <v>1319</v>
      </c>
      <c r="DN284" s="60">
        <v>205</v>
      </c>
      <c r="DO284" s="60">
        <v>1613</v>
      </c>
      <c r="DP284" s="60">
        <v>98</v>
      </c>
      <c r="DQ284" s="60">
        <v>43</v>
      </c>
      <c r="DR284" s="60">
        <v>2993</v>
      </c>
      <c r="DS284" s="60">
        <v>11</v>
      </c>
      <c r="DT284" s="60">
        <v>116</v>
      </c>
      <c r="DU284" s="60">
        <v>42</v>
      </c>
      <c r="DV284" s="60">
        <v>246</v>
      </c>
      <c r="DW284" s="60">
        <v>754</v>
      </c>
      <c r="DX284" s="60">
        <v>34</v>
      </c>
      <c r="DY284" s="60">
        <v>1</v>
      </c>
      <c r="DZ284" s="60">
        <v>56</v>
      </c>
      <c r="EA284" s="60">
        <v>3771</v>
      </c>
      <c r="EB284" s="60">
        <v>1260</v>
      </c>
      <c r="EC284" s="60">
        <v>2</v>
      </c>
      <c r="ED284" s="60">
        <v>0</v>
      </c>
      <c r="EE284" s="60">
        <v>0</v>
      </c>
      <c r="EF284" s="60">
        <v>0</v>
      </c>
      <c r="EG284" s="60">
        <v>0</v>
      </c>
      <c r="EH284" s="60">
        <v>0</v>
      </c>
      <c r="EI284" s="60">
        <v>1134</v>
      </c>
      <c r="EJ284" s="60">
        <v>3319</v>
      </c>
      <c r="EK284" s="60">
        <v>281</v>
      </c>
      <c r="EL284" s="60">
        <v>1402</v>
      </c>
      <c r="EM284" s="60">
        <v>146</v>
      </c>
      <c r="EN284" s="60">
        <v>94</v>
      </c>
      <c r="EO284" s="60">
        <v>89</v>
      </c>
      <c r="EP284" s="60">
        <v>1234</v>
      </c>
      <c r="EQ284" s="60">
        <v>4</v>
      </c>
      <c r="ER284" s="60">
        <v>1103</v>
      </c>
      <c r="ES284" s="60">
        <v>302</v>
      </c>
      <c r="ET284" s="60">
        <v>407</v>
      </c>
      <c r="EU284" s="60">
        <v>726</v>
      </c>
      <c r="EV284" s="60">
        <v>518</v>
      </c>
      <c r="EW284" s="60">
        <v>105</v>
      </c>
      <c r="EX284" s="60">
        <v>155</v>
      </c>
      <c r="EY284" s="60">
        <v>128</v>
      </c>
      <c r="EZ284" s="60">
        <v>5</v>
      </c>
      <c r="FA284" s="60">
        <v>52</v>
      </c>
      <c r="FB284" s="60">
        <v>829</v>
      </c>
      <c r="FC284" s="60">
        <v>216</v>
      </c>
      <c r="FD284" s="60">
        <v>282</v>
      </c>
      <c r="FE284" s="60">
        <v>1</v>
      </c>
      <c r="FF284" s="60">
        <v>32</v>
      </c>
      <c r="FG284" s="60"/>
      <c r="FH284" s="60">
        <v>343</v>
      </c>
      <c r="FI284" s="60">
        <v>31</v>
      </c>
      <c r="FJ284" s="60">
        <v>317</v>
      </c>
      <c r="FK284" s="60">
        <v>4</v>
      </c>
      <c r="FL284" s="60">
        <v>12</v>
      </c>
      <c r="FM284" s="60">
        <v>192</v>
      </c>
      <c r="FN284" s="60">
        <v>22</v>
      </c>
      <c r="FO284" s="60">
        <v>5260</v>
      </c>
      <c r="FP284" s="60">
        <v>45</v>
      </c>
      <c r="FQ284" s="60">
        <v>9</v>
      </c>
      <c r="FR284" s="60">
        <v>11</v>
      </c>
      <c r="FS284" s="60">
        <v>15</v>
      </c>
      <c r="FT284" s="60">
        <v>18</v>
      </c>
      <c r="FU284" s="60">
        <v>2</v>
      </c>
      <c r="FV284" s="60">
        <v>1</v>
      </c>
      <c r="FW284" s="60"/>
      <c r="FX284" s="60">
        <v>6282</v>
      </c>
      <c r="FY284" s="60">
        <v>544</v>
      </c>
      <c r="FZ284" s="60">
        <v>5399</v>
      </c>
      <c r="GA284" s="60">
        <v>339</v>
      </c>
      <c r="GB284" s="60">
        <v>2011</v>
      </c>
    </row>
    <row r="285" spans="1:184" x14ac:dyDescent="0.3">
      <c r="A285" s="60">
        <v>106430883</v>
      </c>
      <c r="B285" s="61" t="s">
        <v>1071</v>
      </c>
      <c r="C285" s="61" t="s">
        <v>1072</v>
      </c>
      <c r="D285" s="61" t="s">
        <v>1073</v>
      </c>
      <c r="E285" s="61" t="s">
        <v>1061</v>
      </c>
      <c r="F285" s="60">
        <v>95128</v>
      </c>
      <c r="G285" s="61" t="s">
        <v>490</v>
      </c>
      <c r="H285" s="61" t="s">
        <v>1689</v>
      </c>
      <c r="I285" s="60">
        <v>24</v>
      </c>
      <c r="J285" s="60">
        <v>13</v>
      </c>
      <c r="K285" s="61" t="s">
        <v>2062</v>
      </c>
      <c r="L285" s="61"/>
      <c r="M285" s="61" t="s">
        <v>2057</v>
      </c>
      <c r="N285" s="61" t="s">
        <v>2058</v>
      </c>
      <c r="O285" s="61" t="s">
        <v>1673</v>
      </c>
      <c r="P285" s="61" t="s">
        <v>1690</v>
      </c>
      <c r="Q285" s="61" t="s">
        <v>1674</v>
      </c>
      <c r="R285" s="60">
        <v>524</v>
      </c>
      <c r="S285" s="61" t="s">
        <v>1738</v>
      </c>
      <c r="T285" s="60">
        <v>35641</v>
      </c>
      <c r="U285" s="60">
        <v>38125</v>
      </c>
      <c r="V285" s="60"/>
      <c r="W285" s="60"/>
      <c r="X285" s="60">
        <v>3589</v>
      </c>
      <c r="Y285" s="60">
        <v>5446</v>
      </c>
      <c r="Z285" s="60">
        <v>14461</v>
      </c>
      <c r="AA285" s="60">
        <v>12471</v>
      </c>
      <c r="AB285" s="60">
        <v>14130</v>
      </c>
      <c r="AC285" s="60">
        <v>13330</v>
      </c>
      <c r="AD285" s="60">
        <v>6111</v>
      </c>
      <c r="AE285" s="60">
        <v>2138</v>
      </c>
      <c r="AF285" s="60">
        <v>1158</v>
      </c>
      <c r="AG285" s="60">
        <v>932</v>
      </c>
      <c r="AH285" s="60"/>
      <c r="AI285" s="60">
        <v>8010</v>
      </c>
      <c r="AJ285" s="60">
        <v>5738</v>
      </c>
      <c r="AK285" s="60">
        <v>30983</v>
      </c>
      <c r="AL285" s="60">
        <v>137</v>
      </c>
      <c r="AM285" s="60">
        <v>2709</v>
      </c>
      <c r="AN285" s="60">
        <v>1649</v>
      </c>
      <c r="AO285" s="60">
        <v>24540</v>
      </c>
      <c r="AP285" s="60">
        <v>112</v>
      </c>
      <c r="AQ285" s="60">
        <v>3078</v>
      </c>
      <c r="AR285" s="60">
        <v>18</v>
      </c>
      <c r="AS285" s="60">
        <v>69</v>
      </c>
      <c r="AT285" s="60">
        <v>17</v>
      </c>
      <c r="AU285" s="60">
        <v>6</v>
      </c>
      <c r="AV285" s="60"/>
      <c r="AW285" s="60">
        <v>480</v>
      </c>
      <c r="AX285" s="60">
        <v>19</v>
      </c>
      <c r="AY285" s="60">
        <v>2258</v>
      </c>
      <c r="AZ285" s="60">
        <v>2</v>
      </c>
      <c r="BA285" s="60">
        <v>67429</v>
      </c>
      <c r="BB285" s="60">
        <v>270</v>
      </c>
      <c r="BC285" s="60"/>
      <c r="BD285" s="60">
        <v>8</v>
      </c>
      <c r="BE285" s="60">
        <v>25118</v>
      </c>
      <c r="BF285" s="60">
        <v>8848</v>
      </c>
      <c r="BG285" s="60">
        <v>18129</v>
      </c>
      <c r="BH285" s="60">
        <v>6931</v>
      </c>
      <c r="BI285" s="60">
        <v>14740</v>
      </c>
      <c r="BJ285" s="60">
        <v>1288</v>
      </c>
      <c r="BK285" s="60">
        <v>137</v>
      </c>
      <c r="BL285" s="60">
        <v>2356</v>
      </c>
      <c r="BM285" s="60">
        <v>22</v>
      </c>
      <c r="BN285" s="60">
        <v>2765</v>
      </c>
      <c r="BO285" s="60">
        <v>1400</v>
      </c>
      <c r="BP285" s="60">
        <v>2522</v>
      </c>
      <c r="BQ285" s="60">
        <v>844</v>
      </c>
      <c r="BR285" s="60">
        <v>12070</v>
      </c>
      <c r="BS285" s="60">
        <v>6472</v>
      </c>
      <c r="BT285" s="60">
        <v>34</v>
      </c>
      <c r="BU285" s="60">
        <v>2818</v>
      </c>
      <c r="BV285" s="60">
        <v>2086</v>
      </c>
      <c r="BW285" s="60">
        <v>43</v>
      </c>
      <c r="BX285" s="60">
        <v>11875</v>
      </c>
      <c r="BY285" s="60">
        <v>5098</v>
      </c>
      <c r="BZ285" s="60">
        <v>2802</v>
      </c>
      <c r="CA285" s="60">
        <v>19134</v>
      </c>
      <c r="CB285" s="60"/>
      <c r="CC285" s="60"/>
      <c r="CD285" s="60">
        <v>3411</v>
      </c>
      <c r="CE285" s="60">
        <v>167</v>
      </c>
      <c r="CF285" s="60">
        <v>43</v>
      </c>
      <c r="CG285" s="60">
        <v>35</v>
      </c>
      <c r="CH285" s="60">
        <v>1415</v>
      </c>
      <c r="CI285" s="60">
        <v>15</v>
      </c>
      <c r="CJ285" s="60">
        <v>46</v>
      </c>
      <c r="CK285" s="60">
        <v>352</v>
      </c>
      <c r="CL285" s="60">
        <v>59989</v>
      </c>
      <c r="CM285" s="60">
        <v>4815</v>
      </c>
      <c r="CN285" s="60">
        <v>435</v>
      </c>
      <c r="CO285" s="60">
        <v>2187</v>
      </c>
      <c r="CP285" s="60">
        <v>561</v>
      </c>
      <c r="CQ285" s="60">
        <v>211</v>
      </c>
      <c r="CR285" s="60">
        <v>84</v>
      </c>
      <c r="CS285" s="60"/>
      <c r="CT285" s="60">
        <v>73766</v>
      </c>
      <c r="CU285" s="60">
        <v>3997</v>
      </c>
      <c r="CV285" s="60">
        <v>58042</v>
      </c>
      <c r="CW285" s="60">
        <v>11727</v>
      </c>
      <c r="CX285" s="60">
        <v>4453</v>
      </c>
      <c r="CY285" s="60">
        <v>5716</v>
      </c>
      <c r="CZ285" s="60"/>
      <c r="DA285" s="60"/>
      <c r="DB285" s="60">
        <v>392</v>
      </c>
      <c r="DC285" s="60">
        <v>923</v>
      </c>
      <c r="DD285" s="60">
        <v>916</v>
      </c>
      <c r="DE285" s="60">
        <v>1590</v>
      </c>
      <c r="DF285" s="60">
        <v>2344</v>
      </c>
      <c r="DG285" s="60">
        <v>1855</v>
      </c>
      <c r="DH285" s="60">
        <v>945</v>
      </c>
      <c r="DI285" s="60">
        <v>782</v>
      </c>
      <c r="DJ285" s="60">
        <v>116</v>
      </c>
      <c r="DK285" s="60">
        <v>306</v>
      </c>
      <c r="DL285" s="60"/>
      <c r="DM285" s="60">
        <v>1941</v>
      </c>
      <c r="DN285" s="60">
        <v>612</v>
      </c>
      <c r="DO285" s="60">
        <v>3885</v>
      </c>
      <c r="DP285" s="60">
        <v>312</v>
      </c>
      <c r="DQ285" s="60">
        <v>132</v>
      </c>
      <c r="DR285" s="60">
        <v>3259</v>
      </c>
      <c r="DS285" s="60">
        <v>28</v>
      </c>
      <c r="DT285" s="60">
        <v>163</v>
      </c>
      <c r="DU285" s="60">
        <v>206</v>
      </c>
      <c r="DV285" s="60">
        <v>317</v>
      </c>
      <c r="DW285" s="60">
        <v>329</v>
      </c>
      <c r="DX285" s="60">
        <v>237</v>
      </c>
      <c r="DY285" s="60"/>
      <c r="DZ285" s="60">
        <v>114</v>
      </c>
      <c r="EA285" s="60">
        <v>7688</v>
      </c>
      <c r="EB285" s="60">
        <v>957</v>
      </c>
      <c r="EC285" s="60">
        <v>158</v>
      </c>
      <c r="ED285" s="60">
        <v>0</v>
      </c>
      <c r="EE285" s="60">
        <v>0</v>
      </c>
      <c r="EF285" s="60">
        <v>0</v>
      </c>
      <c r="EG285" s="60">
        <v>0</v>
      </c>
      <c r="EH285" s="60">
        <v>0</v>
      </c>
      <c r="EI285" s="60">
        <v>3851</v>
      </c>
      <c r="EJ285" s="60">
        <v>2507</v>
      </c>
      <c r="EK285" s="60">
        <v>135</v>
      </c>
      <c r="EL285" s="60">
        <v>966</v>
      </c>
      <c r="EM285" s="60">
        <v>2710</v>
      </c>
      <c r="EN285" s="60">
        <v>97</v>
      </c>
      <c r="EO285" s="60">
        <v>160</v>
      </c>
      <c r="EP285" s="60">
        <v>1752</v>
      </c>
      <c r="EQ285" s="60">
        <v>6</v>
      </c>
      <c r="ER285" s="60">
        <v>1490</v>
      </c>
      <c r="ES285" s="60">
        <v>549</v>
      </c>
      <c r="ET285" s="60">
        <v>393</v>
      </c>
      <c r="EU285" s="60">
        <v>956</v>
      </c>
      <c r="EV285" s="60">
        <v>1827</v>
      </c>
      <c r="EW285" s="60">
        <v>189</v>
      </c>
      <c r="EX285" s="60">
        <v>282</v>
      </c>
      <c r="EY285" s="60">
        <v>336</v>
      </c>
      <c r="EZ285" s="60">
        <v>47</v>
      </c>
      <c r="FA285" s="60">
        <v>254</v>
      </c>
      <c r="FB285" s="60">
        <v>870</v>
      </c>
      <c r="FC285" s="60">
        <v>270</v>
      </c>
      <c r="FD285" s="60">
        <v>662</v>
      </c>
      <c r="FE285" s="60">
        <v>6</v>
      </c>
      <c r="FF285" s="60">
        <v>23</v>
      </c>
      <c r="FG285" s="60"/>
      <c r="FH285" s="60">
        <v>488</v>
      </c>
      <c r="FI285" s="60">
        <v>89</v>
      </c>
      <c r="FJ285" s="60">
        <v>607</v>
      </c>
      <c r="FK285" s="60">
        <v>156</v>
      </c>
      <c r="FL285" s="60">
        <v>95</v>
      </c>
      <c r="FM285" s="60">
        <v>262</v>
      </c>
      <c r="FN285" s="60">
        <v>23</v>
      </c>
      <c r="FO285" s="60">
        <v>7517</v>
      </c>
      <c r="FP285" s="60">
        <v>190</v>
      </c>
      <c r="FQ285" s="60">
        <v>71</v>
      </c>
      <c r="FR285" s="60">
        <v>428</v>
      </c>
      <c r="FS285" s="60">
        <v>133</v>
      </c>
      <c r="FT285" s="60">
        <v>58</v>
      </c>
      <c r="FU285" s="60">
        <v>19</v>
      </c>
      <c r="FV285" s="60">
        <v>33</v>
      </c>
      <c r="FW285" s="60"/>
      <c r="FX285" s="60">
        <v>10169</v>
      </c>
      <c r="FY285" s="60">
        <v>1160</v>
      </c>
      <c r="FZ285" s="60">
        <v>7311</v>
      </c>
      <c r="GA285" s="60">
        <v>1698</v>
      </c>
      <c r="GB285" s="60">
        <v>2011</v>
      </c>
    </row>
    <row r="286" spans="1:184" x14ac:dyDescent="0.3">
      <c r="A286" s="60">
        <v>106430905</v>
      </c>
      <c r="B286" s="61" t="s">
        <v>1074</v>
      </c>
      <c r="C286" s="61" t="s">
        <v>1075</v>
      </c>
      <c r="D286" s="61" t="s">
        <v>1076</v>
      </c>
      <c r="E286" s="61" t="s">
        <v>1077</v>
      </c>
      <c r="F286" s="60">
        <v>94305</v>
      </c>
      <c r="G286" s="61" t="s">
        <v>490</v>
      </c>
      <c r="H286" s="61" t="s">
        <v>1689</v>
      </c>
      <c r="I286" s="60">
        <v>21</v>
      </c>
      <c r="J286" s="60">
        <v>11</v>
      </c>
      <c r="K286" s="61" t="s">
        <v>2059</v>
      </c>
      <c r="L286" s="61"/>
      <c r="M286" s="61" t="s">
        <v>2057</v>
      </c>
      <c r="N286" s="61" t="s">
        <v>2058</v>
      </c>
      <c r="O286" s="61" t="s">
        <v>1673</v>
      </c>
      <c r="P286" s="61" t="s">
        <v>1678</v>
      </c>
      <c r="Q286" s="61" t="s">
        <v>1674</v>
      </c>
      <c r="R286" s="60">
        <v>583</v>
      </c>
      <c r="S286" s="61" t="s">
        <v>1675</v>
      </c>
      <c r="T286" s="60">
        <v>19795</v>
      </c>
      <c r="U286" s="60">
        <v>17176</v>
      </c>
      <c r="V286" s="60">
        <v>3</v>
      </c>
      <c r="W286" s="60"/>
      <c r="X286" s="60">
        <v>7846</v>
      </c>
      <c r="Y286" s="60">
        <v>4704</v>
      </c>
      <c r="Z286" s="60">
        <v>5978</v>
      </c>
      <c r="AA286" s="60">
        <v>4224</v>
      </c>
      <c r="AB286" s="60">
        <v>3505</v>
      </c>
      <c r="AC286" s="60">
        <v>3245</v>
      </c>
      <c r="AD286" s="60">
        <v>2134</v>
      </c>
      <c r="AE286" s="60">
        <v>1360</v>
      </c>
      <c r="AF286" s="60">
        <v>1547</v>
      </c>
      <c r="AG286" s="60">
        <v>2431</v>
      </c>
      <c r="AH286" s="60"/>
      <c r="AI286" s="60">
        <v>4769</v>
      </c>
      <c r="AJ286" s="60">
        <v>2933</v>
      </c>
      <c r="AK286" s="60">
        <v>12458</v>
      </c>
      <c r="AL286" s="60">
        <v>56</v>
      </c>
      <c r="AM286" s="60">
        <v>2213</v>
      </c>
      <c r="AN286" s="60">
        <v>353</v>
      </c>
      <c r="AO286" s="60">
        <v>14192</v>
      </c>
      <c r="AP286" s="60">
        <v>110</v>
      </c>
      <c r="AQ286" s="60">
        <v>364</v>
      </c>
      <c r="AR286" s="60">
        <v>2647</v>
      </c>
      <c r="AS286" s="60">
        <v>55</v>
      </c>
      <c r="AT286" s="60">
        <v>130</v>
      </c>
      <c r="AU286" s="60">
        <v>132</v>
      </c>
      <c r="AV286" s="60">
        <v>5</v>
      </c>
      <c r="AW286" s="60">
        <v>3</v>
      </c>
      <c r="AX286" s="60">
        <v>31</v>
      </c>
      <c r="AY286" s="60">
        <v>117</v>
      </c>
      <c r="AZ286" s="60">
        <v>3</v>
      </c>
      <c r="BA286" s="60">
        <v>33083</v>
      </c>
      <c r="BB286" s="60">
        <v>90</v>
      </c>
      <c r="BC286" s="60">
        <v>204</v>
      </c>
      <c r="BD286" s="60"/>
      <c r="BE286" s="60">
        <v>12382</v>
      </c>
      <c r="BF286" s="60">
        <v>4377</v>
      </c>
      <c r="BG286" s="60">
        <v>1014</v>
      </c>
      <c r="BH286" s="60">
        <v>12990</v>
      </c>
      <c r="BI286" s="60">
        <v>6211</v>
      </c>
      <c r="BJ286" s="60">
        <v>1492</v>
      </c>
      <c r="BK286" s="60">
        <v>304</v>
      </c>
      <c r="BL286" s="60">
        <v>589</v>
      </c>
      <c r="BM286" s="60">
        <v>34</v>
      </c>
      <c r="BN286" s="60">
        <v>1875</v>
      </c>
      <c r="BO286" s="60">
        <v>572</v>
      </c>
      <c r="BP286" s="60">
        <v>1936</v>
      </c>
      <c r="BQ286" s="60">
        <v>655</v>
      </c>
      <c r="BR286" s="60">
        <v>8165</v>
      </c>
      <c r="BS286" s="60">
        <v>2472</v>
      </c>
      <c r="BT286" s="60">
        <v>98</v>
      </c>
      <c r="BU286" s="60">
        <v>2121</v>
      </c>
      <c r="BV286" s="60">
        <v>796</v>
      </c>
      <c r="BW286" s="60">
        <v>182</v>
      </c>
      <c r="BX286" s="60">
        <v>985</v>
      </c>
      <c r="BY286" s="60">
        <v>2891</v>
      </c>
      <c r="BZ286" s="60">
        <v>1112</v>
      </c>
      <c r="CA286" s="60">
        <v>10691</v>
      </c>
      <c r="CB286" s="60"/>
      <c r="CC286" s="60">
        <v>4</v>
      </c>
      <c r="CD286" s="60">
        <v>2752</v>
      </c>
      <c r="CE286" s="60">
        <v>110</v>
      </c>
      <c r="CF286" s="60">
        <v>203</v>
      </c>
      <c r="CG286" s="60">
        <v>6</v>
      </c>
      <c r="CH286" s="60">
        <v>232</v>
      </c>
      <c r="CI286" s="60">
        <v>142</v>
      </c>
      <c r="CJ286" s="60">
        <v>280</v>
      </c>
      <c r="CK286" s="60">
        <v>297</v>
      </c>
      <c r="CL286" s="60">
        <v>27680</v>
      </c>
      <c r="CM286" s="60">
        <v>3223</v>
      </c>
      <c r="CN286" s="60">
        <v>395</v>
      </c>
      <c r="CO286" s="60">
        <v>1289</v>
      </c>
      <c r="CP286" s="60">
        <v>45</v>
      </c>
      <c r="CQ286" s="60">
        <v>264</v>
      </c>
      <c r="CR286" s="60">
        <v>56</v>
      </c>
      <c r="CS286" s="60"/>
      <c r="CT286" s="60">
        <v>36974</v>
      </c>
      <c r="CU286" s="60">
        <v>773</v>
      </c>
      <c r="CV286" s="60">
        <v>30081</v>
      </c>
      <c r="CW286" s="60">
        <v>6120</v>
      </c>
      <c r="CX286" s="60">
        <v>4971</v>
      </c>
      <c r="CY286" s="60">
        <v>4681</v>
      </c>
      <c r="CZ286" s="60"/>
      <c r="DA286" s="60"/>
      <c r="DB286" s="60">
        <v>181</v>
      </c>
      <c r="DC286" s="60">
        <v>876</v>
      </c>
      <c r="DD286" s="60">
        <v>753</v>
      </c>
      <c r="DE286" s="60">
        <v>1143</v>
      </c>
      <c r="DF286" s="60">
        <v>1664</v>
      </c>
      <c r="DG286" s="60">
        <v>1562</v>
      </c>
      <c r="DH286" s="60">
        <v>1400</v>
      </c>
      <c r="DI286" s="60">
        <v>2073</v>
      </c>
      <c r="DJ286" s="60"/>
      <c r="DK286" s="60"/>
      <c r="DL286" s="60"/>
      <c r="DM286" s="60">
        <v>1391</v>
      </c>
      <c r="DN286" s="60">
        <v>711</v>
      </c>
      <c r="DO286" s="60">
        <v>1374</v>
      </c>
      <c r="DP286" s="60">
        <v>485</v>
      </c>
      <c r="DQ286" s="60">
        <v>110</v>
      </c>
      <c r="DR286" s="60">
        <v>5566</v>
      </c>
      <c r="DS286" s="60">
        <v>15</v>
      </c>
      <c r="DT286" s="60">
        <v>154</v>
      </c>
      <c r="DU286" s="60">
        <v>86</v>
      </c>
      <c r="DV286" s="60">
        <v>353</v>
      </c>
      <c r="DW286" s="60">
        <v>185</v>
      </c>
      <c r="DX286" s="60">
        <v>208</v>
      </c>
      <c r="DY286" s="60">
        <v>7</v>
      </c>
      <c r="DZ286" s="60">
        <v>11</v>
      </c>
      <c r="EA286" s="60">
        <v>7453</v>
      </c>
      <c r="EB286" s="60">
        <v>1189</v>
      </c>
      <c r="EC286" s="60">
        <v>6</v>
      </c>
      <c r="ED286" s="60">
        <v>0</v>
      </c>
      <c r="EE286" s="60">
        <v>0</v>
      </c>
      <c r="EF286" s="60">
        <v>0</v>
      </c>
      <c r="EG286" s="60">
        <v>0</v>
      </c>
      <c r="EH286" s="60">
        <v>0</v>
      </c>
      <c r="EI286" s="60">
        <v>1091</v>
      </c>
      <c r="EJ286" s="60">
        <v>4104</v>
      </c>
      <c r="EK286" s="60">
        <v>514</v>
      </c>
      <c r="EL286" s="60">
        <v>2617</v>
      </c>
      <c r="EM286" s="60">
        <v>1326</v>
      </c>
      <c r="EN286" s="60">
        <v>68</v>
      </c>
      <c r="EO286" s="60">
        <v>200</v>
      </c>
      <c r="EP286" s="60">
        <v>1595</v>
      </c>
      <c r="EQ286" s="60">
        <v>10</v>
      </c>
      <c r="ER286" s="60">
        <v>1335</v>
      </c>
      <c r="ES286" s="60">
        <v>339</v>
      </c>
      <c r="ET286" s="60">
        <v>462</v>
      </c>
      <c r="EU286" s="60">
        <v>698</v>
      </c>
      <c r="EV286" s="60">
        <v>1707</v>
      </c>
      <c r="EW286" s="60">
        <v>184</v>
      </c>
      <c r="EX286" s="60">
        <v>455</v>
      </c>
      <c r="EY286" s="60">
        <v>271</v>
      </c>
      <c r="EZ286" s="60">
        <v>25</v>
      </c>
      <c r="FA286" s="60">
        <v>690</v>
      </c>
      <c r="FB286" s="60">
        <v>786</v>
      </c>
      <c r="FC286" s="60">
        <v>174</v>
      </c>
      <c r="FD286" s="60">
        <v>653</v>
      </c>
      <c r="FE286" s="60"/>
      <c r="FF286" s="60"/>
      <c r="FG286" s="60"/>
      <c r="FH286" s="60">
        <v>637</v>
      </c>
      <c r="FI286" s="60">
        <v>69</v>
      </c>
      <c r="FJ286" s="60">
        <v>904</v>
      </c>
      <c r="FK286" s="60">
        <v>73</v>
      </c>
      <c r="FL286" s="60">
        <v>70</v>
      </c>
      <c r="FM286" s="60">
        <v>797</v>
      </c>
      <c r="FN286" s="60">
        <v>11</v>
      </c>
      <c r="FO286" s="60">
        <v>6423</v>
      </c>
      <c r="FP286" s="60">
        <v>139</v>
      </c>
      <c r="FQ286" s="60">
        <v>84</v>
      </c>
      <c r="FR286" s="60">
        <v>295</v>
      </c>
      <c r="FS286" s="60">
        <v>101</v>
      </c>
      <c r="FT286" s="60">
        <v>29</v>
      </c>
      <c r="FU286" s="60">
        <v>15</v>
      </c>
      <c r="FV286" s="60">
        <v>5</v>
      </c>
      <c r="FW286" s="60"/>
      <c r="FX286" s="60">
        <v>9652</v>
      </c>
      <c r="FY286" s="60">
        <v>651</v>
      </c>
      <c r="FZ286" s="60">
        <v>8388</v>
      </c>
      <c r="GA286" s="60">
        <v>613</v>
      </c>
      <c r="GB286" s="60">
        <v>2011</v>
      </c>
    </row>
    <row r="287" spans="1:184" x14ac:dyDescent="0.3">
      <c r="A287" s="60">
        <v>106431506</v>
      </c>
      <c r="B287" s="61" t="s">
        <v>1078</v>
      </c>
      <c r="C287" s="61" t="s">
        <v>2063</v>
      </c>
      <c r="D287" s="61" t="s">
        <v>1079</v>
      </c>
      <c r="E287" s="61" t="s">
        <v>1061</v>
      </c>
      <c r="F287" s="60">
        <v>95119</v>
      </c>
      <c r="G287" s="61"/>
      <c r="H287" s="61" t="s">
        <v>1669</v>
      </c>
      <c r="I287" s="60">
        <v>24</v>
      </c>
      <c r="J287" s="60">
        <v>11</v>
      </c>
      <c r="K287" s="61" t="s">
        <v>2064</v>
      </c>
      <c r="L287" s="61"/>
      <c r="M287" s="61" t="s">
        <v>2057</v>
      </c>
      <c r="N287" s="61" t="s">
        <v>2058</v>
      </c>
      <c r="O287" s="61" t="s">
        <v>1673</v>
      </c>
      <c r="P287" s="61" t="s">
        <v>1678</v>
      </c>
      <c r="Q287" s="61" t="s">
        <v>1674</v>
      </c>
      <c r="R287" s="60">
        <v>242</v>
      </c>
      <c r="S287" s="61" t="s">
        <v>1675</v>
      </c>
      <c r="T287" s="60">
        <v>22914</v>
      </c>
      <c r="U287" s="60">
        <v>19244</v>
      </c>
      <c r="V287" s="60">
        <v>3</v>
      </c>
      <c r="W287" s="60"/>
      <c r="X287" s="60">
        <v>4706</v>
      </c>
      <c r="Y287" s="60">
        <v>4492</v>
      </c>
      <c r="Z287" s="60">
        <v>5532</v>
      </c>
      <c r="AA287" s="60">
        <v>5192</v>
      </c>
      <c r="AB287" s="60">
        <v>5744</v>
      </c>
      <c r="AC287" s="60">
        <v>4962</v>
      </c>
      <c r="AD287" s="60">
        <v>4159</v>
      </c>
      <c r="AE287" s="60">
        <v>3402</v>
      </c>
      <c r="AF287" s="60">
        <v>3065</v>
      </c>
      <c r="AG287" s="60">
        <v>906</v>
      </c>
      <c r="AH287" s="60">
        <v>1</v>
      </c>
      <c r="AI287" s="60">
        <v>5111</v>
      </c>
      <c r="AJ287" s="60">
        <v>2411</v>
      </c>
      <c r="AK287" s="60">
        <v>16293</v>
      </c>
      <c r="AL287" s="60">
        <v>193</v>
      </c>
      <c r="AM287" s="60">
        <v>911</v>
      </c>
      <c r="AN287" s="60">
        <v>287</v>
      </c>
      <c r="AO287" s="60">
        <v>16955</v>
      </c>
      <c r="AP287" s="60">
        <v>133</v>
      </c>
      <c r="AQ287" s="60">
        <v>349</v>
      </c>
      <c r="AR287" s="60">
        <v>3</v>
      </c>
      <c r="AS287" s="60">
        <v>62</v>
      </c>
      <c r="AT287" s="60">
        <v>64</v>
      </c>
      <c r="AU287" s="60">
        <v>35</v>
      </c>
      <c r="AV287" s="60">
        <v>12</v>
      </c>
      <c r="AW287" s="60">
        <v>1</v>
      </c>
      <c r="AX287" s="60">
        <v>19</v>
      </c>
      <c r="AY287" s="60">
        <v>297</v>
      </c>
      <c r="AZ287" s="60">
        <v>9</v>
      </c>
      <c r="BA287" s="60">
        <v>40732</v>
      </c>
      <c r="BB287" s="60">
        <v>80</v>
      </c>
      <c r="BC287" s="60">
        <v>285</v>
      </c>
      <c r="BD287" s="60">
        <v>80</v>
      </c>
      <c r="BE287" s="60">
        <v>2310</v>
      </c>
      <c r="BF287" s="60">
        <v>8701</v>
      </c>
      <c r="BG287" s="60">
        <v>143</v>
      </c>
      <c r="BH287" s="60">
        <v>25328</v>
      </c>
      <c r="BI287" s="60">
        <v>5679</v>
      </c>
      <c r="BJ287" s="60">
        <v>682</v>
      </c>
      <c r="BK287" s="60">
        <v>150</v>
      </c>
      <c r="BL287" s="60">
        <v>1435</v>
      </c>
      <c r="BM287" s="60">
        <v>9</v>
      </c>
      <c r="BN287" s="60">
        <v>2666</v>
      </c>
      <c r="BO287" s="60">
        <v>907</v>
      </c>
      <c r="BP287" s="60">
        <v>2347</v>
      </c>
      <c r="BQ287" s="60">
        <v>671</v>
      </c>
      <c r="BR287" s="60">
        <v>8260</v>
      </c>
      <c r="BS287" s="60">
        <v>2262</v>
      </c>
      <c r="BT287" s="60">
        <v>74</v>
      </c>
      <c r="BU287" s="60">
        <v>2387</v>
      </c>
      <c r="BV287" s="60">
        <v>833</v>
      </c>
      <c r="BW287" s="60">
        <v>27</v>
      </c>
      <c r="BX287" s="60">
        <v>1956</v>
      </c>
      <c r="BY287" s="60">
        <v>3616</v>
      </c>
      <c r="BZ287" s="60">
        <v>1135</v>
      </c>
      <c r="CA287" s="60">
        <v>12744</v>
      </c>
      <c r="CB287" s="60"/>
      <c r="CC287" s="60"/>
      <c r="CD287" s="60">
        <v>2670</v>
      </c>
      <c r="CE287" s="60">
        <v>241</v>
      </c>
      <c r="CF287" s="60">
        <v>459</v>
      </c>
      <c r="CG287" s="60">
        <v>19</v>
      </c>
      <c r="CH287" s="60">
        <v>344</v>
      </c>
      <c r="CI287" s="60">
        <v>116</v>
      </c>
      <c r="CJ287" s="60">
        <v>383</v>
      </c>
      <c r="CK287" s="60">
        <v>332</v>
      </c>
      <c r="CL287" s="60">
        <v>32561</v>
      </c>
      <c r="CM287" s="60">
        <v>3653</v>
      </c>
      <c r="CN287" s="60">
        <v>238</v>
      </c>
      <c r="CO287" s="60">
        <v>778</v>
      </c>
      <c r="CP287" s="60">
        <v>84</v>
      </c>
      <c r="CQ287" s="60">
        <v>243</v>
      </c>
      <c r="CR287" s="60">
        <v>40</v>
      </c>
      <c r="CS287" s="60"/>
      <c r="CT287" s="60">
        <v>42161</v>
      </c>
      <c r="CU287" s="60">
        <v>816</v>
      </c>
      <c r="CV287" s="60">
        <v>37854</v>
      </c>
      <c r="CW287" s="60">
        <v>3491</v>
      </c>
      <c r="CX287" s="60">
        <v>3040</v>
      </c>
      <c r="CY287" s="60">
        <v>2881</v>
      </c>
      <c r="CZ287" s="60">
        <v>1</v>
      </c>
      <c r="DA287" s="60"/>
      <c r="DB287" s="60">
        <v>132</v>
      </c>
      <c r="DC287" s="60">
        <v>295</v>
      </c>
      <c r="DD287" s="60">
        <v>357</v>
      </c>
      <c r="DE287" s="60">
        <v>540</v>
      </c>
      <c r="DF287" s="60">
        <v>844</v>
      </c>
      <c r="DG287" s="60">
        <v>1141</v>
      </c>
      <c r="DH287" s="60">
        <v>1249</v>
      </c>
      <c r="DI287" s="60">
        <v>1349</v>
      </c>
      <c r="DJ287" s="60">
        <v>11</v>
      </c>
      <c r="DK287" s="60">
        <v>4</v>
      </c>
      <c r="DL287" s="60"/>
      <c r="DM287" s="60">
        <v>721</v>
      </c>
      <c r="DN287" s="60">
        <v>285</v>
      </c>
      <c r="DO287" s="60">
        <v>1560</v>
      </c>
      <c r="DP287" s="60">
        <v>75</v>
      </c>
      <c r="DQ287" s="60">
        <v>22</v>
      </c>
      <c r="DR287" s="60">
        <v>3246</v>
      </c>
      <c r="DS287" s="60">
        <v>13</v>
      </c>
      <c r="DT287" s="60">
        <v>337</v>
      </c>
      <c r="DU287" s="60">
        <v>55</v>
      </c>
      <c r="DV287" s="60">
        <v>224</v>
      </c>
      <c r="DW287" s="60">
        <v>763</v>
      </c>
      <c r="DX287" s="60">
        <v>69</v>
      </c>
      <c r="DY287" s="60">
        <v>6</v>
      </c>
      <c r="DZ287" s="60">
        <v>88</v>
      </c>
      <c r="EA287" s="60">
        <v>3735</v>
      </c>
      <c r="EB287" s="60">
        <v>645</v>
      </c>
      <c r="EC287" s="60"/>
      <c r="ED287" s="60">
        <v>0</v>
      </c>
      <c r="EE287" s="60">
        <v>0</v>
      </c>
      <c r="EF287" s="60">
        <v>0</v>
      </c>
      <c r="EG287" s="60">
        <v>0</v>
      </c>
      <c r="EH287" s="60">
        <v>0</v>
      </c>
      <c r="EI287" s="60">
        <v>181</v>
      </c>
      <c r="EJ287" s="60">
        <v>3359</v>
      </c>
      <c r="EK287" s="60">
        <v>14</v>
      </c>
      <c r="EL287" s="60">
        <v>2226</v>
      </c>
      <c r="EM287" s="60">
        <v>142</v>
      </c>
      <c r="EN287" s="60">
        <v>84</v>
      </c>
      <c r="EO287" s="60">
        <v>79</v>
      </c>
      <c r="EP287" s="60">
        <v>1312</v>
      </c>
      <c r="EQ287" s="60"/>
      <c r="ER287" s="60">
        <v>1161</v>
      </c>
      <c r="ES287" s="60">
        <v>241</v>
      </c>
      <c r="ET287" s="60">
        <v>297</v>
      </c>
      <c r="EU287" s="60">
        <v>812</v>
      </c>
      <c r="EV287" s="60">
        <v>547</v>
      </c>
      <c r="EW287" s="60">
        <v>105</v>
      </c>
      <c r="EX287" s="60">
        <v>145</v>
      </c>
      <c r="EY287" s="60">
        <v>131</v>
      </c>
      <c r="EZ287" s="60">
        <v>6</v>
      </c>
      <c r="FA287" s="60">
        <v>68</v>
      </c>
      <c r="FB287" s="60">
        <v>573</v>
      </c>
      <c r="FC287" s="60">
        <v>108</v>
      </c>
      <c r="FD287" s="60">
        <v>246</v>
      </c>
      <c r="FE287" s="60">
        <v>2</v>
      </c>
      <c r="FF287" s="60">
        <v>5</v>
      </c>
      <c r="FG287" s="60"/>
      <c r="FH287" s="60">
        <v>306</v>
      </c>
      <c r="FI287" s="60">
        <v>26</v>
      </c>
      <c r="FJ287" s="60">
        <v>569</v>
      </c>
      <c r="FK287" s="60">
        <v>14</v>
      </c>
      <c r="FL287" s="60">
        <v>9</v>
      </c>
      <c r="FM287" s="60">
        <v>131</v>
      </c>
      <c r="FN287" s="60">
        <v>16</v>
      </c>
      <c r="FO287" s="60">
        <v>4683</v>
      </c>
      <c r="FP287" s="60">
        <v>82</v>
      </c>
      <c r="FQ287" s="60">
        <v>4</v>
      </c>
      <c r="FR287" s="60">
        <v>18</v>
      </c>
      <c r="FS287" s="60">
        <v>40</v>
      </c>
      <c r="FT287" s="60">
        <v>18</v>
      </c>
      <c r="FU287" s="60">
        <v>5</v>
      </c>
      <c r="FV287" s="60">
        <v>1</v>
      </c>
      <c r="FW287" s="60"/>
      <c r="FX287" s="60">
        <v>5922</v>
      </c>
      <c r="FY287" s="60">
        <v>188</v>
      </c>
      <c r="FZ287" s="60">
        <v>5413</v>
      </c>
      <c r="GA287" s="60">
        <v>321</v>
      </c>
      <c r="GB287" s="60">
        <v>2011</v>
      </c>
    </row>
    <row r="288" spans="1:184" x14ac:dyDescent="0.3">
      <c r="A288" s="60">
        <v>106434138</v>
      </c>
      <c r="B288" s="61" t="s">
        <v>1080</v>
      </c>
      <c r="C288" s="61" t="s">
        <v>1081</v>
      </c>
      <c r="D288" s="61" t="s">
        <v>1082</v>
      </c>
      <c r="E288" s="61" t="s">
        <v>1083</v>
      </c>
      <c r="F288" s="60">
        <v>95020</v>
      </c>
      <c r="G288" s="61"/>
      <c r="H288" s="61" t="s">
        <v>1669</v>
      </c>
      <c r="I288" s="60">
        <v>28</v>
      </c>
      <c r="J288" s="60">
        <v>13</v>
      </c>
      <c r="K288" s="61" t="s">
        <v>2065</v>
      </c>
      <c r="L288" s="61"/>
      <c r="M288" s="61" t="s">
        <v>2057</v>
      </c>
      <c r="N288" s="61" t="s">
        <v>2058</v>
      </c>
      <c r="O288" s="61" t="s">
        <v>1673</v>
      </c>
      <c r="P288" s="61" t="s">
        <v>1678</v>
      </c>
      <c r="Q288" s="61" t="s">
        <v>1674</v>
      </c>
      <c r="R288" s="60">
        <v>72</v>
      </c>
      <c r="S288" s="61" t="s">
        <v>1675</v>
      </c>
      <c r="T288" s="60">
        <v>13025</v>
      </c>
      <c r="U288" s="60">
        <v>10492</v>
      </c>
      <c r="V288" s="60"/>
      <c r="W288" s="60"/>
      <c r="X288" s="60">
        <v>4871</v>
      </c>
      <c r="Y288" s="60">
        <v>3222</v>
      </c>
      <c r="Z288" s="60">
        <v>3582</v>
      </c>
      <c r="AA288" s="60">
        <v>2896</v>
      </c>
      <c r="AB288" s="60">
        <v>2672</v>
      </c>
      <c r="AC288" s="60">
        <v>2030</v>
      </c>
      <c r="AD288" s="60">
        <v>1254</v>
      </c>
      <c r="AE288" s="60">
        <v>852</v>
      </c>
      <c r="AF288" s="60">
        <v>998</v>
      </c>
      <c r="AG288" s="60">
        <v>1140</v>
      </c>
      <c r="AH288" s="60"/>
      <c r="AI288" s="60">
        <v>404</v>
      </c>
      <c r="AJ288" s="60">
        <v>320</v>
      </c>
      <c r="AK288" s="60">
        <v>14790</v>
      </c>
      <c r="AL288" s="60">
        <v>21</v>
      </c>
      <c r="AM288" s="60">
        <v>1390</v>
      </c>
      <c r="AN288" s="60">
        <v>35</v>
      </c>
      <c r="AO288" s="60">
        <v>6557</v>
      </c>
      <c r="AP288" s="60">
        <v>477</v>
      </c>
      <c r="AQ288" s="60">
        <v>917</v>
      </c>
      <c r="AR288" s="60"/>
      <c r="AS288" s="60">
        <v>23</v>
      </c>
      <c r="AT288" s="60">
        <v>1</v>
      </c>
      <c r="AU288" s="60"/>
      <c r="AV288" s="60">
        <v>1</v>
      </c>
      <c r="AW288" s="60">
        <v>86</v>
      </c>
      <c r="AX288" s="60"/>
      <c r="AY288" s="60">
        <v>52</v>
      </c>
      <c r="AZ288" s="60">
        <v>1</v>
      </c>
      <c r="BA288" s="60">
        <v>21920</v>
      </c>
      <c r="BB288" s="60">
        <v>39</v>
      </c>
      <c r="BC288" s="60"/>
      <c r="BD288" s="60"/>
      <c r="BE288" s="60">
        <v>10534</v>
      </c>
      <c r="BF288" s="60">
        <v>2961</v>
      </c>
      <c r="BG288" s="60">
        <v>1002</v>
      </c>
      <c r="BH288" s="60">
        <v>7881</v>
      </c>
      <c r="BI288" s="60">
        <v>1139</v>
      </c>
      <c r="BJ288" s="60">
        <v>696</v>
      </c>
      <c r="BK288" s="60">
        <v>48</v>
      </c>
      <c r="BL288" s="60">
        <v>424</v>
      </c>
      <c r="BM288" s="60">
        <v>4</v>
      </c>
      <c r="BN288" s="60">
        <v>1160</v>
      </c>
      <c r="BO288" s="60">
        <v>255</v>
      </c>
      <c r="BP288" s="60">
        <v>1345</v>
      </c>
      <c r="BQ288" s="60">
        <v>792</v>
      </c>
      <c r="BR288" s="60">
        <v>5372</v>
      </c>
      <c r="BS288" s="60">
        <v>1196</v>
      </c>
      <c r="BT288" s="60">
        <v>23</v>
      </c>
      <c r="BU288" s="60">
        <v>1659</v>
      </c>
      <c r="BV288" s="60">
        <v>505</v>
      </c>
      <c r="BW288" s="60">
        <v>56</v>
      </c>
      <c r="BX288" s="60">
        <v>578</v>
      </c>
      <c r="BY288" s="60">
        <v>3157</v>
      </c>
      <c r="BZ288" s="60">
        <v>989</v>
      </c>
      <c r="CA288" s="60">
        <v>5257</v>
      </c>
      <c r="CB288" s="60"/>
      <c r="CC288" s="60">
        <v>1</v>
      </c>
      <c r="CD288" s="60">
        <v>1563</v>
      </c>
      <c r="CE288" s="60">
        <v>128</v>
      </c>
      <c r="CF288" s="60">
        <v>184</v>
      </c>
      <c r="CG288" s="60">
        <v>15</v>
      </c>
      <c r="CH288" s="60">
        <v>204</v>
      </c>
      <c r="CI288" s="60">
        <v>3</v>
      </c>
      <c r="CJ288" s="60">
        <v>25</v>
      </c>
      <c r="CK288" s="60">
        <v>278</v>
      </c>
      <c r="CL288" s="60">
        <v>17662</v>
      </c>
      <c r="CM288" s="60">
        <v>2704</v>
      </c>
      <c r="CN288" s="60">
        <v>163</v>
      </c>
      <c r="CO288" s="60">
        <v>378</v>
      </c>
      <c r="CP288" s="60">
        <v>51</v>
      </c>
      <c r="CQ288" s="60">
        <v>126</v>
      </c>
      <c r="CR288" s="60">
        <v>33</v>
      </c>
      <c r="CS288" s="60"/>
      <c r="CT288" s="60">
        <v>23517</v>
      </c>
      <c r="CU288" s="60">
        <v>106</v>
      </c>
      <c r="CV288" s="60">
        <v>18573</v>
      </c>
      <c r="CW288" s="60">
        <v>4838</v>
      </c>
      <c r="CX288" s="60">
        <v>1210</v>
      </c>
      <c r="CY288" s="60">
        <v>979</v>
      </c>
      <c r="CZ288" s="60"/>
      <c r="DA288" s="60"/>
      <c r="DB288" s="60">
        <v>58</v>
      </c>
      <c r="DC288" s="60">
        <v>94</v>
      </c>
      <c r="DD288" s="60">
        <v>138</v>
      </c>
      <c r="DE288" s="60">
        <v>230</v>
      </c>
      <c r="DF288" s="60">
        <v>306</v>
      </c>
      <c r="DG288" s="60">
        <v>287</v>
      </c>
      <c r="DH288" s="60">
        <v>372</v>
      </c>
      <c r="DI288" s="60">
        <v>621</v>
      </c>
      <c r="DJ288" s="60">
        <v>35</v>
      </c>
      <c r="DK288" s="60">
        <v>48</v>
      </c>
      <c r="DL288" s="60"/>
      <c r="DM288" s="60">
        <v>95</v>
      </c>
      <c r="DN288" s="60">
        <v>24</v>
      </c>
      <c r="DO288" s="60">
        <v>871</v>
      </c>
      <c r="DP288" s="60">
        <v>77</v>
      </c>
      <c r="DQ288" s="60"/>
      <c r="DR288" s="60">
        <v>1121</v>
      </c>
      <c r="DS288" s="60">
        <v>1</v>
      </c>
      <c r="DT288" s="60">
        <v>156</v>
      </c>
      <c r="DU288" s="60">
        <v>22</v>
      </c>
      <c r="DV288" s="60">
        <v>62</v>
      </c>
      <c r="DW288" s="60">
        <v>169</v>
      </c>
      <c r="DX288" s="60">
        <v>30</v>
      </c>
      <c r="DY288" s="60"/>
      <c r="DZ288" s="60">
        <v>51</v>
      </c>
      <c r="EA288" s="60">
        <v>1305</v>
      </c>
      <c r="EB288" s="60">
        <v>394</v>
      </c>
      <c r="EC288" s="60"/>
      <c r="ED288" s="60">
        <v>0</v>
      </c>
      <c r="EE288" s="60">
        <v>0</v>
      </c>
      <c r="EF288" s="60">
        <v>0</v>
      </c>
      <c r="EG288" s="60">
        <v>0</v>
      </c>
      <c r="EH288" s="60">
        <v>0</v>
      </c>
      <c r="EI288" s="60">
        <v>423</v>
      </c>
      <c r="EJ288" s="60">
        <v>1020</v>
      </c>
      <c r="EK288" s="60">
        <v>25</v>
      </c>
      <c r="EL288" s="60">
        <v>588</v>
      </c>
      <c r="EM288" s="60">
        <v>133</v>
      </c>
      <c r="EN288" s="60">
        <v>37</v>
      </c>
      <c r="EO288" s="60">
        <v>28</v>
      </c>
      <c r="EP288" s="60">
        <v>406</v>
      </c>
      <c r="EQ288" s="60">
        <v>1</v>
      </c>
      <c r="ER288" s="60">
        <v>392</v>
      </c>
      <c r="ES288" s="60">
        <v>112</v>
      </c>
      <c r="ET288" s="60">
        <v>152</v>
      </c>
      <c r="EU288" s="60">
        <v>215</v>
      </c>
      <c r="EV288" s="60">
        <v>223</v>
      </c>
      <c r="EW288" s="60">
        <v>57</v>
      </c>
      <c r="EX288" s="60">
        <v>40</v>
      </c>
      <c r="EY288" s="60">
        <v>26</v>
      </c>
      <c r="EZ288" s="60"/>
      <c r="FA288" s="60">
        <v>11</v>
      </c>
      <c r="FB288" s="60">
        <v>346</v>
      </c>
      <c r="FC288" s="60">
        <v>47</v>
      </c>
      <c r="FD288" s="60">
        <v>89</v>
      </c>
      <c r="FE288" s="60"/>
      <c r="FF288" s="60">
        <v>7</v>
      </c>
      <c r="FG288" s="60"/>
      <c r="FH288" s="60">
        <v>180</v>
      </c>
      <c r="FI288" s="60">
        <v>15</v>
      </c>
      <c r="FJ288" s="60">
        <v>146</v>
      </c>
      <c r="FK288" s="60">
        <v>2</v>
      </c>
      <c r="FL288" s="60"/>
      <c r="FM288" s="60"/>
      <c r="FN288" s="60">
        <v>4</v>
      </c>
      <c r="FO288" s="60">
        <v>1751</v>
      </c>
      <c r="FP288" s="60">
        <v>51</v>
      </c>
      <c r="FQ288" s="60">
        <v>8</v>
      </c>
      <c r="FR288" s="60">
        <v>5</v>
      </c>
      <c r="FS288" s="60">
        <v>18</v>
      </c>
      <c r="FT288" s="60">
        <v>5</v>
      </c>
      <c r="FU288" s="60">
        <v>4</v>
      </c>
      <c r="FV288" s="60"/>
      <c r="FW288" s="60"/>
      <c r="FX288" s="60">
        <v>2189</v>
      </c>
      <c r="FY288" s="60">
        <v>21</v>
      </c>
      <c r="FZ288" s="60">
        <v>1846</v>
      </c>
      <c r="GA288" s="60">
        <v>322</v>
      </c>
      <c r="GB288" s="60">
        <v>2011</v>
      </c>
    </row>
    <row r="289" spans="1:184" x14ac:dyDescent="0.3">
      <c r="A289" s="60">
        <v>106434153</v>
      </c>
      <c r="B289" s="61" t="s">
        <v>1084</v>
      </c>
      <c r="C289" s="61" t="s">
        <v>2066</v>
      </c>
      <c r="D289" s="61" t="s">
        <v>1085</v>
      </c>
      <c r="E289" s="61" t="s">
        <v>1059</v>
      </c>
      <c r="F289" s="60">
        <v>95051</v>
      </c>
      <c r="G289" s="61"/>
      <c r="H289" s="61" t="s">
        <v>1669</v>
      </c>
      <c r="I289" s="60">
        <v>22</v>
      </c>
      <c r="J289" s="60">
        <v>13</v>
      </c>
      <c r="K289" s="61" t="s">
        <v>2067</v>
      </c>
      <c r="L289" s="61"/>
      <c r="M289" s="61" t="s">
        <v>2057</v>
      </c>
      <c r="N289" s="61" t="s">
        <v>2058</v>
      </c>
      <c r="O289" s="61" t="s">
        <v>1673</v>
      </c>
      <c r="P289" s="61" t="s">
        <v>1678</v>
      </c>
      <c r="Q289" s="61" t="s">
        <v>1674</v>
      </c>
      <c r="R289" s="60">
        <v>327</v>
      </c>
      <c r="S289" s="61" t="s">
        <v>1675</v>
      </c>
      <c r="T289" s="60">
        <v>27181</v>
      </c>
      <c r="U289" s="60">
        <v>23305</v>
      </c>
      <c r="V289" s="60">
        <v>2</v>
      </c>
      <c r="W289" s="60"/>
      <c r="X289" s="60">
        <v>5785</v>
      </c>
      <c r="Y289" s="60">
        <v>4450</v>
      </c>
      <c r="Z289" s="60">
        <v>6643</v>
      </c>
      <c r="AA289" s="60">
        <v>6703</v>
      </c>
      <c r="AB289" s="60">
        <v>6166</v>
      </c>
      <c r="AC289" s="60">
        <v>6338</v>
      </c>
      <c r="AD289" s="60">
        <v>4762</v>
      </c>
      <c r="AE289" s="60">
        <v>4034</v>
      </c>
      <c r="AF289" s="60">
        <v>4502</v>
      </c>
      <c r="AG289" s="60">
        <v>1105</v>
      </c>
      <c r="AH289" s="60"/>
      <c r="AI289" s="60">
        <v>11327</v>
      </c>
      <c r="AJ289" s="60">
        <v>2404</v>
      </c>
      <c r="AK289" s="60">
        <v>12152</v>
      </c>
      <c r="AL289" s="60">
        <v>167</v>
      </c>
      <c r="AM289" s="60">
        <v>778</v>
      </c>
      <c r="AN289" s="60">
        <v>487</v>
      </c>
      <c r="AO289" s="60">
        <v>23173</v>
      </c>
      <c r="AP289" s="60">
        <v>72</v>
      </c>
      <c r="AQ289" s="60">
        <v>458</v>
      </c>
      <c r="AR289" s="60"/>
      <c r="AS289" s="60">
        <v>55</v>
      </c>
      <c r="AT289" s="60">
        <v>151</v>
      </c>
      <c r="AU289" s="60">
        <v>19</v>
      </c>
      <c r="AV289" s="60">
        <v>19</v>
      </c>
      <c r="AW289" s="60"/>
      <c r="AX289" s="60">
        <v>5</v>
      </c>
      <c r="AY289" s="60">
        <v>436</v>
      </c>
      <c r="AZ289" s="60">
        <v>2</v>
      </c>
      <c r="BA289" s="60">
        <v>48866</v>
      </c>
      <c r="BB289" s="60">
        <v>242</v>
      </c>
      <c r="BC289" s="60">
        <v>136</v>
      </c>
      <c r="BD289" s="60">
        <v>27</v>
      </c>
      <c r="BE289" s="60">
        <v>2089</v>
      </c>
      <c r="BF289" s="60">
        <v>10561</v>
      </c>
      <c r="BG289" s="60">
        <v>177</v>
      </c>
      <c r="BH289" s="60">
        <v>33835</v>
      </c>
      <c r="BI289" s="60">
        <v>3826</v>
      </c>
      <c r="BJ289" s="60">
        <v>988</v>
      </c>
      <c r="BK289" s="60">
        <v>190</v>
      </c>
      <c r="BL289" s="60">
        <v>1495</v>
      </c>
      <c r="BM289" s="60">
        <v>15</v>
      </c>
      <c r="BN289" s="60">
        <v>2235</v>
      </c>
      <c r="BO289" s="60">
        <v>808</v>
      </c>
      <c r="BP289" s="60">
        <v>2358</v>
      </c>
      <c r="BQ289" s="60">
        <v>708</v>
      </c>
      <c r="BR289" s="60">
        <v>13833</v>
      </c>
      <c r="BS289" s="60">
        <v>2610</v>
      </c>
      <c r="BT289" s="60">
        <v>58</v>
      </c>
      <c r="BU289" s="60">
        <v>2868</v>
      </c>
      <c r="BV289" s="60">
        <v>974</v>
      </c>
      <c r="BW289" s="60">
        <v>68</v>
      </c>
      <c r="BX289" s="60">
        <v>1478</v>
      </c>
      <c r="BY289" s="60">
        <v>3669</v>
      </c>
      <c r="BZ289" s="60">
        <v>1608</v>
      </c>
      <c r="CA289" s="60">
        <v>14525</v>
      </c>
      <c r="CB289" s="60"/>
      <c r="CC289" s="60"/>
      <c r="CD289" s="60">
        <v>4515</v>
      </c>
      <c r="CE289" s="60">
        <v>199</v>
      </c>
      <c r="CF289" s="60">
        <v>296</v>
      </c>
      <c r="CG289" s="60">
        <v>17</v>
      </c>
      <c r="CH289" s="60">
        <v>274</v>
      </c>
      <c r="CI289" s="60">
        <v>51</v>
      </c>
      <c r="CJ289" s="60">
        <v>373</v>
      </c>
      <c r="CK289" s="60">
        <v>620</v>
      </c>
      <c r="CL289" s="60">
        <v>35174</v>
      </c>
      <c r="CM289" s="60">
        <v>7120</v>
      </c>
      <c r="CN289" s="60">
        <v>307</v>
      </c>
      <c r="CO289" s="60">
        <v>1065</v>
      </c>
      <c r="CP289" s="60">
        <v>93</v>
      </c>
      <c r="CQ289" s="60">
        <v>354</v>
      </c>
      <c r="CR289" s="60">
        <v>30</v>
      </c>
      <c r="CS289" s="60"/>
      <c r="CT289" s="60">
        <v>50488</v>
      </c>
      <c r="CU289" s="60">
        <v>1481</v>
      </c>
      <c r="CV289" s="60">
        <v>46258</v>
      </c>
      <c r="CW289" s="60">
        <v>2749</v>
      </c>
      <c r="CX289" s="60">
        <v>4770</v>
      </c>
      <c r="CY289" s="60">
        <v>4514</v>
      </c>
      <c r="CZ289" s="60"/>
      <c r="DA289" s="60"/>
      <c r="DB289" s="60">
        <v>217</v>
      </c>
      <c r="DC289" s="60">
        <v>290</v>
      </c>
      <c r="DD289" s="60">
        <v>430</v>
      </c>
      <c r="DE289" s="60">
        <v>730</v>
      </c>
      <c r="DF289" s="60">
        <v>1233</v>
      </c>
      <c r="DG289" s="60">
        <v>1500</v>
      </c>
      <c r="DH289" s="60">
        <v>1812</v>
      </c>
      <c r="DI289" s="60">
        <v>2702</v>
      </c>
      <c r="DJ289" s="60">
        <v>120</v>
      </c>
      <c r="DK289" s="60">
        <v>250</v>
      </c>
      <c r="DL289" s="60"/>
      <c r="DM289" s="60">
        <v>1698</v>
      </c>
      <c r="DN289" s="60">
        <v>334</v>
      </c>
      <c r="DO289" s="60">
        <v>1567</v>
      </c>
      <c r="DP289" s="60">
        <v>72</v>
      </c>
      <c r="DQ289" s="60">
        <v>32</v>
      </c>
      <c r="DR289" s="60">
        <v>5546</v>
      </c>
      <c r="DS289" s="60">
        <v>35</v>
      </c>
      <c r="DT289" s="60">
        <v>97</v>
      </c>
      <c r="DU289" s="60">
        <v>51</v>
      </c>
      <c r="DV289" s="60">
        <v>393</v>
      </c>
      <c r="DW289" s="60">
        <v>2069</v>
      </c>
      <c r="DX289" s="60">
        <v>60</v>
      </c>
      <c r="DY289" s="60">
        <v>2</v>
      </c>
      <c r="DZ289" s="60">
        <v>124</v>
      </c>
      <c r="EA289" s="60">
        <v>5320</v>
      </c>
      <c r="EB289" s="60">
        <v>1167</v>
      </c>
      <c r="EC289" s="60">
        <v>1</v>
      </c>
      <c r="ED289" s="60">
        <v>0</v>
      </c>
      <c r="EE289" s="60">
        <v>0</v>
      </c>
      <c r="EF289" s="60">
        <v>0</v>
      </c>
      <c r="EG289" s="60">
        <v>0</v>
      </c>
      <c r="EH289" s="60">
        <v>0</v>
      </c>
      <c r="EI289" s="60">
        <v>219</v>
      </c>
      <c r="EJ289" s="60">
        <v>5372</v>
      </c>
      <c r="EK289" s="60">
        <v>17</v>
      </c>
      <c r="EL289" s="60">
        <v>3496</v>
      </c>
      <c r="EM289" s="60">
        <v>180</v>
      </c>
      <c r="EN289" s="60">
        <v>67</v>
      </c>
      <c r="EO289" s="60">
        <v>138</v>
      </c>
      <c r="EP289" s="60">
        <v>1974</v>
      </c>
      <c r="EQ289" s="60">
        <v>7</v>
      </c>
      <c r="ER289" s="60">
        <v>1550</v>
      </c>
      <c r="ES289" s="60">
        <v>429</v>
      </c>
      <c r="ET289" s="60">
        <v>411</v>
      </c>
      <c r="EU289" s="60">
        <v>1508</v>
      </c>
      <c r="EV289" s="60">
        <v>903</v>
      </c>
      <c r="EW289" s="60">
        <v>126</v>
      </c>
      <c r="EX289" s="60">
        <v>248</v>
      </c>
      <c r="EY289" s="60">
        <v>224</v>
      </c>
      <c r="EZ289" s="60">
        <v>13</v>
      </c>
      <c r="FA289" s="60">
        <v>160</v>
      </c>
      <c r="FB289" s="60">
        <v>888</v>
      </c>
      <c r="FC289" s="60">
        <v>173</v>
      </c>
      <c r="FD289" s="60">
        <v>436</v>
      </c>
      <c r="FE289" s="60">
        <v>2</v>
      </c>
      <c r="FF289" s="60">
        <v>27</v>
      </c>
      <c r="FG289" s="60"/>
      <c r="FH289" s="60">
        <v>543</v>
      </c>
      <c r="FI289" s="60">
        <v>58</v>
      </c>
      <c r="FJ289" s="60">
        <v>746</v>
      </c>
      <c r="FK289" s="60">
        <v>8</v>
      </c>
      <c r="FL289" s="60">
        <v>87</v>
      </c>
      <c r="FM289" s="60">
        <v>443</v>
      </c>
      <c r="FN289" s="60">
        <v>24</v>
      </c>
      <c r="FO289" s="60">
        <v>7137</v>
      </c>
      <c r="FP289" s="60">
        <v>130</v>
      </c>
      <c r="FQ289" s="60">
        <v>18</v>
      </c>
      <c r="FR289" s="60">
        <v>24</v>
      </c>
      <c r="FS289" s="60">
        <v>32</v>
      </c>
      <c r="FT289" s="60">
        <v>28</v>
      </c>
      <c r="FU289" s="60">
        <v>5</v>
      </c>
      <c r="FV289" s="60">
        <v>1</v>
      </c>
      <c r="FW289" s="60"/>
      <c r="FX289" s="60">
        <v>9284</v>
      </c>
      <c r="FY289" s="60">
        <v>353</v>
      </c>
      <c r="FZ289" s="60">
        <v>8651</v>
      </c>
      <c r="GA289" s="60">
        <v>280</v>
      </c>
      <c r="GB289" s="60">
        <v>2011</v>
      </c>
    </row>
    <row r="290" spans="1:184" x14ac:dyDescent="0.3">
      <c r="A290" s="60">
        <v>106434218</v>
      </c>
      <c r="B290" s="61" t="s">
        <v>2068</v>
      </c>
      <c r="C290" s="61" t="s">
        <v>2069</v>
      </c>
      <c r="D290" s="61" t="s">
        <v>2070</v>
      </c>
      <c r="E290" s="61" t="s">
        <v>1059</v>
      </c>
      <c r="F290" s="60">
        <v>95051</v>
      </c>
      <c r="G290" s="61"/>
      <c r="H290" s="61" t="s">
        <v>1669</v>
      </c>
      <c r="I290" s="60">
        <v>22</v>
      </c>
      <c r="J290" s="60">
        <v>13</v>
      </c>
      <c r="K290" s="61" t="s">
        <v>2071</v>
      </c>
      <c r="L290" s="61"/>
      <c r="M290" s="61" t="s">
        <v>2057</v>
      </c>
      <c r="N290" s="61" t="s">
        <v>2058</v>
      </c>
      <c r="O290" s="61" t="s">
        <v>2072</v>
      </c>
      <c r="P290" s="61" t="s">
        <v>1678</v>
      </c>
      <c r="Q290" s="61" t="s">
        <v>1686</v>
      </c>
      <c r="R290" s="60">
        <v>0</v>
      </c>
      <c r="S290" s="61" t="s">
        <v>1687</v>
      </c>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0"/>
      <c r="BG290" s="60"/>
      <c r="BH290" s="60"/>
      <c r="BI290" s="60"/>
      <c r="BJ290" s="60"/>
      <c r="BK290" s="60"/>
      <c r="BL290" s="60"/>
      <c r="BM290" s="60"/>
      <c r="BN290" s="60"/>
      <c r="BO290" s="60"/>
      <c r="BP290" s="60"/>
      <c r="BQ290" s="60"/>
      <c r="BR290" s="60"/>
      <c r="BS290" s="60"/>
      <c r="BT290" s="60"/>
      <c r="BU290" s="60"/>
      <c r="BV290" s="60"/>
      <c r="BW290" s="60"/>
      <c r="BX290" s="60"/>
      <c r="BY290" s="60"/>
      <c r="BZ290" s="60"/>
      <c r="CA290" s="60"/>
      <c r="CB290" s="60"/>
      <c r="CC290" s="60"/>
      <c r="CD290" s="60"/>
      <c r="CE290" s="60"/>
      <c r="CF290" s="60"/>
      <c r="CG290" s="60"/>
      <c r="CH290" s="60"/>
      <c r="CI290" s="60"/>
      <c r="CJ290" s="60"/>
      <c r="CK290" s="60"/>
      <c r="CL290" s="60"/>
      <c r="CM290" s="60"/>
      <c r="CN290" s="60"/>
      <c r="CO290" s="60"/>
      <c r="CP290" s="60"/>
      <c r="CQ290" s="60"/>
      <c r="CR290" s="60"/>
      <c r="CS290" s="60"/>
      <c r="CT290" s="60"/>
      <c r="CU290" s="60"/>
      <c r="CV290" s="60"/>
      <c r="CW290" s="60"/>
      <c r="CX290" s="60">
        <v>3</v>
      </c>
      <c r="CY290" s="60"/>
      <c r="CZ290" s="60"/>
      <c r="DA290" s="60"/>
      <c r="DB290" s="60"/>
      <c r="DC290" s="60"/>
      <c r="DD290" s="60"/>
      <c r="DE290" s="60">
        <v>1</v>
      </c>
      <c r="DF290" s="60">
        <v>2</v>
      </c>
      <c r="DG290" s="60"/>
      <c r="DH290" s="60"/>
      <c r="DI290" s="60"/>
      <c r="DJ290" s="60"/>
      <c r="DK290" s="60"/>
      <c r="DL290" s="60"/>
      <c r="DM290" s="60">
        <v>1</v>
      </c>
      <c r="DN290" s="60"/>
      <c r="DO290" s="60"/>
      <c r="DP290" s="60"/>
      <c r="DQ290" s="60"/>
      <c r="DR290" s="60">
        <v>2</v>
      </c>
      <c r="DS290" s="60"/>
      <c r="DT290" s="60"/>
      <c r="DU290" s="60"/>
      <c r="DV290" s="60"/>
      <c r="DW290" s="60"/>
      <c r="DX290" s="60"/>
      <c r="DY290" s="60"/>
      <c r="DZ290" s="60"/>
      <c r="EA290" s="60">
        <v>3</v>
      </c>
      <c r="EB290" s="60"/>
      <c r="EC290" s="60"/>
      <c r="ED290" s="60">
        <v>0</v>
      </c>
      <c r="EE290" s="60">
        <v>0</v>
      </c>
      <c r="EF290" s="60">
        <v>0</v>
      </c>
      <c r="EG290" s="60">
        <v>0</v>
      </c>
      <c r="EH290" s="60">
        <v>0</v>
      </c>
      <c r="EI290" s="60"/>
      <c r="EJ290" s="60">
        <v>1</v>
      </c>
      <c r="EK290" s="60"/>
      <c r="EL290" s="60">
        <v>2</v>
      </c>
      <c r="EM290" s="60"/>
      <c r="EN290" s="60"/>
      <c r="EO290" s="60"/>
      <c r="EP290" s="60"/>
      <c r="EQ290" s="60"/>
      <c r="ER290" s="60"/>
      <c r="ES290" s="60"/>
      <c r="ET290" s="60"/>
      <c r="EU290" s="60"/>
      <c r="EV290" s="60"/>
      <c r="EW290" s="60"/>
      <c r="EX290" s="60"/>
      <c r="EY290" s="60"/>
      <c r="EZ290" s="60"/>
      <c r="FA290" s="60">
        <v>3</v>
      </c>
      <c r="FB290" s="60"/>
      <c r="FC290" s="60"/>
      <c r="FD290" s="60"/>
      <c r="FE290" s="60"/>
      <c r="FF290" s="60"/>
      <c r="FG290" s="60"/>
      <c r="FH290" s="60"/>
      <c r="FI290" s="60"/>
      <c r="FJ290" s="60"/>
      <c r="FK290" s="60"/>
      <c r="FL290" s="60"/>
      <c r="FM290" s="60"/>
      <c r="FN290" s="60"/>
      <c r="FO290" s="60">
        <v>3</v>
      </c>
      <c r="FP290" s="60"/>
      <c r="FQ290" s="60"/>
      <c r="FR290" s="60"/>
      <c r="FS290" s="60"/>
      <c r="FT290" s="60"/>
      <c r="FU290" s="60"/>
      <c r="FV290" s="60"/>
      <c r="FW290" s="60"/>
      <c r="FX290" s="60">
        <v>3</v>
      </c>
      <c r="FY290" s="60"/>
      <c r="FZ290" s="60">
        <v>3</v>
      </c>
      <c r="GA290" s="60"/>
      <c r="GB290" s="60">
        <v>2011</v>
      </c>
    </row>
    <row r="291" spans="1:184" x14ac:dyDescent="0.3">
      <c r="A291" s="60">
        <v>106440755</v>
      </c>
      <c r="B291" s="61" t="s">
        <v>1086</v>
      </c>
      <c r="C291" s="61" t="s">
        <v>2073</v>
      </c>
      <c r="D291" s="61" t="s">
        <v>1088</v>
      </c>
      <c r="E291" s="61" t="s">
        <v>1087</v>
      </c>
      <c r="F291" s="60">
        <v>95065</v>
      </c>
      <c r="G291" s="61"/>
      <c r="H291" s="61" t="s">
        <v>1669</v>
      </c>
      <c r="I291" s="60">
        <v>27</v>
      </c>
      <c r="J291" s="60">
        <v>11</v>
      </c>
      <c r="K291" s="61" t="s">
        <v>2074</v>
      </c>
      <c r="L291" s="61"/>
      <c r="M291" s="61" t="s">
        <v>1885</v>
      </c>
      <c r="N291" s="61" t="s">
        <v>2075</v>
      </c>
      <c r="O291" s="61" t="s">
        <v>1673</v>
      </c>
      <c r="P291" s="61" t="s">
        <v>1678</v>
      </c>
      <c r="Q291" s="61" t="s">
        <v>1674</v>
      </c>
      <c r="R291" s="60">
        <v>231</v>
      </c>
      <c r="S291" s="61" t="s">
        <v>1675</v>
      </c>
      <c r="T291" s="60">
        <v>17275</v>
      </c>
      <c r="U291" s="60">
        <v>16623</v>
      </c>
      <c r="V291" s="60">
        <v>2</v>
      </c>
      <c r="W291" s="60"/>
      <c r="X291" s="60">
        <v>3007</v>
      </c>
      <c r="Y291" s="60">
        <v>3697</v>
      </c>
      <c r="Z291" s="60">
        <v>6277</v>
      </c>
      <c r="AA291" s="60">
        <v>4340</v>
      </c>
      <c r="AB291" s="60">
        <v>4452</v>
      </c>
      <c r="AC291" s="60">
        <v>4604</v>
      </c>
      <c r="AD291" s="60">
        <v>3130</v>
      </c>
      <c r="AE291" s="60">
        <v>1561</v>
      </c>
      <c r="AF291" s="60">
        <v>2244</v>
      </c>
      <c r="AG291" s="60">
        <v>587</v>
      </c>
      <c r="AH291" s="60">
        <v>1</v>
      </c>
      <c r="AI291" s="60">
        <v>418</v>
      </c>
      <c r="AJ291" s="60">
        <v>725</v>
      </c>
      <c r="AK291" s="60">
        <v>5625</v>
      </c>
      <c r="AL291" s="60">
        <v>9</v>
      </c>
      <c r="AM291" s="60">
        <v>1111</v>
      </c>
      <c r="AN291" s="60">
        <v>137</v>
      </c>
      <c r="AO291" s="60">
        <v>25875</v>
      </c>
      <c r="AP291" s="60">
        <v>267</v>
      </c>
      <c r="AQ291" s="60">
        <v>678</v>
      </c>
      <c r="AR291" s="60">
        <v>14</v>
      </c>
      <c r="AS291" s="60">
        <v>36</v>
      </c>
      <c r="AT291" s="60">
        <v>51</v>
      </c>
      <c r="AU291" s="60">
        <v>4</v>
      </c>
      <c r="AV291" s="60">
        <v>9</v>
      </c>
      <c r="AW291" s="60">
        <v>4</v>
      </c>
      <c r="AX291" s="60">
        <v>462</v>
      </c>
      <c r="AY291" s="60">
        <v>320</v>
      </c>
      <c r="AZ291" s="60">
        <v>268</v>
      </c>
      <c r="BA291" s="60">
        <v>30992</v>
      </c>
      <c r="BB291" s="60">
        <v>272</v>
      </c>
      <c r="BC291" s="60">
        <v>523</v>
      </c>
      <c r="BD291" s="60"/>
      <c r="BE291" s="60">
        <v>8169</v>
      </c>
      <c r="BF291" s="60">
        <v>5616</v>
      </c>
      <c r="BG291" s="60">
        <v>1433</v>
      </c>
      <c r="BH291" s="60">
        <v>7729</v>
      </c>
      <c r="BI291" s="60">
        <v>10953</v>
      </c>
      <c r="BJ291" s="60">
        <v>574</v>
      </c>
      <c r="BK291" s="60">
        <v>77</v>
      </c>
      <c r="BL291" s="60">
        <v>850</v>
      </c>
      <c r="BM291" s="60">
        <v>5</v>
      </c>
      <c r="BN291" s="60">
        <v>1821</v>
      </c>
      <c r="BO291" s="60">
        <v>546</v>
      </c>
      <c r="BP291" s="60">
        <v>1754</v>
      </c>
      <c r="BQ291" s="60">
        <v>546</v>
      </c>
      <c r="BR291" s="60">
        <v>9194</v>
      </c>
      <c r="BS291" s="60">
        <v>1953</v>
      </c>
      <c r="BT291" s="60">
        <v>48</v>
      </c>
      <c r="BU291" s="60">
        <v>2121</v>
      </c>
      <c r="BV291" s="60">
        <v>1089</v>
      </c>
      <c r="BW291" s="60">
        <v>29</v>
      </c>
      <c r="BX291" s="60">
        <v>2045</v>
      </c>
      <c r="BY291" s="60">
        <v>2755</v>
      </c>
      <c r="BZ291" s="60">
        <v>1673</v>
      </c>
      <c r="CA291" s="60">
        <v>6818</v>
      </c>
      <c r="CB291" s="60">
        <v>2</v>
      </c>
      <c r="CC291" s="60"/>
      <c r="CD291" s="60">
        <v>3244</v>
      </c>
      <c r="CE291" s="60">
        <v>330</v>
      </c>
      <c r="CF291" s="60">
        <v>379</v>
      </c>
      <c r="CG291" s="60">
        <v>26</v>
      </c>
      <c r="CH291" s="60">
        <v>630</v>
      </c>
      <c r="CI291" s="60">
        <v>24</v>
      </c>
      <c r="CJ291" s="60">
        <v>275</v>
      </c>
      <c r="CK291" s="60">
        <v>524</v>
      </c>
      <c r="CL291" s="60">
        <v>23007</v>
      </c>
      <c r="CM291" s="60">
        <v>3528</v>
      </c>
      <c r="CN291" s="60">
        <v>500</v>
      </c>
      <c r="CO291" s="60">
        <v>968</v>
      </c>
      <c r="CP291" s="60">
        <v>218</v>
      </c>
      <c r="CQ291" s="60">
        <v>188</v>
      </c>
      <c r="CR291" s="60">
        <v>59</v>
      </c>
      <c r="CS291" s="60"/>
      <c r="CT291" s="60">
        <v>33900</v>
      </c>
      <c r="CU291" s="60">
        <v>43</v>
      </c>
      <c r="CV291" s="60">
        <v>31557</v>
      </c>
      <c r="CW291" s="60">
        <v>2300</v>
      </c>
      <c r="CX291" s="60">
        <v>3525</v>
      </c>
      <c r="CY291" s="60">
        <v>3447</v>
      </c>
      <c r="CZ291" s="60"/>
      <c r="DA291" s="60"/>
      <c r="DB291" s="60">
        <v>170</v>
      </c>
      <c r="DC291" s="60">
        <v>469</v>
      </c>
      <c r="DD291" s="60">
        <v>477</v>
      </c>
      <c r="DE291" s="60">
        <v>734</v>
      </c>
      <c r="DF291" s="60">
        <v>1183</v>
      </c>
      <c r="DG291" s="60">
        <v>1187</v>
      </c>
      <c r="DH291" s="60">
        <v>918</v>
      </c>
      <c r="DI291" s="60">
        <v>1690</v>
      </c>
      <c r="DJ291" s="60">
        <v>50</v>
      </c>
      <c r="DK291" s="60">
        <v>94</v>
      </c>
      <c r="DL291" s="60"/>
      <c r="DM291" s="60">
        <v>92</v>
      </c>
      <c r="DN291" s="60">
        <v>101</v>
      </c>
      <c r="DO291" s="60">
        <v>784</v>
      </c>
      <c r="DP291" s="60">
        <v>130</v>
      </c>
      <c r="DQ291" s="60">
        <v>14</v>
      </c>
      <c r="DR291" s="60">
        <v>5849</v>
      </c>
      <c r="DS291" s="60">
        <v>2</v>
      </c>
      <c r="DT291" s="60">
        <v>119</v>
      </c>
      <c r="DU291" s="60">
        <v>114</v>
      </c>
      <c r="DV291" s="60">
        <v>235</v>
      </c>
      <c r="DW291" s="60">
        <v>771</v>
      </c>
      <c r="DX291" s="60">
        <v>360</v>
      </c>
      <c r="DY291" s="60">
        <v>6</v>
      </c>
      <c r="DZ291" s="60">
        <v>25</v>
      </c>
      <c r="EA291" s="60">
        <v>4077</v>
      </c>
      <c r="EB291" s="60">
        <v>1242</v>
      </c>
      <c r="EC291" s="60">
        <v>23</v>
      </c>
      <c r="ED291" s="60">
        <v>0</v>
      </c>
      <c r="EE291" s="60">
        <v>0</v>
      </c>
      <c r="EF291" s="60">
        <v>0</v>
      </c>
      <c r="EG291" s="60">
        <v>0</v>
      </c>
      <c r="EH291" s="60">
        <v>0</v>
      </c>
      <c r="EI291" s="60">
        <v>868</v>
      </c>
      <c r="EJ291" s="60">
        <v>3170</v>
      </c>
      <c r="EK291" s="60">
        <v>143</v>
      </c>
      <c r="EL291" s="60">
        <v>2027</v>
      </c>
      <c r="EM291" s="60">
        <v>764</v>
      </c>
      <c r="EN291" s="60">
        <v>65</v>
      </c>
      <c r="EO291" s="60">
        <v>102</v>
      </c>
      <c r="EP291" s="60">
        <v>1373</v>
      </c>
      <c r="EQ291" s="60">
        <v>3</v>
      </c>
      <c r="ER291" s="60">
        <v>1083</v>
      </c>
      <c r="ES291" s="60">
        <v>262</v>
      </c>
      <c r="ET291" s="60">
        <v>329</v>
      </c>
      <c r="EU291" s="60">
        <v>459</v>
      </c>
      <c r="EV291" s="60">
        <v>829</v>
      </c>
      <c r="EW291" s="60">
        <v>171</v>
      </c>
      <c r="EX291" s="60">
        <v>206</v>
      </c>
      <c r="EY291" s="60">
        <v>192</v>
      </c>
      <c r="EZ291" s="60">
        <v>15</v>
      </c>
      <c r="FA291" s="60">
        <v>472</v>
      </c>
      <c r="FB291" s="60">
        <v>725</v>
      </c>
      <c r="FC291" s="60">
        <v>223</v>
      </c>
      <c r="FD291" s="60">
        <v>450</v>
      </c>
      <c r="FE291" s="60">
        <v>1</v>
      </c>
      <c r="FF291" s="60">
        <v>12</v>
      </c>
      <c r="FG291" s="60"/>
      <c r="FH291" s="60">
        <v>442</v>
      </c>
      <c r="FI291" s="60">
        <v>102</v>
      </c>
      <c r="FJ291" s="60">
        <v>604</v>
      </c>
      <c r="FK291" s="60">
        <v>17</v>
      </c>
      <c r="FL291" s="60">
        <v>58</v>
      </c>
      <c r="FM291" s="60">
        <v>325</v>
      </c>
      <c r="FN291" s="60">
        <v>29</v>
      </c>
      <c r="FO291" s="60">
        <v>5093</v>
      </c>
      <c r="FP291" s="60">
        <v>124</v>
      </c>
      <c r="FQ291" s="60">
        <v>31</v>
      </c>
      <c r="FR291" s="60">
        <v>46</v>
      </c>
      <c r="FS291" s="60">
        <v>73</v>
      </c>
      <c r="FT291" s="60">
        <v>17</v>
      </c>
      <c r="FU291" s="60">
        <v>10</v>
      </c>
      <c r="FV291" s="60">
        <v>1</v>
      </c>
      <c r="FW291" s="60"/>
      <c r="FX291" s="60">
        <v>6972</v>
      </c>
      <c r="FY291" s="60">
        <v>12</v>
      </c>
      <c r="FZ291" s="60">
        <v>6574</v>
      </c>
      <c r="GA291" s="60">
        <v>386</v>
      </c>
      <c r="GB291" s="60">
        <v>2011</v>
      </c>
    </row>
    <row r="292" spans="1:184" x14ac:dyDescent="0.3">
      <c r="A292" s="60">
        <v>106444013</v>
      </c>
      <c r="B292" s="61" t="s">
        <v>1089</v>
      </c>
      <c r="C292" s="61" t="s">
        <v>1090</v>
      </c>
      <c r="D292" s="61" t="s">
        <v>1091</v>
      </c>
      <c r="E292" s="61" t="s">
        <v>1092</v>
      </c>
      <c r="F292" s="60">
        <v>95076</v>
      </c>
      <c r="G292" s="61"/>
      <c r="H292" s="61" t="s">
        <v>1669</v>
      </c>
      <c r="I292" s="60">
        <v>28</v>
      </c>
      <c r="J292" s="60">
        <v>15</v>
      </c>
      <c r="K292" s="61" t="s">
        <v>2076</v>
      </c>
      <c r="L292" s="61"/>
      <c r="M292" s="61" t="s">
        <v>1885</v>
      </c>
      <c r="N292" s="61" t="s">
        <v>2075</v>
      </c>
      <c r="O292" s="61" t="s">
        <v>1673</v>
      </c>
      <c r="P292" s="61" t="s">
        <v>221</v>
      </c>
      <c r="Q292" s="61" t="s">
        <v>1674</v>
      </c>
      <c r="R292" s="60">
        <v>106</v>
      </c>
      <c r="S292" s="61" t="s">
        <v>1675</v>
      </c>
      <c r="T292" s="60">
        <v>13867</v>
      </c>
      <c r="U292" s="60">
        <v>10991</v>
      </c>
      <c r="V292" s="60">
        <v>2</v>
      </c>
      <c r="W292" s="60"/>
      <c r="X292" s="60">
        <v>5857</v>
      </c>
      <c r="Y292" s="60">
        <v>3155</v>
      </c>
      <c r="Z292" s="60">
        <v>3756</v>
      </c>
      <c r="AA292" s="60">
        <v>2991</v>
      </c>
      <c r="AB292" s="60">
        <v>2313</v>
      </c>
      <c r="AC292" s="60">
        <v>2035</v>
      </c>
      <c r="AD292" s="60">
        <v>1339</v>
      </c>
      <c r="AE292" s="60">
        <v>858</v>
      </c>
      <c r="AF292" s="60">
        <v>956</v>
      </c>
      <c r="AG292" s="60">
        <v>1600</v>
      </c>
      <c r="AH292" s="60"/>
      <c r="AI292" s="60">
        <v>189</v>
      </c>
      <c r="AJ292" s="60">
        <v>124</v>
      </c>
      <c r="AK292" s="60">
        <v>17983</v>
      </c>
      <c r="AL292" s="60">
        <v>12</v>
      </c>
      <c r="AM292" s="60">
        <v>1087</v>
      </c>
      <c r="AN292" s="60">
        <v>68</v>
      </c>
      <c r="AO292" s="60">
        <v>5397</v>
      </c>
      <c r="AP292" s="60">
        <v>208</v>
      </c>
      <c r="AQ292" s="60">
        <v>810</v>
      </c>
      <c r="AR292" s="60">
        <v>30</v>
      </c>
      <c r="AS292" s="60">
        <v>22</v>
      </c>
      <c r="AT292" s="60">
        <v>3</v>
      </c>
      <c r="AU292" s="60">
        <v>4</v>
      </c>
      <c r="AV292" s="60">
        <v>1</v>
      </c>
      <c r="AW292" s="60">
        <v>1</v>
      </c>
      <c r="AX292" s="60">
        <v>101</v>
      </c>
      <c r="AY292" s="60">
        <v>40</v>
      </c>
      <c r="AZ292" s="60">
        <v>1</v>
      </c>
      <c r="BA292" s="60">
        <v>23527</v>
      </c>
      <c r="BB292" s="60">
        <v>112</v>
      </c>
      <c r="BC292" s="60"/>
      <c r="BD292" s="60"/>
      <c r="BE292" s="60">
        <v>13357</v>
      </c>
      <c r="BF292" s="60">
        <v>3048</v>
      </c>
      <c r="BG292" s="60">
        <v>734</v>
      </c>
      <c r="BH292" s="60">
        <v>4319</v>
      </c>
      <c r="BI292" s="60">
        <v>3402</v>
      </c>
      <c r="BJ292" s="60">
        <v>983</v>
      </c>
      <c r="BK292" s="60">
        <v>60</v>
      </c>
      <c r="BL292" s="60">
        <v>473</v>
      </c>
      <c r="BM292" s="60">
        <v>9</v>
      </c>
      <c r="BN292" s="60">
        <v>1373</v>
      </c>
      <c r="BO292" s="60">
        <v>317</v>
      </c>
      <c r="BP292" s="60">
        <v>1435</v>
      </c>
      <c r="BQ292" s="60">
        <v>835</v>
      </c>
      <c r="BR292" s="60">
        <v>4572</v>
      </c>
      <c r="BS292" s="60">
        <v>1004</v>
      </c>
      <c r="BT292" s="60">
        <v>38</v>
      </c>
      <c r="BU292" s="60">
        <v>2567</v>
      </c>
      <c r="BV292" s="60">
        <v>750</v>
      </c>
      <c r="BW292" s="60">
        <v>56</v>
      </c>
      <c r="BX292" s="60">
        <v>816</v>
      </c>
      <c r="BY292" s="60">
        <v>3583</v>
      </c>
      <c r="BZ292" s="60">
        <v>1002</v>
      </c>
      <c r="CA292" s="60">
        <v>4987</v>
      </c>
      <c r="CB292" s="60"/>
      <c r="CC292" s="60"/>
      <c r="CD292" s="60">
        <v>1567</v>
      </c>
      <c r="CE292" s="60">
        <v>145</v>
      </c>
      <c r="CF292" s="60">
        <v>204</v>
      </c>
      <c r="CG292" s="60">
        <v>11</v>
      </c>
      <c r="CH292" s="60">
        <v>200</v>
      </c>
      <c r="CI292" s="60">
        <v>65</v>
      </c>
      <c r="CJ292" s="60">
        <v>124</v>
      </c>
      <c r="CK292" s="60">
        <v>242</v>
      </c>
      <c r="CL292" s="60">
        <v>19564</v>
      </c>
      <c r="CM292" s="60">
        <v>1931</v>
      </c>
      <c r="CN292" s="60">
        <v>115</v>
      </c>
      <c r="CO292" s="60">
        <v>441</v>
      </c>
      <c r="CP292" s="60">
        <v>46</v>
      </c>
      <c r="CQ292" s="60">
        <v>125</v>
      </c>
      <c r="CR292" s="60">
        <v>80</v>
      </c>
      <c r="CS292" s="60"/>
      <c r="CT292" s="60">
        <v>24860</v>
      </c>
      <c r="CU292" s="60">
        <v>35</v>
      </c>
      <c r="CV292" s="60">
        <v>12520</v>
      </c>
      <c r="CW292" s="60">
        <v>12305</v>
      </c>
      <c r="CX292" s="60">
        <v>1393</v>
      </c>
      <c r="CY292" s="60">
        <v>1208</v>
      </c>
      <c r="CZ292" s="60"/>
      <c r="DA292" s="60"/>
      <c r="DB292" s="60">
        <v>85</v>
      </c>
      <c r="DC292" s="60">
        <v>205</v>
      </c>
      <c r="DD292" s="60">
        <v>154</v>
      </c>
      <c r="DE292" s="60">
        <v>221</v>
      </c>
      <c r="DF292" s="60">
        <v>373</v>
      </c>
      <c r="DG292" s="60">
        <v>337</v>
      </c>
      <c r="DH292" s="60">
        <v>354</v>
      </c>
      <c r="DI292" s="60">
        <v>614</v>
      </c>
      <c r="DJ292" s="60">
        <v>128</v>
      </c>
      <c r="DK292" s="60">
        <v>130</v>
      </c>
      <c r="DL292" s="60"/>
      <c r="DM292" s="60">
        <v>45</v>
      </c>
      <c r="DN292" s="60">
        <v>7</v>
      </c>
      <c r="DO292" s="60">
        <v>1390</v>
      </c>
      <c r="DP292" s="60">
        <v>36</v>
      </c>
      <c r="DQ292" s="60">
        <v>2</v>
      </c>
      <c r="DR292" s="60">
        <v>1120</v>
      </c>
      <c r="DS292" s="60">
        <v>1</v>
      </c>
      <c r="DT292" s="60">
        <v>83</v>
      </c>
      <c r="DU292" s="60">
        <v>22</v>
      </c>
      <c r="DV292" s="60">
        <v>76</v>
      </c>
      <c r="DW292" s="60">
        <v>196</v>
      </c>
      <c r="DX292" s="60">
        <v>29</v>
      </c>
      <c r="DY292" s="60">
        <v>4</v>
      </c>
      <c r="DZ292" s="60"/>
      <c r="EA292" s="60">
        <v>1857</v>
      </c>
      <c r="EB292" s="60">
        <v>334</v>
      </c>
      <c r="EC292" s="60"/>
      <c r="ED292" s="60">
        <v>0</v>
      </c>
      <c r="EE292" s="60">
        <v>0</v>
      </c>
      <c r="EF292" s="60">
        <v>0</v>
      </c>
      <c r="EG292" s="60">
        <v>0</v>
      </c>
      <c r="EH292" s="60">
        <v>0</v>
      </c>
      <c r="EI292" s="60">
        <v>641</v>
      </c>
      <c r="EJ292" s="60">
        <v>1253</v>
      </c>
      <c r="EK292" s="60">
        <v>53</v>
      </c>
      <c r="EL292" s="60">
        <v>351</v>
      </c>
      <c r="EM292" s="60">
        <v>303</v>
      </c>
      <c r="EN292" s="60">
        <v>133</v>
      </c>
      <c r="EO292" s="60">
        <v>40</v>
      </c>
      <c r="EP292" s="60">
        <v>442</v>
      </c>
      <c r="EQ292" s="60">
        <v>4</v>
      </c>
      <c r="ER292" s="60">
        <v>484</v>
      </c>
      <c r="ES292" s="60">
        <v>123</v>
      </c>
      <c r="ET292" s="60">
        <v>194</v>
      </c>
      <c r="EU292" s="60">
        <v>132</v>
      </c>
      <c r="EV292" s="60">
        <v>211</v>
      </c>
      <c r="EW292" s="60">
        <v>39</v>
      </c>
      <c r="EX292" s="60">
        <v>28</v>
      </c>
      <c r="EY292" s="60">
        <v>38</v>
      </c>
      <c r="EZ292" s="60">
        <v>9</v>
      </c>
      <c r="FA292" s="60">
        <v>34</v>
      </c>
      <c r="FB292" s="60">
        <v>463</v>
      </c>
      <c r="FC292" s="60">
        <v>55</v>
      </c>
      <c r="FD292" s="60">
        <v>146</v>
      </c>
      <c r="FE292" s="60">
        <v>7</v>
      </c>
      <c r="FF292" s="60">
        <v>19</v>
      </c>
      <c r="FG292" s="60"/>
      <c r="FH292" s="60">
        <v>158</v>
      </c>
      <c r="FI292" s="60">
        <v>11</v>
      </c>
      <c r="FJ292" s="60">
        <v>137</v>
      </c>
      <c r="FK292" s="60">
        <v>10</v>
      </c>
      <c r="FL292" s="60">
        <v>4</v>
      </c>
      <c r="FM292" s="60">
        <v>103</v>
      </c>
      <c r="FN292" s="60">
        <v>7</v>
      </c>
      <c r="FO292" s="60">
        <v>2107</v>
      </c>
      <c r="FP292" s="60">
        <v>28</v>
      </c>
      <c r="FQ292" s="60">
        <v>6</v>
      </c>
      <c r="FR292" s="60">
        <v>8</v>
      </c>
      <c r="FS292" s="60">
        <v>7</v>
      </c>
      <c r="FT292" s="60">
        <v>7</v>
      </c>
      <c r="FU292" s="60">
        <v>7</v>
      </c>
      <c r="FV292" s="60">
        <v>1</v>
      </c>
      <c r="FW292" s="60"/>
      <c r="FX292" s="60">
        <v>2601</v>
      </c>
      <c r="FY292" s="60">
        <v>6</v>
      </c>
      <c r="FZ292" s="60">
        <v>1543</v>
      </c>
      <c r="GA292" s="60">
        <v>1052</v>
      </c>
      <c r="GB292" s="60">
        <v>2011</v>
      </c>
    </row>
    <row r="293" spans="1:184" x14ac:dyDescent="0.3">
      <c r="A293" s="60">
        <v>106450936</v>
      </c>
      <c r="B293" s="61" t="s">
        <v>1093</v>
      </c>
      <c r="C293" s="61" t="s">
        <v>1094</v>
      </c>
      <c r="D293" s="61" t="s">
        <v>2077</v>
      </c>
      <c r="E293" s="61" t="s">
        <v>1095</v>
      </c>
      <c r="F293" s="60">
        <v>96028</v>
      </c>
      <c r="G293" s="61" t="s">
        <v>177</v>
      </c>
      <c r="H293" s="61" t="s">
        <v>1669</v>
      </c>
      <c r="I293" s="60">
        <v>2</v>
      </c>
      <c r="J293" s="60">
        <v>4</v>
      </c>
      <c r="K293" s="61" t="s">
        <v>2078</v>
      </c>
      <c r="L293" s="61"/>
      <c r="M293" s="61" t="s">
        <v>1704</v>
      </c>
      <c r="N293" s="61" t="s">
        <v>2079</v>
      </c>
      <c r="O293" s="61" t="s">
        <v>1673</v>
      </c>
      <c r="P293" s="61" t="s">
        <v>159</v>
      </c>
      <c r="Q293" s="61" t="s">
        <v>1674</v>
      </c>
      <c r="R293" s="60">
        <v>22</v>
      </c>
      <c r="S293" s="61" t="s">
        <v>1706</v>
      </c>
      <c r="T293" s="60">
        <v>2037</v>
      </c>
      <c r="U293" s="60">
        <v>1713</v>
      </c>
      <c r="V293" s="60"/>
      <c r="W293" s="60"/>
      <c r="X293" s="60">
        <v>388</v>
      </c>
      <c r="Y293" s="60">
        <v>420</v>
      </c>
      <c r="Z293" s="60">
        <v>468</v>
      </c>
      <c r="AA293" s="60">
        <v>381</v>
      </c>
      <c r="AB293" s="60">
        <v>438</v>
      </c>
      <c r="AC293" s="60">
        <v>460</v>
      </c>
      <c r="AD293" s="60">
        <v>404</v>
      </c>
      <c r="AE293" s="60">
        <v>416</v>
      </c>
      <c r="AF293" s="60">
        <v>300</v>
      </c>
      <c r="AG293" s="60">
        <v>75</v>
      </c>
      <c r="AH293" s="60"/>
      <c r="AI293" s="60">
        <v>10</v>
      </c>
      <c r="AJ293" s="60">
        <v>6</v>
      </c>
      <c r="AK293" s="60">
        <v>301</v>
      </c>
      <c r="AL293" s="60">
        <v>284</v>
      </c>
      <c r="AM293" s="60"/>
      <c r="AN293" s="60">
        <v>7</v>
      </c>
      <c r="AO293" s="60">
        <v>3142</v>
      </c>
      <c r="AP293" s="60">
        <v>190</v>
      </c>
      <c r="AQ293" s="60">
        <v>31</v>
      </c>
      <c r="AR293" s="60">
        <v>7</v>
      </c>
      <c r="AS293" s="60">
        <v>8</v>
      </c>
      <c r="AT293" s="60"/>
      <c r="AU293" s="60"/>
      <c r="AV293" s="60"/>
      <c r="AW293" s="60">
        <v>1</v>
      </c>
      <c r="AX293" s="60"/>
      <c r="AY293" s="60"/>
      <c r="AZ293" s="60"/>
      <c r="BA293" s="60">
        <v>3511</v>
      </c>
      <c r="BB293" s="60">
        <v>2</v>
      </c>
      <c r="BC293" s="60"/>
      <c r="BD293" s="60"/>
      <c r="BE293" s="60">
        <v>1199</v>
      </c>
      <c r="BF293" s="60">
        <v>1096</v>
      </c>
      <c r="BG293" s="60">
        <v>106</v>
      </c>
      <c r="BH293" s="60">
        <v>947</v>
      </c>
      <c r="BI293" s="60">
        <v>402</v>
      </c>
      <c r="BJ293" s="60">
        <v>151</v>
      </c>
      <c r="BK293" s="60">
        <v>19</v>
      </c>
      <c r="BL293" s="60">
        <v>169</v>
      </c>
      <c r="BM293" s="60">
        <v>2</v>
      </c>
      <c r="BN293" s="60">
        <v>271</v>
      </c>
      <c r="BO293" s="60">
        <v>102</v>
      </c>
      <c r="BP293" s="60">
        <v>130</v>
      </c>
      <c r="BQ293" s="60">
        <v>90</v>
      </c>
      <c r="BR293" s="60">
        <v>1010</v>
      </c>
      <c r="BS293" s="60">
        <v>244</v>
      </c>
      <c r="BT293" s="60">
        <v>13</v>
      </c>
      <c r="BU293" s="60">
        <v>236</v>
      </c>
      <c r="BV293" s="60">
        <v>63</v>
      </c>
      <c r="BW293" s="60">
        <v>5</v>
      </c>
      <c r="BX293" s="60">
        <v>111</v>
      </c>
      <c r="BY293" s="60">
        <v>379</v>
      </c>
      <c r="BZ293" s="60">
        <v>162</v>
      </c>
      <c r="CA293" s="60">
        <v>593</v>
      </c>
      <c r="CB293" s="60"/>
      <c r="CC293" s="60"/>
      <c r="CD293" s="60">
        <v>300</v>
      </c>
      <c r="CE293" s="60">
        <v>8</v>
      </c>
      <c r="CF293" s="60">
        <v>35</v>
      </c>
      <c r="CG293" s="60">
        <v>4</v>
      </c>
      <c r="CH293" s="60">
        <v>37</v>
      </c>
      <c r="CI293" s="60">
        <v>3</v>
      </c>
      <c r="CJ293" s="60">
        <v>21</v>
      </c>
      <c r="CK293" s="60">
        <v>101</v>
      </c>
      <c r="CL293" s="60">
        <v>2549</v>
      </c>
      <c r="CM293" s="60">
        <v>542</v>
      </c>
      <c r="CN293" s="60">
        <v>26</v>
      </c>
      <c r="CO293" s="60">
        <v>89</v>
      </c>
      <c r="CP293" s="60">
        <v>14</v>
      </c>
      <c r="CQ293" s="60">
        <v>20</v>
      </c>
      <c r="CR293" s="60">
        <v>1</v>
      </c>
      <c r="CS293" s="60"/>
      <c r="CT293" s="60">
        <v>3750</v>
      </c>
      <c r="CU293" s="60">
        <v>1</v>
      </c>
      <c r="CV293" s="60">
        <v>3593</v>
      </c>
      <c r="CW293" s="60">
        <v>156</v>
      </c>
      <c r="CX293" s="60">
        <v>185</v>
      </c>
      <c r="CY293" s="60">
        <v>128</v>
      </c>
      <c r="CZ293" s="60"/>
      <c r="DA293" s="60"/>
      <c r="DB293" s="60">
        <v>6</v>
      </c>
      <c r="DC293" s="60">
        <v>41</v>
      </c>
      <c r="DD293" s="60">
        <v>12</v>
      </c>
      <c r="DE293" s="60">
        <v>20</v>
      </c>
      <c r="DF293" s="60">
        <v>20</v>
      </c>
      <c r="DG293" s="60">
        <v>59</v>
      </c>
      <c r="DH293" s="60">
        <v>68</v>
      </c>
      <c r="DI293" s="60">
        <v>77</v>
      </c>
      <c r="DJ293" s="60">
        <v>5</v>
      </c>
      <c r="DK293" s="60">
        <v>5</v>
      </c>
      <c r="DL293" s="60"/>
      <c r="DM293" s="60"/>
      <c r="DN293" s="60"/>
      <c r="DO293" s="60">
        <v>16</v>
      </c>
      <c r="DP293" s="60"/>
      <c r="DQ293" s="60">
        <v>1</v>
      </c>
      <c r="DR293" s="60">
        <v>279</v>
      </c>
      <c r="DS293" s="60">
        <v>17</v>
      </c>
      <c r="DT293" s="60">
        <v>25</v>
      </c>
      <c r="DU293" s="60">
        <v>4</v>
      </c>
      <c r="DV293" s="60">
        <v>8</v>
      </c>
      <c r="DW293" s="60"/>
      <c r="DX293" s="60">
        <v>1</v>
      </c>
      <c r="DY293" s="60"/>
      <c r="DZ293" s="60"/>
      <c r="EA293" s="60">
        <v>225</v>
      </c>
      <c r="EB293" s="60">
        <v>50</v>
      </c>
      <c r="EC293" s="60"/>
      <c r="ED293" s="60">
        <v>0</v>
      </c>
      <c r="EE293" s="60">
        <v>0</v>
      </c>
      <c r="EF293" s="60">
        <v>0</v>
      </c>
      <c r="EG293" s="60">
        <v>0</v>
      </c>
      <c r="EH293" s="60">
        <v>0</v>
      </c>
      <c r="EI293" s="60">
        <v>69</v>
      </c>
      <c r="EJ293" s="60">
        <v>182</v>
      </c>
      <c r="EK293" s="60"/>
      <c r="EL293" s="60">
        <v>51</v>
      </c>
      <c r="EM293" s="60">
        <v>11</v>
      </c>
      <c r="EN293" s="60">
        <v>47</v>
      </c>
      <c r="EO293" s="60">
        <v>2</v>
      </c>
      <c r="EP293" s="60">
        <v>43</v>
      </c>
      <c r="EQ293" s="60"/>
      <c r="ER293" s="60">
        <v>31</v>
      </c>
      <c r="ES293" s="60">
        <v>18</v>
      </c>
      <c r="ET293" s="60">
        <v>21</v>
      </c>
      <c r="EU293" s="60">
        <v>8</v>
      </c>
      <c r="EV293" s="60">
        <v>19</v>
      </c>
      <c r="EW293" s="60">
        <v>6</v>
      </c>
      <c r="EX293" s="60">
        <v>1</v>
      </c>
      <c r="EY293" s="60">
        <v>5</v>
      </c>
      <c r="EZ293" s="60"/>
      <c r="FA293" s="60">
        <v>11</v>
      </c>
      <c r="FB293" s="60">
        <v>73</v>
      </c>
      <c r="FC293" s="60">
        <v>12</v>
      </c>
      <c r="FD293" s="60">
        <v>15</v>
      </c>
      <c r="FE293" s="60"/>
      <c r="FF293" s="60">
        <v>1</v>
      </c>
      <c r="FG293" s="60"/>
      <c r="FH293" s="60">
        <v>14</v>
      </c>
      <c r="FI293" s="60">
        <v>2</v>
      </c>
      <c r="FJ293" s="60">
        <v>12</v>
      </c>
      <c r="FK293" s="60">
        <v>2</v>
      </c>
      <c r="FL293" s="60"/>
      <c r="FM293" s="60">
        <v>3</v>
      </c>
      <c r="FN293" s="60">
        <v>1</v>
      </c>
      <c r="FO293" s="60">
        <v>267</v>
      </c>
      <c r="FP293" s="60">
        <v>6</v>
      </c>
      <c r="FQ293" s="60">
        <v>1</v>
      </c>
      <c r="FR293" s="60">
        <v>2</v>
      </c>
      <c r="FS293" s="60">
        <v>3</v>
      </c>
      <c r="FT293" s="60"/>
      <c r="FU293" s="60"/>
      <c r="FV293" s="60"/>
      <c r="FW293" s="60"/>
      <c r="FX293" s="60">
        <v>313</v>
      </c>
      <c r="FY293" s="60"/>
      <c r="FZ293" s="60">
        <v>306</v>
      </c>
      <c r="GA293" s="60">
        <v>7</v>
      </c>
      <c r="GB293" s="60">
        <v>2011</v>
      </c>
    </row>
    <row r="294" spans="1:184" x14ac:dyDescent="0.3">
      <c r="A294" s="60">
        <v>106450940</v>
      </c>
      <c r="B294" s="61" t="s">
        <v>1096</v>
      </c>
      <c r="C294" s="61" t="s">
        <v>1097</v>
      </c>
      <c r="D294" s="61" t="s">
        <v>1098</v>
      </c>
      <c r="E294" s="61" t="s">
        <v>1099</v>
      </c>
      <c r="F294" s="60">
        <v>96001</v>
      </c>
      <c r="G294" s="61" t="s">
        <v>186</v>
      </c>
      <c r="H294" s="61" t="s">
        <v>1669</v>
      </c>
      <c r="I294" s="60">
        <v>2</v>
      </c>
      <c r="J294" s="60">
        <v>4</v>
      </c>
      <c r="K294" s="61" t="s">
        <v>2080</v>
      </c>
      <c r="L294" s="61"/>
      <c r="M294" s="61" t="s">
        <v>1704</v>
      </c>
      <c r="N294" s="61" t="s">
        <v>2079</v>
      </c>
      <c r="O294" s="61" t="s">
        <v>1673</v>
      </c>
      <c r="P294" s="61" t="s">
        <v>321</v>
      </c>
      <c r="Q294" s="61" t="s">
        <v>1674</v>
      </c>
      <c r="R294" s="60">
        <v>246</v>
      </c>
      <c r="S294" s="61" t="s">
        <v>1675</v>
      </c>
      <c r="T294" s="60">
        <v>15047</v>
      </c>
      <c r="U294" s="60">
        <v>13301</v>
      </c>
      <c r="V294" s="60"/>
      <c r="W294" s="60"/>
      <c r="X294" s="60">
        <v>2770</v>
      </c>
      <c r="Y294" s="60">
        <v>3609</v>
      </c>
      <c r="Z294" s="60">
        <v>6648</v>
      </c>
      <c r="AA294" s="60">
        <v>4615</v>
      </c>
      <c r="AB294" s="60">
        <v>4390</v>
      </c>
      <c r="AC294" s="60">
        <v>3258</v>
      </c>
      <c r="AD294" s="60">
        <v>1429</v>
      </c>
      <c r="AE294" s="60">
        <v>654</v>
      </c>
      <c r="AF294" s="60">
        <v>528</v>
      </c>
      <c r="AG294" s="60">
        <v>447</v>
      </c>
      <c r="AH294" s="60"/>
      <c r="AI294" s="60">
        <v>201</v>
      </c>
      <c r="AJ294" s="60">
        <v>625</v>
      </c>
      <c r="AK294" s="60">
        <v>465</v>
      </c>
      <c r="AL294" s="60">
        <v>166</v>
      </c>
      <c r="AM294" s="60">
        <v>979</v>
      </c>
      <c r="AN294" s="60">
        <v>69</v>
      </c>
      <c r="AO294" s="60">
        <v>25843</v>
      </c>
      <c r="AP294" s="60">
        <v>222</v>
      </c>
      <c r="AQ294" s="60">
        <v>1967</v>
      </c>
      <c r="AR294" s="60">
        <v>90</v>
      </c>
      <c r="AS294" s="60">
        <v>18</v>
      </c>
      <c r="AT294" s="60">
        <v>1</v>
      </c>
      <c r="AU294" s="60"/>
      <c r="AV294" s="60"/>
      <c r="AW294" s="60"/>
      <c r="AX294" s="60"/>
      <c r="AY294" s="60">
        <v>599</v>
      </c>
      <c r="AZ294" s="60">
        <v>26</v>
      </c>
      <c r="BA294" s="60">
        <v>25393</v>
      </c>
      <c r="BB294" s="60">
        <v>32</v>
      </c>
      <c r="BC294" s="60"/>
      <c r="BD294" s="60"/>
      <c r="BE294" s="60">
        <v>15510</v>
      </c>
      <c r="BF294" s="60">
        <v>3268</v>
      </c>
      <c r="BG294" s="60">
        <v>703</v>
      </c>
      <c r="BH294" s="60">
        <v>4037</v>
      </c>
      <c r="BI294" s="60">
        <v>4830</v>
      </c>
      <c r="BJ294" s="60">
        <v>456</v>
      </c>
      <c r="BK294" s="60">
        <v>26</v>
      </c>
      <c r="BL294" s="60">
        <v>378</v>
      </c>
      <c r="BM294" s="60">
        <v>8</v>
      </c>
      <c r="BN294" s="60">
        <v>2369</v>
      </c>
      <c r="BO294" s="60">
        <v>377</v>
      </c>
      <c r="BP294" s="60">
        <v>1381</v>
      </c>
      <c r="BQ294" s="60">
        <v>539</v>
      </c>
      <c r="BR294" s="60">
        <v>6974</v>
      </c>
      <c r="BS294" s="60">
        <v>2036</v>
      </c>
      <c r="BT294" s="60">
        <v>26</v>
      </c>
      <c r="BU294" s="60">
        <v>2147</v>
      </c>
      <c r="BV294" s="60">
        <v>937</v>
      </c>
      <c r="BW294" s="60">
        <v>11</v>
      </c>
      <c r="BX294" s="60">
        <v>1623</v>
      </c>
      <c r="BY294" s="60">
        <v>2847</v>
      </c>
      <c r="BZ294" s="60">
        <v>1962</v>
      </c>
      <c r="CA294" s="60">
        <v>4250</v>
      </c>
      <c r="CB294" s="60"/>
      <c r="CC294" s="60">
        <v>1</v>
      </c>
      <c r="CD294" s="60">
        <v>2076</v>
      </c>
      <c r="CE294" s="60">
        <v>78</v>
      </c>
      <c r="CF294" s="60">
        <v>183</v>
      </c>
      <c r="CG294" s="60">
        <v>17</v>
      </c>
      <c r="CH294" s="60">
        <v>525</v>
      </c>
      <c r="CI294" s="60">
        <v>8</v>
      </c>
      <c r="CJ294" s="60">
        <v>143</v>
      </c>
      <c r="CK294" s="60">
        <v>401</v>
      </c>
      <c r="CL294" s="60">
        <v>20362</v>
      </c>
      <c r="CM294" s="60">
        <v>3266</v>
      </c>
      <c r="CN294" s="60">
        <v>256</v>
      </c>
      <c r="CO294" s="60">
        <v>697</v>
      </c>
      <c r="CP294" s="60">
        <v>133</v>
      </c>
      <c r="CQ294" s="60">
        <v>150</v>
      </c>
      <c r="CR294" s="60">
        <v>53</v>
      </c>
      <c r="CS294" s="60"/>
      <c r="CT294" s="60">
        <v>28348</v>
      </c>
      <c r="CU294" s="60">
        <v>84</v>
      </c>
      <c r="CV294" s="60">
        <v>28168</v>
      </c>
      <c r="CW294" s="60">
        <v>96</v>
      </c>
      <c r="CX294" s="60">
        <v>3537</v>
      </c>
      <c r="CY294" s="60">
        <v>3307</v>
      </c>
      <c r="CZ294" s="60"/>
      <c r="DA294" s="60"/>
      <c r="DB294" s="60">
        <v>91</v>
      </c>
      <c r="DC294" s="60">
        <v>369</v>
      </c>
      <c r="DD294" s="60">
        <v>448</v>
      </c>
      <c r="DE294" s="60">
        <v>868</v>
      </c>
      <c r="DF294" s="60">
        <v>1197</v>
      </c>
      <c r="DG294" s="60">
        <v>1305</v>
      </c>
      <c r="DH294" s="60">
        <v>1204</v>
      </c>
      <c r="DI294" s="60">
        <v>1355</v>
      </c>
      <c r="DJ294" s="60"/>
      <c r="DK294" s="60">
        <v>7</v>
      </c>
      <c r="DL294" s="60"/>
      <c r="DM294" s="60">
        <v>62</v>
      </c>
      <c r="DN294" s="60">
        <v>55</v>
      </c>
      <c r="DO294" s="60">
        <v>117</v>
      </c>
      <c r="DP294" s="60">
        <v>132</v>
      </c>
      <c r="DQ294" s="60">
        <v>9</v>
      </c>
      <c r="DR294" s="60">
        <v>6422</v>
      </c>
      <c r="DS294" s="60">
        <v>47</v>
      </c>
      <c r="DT294" s="60">
        <v>220</v>
      </c>
      <c r="DU294" s="60">
        <v>208</v>
      </c>
      <c r="DV294" s="60">
        <v>162</v>
      </c>
      <c r="DW294" s="60">
        <v>376</v>
      </c>
      <c r="DX294" s="60">
        <v>42</v>
      </c>
      <c r="DY294" s="60"/>
      <c r="DZ294" s="60"/>
      <c r="EA294" s="60">
        <v>5068</v>
      </c>
      <c r="EB294" s="60">
        <v>755</v>
      </c>
      <c r="EC294" s="60">
        <v>13</v>
      </c>
      <c r="ED294" s="60">
        <v>0</v>
      </c>
      <c r="EE294" s="60">
        <v>0</v>
      </c>
      <c r="EF294" s="60">
        <v>0</v>
      </c>
      <c r="EG294" s="60">
        <v>0</v>
      </c>
      <c r="EH294" s="60">
        <v>0</v>
      </c>
      <c r="EI294" s="60">
        <v>1662</v>
      </c>
      <c r="EJ294" s="60">
        <v>4256</v>
      </c>
      <c r="EK294" s="60">
        <v>54</v>
      </c>
      <c r="EL294" s="60">
        <v>568</v>
      </c>
      <c r="EM294" s="60">
        <v>304</v>
      </c>
      <c r="EN294" s="60">
        <v>9</v>
      </c>
      <c r="EO294" s="60">
        <v>73</v>
      </c>
      <c r="EP294" s="60">
        <v>1426</v>
      </c>
      <c r="EQ294" s="60">
        <v>3</v>
      </c>
      <c r="ER294" s="60">
        <v>1229</v>
      </c>
      <c r="ES294" s="60">
        <v>318</v>
      </c>
      <c r="ET294" s="60">
        <v>473</v>
      </c>
      <c r="EU294" s="60">
        <v>541</v>
      </c>
      <c r="EV294" s="60">
        <v>572</v>
      </c>
      <c r="EW294" s="60">
        <v>159</v>
      </c>
      <c r="EX294" s="60">
        <v>117</v>
      </c>
      <c r="EY294" s="60">
        <v>321</v>
      </c>
      <c r="EZ294" s="60">
        <v>1</v>
      </c>
      <c r="FA294" s="60">
        <v>90</v>
      </c>
      <c r="FB294" s="60">
        <v>882</v>
      </c>
      <c r="FC294" s="60">
        <v>213</v>
      </c>
      <c r="FD294" s="60">
        <v>417</v>
      </c>
      <c r="FE294" s="60"/>
      <c r="FF294" s="60"/>
      <c r="FG294" s="60"/>
      <c r="FH294" s="60">
        <v>321</v>
      </c>
      <c r="FI294" s="60">
        <v>59</v>
      </c>
      <c r="FJ294" s="60">
        <v>246</v>
      </c>
      <c r="FK294" s="60">
        <v>7</v>
      </c>
      <c r="FL294" s="60">
        <v>25</v>
      </c>
      <c r="FM294" s="60">
        <v>198</v>
      </c>
      <c r="FN294" s="60">
        <v>32</v>
      </c>
      <c r="FO294" s="60">
        <v>5714</v>
      </c>
      <c r="FP294" s="60">
        <v>82</v>
      </c>
      <c r="FQ294" s="60">
        <v>10</v>
      </c>
      <c r="FR294" s="60">
        <v>36</v>
      </c>
      <c r="FS294" s="60">
        <v>61</v>
      </c>
      <c r="FT294" s="60">
        <v>7</v>
      </c>
      <c r="FU294" s="60">
        <v>45</v>
      </c>
      <c r="FV294" s="60">
        <v>1</v>
      </c>
      <c r="FW294" s="60"/>
      <c r="FX294" s="60">
        <v>6844</v>
      </c>
      <c r="FY294" s="60">
        <v>28</v>
      </c>
      <c r="FZ294" s="60">
        <v>6775</v>
      </c>
      <c r="GA294" s="60">
        <v>41</v>
      </c>
      <c r="GB294" s="60">
        <v>2011</v>
      </c>
    </row>
    <row r="295" spans="1:184" x14ac:dyDescent="0.3">
      <c r="A295" s="60">
        <v>106450949</v>
      </c>
      <c r="B295" s="61" t="s">
        <v>1100</v>
      </c>
      <c r="C295" s="61" t="s">
        <v>1101</v>
      </c>
      <c r="D295" s="61" t="s">
        <v>1102</v>
      </c>
      <c r="E295" s="61" t="s">
        <v>1099</v>
      </c>
      <c r="F295" s="60">
        <v>96001</v>
      </c>
      <c r="G295" s="61" t="s">
        <v>143</v>
      </c>
      <c r="H295" s="61" t="s">
        <v>1669</v>
      </c>
      <c r="I295" s="60">
        <v>2</v>
      </c>
      <c r="J295" s="60">
        <v>4</v>
      </c>
      <c r="K295" s="61" t="s">
        <v>2080</v>
      </c>
      <c r="L295" s="61"/>
      <c r="M295" s="61" t="s">
        <v>1704</v>
      </c>
      <c r="N295" s="61" t="s">
        <v>2079</v>
      </c>
      <c r="O295" s="61" t="s">
        <v>1673</v>
      </c>
      <c r="P295" s="61" t="s">
        <v>1678</v>
      </c>
      <c r="Q295" s="61" t="s">
        <v>1674</v>
      </c>
      <c r="R295" s="60">
        <v>266</v>
      </c>
      <c r="S295" s="61" t="s">
        <v>1675</v>
      </c>
      <c r="T295" s="60">
        <v>21600</v>
      </c>
      <c r="U295" s="60">
        <v>17502</v>
      </c>
      <c r="V295" s="60">
        <v>5</v>
      </c>
      <c r="W295" s="60">
        <v>1</v>
      </c>
      <c r="X295" s="60">
        <v>4973</v>
      </c>
      <c r="Y295" s="60">
        <v>4248</v>
      </c>
      <c r="Z295" s="60">
        <v>6808</v>
      </c>
      <c r="AA295" s="60">
        <v>4804</v>
      </c>
      <c r="AB295" s="60">
        <v>4560</v>
      </c>
      <c r="AC295" s="60">
        <v>4484</v>
      </c>
      <c r="AD295" s="60">
        <v>2957</v>
      </c>
      <c r="AE295" s="60">
        <v>2415</v>
      </c>
      <c r="AF295" s="60">
        <v>2501</v>
      </c>
      <c r="AG295" s="60">
        <v>1358</v>
      </c>
      <c r="AH295" s="60"/>
      <c r="AI295" s="60">
        <v>472</v>
      </c>
      <c r="AJ295" s="60">
        <v>690</v>
      </c>
      <c r="AK295" s="60">
        <v>1652</v>
      </c>
      <c r="AL295" s="60">
        <v>656</v>
      </c>
      <c r="AM295" s="60">
        <v>426</v>
      </c>
      <c r="AN295" s="60"/>
      <c r="AO295" s="60">
        <v>35212</v>
      </c>
      <c r="AP295" s="60">
        <v>202</v>
      </c>
      <c r="AQ295" s="60">
        <v>923</v>
      </c>
      <c r="AR295" s="60">
        <v>2</v>
      </c>
      <c r="AS295" s="60">
        <v>83</v>
      </c>
      <c r="AT295" s="60">
        <v>125</v>
      </c>
      <c r="AU295" s="60">
        <v>23</v>
      </c>
      <c r="AV295" s="60">
        <v>18</v>
      </c>
      <c r="AW295" s="60">
        <v>13</v>
      </c>
      <c r="AX295" s="60">
        <v>64</v>
      </c>
      <c r="AY295" s="60">
        <v>156</v>
      </c>
      <c r="AZ295" s="60">
        <v>269</v>
      </c>
      <c r="BA295" s="60">
        <v>36934</v>
      </c>
      <c r="BB295" s="60">
        <v>294</v>
      </c>
      <c r="BC295" s="60">
        <v>1</v>
      </c>
      <c r="BD295" s="60">
        <v>1</v>
      </c>
      <c r="BE295" s="60">
        <v>15612</v>
      </c>
      <c r="BF295" s="60">
        <v>8191</v>
      </c>
      <c r="BG295" s="60">
        <v>834</v>
      </c>
      <c r="BH295" s="60">
        <v>8672</v>
      </c>
      <c r="BI295" s="60">
        <v>5799</v>
      </c>
      <c r="BJ295" s="60">
        <v>1165</v>
      </c>
      <c r="BK295" s="60">
        <v>92</v>
      </c>
      <c r="BL295" s="60">
        <v>1089</v>
      </c>
      <c r="BM295" s="60">
        <v>13</v>
      </c>
      <c r="BN295" s="60">
        <v>2636</v>
      </c>
      <c r="BO295" s="60">
        <v>636</v>
      </c>
      <c r="BP295" s="60">
        <v>1936</v>
      </c>
      <c r="BQ295" s="60">
        <v>861</v>
      </c>
      <c r="BR295" s="60">
        <v>8816</v>
      </c>
      <c r="BS295" s="60">
        <v>1831</v>
      </c>
      <c r="BT295" s="60">
        <v>64</v>
      </c>
      <c r="BU295" s="60">
        <v>3484</v>
      </c>
      <c r="BV295" s="60">
        <v>1270</v>
      </c>
      <c r="BW295" s="60">
        <v>84</v>
      </c>
      <c r="BX295" s="60">
        <v>1242</v>
      </c>
      <c r="BY295" s="60">
        <v>4061</v>
      </c>
      <c r="BZ295" s="60">
        <v>1995</v>
      </c>
      <c r="CA295" s="60">
        <v>7833</v>
      </c>
      <c r="CB295" s="60"/>
      <c r="CC295" s="60"/>
      <c r="CD295" s="60">
        <v>2929</v>
      </c>
      <c r="CE295" s="60">
        <v>252</v>
      </c>
      <c r="CF295" s="60">
        <v>404</v>
      </c>
      <c r="CG295" s="60">
        <v>35</v>
      </c>
      <c r="CH295" s="60">
        <v>405</v>
      </c>
      <c r="CI295" s="60">
        <v>58</v>
      </c>
      <c r="CJ295" s="60">
        <v>244</v>
      </c>
      <c r="CK295" s="60">
        <v>398</v>
      </c>
      <c r="CL295" s="60">
        <v>29302</v>
      </c>
      <c r="CM295" s="60">
        <v>3258</v>
      </c>
      <c r="CN295" s="60">
        <v>323</v>
      </c>
      <c r="CO295" s="60">
        <v>1082</v>
      </c>
      <c r="CP295" s="60">
        <v>213</v>
      </c>
      <c r="CQ295" s="60">
        <v>180</v>
      </c>
      <c r="CR295" s="60">
        <v>25</v>
      </c>
      <c r="CS295" s="60"/>
      <c r="CT295" s="60">
        <v>39108</v>
      </c>
      <c r="CU295" s="60">
        <v>152</v>
      </c>
      <c r="CV295" s="60">
        <v>38725</v>
      </c>
      <c r="CW295" s="60">
        <v>231</v>
      </c>
      <c r="CX295" s="60">
        <v>3566</v>
      </c>
      <c r="CY295" s="60">
        <v>3526</v>
      </c>
      <c r="CZ295" s="60"/>
      <c r="DA295" s="60"/>
      <c r="DB295" s="60">
        <v>208</v>
      </c>
      <c r="DC295" s="60">
        <v>429</v>
      </c>
      <c r="DD295" s="60">
        <v>396</v>
      </c>
      <c r="DE295" s="60">
        <v>585</v>
      </c>
      <c r="DF295" s="60">
        <v>986</v>
      </c>
      <c r="DG295" s="60">
        <v>1250</v>
      </c>
      <c r="DH295" s="60">
        <v>1247</v>
      </c>
      <c r="DI295" s="60">
        <v>1473</v>
      </c>
      <c r="DJ295" s="60">
        <v>196</v>
      </c>
      <c r="DK295" s="60">
        <v>322</v>
      </c>
      <c r="DL295" s="60"/>
      <c r="DM295" s="60">
        <v>59</v>
      </c>
      <c r="DN295" s="60">
        <v>81</v>
      </c>
      <c r="DO295" s="60">
        <v>175</v>
      </c>
      <c r="DP295" s="60">
        <v>64</v>
      </c>
      <c r="DQ295" s="60">
        <v>57</v>
      </c>
      <c r="DR295" s="60">
        <v>6554</v>
      </c>
      <c r="DS295" s="60">
        <v>102</v>
      </c>
      <c r="DT295" s="60">
        <v>85</v>
      </c>
      <c r="DU295" s="60">
        <v>63</v>
      </c>
      <c r="DV295" s="60">
        <v>302</v>
      </c>
      <c r="DW295" s="60">
        <v>1066</v>
      </c>
      <c r="DX295" s="60">
        <v>3</v>
      </c>
      <c r="DY295" s="60">
        <v>8</v>
      </c>
      <c r="DZ295" s="60">
        <v>79</v>
      </c>
      <c r="EA295" s="60">
        <v>4191</v>
      </c>
      <c r="EB295" s="60">
        <v>1289</v>
      </c>
      <c r="EC295" s="60">
        <v>6</v>
      </c>
      <c r="ED295" s="60">
        <v>0</v>
      </c>
      <c r="EE295" s="60">
        <v>0</v>
      </c>
      <c r="EF295" s="60">
        <v>0</v>
      </c>
      <c r="EG295" s="60">
        <v>0</v>
      </c>
      <c r="EH295" s="60">
        <v>0</v>
      </c>
      <c r="EI295" s="60">
        <v>1167</v>
      </c>
      <c r="EJ295" s="60">
        <v>3920</v>
      </c>
      <c r="EK295" s="60">
        <v>130</v>
      </c>
      <c r="EL295" s="60">
        <v>1110</v>
      </c>
      <c r="EM295" s="60">
        <v>765</v>
      </c>
      <c r="EN295" s="60">
        <v>85</v>
      </c>
      <c r="EO295" s="60">
        <v>82</v>
      </c>
      <c r="EP295" s="60">
        <v>1390</v>
      </c>
      <c r="EQ295" s="60">
        <v>5</v>
      </c>
      <c r="ER295" s="60">
        <v>1002</v>
      </c>
      <c r="ES295" s="60">
        <v>326</v>
      </c>
      <c r="ET295" s="60">
        <v>408</v>
      </c>
      <c r="EU295" s="60">
        <v>481</v>
      </c>
      <c r="EV295" s="60">
        <v>1310</v>
      </c>
      <c r="EW295" s="60">
        <v>114</v>
      </c>
      <c r="EX295" s="60">
        <v>155</v>
      </c>
      <c r="EY295" s="60">
        <v>143</v>
      </c>
      <c r="EZ295" s="60">
        <v>2</v>
      </c>
      <c r="FA295" s="60">
        <v>48</v>
      </c>
      <c r="FB295" s="60">
        <v>1176</v>
      </c>
      <c r="FC295" s="60">
        <v>171</v>
      </c>
      <c r="FD295" s="60">
        <v>169</v>
      </c>
      <c r="FE295" s="60"/>
      <c r="FF295" s="60">
        <v>25</v>
      </c>
      <c r="FG295" s="60"/>
      <c r="FH295" s="60">
        <v>554</v>
      </c>
      <c r="FI295" s="60">
        <v>100</v>
      </c>
      <c r="FJ295" s="60">
        <v>455</v>
      </c>
      <c r="FK295" s="60">
        <v>39</v>
      </c>
      <c r="FL295" s="60">
        <v>35</v>
      </c>
      <c r="FM295" s="60">
        <v>323</v>
      </c>
      <c r="FN295" s="60">
        <v>34</v>
      </c>
      <c r="FO295" s="60">
        <v>4965</v>
      </c>
      <c r="FP295" s="60">
        <v>137</v>
      </c>
      <c r="FQ295" s="60">
        <v>51</v>
      </c>
      <c r="FR295" s="60">
        <v>273</v>
      </c>
      <c r="FS295" s="60">
        <v>61</v>
      </c>
      <c r="FT295" s="60">
        <v>47</v>
      </c>
      <c r="FU295" s="60">
        <v>18</v>
      </c>
      <c r="FV295" s="60"/>
      <c r="FW295" s="60"/>
      <c r="FX295" s="60">
        <v>7092</v>
      </c>
      <c r="FY295" s="60">
        <v>28</v>
      </c>
      <c r="FZ295" s="60">
        <v>7022</v>
      </c>
      <c r="GA295" s="60">
        <v>42</v>
      </c>
      <c r="GB295" s="60">
        <v>2011</v>
      </c>
    </row>
    <row r="296" spans="1:184" x14ac:dyDescent="0.3">
      <c r="A296" s="60">
        <v>106470871</v>
      </c>
      <c r="B296" s="61" t="s">
        <v>1103</v>
      </c>
      <c r="C296" s="61" t="s">
        <v>1104</v>
      </c>
      <c r="D296" s="61" t="s">
        <v>1105</v>
      </c>
      <c r="E296" s="61" t="s">
        <v>1106</v>
      </c>
      <c r="F296" s="60">
        <v>96067</v>
      </c>
      <c r="G296" s="61" t="s">
        <v>186</v>
      </c>
      <c r="H296" s="61" t="s">
        <v>1669</v>
      </c>
      <c r="I296" s="60">
        <v>2</v>
      </c>
      <c r="J296" s="60">
        <v>4</v>
      </c>
      <c r="K296" s="61" t="s">
        <v>2081</v>
      </c>
      <c r="L296" s="61"/>
      <c r="M296" s="61" t="s">
        <v>1704</v>
      </c>
      <c r="N296" s="61" t="s">
        <v>2082</v>
      </c>
      <c r="O296" s="61" t="s">
        <v>1673</v>
      </c>
      <c r="P296" s="61" t="s">
        <v>1678</v>
      </c>
      <c r="Q296" s="61" t="s">
        <v>1674</v>
      </c>
      <c r="R296" s="60">
        <v>33</v>
      </c>
      <c r="S296" s="61" t="s">
        <v>1675</v>
      </c>
      <c r="T296" s="60">
        <v>3747</v>
      </c>
      <c r="U296" s="60">
        <v>3392</v>
      </c>
      <c r="V296" s="60"/>
      <c r="W296" s="60"/>
      <c r="X296" s="60">
        <v>654</v>
      </c>
      <c r="Y296" s="60">
        <v>783</v>
      </c>
      <c r="Z296" s="60">
        <v>1015</v>
      </c>
      <c r="AA296" s="60">
        <v>773</v>
      </c>
      <c r="AB296" s="60">
        <v>894</v>
      </c>
      <c r="AC296" s="60">
        <v>1053</v>
      </c>
      <c r="AD296" s="60">
        <v>712</v>
      </c>
      <c r="AE296" s="60">
        <v>514</v>
      </c>
      <c r="AF296" s="60">
        <v>603</v>
      </c>
      <c r="AG296" s="60">
        <v>138</v>
      </c>
      <c r="AH296" s="60"/>
      <c r="AI296" s="60">
        <v>29</v>
      </c>
      <c r="AJ296" s="60">
        <v>231</v>
      </c>
      <c r="AK296" s="60">
        <v>229</v>
      </c>
      <c r="AL296" s="60">
        <v>76</v>
      </c>
      <c r="AM296" s="60">
        <v>335</v>
      </c>
      <c r="AN296" s="60"/>
      <c r="AO296" s="60">
        <v>6239</v>
      </c>
      <c r="AP296" s="60">
        <v>159</v>
      </c>
      <c r="AQ296" s="60">
        <v>80</v>
      </c>
      <c r="AR296" s="60">
        <v>1</v>
      </c>
      <c r="AS296" s="60">
        <v>15</v>
      </c>
      <c r="AT296" s="60">
        <v>9</v>
      </c>
      <c r="AU296" s="60">
        <v>11</v>
      </c>
      <c r="AV296" s="60"/>
      <c r="AW296" s="60"/>
      <c r="AX296" s="60">
        <v>84</v>
      </c>
      <c r="AY296" s="60">
        <v>39</v>
      </c>
      <c r="AZ296" s="60">
        <v>1</v>
      </c>
      <c r="BA296" s="60">
        <v>6696</v>
      </c>
      <c r="BB296" s="60">
        <v>40</v>
      </c>
      <c r="BC296" s="60">
        <v>4</v>
      </c>
      <c r="BD296" s="60"/>
      <c r="BE296" s="60">
        <v>2064</v>
      </c>
      <c r="BF296" s="60">
        <v>1894</v>
      </c>
      <c r="BG296" s="60">
        <v>268</v>
      </c>
      <c r="BH296" s="60">
        <v>1791</v>
      </c>
      <c r="BI296" s="60">
        <v>1122</v>
      </c>
      <c r="BJ296" s="60">
        <v>106</v>
      </c>
      <c r="BK296" s="60">
        <v>16</v>
      </c>
      <c r="BL296" s="60">
        <v>230</v>
      </c>
      <c r="BM296" s="60">
        <v>1</v>
      </c>
      <c r="BN296" s="60">
        <v>399</v>
      </c>
      <c r="BO296" s="60">
        <v>105</v>
      </c>
      <c r="BP296" s="60">
        <v>285</v>
      </c>
      <c r="BQ296" s="60">
        <v>132</v>
      </c>
      <c r="BR296" s="60">
        <v>1906</v>
      </c>
      <c r="BS296" s="60">
        <v>450</v>
      </c>
      <c r="BT296" s="60">
        <v>18</v>
      </c>
      <c r="BU296" s="60">
        <v>409</v>
      </c>
      <c r="BV296" s="60">
        <v>236</v>
      </c>
      <c r="BW296" s="60">
        <v>5</v>
      </c>
      <c r="BX296" s="60">
        <v>271</v>
      </c>
      <c r="BY296" s="60">
        <v>586</v>
      </c>
      <c r="BZ296" s="60">
        <v>308</v>
      </c>
      <c r="CA296" s="60">
        <v>1675</v>
      </c>
      <c r="CB296" s="60"/>
      <c r="CC296" s="60">
        <v>1</v>
      </c>
      <c r="CD296" s="60">
        <v>685</v>
      </c>
      <c r="CE296" s="60">
        <v>38</v>
      </c>
      <c r="CF296" s="60">
        <v>91</v>
      </c>
      <c r="CG296" s="60">
        <v>8</v>
      </c>
      <c r="CH296" s="60">
        <v>67</v>
      </c>
      <c r="CI296" s="60">
        <v>10</v>
      </c>
      <c r="CJ296" s="60">
        <v>15</v>
      </c>
      <c r="CK296" s="60">
        <v>96</v>
      </c>
      <c r="CL296" s="60">
        <v>5070</v>
      </c>
      <c r="CM296" s="60">
        <v>782</v>
      </c>
      <c r="CN296" s="60">
        <v>55</v>
      </c>
      <c r="CO296" s="60">
        <v>184</v>
      </c>
      <c r="CP296" s="60">
        <v>13</v>
      </c>
      <c r="CQ296" s="60">
        <v>19</v>
      </c>
      <c r="CR296" s="60">
        <v>6</v>
      </c>
      <c r="CS296" s="60"/>
      <c r="CT296" s="60">
        <v>7139</v>
      </c>
      <c r="CU296" s="60">
        <v>9</v>
      </c>
      <c r="CV296" s="60">
        <v>7087</v>
      </c>
      <c r="CW296" s="60">
        <v>43</v>
      </c>
      <c r="CX296" s="60">
        <v>408</v>
      </c>
      <c r="CY296" s="60">
        <v>331</v>
      </c>
      <c r="CZ296" s="60"/>
      <c r="DA296" s="60"/>
      <c r="DB296" s="60">
        <v>24</v>
      </c>
      <c r="DC296" s="60">
        <v>40</v>
      </c>
      <c r="DD296" s="60">
        <v>43</v>
      </c>
      <c r="DE296" s="60">
        <v>69</v>
      </c>
      <c r="DF296" s="60">
        <v>136</v>
      </c>
      <c r="DG296" s="60">
        <v>123</v>
      </c>
      <c r="DH296" s="60">
        <v>112</v>
      </c>
      <c r="DI296" s="60">
        <v>165</v>
      </c>
      <c r="DJ296" s="60">
        <v>6</v>
      </c>
      <c r="DK296" s="60">
        <v>21</v>
      </c>
      <c r="DL296" s="60"/>
      <c r="DM296" s="60">
        <v>2</v>
      </c>
      <c r="DN296" s="60">
        <v>23</v>
      </c>
      <c r="DO296" s="60">
        <v>15</v>
      </c>
      <c r="DP296" s="60">
        <v>21</v>
      </c>
      <c r="DQ296" s="60">
        <v>7</v>
      </c>
      <c r="DR296" s="60">
        <v>666</v>
      </c>
      <c r="DS296" s="60">
        <v>5</v>
      </c>
      <c r="DT296" s="60">
        <v>42</v>
      </c>
      <c r="DU296" s="60"/>
      <c r="DV296" s="60">
        <v>23</v>
      </c>
      <c r="DW296" s="60">
        <v>34</v>
      </c>
      <c r="DX296" s="60"/>
      <c r="DY296" s="60">
        <v>2</v>
      </c>
      <c r="DZ296" s="60"/>
      <c r="EA296" s="60">
        <v>576</v>
      </c>
      <c r="EB296" s="60">
        <v>62</v>
      </c>
      <c r="EC296" s="60"/>
      <c r="ED296" s="60">
        <v>0</v>
      </c>
      <c r="EE296" s="60">
        <v>0</v>
      </c>
      <c r="EF296" s="60">
        <v>0</v>
      </c>
      <c r="EG296" s="60">
        <v>0</v>
      </c>
      <c r="EH296" s="60">
        <v>0</v>
      </c>
      <c r="EI296" s="60">
        <v>105</v>
      </c>
      <c r="EJ296" s="60">
        <v>387</v>
      </c>
      <c r="EK296" s="60">
        <v>13</v>
      </c>
      <c r="EL296" s="60">
        <v>144</v>
      </c>
      <c r="EM296" s="60">
        <v>90</v>
      </c>
      <c r="EN296" s="60">
        <v>8</v>
      </c>
      <c r="EO296" s="60">
        <v>13</v>
      </c>
      <c r="EP296" s="60">
        <v>107</v>
      </c>
      <c r="EQ296" s="60"/>
      <c r="ER296" s="60">
        <v>136</v>
      </c>
      <c r="ES296" s="60">
        <v>20</v>
      </c>
      <c r="ET296" s="60">
        <v>43</v>
      </c>
      <c r="EU296" s="60">
        <v>47</v>
      </c>
      <c r="EV296" s="60">
        <v>121</v>
      </c>
      <c r="EW296" s="60">
        <v>5</v>
      </c>
      <c r="EX296" s="60">
        <v>10</v>
      </c>
      <c r="EY296" s="60">
        <v>11</v>
      </c>
      <c r="EZ296" s="60"/>
      <c r="FA296" s="60">
        <v>11</v>
      </c>
      <c r="FB296" s="60">
        <v>154</v>
      </c>
      <c r="FC296" s="60">
        <v>17</v>
      </c>
      <c r="FD296" s="60">
        <v>36</v>
      </c>
      <c r="FE296" s="60"/>
      <c r="FF296" s="60"/>
      <c r="FG296" s="60"/>
      <c r="FH296" s="60">
        <v>58</v>
      </c>
      <c r="FI296" s="60">
        <v>26</v>
      </c>
      <c r="FJ296" s="60">
        <v>32</v>
      </c>
      <c r="FK296" s="60">
        <v>4</v>
      </c>
      <c r="FL296" s="60">
        <v>1</v>
      </c>
      <c r="FM296" s="60">
        <v>7</v>
      </c>
      <c r="FN296" s="60">
        <v>1</v>
      </c>
      <c r="FO296" s="60">
        <v>557</v>
      </c>
      <c r="FP296" s="60">
        <v>13</v>
      </c>
      <c r="FQ296" s="60">
        <v>1</v>
      </c>
      <c r="FR296" s="60">
        <v>19</v>
      </c>
      <c r="FS296" s="60">
        <v>15</v>
      </c>
      <c r="FT296" s="60">
        <v>1</v>
      </c>
      <c r="FU296" s="60">
        <v>4</v>
      </c>
      <c r="FV296" s="60"/>
      <c r="FW296" s="60"/>
      <c r="FX296" s="60">
        <v>739</v>
      </c>
      <c r="FY296" s="60">
        <v>1</v>
      </c>
      <c r="FZ296" s="60">
        <v>736</v>
      </c>
      <c r="GA296" s="60">
        <v>2</v>
      </c>
      <c r="GB296" s="60">
        <v>2011</v>
      </c>
    </row>
    <row r="297" spans="1:184" x14ac:dyDescent="0.3">
      <c r="A297" s="60">
        <v>106474007</v>
      </c>
      <c r="B297" s="61" t="s">
        <v>1107</v>
      </c>
      <c r="C297" s="61" t="s">
        <v>1108</v>
      </c>
      <c r="D297" s="61" t="s">
        <v>1109</v>
      </c>
      <c r="E297" s="61" t="s">
        <v>1110</v>
      </c>
      <c r="F297" s="60">
        <v>96097</v>
      </c>
      <c r="G297" s="61" t="s">
        <v>186</v>
      </c>
      <c r="H297" s="61" t="s">
        <v>1669</v>
      </c>
      <c r="I297" s="60">
        <v>2</v>
      </c>
      <c r="J297" s="60">
        <v>4</v>
      </c>
      <c r="K297" s="61" t="s">
        <v>2083</v>
      </c>
      <c r="L297" s="61"/>
      <c r="M297" s="61" t="s">
        <v>1704</v>
      </c>
      <c r="N297" s="61" t="s">
        <v>2082</v>
      </c>
      <c r="O297" s="61" t="s">
        <v>1673</v>
      </c>
      <c r="P297" s="61" t="s">
        <v>1678</v>
      </c>
      <c r="Q297" s="61" t="s">
        <v>1674</v>
      </c>
      <c r="R297" s="60">
        <v>28</v>
      </c>
      <c r="S297" s="61" t="s">
        <v>1675</v>
      </c>
      <c r="T297" s="60">
        <v>5957</v>
      </c>
      <c r="U297" s="60">
        <v>5091</v>
      </c>
      <c r="V297" s="60"/>
      <c r="W297" s="60"/>
      <c r="X297" s="60">
        <v>1140</v>
      </c>
      <c r="Y297" s="60">
        <v>1105</v>
      </c>
      <c r="Z297" s="60">
        <v>1711</v>
      </c>
      <c r="AA297" s="60">
        <v>1212</v>
      </c>
      <c r="AB297" s="60">
        <v>1328</v>
      </c>
      <c r="AC297" s="60">
        <v>1408</v>
      </c>
      <c r="AD297" s="60">
        <v>1147</v>
      </c>
      <c r="AE297" s="60">
        <v>839</v>
      </c>
      <c r="AF297" s="60">
        <v>932</v>
      </c>
      <c r="AG297" s="60">
        <v>226</v>
      </c>
      <c r="AH297" s="60"/>
      <c r="AI297" s="60">
        <v>80</v>
      </c>
      <c r="AJ297" s="60">
        <v>124</v>
      </c>
      <c r="AK297" s="60">
        <v>686</v>
      </c>
      <c r="AL297" s="60">
        <v>705</v>
      </c>
      <c r="AM297" s="60">
        <v>65</v>
      </c>
      <c r="AN297" s="60">
        <v>106</v>
      </c>
      <c r="AO297" s="60">
        <v>9282</v>
      </c>
      <c r="AP297" s="60">
        <v>679</v>
      </c>
      <c r="AQ297" s="60">
        <v>35</v>
      </c>
      <c r="AR297" s="60"/>
      <c r="AS297" s="60">
        <v>18</v>
      </c>
      <c r="AT297" s="60"/>
      <c r="AU297" s="60">
        <v>1</v>
      </c>
      <c r="AV297" s="60"/>
      <c r="AW297" s="60">
        <v>1</v>
      </c>
      <c r="AX297" s="60"/>
      <c r="AY297" s="60">
        <v>69</v>
      </c>
      <c r="AZ297" s="60"/>
      <c r="BA297" s="60">
        <v>10244</v>
      </c>
      <c r="BB297" s="60">
        <v>1</v>
      </c>
      <c r="BC297" s="60"/>
      <c r="BD297" s="60"/>
      <c r="BE297" s="60">
        <v>4251</v>
      </c>
      <c r="BF297" s="60">
        <v>3228</v>
      </c>
      <c r="BG297" s="60">
        <v>797</v>
      </c>
      <c r="BH297" s="60">
        <v>1462</v>
      </c>
      <c r="BI297" s="60">
        <v>1310</v>
      </c>
      <c r="BJ297" s="60">
        <v>107</v>
      </c>
      <c r="BK297" s="60">
        <v>20</v>
      </c>
      <c r="BL297" s="60">
        <v>384</v>
      </c>
      <c r="BM297" s="60">
        <v>2</v>
      </c>
      <c r="BN297" s="60">
        <v>989</v>
      </c>
      <c r="BO297" s="60">
        <v>194</v>
      </c>
      <c r="BP297" s="60">
        <v>532</v>
      </c>
      <c r="BQ297" s="60">
        <v>213</v>
      </c>
      <c r="BR297" s="60">
        <v>2977</v>
      </c>
      <c r="BS297" s="60">
        <v>601</v>
      </c>
      <c r="BT297" s="60">
        <v>21</v>
      </c>
      <c r="BU297" s="60">
        <v>618</v>
      </c>
      <c r="BV297" s="60">
        <v>304</v>
      </c>
      <c r="BW297" s="60">
        <v>1</v>
      </c>
      <c r="BX297" s="60">
        <v>541</v>
      </c>
      <c r="BY297" s="60">
        <v>1286</v>
      </c>
      <c r="BZ297" s="60">
        <v>476</v>
      </c>
      <c r="CA297" s="60">
        <v>1782</v>
      </c>
      <c r="CB297" s="60"/>
      <c r="CC297" s="60"/>
      <c r="CD297" s="60">
        <v>977</v>
      </c>
      <c r="CE297" s="60">
        <v>59</v>
      </c>
      <c r="CF297" s="60">
        <v>129</v>
      </c>
      <c r="CG297" s="60">
        <v>10</v>
      </c>
      <c r="CH297" s="60">
        <v>122</v>
      </c>
      <c r="CI297" s="60">
        <v>9</v>
      </c>
      <c r="CJ297" s="60">
        <v>82</v>
      </c>
      <c r="CK297" s="60">
        <v>174</v>
      </c>
      <c r="CL297" s="60">
        <v>7716</v>
      </c>
      <c r="CM297" s="60">
        <v>1377</v>
      </c>
      <c r="CN297" s="60">
        <v>66</v>
      </c>
      <c r="CO297" s="60">
        <v>209</v>
      </c>
      <c r="CP297" s="60">
        <v>40</v>
      </c>
      <c r="CQ297" s="60">
        <v>69</v>
      </c>
      <c r="CR297" s="60">
        <v>9</v>
      </c>
      <c r="CS297" s="60"/>
      <c r="CT297" s="60">
        <v>11048</v>
      </c>
      <c r="CU297" s="60">
        <v>38</v>
      </c>
      <c r="CV297" s="60">
        <v>10933</v>
      </c>
      <c r="CW297" s="60">
        <v>77</v>
      </c>
      <c r="CX297" s="60">
        <v>500</v>
      </c>
      <c r="CY297" s="60">
        <v>479</v>
      </c>
      <c r="CZ297" s="60"/>
      <c r="DA297" s="60"/>
      <c r="DB297" s="60">
        <v>30</v>
      </c>
      <c r="DC297" s="60">
        <v>37</v>
      </c>
      <c r="DD297" s="60">
        <v>47</v>
      </c>
      <c r="DE297" s="60">
        <v>80</v>
      </c>
      <c r="DF297" s="60">
        <v>157</v>
      </c>
      <c r="DG297" s="60">
        <v>191</v>
      </c>
      <c r="DH297" s="60">
        <v>166</v>
      </c>
      <c r="DI297" s="60">
        <v>242</v>
      </c>
      <c r="DJ297" s="60">
        <v>13</v>
      </c>
      <c r="DK297" s="60">
        <v>16</v>
      </c>
      <c r="DL297" s="60"/>
      <c r="DM297" s="60">
        <v>3</v>
      </c>
      <c r="DN297" s="60">
        <v>9</v>
      </c>
      <c r="DO297" s="60">
        <v>38</v>
      </c>
      <c r="DP297" s="60">
        <v>3</v>
      </c>
      <c r="DQ297" s="60">
        <v>2</v>
      </c>
      <c r="DR297" s="60">
        <v>854</v>
      </c>
      <c r="DS297" s="60">
        <v>70</v>
      </c>
      <c r="DT297" s="60">
        <v>52</v>
      </c>
      <c r="DU297" s="60">
        <v>10</v>
      </c>
      <c r="DV297" s="60">
        <v>14</v>
      </c>
      <c r="DW297" s="60">
        <v>72</v>
      </c>
      <c r="DX297" s="60">
        <v>19</v>
      </c>
      <c r="DY297" s="60">
        <v>7</v>
      </c>
      <c r="DZ297" s="60"/>
      <c r="EA297" s="60">
        <v>737</v>
      </c>
      <c r="EB297" s="60">
        <v>68</v>
      </c>
      <c r="EC297" s="60"/>
      <c r="ED297" s="60">
        <v>0</v>
      </c>
      <c r="EE297" s="60">
        <v>0</v>
      </c>
      <c r="EF297" s="60">
        <v>0</v>
      </c>
      <c r="EG297" s="60">
        <v>0</v>
      </c>
      <c r="EH297" s="60">
        <v>0</v>
      </c>
      <c r="EI297" s="60">
        <v>202</v>
      </c>
      <c r="EJ297" s="60">
        <v>578</v>
      </c>
      <c r="EK297" s="60">
        <v>39</v>
      </c>
      <c r="EL297" s="60">
        <v>89</v>
      </c>
      <c r="EM297" s="60">
        <v>71</v>
      </c>
      <c r="EN297" s="60">
        <v>6</v>
      </c>
      <c r="EO297" s="60">
        <v>7</v>
      </c>
      <c r="EP297" s="60">
        <v>133</v>
      </c>
      <c r="EQ297" s="60"/>
      <c r="ER297" s="60">
        <v>203</v>
      </c>
      <c r="ES297" s="60">
        <v>36</v>
      </c>
      <c r="ET297" s="60">
        <v>39</v>
      </c>
      <c r="EU297" s="60">
        <v>47</v>
      </c>
      <c r="EV297" s="60">
        <v>123</v>
      </c>
      <c r="EW297" s="60">
        <v>23</v>
      </c>
      <c r="EX297" s="60">
        <v>10</v>
      </c>
      <c r="EY297" s="60">
        <v>16</v>
      </c>
      <c r="EZ297" s="60"/>
      <c r="FA297" s="60">
        <v>12</v>
      </c>
      <c r="FB297" s="60">
        <v>194</v>
      </c>
      <c r="FC297" s="60">
        <v>17</v>
      </c>
      <c r="FD297" s="60">
        <v>113</v>
      </c>
      <c r="FE297" s="60"/>
      <c r="FF297" s="60"/>
      <c r="FG297" s="60"/>
      <c r="FH297" s="60">
        <v>81</v>
      </c>
      <c r="FI297" s="60">
        <v>5</v>
      </c>
      <c r="FJ297" s="60">
        <v>38</v>
      </c>
      <c r="FK297" s="60">
        <v>2</v>
      </c>
      <c r="FL297" s="60">
        <v>4</v>
      </c>
      <c r="FM297" s="60">
        <v>24</v>
      </c>
      <c r="FN297" s="60">
        <v>4</v>
      </c>
      <c r="FO297" s="60">
        <v>755</v>
      </c>
      <c r="FP297" s="60">
        <v>18</v>
      </c>
      <c r="FQ297" s="60">
        <v>4</v>
      </c>
      <c r="FR297" s="60">
        <v>10</v>
      </c>
      <c r="FS297" s="60">
        <v>25</v>
      </c>
      <c r="FT297" s="60"/>
      <c r="FU297" s="60">
        <v>8</v>
      </c>
      <c r="FV297" s="60">
        <v>1</v>
      </c>
      <c r="FW297" s="60"/>
      <c r="FX297" s="60">
        <v>979</v>
      </c>
      <c r="FY297" s="60">
        <v>2</v>
      </c>
      <c r="FZ297" s="60">
        <v>970</v>
      </c>
      <c r="GA297" s="60">
        <v>7</v>
      </c>
      <c r="GB297" s="60">
        <v>2011</v>
      </c>
    </row>
    <row r="298" spans="1:184" x14ac:dyDescent="0.3">
      <c r="A298" s="60">
        <v>106480989</v>
      </c>
      <c r="B298" s="61" t="s">
        <v>1111</v>
      </c>
      <c r="C298" s="61" t="s">
        <v>2084</v>
      </c>
      <c r="D298" s="61" t="s">
        <v>1112</v>
      </c>
      <c r="E298" s="61" t="s">
        <v>1113</v>
      </c>
      <c r="F298" s="60">
        <v>94590</v>
      </c>
      <c r="G298" s="61"/>
      <c r="H298" s="61" t="s">
        <v>1669</v>
      </c>
      <c r="I298" s="60">
        <v>7</v>
      </c>
      <c r="J298" s="60">
        <v>2</v>
      </c>
      <c r="K298" s="61" t="s">
        <v>2085</v>
      </c>
      <c r="L298" s="61"/>
      <c r="M298" s="61" t="s">
        <v>1891</v>
      </c>
      <c r="N298" s="61" t="s">
        <v>2086</v>
      </c>
      <c r="O298" s="61" t="s">
        <v>1673</v>
      </c>
      <c r="P298" s="61" t="s">
        <v>1678</v>
      </c>
      <c r="Q298" s="61" t="s">
        <v>1674</v>
      </c>
      <c r="R298" s="60">
        <v>248</v>
      </c>
      <c r="S298" s="61" t="s">
        <v>1675</v>
      </c>
      <c r="T298" s="60">
        <v>20449</v>
      </c>
      <c r="U298" s="60">
        <v>16591</v>
      </c>
      <c r="V298" s="60">
        <v>1</v>
      </c>
      <c r="W298" s="60"/>
      <c r="X298" s="60">
        <v>3895</v>
      </c>
      <c r="Y298" s="60">
        <v>4213</v>
      </c>
      <c r="Z298" s="60">
        <v>4962</v>
      </c>
      <c r="AA298" s="60">
        <v>4251</v>
      </c>
      <c r="AB298" s="60">
        <v>4643</v>
      </c>
      <c r="AC298" s="60">
        <v>5031</v>
      </c>
      <c r="AD298" s="60">
        <v>3728</v>
      </c>
      <c r="AE298" s="60">
        <v>2699</v>
      </c>
      <c r="AF298" s="60">
        <v>2970</v>
      </c>
      <c r="AG298" s="60">
        <v>649</v>
      </c>
      <c r="AH298" s="60"/>
      <c r="AI298" s="60">
        <v>5020</v>
      </c>
      <c r="AJ298" s="60">
        <v>10170</v>
      </c>
      <c r="AK298" s="60">
        <v>5679</v>
      </c>
      <c r="AL298" s="60">
        <v>161</v>
      </c>
      <c r="AM298" s="60">
        <v>612</v>
      </c>
      <c r="AN298" s="60">
        <v>362</v>
      </c>
      <c r="AO298" s="60">
        <v>15037</v>
      </c>
      <c r="AP298" s="60">
        <v>194</v>
      </c>
      <c r="AQ298" s="60">
        <v>361</v>
      </c>
      <c r="AR298" s="60">
        <v>9</v>
      </c>
      <c r="AS298" s="60">
        <v>53</v>
      </c>
      <c r="AT298" s="60">
        <v>95</v>
      </c>
      <c r="AU298" s="60">
        <v>41</v>
      </c>
      <c r="AV298" s="60">
        <v>6</v>
      </c>
      <c r="AW298" s="60">
        <v>1</v>
      </c>
      <c r="AX298" s="60">
        <v>20</v>
      </c>
      <c r="AY298" s="60">
        <v>238</v>
      </c>
      <c r="AZ298" s="60">
        <v>5</v>
      </c>
      <c r="BA298" s="60">
        <v>35701</v>
      </c>
      <c r="BB298" s="60">
        <v>85</v>
      </c>
      <c r="BC298" s="60">
        <v>201</v>
      </c>
      <c r="BD298" s="60">
        <v>31</v>
      </c>
      <c r="BE298" s="60">
        <v>5604</v>
      </c>
      <c r="BF298" s="60">
        <v>7481</v>
      </c>
      <c r="BG298" s="60">
        <v>108</v>
      </c>
      <c r="BH298" s="60">
        <v>19283</v>
      </c>
      <c r="BI298" s="60">
        <v>4565</v>
      </c>
      <c r="BJ298" s="60">
        <v>583</v>
      </c>
      <c r="BK298" s="60">
        <v>237</v>
      </c>
      <c r="BL298" s="60">
        <v>1427</v>
      </c>
      <c r="BM298" s="60">
        <v>13</v>
      </c>
      <c r="BN298" s="60">
        <v>1980</v>
      </c>
      <c r="BO298" s="60">
        <v>899</v>
      </c>
      <c r="BP298" s="60">
        <v>1702</v>
      </c>
      <c r="BQ298" s="60">
        <v>694</v>
      </c>
      <c r="BR298" s="60">
        <v>9181</v>
      </c>
      <c r="BS298" s="60">
        <v>2058</v>
      </c>
      <c r="BT298" s="60">
        <v>98</v>
      </c>
      <c r="BU298" s="60">
        <v>2247</v>
      </c>
      <c r="BV298" s="60">
        <v>967</v>
      </c>
      <c r="BW298" s="60">
        <v>36</v>
      </c>
      <c r="BX298" s="60">
        <v>1447</v>
      </c>
      <c r="BY298" s="60">
        <v>3371</v>
      </c>
      <c r="BZ298" s="60">
        <v>1310</v>
      </c>
      <c r="CA298" s="60">
        <v>8791</v>
      </c>
      <c r="CB298" s="60"/>
      <c r="CC298" s="60"/>
      <c r="CD298" s="60">
        <v>2744</v>
      </c>
      <c r="CE298" s="60">
        <v>137</v>
      </c>
      <c r="CF298" s="60">
        <v>395</v>
      </c>
      <c r="CG298" s="60">
        <v>24</v>
      </c>
      <c r="CH298" s="60">
        <v>347</v>
      </c>
      <c r="CI298" s="60">
        <v>67</v>
      </c>
      <c r="CJ298" s="60">
        <v>181</v>
      </c>
      <c r="CK298" s="60">
        <v>366</v>
      </c>
      <c r="CL298" s="60">
        <v>26884</v>
      </c>
      <c r="CM298" s="60">
        <v>4282</v>
      </c>
      <c r="CN298" s="60">
        <v>139</v>
      </c>
      <c r="CO298" s="60">
        <v>1146</v>
      </c>
      <c r="CP298" s="60">
        <v>97</v>
      </c>
      <c r="CQ298" s="60">
        <v>178</v>
      </c>
      <c r="CR298" s="60">
        <v>54</v>
      </c>
      <c r="CS298" s="60"/>
      <c r="CT298" s="60">
        <v>37041</v>
      </c>
      <c r="CU298" s="60">
        <v>347</v>
      </c>
      <c r="CV298" s="60">
        <v>35192</v>
      </c>
      <c r="CW298" s="60">
        <v>1502</v>
      </c>
      <c r="CX298" s="60">
        <v>2552</v>
      </c>
      <c r="CY298" s="60">
        <v>2343</v>
      </c>
      <c r="CZ298" s="60">
        <v>1</v>
      </c>
      <c r="DA298" s="60"/>
      <c r="DB298" s="60">
        <v>60</v>
      </c>
      <c r="DC298" s="60">
        <v>213</v>
      </c>
      <c r="DD298" s="60">
        <v>244</v>
      </c>
      <c r="DE298" s="60">
        <v>472</v>
      </c>
      <c r="DF298" s="60">
        <v>701</v>
      </c>
      <c r="DG298" s="60">
        <v>909</v>
      </c>
      <c r="DH298" s="60">
        <v>1007</v>
      </c>
      <c r="DI298" s="60">
        <v>1284</v>
      </c>
      <c r="DJ298" s="60">
        <v>2</v>
      </c>
      <c r="DK298" s="60">
        <v>4</v>
      </c>
      <c r="DL298" s="60"/>
      <c r="DM298" s="60">
        <v>725</v>
      </c>
      <c r="DN298" s="60">
        <v>974</v>
      </c>
      <c r="DO298" s="60">
        <v>423</v>
      </c>
      <c r="DP298" s="60">
        <v>33</v>
      </c>
      <c r="DQ298" s="60">
        <v>8</v>
      </c>
      <c r="DR298" s="60">
        <v>2714</v>
      </c>
      <c r="DS298" s="60">
        <v>19</v>
      </c>
      <c r="DT298" s="60">
        <v>232</v>
      </c>
      <c r="DU298" s="60">
        <v>70</v>
      </c>
      <c r="DV298" s="60">
        <v>175</v>
      </c>
      <c r="DW298" s="60">
        <v>979</v>
      </c>
      <c r="DX298" s="60">
        <v>73</v>
      </c>
      <c r="DY298" s="60">
        <v>5</v>
      </c>
      <c r="DZ298" s="60">
        <v>85</v>
      </c>
      <c r="EA298" s="60">
        <v>2645</v>
      </c>
      <c r="EB298" s="60">
        <v>631</v>
      </c>
      <c r="EC298" s="60">
        <v>1</v>
      </c>
      <c r="ED298" s="60">
        <v>0</v>
      </c>
      <c r="EE298" s="60">
        <v>0</v>
      </c>
      <c r="EF298" s="60">
        <v>0</v>
      </c>
      <c r="EG298" s="60">
        <v>0</v>
      </c>
      <c r="EH298" s="60">
        <v>0</v>
      </c>
      <c r="EI298" s="60">
        <v>320</v>
      </c>
      <c r="EJ298" s="60">
        <v>2900</v>
      </c>
      <c r="EK298" s="60">
        <v>12</v>
      </c>
      <c r="EL298" s="60">
        <v>1521</v>
      </c>
      <c r="EM298" s="60">
        <v>143</v>
      </c>
      <c r="EN298" s="60">
        <v>36</v>
      </c>
      <c r="EO298" s="60">
        <v>68</v>
      </c>
      <c r="EP298" s="60">
        <v>1028</v>
      </c>
      <c r="EQ298" s="60"/>
      <c r="ER298" s="60">
        <v>848</v>
      </c>
      <c r="ES298" s="60">
        <v>204</v>
      </c>
      <c r="ET298" s="60">
        <v>240</v>
      </c>
      <c r="EU298" s="60">
        <v>683</v>
      </c>
      <c r="EV298" s="60">
        <v>464</v>
      </c>
      <c r="EW298" s="60">
        <v>79</v>
      </c>
      <c r="EX298" s="60">
        <v>109</v>
      </c>
      <c r="EY298" s="60">
        <v>95</v>
      </c>
      <c r="EZ298" s="60">
        <v>6</v>
      </c>
      <c r="FA298" s="60">
        <v>81</v>
      </c>
      <c r="FB298" s="60">
        <v>602</v>
      </c>
      <c r="FC298" s="60">
        <v>92</v>
      </c>
      <c r="FD298" s="60">
        <v>260</v>
      </c>
      <c r="FE298" s="60"/>
      <c r="FF298" s="60">
        <v>1</v>
      </c>
      <c r="FG298" s="60"/>
      <c r="FH298" s="60">
        <v>274</v>
      </c>
      <c r="FI298" s="60">
        <v>17</v>
      </c>
      <c r="FJ298" s="60">
        <v>544</v>
      </c>
      <c r="FK298" s="60">
        <v>12</v>
      </c>
      <c r="FL298" s="60">
        <v>25</v>
      </c>
      <c r="FM298" s="60">
        <v>215</v>
      </c>
      <c r="FN298" s="60">
        <v>12</v>
      </c>
      <c r="FO298" s="60">
        <v>3636</v>
      </c>
      <c r="FP298" s="60">
        <v>91</v>
      </c>
      <c r="FQ298" s="60">
        <v>5</v>
      </c>
      <c r="FR298" s="60">
        <v>29</v>
      </c>
      <c r="FS298" s="60">
        <v>17</v>
      </c>
      <c r="FT298" s="60">
        <v>12</v>
      </c>
      <c r="FU298" s="60">
        <v>6</v>
      </c>
      <c r="FV298" s="60">
        <v>1</v>
      </c>
      <c r="FW298" s="60"/>
      <c r="FX298" s="60">
        <v>4896</v>
      </c>
      <c r="FY298" s="60">
        <v>97</v>
      </c>
      <c r="FZ298" s="60">
        <v>4692</v>
      </c>
      <c r="GA298" s="60">
        <v>107</v>
      </c>
      <c r="GB298" s="60">
        <v>2011</v>
      </c>
    </row>
    <row r="299" spans="1:184" x14ac:dyDescent="0.3">
      <c r="A299" s="60">
        <v>106481094</v>
      </c>
      <c r="B299" s="61" t="s">
        <v>1114</v>
      </c>
      <c r="C299" s="61" t="s">
        <v>1115</v>
      </c>
      <c r="D299" s="61" t="s">
        <v>1116</v>
      </c>
      <c r="E299" s="61" t="s">
        <v>1113</v>
      </c>
      <c r="F299" s="60">
        <v>94590</v>
      </c>
      <c r="G299" s="61"/>
      <c r="H299" s="61" t="s">
        <v>1669</v>
      </c>
      <c r="I299" s="60">
        <v>7</v>
      </c>
      <c r="J299" s="60">
        <v>2</v>
      </c>
      <c r="K299" s="61" t="s">
        <v>2085</v>
      </c>
      <c r="L299" s="61"/>
      <c r="M299" s="61" t="s">
        <v>1891</v>
      </c>
      <c r="N299" s="61" t="s">
        <v>2086</v>
      </c>
      <c r="O299" s="61" t="s">
        <v>1673</v>
      </c>
      <c r="P299" s="61" t="s">
        <v>1678</v>
      </c>
      <c r="Q299" s="61" t="s">
        <v>1674</v>
      </c>
      <c r="R299" s="60">
        <v>102</v>
      </c>
      <c r="S299" s="61" t="s">
        <v>1675</v>
      </c>
      <c r="T299" s="60">
        <v>18213</v>
      </c>
      <c r="U299" s="60">
        <v>13820</v>
      </c>
      <c r="V299" s="60">
        <v>2</v>
      </c>
      <c r="W299" s="60"/>
      <c r="X299" s="60">
        <v>3688</v>
      </c>
      <c r="Y299" s="60">
        <v>2938</v>
      </c>
      <c r="Z299" s="60">
        <v>5809</v>
      </c>
      <c r="AA299" s="60">
        <v>4436</v>
      </c>
      <c r="AB299" s="60">
        <v>4821</v>
      </c>
      <c r="AC299" s="60">
        <v>4561</v>
      </c>
      <c r="AD299" s="60">
        <v>2424</v>
      </c>
      <c r="AE299" s="60">
        <v>1343</v>
      </c>
      <c r="AF299" s="60">
        <v>1102</v>
      </c>
      <c r="AG299" s="60">
        <v>913</v>
      </c>
      <c r="AH299" s="60"/>
      <c r="AI299" s="60">
        <v>3340</v>
      </c>
      <c r="AJ299" s="60">
        <v>12147</v>
      </c>
      <c r="AK299" s="60">
        <v>5649</v>
      </c>
      <c r="AL299" s="60">
        <v>85</v>
      </c>
      <c r="AM299" s="60">
        <v>982</v>
      </c>
      <c r="AN299" s="60">
        <v>37</v>
      </c>
      <c r="AO299" s="60">
        <v>9795</v>
      </c>
      <c r="AP299" s="60">
        <v>400</v>
      </c>
      <c r="AQ299" s="60">
        <v>403</v>
      </c>
      <c r="AR299" s="60"/>
      <c r="AS299" s="60">
        <v>31</v>
      </c>
      <c r="AT299" s="60"/>
      <c r="AU299" s="60">
        <v>1</v>
      </c>
      <c r="AV299" s="60"/>
      <c r="AW299" s="60">
        <v>16</v>
      </c>
      <c r="AX299" s="60"/>
      <c r="AY299" s="60">
        <v>236</v>
      </c>
      <c r="AZ299" s="60">
        <v>146</v>
      </c>
      <c r="BA299" s="60">
        <v>30802</v>
      </c>
      <c r="BB299" s="60"/>
      <c r="BC299" s="60"/>
      <c r="BD299" s="60"/>
      <c r="BE299" s="60">
        <v>14997</v>
      </c>
      <c r="BF299" s="60">
        <v>5280</v>
      </c>
      <c r="BG299" s="60">
        <v>823</v>
      </c>
      <c r="BH299" s="60">
        <v>5058</v>
      </c>
      <c r="BI299" s="60">
        <v>5877</v>
      </c>
      <c r="BJ299" s="60">
        <v>845</v>
      </c>
      <c r="BK299" s="60">
        <v>145</v>
      </c>
      <c r="BL299" s="60">
        <v>780</v>
      </c>
      <c r="BM299" s="60">
        <v>10</v>
      </c>
      <c r="BN299" s="60">
        <v>1880</v>
      </c>
      <c r="BO299" s="60">
        <v>700</v>
      </c>
      <c r="BP299" s="60">
        <v>2050</v>
      </c>
      <c r="BQ299" s="60">
        <v>757</v>
      </c>
      <c r="BR299" s="60">
        <v>6744</v>
      </c>
      <c r="BS299" s="60">
        <v>1822</v>
      </c>
      <c r="BT299" s="60">
        <v>97</v>
      </c>
      <c r="BU299" s="60">
        <v>2179</v>
      </c>
      <c r="BV299" s="60">
        <v>887</v>
      </c>
      <c r="BW299" s="60">
        <v>53</v>
      </c>
      <c r="BX299" s="60">
        <v>1216</v>
      </c>
      <c r="BY299" s="60">
        <v>4158</v>
      </c>
      <c r="BZ299" s="60">
        <v>1717</v>
      </c>
      <c r="CA299" s="60">
        <v>5995</v>
      </c>
      <c r="CB299" s="60"/>
      <c r="CC299" s="60"/>
      <c r="CD299" s="60">
        <v>1843</v>
      </c>
      <c r="CE299" s="60">
        <v>195</v>
      </c>
      <c r="CF299" s="60">
        <v>156</v>
      </c>
      <c r="CG299" s="60">
        <v>20</v>
      </c>
      <c r="CH299" s="60">
        <v>574</v>
      </c>
      <c r="CI299" s="60">
        <v>20</v>
      </c>
      <c r="CJ299" s="60">
        <v>101</v>
      </c>
      <c r="CK299" s="60">
        <v>284</v>
      </c>
      <c r="CL299" s="60">
        <v>24739</v>
      </c>
      <c r="CM299" s="60">
        <v>2881</v>
      </c>
      <c r="CN299" s="60">
        <v>124</v>
      </c>
      <c r="CO299" s="60">
        <v>851</v>
      </c>
      <c r="CP299" s="60">
        <v>78</v>
      </c>
      <c r="CQ299" s="60">
        <v>157</v>
      </c>
      <c r="CR299" s="60">
        <v>12</v>
      </c>
      <c r="CS299" s="60"/>
      <c r="CT299" s="60">
        <v>32035</v>
      </c>
      <c r="CU299" s="60">
        <v>744</v>
      </c>
      <c r="CV299" s="60">
        <v>29146</v>
      </c>
      <c r="CW299" s="60">
        <v>2145</v>
      </c>
      <c r="CX299" s="60">
        <v>1868</v>
      </c>
      <c r="CY299" s="60">
        <v>1454</v>
      </c>
      <c r="CZ299" s="60"/>
      <c r="DA299" s="60"/>
      <c r="DB299" s="60">
        <v>36</v>
      </c>
      <c r="DC299" s="60">
        <v>197</v>
      </c>
      <c r="DD299" s="60">
        <v>250</v>
      </c>
      <c r="DE299" s="60">
        <v>433</v>
      </c>
      <c r="DF299" s="60">
        <v>738</v>
      </c>
      <c r="DG299" s="60">
        <v>592</v>
      </c>
      <c r="DH299" s="60">
        <v>475</v>
      </c>
      <c r="DI299" s="60">
        <v>597</v>
      </c>
      <c r="DJ299" s="60">
        <v>2</v>
      </c>
      <c r="DK299" s="60">
        <v>2</v>
      </c>
      <c r="DL299" s="60"/>
      <c r="DM299" s="60">
        <v>577</v>
      </c>
      <c r="DN299" s="60">
        <v>993</v>
      </c>
      <c r="DO299" s="60">
        <v>395</v>
      </c>
      <c r="DP299" s="60">
        <v>72</v>
      </c>
      <c r="DQ299" s="60">
        <v>9</v>
      </c>
      <c r="DR299" s="60">
        <v>1274</v>
      </c>
      <c r="DS299" s="60">
        <v>2</v>
      </c>
      <c r="DT299" s="60">
        <v>190</v>
      </c>
      <c r="DU299" s="60">
        <v>77</v>
      </c>
      <c r="DV299" s="60">
        <v>90</v>
      </c>
      <c r="DW299" s="60">
        <v>510</v>
      </c>
      <c r="DX299" s="60">
        <v>23</v>
      </c>
      <c r="DY299" s="60">
        <v>42</v>
      </c>
      <c r="DZ299" s="60">
        <v>40</v>
      </c>
      <c r="EA299" s="60">
        <v>1804</v>
      </c>
      <c r="EB299" s="60">
        <v>546</v>
      </c>
      <c r="EC299" s="60"/>
      <c r="ED299" s="60">
        <v>0</v>
      </c>
      <c r="EE299" s="60">
        <v>0</v>
      </c>
      <c r="EF299" s="60">
        <v>0</v>
      </c>
      <c r="EG299" s="60">
        <v>0</v>
      </c>
      <c r="EH299" s="60">
        <v>0</v>
      </c>
      <c r="EI299" s="60">
        <v>767</v>
      </c>
      <c r="EJ299" s="60">
        <v>1598</v>
      </c>
      <c r="EK299" s="60">
        <v>33</v>
      </c>
      <c r="EL299" s="60">
        <v>405</v>
      </c>
      <c r="EM299" s="60">
        <v>519</v>
      </c>
      <c r="EN299" s="60">
        <v>48</v>
      </c>
      <c r="EO299" s="60">
        <v>61</v>
      </c>
      <c r="EP299" s="60">
        <v>554</v>
      </c>
      <c r="EQ299" s="60">
        <v>1</v>
      </c>
      <c r="ER299" s="60">
        <v>598</v>
      </c>
      <c r="ES299" s="60">
        <v>184</v>
      </c>
      <c r="ET299" s="60">
        <v>215</v>
      </c>
      <c r="EU299" s="60">
        <v>387</v>
      </c>
      <c r="EV299" s="60">
        <v>279</v>
      </c>
      <c r="EW299" s="60">
        <v>62</v>
      </c>
      <c r="EX299" s="60">
        <v>85</v>
      </c>
      <c r="EY299" s="60">
        <v>78</v>
      </c>
      <c r="EZ299" s="60">
        <v>4</v>
      </c>
      <c r="FA299" s="60">
        <v>51</v>
      </c>
      <c r="FB299" s="60">
        <v>394</v>
      </c>
      <c r="FC299" s="60">
        <v>116</v>
      </c>
      <c r="FD299" s="60">
        <v>203</v>
      </c>
      <c r="FE299" s="60"/>
      <c r="FF299" s="60">
        <v>2</v>
      </c>
      <c r="FG299" s="60"/>
      <c r="FH299" s="60">
        <v>156</v>
      </c>
      <c r="FI299" s="60">
        <v>24</v>
      </c>
      <c r="FJ299" s="60">
        <v>272</v>
      </c>
      <c r="FK299" s="60">
        <v>8</v>
      </c>
      <c r="FL299" s="60">
        <v>6</v>
      </c>
      <c r="FM299" s="60">
        <v>103</v>
      </c>
      <c r="FN299" s="60">
        <v>7</v>
      </c>
      <c r="FO299" s="60">
        <v>2672</v>
      </c>
      <c r="FP299" s="60">
        <v>35</v>
      </c>
      <c r="FQ299" s="60">
        <v>4</v>
      </c>
      <c r="FR299" s="60">
        <v>6</v>
      </c>
      <c r="FS299" s="60">
        <v>16</v>
      </c>
      <c r="FT299" s="60">
        <v>5</v>
      </c>
      <c r="FU299" s="60">
        <v>8</v>
      </c>
      <c r="FV299" s="60"/>
      <c r="FW299" s="60"/>
      <c r="FX299" s="60">
        <v>3322</v>
      </c>
      <c r="FY299" s="60">
        <v>198</v>
      </c>
      <c r="FZ299" s="60">
        <v>2965</v>
      </c>
      <c r="GA299" s="60">
        <v>159</v>
      </c>
      <c r="GB299" s="60">
        <v>2011</v>
      </c>
    </row>
    <row r="300" spans="1:184" x14ac:dyDescent="0.3">
      <c r="A300" s="60">
        <v>106481357</v>
      </c>
      <c r="B300" s="61" t="s">
        <v>1117</v>
      </c>
      <c r="C300" s="61" t="s">
        <v>1118</v>
      </c>
      <c r="D300" s="61" t="s">
        <v>1119</v>
      </c>
      <c r="E300" s="61" t="s">
        <v>1120</v>
      </c>
      <c r="F300" s="60">
        <v>94533</v>
      </c>
      <c r="G300" s="61" t="s">
        <v>186</v>
      </c>
      <c r="H300" s="61" t="s">
        <v>1669</v>
      </c>
      <c r="I300" s="60">
        <v>8</v>
      </c>
      <c r="J300" s="60">
        <v>5</v>
      </c>
      <c r="K300" s="61" t="s">
        <v>2087</v>
      </c>
      <c r="L300" s="61"/>
      <c r="M300" s="61" t="s">
        <v>1891</v>
      </c>
      <c r="N300" s="61" t="s">
        <v>2086</v>
      </c>
      <c r="O300" s="61" t="s">
        <v>1673</v>
      </c>
      <c r="P300" s="61" t="s">
        <v>1678</v>
      </c>
      <c r="Q300" s="61" t="s">
        <v>1674</v>
      </c>
      <c r="R300" s="60">
        <v>130</v>
      </c>
      <c r="S300" s="61" t="s">
        <v>1675</v>
      </c>
      <c r="T300" s="60">
        <v>19396</v>
      </c>
      <c r="U300" s="60">
        <v>14799</v>
      </c>
      <c r="V300" s="60"/>
      <c r="W300" s="60">
        <v>1</v>
      </c>
      <c r="X300" s="60">
        <v>4539</v>
      </c>
      <c r="Y300" s="60">
        <v>3311</v>
      </c>
      <c r="Z300" s="60">
        <v>6736</v>
      </c>
      <c r="AA300" s="60">
        <v>5232</v>
      </c>
      <c r="AB300" s="60">
        <v>5141</v>
      </c>
      <c r="AC300" s="60">
        <v>3948</v>
      </c>
      <c r="AD300" s="60">
        <v>1912</v>
      </c>
      <c r="AE300" s="60">
        <v>1172</v>
      </c>
      <c r="AF300" s="60">
        <v>1055</v>
      </c>
      <c r="AG300" s="60">
        <v>1150</v>
      </c>
      <c r="AH300" s="60"/>
      <c r="AI300" s="60">
        <v>1824</v>
      </c>
      <c r="AJ300" s="60">
        <v>10335</v>
      </c>
      <c r="AK300" s="60">
        <v>7894</v>
      </c>
      <c r="AL300" s="60">
        <v>113</v>
      </c>
      <c r="AM300" s="60">
        <v>943</v>
      </c>
      <c r="AN300" s="60">
        <v>43</v>
      </c>
      <c r="AO300" s="60">
        <v>13044</v>
      </c>
      <c r="AP300" s="60">
        <v>542</v>
      </c>
      <c r="AQ300" s="60">
        <v>524</v>
      </c>
      <c r="AR300" s="60">
        <v>38</v>
      </c>
      <c r="AS300" s="60">
        <v>74</v>
      </c>
      <c r="AT300" s="60">
        <v>14</v>
      </c>
      <c r="AU300" s="60">
        <v>2</v>
      </c>
      <c r="AV300" s="60">
        <v>2</v>
      </c>
      <c r="AW300" s="60">
        <v>70</v>
      </c>
      <c r="AX300" s="60">
        <v>326</v>
      </c>
      <c r="AY300" s="60">
        <v>234</v>
      </c>
      <c r="AZ300" s="60">
        <v>8</v>
      </c>
      <c r="BA300" s="60">
        <v>32235</v>
      </c>
      <c r="BB300" s="60">
        <v>124</v>
      </c>
      <c r="BC300" s="60">
        <v>3</v>
      </c>
      <c r="BD300" s="60"/>
      <c r="BE300" s="60">
        <v>17438</v>
      </c>
      <c r="BF300" s="60">
        <v>5221</v>
      </c>
      <c r="BG300" s="60">
        <v>809</v>
      </c>
      <c r="BH300" s="60">
        <v>4660</v>
      </c>
      <c r="BI300" s="60">
        <v>6068</v>
      </c>
      <c r="BJ300" s="60">
        <v>827</v>
      </c>
      <c r="BK300" s="60">
        <v>202</v>
      </c>
      <c r="BL300" s="60">
        <v>799</v>
      </c>
      <c r="BM300" s="60">
        <v>6</v>
      </c>
      <c r="BN300" s="60">
        <v>1775</v>
      </c>
      <c r="BO300" s="60">
        <v>568</v>
      </c>
      <c r="BP300" s="60">
        <v>1887</v>
      </c>
      <c r="BQ300" s="60">
        <v>806</v>
      </c>
      <c r="BR300" s="60">
        <v>6572</v>
      </c>
      <c r="BS300" s="60">
        <v>2550</v>
      </c>
      <c r="BT300" s="60">
        <v>61</v>
      </c>
      <c r="BU300" s="60">
        <v>2113</v>
      </c>
      <c r="BV300" s="60">
        <v>795</v>
      </c>
      <c r="BW300" s="60">
        <v>57</v>
      </c>
      <c r="BX300" s="60">
        <v>1295</v>
      </c>
      <c r="BY300" s="60">
        <v>4183</v>
      </c>
      <c r="BZ300" s="60">
        <v>1548</v>
      </c>
      <c r="CA300" s="60">
        <v>8150</v>
      </c>
      <c r="CB300" s="60">
        <v>2</v>
      </c>
      <c r="CC300" s="60"/>
      <c r="CD300" s="60">
        <v>1826</v>
      </c>
      <c r="CE300" s="60">
        <v>108</v>
      </c>
      <c r="CF300" s="60">
        <v>232</v>
      </c>
      <c r="CG300" s="60">
        <v>15</v>
      </c>
      <c r="CH300" s="60">
        <v>521</v>
      </c>
      <c r="CI300" s="60">
        <v>16</v>
      </c>
      <c r="CJ300" s="60">
        <v>157</v>
      </c>
      <c r="CK300" s="60">
        <v>297</v>
      </c>
      <c r="CL300" s="60">
        <v>26906</v>
      </c>
      <c r="CM300" s="60">
        <v>2902</v>
      </c>
      <c r="CN300" s="60">
        <v>142</v>
      </c>
      <c r="CO300" s="60">
        <v>787</v>
      </c>
      <c r="CP300" s="60">
        <v>84</v>
      </c>
      <c r="CQ300" s="60">
        <v>167</v>
      </c>
      <c r="CR300" s="60">
        <v>36</v>
      </c>
      <c r="CS300" s="60"/>
      <c r="CT300" s="60">
        <v>34196</v>
      </c>
      <c r="CU300" s="60">
        <v>721</v>
      </c>
      <c r="CV300" s="60">
        <v>29870</v>
      </c>
      <c r="CW300" s="60">
        <v>3605</v>
      </c>
      <c r="CX300" s="60">
        <v>1967</v>
      </c>
      <c r="CY300" s="60">
        <v>1647</v>
      </c>
      <c r="CZ300" s="60"/>
      <c r="DA300" s="60"/>
      <c r="DB300" s="60">
        <v>71</v>
      </c>
      <c r="DC300" s="60">
        <v>237</v>
      </c>
      <c r="DD300" s="60">
        <v>261</v>
      </c>
      <c r="DE300" s="60">
        <v>405</v>
      </c>
      <c r="DF300" s="60">
        <v>615</v>
      </c>
      <c r="DG300" s="60">
        <v>584</v>
      </c>
      <c r="DH300" s="60">
        <v>595</v>
      </c>
      <c r="DI300" s="60">
        <v>792</v>
      </c>
      <c r="DJ300" s="60">
        <v>17</v>
      </c>
      <c r="DK300" s="60">
        <v>37</v>
      </c>
      <c r="DL300" s="60"/>
      <c r="DM300" s="60">
        <v>403</v>
      </c>
      <c r="DN300" s="60">
        <v>766</v>
      </c>
      <c r="DO300" s="60">
        <v>529</v>
      </c>
      <c r="DP300" s="60">
        <v>107</v>
      </c>
      <c r="DQ300" s="60">
        <v>5</v>
      </c>
      <c r="DR300" s="60">
        <v>1783</v>
      </c>
      <c r="DS300" s="60">
        <v>21</v>
      </c>
      <c r="DT300" s="60">
        <v>115</v>
      </c>
      <c r="DU300" s="60">
        <v>70</v>
      </c>
      <c r="DV300" s="60">
        <v>136</v>
      </c>
      <c r="DW300" s="60">
        <v>360</v>
      </c>
      <c r="DX300" s="60">
        <v>16</v>
      </c>
      <c r="DY300" s="60">
        <v>2</v>
      </c>
      <c r="DZ300" s="60">
        <v>10</v>
      </c>
      <c r="EA300" s="60">
        <v>2388</v>
      </c>
      <c r="EB300" s="60">
        <v>493</v>
      </c>
      <c r="EC300" s="60">
        <v>24</v>
      </c>
      <c r="ED300" s="60">
        <v>0</v>
      </c>
      <c r="EE300" s="60">
        <v>0</v>
      </c>
      <c r="EF300" s="60">
        <v>0</v>
      </c>
      <c r="EG300" s="60">
        <v>0</v>
      </c>
      <c r="EH300" s="60">
        <v>0</v>
      </c>
      <c r="EI300" s="60">
        <v>770</v>
      </c>
      <c r="EJ300" s="60">
        <v>1912</v>
      </c>
      <c r="EK300" s="60">
        <v>63</v>
      </c>
      <c r="EL300" s="60">
        <v>425</v>
      </c>
      <c r="EM300" s="60">
        <v>444</v>
      </c>
      <c r="EN300" s="60">
        <v>61</v>
      </c>
      <c r="EO300" s="60">
        <v>66</v>
      </c>
      <c r="EP300" s="60">
        <v>779</v>
      </c>
      <c r="EQ300" s="60">
        <v>4</v>
      </c>
      <c r="ER300" s="60">
        <v>580</v>
      </c>
      <c r="ES300" s="60">
        <v>182</v>
      </c>
      <c r="ET300" s="60">
        <v>297</v>
      </c>
      <c r="EU300" s="60">
        <v>327</v>
      </c>
      <c r="EV300" s="60">
        <v>325</v>
      </c>
      <c r="EW300" s="60">
        <v>52</v>
      </c>
      <c r="EX300" s="60">
        <v>65</v>
      </c>
      <c r="EY300" s="60">
        <v>43</v>
      </c>
      <c r="EZ300" s="60">
        <v>14</v>
      </c>
      <c r="FA300" s="60">
        <v>34</v>
      </c>
      <c r="FB300" s="60">
        <v>488</v>
      </c>
      <c r="FC300" s="60">
        <v>94</v>
      </c>
      <c r="FD300" s="60">
        <v>195</v>
      </c>
      <c r="FE300" s="60">
        <v>2</v>
      </c>
      <c r="FF300" s="60">
        <v>6</v>
      </c>
      <c r="FG300" s="60"/>
      <c r="FH300" s="60">
        <v>132</v>
      </c>
      <c r="FI300" s="60">
        <v>41</v>
      </c>
      <c r="FJ300" s="60">
        <v>296</v>
      </c>
      <c r="FK300" s="60">
        <v>18</v>
      </c>
      <c r="FL300" s="60">
        <v>12</v>
      </c>
      <c r="FM300" s="60">
        <v>232</v>
      </c>
      <c r="FN300" s="60">
        <v>10</v>
      </c>
      <c r="FO300" s="60">
        <v>2758</v>
      </c>
      <c r="FP300" s="60">
        <v>35</v>
      </c>
      <c r="FQ300" s="60">
        <v>7</v>
      </c>
      <c r="FR300" s="60">
        <v>31</v>
      </c>
      <c r="FS300" s="60">
        <v>25</v>
      </c>
      <c r="FT300" s="60">
        <v>6</v>
      </c>
      <c r="FU300" s="60">
        <v>11</v>
      </c>
      <c r="FV300" s="60"/>
      <c r="FW300" s="60"/>
      <c r="FX300" s="60">
        <v>3614</v>
      </c>
      <c r="FY300" s="60">
        <v>219</v>
      </c>
      <c r="FZ300" s="60">
        <v>3104</v>
      </c>
      <c r="GA300" s="60">
        <v>291</v>
      </c>
      <c r="GB300" s="60">
        <v>2011</v>
      </c>
    </row>
    <row r="301" spans="1:184" x14ac:dyDescent="0.3">
      <c r="A301" s="60">
        <v>106484001</v>
      </c>
      <c r="B301" s="61" t="s">
        <v>1641</v>
      </c>
      <c r="C301" s="61" t="s">
        <v>1642</v>
      </c>
      <c r="D301" s="61" t="s">
        <v>1643</v>
      </c>
      <c r="E301" s="61" t="s">
        <v>1124</v>
      </c>
      <c r="F301" s="60">
        <v>95687</v>
      </c>
      <c r="G301" s="61"/>
      <c r="H301" s="61" t="s">
        <v>1669</v>
      </c>
      <c r="I301" s="60">
        <v>8</v>
      </c>
      <c r="J301" s="60">
        <v>5</v>
      </c>
      <c r="K301" s="61" t="s">
        <v>2088</v>
      </c>
      <c r="L301" s="61"/>
      <c r="M301" s="61" t="s">
        <v>1891</v>
      </c>
      <c r="N301" s="61" t="s">
        <v>2086</v>
      </c>
      <c r="O301" s="61" t="s">
        <v>1673</v>
      </c>
      <c r="P301" s="61" t="s">
        <v>1678</v>
      </c>
      <c r="Q301" s="61" t="s">
        <v>1674</v>
      </c>
      <c r="R301" s="60">
        <v>50</v>
      </c>
      <c r="S301" s="61" t="s">
        <v>1675</v>
      </c>
      <c r="T301" s="60">
        <v>10742</v>
      </c>
      <c r="U301" s="60">
        <v>8170</v>
      </c>
      <c r="V301" s="60"/>
      <c r="W301" s="60">
        <v>2</v>
      </c>
      <c r="X301" s="60">
        <v>2063</v>
      </c>
      <c r="Y301" s="60">
        <v>1818</v>
      </c>
      <c r="Z301" s="60">
        <v>3571</v>
      </c>
      <c r="AA301" s="60">
        <v>2821</v>
      </c>
      <c r="AB301" s="60">
        <v>2925</v>
      </c>
      <c r="AC301" s="60">
        <v>2303</v>
      </c>
      <c r="AD301" s="60">
        <v>1200</v>
      </c>
      <c r="AE301" s="60">
        <v>883</v>
      </c>
      <c r="AF301" s="60">
        <v>930</v>
      </c>
      <c r="AG301" s="60">
        <v>400</v>
      </c>
      <c r="AH301" s="60"/>
      <c r="AI301" s="60">
        <v>519</v>
      </c>
      <c r="AJ301" s="60">
        <v>2543</v>
      </c>
      <c r="AK301" s="60">
        <v>3908</v>
      </c>
      <c r="AL301" s="60">
        <v>72</v>
      </c>
      <c r="AM301" s="60">
        <v>283</v>
      </c>
      <c r="AN301" s="60">
        <v>34</v>
      </c>
      <c r="AO301" s="60">
        <v>11555</v>
      </c>
      <c r="AP301" s="60">
        <v>407</v>
      </c>
      <c r="AQ301" s="60">
        <v>228</v>
      </c>
      <c r="AR301" s="60">
        <v>17</v>
      </c>
      <c r="AS301" s="60">
        <v>25</v>
      </c>
      <c r="AT301" s="60">
        <v>14</v>
      </c>
      <c r="AU301" s="60">
        <v>1</v>
      </c>
      <c r="AV301" s="60">
        <v>2</v>
      </c>
      <c r="AW301" s="60">
        <v>117</v>
      </c>
      <c r="AX301" s="60">
        <v>168</v>
      </c>
      <c r="AY301" s="60">
        <v>123</v>
      </c>
      <c r="AZ301" s="60">
        <v>10</v>
      </c>
      <c r="BA301" s="60">
        <v>17721</v>
      </c>
      <c r="BB301" s="60">
        <v>80</v>
      </c>
      <c r="BC301" s="60">
        <v>1</v>
      </c>
      <c r="BD301" s="60"/>
      <c r="BE301" s="60">
        <v>7509</v>
      </c>
      <c r="BF301" s="60">
        <v>3630</v>
      </c>
      <c r="BG301" s="60">
        <v>942</v>
      </c>
      <c r="BH301" s="60">
        <v>4019</v>
      </c>
      <c r="BI301" s="60">
        <v>2814</v>
      </c>
      <c r="BJ301" s="60">
        <v>343</v>
      </c>
      <c r="BK301" s="60">
        <v>56</v>
      </c>
      <c r="BL301" s="60">
        <v>436</v>
      </c>
      <c r="BM301" s="60">
        <v>3</v>
      </c>
      <c r="BN301" s="60">
        <v>1018</v>
      </c>
      <c r="BO301" s="60">
        <v>320</v>
      </c>
      <c r="BP301" s="60">
        <v>1124</v>
      </c>
      <c r="BQ301" s="60">
        <v>358</v>
      </c>
      <c r="BR301" s="60">
        <v>4049</v>
      </c>
      <c r="BS301" s="60">
        <v>1524</v>
      </c>
      <c r="BT301" s="60">
        <v>28</v>
      </c>
      <c r="BU301" s="60">
        <v>1177</v>
      </c>
      <c r="BV301" s="60">
        <v>327</v>
      </c>
      <c r="BW301" s="60">
        <v>11</v>
      </c>
      <c r="BX301" s="60">
        <v>729</v>
      </c>
      <c r="BY301" s="60">
        <v>1829</v>
      </c>
      <c r="BZ301" s="60">
        <v>826</v>
      </c>
      <c r="CA301" s="60">
        <v>4756</v>
      </c>
      <c r="CB301" s="60"/>
      <c r="CC301" s="60"/>
      <c r="CD301" s="60">
        <v>1236</v>
      </c>
      <c r="CE301" s="60">
        <v>80</v>
      </c>
      <c r="CF301" s="60">
        <v>140</v>
      </c>
      <c r="CG301" s="60">
        <v>6</v>
      </c>
      <c r="CH301" s="60">
        <v>220</v>
      </c>
      <c r="CI301" s="60">
        <v>8</v>
      </c>
      <c r="CJ301" s="60">
        <v>114</v>
      </c>
      <c r="CK301" s="60">
        <v>153</v>
      </c>
      <c r="CL301" s="60">
        <v>14430</v>
      </c>
      <c r="CM301" s="60">
        <v>1836</v>
      </c>
      <c r="CN301" s="60">
        <v>98</v>
      </c>
      <c r="CO301" s="60">
        <v>403</v>
      </c>
      <c r="CP301" s="60">
        <v>73</v>
      </c>
      <c r="CQ301" s="60">
        <v>96</v>
      </c>
      <c r="CR301" s="60">
        <v>21</v>
      </c>
      <c r="CS301" s="60"/>
      <c r="CT301" s="60">
        <v>18914</v>
      </c>
      <c r="CU301" s="60">
        <v>166</v>
      </c>
      <c r="CV301" s="60">
        <v>17743</v>
      </c>
      <c r="CW301" s="60">
        <v>1005</v>
      </c>
      <c r="CX301" s="60">
        <v>1170</v>
      </c>
      <c r="CY301" s="60">
        <v>981</v>
      </c>
      <c r="CZ301" s="60"/>
      <c r="DA301" s="60">
        <v>1</v>
      </c>
      <c r="DB301" s="60">
        <v>23</v>
      </c>
      <c r="DC301" s="60">
        <v>89</v>
      </c>
      <c r="DD301" s="60">
        <v>136</v>
      </c>
      <c r="DE301" s="60">
        <v>256</v>
      </c>
      <c r="DF301" s="60">
        <v>353</v>
      </c>
      <c r="DG301" s="60">
        <v>332</v>
      </c>
      <c r="DH301" s="60">
        <v>385</v>
      </c>
      <c r="DI301" s="60">
        <v>578</v>
      </c>
      <c r="DJ301" s="60"/>
      <c r="DK301" s="60"/>
      <c r="DL301" s="60"/>
      <c r="DM301" s="60">
        <v>91</v>
      </c>
      <c r="DN301" s="60">
        <v>208</v>
      </c>
      <c r="DO301" s="60">
        <v>237</v>
      </c>
      <c r="DP301" s="60">
        <v>23</v>
      </c>
      <c r="DQ301" s="60">
        <v>6</v>
      </c>
      <c r="DR301" s="60">
        <v>1577</v>
      </c>
      <c r="DS301" s="60">
        <v>10</v>
      </c>
      <c r="DT301" s="60">
        <v>81</v>
      </c>
      <c r="DU301" s="60">
        <v>28</v>
      </c>
      <c r="DV301" s="60">
        <v>81</v>
      </c>
      <c r="DW301" s="60">
        <v>280</v>
      </c>
      <c r="DX301" s="60">
        <v>8</v>
      </c>
      <c r="DY301" s="60"/>
      <c r="DZ301" s="60">
        <v>8</v>
      </c>
      <c r="EA301" s="60">
        <v>1298</v>
      </c>
      <c r="EB301" s="60">
        <v>319</v>
      </c>
      <c r="EC301" s="60">
        <v>49</v>
      </c>
      <c r="ED301" s="60">
        <v>0</v>
      </c>
      <c r="EE301" s="60">
        <v>0</v>
      </c>
      <c r="EF301" s="60">
        <v>0</v>
      </c>
      <c r="EG301" s="60">
        <v>0</v>
      </c>
      <c r="EH301" s="60">
        <v>0</v>
      </c>
      <c r="EI301" s="60">
        <v>230</v>
      </c>
      <c r="EJ301" s="60">
        <v>1300</v>
      </c>
      <c r="EK301" s="60">
        <v>97</v>
      </c>
      <c r="EL301" s="60">
        <v>302</v>
      </c>
      <c r="EM301" s="60">
        <v>223</v>
      </c>
      <c r="EN301" s="60">
        <v>1</v>
      </c>
      <c r="EO301" s="60">
        <v>39</v>
      </c>
      <c r="EP301" s="60">
        <v>353</v>
      </c>
      <c r="EQ301" s="60">
        <v>1</v>
      </c>
      <c r="ER301" s="60">
        <v>381</v>
      </c>
      <c r="ES301" s="60">
        <v>136</v>
      </c>
      <c r="ET301" s="60">
        <v>203</v>
      </c>
      <c r="EU301" s="60">
        <v>207</v>
      </c>
      <c r="EV301" s="60">
        <v>170</v>
      </c>
      <c r="EW301" s="60">
        <v>58</v>
      </c>
      <c r="EX301" s="60">
        <v>29</v>
      </c>
      <c r="EY301" s="60">
        <v>42</v>
      </c>
      <c r="EZ301" s="60">
        <v>2</v>
      </c>
      <c r="FA301" s="60">
        <v>26</v>
      </c>
      <c r="FB301" s="60">
        <v>313</v>
      </c>
      <c r="FC301" s="60">
        <v>70</v>
      </c>
      <c r="FD301" s="60">
        <v>121</v>
      </c>
      <c r="FE301" s="60"/>
      <c r="FF301" s="60"/>
      <c r="FG301" s="60"/>
      <c r="FH301" s="60">
        <v>100</v>
      </c>
      <c r="FI301" s="60">
        <v>20</v>
      </c>
      <c r="FJ301" s="60">
        <v>207</v>
      </c>
      <c r="FK301" s="60">
        <v>4</v>
      </c>
      <c r="FL301" s="60">
        <v>6</v>
      </c>
      <c r="FM301" s="60">
        <v>121</v>
      </c>
      <c r="FN301" s="60">
        <v>7</v>
      </c>
      <c r="FO301" s="60">
        <v>1621</v>
      </c>
      <c r="FP301" s="60">
        <v>17</v>
      </c>
      <c r="FQ301" s="60">
        <v>4</v>
      </c>
      <c r="FR301" s="60">
        <v>8</v>
      </c>
      <c r="FS301" s="60">
        <v>19</v>
      </c>
      <c r="FT301" s="60">
        <v>9</v>
      </c>
      <c r="FU301" s="60">
        <v>9</v>
      </c>
      <c r="FV301" s="60"/>
      <c r="FW301" s="60"/>
      <c r="FX301" s="60">
        <v>2152</v>
      </c>
      <c r="FY301" s="60">
        <v>38</v>
      </c>
      <c r="FZ301" s="60">
        <v>2023</v>
      </c>
      <c r="GA301" s="60">
        <v>91</v>
      </c>
      <c r="GB301" s="60">
        <v>2011</v>
      </c>
    </row>
    <row r="302" spans="1:184" x14ac:dyDescent="0.3">
      <c r="A302" s="60">
        <v>106484044</v>
      </c>
      <c r="B302" s="61" t="s">
        <v>1121</v>
      </c>
      <c r="C302" s="61" t="s">
        <v>1122</v>
      </c>
      <c r="D302" s="61" t="s">
        <v>1123</v>
      </c>
      <c r="E302" s="61" t="s">
        <v>1124</v>
      </c>
      <c r="F302" s="60">
        <v>95688</v>
      </c>
      <c r="G302" s="61" t="s">
        <v>186</v>
      </c>
      <c r="H302" s="61" t="s">
        <v>1669</v>
      </c>
      <c r="I302" s="60">
        <v>8</v>
      </c>
      <c r="J302" s="60">
        <v>5</v>
      </c>
      <c r="K302" s="61" t="s">
        <v>2088</v>
      </c>
      <c r="L302" s="61"/>
      <c r="M302" s="61" t="s">
        <v>1891</v>
      </c>
      <c r="N302" s="61" t="s">
        <v>2086</v>
      </c>
      <c r="O302" s="61" t="s">
        <v>1673</v>
      </c>
      <c r="P302" s="61" t="s">
        <v>1678</v>
      </c>
      <c r="Q302" s="61" t="s">
        <v>1674</v>
      </c>
      <c r="R302" s="60">
        <v>64</v>
      </c>
      <c r="S302" s="61" t="s">
        <v>1675</v>
      </c>
      <c r="T302" s="60">
        <v>16203</v>
      </c>
      <c r="U302" s="60">
        <v>12421</v>
      </c>
      <c r="V302" s="60">
        <v>2</v>
      </c>
      <c r="W302" s="60"/>
      <c r="X302" s="60">
        <v>3408</v>
      </c>
      <c r="Y302" s="60">
        <v>3879</v>
      </c>
      <c r="Z302" s="60">
        <v>3780</v>
      </c>
      <c r="AA302" s="60">
        <v>3424</v>
      </c>
      <c r="AB302" s="60">
        <v>3635</v>
      </c>
      <c r="AC302" s="60">
        <v>3491</v>
      </c>
      <c r="AD302" s="60">
        <v>2615</v>
      </c>
      <c r="AE302" s="60">
        <v>2009</v>
      </c>
      <c r="AF302" s="60">
        <v>1937</v>
      </c>
      <c r="AG302" s="60">
        <v>448</v>
      </c>
      <c r="AH302" s="60"/>
      <c r="AI302" s="60">
        <v>2050</v>
      </c>
      <c r="AJ302" s="60">
        <v>3873</v>
      </c>
      <c r="AK302" s="60">
        <v>5324</v>
      </c>
      <c r="AL302" s="60">
        <v>108</v>
      </c>
      <c r="AM302" s="60">
        <v>429</v>
      </c>
      <c r="AN302" s="60">
        <v>96</v>
      </c>
      <c r="AO302" s="60">
        <v>16746</v>
      </c>
      <c r="AP302" s="60">
        <v>209</v>
      </c>
      <c r="AQ302" s="60">
        <v>147</v>
      </c>
      <c r="AR302" s="60">
        <v>8</v>
      </c>
      <c r="AS302" s="60">
        <v>19</v>
      </c>
      <c r="AT302" s="60">
        <v>24</v>
      </c>
      <c r="AU302" s="60">
        <v>15</v>
      </c>
      <c r="AV302" s="60">
        <v>14</v>
      </c>
      <c r="AW302" s="60"/>
      <c r="AX302" s="60">
        <v>9</v>
      </c>
      <c r="AY302" s="60">
        <v>165</v>
      </c>
      <c r="AZ302" s="60">
        <v>4</v>
      </c>
      <c r="BA302" s="60">
        <v>27727</v>
      </c>
      <c r="BB302" s="60">
        <v>66</v>
      </c>
      <c r="BC302" s="60">
        <v>196</v>
      </c>
      <c r="BD302" s="60">
        <v>23</v>
      </c>
      <c r="BE302" s="60">
        <v>3015</v>
      </c>
      <c r="BF302" s="60">
        <v>5064</v>
      </c>
      <c r="BG302" s="60">
        <v>125</v>
      </c>
      <c r="BH302" s="60">
        <v>18886</v>
      </c>
      <c r="BI302" s="60">
        <v>1536</v>
      </c>
      <c r="BJ302" s="60">
        <v>409</v>
      </c>
      <c r="BK302" s="60">
        <v>100</v>
      </c>
      <c r="BL302" s="60">
        <v>888</v>
      </c>
      <c r="BM302" s="60">
        <v>11</v>
      </c>
      <c r="BN302" s="60">
        <v>1459</v>
      </c>
      <c r="BO302" s="60">
        <v>699</v>
      </c>
      <c r="BP302" s="60">
        <v>1325</v>
      </c>
      <c r="BQ302" s="60">
        <v>404</v>
      </c>
      <c r="BR302" s="60">
        <v>7547</v>
      </c>
      <c r="BS302" s="60">
        <v>1671</v>
      </c>
      <c r="BT302" s="60">
        <v>46</v>
      </c>
      <c r="BU302" s="60">
        <v>1912</v>
      </c>
      <c r="BV302" s="60">
        <v>582</v>
      </c>
      <c r="BW302" s="60">
        <v>30</v>
      </c>
      <c r="BX302" s="60">
        <v>841</v>
      </c>
      <c r="BY302" s="60">
        <v>2869</v>
      </c>
      <c r="BZ302" s="60">
        <v>1094</v>
      </c>
      <c r="CA302" s="60">
        <v>6735</v>
      </c>
      <c r="CB302" s="60">
        <v>1</v>
      </c>
      <c r="CC302" s="60">
        <v>3</v>
      </c>
      <c r="CD302" s="60">
        <v>2136</v>
      </c>
      <c r="CE302" s="60">
        <v>105</v>
      </c>
      <c r="CF302" s="60">
        <v>252</v>
      </c>
      <c r="CG302" s="60">
        <v>14</v>
      </c>
      <c r="CH302" s="60">
        <v>132</v>
      </c>
      <c r="CI302" s="60">
        <v>18</v>
      </c>
      <c r="CJ302" s="60">
        <v>125</v>
      </c>
      <c r="CK302" s="60">
        <v>367</v>
      </c>
      <c r="CL302" s="60">
        <v>20412</v>
      </c>
      <c r="CM302" s="60">
        <v>3930</v>
      </c>
      <c r="CN302" s="60">
        <v>166</v>
      </c>
      <c r="CO302" s="60">
        <v>698</v>
      </c>
      <c r="CP302" s="60">
        <v>84</v>
      </c>
      <c r="CQ302" s="60">
        <v>159</v>
      </c>
      <c r="CR302" s="60">
        <v>28</v>
      </c>
      <c r="CS302" s="60"/>
      <c r="CT302" s="60">
        <v>28626</v>
      </c>
      <c r="CU302" s="60">
        <v>129</v>
      </c>
      <c r="CV302" s="60">
        <v>27584</v>
      </c>
      <c r="CW302" s="60">
        <v>913</v>
      </c>
      <c r="CX302" s="60">
        <v>1456</v>
      </c>
      <c r="CY302" s="60">
        <v>1221</v>
      </c>
      <c r="CZ302" s="60"/>
      <c r="DA302" s="60"/>
      <c r="DB302" s="60">
        <v>42</v>
      </c>
      <c r="DC302" s="60">
        <v>122</v>
      </c>
      <c r="DD302" s="60">
        <v>107</v>
      </c>
      <c r="DE302" s="60">
        <v>264</v>
      </c>
      <c r="DF302" s="60">
        <v>402</v>
      </c>
      <c r="DG302" s="60">
        <v>554</v>
      </c>
      <c r="DH302" s="60">
        <v>527</v>
      </c>
      <c r="DI302" s="60">
        <v>659</v>
      </c>
      <c r="DJ302" s="60"/>
      <c r="DK302" s="60"/>
      <c r="DL302" s="60"/>
      <c r="DM302" s="60">
        <v>189</v>
      </c>
      <c r="DN302" s="60">
        <v>304</v>
      </c>
      <c r="DO302" s="60">
        <v>263</v>
      </c>
      <c r="DP302" s="60">
        <v>25</v>
      </c>
      <c r="DQ302" s="60">
        <v>3</v>
      </c>
      <c r="DR302" s="60">
        <v>1886</v>
      </c>
      <c r="DS302" s="60">
        <v>7</v>
      </c>
      <c r="DT302" s="60">
        <v>138</v>
      </c>
      <c r="DU302" s="60">
        <v>11</v>
      </c>
      <c r="DV302" s="60">
        <v>115</v>
      </c>
      <c r="DW302" s="60">
        <v>295</v>
      </c>
      <c r="DX302" s="60">
        <v>40</v>
      </c>
      <c r="DY302" s="60">
        <v>3</v>
      </c>
      <c r="DZ302" s="60">
        <v>66</v>
      </c>
      <c r="EA302" s="60">
        <v>1706</v>
      </c>
      <c r="EB302" s="60">
        <v>298</v>
      </c>
      <c r="EC302" s="60">
        <v>5</v>
      </c>
      <c r="ED302" s="60">
        <v>0</v>
      </c>
      <c r="EE302" s="60">
        <v>0</v>
      </c>
      <c r="EF302" s="60">
        <v>0</v>
      </c>
      <c r="EG302" s="60">
        <v>0</v>
      </c>
      <c r="EH302" s="60">
        <v>0</v>
      </c>
      <c r="EI302" s="60">
        <v>101</v>
      </c>
      <c r="EJ302" s="60">
        <v>1520</v>
      </c>
      <c r="EK302" s="60">
        <v>13</v>
      </c>
      <c r="EL302" s="60">
        <v>1011</v>
      </c>
      <c r="EM302" s="60">
        <v>32</v>
      </c>
      <c r="EN302" s="60">
        <v>16</v>
      </c>
      <c r="EO302" s="60">
        <v>54</v>
      </c>
      <c r="EP302" s="60">
        <v>474</v>
      </c>
      <c r="EQ302" s="60">
        <v>3</v>
      </c>
      <c r="ER302" s="60">
        <v>500</v>
      </c>
      <c r="ES302" s="60">
        <v>113</v>
      </c>
      <c r="ET302" s="60">
        <v>183</v>
      </c>
      <c r="EU302" s="60">
        <v>310</v>
      </c>
      <c r="EV302" s="60">
        <v>283</v>
      </c>
      <c r="EW302" s="60">
        <v>34</v>
      </c>
      <c r="EX302" s="60">
        <v>55</v>
      </c>
      <c r="EY302" s="60">
        <v>27</v>
      </c>
      <c r="EZ302" s="60">
        <v>2</v>
      </c>
      <c r="FA302" s="60">
        <v>29</v>
      </c>
      <c r="FB302" s="60">
        <v>390</v>
      </c>
      <c r="FC302" s="60">
        <v>67</v>
      </c>
      <c r="FD302" s="60">
        <v>137</v>
      </c>
      <c r="FE302" s="60"/>
      <c r="FF302" s="60"/>
      <c r="FG302" s="60"/>
      <c r="FH302" s="60">
        <v>163</v>
      </c>
      <c r="FI302" s="60">
        <v>19</v>
      </c>
      <c r="FJ302" s="60">
        <v>245</v>
      </c>
      <c r="FK302" s="60">
        <v>1</v>
      </c>
      <c r="FL302" s="60">
        <v>15</v>
      </c>
      <c r="FM302" s="60">
        <v>84</v>
      </c>
      <c r="FN302" s="60">
        <v>7</v>
      </c>
      <c r="FO302" s="60">
        <v>2059</v>
      </c>
      <c r="FP302" s="60">
        <v>44</v>
      </c>
      <c r="FQ302" s="60">
        <v>5</v>
      </c>
      <c r="FR302" s="60">
        <v>18</v>
      </c>
      <c r="FS302" s="60">
        <v>12</v>
      </c>
      <c r="FT302" s="60">
        <v>4</v>
      </c>
      <c r="FU302" s="60">
        <v>1</v>
      </c>
      <c r="FV302" s="60"/>
      <c r="FW302" s="60"/>
      <c r="FX302" s="60">
        <v>2677</v>
      </c>
      <c r="FY302" s="60">
        <v>25</v>
      </c>
      <c r="FZ302" s="60">
        <v>2597</v>
      </c>
      <c r="GA302" s="60">
        <v>55</v>
      </c>
      <c r="GB302" s="60">
        <v>2011</v>
      </c>
    </row>
    <row r="303" spans="1:184" x14ac:dyDescent="0.3">
      <c r="A303" s="60">
        <v>106490919</v>
      </c>
      <c r="B303" s="61" t="s">
        <v>1125</v>
      </c>
      <c r="C303" s="61" t="s">
        <v>1619</v>
      </c>
      <c r="D303" s="61" t="s">
        <v>1127</v>
      </c>
      <c r="E303" s="61" t="s">
        <v>1128</v>
      </c>
      <c r="F303" s="60">
        <v>95404</v>
      </c>
      <c r="G303" s="61"/>
      <c r="H303" s="61" t="s">
        <v>1669</v>
      </c>
      <c r="I303" s="60">
        <v>7</v>
      </c>
      <c r="J303" s="60">
        <v>2</v>
      </c>
      <c r="K303" s="61" t="s">
        <v>2089</v>
      </c>
      <c r="L303" s="61"/>
      <c r="M303" s="61" t="s">
        <v>1891</v>
      </c>
      <c r="N303" s="61" t="s">
        <v>2090</v>
      </c>
      <c r="O303" s="61" t="s">
        <v>1673</v>
      </c>
      <c r="P303" s="61" t="s">
        <v>1678</v>
      </c>
      <c r="Q303" s="61" t="s">
        <v>1674</v>
      </c>
      <c r="R303" s="60">
        <v>135</v>
      </c>
      <c r="S303" s="61" t="s">
        <v>1675</v>
      </c>
      <c r="T303" s="60">
        <v>12067</v>
      </c>
      <c r="U303" s="60">
        <v>10393</v>
      </c>
      <c r="V303" s="60">
        <v>1</v>
      </c>
      <c r="W303" s="60"/>
      <c r="X303" s="60">
        <v>2753</v>
      </c>
      <c r="Y303" s="60">
        <v>2153</v>
      </c>
      <c r="Z303" s="60">
        <v>4293</v>
      </c>
      <c r="AA303" s="60">
        <v>3219</v>
      </c>
      <c r="AB303" s="60">
        <v>3084</v>
      </c>
      <c r="AC303" s="60">
        <v>3016</v>
      </c>
      <c r="AD303" s="60">
        <v>1621</v>
      </c>
      <c r="AE303" s="60">
        <v>737</v>
      </c>
      <c r="AF303" s="60">
        <v>731</v>
      </c>
      <c r="AG303" s="60">
        <v>854</v>
      </c>
      <c r="AH303" s="60"/>
      <c r="AI303" s="60">
        <v>632</v>
      </c>
      <c r="AJ303" s="60">
        <v>800</v>
      </c>
      <c r="AK303" s="60">
        <v>7177</v>
      </c>
      <c r="AL303" s="60">
        <v>476</v>
      </c>
      <c r="AM303" s="60">
        <v>166</v>
      </c>
      <c r="AN303" s="60">
        <v>162</v>
      </c>
      <c r="AO303" s="60">
        <v>13048</v>
      </c>
      <c r="AP303" s="60">
        <v>229</v>
      </c>
      <c r="AQ303" s="60">
        <v>169</v>
      </c>
      <c r="AR303" s="60"/>
      <c r="AS303" s="60">
        <v>18</v>
      </c>
      <c r="AT303" s="60">
        <v>6</v>
      </c>
      <c r="AU303" s="60">
        <v>1</v>
      </c>
      <c r="AV303" s="60"/>
      <c r="AW303" s="60">
        <v>25</v>
      </c>
      <c r="AX303" s="60">
        <v>453</v>
      </c>
      <c r="AY303" s="60">
        <v>269</v>
      </c>
      <c r="AZ303" s="60"/>
      <c r="BA303" s="60">
        <v>21291</v>
      </c>
      <c r="BB303" s="60"/>
      <c r="BC303" s="60"/>
      <c r="BD303" s="60"/>
      <c r="BE303" s="60">
        <v>10090</v>
      </c>
      <c r="BF303" s="60">
        <v>3091</v>
      </c>
      <c r="BG303" s="60">
        <v>910</v>
      </c>
      <c r="BH303" s="60">
        <v>3806</v>
      </c>
      <c r="BI303" s="60">
        <v>4564</v>
      </c>
      <c r="BJ303" s="60">
        <v>921</v>
      </c>
      <c r="BK303" s="60">
        <v>50</v>
      </c>
      <c r="BL303" s="60">
        <v>504</v>
      </c>
      <c r="BM303" s="60">
        <v>4</v>
      </c>
      <c r="BN303" s="60">
        <v>1666</v>
      </c>
      <c r="BO303" s="60">
        <v>248</v>
      </c>
      <c r="BP303" s="60">
        <v>1248</v>
      </c>
      <c r="BQ303" s="60">
        <v>478</v>
      </c>
      <c r="BR303" s="60">
        <v>4579</v>
      </c>
      <c r="BS303" s="60">
        <v>1063</v>
      </c>
      <c r="BT303" s="60">
        <v>80</v>
      </c>
      <c r="BU303" s="60">
        <v>1730</v>
      </c>
      <c r="BV303" s="60">
        <v>1087</v>
      </c>
      <c r="BW303" s="60">
        <v>55</v>
      </c>
      <c r="BX303" s="60">
        <v>1656</v>
      </c>
      <c r="BY303" s="60">
        <v>2649</v>
      </c>
      <c r="BZ303" s="60">
        <v>1112</v>
      </c>
      <c r="CA303" s="60">
        <v>3331</v>
      </c>
      <c r="CB303" s="60"/>
      <c r="CC303" s="60"/>
      <c r="CD303" s="60">
        <v>1408</v>
      </c>
      <c r="CE303" s="60">
        <v>71</v>
      </c>
      <c r="CF303" s="60">
        <v>249</v>
      </c>
      <c r="CG303" s="60">
        <v>7</v>
      </c>
      <c r="CH303" s="60">
        <v>333</v>
      </c>
      <c r="CI303" s="60">
        <v>4</v>
      </c>
      <c r="CJ303" s="60">
        <v>127</v>
      </c>
      <c r="CK303" s="60">
        <v>195</v>
      </c>
      <c r="CL303" s="60">
        <v>17388</v>
      </c>
      <c r="CM303" s="60">
        <v>1882</v>
      </c>
      <c r="CN303" s="60">
        <v>116</v>
      </c>
      <c r="CO303" s="60">
        <v>328</v>
      </c>
      <c r="CP303" s="60">
        <v>181</v>
      </c>
      <c r="CQ303" s="60">
        <v>141</v>
      </c>
      <c r="CR303" s="60">
        <v>31</v>
      </c>
      <c r="CS303" s="60"/>
      <c r="CT303" s="60">
        <v>22461</v>
      </c>
      <c r="CU303" s="60">
        <v>333</v>
      </c>
      <c r="CV303" s="60">
        <v>17980</v>
      </c>
      <c r="CW303" s="60">
        <v>4148</v>
      </c>
      <c r="CX303" s="60">
        <v>1047</v>
      </c>
      <c r="CY303" s="60">
        <v>894</v>
      </c>
      <c r="CZ303" s="60">
        <v>1</v>
      </c>
      <c r="DA303" s="60"/>
      <c r="DB303" s="60">
        <v>33</v>
      </c>
      <c r="DC303" s="60">
        <v>138</v>
      </c>
      <c r="DD303" s="60">
        <v>149</v>
      </c>
      <c r="DE303" s="60">
        <v>236</v>
      </c>
      <c r="DF303" s="60">
        <v>412</v>
      </c>
      <c r="DG303" s="60">
        <v>368</v>
      </c>
      <c r="DH303" s="60">
        <v>234</v>
      </c>
      <c r="DI303" s="60">
        <v>356</v>
      </c>
      <c r="DJ303" s="60">
        <v>12</v>
      </c>
      <c r="DK303" s="60">
        <v>4</v>
      </c>
      <c r="DL303" s="60"/>
      <c r="DM303" s="60">
        <v>64</v>
      </c>
      <c r="DN303" s="60">
        <v>43</v>
      </c>
      <c r="DO303" s="60">
        <v>292</v>
      </c>
      <c r="DP303" s="60">
        <v>15</v>
      </c>
      <c r="DQ303" s="60">
        <v>12</v>
      </c>
      <c r="DR303" s="60">
        <v>1451</v>
      </c>
      <c r="DS303" s="60">
        <v>65</v>
      </c>
      <c r="DT303" s="60">
        <v>71</v>
      </c>
      <c r="DU303" s="60">
        <v>27</v>
      </c>
      <c r="DV303" s="60">
        <v>37</v>
      </c>
      <c r="DW303" s="60">
        <v>352</v>
      </c>
      <c r="DX303" s="60">
        <v>5</v>
      </c>
      <c r="DY303" s="60">
        <v>8</v>
      </c>
      <c r="DZ303" s="60">
        <v>2</v>
      </c>
      <c r="EA303" s="60">
        <v>1208</v>
      </c>
      <c r="EB303" s="60">
        <v>221</v>
      </c>
      <c r="EC303" s="60">
        <v>11</v>
      </c>
      <c r="ED303" s="60">
        <v>0</v>
      </c>
      <c r="EE303" s="60">
        <v>0</v>
      </c>
      <c r="EF303" s="60">
        <v>0</v>
      </c>
      <c r="EG303" s="60">
        <v>0</v>
      </c>
      <c r="EH303" s="60">
        <v>0</v>
      </c>
      <c r="EI303" s="60">
        <v>393</v>
      </c>
      <c r="EJ303" s="60">
        <v>912</v>
      </c>
      <c r="EK303" s="60">
        <v>70</v>
      </c>
      <c r="EL303" s="60">
        <v>291</v>
      </c>
      <c r="EM303" s="60">
        <v>276</v>
      </c>
      <c r="EN303" s="60">
        <v>38</v>
      </c>
      <c r="EO303" s="60">
        <v>23</v>
      </c>
      <c r="EP303" s="60">
        <v>344</v>
      </c>
      <c r="EQ303" s="60">
        <v>1</v>
      </c>
      <c r="ER303" s="60">
        <v>395</v>
      </c>
      <c r="ES303" s="60">
        <v>96</v>
      </c>
      <c r="ET303" s="60">
        <v>133</v>
      </c>
      <c r="EU303" s="60">
        <v>154</v>
      </c>
      <c r="EV303" s="60">
        <v>245</v>
      </c>
      <c r="EW303" s="60">
        <v>30</v>
      </c>
      <c r="EX303" s="60">
        <v>62</v>
      </c>
      <c r="EY303" s="60">
        <v>27</v>
      </c>
      <c r="EZ303" s="60">
        <v>3</v>
      </c>
      <c r="FA303" s="60">
        <v>39</v>
      </c>
      <c r="FB303" s="60">
        <v>188</v>
      </c>
      <c r="FC303" s="60">
        <v>83</v>
      </c>
      <c r="FD303" s="60">
        <v>71</v>
      </c>
      <c r="FE303" s="60"/>
      <c r="FF303" s="60">
        <v>10</v>
      </c>
      <c r="FG303" s="60"/>
      <c r="FH303" s="60">
        <v>121</v>
      </c>
      <c r="FI303" s="60">
        <v>45</v>
      </c>
      <c r="FJ303" s="60">
        <v>152</v>
      </c>
      <c r="FK303" s="60">
        <v>4</v>
      </c>
      <c r="FL303" s="60">
        <v>18</v>
      </c>
      <c r="FM303" s="60">
        <v>122</v>
      </c>
      <c r="FN303" s="60">
        <v>5</v>
      </c>
      <c r="FO303" s="60">
        <v>1419</v>
      </c>
      <c r="FP303" s="60">
        <v>27</v>
      </c>
      <c r="FQ303" s="60">
        <v>1</v>
      </c>
      <c r="FR303" s="60">
        <v>2</v>
      </c>
      <c r="FS303" s="60">
        <v>21</v>
      </c>
      <c r="FT303" s="60"/>
      <c r="FU303" s="60">
        <v>4</v>
      </c>
      <c r="FV303" s="60">
        <v>1</v>
      </c>
      <c r="FW303" s="60"/>
      <c r="FX303" s="60">
        <v>1942</v>
      </c>
      <c r="FY303" s="60">
        <v>34</v>
      </c>
      <c r="FZ303" s="60">
        <v>1728</v>
      </c>
      <c r="GA303" s="60">
        <v>180</v>
      </c>
      <c r="GB303" s="60">
        <v>2011</v>
      </c>
    </row>
    <row r="304" spans="1:184" x14ac:dyDescent="0.3">
      <c r="A304" s="60">
        <v>106490964</v>
      </c>
      <c r="B304" s="61" t="s">
        <v>1129</v>
      </c>
      <c r="C304" s="61" t="s">
        <v>1130</v>
      </c>
      <c r="D304" s="61" t="s">
        <v>1131</v>
      </c>
      <c r="E304" s="61" t="s">
        <v>1132</v>
      </c>
      <c r="F304" s="60">
        <v>95448</v>
      </c>
      <c r="G304" s="61"/>
      <c r="H304" s="61" t="s">
        <v>1669</v>
      </c>
      <c r="I304" s="60">
        <v>1</v>
      </c>
      <c r="J304" s="60">
        <v>2</v>
      </c>
      <c r="K304" s="61" t="s">
        <v>2091</v>
      </c>
      <c r="L304" s="61"/>
      <c r="M304" s="61" t="s">
        <v>1891</v>
      </c>
      <c r="N304" s="61" t="s">
        <v>2090</v>
      </c>
      <c r="O304" s="61" t="s">
        <v>1673</v>
      </c>
      <c r="P304" s="61" t="s">
        <v>159</v>
      </c>
      <c r="Q304" s="61" t="s">
        <v>1674</v>
      </c>
      <c r="R304" s="60">
        <v>26</v>
      </c>
      <c r="S304" s="61" t="s">
        <v>1706</v>
      </c>
      <c r="T304" s="60">
        <v>4544</v>
      </c>
      <c r="U304" s="60">
        <v>4405</v>
      </c>
      <c r="V304" s="60">
        <v>3</v>
      </c>
      <c r="W304" s="60"/>
      <c r="X304" s="60">
        <v>1126</v>
      </c>
      <c r="Y304" s="60">
        <v>884</v>
      </c>
      <c r="Z304" s="60">
        <v>1400</v>
      </c>
      <c r="AA304" s="60">
        <v>1104</v>
      </c>
      <c r="AB304" s="60">
        <v>1105</v>
      </c>
      <c r="AC304" s="60">
        <v>1053</v>
      </c>
      <c r="AD304" s="60">
        <v>777</v>
      </c>
      <c r="AE304" s="60">
        <v>538</v>
      </c>
      <c r="AF304" s="60">
        <v>731</v>
      </c>
      <c r="AG304" s="60">
        <v>234</v>
      </c>
      <c r="AH304" s="60"/>
      <c r="AI304" s="60">
        <v>40</v>
      </c>
      <c r="AJ304" s="60">
        <v>60</v>
      </c>
      <c r="AK304" s="60">
        <v>3032</v>
      </c>
      <c r="AL304" s="60">
        <v>69</v>
      </c>
      <c r="AM304" s="60">
        <v>116</v>
      </c>
      <c r="AN304" s="60">
        <v>68</v>
      </c>
      <c r="AO304" s="60">
        <v>5567</v>
      </c>
      <c r="AP304" s="60">
        <v>200</v>
      </c>
      <c r="AQ304" s="60">
        <v>34</v>
      </c>
      <c r="AR304" s="60"/>
      <c r="AS304" s="60">
        <v>11</v>
      </c>
      <c r="AT304" s="60"/>
      <c r="AU304" s="60"/>
      <c r="AV304" s="60"/>
      <c r="AW304" s="60"/>
      <c r="AX304" s="60"/>
      <c r="AY304" s="60">
        <v>8</v>
      </c>
      <c r="AZ304" s="60"/>
      <c r="BA304" s="60">
        <v>8681</v>
      </c>
      <c r="BB304" s="60">
        <v>7</v>
      </c>
      <c r="BC304" s="60">
        <v>11</v>
      </c>
      <c r="BD304" s="60"/>
      <c r="BE304" s="60">
        <v>2641</v>
      </c>
      <c r="BF304" s="60">
        <v>2186</v>
      </c>
      <c r="BG304" s="60">
        <v>831</v>
      </c>
      <c r="BH304" s="60">
        <v>2115</v>
      </c>
      <c r="BI304" s="60">
        <v>1179</v>
      </c>
      <c r="BJ304" s="60">
        <v>77</v>
      </c>
      <c r="BK304" s="60">
        <v>32</v>
      </c>
      <c r="BL304" s="60">
        <v>198</v>
      </c>
      <c r="BM304" s="60">
        <v>1</v>
      </c>
      <c r="BN304" s="60">
        <v>580</v>
      </c>
      <c r="BO304" s="60">
        <v>123</v>
      </c>
      <c r="BP304" s="60">
        <v>407</v>
      </c>
      <c r="BQ304" s="60">
        <v>208</v>
      </c>
      <c r="BR304" s="60">
        <v>2807</v>
      </c>
      <c r="BS304" s="60">
        <v>528</v>
      </c>
      <c r="BT304" s="60">
        <v>20</v>
      </c>
      <c r="BU304" s="60">
        <v>626</v>
      </c>
      <c r="BV304" s="60">
        <v>107</v>
      </c>
      <c r="BW304" s="60">
        <v>3</v>
      </c>
      <c r="BX304" s="60">
        <v>252</v>
      </c>
      <c r="BY304" s="60">
        <v>850</v>
      </c>
      <c r="BZ304" s="60">
        <v>436</v>
      </c>
      <c r="CA304" s="60">
        <v>1697</v>
      </c>
      <c r="CB304" s="60"/>
      <c r="CC304" s="60"/>
      <c r="CD304" s="60">
        <v>726</v>
      </c>
      <c r="CE304" s="60">
        <v>26</v>
      </c>
      <c r="CF304" s="60">
        <v>64</v>
      </c>
      <c r="CG304" s="60">
        <v>4</v>
      </c>
      <c r="CH304" s="60">
        <v>38</v>
      </c>
      <c r="CI304" s="60">
        <v>2</v>
      </c>
      <c r="CJ304" s="60">
        <v>46</v>
      </c>
      <c r="CK304" s="60">
        <v>130</v>
      </c>
      <c r="CL304" s="60">
        <v>5951</v>
      </c>
      <c r="CM304" s="60">
        <v>1646</v>
      </c>
      <c r="CN304" s="60">
        <v>78</v>
      </c>
      <c r="CO304" s="60">
        <v>181</v>
      </c>
      <c r="CP304" s="60">
        <v>3</v>
      </c>
      <c r="CQ304" s="60">
        <v>50</v>
      </c>
      <c r="CR304" s="60">
        <v>7</v>
      </c>
      <c r="CS304" s="60"/>
      <c r="CT304" s="60">
        <v>8952</v>
      </c>
      <c r="CU304" s="60">
        <v>3</v>
      </c>
      <c r="CV304" s="60">
        <v>7016</v>
      </c>
      <c r="CW304" s="60">
        <v>1933</v>
      </c>
      <c r="CX304" s="60">
        <v>399</v>
      </c>
      <c r="CY304" s="60">
        <v>336</v>
      </c>
      <c r="CZ304" s="60"/>
      <c r="DA304" s="60"/>
      <c r="DB304" s="60">
        <v>12</v>
      </c>
      <c r="DC304" s="60">
        <v>24</v>
      </c>
      <c r="DD304" s="60">
        <v>51</v>
      </c>
      <c r="DE304" s="60">
        <v>58</v>
      </c>
      <c r="DF304" s="60">
        <v>71</v>
      </c>
      <c r="DG304" s="60">
        <v>113</v>
      </c>
      <c r="DH304" s="60">
        <v>107</v>
      </c>
      <c r="DI304" s="60">
        <v>297</v>
      </c>
      <c r="DJ304" s="60"/>
      <c r="DK304" s="60">
        <v>2</v>
      </c>
      <c r="DL304" s="60"/>
      <c r="DM304" s="60">
        <v>6</v>
      </c>
      <c r="DN304" s="60">
        <v>11</v>
      </c>
      <c r="DO304" s="60">
        <v>102</v>
      </c>
      <c r="DP304" s="60">
        <v>7</v>
      </c>
      <c r="DQ304" s="60">
        <v>1</v>
      </c>
      <c r="DR304" s="60">
        <v>607</v>
      </c>
      <c r="DS304" s="60">
        <v>1</v>
      </c>
      <c r="DT304" s="60">
        <v>52</v>
      </c>
      <c r="DU304" s="60">
        <v>11</v>
      </c>
      <c r="DV304" s="60">
        <v>20</v>
      </c>
      <c r="DW304" s="60">
        <v>71</v>
      </c>
      <c r="DX304" s="60">
        <v>1</v>
      </c>
      <c r="DY304" s="60">
        <v>2</v>
      </c>
      <c r="DZ304" s="60">
        <v>69</v>
      </c>
      <c r="EA304" s="60">
        <v>389</v>
      </c>
      <c r="EB304" s="60">
        <v>120</v>
      </c>
      <c r="EC304" s="60"/>
      <c r="ED304" s="60">
        <v>0</v>
      </c>
      <c r="EE304" s="60">
        <v>0</v>
      </c>
      <c r="EF304" s="60">
        <v>0</v>
      </c>
      <c r="EG304" s="60">
        <v>0</v>
      </c>
      <c r="EH304" s="60">
        <v>0</v>
      </c>
      <c r="EI304" s="60">
        <v>78</v>
      </c>
      <c r="EJ304" s="60">
        <v>478</v>
      </c>
      <c r="EK304" s="60">
        <v>14</v>
      </c>
      <c r="EL304" s="60">
        <v>119</v>
      </c>
      <c r="EM304" s="60">
        <v>46</v>
      </c>
      <c r="EN304" s="60">
        <v>1</v>
      </c>
      <c r="EO304" s="60">
        <v>10</v>
      </c>
      <c r="EP304" s="60">
        <v>126</v>
      </c>
      <c r="EQ304" s="60"/>
      <c r="ER304" s="60">
        <v>126</v>
      </c>
      <c r="ES304" s="60">
        <v>44</v>
      </c>
      <c r="ET304" s="60">
        <v>36</v>
      </c>
      <c r="EU304" s="60">
        <v>50</v>
      </c>
      <c r="EV304" s="60">
        <v>87</v>
      </c>
      <c r="EW304" s="60">
        <v>20</v>
      </c>
      <c r="EX304" s="60">
        <v>14</v>
      </c>
      <c r="EY304" s="60">
        <v>20</v>
      </c>
      <c r="EZ304" s="60">
        <v>2</v>
      </c>
      <c r="FA304" s="60">
        <v>29</v>
      </c>
      <c r="FB304" s="60">
        <v>101</v>
      </c>
      <c r="FC304" s="60">
        <v>20</v>
      </c>
      <c r="FD304" s="60">
        <v>49</v>
      </c>
      <c r="FE304" s="60"/>
      <c r="FF304" s="60"/>
      <c r="FG304" s="60"/>
      <c r="FH304" s="60">
        <v>60</v>
      </c>
      <c r="FI304" s="60">
        <v>7</v>
      </c>
      <c r="FJ304" s="60">
        <v>24</v>
      </c>
      <c r="FK304" s="60"/>
      <c r="FL304" s="60"/>
      <c r="FM304" s="60">
        <v>23</v>
      </c>
      <c r="FN304" s="60">
        <v>3</v>
      </c>
      <c r="FO304" s="60">
        <v>597</v>
      </c>
      <c r="FP304" s="60">
        <v>12</v>
      </c>
      <c r="FQ304" s="60">
        <v>3</v>
      </c>
      <c r="FR304" s="60">
        <v>1</v>
      </c>
      <c r="FS304" s="60">
        <v>3</v>
      </c>
      <c r="FT304" s="60">
        <v>1</v>
      </c>
      <c r="FU304" s="60">
        <v>1</v>
      </c>
      <c r="FV304" s="60"/>
      <c r="FW304" s="60"/>
      <c r="FX304" s="60">
        <v>735</v>
      </c>
      <c r="FY304" s="60"/>
      <c r="FZ304" s="60">
        <v>684</v>
      </c>
      <c r="GA304" s="60">
        <v>51</v>
      </c>
      <c r="GB304" s="60">
        <v>2011</v>
      </c>
    </row>
    <row r="305" spans="1:184" x14ac:dyDescent="0.3">
      <c r="A305" s="60">
        <v>106491001</v>
      </c>
      <c r="B305" s="61" t="s">
        <v>1133</v>
      </c>
      <c r="C305" s="61" t="s">
        <v>1134</v>
      </c>
      <c r="D305" s="61" t="s">
        <v>2092</v>
      </c>
      <c r="E305" s="61" t="s">
        <v>1135</v>
      </c>
      <c r="F305" s="60">
        <v>94954</v>
      </c>
      <c r="G305" s="61"/>
      <c r="H305" s="61" t="s">
        <v>1669</v>
      </c>
      <c r="I305" s="60">
        <v>6</v>
      </c>
      <c r="J305" s="60">
        <v>3</v>
      </c>
      <c r="K305" s="61" t="s">
        <v>2093</v>
      </c>
      <c r="L305" s="61"/>
      <c r="M305" s="61" t="s">
        <v>1891</v>
      </c>
      <c r="N305" s="61" t="s">
        <v>2090</v>
      </c>
      <c r="O305" s="61" t="s">
        <v>1673</v>
      </c>
      <c r="P305" s="61" t="s">
        <v>1678</v>
      </c>
      <c r="Q305" s="61" t="s">
        <v>1674</v>
      </c>
      <c r="R305" s="60">
        <v>80</v>
      </c>
      <c r="S305" s="61" t="s">
        <v>1675</v>
      </c>
      <c r="T305" s="60">
        <v>6373</v>
      </c>
      <c r="U305" s="60">
        <v>5994</v>
      </c>
      <c r="V305" s="60"/>
      <c r="W305" s="60"/>
      <c r="X305" s="60">
        <v>1877</v>
      </c>
      <c r="Y305" s="60">
        <v>1294</v>
      </c>
      <c r="Z305" s="60">
        <v>1817</v>
      </c>
      <c r="AA305" s="60">
        <v>1455</v>
      </c>
      <c r="AB305" s="60">
        <v>1643</v>
      </c>
      <c r="AC305" s="60">
        <v>1496</v>
      </c>
      <c r="AD305" s="60">
        <v>993</v>
      </c>
      <c r="AE305" s="60">
        <v>639</v>
      </c>
      <c r="AF305" s="60">
        <v>788</v>
      </c>
      <c r="AG305" s="60">
        <v>365</v>
      </c>
      <c r="AH305" s="60"/>
      <c r="AI305" s="60">
        <v>201</v>
      </c>
      <c r="AJ305" s="60">
        <v>214</v>
      </c>
      <c r="AK305" s="60">
        <v>2385</v>
      </c>
      <c r="AL305" s="60">
        <v>15</v>
      </c>
      <c r="AM305" s="60">
        <v>159</v>
      </c>
      <c r="AN305" s="60">
        <v>75</v>
      </c>
      <c r="AO305" s="60">
        <v>9318</v>
      </c>
      <c r="AP305" s="60">
        <v>381</v>
      </c>
      <c r="AQ305" s="60">
        <v>90</v>
      </c>
      <c r="AR305" s="60"/>
      <c r="AS305" s="60">
        <v>22</v>
      </c>
      <c r="AT305" s="60">
        <v>1</v>
      </c>
      <c r="AU305" s="60"/>
      <c r="AV305" s="60"/>
      <c r="AW305" s="60"/>
      <c r="AX305" s="60">
        <v>42</v>
      </c>
      <c r="AY305" s="60">
        <v>31</v>
      </c>
      <c r="AZ305" s="60"/>
      <c r="BA305" s="60">
        <v>11742</v>
      </c>
      <c r="BB305" s="60">
        <v>58</v>
      </c>
      <c r="BC305" s="60"/>
      <c r="BD305" s="60"/>
      <c r="BE305" s="60">
        <v>2916</v>
      </c>
      <c r="BF305" s="60">
        <v>2223</v>
      </c>
      <c r="BG305" s="60">
        <v>1444</v>
      </c>
      <c r="BH305" s="60">
        <v>4066</v>
      </c>
      <c r="BI305" s="60">
        <v>1718</v>
      </c>
      <c r="BJ305" s="60">
        <v>160</v>
      </c>
      <c r="BK305" s="60">
        <v>20</v>
      </c>
      <c r="BL305" s="60">
        <v>278</v>
      </c>
      <c r="BM305" s="60"/>
      <c r="BN305" s="60">
        <v>506</v>
      </c>
      <c r="BO305" s="60">
        <v>135</v>
      </c>
      <c r="BP305" s="60">
        <v>375</v>
      </c>
      <c r="BQ305" s="60">
        <v>326</v>
      </c>
      <c r="BR305" s="60">
        <v>4030</v>
      </c>
      <c r="BS305" s="60">
        <v>599</v>
      </c>
      <c r="BT305" s="60">
        <v>13</v>
      </c>
      <c r="BU305" s="60">
        <v>842</v>
      </c>
      <c r="BV305" s="60">
        <v>264</v>
      </c>
      <c r="BW305" s="60">
        <v>15</v>
      </c>
      <c r="BX305" s="60">
        <v>400</v>
      </c>
      <c r="BY305" s="60">
        <v>1226</v>
      </c>
      <c r="BZ305" s="60">
        <v>606</v>
      </c>
      <c r="CA305" s="60">
        <v>2572</v>
      </c>
      <c r="CB305" s="60"/>
      <c r="CC305" s="60"/>
      <c r="CD305" s="60">
        <v>1365</v>
      </c>
      <c r="CE305" s="60">
        <v>83</v>
      </c>
      <c r="CF305" s="60">
        <v>97</v>
      </c>
      <c r="CG305" s="60">
        <v>17</v>
      </c>
      <c r="CH305" s="60">
        <v>125</v>
      </c>
      <c r="CI305" s="60">
        <v>28</v>
      </c>
      <c r="CJ305" s="60">
        <v>92</v>
      </c>
      <c r="CK305" s="60">
        <v>221</v>
      </c>
      <c r="CL305" s="60">
        <v>8024</v>
      </c>
      <c r="CM305" s="60">
        <v>1694</v>
      </c>
      <c r="CN305" s="60">
        <v>120</v>
      </c>
      <c r="CO305" s="60">
        <v>332</v>
      </c>
      <c r="CP305" s="60">
        <v>45</v>
      </c>
      <c r="CQ305" s="60">
        <v>106</v>
      </c>
      <c r="CR305" s="60">
        <v>18</v>
      </c>
      <c r="CS305" s="60"/>
      <c r="CT305" s="60">
        <v>12367</v>
      </c>
      <c r="CU305" s="60">
        <v>92</v>
      </c>
      <c r="CV305" s="60">
        <v>10552</v>
      </c>
      <c r="CW305" s="60">
        <v>1723</v>
      </c>
      <c r="CX305" s="60">
        <v>1074</v>
      </c>
      <c r="CY305" s="60">
        <v>912</v>
      </c>
      <c r="CZ305" s="60"/>
      <c r="DA305" s="60"/>
      <c r="DB305" s="60">
        <v>30</v>
      </c>
      <c r="DC305" s="60">
        <v>97</v>
      </c>
      <c r="DD305" s="60">
        <v>88</v>
      </c>
      <c r="DE305" s="60">
        <v>184</v>
      </c>
      <c r="DF305" s="60">
        <v>351</v>
      </c>
      <c r="DG305" s="60">
        <v>304</v>
      </c>
      <c r="DH305" s="60">
        <v>334</v>
      </c>
      <c r="DI305" s="60">
        <v>579</v>
      </c>
      <c r="DJ305" s="60">
        <v>4</v>
      </c>
      <c r="DK305" s="60">
        <v>15</v>
      </c>
      <c r="DL305" s="60"/>
      <c r="DM305" s="60">
        <v>36</v>
      </c>
      <c r="DN305" s="60">
        <v>26</v>
      </c>
      <c r="DO305" s="60">
        <v>191</v>
      </c>
      <c r="DP305" s="60">
        <v>16</v>
      </c>
      <c r="DQ305" s="60">
        <v>14</v>
      </c>
      <c r="DR305" s="60">
        <v>1703</v>
      </c>
      <c r="DS305" s="60"/>
      <c r="DT305" s="60">
        <v>147</v>
      </c>
      <c r="DU305" s="60">
        <v>24</v>
      </c>
      <c r="DV305" s="60">
        <v>96</v>
      </c>
      <c r="DW305" s="60">
        <v>146</v>
      </c>
      <c r="DX305" s="60">
        <v>24</v>
      </c>
      <c r="DY305" s="60"/>
      <c r="DZ305" s="60">
        <v>7</v>
      </c>
      <c r="EA305" s="60">
        <v>1180</v>
      </c>
      <c r="EB305" s="60">
        <v>361</v>
      </c>
      <c r="EC305" s="60">
        <v>1</v>
      </c>
      <c r="ED305" s="60">
        <v>0</v>
      </c>
      <c r="EE305" s="60">
        <v>0</v>
      </c>
      <c r="EF305" s="60">
        <v>0</v>
      </c>
      <c r="EG305" s="60">
        <v>0</v>
      </c>
      <c r="EH305" s="60">
        <v>0</v>
      </c>
      <c r="EI305" s="60">
        <v>256</v>
      </c>
      <c r="EJ305" s="60">
        <v>1152</v>
      </c>
      <c r="EK305" s="60">
        <v>60</v>
      </c>
      <c r="EL305" s="60">
        <v>279</v>
      </c>
      <c r="EM305" s="60">
        <v>239</v>
      </c>
      <c r="EN305" s="60">
        <v>21</v>
      </c>
      <c r="EO305" s="60">
        <v>42</v>
      </c>
      <c r="EP305" s="60">
        <v>336</v>
      </c>
      <c r="EQ305" s="60"/>
      <c r="ER305" s="60">
        <v>377</v>
      </c>
      <c r="ES305" s="60">
        <v>114</v>
      </c>
      <c r="ET305" s="60">
        <v>132</v>
      </c>
      <c r="EU305" s="60">
        <v>183</v>
      </c>
      <c r="EV305" s="60">
        <v>212</v>
      </c>
      <c r="EW305" s="60">
        <v>33</v>
      </c>
      <c r="EX305" s="60">
        <v>45</v>
      </c>
      <c r="EY305" s="60">
        <v>27</v>
      </c>
      <c r="EZ305" s="60">
        <v>2</v>
      </c>
      <c r="FA305" s="60">
        <v>23</v>
      </c>
      <c r="FB305" s="60">
        <v>265</v>
      </c>
      <c r="FC305" s="60">
        <v>58</v>
      </c>
      <c r="FD305" s="60">
        <v>116</v>
      </c>
      <c r="FE305" s="60"/>
      <c r="FF305" s="60"/>
      <c r="FG305" s="60"/>
      <c r="FH305" s="60">
        <v>160</v>
      </c>
      <c r="FI305" s="60">
        <v>29</v>
      </c>
      <c r="FJ305" s="60">
        <v>297</v>
      </c>
      <c r="FK305" s="60">
        <v>1</v>
      </c>
      <c r="FL305" s="60">
        <v>7</v>
      </c>
      <c r="FM305" s="60">
        <v>114</v>
      </c>
      <c r="FN305" s="60">
        <v>9</v>
      </c>
      <c r="FO305" s="60">
        <v>1304</v>
      </c>
      <c r="FP305" s="60">
        <v>34</v>
      </c>
      <c r="FQ305" s="60">
        <v>3</v>
      </c>
      <c r="FR305" s="60">
        <v>7</v>
      </c>
      <c r="FS305" s="60">
        <v>13</v>
      </c>
      <c r="FT305" s="60">
        <v>5</v>
      </c>
      <c r="FU305" s="60">
        <v>2</v>
      </c>
      <c r="FV305" s="60">
        <v>1</v>
      </c>
      <c r="FW305" s="60"/>
      <c r="FX305" s="60">
        <v>1986</v>
      </c>
      <c r="FY305" s="60">
        <v>25</v>
      </c>
      <c r="FZ305" s="60">
        <v>1816</v>
      </c>
      <c r="GA305" s="60">
        <v>145</v>
      </c>
      <c r="GB305" s="60">
        <v>2011</v>
      </c>
    </row>
    <row r="306" spans="1:184" x14ac:dyDescent="0.3">
      <c r="A306" s="60">
        <v>106491064</v>
      </c>
      <c r="B306" s="61" t="s">
        <v>1136</v>
      </c>
      <c r="C306" s="61" t="s">
        <v>1137</v>
      </c>
      <c r="D306" s="61" t="s">
        <v>1138</v>
      </c>
      <c r="E306" s="61" t="s">
        <v>1128</v>
      </c>
      <c r="F306" s="60">
        <v>95405</v>
      </c>
      <c r="G306" s="61" t="s">
        <v>143</v>
      </c>
      <c r="H306" s="61" t="s">
        <v>1669</v>
      </c>
      <c r="I306" s="60">
        <v>7</v>
      </c>
      <c r="J306" s="60">
        <v>2</v>
      </c>
      <c r="K306" s="61" t="s">
        <v>2089</v>
      </c>
      <c r="L306" s="61"/>
      <c r="M306" s="61" t="s">
        <v>1891</v>
      </c>
      <c r="N306" s="61" t="s">
        <v>2090</v>
      </c>
      <c r="O306" s="61" t="s">
        <v>1673</v>
      </c>
      <c r="P306" s="61" t="s">
        <v>1678</v>
      </c>
      <c r="Q306" s="61" t="s">
        <v>1674</v>
      </c>
      <c r="R306" s="60">
        <v>278</v>
      </c>
      <c r="S306" s="61" t="s">
        <v>1675</v>
      </c>
      <c r="T306" s="60">
        <v>13943</v>
      </c>
      <c r="U306" s="60">
        <v>12860</v>
      </c>
      <c r="V306" s="60"/>
      <c r="W306" s="60"/>
      <c r="X306" s="60">
        <v>2479</v>
      </c>
      <c r="Y306" s="60">
        <v>2218</v>
      </c>
      <c r="Z306" s="60">
        <v>4344</v>
      </c>
      <c r="AA306" s="60">
        <v>3057</v>
      </c>
      <c r="AB306" s="60">
        <v>3490</v>
      </c>
      <c r="AC306" s="60">
        <v>3691</v>
      </c>
      <c r="AD306" s="60">
        <v>2472</v>
      </c>
      <c r="AE306" s="60">
        <v>1688</v>
      </c>
      <c r="AF306" s="60">
        <v>2668</v>
      </c>
      <c r="AG306" s="60">
        <v>696</v>
      </c>
      <c r="AH306" s="60"/>
      <c r="AI306" s="60">
        <v>492</v>
      </c>
      <c r="AJ306" s="60">
        <v>961</v>
      </c>
      <c r="AK306" s="60">
        <v>4912</v>
      </c>
      <c r="AL306" s="60">
        <v>82</v>
      </c>
      <c r="AM306" s="60">
        <v>30</v>
      </c>
      <c r="AN306" s="60">
        <v>28</v>
      </c>
      <c r="AO306" s="60">
        <v>20298</v>
      </c>
      <c r="AP306" s="60">
        <v>267</v>
      </c>
      <c r="AQ306" s="60">
        <v>309</v>
      </c>
      <c r="AR306" s="60"/>
      <c r="AS306" s="60">
        <v>60</v>
      </c>
      <c r="AT306" s="60">
        <v>2</v>
      </c>
      <c r="AU306" s="60">
        <v>2</v>
      </c>
      <c r="AV306" s="60"/>
      <c r="AW306" s="60"/>
      <c r="AX306" s="60">
        <v>53</v>
      </c>
      <c r="AY306" s="60">
        <v>165</v>
      </c>
      <c r="AZ306" s="60"/>
      <c r="BA306" s="60">
        <v>25882</v>
      </c>
      <c r="BB306" s="60">
        <v>63</v>
      </c>
      <c r="BC306" s="60"/>
      <c r="BD306" s="60"/>
      <c r="BE306" s="60">
        <v>6866</v>
      </c>
      <c r="BF306" s="60">
        <v>6878</v>
      </c>
      <c r="BG306" s="60">
        <v>3305</v>
      </c>
      <c r="BH306" s="60">
        <v>6006</v>
      </c>
      <c r="BI306" s="60">
        <v>3748</v>
      </c>
      <c r="BJ306" s="60">
        <v>412</v>
      </c>
      <c r="BK306" s="60">
        <v>76</v>
      </c>
      <c r="BL306" s="60">
        <v>753</v>
      </c>
      <c r="BM306" s="60">
        <v>6</v>
      </c>
      <c r="BN306" s="60">
        <v>1536</v>
      </c>
      <c r="BO306" s="60">
        <v>390</v>
      </c>
      <c r="BP306" s="60">
        <v>1462</v>
      </c>
      <c r="BQ306" s="60">
        <v>545</v>
      </c>
      <c r="BR306" s="60">
        <v>6731</v>
      </c>
      <c r="BS306" s="60">
        <v>1620</v>
      </c>
      <c r="BT306" s="60">
        <v>49</v>
      </c>
      <c r="BU306" s="60">
        <v>1655</v>
      </c>
      <c r="BV306" s="60">
        <v>529</v>
      </c>
      <c r="BW306" s="60">
        <v>25</v>
      </c>
      <c r="BX306" s="60">
        <v>1366</v>
      </c>
      <c r="BY306" s="60">
        <v>2332</v>
      </c>
      <c r="BZ306" s="60">
        <v>1082</v>
      </c>
      <c r="CA306" s="60">
        <v>6234</v>
      </c>
      <c r="CB306" s="60"/>
      <c r="CC306" s="60"/>
      <c r="CD306" s="60">
        <v>2421</v>
      </c>
      <c r="CE306" s="60">
        <v>149</v>
      </c>
      <c r="CF306" s="60">
        <v>209</v>
      </c>
      <c r="CG306" s="60">
        <v>20</v>
      </c>
      <c r="CH306" s="60">
        <v>389</v>
      </c>
      <c r="CI306" s="60">
        <v>49</v>
      </c>
      <c r="CJ306" s="60">
        <v>157</v>
      </c>
      <c r="CK306" s="60">
        <v>246</v>
      </c>
      <c r="CL306" s="60">
        <v>19252</v>
      </c>
      <c r="CM306" s="60">
        <v>2486</v>
      </c>
      <c r="CN306" s="60">
        <v>202</v>
      </c>
      <c r="CO306" s="60">
        <v>953</v>
      </c>
      <c r="CP306" s="60">
        <v>98</v>
      </c>
      <c r="CQ306" s="60">
        <v>144</v>
      </c>
      <c r="CR306" s="60">
        <v>27</v>
      </c>
      <c r="CS306" s="60">
        <v>1</v>
      </c>
      <c r="CT306" s="60">
        <v>26803</v>
      </c>
      <c r="CU306" s="60">
        <v>218</v>
      </c>
      <c r="CV306" s="60">
        <v>23155</v>
      </c>
      <c r="CW306" s="60">
        <v>3430</v>
      </c>
      <c r="CX306" s="60">
        <v>3472</v>
      </c>
      <c r="CY306" s="60">
        <v>3448</v>
      </c>
      <c r="CZ306" s="60"/>
      <c r="DA306" s="60"/>
      <c r="DB306" s="60">
        <v>179</v>
      </c>
      <c r="DC306" s="60">
        <v>395</v>
      </c>
      <c r="DD306" s="60">
        <v>394</v>
      </c>
      <c r="DE306" s="60">
        <v>664</v>
      </c>
      <c r="DF306" s="60">
        <v>1039</v>
      </c>
      <c r="DG306" s="60">
        <v>1106</v>
      </c>
      <c r="DH306" s="60">
        <v>1040</v>
      </c>
      <c r="DI306" s="60">
        <v>1875</v>
      </c>
      <c r="DJ306" s="60">
        <v>81</v>
      </c>
      <c r="DK306" s="60">
        <v>147</v>
      </c>
      <c r="DL306" s="60"/>
      <c r="DM306" s="60">
        <v>148</v>
      </c>
      <c r="DN306" s="60">
        <v>166</v>
      </c>
      <c r="DO306" s="60">
        <v>687</v>
      </c>
      <c r="DP306" s="60">
        <v>7</v>
      </c>
      <c r="DQ306" s="60">
        <v>8</v>
      </c>
      <c r="DR306" s="60">
        <v>5886</v>
      </c>
      <c r="DS306" s="60">
        <v>18</v>
      </c>
      <c r="DT306" s="60">
        <v>296</v>
      </c>
      <c r="DU306" s="60">
        <v>96</v>
      </c>
      <c r="DV306" s="60">
        <v>321</v>
      </c>
      <c r="DW306" s="60">
        <v>671</v>
      </c>
      <c r="DX306" s="60">
        <v>200</v>
      </c>
      <c r="DY306" s="60"/>
      <c r="DZ306" s="60">
        <v>61</v>
      </c>
      <c r="EA306" s="60">
        <v>4082</v>
      </c>
      <c r="EB306" s="60">
        <v>1181</v>
      </c>
      <c r="EC306" s="60">
        <v>12</v>
      </c>
      <c r="ED306" s="60">
        <v>0</v>
      </c>
      <c r="EE306" s="60">
        <v>0</v>
      </c>
      <c r="EF306" s="60">
        <v>0</v>
      </c>
      <c r="EG306" s="60">
        <v>0</v>
      </c>
      <c r="EH306" s="60">
        <v>0</v>
      </c>
      <c r="EI306" s="60">
        <v>949</v>
      </c>
      <c r="EJ306" s="60">
        <v>3793</v>
      </c>
      <c r="EK306" s="60">
        <v>206</v>
      </c>
      <c r="EL306" s="60">
        <v>1219</v>
      </c>
      <c r="EM306" s="60">
        <v>753</v>
      </c>
      <c r="EN306" s="60">
        <v>47</v>
      </c>
      <c r="EO306" s="60">
        <v>86</v>
      </c>
      <c r="EP306" s="60">
        <v>1179</v>
      </c>
      <c r="EQ306" s="60">
        <v>5</v>
      </c>
      <c r="ER306" s="60">
        <v>1010</v>
      </c>
      <c r="ES306" s="60">
        <v>203</v>
      </c>
      <c r="ET306" s="60">
        <v>297</v>
      </c>
      <c r="EU306" s="60">
        <v>554</v>
      </c>
      <c r="EV306" s="60">
        <v>1698</v>
      </c>
      <c r="EW306" s="60">
        <v>152</v>
      </c>
      <c r="EX306" s="60">
        <v>165</v>
      </c>
      <c r="EY306" s="60">
        <v>176</v>
      </c>
      <c r="EZ306" s="60">
        <v>7</v>
      </c>
      <c r="FA306" s="60">
        <v>116</v>
      </c>
      <c r="FB306" s="60">
        <v>794</v>
      </c>
      <c r="FC306" s="60">
        <v>146</v>
      </c>
      <c r="FD306" s="60">
        <v>271</v>
      </c>
      <c r="FE306" s="60"/>
      <c r="FF306" s="60">
        <v>14</v>
      </c>
      <c r="FG306" s="60"/>
      <c r="FH306" s="60">
        <v>654</v>
      </c>
      <c r="FI306" s="60">
        <v>77</v>
      </c>
      <c r="FJ306" s="60">
        <v>754</v>
      </c>
      <c r="FK306" s="60">
        <v>65</v>
      </c>
      <c r="FL306" s="60">
        <v>49</v>
      </c>
      <c r="FM306" s="60">
        <v>479</v>
      </c>
      <c r="FN306" s="60">
        <v>21</v>
      </c>
      <c r="FO306" s="60">
        <v>4123</v>
      </c>
      <c r="FP306" s="60">
        <v>138</v>
      </c>
      <c r="FQ306" s="60">
        <v>61</v>
      </c>
      <c r="FR306" s="60">
        <v>374</v>
      </c>
      <c r="FS306" s="60">
        <v>71</v>
      </c>
      <c r="FT306" s="60">
        <v>24</v>
      </c>
      <c r="FU306" s="60">
        <v>29</v>
      </c>
      <c r="FV306" s="60">
        <v>1</v>
      </c>
      <c r="FW306" s="60"/>
      <c r="FX306" s="60">
        <v>6920</v>
      </c>
      <c r="FY306" s="60">
        <v>80</v>
      </c>
      <c r="FZ306" s="60">
        <v>6335</v>
      </c>
      <c r="GA306" s="60">
        <v>505</v>
      </c>
      <c r="GB306" s="60">
        <v>2011</v>
      </c>
    </row>
    <row r="307" spans="1:184" x14ac:dyDescent="0.3">
      <c r="A307" s="60">
        <v>106491076</v>
      </c>
      <c r="B307" s="61" t="s">
        <v>1139</v>
      </c>
      <c r="C307" s="61" t="s">
        <v>1140</v>
      </c>
      <c r="D307" s="61" t="s">
        <v>1141</v>
      </c>
      <c r="E307" s="61" t="s">
        <v>1126</v>
      </c>
      <c r="F307" s="60">
        <v>95476</v>
      </c>
      <c r="G307" s="61"/>
      <c r="H307" s="61" t="s">
        <v>1669</v>
      </c>
      <c r="I307" s="60">
        <v>6</v>
      </c>
      <c r="J307" s="60">
        <v>2</v>
      </c>
      <c r="K307" s="61" t="s">
        <v>2094</v>
      </c>
      <c r="L307" s="61"/>
      <c r="M307" s="61" t="s">
        <v>1891</v>
      </c>
      <c r="N307" s="61" t="s">
        <v>2090</v>
      </c>
      <c r="O307" s="61" t="s">
        <v>1673</v>
      </c>
      <c r="P307" s="61" t="s">
        <v>159</v>
      </c>
      <c r="Q307" s="61" t="s">
        <v>1674</v>
      </c>
      <c r="R307" s="60">
        <v>56</v>
      </c>
      <c r="S307" s="61" t="s">
        <v>1675</v>
      </c>
      <c r="T307" s="60">
        <v>4410</v>
      </c>
      <c r="U307" s="60">
        <v>3764</v>
      </c>
      <c r="V307" s="60">
        <v>1</v>
      </c>
      <c r="W307" s="60"/>
      <c r="X307" s="60">
        <v>904</v>
      </c>
      <c r="Y307" s="60">
        <v>692</v>
      </c>
      <c r="Z307" s="60">
        <v>1029</v>
      </c>
      <c r="AA307" s="60">
        <v>832</v>
      </c>
      <c r="AB307" s="60">
        <v>888</v>
      </c>
      <c r="AC307" s="60">
        <v>1045</v>
      </c>
      <c r="AD307" s="60">
        <v>970</v>
      </c>
      <c r="AE307" s="60">
        <v>652</v>
      </c>
      <c r="AF307" s="60">
        <v>1000</v>
      </c>
      <c r="AG307" s="60">
        <v>163</v>
      </c>
      <c r="AH307" s="60"/>
      <c r="AI307" s="60">
        <v>106</v>
      </c>
      <c r="AJ307" s="60">
        <v>103</v>
      </c>
      <c r="AK307" s="60">
        <v>1784</v>
      </c>
      <c r="AL307" s="60">
        <v>14</v>
      </c>
      <c r="AM307" s="60">
        <v>29</v>
      </c>
      <c r="AN307" s="60">
        <v>177</v>
      </c>
      <c r="AO307" s="60">
        <v>5962</v>
      </c>
      <c r="AP307" s="60">
        <v>477</v>
      </c>
      <c r="AQ307" s="60">
        <v>34</v>
      </c>
      <c r="AR307" s="60">
        <v>86</v>
      </c>
      <c r="AS307" s="60">
        <v>22</v>
      </c>
      <c r="AT307" s="60">
        <v>5</v>
      </c>
      <c r="AU307" s="60">
        <v>1</v>
      </c>
      <c r="AV307" s="60">
        <v>1</v>
      </c>
      <c r="AW307" s="60">
        <v>57</v>
      </c>
      <c r="AX307" s="60"/>
      <c r="AY307" s="60">
        <v>7</v>
      </c>
      <c r="AZ307" s="60">
        <v>16</v>
      </c>
      <c r="BA307" s="60">
        <v>7414</v>
      </c>
      <c r="BB307" s="60">
        <v>54</v>
      </c>
      <c r="BC307" s="60"/>
      <c r="BD307" s="60">
        <v>1</v>
      </c>
      <c r="BE307" s="60">
        <v>1707</v>
      </c>
      <c r="BF307" s="60">
        <v>2230</v>
      </c>
      <c r="BG307" s="60">
        <v>380</v>
      </c>
      <c r="BH307" s="60">
        <v>2775</v>
      </c>
      <c r="BI307" s="60">
        <v>1083</v>
      </c>
      <c r="BJ307" s="60">
        <v>228</v>
      </c>
      <c r="BK307" s="60">
        <v>14</v>
      </c>
      <c r="BL307" s="60">
        <v>283</v>
      </c>
      <c r="BM307" s="60">
        <v>2</v>
      </c>
      <c r="BN307" s="60">
        <v>364</v>
      </c>
      <c r="BO307" s="60">
        <v>131</v>
      </c>
      <c r="BP307" s="60">
        <v>378</v>
      </c>
      <c r="BQ307" s="60">
        <v>147</v>
      </c>
      <c r="BR307" s="60">
        <v>2228</v>
      </c>
      <c r="BS307" s="60">
        <v>503</v>
      </c>
      <c r="BT307" s="60">
        <v>21</v>
      </c>
      <c r="BU307" s="60">
        <v>466</v>
      </c>
      <c r="BV307" s="60">
        <v>258</v>
      </c>
      <c r="BW307" s="60">
        <v>15</v>
      </c>
      <c r="BX307" s="60">
        <v>229</v>
      </c>
      <c r="BY307" s="60">
        <v>653</v>
      </c>
      <c r="BZ307" s="60">
        <v>348</v>
      </c>
      <c r="CA307" s="60">
        <v>1907</v>
      </c>
      <c r="CB307" s="60"/>
      <c r="CC307" s="60"/>
      <c r="CD307" s="60">
        <v>893</v>
      </c>
      <c r="CE307" s="60">
        <v>28</v>
      </c>
      <c r="CF307" s="60">
        <v>67</v>
      </c>
      <c r="CG307" s="60">
        <v>3</v>
      </c>
      <c r="CH307" s="60">
        <v>60</v>
      </c>
      <c r="CI307" s="60">
        <v>2</v>
      </c>
      <c r="CJ307" s="60">
        <v>35</v>
      </c>
      <c r="CK307" s="60">
        <v>147</v>
      </c>
      <c r="CL307" s="60">
        <v>5725</v>
      </c>
      <c r="CM307" s="60">
        <v>912</v>
      </c>
      <c r="CN307" s="60">
        <v>72</v>
      </c>
      <c r="CO307" s="60">
        <v>152</v>
      </c>
      <c r="CP307" s="60">
        <v>16</v>
      </c>
      <c r="CQ307" s="60">
        <v>60</v>
      </c>
      <c r="CR307" s="60">
        <v>3</v>
      </c>
      <c r="CS307" s="60"/>
      <c r="CT307" s="60">
        <v>8175</v>
      </c>
      <c r="CU307" s="60">
        <v>57</v>
      </c>
      <c r="CV307" s="60">
        <v>6994</v>
      </c>
      <c r="CW307" s="60">
        <v>1124</v>
      </c>
      <c r="CX307" s="60">
        <v>621</v>
      </c>
      <c r="CY307" s="60">
        <v>539</v>
      </c>
      <c r="CZ307" s="60"/>
      <c r="DA307" s="60"/>
      <c r="DB307" s="60">
        <v>18</v>
      </c>
      <c r="DC307" s="60">
        <v>80</v>
      </c>
      <c r="DD307" s="60">
        <v>55</v>
      </c>
      <c r="DE307" s="60">
        <v>99</v>
      </c>
      <c r="DF307" s="60">
        <v>117</v>
      </c>
      <c r="DG307" s="60">
        <v>174</v>
      </c>
      <c r="DH307" s="60">
        <v>181</v>
      </c>
      <c r="DI307" s="60">
        <v>434</v>
      </c>
      <c r="DJ307" s="60"/>
      <c r="DK307" s="60">
        <v>2</v>
      </c>
      <c r="DL307" s="60"/>
      <c r="DM307" s="60">
        <v>8</v>
      </c>
      <c r="DN307" s="60">
        <v>24</v>
      </c>
      <c r="DO307" s="60">
        <v>135</v>
      </c>
      <c r="DP307" s="60">
        <v>1</v>
      </c>
      <c r="DQ307" s="60">
        <v>5</v>
      </c>
      <c r="DR307" s="60">
        <v>986</v>
      </c>
      <c r="DS307" s="60">
        <v>1</v>
      </c>
      <c r="DT307" s="60">
        <v>71</v>
      </c>
      <c r="DU307" s="60">
        <v>5</v>
      </c>
      <c r="DV307" s="60">
        <v>33</v>
      </c>
      <c r="DW307" s="60">
        <v>88</v>
      </c>
      <c r="DX307" s="60">
        <v>7</v>
      </c>
      <c r="DY307" s="60">
        <v>5</v>
      </c>
      <c r="DZ307" s="60">
        <v>63</v>
      </c>
      <c r="EA307" s="60">
        <v>519</v>
      </c>
      <c r="EB307" s="60">
        <v>369</v>
      </c>
      <c r="EC307" s="60"/>
      <c r="ED307" s="60">
        <v>0</v>
      </c>
      <c r="EE307" s="60">
        <v>0</v>
      </c>
      <c r="EF307" s="60">
        <v>0</v>
      </c>
      <c r="EG307" s="60">
        <v>0</v>
      </c>
      <c r="EH307" s="60">
        <v>0</v>
      </c>
      <c r="EI307" s="60">
        <v>124</v>
      </c>
      <c r="EJ307" s="60">
        <v>706</v>
      </c>
      <c r="EK307" s="60">
        <v>37</v>
      </c>
      <c r="EL307" s="60">
        <v>225</v>
      </c>
      <c r="EM307" s="60">
        <v>68</v>
      </c>
      <c r="EN307" s="60">
        <v>14</v>
      </c>
      <c r="EO307" s="60">
        <v>21</v>
      </c>
      <c r="EP307" s="60">
        <v>179</v>
      </c>
      <c r="EQ307" s="60"/>
      <c r="ER307" s="60">
        <v>192</v>
      </c>
      <c r="ES307" s="60">
        <v>32</v>
      </c>
      <c r="ET307" s="60">
        <v>65</v>
      </c>
      <c r="EU307" s="60">
        <v>190</v>
      </c>
      <c r="EV307" s="60">
        <v>197</v>
      </c>
      <c r="EW307" s="60">
        <v>24</v>
      </c>
      <c r="EX307" s="60">
        <v>14</v>
      </c>
      <c r="EY307" s="60">
        <v>30</v>
      </c>
      <c r="EZ307" s="60">
        <v>4</v>
      </c>
      <c r="FA307" s="60">
        <v>12</v>
      </c>
      <c r="FB307" s="60">
        <v>101</v>
      </c>
      <c r="FC307" s="60">
        <v>28</v>
      </c>
      <c r="FD307" s="60">
        <v>57</v>
      </c>
      <c r="FE307" s="60"/>
      <c r="FF307" s="60"/>
      <c r="FG307" s="60"/>
      <c r="FH307" s="60">
        <v>151</v>
      </c>
      <c r="FI307" s="60">
        <v>17</v>
      </c>
      <c r="FJ307" s="60">
        <v>109</v>
      </c>
      <c r="FK307" s="60">
        <v>2</v>
      </c>
      <c r="FL307" s="60">
        <v>2</v>
      </c>
      <c r="FM307" s="60">
        <v>37</v>
      </c>
      <c r="FN307" s="60">
        <v>6</v>
      </c>
      <c r="FO307" s="60">
        <v>794</v>
      </c>
      <c r="FP307" s="60">
        <v>22</v>
      </c>
      <c r="FQ307" s="60">
        <v>1</v>
      </c>
      <c r="FR307" s="60">
        <v>3</v>
      </c>
      <c r="FS307" s="60">
        <v>7</v>
      </c>
      <c r="FT307" s="60">
        <v>9</v>
      </c>
      <c r="FU307" s="60"/>
      <c r="FV307" s="60"/>
      <c r="FW307" s="60"/>
      <c r="FX307" s="60">
        <v>1160</v>
      </c>
      <c r="FY307" s="60">
        <v>5</v>
      </c>
      <c r="FZ307" s="60">
        <v>1059</v>
      </c>
      <c r="GA307" s="60">
        <v>96</v>
      </c>
      <c r="GB307" s="60">
        <v>2011</v>
      </c>
    </row>
    <row r="308" spans="1:184" x14ac:dyDescent="0.3">
      <c r="A308" s="60">
        <v>106491338</v>
      </c>
      <c r="B308" s="61" t="s">
        <v>1142</v>
      </c>
      <c r="C308" s="61" t="s">
        <v>1143</v>
      </c>
      <c r="D308" s="61" t="s">
        <v>1144</v>
      </c>
      <c r="E308" s="61" t="s">
        <v>1145</v>
      </c>
      <c r="F308" s="60">
        <v>95472</v>
      </c>
      <c r="G308" s="61"/>
      <c r="H308" s="61" t="s">
        <v>1669</v>
      </c>
      <c r="I308" s="60">
        <v>1</v>
      </c>
      <c r="J308" s="60">
        <v>2</v>
      </c>
      <c r="K308" s="61" t="s">
        <v>2095</v>
      </c>
      <c r="L308" s="61"/>
      <c r="M308" s="61" t="s">
        <v>1891</v>
      </c>
      <c r="N308" s="61" t="s">
        <v>2090</v>
      </c>
      <c r="O308" s="61" t="s">
        <v>1673</v>
      </c>
      <c r="P308" s="61" t="s">
        <v>159</v>
      </c>
      <c r="Q308" s="61" t="s">
        <v>1674</v>
      </c>
      <c r="R308" s="60">
        <v>37</v>
      </c>
      <c r="S308" s="61" t="s">
        <v>1706</v>
      </c>
      <c r="T308" s="60">
        <v>3664</v>
      </c>
      <c r="U308" s="60">
        <v>3423</v>
      </c>
      <c r="V308" s="60"/>
      <c r="W308" s="60"/>
      <c r="X308" s="60">
        <v>479</v>
      </c>
      <c r="Y308" s="60">
        <v>736</v>
      </c>
      <c r="Z308" s="60">
        <v>969</v>
      </c>
      <c r="AA308" s="60">
        <v>860</v>
      </c>
      <c r="AB308" s="60">
        <v>1002</v>
      </c>
      <c r="AC308" s="60">
        <v>1100</v>
      </c>
      <c r="AD308" s="60">
        <v>943</v>
      </c>
      <c r="AE308" s="60">
        <v>460</v>
      </c>
      <c r="AF308" s="60">
        <v>481</v>
      </c>
      <c r="AG308" s="60">
        <v>57</v>
      </c>
      <c r="AH308" s="60"/>
      <c r="AI308" s="60">
        <v>69</v>
      </c>
      <c r="AJ308" s="60">
        <v>121</v>
      </c>
      <c r="AK308" s="60">
        <v>463</v>
      </c>
      <c r="AL308" s="60">
        <v>20</v>
      </c>
      <c r="AM308" s="60">
        <v>74</v>
      </c>
      <c r="AN308" s="60">
        <v>68</v>
      </c>
      <c r="AO308" s="60">
        <v>6272</v>
      </c>
      <c r="AP308" s="60">
        <v>196</v>
      </c>
      <c r="AQ308" s="60">
        <v>37</v>
      </c>
      <c r="AR308" s="60">
        <v>18</v>
      </c>
      <c r="AS308" s="60">
        <v>15</v>
      </c>
      <c r="AT308" s="60"/>
      <c r="AU308" s="60"/>
      <c r="AV308" s="60"/>
      <c r="AW308" s="60"/>
      <c r="AX308" s="60">
        <v>4</v>
      </c>
      <c r="AY308" s="60"/>
      <c r="AZ308" s="60"/>
      <c r="BA308" s="60">
        <v>6789</v>
      </c>
      <c r="BB308" s="60">
        <v>28</v>
      </c>
      <c r="BC308" s="60"/>
      <c r="BD308" s="60"/>
      <c r="BE308" s="60">
        <v>1729</v>
      </c>
      <c r="BF308" s="60">
        <v>1648</v>
      </c>
      <c r="BG308" s="60">
        <v>320</v>
      </c>
      <c r="BH308" s="60">
        <v>2018</v>
      </c>
      <c r="BI308" s="60">
        <v>1372</v>
      </c>
      <c r="BJ308" s="60">
        <v>40</v>
      </c>
      <c r="BK308" s="60">
        <v>12</v>
      </c>
      <c r="BL308" s="60">
        <v>207</v>
      </c>
      <c r="BM308" s="60"/>
      <c r="BN308" s="60">
        <v>424</v>
      </c>
      <c r="BO308" s="60">
        <v>134</v>
      </c>
      <c r="BP308" s="60">
        <v>332</v>
      </c>
      <c r="BQ308" s="60">
        <v>93</v>
      </c>
      <c r="BR308" s="60">
        <v>2308</v>
      </c>
      <c r="BS308" s="60">
        <v>228</v>
      </c>
      <c r="BT308" s="60">
        <v>2</v>
      </c>
      <c r="BU308" s="60">
        <v>854</v>
      </c>
      <c r="BV308" s="60">
        <v>285</v>
      </c>
      <c r="BW308" s="60"/>
      <c r="BX308" s="60">
        <v>251</v>
      </c>
      <c r="BY308" s="60">
        <v>567</v>
      </c>
      <c r="BZ308" s="60">
        <v>356</v>
      </c>
      <c r="CA308" s="60">
        <v>994</v>
      </c>
      <c r="CB308" s="60"/>
      <c r="CC308" s="60"/>
      <c r="CD308" s="60">
        <v>787</v>
      </c>
      <c r="CE308" s="60">
        <v>27</v>
      </c>
      <c r="CF308" s="60">
        <v>103</v>
      </c>
      <c r="CG308" s="60">
        <v>10</v>
      </c>
      <c r="CH308" s="60">
        <v>48</v>
      </c>
      <c r="CI308" s="60">
        <v>14</v>
      </c>
      <c r="CJ308" s="60">
        <v>98</v>
      </c>
      <c r="CK308" s="60">
        <v>201</v>
      </c>
      <c r="CL308" s="60">
        <v>4416</v>
      </c>
      <c r="CM308" s="60">
        <v>1071</v>
      </c>
      <c r="CN308" s="60">
        <v>99</v>
      </c>
      <c r="CO308" s="60">
        <v>149</v>
      </c>
      <c r="CP308" s="60">
        <v>12</v>
      </c>
      <c r="CQ308" s="60">
        <v>48</v>
      </c>
      <c r="CR308" s="60">
        <v>4</v>
      </c>
      <c r="CS308" s="60"/>
      <c r="CT308" s="60">
        <v>7087</v>
      </c>
      <c r="CU308" s="60">
        <v>29</v>
      </c>
      <c r="CV308" s="60">
        <v>6760</v>
      </c>
      <c r="CW308" s="60">
        <v>298</v>
      </c>
      <c r="CX308" s="60">
        <v>382</v>
      </c>
      <c r="CY308" s="60">
        <v>375</v>
      </c>
      <c r="CZ308" s="60"/>
      <c r="DA308" s="60"/>
      <c r="DB308" s="60">
        <v>9</v>
      </c>
      <c r="DC308" s="60">
        <v>14</v>
      </c>
      <c r="DD308" s="60">
        <v>36</v>
      </c>
      <c r="DE308" s="60">
        <v>62</v>
      </c>
      <c r="DF308" s="60">
        <v>121</v>
      </c>
      <c r="DG308" s="60">
        <v>182</v>
      </c>
      <c r="DH308" s="60">
        <v>124</v>
      </c>
      <c r="DI308" s="60">
        <v>209</v>
      </c>
      <c r="DJ308" s="60"/>
      <c r="DK308" s="60"/>
      <c r="DL308" s="60"/>
      <c r="DM308" s="60">
        <v>6</v>
      </c>
      <c r="DN308" s="60">
        <v>9</v>
      </c>
      <c r="DO308" s="60">
        <v>20</v>
      </c>
      <c r="DP308" s="60">
        <v>2</v>
      </c>
      <c r="DQ308" s="60">
        <v>1</v>
      </c>
      <c r="DR308" s="60">
        <v>719</v>
      </c>
      <c r="DS308" s="60"/>
      <c r="DT308" s="60">
        <v>33</v>
      </c>
      <c r="DU308" s="60">
        <v>7</v>
      </c>
      <c r="DV308" s="60">
        <v>13</v>
      </c>
      <c r="DW308" s="60">
        <v>43</v>
      </c>
      <c r="DX308" s="60"/>
      <c r="DY308" s="60">
        <v>3</v>
      </c>
      <c r="DZ308" s="60"/>
      <c r="EA308" s="60">
        <v>516</v>
      </c>
      <c r="EB308" s="60">
        <v>142</v>
      </c>
      <c r="EC308" s="60"/>
      <c r="ED308" s="60">
        <v>0</v>
      </c>
      <c r="EE308" s="60">
        <v>0</v>
      </c>
      <c r="EF308" s="60">
        <v>0</v>
      </c>
      <c r="EG308" s="60">
        <v>0</v>
      </c>
      <c r="EH308" s="60">
        <v>0</v>
      </c>
      <c r="EI308" s="60">
        <v>59</v>
      </c>
      <c r="EJ308" s="60">
        <v>449</v>
      </c>
      <c r="EK308" s="60">
        <v>23</v>
      </c>
      <c r="EL308" s="60">
        <v>135</v>
      </c>
      <c r="EM308" s="60">
        <v>91</v>
      </c>
      <c r="EN308" s="60">
        <v>1</v>
      </c>
      <c r="EO308" s="60">
        <v>4</v>
      </c>
      <c r="EP308" s="60">
        <v>132</v>
      </c>
      <c r="EQ308" s="60"/>
      <c r="ER308" s="60">
        <v>146</v>
      </c>
      <c r="ES308" s="60">
        <v>37</v>
      </c>
      <c r="ET308" s="60">
        <v>33</v>
      </c>
      <c r="EU308" s="60">
        <v>73</v>
      </c>
      <c r="EV308" s="60">
        <v>109</v>
      </c>
      <c r="EW308" s="60">
        <v>17</v>
      </c>
      <c r="EX308" s="60">
        <v>13</v>
      </c>
      <c r="EY308" s="60">
        <v>37</v>
      </c>
      <c r="EZ308" s="60"/>
      <c r="FA308" s="60">
        <v>21</v>
      </c>
      <c r="FB308" s="60">
        <v>89</v>
      </c>
      <c r="FC308" s="60">
        <v>21</v>
      </c>
      <c r="FD308" s="60">
        <v>24</v>
      </c>
      <c r="FE308" s="60"/>
      <c r="FF308" s="60"/>
      <c r="FG308" s="60"/>
      <c r="FH308" s="60">
        <v>68</v>
      </c>
      <c r="FI308" s="60">
        <v>12</v>
      </c>
      <c r="FJ308" s="60">
        <v>62</v>
      </c>
      <c r="FK308" s="60">
        <v>1</v>
      </c>
      <c r="FL308" s="60">
        <v>9</v>
      </c>
      <c r="FM308" s="60">
        <v>40</v>
      </c>
      <c r="FN308" s="60">
        <v>1</v>
      </c>
      <c r="FO308" s="60">
        <v>532</v>
      </c>
      <c r="FP308" s="60">
        <v>12</v>
      </c>
      <c r="FQ308" s="60">
        <v>2</v>
      </c>
      <c r="FR308" s="60">
        <v>2</v>
      </c>
      <c r="FS308" s="60">
        <v>10</v>
      </c>
      <c r="FT308" s="60">
        <v>3</v>
      </c>
      <c r="FU308" s="60">
        <v>3</v>
      </c>
      <c r="FV308" s="60"/>
      <c r="FW308" s="60"/>
      <c r="FX308" s="60">
        <v>757</v>
      </c>
      <c r="FY308" s="60">
        <v>5</v>
      </c>
      <c r="FZ308" s="60">
        <v>741</v>
      </c>
      <c r="GA308" s="60">
        <v>11</v>
      </c>
      <c r="GB308" s="60">
        <v>2011</v>
      </c>
    </row>
    <row r="309" spans="1:184" x14ac:dyDescent="0.3">
      <c r="A309" s="60">
        <v>106494019</v>
      </c>
      <c r="B309" s="61" t="s">
        <v>1146</v>
      </c>
      <c r="C309" s="61" t="s">
        <v>2096</v>
      </c>
      <c r="D309" s="61" t="s">
        <v>1147</v>
      </c>
      <c r="E309" s="61" t="s">
        <v>1128</v>
      </c>
      <c r="F309" s="60">
        <v>95403</v>
      </c>
      <c r="G309" s="61"/>
      <c r="H309" s="61" t="s">
        <v>1689</v>
      </c>
      <c r="I309" s="60">
        <v>7</v>
      </c>
      <c r="J309" s="60">
        <v>2</v>
      </c>
      <c r="K309" s="61" t="s">
        <v>2089</v>
      </c>
      <c r="L309" s="61"/>
      <c r="M309" s="61" t="s">
        <v>1891</v>
      </c>
      <c r="N309" s="61" t="s">
        <v>2090</v>
      </c>
      <c r="O309" s="61" t="s">
        <v>1673</v>
      </c>
      <c r="P309" s="61" t="s">
        <v>1678</v>
      </c>
      <c r="Q309" s="61" t="s">
        <v>1674</v>
      </c>
      <c r="R309" s="60">
        <v>173</v>
      </c>
      <c r="S309" s="61" t="s">
        <v>1675</v>
      </c>
      <c r="T309" s="60">
        <v>21277</v>
      </c>
      <c r="U309" s="60">
        <v>17976</v>
      </c>
      <c r="V309" s="60">
        <v>2</v>
      </c>
      <c r="W309" s="60"/>
      <c r="X309" s="60">
        <v>4473</v>
      </c>
      <c r="Y309" s="60">
        <v>4779</v>
      </c>
      <c r="Z309" s="60">
        <v>5017</v>
      </c>
      <c r="AA309" s="60">
        <v>4135</v>
      </c>
      <c r="AB309" s="60">
        <v>4555</v>
      </c>
      <c r="AC309" s="60">
        <v>4882</v>
      </c>
      <c r="AD309" s="60">
        <v>4114</v>
      </c>
      <c r="AE309" s="60">
        <v>2931</v>
      </c>
      <c r="AF309" s="60">
        <v>3632</v>
      </c>
      <c r="AG309" s="60">
        <v>737</v>
      </c>
      <c r="AH309" s="60"/>
      <c r="AI309" s="60">
        <v>998</v>
      </c>
      <c r="AJ309" s="60">
        <v>1203</v>
      </c>
      <c r="AK309" s="60">
        <v>7563</v>
      </c>
      <c r="AL309" s="60">
        <v>158</v>
      </c>
      <c r="AM309" s="60">
        <v>762</v>
      </c>
      <c r="AN309" s="60">
        <v>477</v>
      </c>
      <c r="AO309" s="60">
        <v>28094</v>
      </c>
      <c r="AP309" s="60">
        <v>229</v>
      </c>
      <c r="AQ309" s="60">
        <v>198</v>
      </c>
      <c r="AR309" s="60">
        <v>9</v>
      </c>
      <c r="AS309" s="60">
        <v>36</v>
      </c>
      <c r="AT309" s="60">
        <v>33</v>
      </c>
      <c r="AU309" s="60">
        <v>40</v>
      </c>
      <c r="AV309" s="60">
        <v>25</v>
      </c>
      <c r="AW309" s="60">
        <v>1</v>
      </c>
      <c r="AX309" s="60">
        <v>26</v>
      </c>
      <c r="AY309" s="60">
        <v>394</v>
      </c>
      <c r="AZ309" s="60">
        <v>8</v>
      </c>
      <c r="BA309" s="60">
        <v>37954</v>
      </c>
      <c r="BB309" s="60">
        <v>130</v>
      </c>
      <c r="BC309" s="60">
        <v>149</v>
      </c>
      <c r="BD309" s="60">
        <v>23</v>
      </c>
      <c r="BE309" s="60">
        <v>4487</v>
      </c>
      <c r="BF309" s="60">
        <v>9198</v>
      </c>
      <c r="BG309" s="60">
        <v>738</v>
      </c>
      <c r="BH309" s="60">
        <v>22434</v>
      </c>
      <c r="BI309" s="60">
        <v>2398</v>
      </c>
      <c r="BJ309" s="60">
        <v>580</v>
      </c>
      <c r="BK309" s="60">
        <v>136</v>
      </c>
      <c r="BL309" s="60">
        <v>1407</v>
      </c>
      <c r="BM309" s="60">
        <v>4</v>
      </c>
      <c r="BN309" s="60">
        <v>1981</v>
      </c>
      <c r="BO309" s="60">
        <v>665</v>
      </c>
      <c r="BP309" s="60">
        <v>2049</v>
      </c>
      <c r="BQ309" s="60">
        <v>656</v>
      </c>
      <c r="BR309" s="60">
        <v>11082</v>
      </c>
      <c r="BS309" s="60">
        <v>2112</v>
      </c>
      <c r="BT309" s="60">
        <v>80</v>
      </c>
      <c r="BU309" s="60">
        <v>2452</v>
      </c>
      <c r="BV309" s="60">
        <v>715</v>
      </c>
      <c r="BW309" s="60">
        <v>56</v>
      </c>
      <c r="BX309" s="60">
        <v>1695</v>
      </c>
      <c r="BY309" s="60">
        <v>3130</v>
      </c>
      <c r="BZ309" s="60">
        <v>1328</v>
      </c>
      <c r="CA309" s="60">
        <v>9127</v>
      </c>
      <c r="CB309" s="60"/>
      <c r="CC309" s="60"/>
      <c r="CD309" s="60">
        <v>3571</v>
      </c>
      <c r="CE309" s="60">
        <v>247</v>
      </c>
      <c r="CF309" s="60">
        <v>408</v>
      </c>
      <c r="CG309" s="60">
        <v>18</v>
      </c>
      <c r="CH309" s="60">
        <v>231</v>
      </c>
      <c r="CI309" s="60">
        <v>113</v>
      </c>
      <c r="CJ309" s="60">
        <v>194</v>
      </c>
      <c r="CK309" s="60">
        <v>504</v>
      </c>
      <c r="CL309" s="60">
        <v>26644</v>
      </c>
      <c r="CM309" s="60">
        <v>5693</v>
      </c>
      <c r="CN309" s="60">
        <v>304</v>
      </c>
      <c r="CO309" s="60">
        <v>853</v>
      </c>
      <c r="CP309" s="60">
        <v>129</v>
      </c>
      <c r="CQ309" s="60">
        <v>311</v>
      </c>
      <c r="CR309" s="60">
        <v>35</v>
      </c>
      <c r="CS309" s="60"/>
      <c r="CT309" s="60">
        <v>39255</v>
      </c>
      <c r="CU309" s="60">
        <v>230</v>
      </c>
      <c r="CV309" s="60">
        <v>35812</v>
      </c>
      <c r="CW309" s="60">
        <v>3213</v>
      </c>
      <c r="CX309" s="60">
        <v>2401</v>
      </c>
      <c r="CY309" s="60">
        <v>2118</v>
      </c>
      <c r="CZ309" s="60"/>
      <c r="DA309" s="60"/>
      <c r="DB309" s="60">
        <v>138</v>
      </c>
      <c r="DC309" s="60">
        <v>182</v>
      </c>
      <c r="DD309" s="60">
        <v>230</v>
      </c>
      <c r="DE309" s="60">
        <v>362</v>
      </c>
      <c r="DF309" s="60">
        <v>617</v>
      </c>
      <c r="DG309" s="60">
        <v>798</v>
      </c>
      <c r="DH309" s="60">
        <v>781</v>
      </c>
      <c r="DI309" s="60">
        <v>1275</v>
      </c>
      <c r="DJ309" s="60">
        <v>38</v>
      </c>
      <c r="DK309" s="60">
        <v>98</v>
      </c>
      <c r="DL309" s="60"/>
      <c r="DM309" s="60">
        <v>144</v>
      </c>
      <c r="DN309" s="60">
        <v>84</v>
      </c>
      <c r="DO309" s="60">
        <v>492</v>
      </c>
      <c r="DP309" s="60">
        <v>23</v>
      </c>
      <c r="DQ309" s="60">
        <v>8</v>
      </c>
      <c r="DR309" s="60">
        <v>3742</v>
      </c>
      <c r="DS309" s="60">
        <v>26</v>
      </c>
      <c r="DT309" s="60">
        <v>188</v>
      </c>
      <c r="DU309" s="60">
        <v>27</v>
      </c>
      <c r="DV309" s="60">
        <v>120</v>
      </c>
      <c r="DW309" s="60">
        <v>570</v>
      </c>
      <c r="DX309" s="60">
        <v>44</v>
      </c>
      <c r="DY309" s="60">
        <v>1</v>
      </c>
      <c r="DZ309" s="60">
        <v>53</v>
      </c>
      <c r="EA309" s="60">
        <v>2817</v>
      </c>
      <c r="EB309" s="60">
        <v>698</v>
      </c>
      <c r="EC309" s="60">
        <v>1</v>
      </c>
      <c r="ED309" s="60">
        <v>0</v>
      </c>
      <c r="EE309" s="60">
        <v>0</v>
      </c>
      <c r="EF309" s="60">
        <v>0</v>
      </c>
      <c r="EG309" s="60">
        <v>0</v>
      </c>
      <c r="EH309" s="60">
        <v>0</v>
      </c>
      <c r="EI309" s="60">
        <v>219</v>
      </c>
      <c r="EJ309" s="60">
        <v>2665</v>
      </c>
      <c r="EK309" s="60">
        <v>13</v>
      </c>
      <c r="EL309" s="60">
        <v>1534</v>
      </c>
      <c r="EM309" s="60">
        <v>88</v>
      </c>
      <c r="EN309" s="60">
        <v>40</v>
      </c>
      <c r="EO309" s="60">
        <v>65</v>
      </c>
      <c r="EP309" s="60">
        <v>799</v>
      </c>
      <c r="EQ309" s="60">
        <v>3</v>
      </c>
      <c r="ER309" s="60">
        <v>899</v>
      </c>
      <c r="ES309" s="60">
        <v>231</v>
      </c>
      <c r="ET309" s="60">
        <v>220</v>
      </c>
      <c r="EU309" s="60">
        <v>573</v>
      </c>
      <c r="EV309" s="60">
        <v>514</v>
      </c>
      <c r="EW309" s="60">
        <v>76</v>
      </c>
      <c r="EX309" s="60">
        <v>134</v>
      </c>
      <c r="EY309" s="60">
        <v>133</v>
      </c>
      <c r="EZ309" s="60">
        <v>6</v>
      </c>
      <c r="FA309" s="60">
        <v>73</v>
      </c>
      <c r="FB309" s="60">
        <v>484</v>
      </c>
      <c r="FC309" s="60">
        <v>82</v>
      </c>
      <c r="FD309" s="60">
        <v>182</v>
      </c>
      <c r="FE309" s="60"/>
      <c r="FF309" s="60">
        <v>5</v>
      </c>
      <c r="FG309" s="60"/>
      <c r="FH309" s="60">
        <v>324</v>
      </c>
      <c r="FI309" s="60">
        <v>45</v>
      </c>
      <c r="FJ309" s="60">
        <v>435</v>
      </c>
      <c r="FK309" s="60">
        <v>10</v>
      </c>
      <c r="FL309" s="60">
        <v>20</v>
      </c>
      <c r="FM309" s="60">
        <v>305</v>
      </c>
      <c r="FN309" s="60">
        <v>17</v>
      </c>
      <c r="FO309" s="60">
        <v>3218</v>
      </c>
      <c r="FP309" s="60">
        <v>74</v>
      </c>
      <c r="FQ309" s="60">
        <v>11</v>
      </c>
      <c r="FR309" s="60">
        <v>12</v>
      </c>
      <c r="FS309" s="60">
        <v>34</v>
      </c>
      <c r="FT309" s="60">
        <v>9</v>
      </c>
      <c r="FU309" s="60">
        <v>2</v>
      </c>
      <c r="FV309" s="60">
        <v>3</v>
      </c>
      <c r="FW309" s="60"/>
      <c r="FX309" s="60">
        <v>4519</v>
      </c>
      <c r="FY309" s="60">
        <v>30</v>
      </c>
      <c r="FZ309" s="60">
        <v>4293</v>
      </c>
      <c r="GA309" s="60">
        <v>196</v>
      </c>
      <c r="GB309" s="60">
        <v>2011</v>
      </c>
    </row>
    <row r="310" spans="1:184" x14ac:dyDescent="0.3">
      <c r="A310" s="60">
        <v>106500852</v>
      </c>
      <c r="B310" s="61" t="s">
        <v>1148</v>
      </c>
      <c r="C310" s="61" t="s">
        <v>1149</v>
      </c>
      <c r="D310" s="61" t="s">
        <v>1150</v>
      </c>
      <c r="E310" s="61" t="s">
        <v>1151</v>
      </c>
      <c r="F310" s="60">
        <v>95350</v>
      </c>
      <c r="G310" s="61" t="s">
        <v>143</v>
      </c>
      <c r="H310" s="61" t="s">
        <v>1669</v>
      </c>
      <c r="I310" s="60">
        <v>25</v>
      </c>
      <c r="J310" s="60">
        <v>12</v>
      </c>
      <c r="K310" s="61" t="s">
        <v>2097</v>
      </c>
      <c r="L310" s="61"/>
      <c r="M310" s="61" t="s">
        <v>1700</v>
      </c>
      <c r="N310" s="61" t="s">
        <v>2098</v>
      </c>
      <c r="O310" s="61" t="s">
        <v>1673</v>
      </c>
      <c r="P310" s="61" t="s">
        <v>221</v>
      </c>
      <c r="Q310" s="61" t="s">
        <v>1674</v>
      </c>
      <c r="R310" s="60">
        <v>394</v>
      </c>
      <c r="S310" s="61" t="s">
        <v>1675</v>
      </c>
      <c r="T310" s="60">
        <v>34102</v>
      </c>
      <c r="U310" s="60">
        <v>30762</v>
      </c>
      <c r="V310" s="60"/>
      <c r="W310" s="60"/>
      <c r="X310" s="60">
        <v>9219</v>
      </c>
      <c r="Y310" s="60">
        <v>6469</v>
      </c>
      <c r="Z310" s="60">
        <v>12803</v>
      </c>
      <c r="AA310" s="60">
        <v>9300</v>
      </c>
      <c r="AB310" s="60">
        <v>9516</v>
      </c>
      <c r="AC310" s="60">
        <v>7844</v>
      </c>
      <c r="AD310" s="60">
        <v>3583</v>
      </c>
      <c r="AE310" s="60">
        <v>1928</v>
      </c>
      <c r="AF310" s="60">
        <v>1602</v>
      </c>
      <c r="AG310" s="60">
        <v>2600</v>
      </c>
      <c r="AH310" s="60"/>
      <c r="AI310" s="60">
        <v>986</v>
      </c>
      <c r="AJ310" s="60">
        <v>3332</v>
      </c>
      <c r="AK310" s="60">
        <v>19869</v>
      </c>
      <c r="AL310" s="60">
        <v>113</v>
      </c>
      <c r="AM310" s="60">
        <v>2822</v>
      </c>
      <c r="AN310" s="60">
        <v>2481</v>
      </c>
      <c r="AO310" s="60">
        <v>35261</v>
      </c>
      <c r="AP310" s="60">
        <v>264</v>
      </c>
      <c r="AQ310" s="60">
        <v>1057</v>
      </c>
      <c r="AR310" s="60">
        <v>3</v>
      </c>
      <c r="AS310" s="60">
        <v>129</v>
      </c>
      <c r="AT310" s="60">
        <v>32</v>
      </c>
      <c r="AU310" s="60">
        <v>5</v>
      </c>
      <c r="AV310" s="60">
        <v>7</v>
      </c>
      <c r="AW310" s="60"/>
      <c r="AX310" s="60"/>
      <c r="AY310" s="60">
        <v>1058</v>
      </c>
      <c r="AZ310" s="60">
        <v>40</v>
      </c>
      <c r="BA310" s="60">
        <v>62011</v>
      </c>
      <c r="BB310" s="60">
        <v>258</v>
      </c>
      <c r="BC310" s="60"/>
      <c r="BD310" s="60"/>
      <c r="BE310" s="60">
        <v>9544</v>
      </c>
      <c r="BF310" s="60">
        <v>7828</v>
      </c>
      <c r="BG310" s="60">
        <v>10525</v>
      </c>
      <c r="BH310" s="60">
        <v>28302</v>
      </c>
      <c r="BI310" s="60">
        <v>8665</v>
      </c>
      <c r="BJ310" s="60">
        <v>1959</v>
      </c>
      <c r="BK310" s="60">
        <v>194</v>
      </c>
      <c r="BL310" s="60">
        <v>1390</v>
      </c>
      <c r="BM310" s="60">
        <v>25</v>
      </c>
      <c r="BN310" s="60">
        <v>4180</v>
      </c>
      <c r="BO310" s="60">
        <v>968</v>
      </c>
      <c r="BP310" s="60">
        <v>3735</v>
      </c>
      <c r="BQ310" s="60">
        <v>1574</v>
      </c>
      <c r="BR310" s="60">
        <v>12381</v>
      </c>
      <c r="BS310" s="60">
        <v>3777</v>
      </c>
      <c r="BT310" s="60">
        <v>79</v>
      </c>
      <c r="BU310" s="60">
        <v>4746</v>
      </c>
      <c r="BV310" s="60">
        <v>3601</v>
      </c>
      <c r="BW310" s="60">
        <v>118</v>
      </c>
      <c r="BX310" s="60">
        <v>2448</v>
      </c>
      <c r="BY310" s="60">
        <v>7744</v>
      </c>
      <c r="BZ310" s="60">
        <v>3212</v>
      </c>
      <c r="CA310" s="60">
        <v>12730</v>
      </c>
      <c r="CB310" s="60">
        <v>1</v>
      </c>
      <c r="CC310" s="60">
        <v>2</v>
      </c>
      <c r="CD310" s="60">
        <v>3712</v>
      </c>
      <c r="CE310" s="60">
        <v>259</v>
      </c>
      <c r="CF310" s="60">
        <v>484</v>
      </c>
      <c r="CG310" s="60">
        <v>22</v>
      </c>
      <c r="CH310" s="60">
        <v>1085</v>
      </c>
      <c r="CI310" s="60">
        <v>234</v>
      </c>
      <c r="CJ310" s="60">
        <v>335</v>
      </c>
      <c r="CK310" s="60">
        <v>659</v>
      </c>
      <c r="CL310" s="60">
        <v>51019</v>
      </c>
      <c r="CM310" s="60">
        <v>4333</v>
      </c>
      <c r="CN310" s="60">
        <v>327</v>
      </c>
      <c r="CO310" s="60">
        <v>1617</v>
      </c>
      <c r="CP310" s="60">
        <v>430</v>
      </c>
      <c r="CQ310" s="60">
        <v>275</v>
      </c>
      <c r="CR310" s="60">
        <v>73</v>
      </c>
      <c r="CS310" s="60"/>
      <c r="CT310" s="60">
        <v>64864</v>
      </c>
      <c r="CU310" s="60">
        <v>306</v>
      </c>
      <c r="CV310" s="60">
        <v>60055</v>
      </c>
      <c r="CW310" s="60">
        <v>4503</v>
      </c>
      <c r="CX310" s="60">
        <v>4430</v>
      </c>
      <c r="CY310" s="60">
        <v>4798</v>
      </c>
      <c r="CZ310" s="60"/>
      <c r="DA310" s="60"/>
      <c r="DB310" s="60">
        <v>273</v>
      </c>
      <c r="DC310" s="60">
        <v>654</v>
      </c>
      <c r="DD310" s="60">
        <v>722</v>
      </c>
      <c r="DE310" s="60">
        <v>1157</v>
      </c>
      <c r="DF310" s="60">
        <v>1740</v>
      </c>
      <c r="DG310" s="60">
        <v>1612</v>
      </c>
      <c r="DH310" s="60">
        <v>1283</v>
      </c>
      <c r="DI310" s="60">
        <v>1320</v>
      </c>
      <c r="DJ310" s="60">
        <v>214</v>
      </c>
      <c r="DK310" s="60">
        <v>253</v>
      </c>
      <c r="DL310" s="60"/>
      <c r="DM310" s="60">
        <v>204</v>
      </c>
      <c r="DN310" s="60">
        <v>341</v>
      </c>
      <c r="DO310" s="60">
        <v>2136</v>
      </c>
      <c r="DP310" s="60">
        <v>587</v>
      </c>
      <c r="DQ310" s="60">
        <v>85</v>
      </c>
      <c r="DR310" s="60">
        <v>5867</v>
      </c>
      <c r="DS310" s="60">
        <v>8</v>
      </c>
      <c r="DT310" s="60">
        <v>225</v>
      </c>
      <c r="DU310" s="60">
        <v>184</v>
      </c>
      <c r="DV310" s="60">
        <v>425</v>
      </c>
      <c r="DW310" s="60">
        <v>608</v>
      </c>
      <c r="DX310" s="60">
        <v>204</v>
      </c>
      <c r="DY310" s="60">
        <v>80</v>
      </c>
      <c r="DZ310" s="60">
        <v>84</v>
      </c>
      <c r="EA310" s="60">
        <v>6316</v>
      </c>
      <c r="EB310" s="60">
        <v>1059</v>
      </c>
      <c r="EC310" s="60">
        <v>43</v>
      </c>
      <c r="ED310" s="60">
        <v>0</v>
      </c>
      <c r="EE310" s="60">
        <v>0</v>
      </c>
      <c r="EF310" s="60">
        <v>0</v>
      </c>
      <c r="EG310" s="60">
        <v>0</v>
      </c>
      <c r="EH310" s="60">
        <v>0</v>
      </c>
      <c r="EI310" s="60">
        <v>2084</v>
      </c>
      <c r="EJ310" s="60">
        <v>3294</v>
      </c>
      <c r="EK310" s="60">
        <v>903</v>
      </c>
      <c r="EL310" s="60">
        <v>2094</v>
      </c>
      <c r="EM310" s="60">
        <v>853</v>
      </c>
      <c r="EN310" s="60">
        <v>98</v>
      </c>
      <c r="EO310" s="60">
        <v>110</v>
      </c>
      <c r="EP310" s="60">
        <v>1972</v>
      </c>
      <c r="EQ310" s="60">
        <v>4</v>
      </c>
      <c r="ER310" s="60">
        <v>1217</v>
      </c>
      <c r="ES310" s="60">
        <v>490</v>
      </c>
      <c r="ET310" s="60">
        <v>509</v>
      </c>
      <c r="EU310" s="60">
        <v>630</v>
      </c>
      <c r="EV310" s="60">
        <v>1523</v>
      </c>
      <c r="EW310" s="60">
        <v>141</v>
      </c>
      <c r="EX310" s="60">
        <v>237</v>
      </c>
      <c r="EY310" s="60">
        <v>184</v>
      </c>
      <c r="EZ310" s="60">
        <v>11</v>
      </c>
      <c r="FA310" s="60">
        <v>120</v>
      </c>
      <c r="FB310" s="60">
        <v>1274</v>
      </c>
      <c r="FC310" s="60">
        <v>250</v>
      </c>
      <c r="FD310" s="60">
        <v>400</v>
      </c>
      <c r="FE310" s="60">
        <v>1</v>
      </c>
      <c r="FF310" s="60">
        <v>57</v>
      </c>
      <c r="FG310" s="60"/>
      <c r="FH310" s="60">
        <v>565</v>
      </c>
      <c r="FI310" s="60">
        <v>92</v>
      </c>
      <c r="FJ310" s="60">
        <v>811</v>
      </c>
      <c r="FK310" s="60">
        <v>158</v>
      </c>
      <c r="FL310" s="60">
        <v>50</v>
      </c>
      <c r="FM310" s="60">
        <v>589</v>
      </c>
      <c r="FN310" s="60">
        <v>29</v>
      </c>
      <c r="FO310" s="60">
        <v>6306</v>
      </c>
      <c r="FP310" s="60">
        <v>142</v>
      </c>
      <c r="FQ310" s="60">
        <v>40</v>
      </c>
      <c r="FR310" s="60">
        <v>301</v>
      </c>
      <c r="FS310" s="60">
        <v>96</v>
      </c>
      <c r="FT310" s="60">
        <v>21</v>
      </c>
      <c r="FU310" s="60">
        <v>27</v>
      </c>
      <c r="FV310" s="60">
        <v>1</v>
      </c>
      <c r="FW310" s="60"/>
      <c r="FX310" s="60">
        <v>9228</v>
      </c>
      <c r="FY310" s="60">
        <v>60</v>
      </c>
      <c r="FZ310" s="60">
        <v>8593</v>
      </c>
      <c r="GA310" s="60">
        <v>575</v>
      </c>
      <c r="GB310" s="60">
        <v>2011</v>
      </c>
    </row>
    <row r="311" spans="1:184" x14ac:dyDescent="0.3">
      <c r="A311" s="60">
        <v>106500867</v>
      </c>
      <c r="B311" s="61" t="s">
        <v>1152</v>
      </c>
      <c r="C311" s="61" t="s">
        <v>2099</v>
      </c>
      <c r="D311" s="61" t="s">
        <v>1153</v>
      </c>
      <c r="E311" s="61" t="s">
        <v>1154</v>
      </c>
      <c r="F311" s="60">
        <v>95380</v>
      </c>
      <c r="G311" s="61"/>
      <c r="H311" s="61" t="s">
        <v>1669</v>
      </c>
      <c r="I311" s="60">
        <v>26</v>
      </c>
      <c r="J311" s="60">
        <v>12</v>
      </c>
      <c r="K311" s="61" t="s">
        <v>2100</v>
      </c>
      <c r="L311" s="61"/>
      <c r="M311" s="61" t="s">
        <v>1700</v>
      </c>
      <c r="N311" s="61" t="s">
        <v>2098</v>
      </c>
      <c r="O311" s="61" t="s">
        <v>1673</v>
      </c>
      <c r="P311" s="61" t="s">
        <v>1678</v>
      </c>
      <c r="Q311" s="61" t="s">
        <v>1674</v>
      </c>
      <c r="R311" s="60">
        <v>209</v>
      </c>
      <c r="S311" s="61" t="s">
        <v>1675</v>
      </c>
      <c r="T311" s="60">
        <v>28819</v>
      </c>
      <c r="U311" s="60">
        <v>22014</v>
      </c>
      <c r="V311" s="60">
        <v>2</v>
      </c>
      <c r="W311" s="60"/>
      <c r="X311" s="60">
        <v>10988</v>
      </c>
      <c r="Y311" s="60">
        <v>7283</v>
      </c>
      <c r="Z311" s="60">
        <v>8723</v>
      </c>
      <c r="AA311" s="60">
        <v>6697</v>
      </c>
      <c r="AB311" s="60">
        <v>5371</v>
      </c>
      <c r="AC311" s="60">
        <v>3895</v>
      </c>
      <c r="AD311" s="60">
        <v>2327</v>
      </c>
      <c r="AE311" s="60">
        <v>1669</v>
      </c>
      <c r="AF311" s="60">
        <v>1550</v>
      </c>
      <c r="AG311" s="60">
        <v>2332</v>
      </c>
      <c r="AH311" s="60"/>
      <c r="AI311" s="60">
        <v>367</v>
      </c>
      <c r="AJ311" s="60">
        <v>1132</v>
      </c>
      <c r="AK311" s="60">
        <v>23957</v>
      </c>
      <c r="AL311" s="60">
        <v>28</v>
      </c>
      <c r="AM311" s="60">
        <v>3126</v>
      </c>
      <c r="AN311" s="60">
        <v>62</v>
      </c>
      <c r="AO311" s="60">
        <v>22163</v>
      </c>
      <c r="AP311" s="60">
        <v>584</v>
      </c>
      <c r="AQ311" s="60">
        <v>1768</v>
      </c>
      <c r="AR311" s="60"/>
      <c r="AS311" s="60">
        <v>92</v>
      </c>
      <c r="AT311" s="60">
        <v>5</v>
      </c>
      <c r="AU311" s="60">
        <v>7</v>
      </c>
      <c r="AV311" s="60"/>
      <c r="AW311" s="60">
        <v>2</v>
      </c>
      <c r="AX311" s="60">
        <v>1</v>
      </c>
      <c r="AY311" s="60">
        <v>109</v>
      </c>
      <c r="AZ311" s="60"/>
      <c r="BA311" s="60">
        <v>48231</v>
      </c>
      <c r="BB311" s="60">
        <v>36</v>
      </c>
      <c r="BC311" s="60"/>
      <c r="BD311" s="60"/>
      <c r="BE311" s="60">
        <v>26153</v>
      </c>
      <c r="BF311" s="60">
        <v>5765</v>
      </c>
      <c r="BG311" s="60">
        <v>1108</v>
      </c>
      <c r="BH311" s="60">
        <v>10222</v>
      </c>
      <c r="BI311" s="60">
        <v>7587</v>
      </c>
      <c r="BJ311" s="60">
        <v>1135</v>
      </c>
      <c r="BK311" s="60">
        <v>108</v>
      </c>
      <c r="BL311" s="60">
        <v>693</v>
      </c>
      <c r="BM311" s="60">
        <v>10</v>
      </c>
      <c r="BN311" s="60">
        <v>2303</v>
      </c>
      <c r="BO311" s="60">
        <v>559</v>
      </c>
      <c r="BP311" s="60">
        <v>2771</v>
      </c>
      <c r="BQ311" s="60">
        <v>1628</v>
      </c>
      <c r="BR311" s="60">
        <v>9985</v>
      </c>
      <c r="BS311" s="60">
        <v>3103</v>
      </c>
      <c r="BT311" s="60">
        <v>36</v>
      </c>
      <c r="BU311" s="60">
        <v>4651</v>
      </c>
      <c r="BV311" s="60">
        <v>1255</v>
      </c>
      <c r="BW311" s="60">
        <v>31</v>
      </c>
      <c r="BX311" s="60">
        <v>1148</v>
      </c>
      <c r="BY311" s="60">
        <v>9005</v>
      </c>
      <c r="BZ311" s="60">
        <v>2143</v>
      </c>
      <c r="CA311" s="60">
        <v>10271</v>
      </c>
      <c r="CB311" s="60"/>
      <c r="CC311" s="60"/>
      <c r="CD311" s="60">
        <v>3163</v>
      </c>
      <c r="CE311" s="60">
        <v>157</v>
      </c>
      <c r="CF311" s="60">
        <v>117</v>
      </c>
      <c r="CG311" s="60">
        <v>15</v>
      </c>
      <c r="CH311" s="60">
        <v>344</v>
      </c>
      <c r="CI311" s="60">
        <v>6</v>
      </c>
      <c r="CJ311" s="60">
        <v>25</v>
      </c>
      <c r="CK311" s="60">
        <v>667</v>
      </c>
      <c r="CL311" s="60">
        <v>40615</v>
      </c>
      <c r="CM311" s="60">
        <v>4148</v>
      </c>
      <c r="CN311" s="60">
        <v>187</v>
      </c>
      <c r="CO311" s="60">
        <v>992</v>
      </c>
      <c r="CP311" s="60">
        <v>76</v>
      </c>
      <c r="CQ311" s="60">
        <v>298</v>
      </c>
      <c r="CR311" s="60">
        <v>24</v>
      </c>
      <c r="CS311" s="60">
        <v>1</v>
      </c>
      <c r="CT311" s="60">
        <v>50835</v>
      </c>
      <c r="CU311" s="60">
        <v>1613</v>
      </c>
      <c r="CV311" s="60">
        <v>41829</v>
      </c>
      <c r="CW311" s="60">
        <v>7393</v>
      </c>
      <c r="CX311" s="60">
        <v>4113</v>
      </c>
      <c r="CY311" s="60">
        <v>3246</v>
      </c>
      <c r="CZ311" s="60"/>
      <c r="DA311" s="60"/>
      <c r="DB311" s="60">
        <v>213</v>
      </c>
      <c r="DC311" s="60">
        <v>460</v>
      </c>
      <c r="DD311" s="60">
        <v>541</v>
      </c>
      <c r="DE311" s="60">
        <v>802</v>
      </c>
      <c r="DF311" s="60">
        <v>1134</v>
      </c>
      <c r="DG311" s="60">
        <v>1144</v>
      </c>
      <c r="DH311" s="60">
        <v>1246</v>
      </c>
      <c r="DI311" s="60">
        <v>1541</v>
      </c>
      <c r="DJ311" s="60">
        <v>90</v>
      </c>
      <c r="DK311" s="60">
        <v>188</v>
      </c>
      <c r="DL311" s="60"/>
      <c r="DM311" s="60">
        <v>97</v>
      </c>
      <c r="DN311" s="60">
        <v>150</v>
      </c>
      <c r="DO311" s="60">
        <v>2123</v>
      </c>
      <c r="DP311" s="60">
        <v>849</v>
      </c>
      <c r="DQ311" s="60">
        <v>10</v>
      </c>
      <c r="DR311" s="60">
        <v>4123</v>
      </c>
      <c r="DS311" s="60">
        <v>7</v>
      </c>
      <c r="DT311" s="60">
        <v>260</v>
      </c>
      <c r="DU311" s="60">
        <v>157</v>
      </c>
      <c r="DV311" s="60">
        <v>217</v>
      </c>
      <c r="DW311" s="60">
        <v>504</v>
      </c>
      <c r="DX311" s="60">
        <v>40</v>
      </c>
      <c r="DY311" s="60"/>
      <c r="DZ311" s="60">
        <v>61</v>
      </c>
      <c r="EA311" s="60">
        <v>5119</v>
      </c>
      <c r="EB311" s="60">
        <v>998</v>
      </c>
      <c r="EC311" s="60">
        <v>3</v>
      </c>
      <c r="ED311" s="60">
        <v>0</v>
      </c>
      <c r="EE311" s="60">
        <v>0</v>
      </c>
      <c r="EF311" s="60">
        <v>0</v>
      </c>
      <c r="EG311" s="60">
        <v>0</v>
      </c>
      <c r="EH311" s="60">
        <v>0</v>
      </c>
      <c r="EI311" s="60">
        <v>1741</v>
      </c>
      <c r="EJ311" s="60">
        <v>3679</v>
      </c>
      <c r="EK311" s="60">
        <v>98</v>
      </c>
      <c r="EL311" s="60">
        <v>1253</v>
      </c>
      <c r="EM311" s="60">
        <v>588</v>
      </c>
      <c r="EN311" s="60">
        <v>129</v>
      </c>
      <c r="EO311" s="60">
        <v>110</v>
      </c>
      <c r="EP311" s="60">
        <v>1403</v>
      </c>
      <c r="EQ311" s="60">
        <v>2</v>
      </c>
      <c r="ER311" s="60">
        <v>1203</v>
      </c>
      <c r="ES311" s="60">
        <v>363</v>
      </c>
      <c r="ET311" s="60">
        <v>414</v>
      </c>
      <c r="EU311" s="60">
        <v>551</v>
      </c>
      <c r="EV311" s="60">
        <v>540</v>
      </c>
      <c r="EW311" s="60">
        <v>155</v>
      </c>
      <c r="EX311" s="60">
        <v>108</v>
      </c>
      <c r="EY311" s="60">
        <v>180</v>
      </c>
      <c r="EZ311" s="60">
        <v>15</v>
      </c>
      <c r="FA311" s="60">
        <v>101</v>
      </c>
      <c r="FB311" s="60">
        <v>961</v>
      </c>
      <c r="FC311" s="60">
        <v>207</v>
      </c>
      <c r="FD311" s="60">
        <v>898</v>
      </c>
      <c r="FE311" s="60">
        <v>2</v>
      </c>
      <c r="FF311" s="60">
        <v>17</v>
      </c>
      <c r="FG311" s="60"/>
      <c r="FH311" s="60">
        <v>285</v>
      </c>
      <c r="FI311" s="60">
        <v>44</v>
      </c>
      <c r="FJ311" s="60">
        <v>309</v>
      </c>
      <c r="FK311" s="60">
        <v>17</v>
      </c>
      <c r="FL311" s="60">
        <v>22</v>
      </c>
      <c r="FM311" s="60">
        <v>268</v>
      </c>
      <c r="FN311" s="60">
        <v>21</v>
      </c>
      <c r="FO311" s="60">
        <v>6191</v>
      </c>
      <c r="FP311" s="60">
        <v>91</v>
      </c>
      <c r="FQ311" s="60">
        <v>6</v>
      </c>
      <c r="FR311" s="60">
        <v>21</v>
      </c>
      <c r="FS311" s="60">
        <v>52</v>
      </c>
      <c r="FT311" s="60">
        <v>17</v>
      </c>
      <c r="FU311" s="60">
        <v>11</v>
      </c>
      <c r="FV311" s="60">
        <v>4</v>
      </c>
      <c r="FW311" s="60"/>
      <c r="FX311" s="60">
        <v>7359</v>
      </c>
      <c r="FY311" s="60">
        <v>689</v>
      </c>
      <c r="FZ311" s="60">
        <v>5753</v>
      </c>
      <c r="GA311" s="60">
        <v>917</v>
      </c>
      <c r="GB311" s="60">
        <v>2011</v>
      </c>
    </row>
    <row r="312" spans="1:184" x14ac:dyDescent="0.3">
      <c r="A312" s="60">
        <v>106500939</v>
      </c>
      <c r="B312" s="61" t="s">
        <v>1155</v>
      </c>
      <c r="C312" s="61" t="s">
        <v>1156</v>
      </c>
      <c r="D312" s="61" t="s">
        <v>1157</v>
      </c>
      <c r="E312" s="61" t="s">
        <v>1151</v>
      </c>
      <c r="F312" s="60">
        <v>95355</v>
      </c>
      <c r="G312" s="61" t="s">
        <v>143</v>
      </c>
      <c r="H312" s="61" t="s">
        <v>1669</v>
      </c>
      <c r="I312" s="60">
        <v>25</v>
      </c>
      <c r="J312" s="60">
        <v>12</v>
      </c>
      <c r="K312" s="61" t="s">
        <v>2101</v>
      </c>
      <c r="L312" s="61"/>
      <c r="M312" s="61" t="s">
        <v>1700</v>
      </c>
      <c r="N312" s="61" t="s">
        <v>2098</v>
      </c>
      <c r="O312" s="61" t="s">
        <v>1673</v>
      </c>
      <c r="P312" s="61" t="s">
        <v>1678</v>
      </c>
      <c r="Q312" s="61" t="s">
        <v>1674</v>
      </c>
      <c r="R312" s="60">
        <v>423</v>
      </c>
      <c r="S312" s="61" t="s">
        <v>1675</v>
      </c>
      <c r="T312" s="60">
        <v>30564</v>
      </c>
      <c r="U312" s="60">
        <v>22333</v>
      </c>
      <c r="V312" s="60"/>
      <c r="W312" s="60"/>
      <c r="X312" s="60">
        <v>6880</v>
      </c>
      <c r="Y312" s="60">
        <v>5939</v>
      </c>
      <c r="Z312" s="60">
        <v>8916</v>
      </c>
      <c r="AA312" s="60">
        <v>7047</v>
      </c>
      <c r="AB312" s="60">
        <v>6600</v>
      </c>
      <c r="AC312" s="60">
        <v>5552</v>
      </c>
      <c r="AD312" s="60">
        <v>3832</v>
      </c>
      <c r="AE312" s="60">
        <v>3196</v>
      </c>
      <c r="AF312" s="60">
        <v>3454</v>
      </c>
      <c r="AG312" s="60">
        <v>1481</v>
      </c>
      <c r="AH312" s="60"/>
      <c r="AI312" s="60">
        <v>1312</v>
      </c>
      <c r="AJ312" s="60">
        <v>3256</v>
      </c>
      <c r="AK312" s="60">
        <v>16381</v>
      </c>
      <c r="AL312" s="60">
        <v>86</v>
      </c>
      <c r="AM312" s="60">
        <v>1624</v>
      </c>
      <c r="AN312" s="60">
        <v>221</v>
      </c>
      <c r="AO312" s="60">
        <v>30017</v>
      </c>
      <c r="AP312" s="60">
        <v>558</v>
      </c>
      <c r="AQ312" s="60">
        <v>528</v>
      </c>
      <c r="AR312" s="60">
        <v>35</v>
      </c>
      <c r="AS312" s="60">
        <v>122</v>
      </c>
      <c r="AT312" s="60">
        <v>183</v>
      </c>
      <c r="AU312" s="60">
        <v>36</v>
      </c>
      <c r="AV312" s="60">
        <v>1</v>
      </c>
      <c r="AW312" s="60">
        <v>174</v>
      </c>
      <c r="AX312" s="60">
        <v>6</v>
      </c>
      <c r="AY312" s="60">
        <v>181</v>
      </c>
      <c r="AZ312" s="60">
        <v>32</v>
      </c>
      <c r="BA312" s="60">
        <v>50433</v>
      </c>
      <c r="BB312" s="60">
        <v>542</v>
      </c>
      <c r="BC312" s="60">
        <v>63</v>
      </c>
      <c r="BD312" s="60">
        <v>3</v>
      </c>
      <c r="BE312" s="60">
        <v>20156</v>
      </c>
      <c r="BF312" s="60">
        <v>12586</v>
      </c>
      <c r="BG312" s="60">
        <v>1750</v>
      </c>
      <c r="BH312" s="60">
        <v>10805</v>
      </c>
      <c r="BI312" s="60">
        <v>7600</v>
      </c>
      <c r="BJ312" s="60">
        <v>1474</v>
      </c>
      <c r="BK312" s="60">
        <v>245</v>
      </c>
      <c r="BL312" s="60">
        <v>1384</v>
      </c>
      <c r="BM312" s="60">
        <v>17</v>
      </c>
      <c r="BN312" s="60">
        <v>2870</v>
      </c>
      <c r="BO312" s="60">
        <v>902</v>
      </c>
      <c r="BP312" s="60">
        <v>2827</v>
      </c>
      <c r="BQ312" s="60">
        <v>1294</v>
      </c>
      <c r="BR312" s="60">
        <v>11566</v>
      </c>
      <c r="BS312" s="60">
        <v>3174</v>
      </c>
      <c r="BT312" s="60">
        <v>73</v>
      </c>
      <c r="BU312" s="60">
        <v>4077</v>
      </c>
      <c r="BV312" s="60">
        <v>1404</v>
      </c>
      <c r="BW312" s="60">
        <v>62</v>
      </c>
      <c r="BX312" s="60">
        <v>896</v>
      </c>
      <c r="BY312" s="60">
        <v>5866</v>
      </c>
      <c r="BZ312" s="60">
        <v>2320</v>
      </c>
      <c r="CA312" s="60">
        <v>12446</v>
      </c>
      <c r="CB312" s="60"/>
      <c r="CC312" s="60"/>
      <c r="CD312" s="60">
        <v>3900</v>
      </c>
      <c r="CE312" s="60">
        <v>237</v>
      </c>
      <c r="CF312" s="60">
        <v>297</v>
      </c>
      <c r="CG312" s="60">
        <v>31</v>
      </c>
      <c r="CH312" s="60">
        <v>624</v>
      </c>
      <c r="CI312" s="60">
        <v>25</v>
      </c>
      <c r="CJ312" s="60">
        <v>322</v>
      </c>
      <c r="CK312" s="60">
        <v>495</v>
      </c>
      <c r="CL312" s="60">
        <v>40290</v>
      </c>
      <c r="CM312" s="60">
        <v>4541</v>
      </c>
      <c r="CN312" s="60">
        <v>258</v>
      </c>
      <c r="CO312" s="60">
        <v>1492</v>
      </c>
      <c r="CP312" s="60">
        <v>102</v>
      </c>
      <c r="CQ312" s="60">
        <v>259</v>
      </c>
      <c r="CR312" s="60">
        <v>24</v>
      </c>
      <c r="CS312" s="60"/>
      <c r="CT312" s="60">
        <v>52897</v>
      </c>
      <c r="CU312" s="60">
        <v>797</v>
      </c>
      <c r="CV312" s="60">
        <v>49111</v>
      </c>
      <c r="CW312" s="60">
        <v>2989</v>
      </c>
      <c r="CX312" s="60">
        <v>7381</v>
      </c>
      <c r="CY312" s="60">
        <v>6472</v>
      </c>
      <c r="CZ312" s="60"/>
      <c r="DA312" s="60"/>
      <c r="DB312" s="60">
        <v>343</v>
      </c>
      <c r="DC312" s="60">
        <v>696</v>
      </c>
      <c r="DD312" s="60">
        <v>807</v>
      </c>
      <c r="DE312" s="60">
        <v>1437</v>
      </c>
      <c r="DF312" s="60">
        <v>2165</v>
      </c>
      <c r="DG312" s="60">
        <v>2407</v>
      </c>
      <c r="DH312" s="60">
        <v>2509</v>
      </c>
      <c r="DI312" s="60">
        <v>3234</v>
      </c>
      <c r="DJ312" s="60">
        <v>79</v>
      </c>
      <c r="DK312" s="60">
        <v>176</v>
      </c>
      <c r="DL312" s="60"/>
      <c r="DM312" s="60">
        <v>424</v>
      </c>
      <c r="DN312" s="60">
        <v>474</v>
      </c>
      <c r="DO312" s="60">
        <v>2808</v>
      </c>
      <c r="DP312" s="60">
        <v>355</v>
      </c>
      <c r="DQ312" s="60">
        <v>48</v>
      </c>
      <c r="DR312" s="60">
        <v>9733</v>
      </c>
      <c r="DS312" s="60">
        <v>11</v>
      </c>
      <c r="DT312" s="60">
        <v>514</v>
      </c>
      <c r="DU312" s="60">
        <v>196</v>
      </c>
      <c r="DV312" s="60">
        <v>443</v>
      </c>
      <c r="DW312" s="60">
        <v>2203</v>
      </c>
      <c r="DX312" s="60">
        <v>251</v>
      </c>
      <c r="DY312" s="60">
        <v>48</v>
      </c>
      <c r="DZ312" s="60">
        <v>75</v>
      </c>
      <c r="EA312" s="60">
        <v>8346</v>
      </c>
      <c r="EB312" s="60">
        <v>1765</v>
      </c>
      <c r="EC312" s="60">
        <v>12</v>
      </c>
      <c r="ED312" s="60">
        <v>0</v>
      </c>
      <c r="EE312" s="60">
        <v>0</v>
      </c>
      <c r="EF312" s="60">
        <v>0</v>
      </c>
      <c r="EG312" s="60">
        <v>0</v>
      </c>
      <c r="EH312" s="60">
        <v>0</v>
      </c>
      <c r="EI312" s="60">
        <v>2141</v>
      </c>
      <c r="EJ312" s="60">
        <v>8110</v>
      </c>
      <c r="EK312" s="60">
        <v>398</v>
      </c>
      <c r="EL312" s="60">
        <v>2165</v>
      </c>
      <c r="EM312" s="60">
        <v>1039</v>
      </c>
      <c r="EN312" s="60">
        <v>79</v>
      </c>
      <c r="EO312" s="60">
        <v>172</v>
      </c>
      <c r="EP312" s="60">
        <v>2913</v>
      </c>
      <c r="EQ312" s="60">
        <v>5</v>
      </c>
      <c r="ER312" s="60">
        <v>1852</v>
      </c>
      <c r="ES312" s="60">
        <v>602</v>
      </c>
      <c r="ET312" s="60">
        <v>892</v>
      </c>
      <c r="EU312" s="60">
        <v>1321</v>
      </c>
      <c r="EV312" s="60">
        <v>1859</v>
      </c>
      <c r="EW312" s="60">
        <v>245</v>
      </c>
      <c r="EX312" s="60">
        <v>307</v>
      </c>
      <c r="EY312" s="60">
        <v>299</v>
      </c>
      <c r="EZ312" s="60">
        <v>7</v>
      </c>
      <c r="FA312" s="60">
        <v>98</v>
      </c>
      <c r="FB312" s="60">
        <v>1758</v>
      </c>
      <c r="FC312" s="60">
        <v>414</v>
      </c>
      <c r="FD312" s="60">
        <v>1016</v>
      </c>
      <c r="FE312" s="60">
        <v>5</v>
      </c>
      <c r="FF312" s="60">
        <v>9</v>
      </c>
      <c r="FG312" s="60"/>
      <c r="FH312" s="60">
        <v>923</v>
      </c>
      <c r="FI312" s="60">
        <v>114</v>
      </c>
      <c r="FJ312" s="60">
        <v>1207</v>
      </c>
      <c r="FK312" s="60">
        <v>158</v>
      </c>
      <c r="FL312" s="60">
        <v>61</v>
      </c>
      <c r="FM312" s="60">
        <v>744</v>
      </c>
      <c r="FN312" s="60">
        <v>47</v>
      </c>
      <c r="FO312" s="60">
        <v>9871</v>
      </c>
      <c r="FP312" s="60">
        <v>217</v>
      </c>
      <c r="FQ312" s="60">
        <v>41</v>
      </c>
      <c r="FR312" s="60">
        <v>373</v>
      </c>
      <c r="FS312" s="60">
        <v>61</v>
      </c>
      <c r="FT312" s="60">
        <v>23</v>
      </c>
      <c r="FU312" s="60">
        <v>12</v>
      </c>
      <c r="FV312" s="60">
        <v>1</v>
      </c>
      <c r="FW312" s="60"/>
      <c r="FX312" s="60">
        <v>13853</v>
      </c>
      <c r="FY312" s="60">
        <v>373</v>
      </c>
      <c r="FZ312" s="60">
        <v>12635</v>
      </c>
      <c r="GA312" s="60">
        <v>845</v>
      </c>
      <c r="GB312" s="60">
        <v>2011</v>
      </c>
    </row>
    <row r="313" spans="1:184" x14ac:dyDescent="0.3">
      <c r="A313" s="60">
        <v>106500967</v>
      </c>
      <c r="B313" s="61" t="s">
        <v>1158</v>
      </c>
      <c r="C313" s="61" t="s">
        <v>2102</v>
      </c>
      <c r="D313" s="61" t="s">
        <v>1159</v>
      </c>
      <c r="E313" s="61" t="s">
        <v>1160</v>
      </c>
      <c r="F313" s="60">
        <v>95361</v>
      </c>
      <c r="G313" s="61"/>
      <c r="H313" s="61" t="s">
        <v>1669</v>
      </c>
      <c r="I313" s="60">
        <v>25</v>
      </c>
      <c r="J313" s="60">
        <v>14</v>
      </c>
      <c r="K313" s="61" t="s">
        <v>2103</v>
      </c>
      <c r="L313" s="61"/>
      <c r="M313" s="61" t="s">
        <v>1700</v>
      </c>
      <c r="N313" s="61" t="s">
        <v>2098</v>
      </c>
      <c r="O313" s="61" t="s">
        <v>1673</v>
      </c>
      <c r="P313" s="61" t="s">
        <v>159</v>
      </c>
      <c r="Q313" s="61" t="s">
        <v>1674</v>
      </c>
      <c r="R313" s="60">
        <v>35</v>
      </c>
      <c r="S313" s="61" t="s">
        <v>1675</v>
      </c>
      <c r="T313" s="60">
        <v>9270</v>
      </c>
      <c r="U313" s="60">
        <v>6959</v>
      </c>
      <c r="V313" s="60"/>
      <c r="W313" s="60"/>
      <c r="X313" s="60">
        <v>2749</v>
      </c>
      <c r="Y313" s="60">
        <v>2190</v>
      </c>
      <c r="Z313" s="60">
        <v>2611</v>
      </c>
      <c r="AA313" s="60">
        <v>2431</v>
      </c>
      <c r="AB313" s="60">
        <v>1975</v>
      </c>
      <c r="AC313" s="60">
        <v>1378</v>
      </c>
      <c r="AD313" s="60">
        <v>914</v>
      </c>
      <c r="AE313" s="60">
        <v>704</v>
      </c>
      <c r="AF313" s="60">
        <v>708</v>
      </c>
      <c r="AG313" s="60">
        <v>569</v>
      </c>
      <c r="AH313" s="60"/>
      <c r="AI313" s="60">
        <v>52</v>
      </c>
      <c r="AJ313" s="60">
        <v>214</v>
      </c>
      <c r="AK313" s="60">
        <v>4117</v>
      </c>
      <c r="AL313" s="60">
        <v>14</v>
      </c>
      <c r="AM313" s="60">
        <v>215</v>
      </c>
      <c r="AN313" s="60">
        <v>184</v>
      </c>
      <c r="AO313" s="60">
        <v>11433</v>
      </c>
      <c r="AP313" s="60">
        <v>300</v>
      </c>
      <c r="AQ313" s="60">
        <v>79</v>
      </c>
      <c r="AR313" s="60">
        <v>28</v>
      </c>
      <c r="AS313" s="60">
        <v>33</v>
      </c>
      <c r="AT313" s="60"/>
      <c r="AU313" s="60"/>
      <c r="AV313" s="60"/>
      <c r="AW313" s="60">
        <v>7</v>
      </c>
      <c r="AX313" s="60"/>
      <c r="AY313" s="60">
        <v>50</v>
      </c>
      <c r="AZ313" s="60"/>
      <c r="BA313" s="60">
        <v>15671</v>
      </c>
      <c r="BB313" s="60">
        <v>61</v>
      </c>
      <c r="BC313" s="60"/>
      <c r="BD313" s="60"/>
      <c r="BE313" s="60">
        <v>7081</v>
      </c>
      <c r="BF313" s="60">
        <v>2527</v>
      </c>
      <c r="BG313" s="60">
        <v>371</v>
      </c>
      <c r="BH313" s="60">
        <v>3300</v>
      </c>
      <c r="BI313" s="60">
        <v>2950</v>
      </c>
      <c r="BJ313" s="60">
        <v>335</v>
      </c>
      <c r="BK313" s="60">
        <v>27</v>
      </c>
      <c r="BL313" s="60">
        <v>336</v>
      </c>
      <c r="BM313" s="60">
        <v>6</v>
      </c>
      <c r="BN313" s="60">
        <v>1167</v>
      </c>
      <c r="BO313" s="60">
        <v>198</v>
      </c>
      <c r="BP313" s="60">
        <v>862</v>
      </c>
      <c r="BQ313" s="60">
        <v>497</v>
      </c>
      <c r="BR313" s="60">
        <v>3993</v>
      </c>
      <c r="BS313" s="60">
        <v>687</v>
      </c>
      <c r="BT313" s="60">
        <v>22</v>
      </c>
      <c r="BU313" s="60">
        <v>1631</v>
      </c>
      <c r="BV313" s="60">
        <v>259</v>
      </c>
      <c r="BW313" s="60">
        <v>7</v>
      </c>
      <c r="BX313" s="60">
        <v>334</v>
      </c>
      <c r="BY313" s="60">
        <v>2164</v>
      </c>
      <c r="BZ313" s="60">
        <v>993</v>
      </c>
      <c r="CA313" s="60">
        <v>2711</v>
      </c>
      <c r="CB313" s="60"/>
      <c r="CC313" s="60"/>
      <c r="CD313" s="60">
        <v>1131</v>
      </c>
      <c r="CE313" s="60">
        <v>53</v>
      </c>
      <c r="CF313" s="60">
        <v>75</v>
      </c>
      <c r="CG313" s="60">
        <v>17</v>
      </c>
      <c r="CH313" s="60">
        <v>107</v>
      </c>
      <c r="CI313" s="60">
        <v>4</v>
      </c>
      <c r="CJ313" s="60"/>
      <c r="CK313" s="60">
        <v>275</v>
      </c>
      <c r="CL313" s="60">
        <v>12023</v>
      </c>
      <c r="CM313" s="60">
        <v>1908</v>
      </c>
      <c r="CN313" s="60">
        <v>115</v>
      </c>
      <c r="CO313" s="60">
        <v>376</v>
      </c>
      <c r="CP313" s="60">
        <v>42</v>
      </c>
      <c r="CQ313" s="60">
        <v>89</v>
      </c>
      <c r="CR313" s="60">
        <v>14</v>
      </c>
      <c r="CS313" s="60"/>
      <c r="CT313" s="60">
        <v>16229</v>
      </c>
      <c r="CU313" s="60">
        <v>7</v>
      </c>
      <c r="CV313" s="60">
        <v>16042</v>
      </c>
      <c r="CW313" s="60">
        <v>180</v>
      </c>
      <c r="CX313" s="60">
        <v>501</v>
      </c>
      <c r="CY313" s="60">
        <v>355</v>
      </c>
      <c r="CZ313" s="60"/>
      <c r="DA313" s="60"/>
      <c r="DB313" s="60">
        <v>27</v>
      </c>
      <c r="DC313" s="60">
        <v>46</v>
      </c>
      <c r="DD313" s="60">
        <v>66</v>
      </c>
      <c r="DE313" s="60">
        <v>75</v>
      </c>
      <c r="DF313" s="60">
        <v>116</v>
      </c>
      <c r="DG313" s="60">
        <v>148</v>
      </c>
      <c r="DH313" s="60">
        <v>135</v>
      </c>
      <c r="DI313" s="60">
        <v>199</v>
      </c>
      <c r="DJ313" s="60">
        <v>16</v>
      </c>
      <c r="DK313" s="60">
        <v>28</v>
      </c>
      <c r="DL313" s="60"/>
      <c r="DM313" s="60">
        <v>3</v>
      </c>
      <c r="DN313" s="60">
        <v>4</v>
      </c>
      <c r="DO313" s="60">
        <v>85</v>
      </c>
      <c r="DP313" s="60">
        <v>12</v>
      </c>
      <c r="DQ313" s="60">
        <v>6</v>
      </c>
      <c r="DR313" s="60">
        <v>744</v>
      </c>
      <c r="DS313" s="60">
        <v>2</v>
      </c>
      <c r="DT313" s="60">
        <v>57</v>
      </c>
      <c r="DU313" s="60">
        <v>7</v>
      </c>
      <c r="DV313" s="60">
        <v>30</v>
      </c>
      <c r="DW313" s="60">
        <v>64</v>
      </c>
      <c r="DX313" s="60">
        <v>11</v>
      </c>
      <c r="DY313" s="60">
        <v>5</v>
      </c>
      <c r="DZ313" s="60"/>
      <c r="EA313" s="60">
        <v>501</v>
      </c>
      <c r="EB313" s="60">
        <v>181</v>
      </c>
      <c r="EC313" s="60"/>
      <c r="ED313" s="60">
        <v>0</v>
      </c>
      <c r="EE313" s="60">
        <v>0</v>
      </c>
      <c r="EF313" s="60">
        <v>0</v>
      </c>
      <c r="EG313" s="60">
        <v>0</v>
      </c>
      <c r="EH313" s="60">
        <v>0</v>
      </c>
      <c r="EI313" s="60">
        <v>188</v>
      </c>
      <c r="EJ313" s="60">
        <v>474</v>
      </c>
      <c r="EK313" s="60">
        <v>6</v>
      </c>
      <c r="EL313" s="60">
        <v>137</v>
      </c>
      <c r="EM313" s="60">
        <v>51</v>
      </c>
      <c r="EN313" s="60">
        <v>6</v>
      </c>
      <c r="EO313" s="60">
        <v>23</v>
      </c>
      <c r="EP313" s="60">
        <v>123</v>
      </c>
      <c r="EQ313" s="60"/>
      <c r="ER313" s="60">
        <v>197</v>
      </c>
      <c r="ES313" s="60">
        <v>31</v>
      </c>
      <c r="ET313" s="60">
        <v>49</v>
      </c>
      <c r="EU313" s="60">
        <v>78</v>
      </c>
      <c r="EV313" s="60">
        <v>72</v>
      </c>
      <c r="EW313" s="60">
        <v>4</v>
      </c>
      <c r="EX313" s="60">
        <v>7</v>
      </c>
      <c r="EY313" s="60">
        <v>6</v>
      </c>
      <c r="EZ313" s="60"/>
      <c r="FA313" s="60">
        <v>9</v>
      </c>
      <c r="FB313" s="60">
        <v>187</v>
      </c>
      <c r="FC313" s="60">
        <v>23</v>
      </c>
      <c r="FD313" s="60">
        <v>38</v>
      </c>
      <c r="FE313" s="60"/>
      <c r="FF313" s="60">
        <v>3</v>
      </c>
      <c r="FG313" s="60"/>
      <c r="FH313" s="60">
        <v>34</v>
      </c>
      <c r="FI313" s="60">
        <v>9</v>
      </c>
      <c r="FJ313" s="60">
        <v>33</v>
      </c>
      <c r="FK313" s="60">
        <v>2</v>
      </c>
      <c r="FL313" s="60">
        <v>2</v>
      </c>
      <c r="FM313" s="60">
        <v>18</v>
      </c>
      <c r="FN313" s="60">
        <v>5</v>
      </c>
      <c r="FO313" s="60">
        <v>732</v>
      </c>
      <c r="FP313" s="60">
        <v>5</v>
      </c>
      <c r="FQ313" s="60"/>
      <c r="FR313" s="60">
        <v>4</v>
      </c>
      <c r="FS313" s="60">
        <v>10</v>
      </c>
      <c r="FT313" s="60">
        <v>1</v>
      </c>
      <c r="FU313" s="60"/>
      <c r="FV313" s="60">
        <v>1</v>
      </c>
      <c r="FW313" s="60"/>
      <c r="FX313" s="60">
        <v>856</v>
      </c>
      <c r="FY313" s="60">
        <v>1</v>
      </c>
      <c r="FZ313" s="60">
        <v>841</v>
      </c>
      <c r="GA313" s="60">
        <v>14</v>
      </c>
      <c r="GB313" s="60">
        <v>2011</v>
      </c>
    </row>
    <row r="314" spans="1:184" x14ac:dyDescent="0.3">
      <c r="A314" s="60">
        <v>106521041</v>
      </c>
      <c r="B314" s="61" t="s">
        <v>1161</v>
      </c>
      <c r="C314" s="61" t="s">
        <v>1162</v>
      </c>
      <c r="D314" s="61" t="s">
        <v>1163</v>
      </c>
      <c r="E314" s="61" t="s">
        <v>1164</v>
      </c>
      <c r="F314" s="60">
        <v>96080</v>
      </c>
      <c r="G314" s="61" t="s">
        <v>186</v>
      </c>
      <c r="H314" s="61" t="s">
        <v>1669</v>
      </c>
      <c r="I314" s="60">
        <v>2</v>
      </c>
      <c r="J314" s="60">
        <v>4</v>
      </c>
      <c r="K314" s="61" t="s">
        <v>2104</v>
      </c>
      <c r="L314" s="61"/>
      <c r="M314" s="61" t="s">
        <v>1704</v>
      </c>
      <c r="N314" s="61" t="s">
        <v>2105</v>
      </c>
      <c r="O314" s="61" t="s">
        <v>1673</v>
      </c>
      <c r="P314" s="61" t="s">
        <v>1678</v>
      </c>
      <c r="Q314" s="61" t="s">
        <v>1674</v>
      </c>
      <c r="R314" s="60">
        <v>76</v>
      </c>
      <c r="S314" s="61" t="s">
        <v>1675</v>
      </c>
      <c r="T314" s="60">
        <v>16099</v>
      </c>
      <c r="U314" s="60">
        <v>12718</v>
      </c>
      <c r="V314" s="60"/>
      <c r="W314" s="60"/>
      <c r="X314" s="60">
        <v>3673</v>
      </c>
      <c r="Y314" s="60">
        <v>3249</v>
      </c>
      <c r="Z314" s="60">
        <v>5191</v>
      </c>
      <c r="AA314" s="60">
        <v>3787</v>
      </c>
      <c r="AB314" s="60">
        <v>3716</v>
      </c>
      <c r="AC314" s="60">
        <v>3257</v>
      </c>
      <c r="AD314" s="60">
        <v>2087</v>
      </c>
      <c r="AE314" s="60">
        <v>1604</v>
      </c>
      <c r="AF314" s="60">
        <v>1479</v>
      </c>
      <c r="AG314" s="60">
        <v>774</v>
      </c>
      <c r="AH314" s="60"/>
      <c r="AI314" s="60">
        <v>256</v>
      </c>
      <c r="AJ314" s="60">
        <v>226</v>
      </c>
      <c r="AK314" s="60">
        <v>3163</v>
      </c>
      <c r="AL314" s="60">
        <v>75</v>
      </c>
      <c r="AM314" s="60">
        <v>1023</v>
      </c>
      <c r="AN314" s="60"/>
      <c r="AO314" s="60">
        <v>24074</v>
      </c>
      <c r="AP314" s="60">
        <v>547</v>
      </c>
      <c r="AQ314" s="60">
        <v>358</v>
      </c>
      <c r="AR314" s="60">
        <v>1</v>
      </c>
      <c r="AS314" s="60">
        <v>28</v>
      </c>
      <c r="AT314" s="60">
        <v>82</v>
      </c>
      <c r="AU314" s="60">
        <v>13</v>
      </c>
      <c r="AV314" s="60">
        <v>2</v>
      </c>
      <c r="AW314" s="60">
        <v>1</v>
      </c>
      <c r="AX314" s="60">
        <v>539</v>
      </c>
      <c r="AY314" s="60">
        <v>1</v>
      </c>
      <c r="AZ314" s="60">
        <v>53</v>
      </c>
      <c r="BA314" s="60">
        <v>26767</v>
      </c>
      <c r="BB314" s="60">
        <v>43</v>
      </c>
      <c r="BC314" s="60">
        <v>382</v>
      </c>
      <c r="BD314" s="60"/>
      <c r="BE314" s="60">
        <v>12793</v>
      </c>
      <c r="BF314" s="60">
        <v>5871</v>
      </c>
      <c r="BG314" s="60">
        <v>606</v>
      </c>
      <c r="BH314" s="60">
        <v>5056</v>
      </c>
      <c r="BI314" s="60">
        <v>4491</v>
      </c>
      <c r="BJ314" s="60">
        <v>760</v>
      </c>
      <c r="BK314" s="60">
        <v>55</v>
      </c>
      <c r="BL314" s="60">
        <v>683</v>
      </c>
      <c r="BM314" s="60">
        <v>3</v>
      </c>
      <c r="BN314" s="60">
        <v>2154</v>
      </c>
      <c r="BO314" s="60">
        <v>443</v>
      </c>
      <c r="BP314" s="60">
        <v>1480</v>
      </c>
      <c r="BQ314" s="60">
        <v>723</v>
      </c>
      <c r="BR314" s="60">
        <v>6273</v>
      </c>
      <c r="BS314" s="60">
        <v>1947</v>
      </c>
      <c r="BT314" s="60">
        <v>30</v>
      </c>
      <c r="BU314" s="60">
        <v>1906</v>
      </c>
      <c r="BV314" s="60">
        <v>1114</v>
      </c>
      <c r="BW314" s="60">
        <v>21</v>
      </c>
      <c r="BX314" s="60">
        <v>764</v>
      </c>
      <c r="BY314" s="60">
        <v>3266</v>
      </c>
      <c r="BZ314" s="60">
        <v>1660</v>
      </c>
      <c r="CA314" s="60">
        <v>5535</v>
      </c>
      <c r="CB314" s="60"/>
      <c r="CC314" s="60"/>
      <c r="CD314" s="60">
        <v>1913</v>
      </c>
      <c r="CE314" s="60">
        <v>236</v>
      </c>
      <c r="CF314" s="60">
        <v>342</v>
      </c>
      <c r="CG314" s="60">
        <v>34</v>
      </c>
      <c r="CH314" s="60">
        <v>292</v>
      </c>
      <c r="CI314" s="60">
        <v>16</v>
      </c>
      <c r="CJ314" s="60">
        <v>204</v>
      </c>
      <c r="CK314" s="60">
        <v>392</v>
      </c>
      <c r="CL314" s="60">
        <v>21681</v>
      </c>
      <c r="CM314" s="60">
        <v>2785</v>
      </c>
      <c r="CN314" s="60">
        <v>180</v>
      </c>
      <c r="CO314" s="60">
        <v>444</v>
      </c>
      <c r="CP314" s="60">
        <v>123</v>
      </c>
      <c r="CQ314" s="60">
        <v>167</v>
      </c>
      <c r="CR314" s="60">
        <v>8</v>
      </c>
      <c r="CS314" s="60"/>
      <c r="CT314" s="60">
        <v>28817</v>
      </c>
      <c r="CU314" s="60">
        <v>87</v>
      </c>
      <c r="CV314" s="60">
        <v>27019</v>
      </c>
      <c r="CW314" s="60">
        <v>1711</v>
      </c>
      <c r="CX314" s="60">
        <v>1066</v>
      </c>
      <c r="CY314" s="60">
        <v>771</v>
      </c>
      <c r="CZ314" s="60"/>
      <c r="DA314" s="60"/>
      <c r="DB314" s="60">
        <v>47</v>
      </c>
      <c r="DC314" s="60">
        <v>91</v>
      </c>
      <c r="DD314" s="60">
        <v>100</v>
      </c>
      <c r="DE314" s="60">
        <v>179</v>
      </c>
      <c r="DF314" s="60">
        <v>293</v>
      </c>
      <c r="DG314" s="60">
        <v>304</v>
      </c>
      <c r="DH314" s="60">
        <v>300</v>
      </c>
      <c r="DI314" s="60">
        <v>403</v>
      </c>
      <c r="DJ314" s="60">
        <v>44</v>
      </c>
      <c r="DK314" s="60">
        <v>76</v>
      </c>
      <c r="DL314" s="60"/>
      <c r="DM314" s="60">
        <v>11</v>
      </c>
      <c r="DN314" s="60">
        <v>7</v>
      </c>
      <c r="DO314" s="60">
        <v>94</v>
      </c>
      <c r="DP314" s="60">
        <v>44</v>
      </c>
      <c r="DQ314" s="60">
        <v>29</v>
      </c>
      <c r="DR314" s="60">
        <v>1648</v>
      </c>
      <c r="DS314" s="60">
        <v>4</v>
      </c>
      <c r="DT314" s="60">
        <v>97</v>
      </c>
      <c r="DU314" s="60">
        <v>32</v>
      </c>
      <c r="DV314" s="60">
        <v>36</v>
      </c>
      <c r="DW314" s="60">
        <v>239</v>
      </c>
      <c r="DX314" s="60">
        <v>39</v>
      </c>
      <c r="DY314" s="60">
        <v>2</v>
      </c>
      <c r="DZ314" s="60">
        <v>13</v>
      </c>
      <c r="EA314" s="60">
        <v>1170</v>
      </c>
      <c r="EB314" s="60">
        <v>206</v>
      </c>
      <c r="EC314" s="60">
        <v>3</v>
      </c>
      <c r="ED314" s="60">
        <v>0</v>
      </c>
      <c r="EE314" s="60">
        <v>0</v>
      </c>
      <c r="EF314" s="60">
        <v>0</v>
      </c>
      <c r="EG314" s="60">
        <v>0</v>
      </c>
      <c r="EH314" s="60">
        <v>0</v>
      </c>
      <c r="EI314" s="60">
        <v>392</v>
      </c>
      <c r="EJ314" s="60">
        <v>1009</v>
      </c>
      <c r="EK314" s="60">
        <v>20</v>
      </c>
      <c r="EL314" s="60">
        <v>229</v>
      </c>
      <c r="EM314" s="60">
        <v>187</v>
      </c>
      <c r="EN314" s="60">
        <v>12</v>
      </c>
      <c r="EO314" s="60">
        <v>23</v>
      </c>
      <c r="EP314" s="60">
        <v>281</v>
      </c>
      <c r="EQ314" s="60"/>
      <c r="ER314" s="60">
        <v>320</v>
      </c>
      <c r="ES314" s="60">
        <v>121</v>
      </c>
      <c r="ET314" s="60">
        <v>105</v>
      </c>
      <c r="EU314" s="60">
        <v>157</v>
      </c>
      <c r="EV314" s="60">
        <v>179</v>
      </c>
      <c r="EW314" s="60">
        <v>18</v>
      </c>
      <c r="EX314" s="60">
        <v>26</v>
      </c>
      <c r="EY314" s="60">
        <v>19</v>
      </c>
      <c r="EZ314" s="60"/>
      <c r="FA314" s="60">
        <v>23</v>
      </c>
      <c r="FB314" s="60">
        <v>432</v>
      </c>
      <c r="FC314" s="60">
        <v>62</v>
      </c>
      <c r="FD314" s="60">
        <v>54</v>
      </c>
      <c r="FE314" s="60"/>
      <c r="FF314" s="60">
        <v>5</v>
      </c>
      <c r="FG314" s="60"/>
      <c r="FH314" s="60">
        <v>120</v>
      </c>
      <c r="FI314" s="60">
        <v>40</v>
      </c>
      <c r="FJ314" s="60">
        <v>154</v>
      </c>
      <c r="FK314" s="60">
        <v>5</v>
      </c>
      <c r="FL314" s="60">
        <v>4</v>
      </c>
      <c r="FM314" s="60">
        <v>52</v>
      </c>
      <c r="FN314" s="60">
        <v>11</v>
      </c>
      <c r="FO314" s="60">
        <v>1346</v>
      </c>
      <c r="FP314" s="60">
        <v>68</v>
      </c>
      <c r="FQ314" s="60">
        <v>5</v>
      </c>
      <c r="FR314" s="60">
        <v>4</v>
      </c>
      <c r="FS314" s="60">
        <v>20</v>
      </c>
      <c r="FT314" s="60">
        <v>6</v>
      </c>
      <c r="FU314" s="60">
        <v>2</v>
      </c>
      <c r="FV314" s="60"/>
      <c r="FW314" s="60"/>
      <c r="FX314" s="60">
        <v>1837</v>
      </c>
      <c r="FY314" s="60">
        <v>3</v>
      </c>
      <c r="FZ314" s="60">
        <v>1775</v>
      </c>
      <c r="GA314" s="60">
        <v>59</v>
      </c>
      <c r="GB314" s="60">
        <v>2011</v>
      </c>
    </row>
    <row r="315" spans="1:184" x14ac:dyDescent="0.3">
      <c r="A315" s="60">
        <v>106531059</v>
      </c>
      <c r="B315" s="61" t="s">
        <v>1165</v>
      </c>
      <c r="C315" s="61" t="s">
        <v>1166</v>
      </c>
      <c r="D315" s="61" t="s">
        <v>2106</v>
      </c>
      <c r="E315" s="61" t="s">
        <v>1167</v>
      </c>
      <c r="F315" s="60">
        <v>96093</v>
      </c>
      <c r="G315" s="61"/>
      <c r="H315" s="61" t="s">
        <v>1669</v>
      </c>
      <c r="I315" s="60">
        <v>1</v>
      </c>
      <c r="J315" s="60">
        <v>4</v>
      </c>
      <c r="K315" s="61" t="s">
        <v>2107</v>
      </c>
      <c r="L315" s="61"/>
      <c r="M315" s="61" t="s">
        <v>1704</v>
      </c>
      <c r="N315" s="61" t="s">
        <v>2108</v>
      </c>
      <c r="O315" s="61" t="s">
        <v>1673</v>
      </c>
      <c r="P315" s="61" t="s">
        <v>159</v>
      </c>
      <c r="Q315" s="61" t="s">
        <v>1674</v>
      </c>
      <c r="R315" s="60">
        <v>25</v>
      </c>
      <c r="S315" s="61" t="s">
        <v>1706</v>
      </c>
      <c r="T315" s="60">
        <v>2041</v>
      </c>
      <c r="U315" s="60">
        <v>1825</v>
      </c>
      <c r="V315" s="60"/>
      <c r="W315" s="60"/>
      <c r="X315" s="60">
        <v>319</v>
      </c>
      <c r="Y315" s="60">
        <v>441</v>
      </c>
      <c r="Z315" s="60">
        <v>494</v>
      </c>
      <c r="AA315" s="60">
        <v>431</v>
      </c>
      <c r="AB315" s="60">
        <v>492</v>
      </c>
      <c r="AC315" s="60">
        <v>586</v>
      </c>
      <c r="AD315" s="60">
        <v>440</v>
      </c>
      <c r="AE315" s="60">
        <v>331</v>
      </c>
      <c r="AF315" s="60">
        <v>269</v>
      </c>
      <c r="AG315" s="60">
        <v>63</v>
      </c>
      <c r="AH315" s="60"/>
      <c r="AI315" s="60"/>
      <c r="AJ315" s="60"/>
      <c r="AK315" s="60">
        <v>110</v>
      </c>
      <c r="AL315" s="60"/>
      <c r="AM315" s="60">
        <v>7</v>
      </c>
      <c r="AN315" s="60">
        <v>133</v>
      </c>
      <c r="AO315" s="60">
        <v>3616</v>
      </c>
      <c r="AP315" s="60">
        <v>168</v>
      </c>
      <c r="AQ315" s="60">
        <v>39</v>
      </c>
      <c r="AR315" s="60">
        <v>81</v>
      </c>
      <c r="AS315" s="60">
        <v>10</v>
      </c>
      <c r="AT315" s="60"/>
      <c r="AU315" s="60"/>
      <c r="AV315" s="60"/>
      <c r="AW315" s="60"/>
      <c r="AX315" s="60"/>
      <c r="AY315" s="60">
        <v>13</v>
      </c>
      <c r="AZ315" s="60"/>
      <c r="BA315" s="60">
        <v>3439</v>
      </c>
      <c r="BB315" s="60">
        <v>5</v>
      </c>
      <c r="BC315" s="60"/>
      <c r="BD315" s="60">
        <v>111</v>
      </c>
      <c r="BE315" s="60">
        <v>1392</v>
      </c>
      <c r="BF315" s="60">
        <v>1127</v>
      </c>
      <c r="BG315" s="60">
        <v>176</v>
      </c>
      <c r="BH315" s="60">
        <v>1170</v>
      </c>
      <c r="BI315" s="60">
        <v>1</v>
      </c>
      <c r="BJ315" s="60">
        <v>89</v>
      </c>
      <c r="BK315" s="60">
        <v>8</v>
      </c>
      <c r="BL315" s="60">
        <v>119</v>
      </c>
      <c r="BM315" s="60"/>
      <c r="BN315" s="60">
        <v>274</v>
      </c>
      <c r="BO315" s="60">
        <v>94</v>
      </c>
      <c r="BP315" s="60">
        <v>168</v>
      </c>
      <c r="BQ315" s="60">
        <v>126</v>
      </c>
      <c r="BR315" s="60">
        <v>1058</v>
      </c>
      <c r="BS315" s="60">
        <v>163</v>
      </c>
      <c r="BT315" s="60">
        <v>11</v>
      </c>
      <c r="BU315" s="60">
        <v>323</v>
      </c>
      <c r="BV315" s="60">
        <v>109</v>
      </c>
      <c r="BW315" s="60"/>
      <c r="BX315" s="60">
        <v>125</v>
      </c>
      <c r="BY315" s="60">
        <v>361</v>
      </c>
      <c r="BZ315" s="60">
        <v>261</v>
      </c>
      <c r="CA315" s="60">
        <v>575</v>
      </c>
      <c r="CB315" s="60"/>
      <c r="CC315" s="60">
        <v>2</v>
      </c>
      <c r="CD315" s="60">
        <v>317</v>
      </c>
      <c r="CE315" s="60">
        <v>15</v>
      </c>
      <c r="CF315" s="60">
        <v>27</v>
      </c>
      <c r="CG315" s="60">
        <v>3</v>
      </c>
      <c r="CH315" s="60">
        <v>37</v>
      </c>
      <c r="CI315" s="60"/>
      <c r="CJ315" s="60">
        <v>1</v>
      </c>
      <c r="CK315" s="60">
        <v>93</v>
      </c>
      <c r="CL315" s="60">
        <v>2693</v>
      </c>
      <c r="CM315" s="60">
        <v>502</v>
      </c>
      <c r="CN315" s="60">
        <v>27</v>
      </c>
      <c r="CO315" s="60">
        <v>65</v>
      </c>
      <c r="CP315" s="60">
        <v>14</v>
      </c>
      <c r="CQ315" s="60">
        <v>65</v>
      </c>
      <c r="CR315" s="60">
        <v>7</v>
      </c>
      <c r="CS315" s="60"/>
      <c r="CT315" s="60">
        <v>3866</v>
      </c>
      <c r="CU315" s="60">
        <v>5</v>
      </c>
      <c r="CV315" s="60">
        <v>3854</v>
      </c>
      <c r="CW315" s="60">
        <v>7</v>
      </c>
      <c r="CX315" s="60">
        <v>185</v>
      </c>
      <c r="CY315" s="60">
        <v>178</v>
      </c>
      <c r="CZ315" s="60"/>
      <c r="DA315" s="60"/>
      <c r="DB315" s="60">
        <v>4</v>
      </c>
      <c r="DC315" s="60">
        <v>18</v>
      </c>
      <c r="DD315" s="60">
        <v>30</v>
      </c>
      <c r="DE315" s="60">
        <v>26</v>
      </c>
      <c r="DF315" s="60">
        <v>48</v>
      </c>
      <c r="DG315" s="60">
        <v>93</v>
      </c>
      <c r="DH315" s="60">
        <v>57</v>
      </c>
      <c r="DI315" s="60">
        <v>86</v>
      </c>
      <c r="DJ315" s="60"/>
      <c r="DK315" s="60">
        <v>1</v>
      </c>
      <c r="DL315" s="60"/>
      <c r="DM315" s="60">
        <v>2</v>
      </c>
      <c r="DN315" s="60"/>
      <c r="DO315" s="60"/>
      <c r="DP315" s="60">
        <v>1</v>
      </c>
      <c r="DQ315" s="60">
        <v>1</v>
      </c>
      <c r="DR315" s="60">
        <v>354</v>
      </c>
      <c r="DS315" s="60">
        <v>5</v>
      </c>
      <c r="DT315" s="60">
        <v>26</v>
      </c>
      <c r="DU315" s="60">
        <v>7</v>
      </c>
      <c r="DV315" s="60">
        <v>6</v>
      </c>
      <c r="DW315" s="60"/>
      <c r="DX315" s="60"/>
      <c r="DY315" s="60"/>
      <c r="DZ315" s="60"/>
      <c r="EA315" s="60">
        <v>281</v>
      </c>
      <c r="EB315" s="60">
        <v>43</v>
      </c>
      <c r="EC315" s="60"/>
      <c r="ED315" s="60">
        <v>0</v>
      </c>
      <c r="EE315" s="60">
        <v>0</v>
      </c>
      <c r="EF315" s="60">
        <v>0</v>
      </c>
      <c r="EG315" s="60">
        <v>0</v>
      </c>
      <c r="EH315" s="60">
        <v>0</v>
      </c>
      <c r="EI315" s="60">
        <v>54</v>
      </c>
      <c r="EJ315" s="60">
        <v>224</v>
      </c>
      <c r="EK315" s="60">
        <v>53</v>
      </c>
      <c r="EL315" s="60"/>
      <c r="EM315" s="60">
        <v>32</v>
      </c>
      <c r="EN315" s="60">
        <v>1</v>
      </c>
      <c r="EO315" s="60">
        <v>3</v>
      </c>
      <c r="EP315" s="60">
        <v>60</v>
      </c>
      <c r="EQ315" s="60"/>
      <c r="ER315" s="60">
        <v>76</v>
      </c>
      <c r="ES315" s="60">
        <v>25</v>
      </c>
      <c r="ET315" s="60">
        <v>28</v>
      </c>
      <c r="EU315" s="60">
        <v>13</v>
      </c>
      <c r="EV315" s="60">
        <v>12</v>
      </c>
      <c r="EW315" s="60">
        <v>8</v>
      </c>
      <c r="EX315" s="60">
        <v>11</v>
      </c>
      <c r="EY315" s="60">
        <v>16</v>
      </c>
      <c r="EZ315" s="60"/>
      <c r="FA315" s="60">
        <v>4</v>
      </c>
      <c r="FB315" s="60">
        <v>68</v>
      </c>
      <c r="FC315" s="60">
        <v>13</v>
      </c>
      <c r="FD315" s="60">
        <v>25</v>
      </c>
      <c r="FE315" s="60"/>
      <c r="FF315" s="60"/>
      <c r="FG315" s="60"/>
      <c r="FH315" s="60">
        <v>15</v>
      </c>
      <c r="FI315" s="60">
        <v>2</v>
      </c>
      <c r="FJ315" s="60">
        <v>2</v>
      </c>
      <c r="FK315" s="60">
        <v>1</v>
      </c>
      <c r="FL315" s="60"/>
      <c r="FM315" s="60"/>
      <c r="FN315" s="60">
        <v>2</v>
      </c>
      <c r="FO315" s="60">
        <v>333</v>
      </c>
      <c r="FP315" s="60">
        <v>4</v>
      </c>
      <c r="FQ315" s="60">
        <v>1</v>
      </c>
      <c r="FR315" s="60"/>
      <c r="FS315" s="60"/>
      <c r="FT315" s="60"/>
      <c r="FU315" s="60">
        <v>3</v>
      </c>
      <c r="FV315" s="60"/>
      <c r="FW315" s="60"/>
      <c r="FX315" s="60">
        <v>363</v>
      </c>
      <c r="FY315" s="60"/>
      <c r="FZ315" s="60">
        <v>363</v>
      </c>
      <c r="GA315" s="60"/>
      <c r="GB315" s="60">
        <v>2011</v>
      </c>
    </row>
    <row r="316" spans="1:184" x14ac:dyDescent="0.3">
      <c r="A316" s="60">
        <v>106540734</v>
      </c>
      <c r="B316" s="61" t="s">
        <v>1168</v>
      </c>
      <c r="C316" s="61" t="s">
        <v>1169</v>
      </c>
      <c r="D316" s="61" t="s">
        <v>1171</v>
      </c>
      <c r="E316" s="61" t="s">
        <v>1172</v>
      </c>
      <c r="F316" s="60">
        <v>93291</v>
      </c>
      <c r="G316" s="61" t="s">
        <v>186</v>
      </c>
      <c r="H316" s="61" t="s">
        <v>1669</v>
      </c>
      <c r="I316" s="60">
        <v>34</v>
      </c>
      <c r="J316" s="60">
        <v>18</v>
      </c>
      <c r="K316" s="61" t="s">
        <v>2109</v>
      </c>
      <c r="L316" s="61"/>
      <c r="M316" s="61" t="s">
        <v>1733</v>
      </c>
      <c r="N316" s="61" t="s">
        <v>2110</v>
      </c>
      <c r="O316" s="61" t="s">
        <v>1673</v>
      </c>
      <c r="P316" s="61" t="s">
        <v>159</v>
      </c>
      <c r="Q316" s="61" t="s">
        <v>1674</v>
      </c>
      <c r="R316" s="60">
        <v>448</v>
      </c>
      <c r="S316" s="61" t="s">
        <v>1675</v>
      </c>
      <c r="T316" s="60">
        <v>36079</v>
      </c>
      <c r="U316" s="60">
        <v>29515</v>
      </c>
      <c r="V316" s="60"/>
      <c r="W316" s="60"/>
      <c r="X316" s="60">
        <v>10701</v>
      </c>
      <c r="Y316" s="60">
        <v>8650</v>
      </c>
      <c r="Z316" s="60">
        <v>11415</v>
      </c>
      <c r="AA316" s="60">
        <v>9172</v>
      </c>
      <c r="AB316" s="60">
        <v>7498</v>
      </c>
      <c r="AC316" s="60">
        <v>6038</v>
      </c>
      <c r="AD316" s="60">
        <v>3874</v>
      </c>
      <c r="AE316" s="60">
        <v>2676</v>
      </c>
      <c r="AF316" s="60">
        <v>2493</v>
      </c>
      <c r="AG316" s="60">
        <v>3077</v>
      </c>
      <c r="AH316" s="60"/>
      <c r="AI316" s="60">
        <v>717</v>
      </c>
      <c r="AJ316" s="60">
        <v>949</v>
      </c>
      <c r="AK316" s="60">
        <v>18874</v>
      </c>
      <c r="AL316" s="60">
        <v>30</v>
      </c>
      <c r="AM316" s="60">
        <v>1688</v>
      </c>
      <c r="AN316" s="60">
        <v>32500</v>
      </c>
      <c r="AO316" s="60">
        <v>10836</v>
      </c>
      <c r="AP316" s="60">
        <v>630</v>
      </c>
      <c r="AQ316" s="60">
        <v>478</v>
      </c>
      <c r="AR316" s="60">
        <v>211</v>
      </c>
      <c r="AS316" s="60">
        <v>139</v>
      </c>
      <c r="AT316" s="60">
        <v>1</v>
      </c>
      <c r="AU316" s="60">
        <v>1</v>
      </c>
      <c r="AV316" s="60">
        <v>6</v>
      </c>
      <c r="AW316" s="60">
        <v>1</v>
      </c>
      <c r="AX316" s="60">
        <v>9</v>
      </c>
      <c r="AY316" s="60">
        <v>512</v>
      </c>
      <c r="AZ316" s="60"/>
      <c r="BA316" s="60">
        <v>63073</v>
      </c>
      <c r="BB316" s="60">
        <v>316</v>
      </c>
      <c r="BC316" s="60">
        <v>217</v>
      </c>
      <c r="BD316" s="60"/>
      <c r="BE316" s="60">
        <v>7603</v>
      </c>
      <c r="BF316" s="60">
        <v>8652</v>
      </c>
      <c r="BG316" s="60">
        <v>1271</v>
      </c>
      <c r="BH316" s="60">
        <v>48068</v>
      </c>
      <c r="BI316" s="60"/>
      <c r="BJ316" s="60">
        <v>2192</v>
      </c>
      <c r="BK316" s="60">
        <v>246</v>
      </c>
      <c r="BL316" s="60">
        <v>1302</v>
      </c>
      <c r="BM316" s="60">
        <v>14</v>
      </c>
      <c r="BN316" s="60">
        <v>3827</v>
      </c>
      <c r="BO316" s="60">
        <v>701</v>
      </c>
      <c r="BP316" s="60">
        <v>3533</v>
      </c>
      <c r="BQ316" s="60">
        <v>1730</v>
      </c>
      <c r="BR316" s="60">
        <v>14001</v>
      </c>
      <c r="BS316" s="60">
        <v>2605</v>
      </c>
      <c r="BT316" s="60">
        <v>120</v>
      </c>
      <c r="BU316" s="60">
        <v>3241</v>
      </c>
      <c r="BV316" s="60">
        <v>2121</v>
      </c>
      <c r="BW316" s="60">
        <v>114</v>
      </c>
      <c r="BX316" s="60">
        <v>3108</v>
      </c>
      <c r="BY316" s="60">
        <v>7460</v>
      </c>
      <c r="BZ316" s="60">
        <v>2928</v>
      </c>
      <c r="CA316" s="60">
        <v>16351</v>
      </c>
      <c r="CB316" s="60"/>
      <c r="CC316" s="60"/>
      <c r="CD316" s="60">
        <v>3817</v>
      </c>
      <c r="CE316" s="60">
        <v>276</v>
      </c>
      <c r="CF316" s="60">
        <v>460</v>
      </c>
      <c r="CG316" s="60">
        <v>45</v>
      </c>
      <c r="CH316" s="60">
        <v>882</v>
      </c>
      <c r="CI316" s="60">
        <v>13</v>
      </c>
      <c r="CJ316" s="60">
        <v>5</v>
      </c>
      <c r="CK316" s="60">
        <v>599</v>
      </c>
      <c r="CL316" s="60">
        <v>51031</v>
      </c>
      <c r="CM316" s="60">
        <v>5932</v>
      </c>
      <c r="CN316" s="60">
        <v>282</v>
      </c>
      <c r="CO316" s="60">
        <v>1553</v>
      </c>
      <c r="CP316" s="60">
        <v>288</v>
      </c>
      <c r="CQ316" s="60">
        <v>366</v>
      </c>
      <c r="CR316" s="60">
        <v>45</v>
      </c>
      <c r="CS316" s="60"/>
      <c r="CT316" s="60">
        <v>65594</v>
      </c>
      <c r="CU316" s="60">
        <v>429</v>
      </c>
      <c r="CV316" s="60">
        <v>57750</v>
      </c>
      <c r="CW316" s="60">
        <v>7415</v>
      </c>
      <c r="CX316" s="60">
        <v>6217</v>
      </c>
      <c r="CY316" s="60">
        <v>5950</v>
      </c>
      <c r="CZ316" s="60"/>
      <c r="DA316" s="60"/>
      <c r="DB316" s="60">
        <v>331</v>
      </c>
      <c r="DC316" s="60">
        <v>785</v>
      </c>
      <c r="DD316" s="60">
        <v>885</v>
      </c>
      <c r="DE316" s="60">
        <v>1350</v>
      </c>
      <c r="DF316" s="60">
        <v>2055</v>
      </c>
      <c r="DG316" s="60">
        <v>2175</v>
      </c>
      <c r="DH316" s="60">
        <v>1858</v>
      </c>
      <c r="DI316" s="60">
        <v>2304</v>
      </c>
      <c r="DJ316" s="60">
        <v>183</v>
      </c>
      <c r="DK316" s="60">
        <v>241</v>
      </c>
      <c r="DL316" s="60"/>
      <c r="DM316" s="60">
        <v>264</v>
      </c>
      <c r="DN316" s="60">
        <v>230</v>
      </c>
      <c r="DO316" s="60">
        <v>4796</v>
      </c>
      <c r="DP316" s="60">
        <v>530</v>
      </c>
      <c r="DQ316" s="60">
        <v>16</v>
      </c>
      <c r="DR316" s="60">
        <v>6315</v>
      </c>
      <c r="DS316" s="60">
        <v>16</v>
      </c>
      <c r="DT316" s="60">
        <v>240</v>
      </c>
      <c r="DU316" s="60">
        <v>125</v>
      </c>
      <c r="DV316" s="60">
        <v>437</v>
      </c>
      <c r="DW316" s="60">
        <v>1082</v>
      </c>
      <c r="DX316" s="60">
        <v>284</v>
      </c>
      <c r="DY316" s="60">
        <v>1</v>
      </c>
      <c r="DZ316" s="60">
        <v>106</v>
      </c>
      <c r="EA316" s="60">
        <v>8494</v>
      </c>
      <c r="EB316" s="60">
        <v>1351</v>
      </c>
      <c r="EC316" s="60">
        <v>47</v>
      </c>
      <c r="ED316" s="60">
        <v>0</v>
      </c>
      <c r="EE316" s="60">
        <v>0</v>
      </c>
      <c r="EF316" s="60">
        <v>0</v>
      </c>
      <c r="EG316" s="60">
        <v>0</v>
      </c>
      <c r="EH316" s="60">
        <v>0</v>
      </c>
      <c r="EI316" s="60">
        <v>2722</v>
      </c>
      <c r="EJ316" s="60">
        <v>6237</v>
      </c>
      <c r="EK316" s="60">
        <v>50</v>
      </c>
      <c r="EL316" s="60">
        <v>2139</v>
      </c>
      <c r="EM316" s="60">
        <v>1019</v>
      </c>
      <c r="EN316" s="60">
        <v>151</v>
      </c>
      <c r="EO316" s="60">
        <v>135</v>
      </c>
      <c r="EP316" s="60">
        <v>2556</v>
      </c>
      <c r="EQ316" s="60">
        <v>5</v>
      </c>
      <c r="ER316" s="60">
        <v>2042</v>
      </c>
      <c r="ES316" s="60">
        <v>614</v>
      </c>
      <c r="ET316" s="60">
        <v>751</v>
      </c>
      <c r="EU316" s="60">
        <v>718</v>
      </c>
      <c r="EV316" s="60">
        <v>1272</v>
      </c>
      <c r="EW316" s="60">
        <v>208</v>
      </c>
      <c r="EX316" s="60">
        <v>216</v>
      </c>
      <c r="EY316" s="60">
        <v>185</v>
      </c>
      <c r="EZ316" s="60">
        <v>30</v>
      </c>
      <c r="FA316" s="60">
        <v>246</v>
      </c>
      <c r="FB316" s="60">
        <v>1616</v>
      </c>
      <c r="FC316" s="60">
        <v>346</v>
      </c>
      <c r="FD316" s="60">
        <v>1033</v>
      </c>
      <c r="FE316" s="60">
        <v>3</v>
      </c>
      <c r="FF316" s="60">
        <v>40</v>
      </c>
      <c r="FG316" s="60"/>
      <c r="FH316" s="60">
        <v>603</v>
      </c>
      <c r="FI316" s="60">
        <v>77</v>
      </c>
      <c r="FJ316" s="60">
        <v>869</v>
      </c>
      <c r="FK316" s="60">
        <v>68</v>
      </c>
      <c r="FL316" s="60">
        <v>48</v>
      </c>
      <c r="FM316" s="60">
        <v>51</v>
      </c>
      <c r="FN316" s="60">
        <v>32</v>
      </c>
      <c r="FO316" s="60">
        <v>10026</v>
      </c>
      <c r="FP316" s="60">
        <v>122</v>
      </c>
      <c r="FQ316" s="60">
        <v>14</v>
      </c>
      <c r="FR316" s="60">
        <v>145</v>
      </c>
      <c r="FS316" s="60">
        <v>76</v>
      </c>
      <c r="FT316" s="60">
        <v>13</v>
      </c>
      <c r="FU316" s="60">
        <v>19</v>
      </c>
      <c r="FV316" s="60">
        <v>4</v>
      </c>
      <c r="FW316" s="60"/>
      <c r="FX316" s="60">
        <v>12167</v>
      </c>
      <c r="FY316" s="60">
        <v>129</v>
      </c>
      <c r="FZ316" s="60">
        <v>10640</v>
      </c>
      <c r="GA316" s="60">
        <v>1398</v>
      </c>
      <c r="GB316" s="60">
        <v>2011</v>
      </c>
    </row>
    <row r="317" spans="1:184" x14ac:dyDescent="0.3">
      <c r="A317" s="60">
        <v>106540798</v>
      </c>
      <c r="B317" s="61" t="s">
        <v>1173</v>
      </c>
      <c r="C317" s="61" t="s">
        <v>2111</v>
      </c>
      <c r="D317" s="61" t="s">
        <v>1174</v>
      </c>
      <c r="E317" s="61" t="s">
        <v>1175</v>
      </c>
      <c r="F317" s="60">
        <v>93257</v>
      </c>
      <c r="G317" s="61"/>
      <c r="H317" s="61" t="s">
        <v>1669</v>
      </c>
      <c r="I317" s="60">
        <v>34</v>
      </c>
      <c r="J317" s="60">
        <v>18</v>
      </c>
      <c r="K317" s="61" t="s">
        <v>2112</v>
      </c>
      <c r="L317" s="61"/>
      <c r="M317" s="61" t="s">
        <v>1733</v>
      </c>
      <c r="N317" s="61" t="s">
        <v>2110</v>
      </c>
      <c r="O317" s="61" t="s">
        <v>1673</v>
      </c>
      <c r="P317" s="61" t="s">
        <v>159</v>
      </c>
      <c r="Q317" s="61" t="s">
        <v>1674</v>
      </c>
      <c r="R317" s="60">
        <v>132</v>
      </c>
      <c r="S317" s="61" t="s">
        <v>1675</v>
      </c>
      <c r="T317" s="60">
        <v>19961</v>
      </c>
      <c r="U317" s="60">
        <v>16322</v>
      </c>
      <c r="V317" s="60"/>
      <c r="W317" s="60"/>
      <c r="X317" s="60">
        <v>7496</v>
      </c>
      <c r="Y317" s="60">
        <v>5066</v>
      </c>
      <c r="Z317" s="60">
        <v>5935</v>
      </c>
      <c r="AA317" s="60">
        <v>4541</v>
      </c>
      <c r="AB317" s="60">
        <v>4126</v>
      </c>
      <c r="AC317" s="60">
        <v>3039</v>
      </c>
      <c r="AD317" s="60">
        <v>1966</v>
      </c>
      <c r="AE317" s="60">
        <v>1174</v>
      </c>
      <c r="AF317" s="60">
        <v>1017</v>
      </c>
      <c r="AG317" s="60">
        <v>1923</v>
      </c>
      <c r="AH317" s="60"/>
      <c r="AI317" s="60">
        <v>542</v>
      </c>
      <c r="AJ317" s="60">
        <v>351</v>
      </c>
      <c r="AK317" s="60">
        <v>20851</v>
      </c>
      <c r="AL317" s="60">
        <v>559</v>
      </c>
      <c r="AM317" s="60">
        <v>780</v>
      </c>
      <c r="AN317" s="60">
        <v>90</v>
      </c>
      <c r="AO317" s="60">
        <v>13110</v>
      </c>
      <c r="AP317" s="60">
        <v>452</v>
      </c>
      <c r="AQ317" s="60">
        <v>2243</v>
      </c>
      <c r="AR317" s="60">
        <v>46</v>
      </c>
      <c r="AS317" s="60">
        <v>65</v>
      </c>
      <c r="AT317" s="60">
        <v>1</v>
      </c>
      <c r="AU317" s="60">
        <v>2</v>
      </c>
      <c r="AV317" s="60">
        <v>1</v>
      </c>
      <c r="AW317" s="60">
        <v>4</v>
      </c>
      <c r="AX317" s="60">
        <v>298</v>
      </c>
      <c r="AY317" s="60">
        <v>97</v>
      </c>
      <c r="AZ317" s="60">
        <v>4</v>
      </c>
      <c r="BA317" s="60">
        <v>32975</v>
      </c>
      <c r="BB317" s="60">
        <v>90</v>
      </c>
      <c r="BC317" s="60">
        <v>5</v>
      </c>
      <c r="BD317" s="60"/>
      <c r="BE317" s="60">
        <v>19102</v>
      </c>
      <c r="BF317" s="60">
        <v>4536</v>
      </c>
      <c r="BG317" s="60">
        <v>1869</v>
      </c>
      <c r="BH317" s="60">
        <v>5441</v>
      </c>
      <c r="BI317" s="60">
        <v>5335</v>
      </c>
      <c r="BJ317" s="60">
        <v>1149</v>
      </c>
      <c r="BK317" s="60">
        <v>95</v>
      </c>
      <c r="BL317" s="60">
        <v>569</v>
      </c>
      <c r="BM317" s="60">
        <v>8</v>
      </c>
      <c r="BN317" s="60">
        <v>2157</v>
      </c>
      <c r="BO317" s="60">
        <v>489</v>
      </c>
      <c r="BP317" s="60">
        <v>2151</v>
      </c>
      <c r="BQ317" s="60">
        <v>1070</v>
      </c>
      <c r="BR317" s="60">
        <v>7949</v>
      </c>
      <c r="BS317" s="60">
        <v>1694</v>
      </c>
      <c r="BT317" s="60">
        <v>40</v>
      </c>
      <c r="BU317" s="60">
        <v>2188</v>
      </c>
      <c r="BV317" s="60">
        <v>1612</v>
      </c>
      <c r="BW317" s="60">
        <v>49</v>
      </c>
      <c r="BX317" s="60">
        <v>1081</v>
      </c>
      <c r="BY317" s="60">
        <v>4921</v>
      </c>
      <c r="BZ317" s="60">
        <v>1533</v>
      </c>
      <c r="CA317" s="60">
        <v>7528</v>
      </c>
      <c r="CB317" s="60"/>
      <c r="CC317" s="60"/>
      <c r="CD317" s="60">
        <v>2305</v>
      </c>
      <c r="CE317" s="60">
        <v>133</v>
      </c>
      <c r="CF317" s="60">
        <v>332</v>
      </c>
      <c r="CG317" s="60">
        <v>30</v>
      </c>
      <c r="CH317" s="60">
        <v>253</v>
      </c>
      <c r="CI317" s="60">
        <v>13</v>
      </c>
      <c r="CJ317" s="60">
        <v>167</v>
      </c>
      <c r="CK317" s="60">
        <v>462</v>
      </c>
      <c r="CL317" s="60">
        <v>27875</v>
      </c>
      <c r="CM317" s="60">
        <v>3484</v>
      </c>
      <c r="CN317" s="60">
        <v>154</v>
      </c>
      <c r="CO317" s="60">
        <v>664</v>
      </c>
      <c r="CP317" s="60">
        <v>96</v>
      </c>
      <c r="CQ317" s="60">
        <v>256</v>
      </c>
      <c r="CR317" s="60">
        <v>59</v>
      </c>
      <c r="CS317" s="60"/>
      <c r="CT317" s="60">
        <v>36283</v>
      </c>
      <c r="CU317" s="60">
        <v>161</v>
      </c>
      <c r="CV317" s="60">
        <v>30250</v>
      </c>
      <c r="CW317" s="60">
        <v>5872</v>
      </c>
      <c r="CX317" s="60">
        <v>2364</v>
      </c>
      <c r="CY317" s="60">
        <v>2284</v>
      </c>
      <c r="CZ317" s="60"/>
      <c r="DA317" s="60"/>
      <c r="DB317" s="60">
        <v>146</v>
      </c>
      <c r="DC317" s="60">
        <v>280</v>
      </c>
      <c r="DD317" s="60">
        <v>302</v>
      </c>
      <c r="DE317" s="60">
        <v>479</v>
      </c>
      <c r="DF317" s="60">
        <v>712</v>
      </c>
      <c r="DG317" s="60">
        <v>808</v>
      </c>
      <c r="DH317" s="60">
        <v>739</v>
      </c>
      <c r="DI317" s="60">
        <v>921</v>
      </c>
      <c r="DJ317" s="60">
        <v>107</v>
      </c>
      <c r="DK317" s="60">
        <v>154</v>
      </c>
      <c r="DL317" s="60"/>
      <c r="DM317" s="60">
        <v>103</v>
      </c>
      <c r="DN317" s="60">
        <v>47</v>
      </c>
      <c r="DO317" s="60">
        <v>1893</v>
      </c>
      <c r="DP317" s="60">
        <v>33</v>
      </c>
      <c r="DQ317" s="60">
        <v>2</v>
      </c>
      <c r="DR317" s="60">
        <v>2485</v>
      </c>
      <c r="DS317" s="60">
        <v>85</v>
      </c>
      <c r="DT317" s="60">
        <v>144</v>
      </c>
      <c r="DU317" s="60">
        <v>68</v>
      </c>
      <c r="DV317" s="60">
        <v>202</v>
      </c>
      <c r="DW317" s="60">
        <v>198</v>
      </c>
      <c r="DX317" s="60">
        <v>20</v>
      </c>
      <c r="DY317" s="60">
        <v>15</v>
      </c>
      <c r="DZ317" s="60">
        <v>51</v>
      </c>
      <c r="EA317" s="60">
        <v>3248</v>
      </c>
      <c r="EB317" s="60">
        <v>700</v>
      </c>
      <c r="EC317" s="60">
        <v>2</v>
      </c>
      <c r="ED317" s="60">
        <v>0</v>
      </c>
      <c r="EE317" s="60">
        <v>0</v>
      </c>
      <c r="EF317" s="60">
        <v>0</v>
      </c>
      <c r="EG317" s="60">
        <v>0</v>
      </c>
      <c r="EH317" s="60">
        <v>0</v>
      </c>
      <c r="EI317" s="60">
        <v>1217</v>
      </c>
      <c r="EJ317" s="60">
        <v>2458</v>
      </c>
      <c r="EK317" s="60">
        <v>45</v>
      </c>
      <c r="EL317" s="60">
        <v>583</v>
      </c>
      <c r="EM317" s="60">
        <v>345</v>
      </c>
      <c r="EN317" s="60">
        <v>71</v>
      </c>
      <c r="EO317" s="60">
        <v>57</v>
      </c>
      <c r="EP317" s="60">
        <v>919</v>
      </c>
      <c r="EQ317" s="60">
        <v>2</v>
      </c>
      <c r="ER317" s="60">
        <v>786</v>
      </c>
      <c r="ES317" s="60">
        <v>308</v>
      </c>
      <c r="ET317" s="60">
        <v>444</v>
      </c>
      <c r="EU317" s="60">
        <v>167</v>
      </c>
      <c r="EV317" s="60">
        <v>290</v>
      </c>
      <c r="EW317" s="60">
        <v>57</v>
      </c>
      <c r="EX317" s="60">
        <v>102</v>
      </c>
      <c r="EY317" s="60">
        <v>80</v>
      </c>
      <c r="EZ317" s="60">
        <v>11</v>
      </c>
      <c r="FA317" s="60">
        <v>38</v>
      </c>
      <c r="FB317" s="60">
        <v>912</v>
      </c>
      <c r="FC317" s="60">
        <v>173</v>
      </c>
      <c r="FD317" s="60">
        <v>207</v>
      </c>
      <c r="FE317" s="60">
        <v>3</v>
      </c>
      <c r="FF317" s="60">
        <v>21</v>
      </c>
      <c r="FG317" s="60"/>
      <c r="FH317" s="60">
        <v>239</v>
      </c>
      <c r="FI317" s="60">
        <v>15</v>
      </c>
      <c r="FJ317" s="60">
        <v>197</v>
      </c>
      <c r="FK317" s="60">
        <v>6</v>
      </c>
      <c r="FL317" s="60">
        <v>23</v>
      </c>
      <c r="FM317" s="60">
        <v>179</v>
      </c>
      <c r="FN317" s="60">
        <v>21</v>
      </c>
      <c r="FO317" s="60">
        <v>3861</v>
      </c>
      <c r="FP317" s="60">
        <v>49</v>
      </c>
      <c r="FQ317" s="60">
        <v>3</v>
      </c>
      <c r="FR317" s="60">
        <v>15</v>
      </c>
      <c r="FS317" s="60">
        <v>18</v>
      </c>
      <c r="FT317" s="60">
        <v>6</v>
      </c>
      <c r="FU317" s="60">
        <v>16</v>
      </c>
      <c r="FV317" s="60"/>
      <c r="FW317" s="60"/>
      <c r="FX317" s="60">
        <v>4648</v>
      </c>
      <c r="FY317" s="60">
        <v>28</v>
      </c>
      <c r="FZ317" s="60">
        <v>3938</v>
      </c>
      <c r="GA317" s="60">
        <v>682</v>
      </c>
      <c r="GB317" s="60">
        <v>2011</v>
      </c>
    </row>
    <row r="318" spans="1:184" x14ac:dyDescent="0.3">
      <c r="A318" s="60">
        <v>106540816</v>
      </c>
      <c r="B318" s="61" t="s">
        <v>1176</v>
      </c>
      <c r="C318" s="61" t="s">
        <v>1177</v>
      </c>
      <c r="D318" s="61" t="s">
        <v>2113</v>
      </c>
      <c r="E318" s="61" t="s">
        <v>1170</v>
      </c>
      <c r="F318" s="60">
        <v>93274</v>
      </c>
      <c r="G318" s="61"/>
      <c r="H318" s="61" t="s">
        <v>1669</v>
      </c>
      <c r="I318" s="60">
        <v>34</v>
      </c>
      <c r="J318" s="60">
        <v>18</v>
      </c>
      <c r="K318" s="61" t="s">
        <v>2114</v>
      </c>
      <c r="L318" s="61"/>
      <c r="M318" s="61" t="s">
        <v>1733</v>
      </c>
      <c r="N318" s="61" t="s">
        <v>2110</v>
      </c>
      <c r="O318" s="61" t="s">
        <v>1673</v>
      </c>
      <c r="P318" s="61" t="s">
        <v>159</v>
      </c>
      <c r="Q318" s="61" t="s">
        <v>1674</v>
      </c>
      <c r="R318" s="60">
        <v>112</v>
      </c>
      <c r="S318" s="61" t="s">
        <v>1675</v>
      </c>
      <c r="T318" s="60">
        <v>14686</v>
      </c>
      <c r="U318" s="60">
        <v>11245</v>
      </c>
      <c r="V318" s="60">
        <v>1</v>
      </c>
      <c r="W318" s="60"/>
      <c r="X318" s="60">
        <v>4871</v>
      </c>
      <c r="Y318" s="60">
        <v>3815</v>
      </c>
      <c r="Z318" s="60">
        <v>4414</v>
      </c>
      <c r="AA318" s="60">
        <v>3962</v>
      </c>
      <c r="AB318" s="60">
        <v>3167</v>
      </c>
      <c r="AC318" s="60">
        <v>2190</v>
      </c>
      <c r="AD318" s="60">
        <v>1128</v>
      </c>
      <c r="AE318" s="60">
        <v>690</v>
      </c>
      <c r="AF318" s="60">
        <v>564</v>
      </c>
      <c r="AG318" s="60">
        <v>1131</v>
      </c>
      <c r="AH318" s="60"/>
      <c r="AI318" s="60">
        <v>367</v>
      </c>
      <c r="AJ318" s="60">
        <v>1363</v>
      </c>
      <c r="AK318" s="60">
        <v>15007</v>
      </c>
      <c r="AL318" s="60">
        <v>496</v>
      </c>
      <c r="AM318" s="60">
        <v>269</v>
      </c>
      <c r="AN318" s="60">
        <v>2</v>
      </c>
      <c r="AO318" s="60">
        <v>8428</v>
      </c>
      <c r="AP318" s="60">
        <v>210</v>
      </c>
      <c r="AQ318" s="60">
        <v>911</v>
      </c>
      <c r="AR318" s="60"/>
      <c r="AS318" s="60">
        <v>33</v>
      </c>
      <c r="AT318" s="60">
        <v>3</v>
      </c>
      <c r="AU318" s="60">
        <v>1</v>
      </c>
      <c r="AV318" s="60">
        <v>3</v>
      </c>
      <c r="AW318" s="60">
        <v>35</v>
      </c>
      <c r="AX318" s="60"/>
      <c r="AY318" s="60">
        <v>47</v>
      </c>
      <c r="AZ318" s="60">
        <v>3</v>
      </c>
      <c r="BA318" s="60">
        <v>24500</v>
      </c>
      <c r="BB318" s="60">
        <v>106</v>
      </c>
      <c r="BC318" s="60">
        <v>80</v>
      </c>
      <c r="BD318" s="60"/>
      <c r="BE318" s="60">
        <v>13635</v>
      </c>
      <c r="BF318" s="60">
        <v>2861</v>
      </c>
      <c r="BG318" s="60">
        <v>997</v>
      </c>
      <c r="BH318" s="60">
        <v>4016</v>
      </c>
      <c r="BI318" s="60">
        <v>4423</v>
      </c>
      <c r="BJ318" s="60">
        <v>749</v>
      </c>
      <c r="BK318" s="60">
        <v>43</v>
      </c>
      <c r="BL318" s="60">
        <v>243</v>
      </c>
      <c r="BM318" s="60">
        <v>2</v>
      </c>
      <c r="BN318" s="60">
        <v>1170</v>
      </c>
      <c r="BO318" s="60">
        <v>274</v>
      </c>
      <c r="BP318" s="60">
        <v>1419</v>
      </c>
      <c r="BQ318" s="60">
        <v>695</v>
      </c>
      <c r="BR318" s="60">
        <v>5065</v>
      </c>
      <c r="BS318" s="60">
        <v>1880</v>
      </c>
      <c r="BT318" s="60">
        <v>19</v>
      </c>
      <c r="BU318" s="60">
        <v>1816</v>
      </c>
      <c r="BV318" s="60">
        <v>1428</v>
      </c>
      <c r="BW318" s="60">
        <v>54</v>
      </c>
      <c r="BX318" s="60">
        <v>718</v>
      </c>
      <c r="BY318" s="60">
        <v>3023</v>
      </c>
      <c r="BZ318" s="60">
        <v>1237</v>
      </c>
      <c r="CA318" s="60">
        <v>6097</v>
      </c>
      <c r="CB318" s="60"/>
      <c r="CC318" s="60"/>
      <c r="CD318" s="60">
        <v>1558</v>
      </c>
      <c r="CE318" s="60">
        <v>75</v>
      </c>
      <c r="CF318" s="60">
        <v>222</v>
      </c>
      <c r="CG318" s="60">
        <v>13</v>
      </c>
      <c r="CH318" s="60">
        <v>281</v>
      </c>
      <c r="CI318" s="60">
        <v>5</v>
      </c>
      <c r="CJ318" s="60">
        <v>83</v>
      </c>
      <c r="CK318" s="60">
        <v>322</v>
      </c>
      <c r="CL318" s="60">
        <v>20189</v>
      </c>
      <c r="CM318" s="60">
        <v>2399</v>
      </c>
      <c r="CN318" s="60">
        <v>118</v>
      </c>
      <c r="CO318" s="60">
        <v>471</v>
      </c>
      <c r="CP318" s="60">
        <v>62</v>
      </c>
      <c r="CQ318" s="60">
        <v>130</v>
      </c>
      <c r="CR318" s="60">
        <v>4</v>
      </c>
      <c r="CS318" s="60"/>
      <c r="CT318" s="60">
        <v>25932</v>
      </c>
      <c r="CU318" s="60">
        <v>216</v>
      </c>
      <c r="CV318" s="60">
        <v>22492</v>
      </c>
      <c r="CW318" s="60">
        <v>3224</v>
      </c>
      <c r="CX318" s="60">
        <v>1863</v>
      </c>
      <c r="CY318" s="60">
        <v>1524</v>
      </c>
      <c r="CZ318" s="60"/>
      <c r="DA318" s="60"/>
      <c r="DB318" s="60">
        <v>100</v>
      </c>
      <c r="DC318" s="60">
        <v>236</v>
      </c>
      <c r="DD318" s="60">
        <v>310</v>
      </c>
      <c r="DE318" s="60">
        <v>459</v>
      </c>
      <c r="DF318" s="60">
        <v>613</v>
      </c>
      <c r="DG318" s="60">
        <v>524</v>
      </c>
      <c r="DH318" s="60">
        <v>464</v>
      </c>
      <c r="DI318" s="60">
        <v>590</v>
      </c>
      <c r="DJ318" s="60">
        <v>38</v>
      </c>
      <c r="DK318" s="60">
        <v>53</v>
      </c>
      <c r="DL318" s="60"/>
      <c r="DM318" s="60">
        <v>38</v>
      </c>
      <c r="DN318" s="60">
        <v>185</v>
      </c>
      <c r="DO318" s="60">
        <v>1438</v>
      </c>
      <c r="DP318" s="60">
        <v>60</v>
      </c>
      <c r="DQ318" s="60">
        <v>1</v>
      </c>
      <c r="DR318" s="60">
        <v>1618</v>
      </c>
      <c r="DS318" s="60">
        <v>47</v>
      </c>
      <c r="DT318" s="60">
        <v>83</v>
      </c>
      <c r="DU318" s="60">
        <v>35</v>
      </c>
      <c r="DV318" s="60">
        <v>112</v>
      </c>
      <c r="DW318" s="60">
        <v>180</v>
      </c>
      <c r="DX318" s="60">
        <v>19</v>
      </c>
      <c r="DY318" s="60"/>
      <c r="DZ318" s="60"/>
      <c r="EA318" s="60">
        <v>2537</v>
      </c>
      <c r="EB318" s="60">
        <v>421</v>
      </c>
      <c r="EC318" s="60"/>
      <c r="ED318" s="60">
        <v>0</v>
      </c>
      <c r="EE318" s="60">
        <v>0</v>
      </c>
      <c r="EF318" s="60">
        <v>0</v>
      </c>
      <c r="EG318" s="60">
        <v>0</v>
      </c>
      <c r="EH318" s="60">
        <v>0</v>
      </c>
      <c r="EI318" s="60">
        <v>1035</v>
      </c>
      <c r="EJ318" s="60">
        <v>1573</v>
      </c>
      <c r="EK318" s="60">
        <v>33</v>
      </c>
      <c r="EL318" s="60">
        <v>420</v>
      </c>
      <c r="EM318" s="60">
        <v>326</v>
      </c>
      <c r="EN318" s="60">
        <v>87</v>
      </c>
      <c r="EO318" s="60">
        <v>62</v>
      </c>
      <c r="EP318" s="60">
        <v>581</v>
      </c>
      <c r="EQ318" s="60">
        <v>2</v>
      </c>
      <c r="ER318" s="60">
        <v>634</v>
      </c>
      <c r="ES318" s="60">
        <v>178</v>
      </c>
      <c r="ET318" s="60">
        <v>260</v>
      </c>
      <c r="EU318" s="60">
        <v>195</v>
      </c>
      <c r="EV318" s="60">
        <v>182</v>
      </c>
      <c r="EW318" s="60">
        <v>50</v>
      </c>
      <c r="EX318" s="60">
        <v>73</v>
      </c>
      <c r="EY318" s="60">
        <v>42</v>
      </c>
      <c r="EZ318" s="60">
        <v>2</v>
      </c>
      <c r="FA318" s="60">
        <v>26</v>
      </c>
      <c r="FB318" s="60">
        <v>513</v>
      </c>
      <c r="FC318" s="60">
        <v>79</v>
      </c>
      <c r="FD318" s="60">
        <v>411</v>
      </c>
      <c r="FE318" s="60"/>
      <c r="FF318" s="60">
        <v>10</v>
      </c>
      <c r="FG318" s="60"/>
      <c r="FH318" s="60">
        <v>116</v>
      </c>
      <c r="FI318" s="60">
        <v>23</v>
      </c>
      <c r="FJ318" s="60">
        <v>45</v>
      </c>
      <c r="FK318" s="60">
        <v>3</v>
      </c>
      <c r="FL318" s="60">
        <v>4</v>
      </c>
      <c r="FM318" s="60">
        <v>103</v>
      </c>
      <c r="FN318" s="60">
        <v>10</v>
      </c>
      <c r="FO318" s="60">
        <v>3028</v>
      </c>
      <c r="FP318" s="60">
        <v>22</v>
      </c>
      <c r="FQ318" s="60">
        <v>1</v>
      </c>
      <c r="FR318" s="60">
        <v>13</v>
      </c>
      <c r="FS318" s="60">
        <v>11</v>
      </c>
      <c r="FT318" s="60">
        <v>4</v>
      </c>
      <c r="FU318" s="60">
        <v>3</v>
      </c>
      <c r="FV318" s="60">
        <v>1</v>
      </c>
      <c r="FW318" s="60"/>
      <c r="FX318" s="60">
        <v>3387</v>
      </c>
      <c r="FY318" s="60">
        <v>88</v>
      </c>
      <c r="FZ318" s="60">
        <v>2871</v>
      </c>
      <c r="GA318" s="60">
        <v>428</v>
      </c>
      <c r="GB318" s="60">
        <v>2011</v>
      </c>
    </row>
    <row r="319" spans="1:184" x14ac:dyDescent="0.3">
      <c r="A319" s="60">
        <v>106554011</v>
      </c>
      <c r="B319" s="61" t="s">
        <v>1178</v>
      </c>
      <c r="C319" s="61" t="s">
        <v>1179</v>
      </c>
      <c r="D319" s="61" t="s">
        <v>2115</v>
      </c>
      <c r="E319" s="61" t="s">
        <v>2116</v>
      </c>
      <c r="F319" s="60">
        <v>95370</v>
      </c>
      <c r="G319" s="61"/>
      <c r="H319" s="61" t="s">
        <v>1669</v>
      </c>
      <c r="I319" s="60">
        <v>25</v>
      </c>
      <c r="J319" s="60">
        <v>14</v>
      </c>
      <c r="K319" s="61" t="s">
        <v>2117</v>
      </c>
      <c r="L319" s="61"/>
      <c r="M319" s="61" t="s">
        <v>1700</v>
      </c>
      <c r="N319" s="61" t="s">
        <v>2118</v>
      </c>
      <c r="O319" s="61" t="s">
        <v>1673</v>
      </c>
      <c r="P319" s="61" t="s">
        <v>1678</v>
      </c>
      <c r="Q319" s="61" t="s">
        <v>1674</v>
      </c>
      <c r="R319" s="60">
        <v>72</v>
      </c>
      <c r="S319" s="61" t="s">
        <v>1675</v>
      </c>
      <c r="T319" s="60">
        <v>11909</v>
      </c>
      <c r="U319" s="60">
        <v>10126</v>
      </c>
      <c r="V319" s="60"/>
      <c r="W319" s="60"/>
      <c r="X319" s="60">
        <v>2008</v>
      </c>
      <c r="Y319" s="60">
        <v>2303</v>
      </c>
      <c r="Z319" s="60">
        <v>3242</v>
      </c>
      <c r="AA319" s="60">
        <v>2565</v>
      </c>
      <c r="AB319" s="60">
        <v>2575</v>
      </c>
      <c r="AC319" s="60">
        <v>2941</v>
      </c>
      <c r="AD319" s="60">
        <v>2241</v>
      </c>
      <c r="AE319" s="60">
        <v>1941</v>
      </c>
      <c r="AF319" s="60">
        <v>1813</v>
      </c>
      <c r="AG319" s="60">
        <v>406</v>
      </c>
      <c r="AH319" s="60"/>
      <c r="AI319" s="60">
        <v>147</v>
      </c>
      <c r="AJ319" s="60">
        <v>151</v>
      </c>
      <c r="AK319" s="60">
        <v>902</v>
      </c>
      <c r="AL319" s="60">
        <v>136</v>
      </c>
      <c r="AM319" s="60">
        <v>84</v>
      </c>
      <c r="AN319" s="60">
        <v>5</v>
      </c>
      <c r="AO319" s="60">
        <v>20610</v>
      </c>
      <c r="AP319" s="60">
        <v>614</v>
      </c>
      <c r="AQ319" s="60">
        <v>261</v>
      </c>
      <c r="AR319" s="60">
        <v>1</v>
      </c>
      <c r="AS319" s="60">
        <v>31</v>
      </c>
      <c r="AT319" s="60">
        <v>167</v>
      </c>
      <c r="AU319" s="60">
        <v>6</v>
      </c>
      <c r="AV319" s="60"/>
      <c r="AW319" s="60"/>
      <c r="AX319" s="60">
        <v>129</v>
      </c>
      <c r="AY319" s="60">
        <v>185</v>
      </c>
      <c r="AZ319" s="60">
        <v>5</v>
      </c>
      <c r="BA319" s="60">
        <v>20614</v>
      </c>
      <c r="BB319" s="60">
        <v>22</v>
      </c>
      <c r="BC319" s="60"/>
      <c r="BD319" s="60"/>
      <c r="BE319" s="60">
        <v>7365</v>
      </c>
      <c r="BF319" s="60">
        <v>5679</v>
      </c>
      <c r="BG319" s="60">
        <v>1017</v>
      </c>
      <c r="BH319" s="60">
        <v>6397</v>
      </c>
      <c r="BI319" s="60">
        <v>1577</v>
      </c>
      <c r="BJ319" s="60">
        <v>431</v>
      </c>
      <c r="BK319" s="60">
        <v>51</v>
      </c>
      <c r="BL319" s="60">
        <v>828</v>
      </c>
      <c r="BM319" s="60">
        <v>2</v>
      </c>
      <c r="BN319" s="60">
        <v>1231</v>
      </c>
      <c r="BO319" s="60">
        <v>311</v>
      </c>
      <c r="BP319" s="60">
        <v>1074</v>
      </c>
      <c r="BQ319" s="60">
        <v>356</v>
      </c>
      <c r="BR319" s="60">
        <v>5569</v>
      </c>
      <c r="BS319" s="60">
        <v>1147</v>
      </c>
      <c r="BT319" s="60">
        <v>29</v>
      </c>
      <c r="BU319" s="60">
        <v>1522</v>
      </c>
      <c r="BV319" s="60">
        <v>914</v>
      </c>
      <c r="BW319" s="60">
        <v>25</v>
      </c>
      <c r="BX319" s="60">
        <v>805</v>
      </c>
      <c r="BY319" s="60">
        <v>1778</v>
      </c>
      <c r="BZ319" s="60">
        <v>985</v>
      </c>
      <c r="CA319" s="60">
        <v>4977</v>
      </c>
      <c r="CB319" s="60"/>
      <c r="CC319" s="60"/>
      <c r="CD319" s="60">
        <v>2108</v>
      </c>
      <c r="CE319" s="60">
        <v>159</v>
      </c>
      <c r="CF319" s="60">
        <v>213</v>
      </c>
      <c r="CG319" s="60">
        <v>32</v>
      </c>
      <c r="CH319" s="60">
        <v>171</v>
      </c>
      <c r="CI319" s="60">
        <v>50</v>
      </c>
      <c r="CJ319" s="60">
        <v>185</v>
      </c>
      <c r="CK319" s="60">
        <v>388</v>
      </c>
      <c r="CL319" s="60">
        <v>15597</v>
      </c>
      <c r="CM319" s="60">
        <v>2199</v>
      </c>
      <c r="CN319" s="60">
        <v>168</v>
      </c>
      <c r="CO319" s="60">
        <v>545</v>
      </c>
      <c r="CP319" s="60">
        <v>87</v>
      </c>
      <c r="CQ319" s="60">
        <v>125</v>
      </c>
      <c r="CR319" s="60">
        <v>8</v>
      </c>
      <c r="CS319" s="60"/>
      <c r="CT319" s="60">
        <v>22035</v>
      </c>
      <c r="CU319" s="60">
        <v>30</v>
      </c>
      <c r="CV319" s="60">
        <v>21915</v>
      </c>
      <c r="CW319" s="60">
        <v>90</v>
      </c>
      <c r="CX319" s="60">
        <v>1870</v>
      </c>
      <c r="CY319" s="60">
        <v>1745</v>
      </c>
      <c r="CZ319" s="60"/>
      <c r="DA319" s="60"/>
      <c r="DB319" s="60">
        <v>76</v>
      </c>
      <c r="DC319" s="60">
        <v>170</v>
      </c>
      <c r="DD319" s="60">
        <v>173</v>
      </c>
      <c r="DE319" s="60">
        <v>342</v>
      </c>
      <c r="DF319" s="60">
        <v>541</v>
      </c>
      <c r="DG319" s="60">
        <v>642</v>
      </c>
      <c r="DH319" s="60">
        <v>703</v>
      </c>
      <c r="DI319" s="60">
        <v>916</v>
      </c>
      <c r="DJ319" s="60">
        <v>10</v>
      </c>
      <c r="DK319" s="60">
        <v>42</v>
      </c>
      <c r="DL319" s="60"/>
      <c r="DM319" s="60">
        <v>14</v>
      </c>
      <c r="DN319" s="60">
        <v>13</v>
      </c>
      <c r="DO319" s="60">
        <v>81</v>
      </c>
      <c r="DP319" s="60">
        <v>6</v>
      </c>
      <c r="DQ319" s="60">
        <v>1</v>
      </c>
      <c r="DR319" s="60">
        <v>3482</v>
      </c>
      <c r="DS319" s="60">
        <v>18</v>
      </c>
      <c r="DT319" s="60">
        <v>172</v>
      </c>
      <c r="DU319" s="60">
        <v>41</v>
      </c>
      <c r="DV319" s="60">
        <v>114</v>
      </c>
      <c r="DW319" s="60">
        <v>691</v>
      </c>
      <c r="DX319" s="60">
        <v>18</v>
      </c>
      <c r="DY319" s="60">
        <v>1</v>
      </c>
      <c r="DZ319" s="60">
        <v>7</v>
      </c>
      <c r="EA319" s="60">
        <v>2129</v>
      </c>
      <c r="EB319" s="60">
        <v>428</v>
      </c>
      <c r="EC319" s="60">
        <v>14</v>
      </c>
      <c r="ED319" s="60">
        <v>0</v>
      </c>
      <c r="EE319" s="60">
        <v>0</v>
      </c>
      <c r="EF319" s="60">
        <v>0</v>
      </c>
      <c r="EG319" s="60">
        <v>0</v>
      </c>
      <c r="EH319" s="60">
        <v>0</v>
      </c>
      <c r="EI319" s="60">
        <v>616</v>
      </c>
      <c r="EJ319" s="60">
        <v>2062</v>
      </c>
      <c r="EK319" s="60">
        <v>109</v>
      </c>
      <c r="EL319" s="60">
        <v>723</v>
      </c>
      <c r="EM319" s="60">
        <v>105</v>
      </c>
      <c r="EN319" s="60">
        <v>30</v>
      </c>
      <c r="EO319" s="60">
        <v>38</v>
      </c>
      <c r="EP319" s="60">
        <v>604</v>
      </c>
      <c r="EQ319" s="60">
        <v>2</v>
      </c>
      <c r="ER319" s="60">
        <v>645</v>
      </c>
      <c r="ES319" s="60">
        <v>121</v>
      </c>
      <c r="ET319" s="60">
        <v>126</v>
      </c>
      <c r="EU319" s="60">
        <v>367</v>
      </c>
      <c r="EV319" s="60">
        <v>477</v>
      </c>
      <c r="EW319" s="60">
        <v>115</v>
      </c>
      <c r="EX319" s="60">
        <v>60</v>
      </c>
      <c r="EY319" s="60">
        <v>85</v>
      </c>
      <c r="EZ319" s="60">
        <v>5</v>
      </c>
      <c r="FA319" s="60">
        <v>24</v>
      </c>
      <c r="FB319" s="60">
        <v>506</v>
      </c>
      <c r="FC319" s="60">
        <v>85</v>
      </c>
      <c r="FD319" s="60">
        <v>325</v>
      </c>
      <c r="FE319" s="60"/>
      <c r="FF319" s="60"/>
      <c r="FG319" s="60"/>
      <c r="FH319" s="60">
        <v>285</v>
      </c>
      <c r="FI319" s="60">
        <v>65</v>
      </c>
      <c r="FJ319" s="60">
        <v>317</v>
      </c>
      <c r="FK319" s="60">
        <v>9</v>
      </c>
      <c r="FL319" s="60">
        <v>7</v>
      </c>
      <c r="FM319" s="60">
        <v>97</v>
      </c>
      <c r="FN319" s="60">
        <v>18</v>
      </c>
      <c r="FO319" s="60">
        <v>2676</v>
      </c>
      <c r="FP319" s="60">
        <v>69</v>
      </c>
      <c r="FQ319" s="60">
        <v>3</v>
      </c>
      <c r="FR319" s="60">
        <v>26</v>
      </c>
      <c r="FS319" s="60">
        <v>33</v>
      </c>
      <c r="FT319" s="60">
        <v>2</v>
      </c>
      <c r="FU319" s="60">
        <v>5</v>
      </c>
      <c r="FV319" s="60">
        <v>3</v>
      </c>
      <c r="FW319" s="60"/>
      <c r="FX319" s="60">
        <v>3615</v>
      </c>
      <c r="FY319" s="60">
        <v>8</v>
      </c>
      <c r="FZ319" s="60">
        <v>3599</v>
      </c>
      <c r="GA319" s="60">
        <v>8</v>
      </c>
      <c r="GB319" s="60">
        <v>2011</v>
      </c>
    </row>
    <row r="320" spans="1:184" x14ac:dyDescent="0.3">
      <c r="A320" s="60">
        <v>106560473</v>
      </c>
      <c r="B320" s="61" t="s">
        <v>1180</v>
      </c>
      <c r="C320" s="61" t="s">
        <v>1181</v>
      </c>
      <c r="D320" s="61" t="s">
        <v>1183</v>
      </c>
      <c r="E320" s="61" t="s">
        <v>1182</v>
      </c>
      <c r="F320" s="60">
        <v>93003</v>
      </c>
      <c r="G320" s="61"/>
      <c r="H320" s="61" t="s">
        <v>1669</v>
      </c>
      <c r="I320" s="60">
        <v>35</v>
      </c>
      <c r="J320" s="60">
        <v>19</v>
      </c>
      <c r="K320" s="61" t="s">
        <v>2119</v>
      </c>
      <c r="L320" s="61"/>
      <c r="M320" s="61" t="s">
        <v>2048</v>
      </c>
      <c r="N320" s="61" t="s">
        <v>2120</v>
      </c>
      <c r="O320" s="61" t="s">
        <v>1673</v>
      </c>
      <c r="P320" s="61" t="s">
        <v>1678</v>
      </c>
      <c r="Q320" s="61" t="s">
        <v>1674</v>
      </c>
      <c r="R320" s="60">
        <v>242</v>
      </c>
      <c r="S320" s="61" t="s">
        <v>1675</v>
      </c>
      <c r="T320" s="60">
        <v>18957</v>
      </c>
      <c r="U320" s="60">
        <v>13517</v>
      </c>
      <c r="V320" s="60"/>
      <c r="W320" s="60"/>
      <c r="X320" s="60">
        <v>4312</v>
      </c>
      <c r="Y320" s="60">
        <v>3317</v>
      </c>
      <c r="Z320" s="60">
        <v>4939</v>
      </c>
      <c r="AA320" s="60">
        <v>4118</v>
      </c>
      <c r="AB320" s="60">
        <v>3755</v>
      </c>
      <c r="AC320" s="60">
        <v>3640</v>
      </c>
      <c r="AD320" s="60">
        <v>2518</v>
      </c>
      <c r="AE320" s="60">
        <v>2033</v>
      </c>
      <c r="AF320" s="60">
        <v>2665</v>
      </c>
      <c r="AG320" s="60">
        <v>1177</v>
      </c>
      <c r="AH320" s="60"/>
      <c r="AI320" s="60">
        <v>483</v>
      </c>
      <c r="AJ320" s="60">
        <v>949</v>
      </c>
      <c r="AK320" s="60">
        <v>9486</v>
      </c>
      <c r="AL320" s="60">
        <v>16</v>
      </c>
      <c r="AM320" s="60">
        <v>80</v>
      </c>
      <c r="AN320" s="60">
        <v>26</v>
      </c>
      <c r="AO320" s="60">
        <v>21434</v>
      </c>
      <c r="AP320" s="60">
        <v>92</v>
      </c>
      <c r="AQ320" s="60">
        <v>788</v>
      </c>
      <c r="AR320" s="60">
        <v>4</v>
      </c>
      <c r="AS320" s="60">
        <v>31</v>
      </c>
      <c r="AT320" s="60">
        <v>16</v>
      </c>
      <c r="AU320" s="60">
        <v>1</v>
      </c>
      <c r="AV320" s="60"/>
      <c r="AW320" s="60">
        <v>4</v>
      </c>
      <c r="AX320" s="60"/>
      <c r="AY320" s="60">
        <v>45</v>
      </c>
      <c r="AZ320" s="60"/>
      <c r="BA320" s="60">
        <v>31460</v>
      </c>
      <c r="BB320" s="60">
        <v>33</v>
      </c>
      <c r="BC320" s="60"/>
      <c r="BD320" s="60"/>
      <c r="BE320" s="60">
        <v>7593</v>
      </c>
      <c r="BF320" s="60">
        <v>6902</v>
      </c>
      <c r="BG320" s="60">
        <v>1512</v>
      </c>
      <c r="BH320" s="60">
        <v>14064</v>
      </c>
      <c r="BI320" s="60">
        <v>2403</v>
      </c>
      <c r="BJ320" s="60">
        <v>1048</v>
      </c>
      <c r="BK320" s="60">
        <v>98</v>
      </c>
      <c r="BL320" s="60">
        <v>780</v>
      </c>
      <c r="BM320" s="60">
        <v>4</v>
      </c>
      <c r="BN320" s="60">
        <v>1942</v>
      </c>
      <c r="BO320" s="60">
        <v>289</v>
      </c>
      <c r="BP320" s="60">
        <v>1850</v>
      </c>
      <c r="BQ320" s="60">
        <v>662</v>
      </c>
      <c r="BR320" s="60">
        <v>7497</v>
      </c>
      <c r="BS320" s="60">
        <v>1859</v>
      </c>
      <c r="BT320" s="60">
        <v>47</v>
      </c>
      <c r="BU320" s="60">
        <v>2205</v>
      </c>
      <c r="BV320" s="60">
        <v>580</v>
      </c>
      <c r="BW320" s="60">
        <v>46</v>
      </c>
      <c r="BX320" s="60">
        <v>681</v>
      </c>
      <c r="BY320" s="60">
        <v>3434</v>
      </c>
      <c r="BZ320" s="60">
        <v>1647</v>
      </c>
      <c r="CA320" s="60">
        <v>7805</v>
      </c>
      <c r="CB320" s="60"/>
      <c r="CC320" s="60"/>
      <c r="CD320" s="60">
        <v>2881</v>
      </c>
      <c r="CE320" s="60">
        <v>122</v>
      </c>
      <c r="CF320" s="60">
        <v>368</v>
      </c>
      <c r="CG320" s="60">
        <v>8</v>
      </c>
      <c r="CH320" s="60">
        <v>160</v>
      </c>
      <c r="CI320" s="60">
        <v>274</v>
      </c>
      <c r="CJ320" s="60">
        <v>269</v>
      </c>
      <c r="CK320" s="60">
        <v>279</v>
      </c>
      <c r="CL320" s="60">
        <v>23999</v>
      </c>
      <c r="CM320" s="60">
        <v>3082</v>
      </c>
      <c r="CN320" s="60">
        <v>195</v>
      </c>
      <c r="CO320" s="60">
        <v>630</v>
      </c>
      <c r="CP320" s="60">
        <v>38</v>
      </c>
      <c r="CQ320" s="60">
        <v>156</v>
      </c>
      <c r="CR320" s="60">
        <v>13</v>
      </c>
      <c r="CS320" s="60"/>
      <c r="CT320" s="60">
        <v>32474</v>
      </c>
      <c r="CU320" s="60">
        <v>27</v>
      </c>
      <c r="CV320" s="60">
        <v>30521</v>
      </c>
      <c r="CW320" s="60">
        <v>1926</v>
      </c>
      <c r="CX320" s="60">
        <v>3028</v>
      </c>
      <c r="CY320" s="60">
        <v>2662</v>
      </c>
      <c r="CZ320" s="60"/>
      <c r="DA320" s="60"/>
      <c r="DB320" s="60">
        <v>138</v>
      </c>
      <c r="DC320" s="60">
        <v>217</v>
      </c>
      <c r="DD320" s="60">
        <v>310</v>
      </c>
      <c r="DE320" s="60">
        <v>415</v>
      </c>
      <c r="DF320" s="60">
        <v>721</v>
      </c>
      <c r="DG320" s="60">
        <v>924</v>
      </c>
      <c r="DH320" s="60">
        <v>996</v>
      </c>
      <c r="DI320" s="60">
        <v>1741</v>
      </c>
      <c r="DJ320" s="60">
        <v>80</v>
      </c>
      <c r="DK320" s="60">
        <v>148</v>
      </c>
      <c r="DL320" s="60"/>
      <c r="DM320" s="60">
        <v>113</v>
      </c>
      <c r="DN320" s="60">
        <v>107</v>
      </c>
      <c r="DO320" s="60">
        <v>1095</v>
      </c>
      <c r="DP320" s="60">
        <v>6</v>
      </c>
      <c r="DQ320" s="60">
        <v>1</v>
      </c>
      <c r="DR320" s="60">
        <v>4361</v>
      </c>
      <c r="DS320" s="60">
        <v>7</v>
      </c>
      <c r="DT320" s="60">
        <v>70</v>
      </c>
      <c r="DU320" s="60">
        <v>59</v>
      </c>
      <c r="DV320" s="60">
        <v>199</v>
      </c>
      <c r="DW320" s="60">
        <v>1033</v>
      </c>
      <c r="DX320" s="60">
        <v>259</v>
      </c>
      <c r="DY320" s="60"/>
      <c r="DZ320" s="60">
        <v>35</v>
      </c>
      <c r="EA320" s="60">
        <v>3290</v>
      </c>
      <c r="EB320" s="60">
        <v>742</v>
      </c>
      <c r="EC320" s="60">
        <v>3</v>
      </c>
      <c r="ED320" s="60">
        <v>0</v>
      </c>
      <c r="EE320" s="60">
        <v>0</v>
      </c>
      <c r="EF320" s="60">
        <v>0</v>
      </c>
      <c r="EG320" s="60">
        <v>0</v>
      </c>
      <c r="EH320" s="60">
        <v>0</v>
      </c>
      <c r="EI320" s="60">
        <v>427</v>
      </c>
      <c r="EJ320" s="60">
        <v>3440</v>
      </c>
      <c r="EK320" s="60">
        <v>34</v>
      </c>
      <c r="EL320" s="60">
        <v>1686</v>
      </c>
      <c r="EM320" s="60">
        <v>103</v>
      </c>
      <c r="EN320" s="60">
        <v>80</v>
      </c>
      <c r="EO320" s="60">
        <v>80</v>
      </c>
      <c r="EP320" s="60">
        <v>1212</v>
      </c>
      <c r="EQ320" s="60">
        <v>7</v>
      </c>
      <c r="ER320" s="60">
        <v>1042</v>
      </c>
      <c r="ES320" s="60">
        <v>231</v>
      </c>
      <c r="ET320" s="60">
        <v>410</v>
      </c>
      <c r="EU320" s="60">
        <v>543</v>
      </c>
      <c r="EV320" s="60">
        <v>558</v>
      </c>
      <c r="EW320" s="60">
        <v>136</v>
      </c>
      <c r="EX320" s="60">
        <v>140</v>
      </c>
      <c r="EY320" s="60">
        <v>120</v>
      </c>
      <c r="EZ320" s="60">
        <v>7</v>
      </c>
      <c r="FA320" s="60">
        <v>47</v>
      </c>
      <c r="FB320" s="60">
        <v>678</v>
      </c>
      <c r="FC320" s="60">
        <v>148</v>
      </c>
      <c r="FD320" s="60">
        <v>234</v>
      </c>
      <c r="FE320" s="60">
        <v>2</v>
      </c>
      <c r="FF320" s="60">
        <v>15</v>
      </c>
      <c r="FG320" s="60"/>
      <c r="FH320" s="60">
        <v>355</v>
      </c>
      <c r="FI320" s="60">
        <v>34</v>
      </c>
      <c r="FJ320" s="60">
        <v>481</v>
      </c>
      <c r="FK320" s="60">
        <v>2</v>
      </c>
      <c r="FL320" s="60">
        <v>32</v>
      </c>
      <c r="FM320" s="60">
        <v>76</v>
      </c>
      <c r="FN320" s="60">
        <v>9</v>
      </c>
      <c r="FO320" s="60">
        <v>4596</v>
      </c>
      <c r="FP320" s="60">
        <v>65</v>
      </c>
      <c r="FQ320" s="60">
        <v>4</v>
      </c>
      <c r="FR320" s="60">
        <v>10</v>
      </c>
      <c r="FS320" s="60">
        <v>12</v>
      </c>
      <c r="FT320" s="60">
        <v>6</v>
      </c>
      <c r="FU320" s="60">
        <v>8</v>
      </c>
      <c r="FV320" s="60"/>
      <c r="FW320" s="60"/>
      <c r="FX320" s="60">
        <v>5690</v>
      </c>
      <c r="FY320" s="60">
        <v>8</v>
      </c>
      <c r="FZ320" s="60">
        <v>5388</v>
      </c>
      <c r="GA320" s="60">
        <v>294</v>
      </c>
      <c r="GB320" s="60">
        <v>2011</v>
      </c>
    </row>
    <row r="321" spans="1:184" x14ac:dyDescent="0.3">
      <c r="A321" s="60">
        <v>106560481</v>
      </c>
      <c r="B321" s="61" t="s">
        <v>1184</v>
      </c>
      <c r="C321" s="61" t="s">
        <v>1185</v>
      </c>
      <c r="D321" s="61" t="s">
        <v>1186</v>
      </c>
      <c r="E321" s="61" t="s">
        <v>1182</v>
      </c>
      <c r="F321" s="60">
        <v>93003</v>
      </c>
      <c r="G321" s="61" t="s">
        <v>143</v>
      </c>
      <c r="H321" s="61" t="s">
        <v>1669</v>
      </c>
      <c r="I321" s="60">
        <v>35</v>
      </c>
      <c r="J321" s="60">
        <v>19</v>
      </c>
      <c r="K321" s="61" t="s">
        <v>2119</v>
      </c>
      <c r="L321" s="61"/>
      <c r="M321" s="61" t="s">
        <v>2048</v>
      </c>
      <c r="N321" s="61" t="s">
        <v>2120</v>
      </c>
      <c r="O321" s="61" t="s">
        <v>1673</v>
      </c>
      <c r="P321" s="61" t="s">
        <v>1690</v>
      </c>
      <c r="Q321" s="61" t="s">
        <v>1674</v>
      </c>
      <c r="R321" s="60">
        <v>180</v>
      </c>
      <c r="S321" s="61" t="s">
        <v>1675</v>
      </c>
      <c r="T321" s="60">
        <v>20778</v>
      </c>
      <c r="U321" s="60">
        <v>20283</v>
      </c>
      <c r="V321" s="60"/>
      <c r="W321" s="60"/>
      <c r="X321" s="60">
        <v>5048</v>
      </c>
      <c r="Y321" s="60">
        <v>4536</v>
      </c>
      <c r="Z321" s="60">
        <v>7512</v>
      </c>
      <c r="AA321" s="60">
        <v>6187</v>
      </c>
      <c r="AB321" s="60">
        <v>5994</v>
      </c>
      <c r="AC321" s="60">
        <v>5385</v>
      </c>
      <c r="AD321" s="60">
        <v>2610</v>
      </c>
      <c r="AE321" s="60">
        <v>1204</v>
      </c>
      <c r="AF321" s="60">
        <v>1105</v>
      </c>
      <c r="AG321" s="60">
        <v>1480</v>
      </c>
      <c r="AH321" s="60"/>
      <c r="AI321" s="60">
        <v>468</v>
      </c>
      <c r="AJ321" s="60">
        <v>930</v>
      </c>
      <c r="AK321" s="60">
        <v>23382</v>
      </c>
      <c r="AL321" s="60">
        <v>42</v>
      </c>
      <c r="AM321" s="60">
        <v>2098</v>
      </c>
      <c r="AN321" s="60">
        <v>146</v>
      </c>
      <c r="AO321" s="60">
        <v>13995</v>
      </c>
      <c r="AP321" s="60">
        <v>172</v>
      </c>
      <c r="AQ321" s="60">
        <v>237</v>
      </c>
      <c r="AR321" s="60">
        <v>802</v>
      </c>
      <c r="AS321" s="60">
        <v>33</v>
      </c>
      <c r="AT321" s="60">
        <v>14</v>
      </c>
      <c r="AU321" s="60"/>
      <c r="AV321" s="60"/>
      <c r="AW321" s="60">
        <v>4</v>
      </c>
      <c r="AX321" s="60"/>
      <c r="AY321" s="60"/>
      <c r="AZ321" s="60">
        <v>23</v>
      </c>
      <c r="BA321" s="60">
        <v>39744</v>
      </c>
      <c r="BB321" s="60">
        <v>32</v>
      </c>
      <c r="BC321" s="60"/>
      <c r="BD321" s="60"/>
      <c r="BE321" s="60">
        <v>12519</v>
      </c>
      <c r="BF321" s="60">
        <v>4215</v>
      </c>
      <c r="BG321" s="60">
        <v>2272</v>
      </c>
      <c r="BH321" s="60">
        <v>7570</v>
      </c>
      <c r="BI321" s="60">
        <v>14485</v>
      </c>
      <c r="BJ321" s="60">
        <v>1075</v>
      </c>
      <c r="BK321" s="60">
        <v>125</v>
      </c>
      <c r="BL321" s="60">
        <v>891</v>
      </c>
      <c r="BM321" s="60">
        <v>9</v>
      </c>
      <c r="BN321" s="60">
        <v>2606</v>
      </c>
      <c r="BO321" s="60">
        <v>843</v>
      </c>
      <c r="BP321" s="60">
        <v>2173</v>
      </c>
      <c r="BQ321" s="60">
        <v>607</v>
      </c>
      <c r="BR321" s="60">
        <v>8108</v>
      </c>
      <c r="BS321" s="60">
        <v>2503</v>
      </c>
      <c r="BT321" s="60">
        <v>67</v>
      </c>
      <c r="BU321" s="60">
        <v>1974</v>
      </c>
      <c r="BV321" s="60">
        <v>2229</v>
      </c>
      <c r="BW321" s="60">
        <v>60</v>
      </c>
      <c r="BX321" s="60">
        <v>2062</v>
      </c>
      <c r="BY321" s="60">
        <v>3831</v>
      </c>
      <c r="BZ321" s="60">
        <v>2147</v>
      </c>
      <c r="CA321" s="60">
        <v>9751</v>
      </c>
      <c r="CB321" s="60"/>
      <c r="CC321" s="60"/>
      <c r="CD321" s="60">
        <v>2273</v>
      </c>
      <c r="CE321" s="60">
        <v>92</v>
      </c>
      <c r="CF321" s="60">
        <v>141</v>
      </c>
      <c r="CG321" s="60">
        <v>33</v>
      </c>
      <c r="CH321" s="60">
        <v>697</v>
      </c>
      <c r="CI321" s="60">
        <v>20</v>
      </c>
      <c r="CJ321" s="60">
        <v>262</v>
      </c>
      <c r="CK321" s="60">
        <v>314</v>
      </c>
      <c r="CL321" s="60">
        <v>32717</v>
      </c>
      <c r="CM321" s="60">
        <v>2859</v>
      </c>
      <c r="CN321" s="60">
        <v>222</v>
      </c>
      <c r="CO321" s="60">
        <v>950</v>
      </c>
      <c r="CP321" s="60">
        <v>216</v>
      </c>
      <c r="CQ321" s="60">
        <v>180</v>
      </c>
      <c r="CR321" s="60">
        <v>85</v>
      </c>
      <c r="CS321" s="60"/>
      <c r="CT321" s="60">
        <v>41061</v>
      </c>
      <c r="CU321" s="60">
        <v>273</v>
      </c>
      <c r="CV321" s="60">
        <v>31648</v>
      </c>
      <c r="CW321" s="60">
        <v>9140</v>
      </c>
      <c r="CX321" s="60">
        <v>2366</v>
      </c>
      <c r="CY321" s="60">
        <v>2844</v>
      </c>
      <c r="CZ321" s="60"/>
      <c r="DA321" s="60"/>
      <c r="DB321" s="60">
        <v>293</v>
      </c>
      <c r="DC321" s="60">
        <v>552</v>
      </c>
      <c r="DD321" s="60">
        <v>562</v>
      </c>
      <c r="DE321" s="60">
        <v>771</v>
      </c>
      <c r="DF321" s="60">
        <v>1008</v>
      </c>
      <c r="DG321" s="60">
        <v>713</v>
      </c>
      <c r="DH321" s="60">
        <v>431</v>
      </c>
      <c r="DI321" s="60">
        <v>469</v>
      </c>
      <c r="DJ321" s="60">
        <v>157</v>
      </c>
      <c r="DK321" s="60">
        <v>254</v>
      </c>
      <c r="DL321" s="60"/>
      <c r="DM321" s="60">
        <v>97</v>
      </c>
      <c r="DN321" s="60">
        <v>159</v>
      </c>
      <c r="DO321" s="60">
        <v>2636</v>
      </c>
      <c r="DP321" s="60">
        <v>275</v>
      </c>
      <c r="DQ321" s="60">
        <v>16</v>
      </c>
      <c r="DR321" s="60">
        <v>2020</v>
      </c>
      <c r="DS321" s="60">
        <v>7</v>
      </c>
      <c r="DT321" s="60">
        <v>161</v>
      </c>
      <c r="DU321" s="60">
        <v>86</v>
      </c>
      <c r="DV321" s="60">
        <v>131</v>
      </c>
      <c r="DW321" s="60">
        <v>180</v>
      </c>
      <c r="DX321" s="60">
        <v>103</v>
      </c>
      <c r="DY321" s="60"/>
      <c r="DZ321" s="60">
        <v>71</v>
      </c>
      <c r="EA321" s="60">
        <v>4051</v>
      </c>
      <c r="EB321" s="60">
        <v>392</v>
      </c>
      <c r="EC321" s="60">
        <v>35</v>
      </c>
      <c r="ED321" s="60">
        <v>0</v>
      </c>
      <c r="EE321" s="60">
        <v>0</v>
      </c>
      <c r="EF321" s="60">
        <v>0</v>
      </c>
      <c r="EG321" s="60">
        <v>0</v>
      </c>
      <c r="EH321" s="60">
        <v>0</v>
      </c>
      <c r="EI321" s="60">
        <v>1559</v>
      </c>
      <c r="EJ321" s="60">
        <v>1209</v>
      </c>
      <c r="EK321" s="60">
        <v>171</v>
      </c>
      <c r="EL321" s="60">
        <v>929</v>
      </c>
      <c r="EM321" s="60">
        <v>1342</v>
      </c>
      <c r="EN321" s="60">
        <v>83</v>
      </c>
      <c r="EO321" s="60">
        <v>111</v>
      </c>
      <c r="EP321" s="60">
        <v>561</v>
      </c>
      <c r="EQ321" s="60">
        <v>11</v>
      </c>
      <c r="ER321" s="60">
        <v>1021</v>
      </c>
      <c r="ES321" s="60">
        <v>309</v>
      </c>
      <c r="ET321" s="60">
        <v>303</v>
      </c>
      <c r="EU321" s="60">
        <v>384</v>
      </c>
      <c r="EV321" s="60">
        <v>836</v>
      </c>
      <c r="EW321" s="60">
        <v>118</v>
      </c>
      <c r="EX321" s="60">
        <v>126</v>
      </c>
      <c r="EY321" s="60">
        <v>103</v>
      </c>
      <c r="EZ321" s="60">
        <v>9</v>
      </c>
      <c r="FA321" s="60">
        <v>257</v>
      </c>
      <c r="FB321" s="60">
        <v>494</v>
      </c>
      <c r="FC321" s="60">
        <v>177</v>
      </c>
      <c r="FD321" s="60">
        <v>257</v>
      </c>
      <c r="FE321" s="60">
        <v>1</v>
      </c>
      <c r="FF321" s="60">
        <v>49</v>
      </c>
      <c r="FG321" s="60"/>
      <c r="FH321" s="60">
        <v>282</v>
      </c>
      <c r="FI321" s="60">
        <v>31</v>
      </c>
      <c r="FJ321" s="60">
        <v>353</v>
      </c>
      <c r="FK321" s="60">
        <v>113</v>
      </c>
      <c r="FL321" s="60">
        <v>26</v>
      </c>
      <c r="FM321" s="60">
        <v>270</v>
      </c>
      <c r="FN321" s="60">
        <v>26</v>
      </c>
      <c r="FO321" s="60">
        <v>3702</v>
      </c>
      <c r="FP321" s="60">
        <v>93</v>
      </c>
      <c r="FQ321" s="60">
        <v>32</v>
      </c>
      <c r="FR321" s="60">
        <v>199</v>
      </c>
      <c r="FS321" s="60">
        <v>57</v>
      </c>
      <c r="FT321" s="60">
        <v>12</v>
      </c>
      <c r="FU321" s="60">
        <v>9</v>
      </c>
      <c r="FV321" s="60">
        <v>5</v>
      </c>
      <c r="FW321" s="60"/>
      <c r="FX321" s="60">
        <v>5210</v>
      </c>
      <c r="FY321" s="60">
        <v>70</v>
      </c>
      <c r="FZ321" s="60">
        <v>3913</v>
      </c>
      <c r="GA321" s="60">
        <v>1227</v>
      </c>
      <c r="GB321" s="60">
        <v>2011</v>
      </c>
    </row>
    <row r="322" spans="1:184" x14ac:dyDescent="0.3">
      <c r="A322" s="60">
        <v>106560492</v>
      </c>
      <c r="B322" s="61" t="s">
        <v>1187</v>
      </c>
      <c r="C322" s="61" t="s">
        <v>2121</v>
      </c>
      <c r="D322" s="61" t="s">
        <v>1188</v>
      </c>
      <c r="E322" s="61" t="s">
        <v>1189</v>
      </c>
      <c r="F322" s="60">
        <v>91360</v>
      </c>
      <c r="G322" s="61" t="s">
        <v>143</v>
      </c>
      <c r="H322" s="61" t="s">
        <v>1669</v>
      </c>
      <c r="I322" s="60">
        <v>37</v>
      </c>
      <c r="J322" s="60">
        <v>19</v>
      </c>
      <c r="K322" s="61" t="s">
        <v>2122</v>
      </c>
      <c r="L322" s="61"/>
      <c r="M322" s="61" t="s">
        <v>2048</v>
      </c>
      <c r="N322" s="61" t="s">
        <v>2120</v>
      </c>
      <c r="O322" s="61" t="s">
        <v>1673</v>
      </c>
      <c r="P322" s="61" t="s">
        <v>221</v>
      </c>
      <c r="Q322" s="61" t="s">
        <v>1674</v>
      </c>
      <c r="R322" s="60">
        <v>290</v>
      </c>
      <c r="S322" s="61" t="s">
        <v>1675</v>
      </c>
      <c r="T322" s="60">
        <v>16912</v>
      </c>
      <c r="U322" s="60">
        <v>14055</v>
      </c>
      <c r="V322" s="60"/>
      <c r="W322" s="60"/>
      <c r="X322" s="60">
        <v>3691</v>
      </c>
      <c r="Y322" s="60">
        <v>3710</v>
      </c>
      <c r="Z322" s="60">
        <v>4432</v>
      </c>
      <c r="AA322" s="60">
        <v>3509</v>
      </c>
      <c r="AB322" s="60">
        <v>3836</v>
      </c>
      <c r="AC322" s="60">
        <v>3558</v>
      </c>
      <c r="AD322" s="60">
        <v>2649</v>
      </c>
      <c r="AE322" s="60">
        <v>2016</v>
      </c>
      <c r="AF322" s="60">
        <v>2885</v>
      </c>
      <c r="AG322" s="60">
        <v>681</v>
      </c>
      <c r="AH322" s="60"/>
      <c r="AI322" s="60">
        <v>1109</v>
      </c>
      <c r="AJ322" s="60">
        <v>571</v>
      </c>
      <c r="AK322" s="60">
        <v>5249</v>
      </c>
      <c r="AL322" s="60">
        <v>20</v>
      </c>
      <c r="AM322" s="60">
        <v>686</v>
      </c>
      <c r="AN322" s="60">
        <v>268</v>
      </c>
      <c r="AO322" s="60">
        <v>23064</v>
      </c>
      <c r="AP322" s="60">
        <v>810</v>
      </c>
      <c r="AQ322" s="60">
        <v>382</v>
      </c>
      <c r="AR322" s="60">
        <v>4</v>
      </c>
      <c r="AS322" s="60">
        <v>78</v>
      </c>
      <c r="AT322" s="60">
        <v>29</v>
      </c>
      <c r="AU322" s="60">
        <v>4</v>
      </c>
      <c r="AV322" s="60">
        <v>2</v>
      </c>
      <c r="AW322" s="60">
        <v>4</v>
      </c>
      <c r="AX322" s="60">
        <v>570</v>
      </c>
      <c r="AY322" s="60">
        <v>94</v>
      </c>
      <c r="AZ322" s="60">
        <v>48</v>
      </c>
      <c r="BA322" s="60">
        <v>28899</v>
      </c>
      <c r="BB322" s="60">
        <v>37</v>
      </c>
      <c r="BC322" s="60">
        <v>6</v>
      </c>
      <c r="BD322" s="60"/>
      <c r="BE322" s="60">
        <v>2285</v>
      </c>
      <c r="BF322" s="60">
        <v>6540</v>
      </c>
      <c r="BG322" s="60">
        <v>3274</v>
      </c>
      <c r="BH322" s="60">
        <v>15091</v>
      </c>
      <c r="BI322" s="60">
        <v>3777</v>
      </c>
      <c r="BJ322" s="60">
        <v>642</v>
      </c>
      <c r="BK322" s="60">
        <v>52</v>
      </c>
      <c r="BL322" s="60">
        <v>738</v>
      </c>
      <c r="BM322" s="60">
        <v>3</v>
      </c>
      <c r="BN322" s="60">
        <v>1286</v>
      </c>
      <c r="BO322" s="60">
        <v>236</v>
      </c>
      <c r="BP322" s="60">
        <v>1335</v>
      </c>
      <c r="BQ322" s="60">
        <v>274</v>
      </c>
      <c r="BR322" s="60">
        <v>9362</v>
      </c>
      <c r="BS322" s="60">
        <v>1417</v>
      </c>
      <c r="BT322" s="60">
        <v>14</v>
      </c>
      <c r="BU322" s="60">
        <v>1804</v>
      </c>
      <c r="BV322" s="60">
        <v>1546</v>
      </c>
      <c r="BW322" s="60">
        <v>47</v>
      </c>
      <c r="BX322" s="60">
        <v>773</v>
      </c>
      <c r="BY322" s="60">
        <v>2267</v>
      </c>
      <c r="BZ322" s="60">
        <v>954</v>
      </c>
      <c r="CA322" s="60">
        <v>8217</v>
      </c>
      <c r="CB322" s="60"/>
      <c r="CC322" s="60"/>
      <c r="CD322" s="60">
        <v>3424</v>
      </c>
      <c r="CE322" s="60">
        <v>183</v>
      </c>
      <c r="CF322" s="60">
        <v>246</v>
      </c>
      <c r="CG322" s="60">
        <v>31</v>
      </c>
      <c r="CH322" s="60">
        <v>171</v>
      </c>
      <c r="CI322" s="60">
        <v>180</v>
      </c>
      <c r="CJ322" s="60">
        <v>71</v>
      </c>
      <c r="CK322" s="60">
        <v>428</v>
      </c>
      <c r="CL322" s="60">
        <v>20846</v>
      </c>
      <c r="CM322" s="60">
        <v>3776</v>
      </c>
      <c r="CN322" s="60">
        <v>282</v>
      </c>
      <c r="CO322" s="60">
        <v>1003</v>
      </c>
      <c r="CP322" s="60">
        <v>132</v>
      </c>
      <c r="CQ322" s="60">
        <v>133</v>
      </c>
      <c r="CR322" s="60">
        <v>61</v>
      </c>
      <c r="CS322" s="60"/>
      <c r="CT322" s="60">
        <v>30967</v>
      </c>
      <c r="CU322" s="60">
        <v>112</v>
      </c>
      <c r="CV322" s="60">
        <v>29771</v>
      </c>
      <c r="CW322" s="60">
        <v>1084</v>
      </c>
      <c r="CX322" s="60">
        <v>4471</v>
      </c>
      <c r="CY322" s="60">
        <v>3617</v>
      </c>
      <c r="CZ322" s="60"/>
      <c r="DA322" s="60"/>
      <c r="DB322" s="60">
        <v>218</v>
      </c>
      <c r="DC322" s="60">
        <v>378</v>
      </c>
      <c r="DD322" s="60">
        <v>383</v>
      </c>
      <c r="DE322" s="60">
        <v>684</v>
      </c>
      <c r="DF322" s="60">
        <v>1039</v>
      </c>
      <c r="DG322" s="60">
        <v>1175</v>
      </c>
      <c r="DH322" s="60">
        <v>1420</v>
      </c>
      <c r="DI322" s="60">
        <v>2628</v>
      </c>
      <c r="DJ322" s="60">
        <v>56</v>
      </c>
      <c r="DK322" s="60">
        <v>107</v>
      </c>
      <c r="DL322" s="60"/>
      <c r="DM322" s="60">
        <v>274</v>
      </c>
      <c r="DN322" s="60">
        <v>88</v>
      </c>
      <c r="DO322" s="60">
        <v>626</v>
      </c>
      <c r="DP322" s="60">
        <v>339</v>
      </c>
      <c r="DQ322" s="60">
        <v>59</v>
      </c>
      <c r="DR322" s="60">
        <v>6697</v>
      </c>
      <c r="DS322" s="60">
        <v>5</v>
      </c>
      <c r="DT322" s="60">
        <v>244</v>
      </c>
      <c r="DU322" s="60">
        <v>95</v>
      </c>
      <c r="DV322" s="60">
        <v>272</v>
      </c>
      <c r="DW322" s="60">
        <v>1104</v>
      </c>
      <c r="DX322" s="60">
        <v>218</v>
      </c>
      <c r="DY322" s="60">
        <v>10</v>
      </c>
      <c r="DZ322" s="60">
        <v>75</v>
      </c>
      <c r="EA322" s="60">
        <v>5017</v>
      </c>
      <c r="EB322" s="60">
        <v>1051</v>
      </c>
      <c r="EC322" s="60">
        <v>2</v>
      </c>
      <c r="ED322" s="60">
        <v>0</v>
      </c>
      <c r="EE322" s="60">
        <v>0</v>
      </c>
      <c r="EF322" s="60">
        <v>0</v>
      </c>
      <c r="EG322" s="60">
        <v>0</v>
      </c>
      <c r="EH322" s="60">
        <v>0</v>
      </c>
      <c r="EI322" s="60">
        <v>380</v>
      </c>
      <c r="EJ322" s="60">
        <v>4824</v>
      </c>
      <c r="EK322" s="60">
        <v>124</v>
      </c>
      <c r="EL322" s="60">
        <v>2351</v>
      </c>
      <c r="EM322" s="60">
        <v>409</v>
      </c>
      <c r="EN322" s="60">
        <v>104</v>
      </c>
      <c r="EO322" s="60">
        <v>114</v>
      </c>
      <c r="EP322" s="60">
        <v>1785</v>
      </c>
      <c r="EQ322" s="60">
        <v>9</v>
      </c>
      <c r="ER322" s="60">
        <v>1180</v>
      </c>
      <c r="ES322" s="60">
        <v>246</v>
      </c>
      <c r="ET322" s="60">
        <v>442</v>
      </c>
      <c r="EU322" s="60">
        <v>546</v>
      </c>
      <c r="EV322" s="60">
        <v>1218</v>
      </c>
      <c r="EW322" s="60">
        <v>197</v>
      </c>
      <c r="EX322" s="60">
        <v>156</v>
      </c>
      <c r="EY322" s="60">
        <v>208</v>
      </c>
      <c r="EZ322" s="60">
        <v>12</v>
      </c>
      <c r="FA322" s="60">
        <v>114</v>
      </c>
      <c r="FB322" s="60">
        <v>868</v>
      </c>
      <c r="FC322" s="60">
        <v>194</v>
      </c>
      <c r="FD322" s="60">
        <v>683</v>
      </c>
      <c r="FE322" s="60">
        <v>2</v>
      </c>
      <c r="FF322" s="60">
        <v>10</v>
      </c>
      <c r="FG322" s="60"/>
      <c r="FH322" s="60">
        <v>733</v>
      </c>
      <c r="FI322" s="60">
        <v>67</v>
      </c>
      <c r="FJ322" s="60">
        <v>446</v>
      </c>
      <c r="FK322" s="60">
        <v>14</v>
      </c>
      <c r="FL322" s="60">
        <v>45</v>
      </c>
      <c r="FM322" s="60">
        <v>35</v>
      </c>
      <c r="FN322" s="60">
        <v>23</v>
      </c>
      <c r="FO322" s="60">
        <v>6236</v>
      </c>
      <c r="FP322" s="60">
        <v>115</v>
      </c>
      <c r="FQ322" s="60">
        <v>58</v>
      </c>
      <c r="FR322" s="60">
        <v>198</v>
      </c>
      <c r="FS322" s="60">
        <v>77</v>
      </c>
      <c r="FT322" s="60">
        <v>19</v>
      </c>
      <c r="FU322" s="60">
        <v>21</v>
      </c>
      <c r="FV322" s="60">
        <v>1</v>
      </c>
      <c r="FW322" s="60"/>
      <c r="FX322" s="60">
        <v>8088</v>
      </c>
      <c r="FY322" s="60">
        <v>60</v>
      </c>
      <c r="FZ322" s="60">
        <v>7835</v>
      </c>
      <c r="GA322" s="60">
        <v>193</v>
      </c>
      <c r="GB322" s="60">
        <v>2011</v>
      </c>
    </row>
    <row r="323" spans="1:184" x14ac:dyDescent="0.3">
      <c r="A323" s="60">
        <v>106560501</v>
      </c>
      <c r="B323" s="61" t="s">
        <v>1190</v>
      </c>
      <c r="C323" s="61" t="s">
        <v>1191</v>
      </c>
      <c r="D323" s="61" t="s">
        <v>1192</v>
      </c>
      <c r="E323" s="61" t="s">
        <v>1193</v>
      </c>
      <c r="F323" s="60">
        <v>93023</v>
      </c>
      <c r="G323" s="61"/>
      <c r="H323" s="61" t="s">
        <v>1669</v>
      </c>
      <c r="I323" s="60">
        <v>37</v>
      </c>
      <c r="J323" s="60">
        <v>19</v>
      </c>
      <c r="K323" s="61" t="s">
        <v>2123</v>
      </c>
      <c r="L323" s="61"/>
      <c r="M323" s="61" t="s">
        <v>2048</v>
      </c>
      <c r="N323" s="61" t="s">
        <v>2120</v>
      </c>
      <c r="O323" s="61" t="s">
        <v>1673</v>
      </c>
      <c r="P323" s="61" t="s">
        <v>1678</v>
      </c>
      <c r="Q323" s="61" t="s">
        <v>1674</v>
      </c>
      <c r="R323" s="60">
        <v>37</v>
      </c>
      <c r="S323" s="61" t="s">
        <v>1706</v>
      </c>
      <c r="T323" s="60">
        <v>3826</v>
      </c>
      <c r="U323" s="60">
        <v>3205</v>
      </c>
      <c r="V323" s="60"/>
      <c r="W323" s="60"/>
      <c r="X323" s="60">
        <v>702</v>
      </c>
      <c r="Y323" s="60">
        <v>750</v>
      </c>
      <c r="Z323" s="60">
        <v>755</v>
      </c>
      <c r="AA323" s="60">
        <v>633</v>
      </c>
      <c r="AB323" s="60">
        <v>1036</v>
      </c>
      <c r="AC323" s="60">
        <v>893</v>
      </c>
      <c r="AD323" s="60">
        <v>768</v>
      </c>
      <c r="AE323" s="60">
        <v>594</v>
      </c>
      <c r="AF323" s="60">
        <v>813</v>
      </c>
      <c r="AG323" s="60">
        <v>87</v>
      </c>
      <c r="AH323" s="60"/>
      <c r="AI323" s="60">
        <v>48</v>
      </c>
      <c r="AJ323" s="60">
        <v>77</v>
      </c>
      <c r="AK323" s="60">
        <v>721</v>
      </c>
      <c r="AL323" s="60">
        <v>9</v>
      </c>
      <c r="AM323" s="60">
        <v>142</v>
      </c>
      <c r="AN323" s="60">
        <v>4</v>
      </c>
      <c r="AO323" s="60">
        <v>6030</v>
      </c>
      <c r="AP323" s="60">
        <v>212</v>
      </c>
      <c r="AQ323" s="60">
        <v>121</v>
      </c>
      <c r="AR323" s="60"/>
      <c r="AS323" s="60">
        <v>16</v>
      </c>
      <c r="AT323" s="60">
        <v>2</v>
      </c>
      <c r="AU323" s="60">
        <v>1</v>
      </c>
      <c r="AV323" s="60"/>
      <c r="AW323" s="60">
        <v>3</v>
      </c>
      <c r="AX323" s="60"/>
      <c r="AY323" s="60">
        <v>11</v>
      </c>
      <c r="AZ323" s="60">
        <v>3</v>
      </c>
      <c r="BA323" s="60">
        <v>6600</v>
      </c>
      <c r="BB323" s="60">
        <v>62</v>
      </c>
      <c r="BC323" s="60"/>
      <c r="BD323" s="60"/>
      <c r="BE323" s="60">
        <v>1348</v>
      </c>
      <c r="BF323" s="60">
        <v>2107</v>
      </c>
      <c r="BG323" s="60">
        <v>216</v>
      </c>
      <c r="BH323" s="60">
        <v>2374</v>
      </c>
      <c r="BI323" s="60">
        <v>986</v>
      </c>
      <c r="BJ323" s="60">
        <v>37</v>
      </c>
      <c r="BK323" s="60">
        <v>12</v>
      </c>
      <c r="BL323" s="60">
        <v>251</v>
      </c>
      <c r="BM323" s="60">
        <v>2</v>
      </c>
      <c r="BN323" s="60">
        <v>397</v>
      </c>
      <c r="BO323" s="60">
        <v>74</v>
      </c>
      <c r="BP323" s="60">
        <v>394</v>
      </c>
      <c r="BQ323" s="60">
        <v>124</v>
      </c>
      <c r="BR323" s="60">
        <v>2157</v>
      </c>
      <c r="BS323" s="60">
        <v>352</v>
      </c>
      <c r="BT323" s="60">
        <v>11</v>
      </c>
      <c r="BU323" s="60">
        <v>636</v>
      </c>
      <c r="BV323" s="60">
        <v>117</v>
      </c>
      <c r="BW323" s="60">
        <v>1</v>
      </c>
      <c r="BX323" s="60">
        <v>291</v>
      </c>
      <c r="BY323" s="60">
        <v>594</v>
      </c>
      <c r="BZ323" s="60">
        <v>369</v>
      </c>
      <c r="CA323" s="60">
        <v>1212</v>
      </c>
      <c r="CB323" s="60"/>
      <c r="CC323" s="60"/>
      <c r="CD323" s="60">
        <v>705</v>
      </c>
      <c r="CE323" s="60">
        <v>66</v>
      </c>
      <c r="CF323" s="60">
        <v>66</v>
      </c>
      <c r="CG323" s="60">
        <v>10</v>
      </c>
      <c r="CH323" s="60">
        <v>58</v>
      </c>
      <c r="CI323" s="60">
        <v>15</v>
      </c>
      <c r="CJ323" s="60">
        <v>56</v>
      </c>
      <c r="CK323" s="60">
        <v>147</v>
      </c>
      <c r="CL323" s="60">
        <v>4675</v>
      </c>
      <c r="CM323" s="60">
        <v>933</v>
      </c>
      <c r="CN323" s="60">
        <v>88</v>
      </c>
      <c r="CO323" s="60">
        <v>156</v>
      </c>
      <c r="CP323" s="60">
        <v>14</v>
      </c>
      <c r="CQ323" s="60">
        <v>30</v>
      </c>
      <c r="CR323" s="60">
        <v>12</v>
      </c>
      <c r="CS323" s="60"/>
      <c r="CT323" s="60">
        <v>7031</v>
      </c>
      <c r="CU323" s="60">
        <v>14</v>
      </c>
      <c r="CV323" s="60">
        <v>6729</v>
      </c>
      <c r="CW323" s="60">
        <v>288</v>
      </c>
      <c r="CX323" s="60">
        <v>324</v>
      </c>
      <c r="CY323" s="60">
        <v>222</v>
      </c>
      <c r="CZ323" s="60"/>
      <c r="DA323" s="60"/>
      <c r="DB323" s="60">
        <v>15</v>
      </c>
      <c r="DC323" s="60">
        <v>16</v>
      </c>
      <c r="DD323" s="60">
        <v>23</v>
      </c>
      <c r="DE323" s="60">
        <v>51</v>
      </c>
      <c r="DF323" s="60">
        <v>71</v>
      </c>
      <c r="DG323" s="60">
        <v>86</v>
      </c>
      <c r="DH323" s="60">
        <v>94</v>
      </c>
      <c r="DI323" s="60">
        <v>184</v>
      </c>
      <c r="DJ323" s="60"/>
      <c r="DK323" s="60">
        <v>6</v>
      </c>
      <c r="DL323" s="60"/>
      <c r="DM323" s="60">
        <v>2</v>
      </c>
      <c r="DN323" s="60">
        <v>1</v>
      </c>
      <c r="DO323" s="60">
        <v>28</v>
      </c>
      <c r="DP323" s="60">
        <v>10</v>
      </c>
      <c r="DQ323" s="60"/>
      <c r="DR323" s="60">
        <v>503</v>
      </c>
      <c r="DS323" s="60">
        <v>2</v>
      </c>
      <c r="DT323" s="60">
        <v>57</v>
      </c>
      <c r="DU323" s="60"/>
      <c r="DV323" s="60">
        <v>9</v>
      </c>
      <c r="DW323" s="60">
        <v>40</v>
      </c>
      <c r="DX323" s="60">
        <v>18</v>
      </c>
      <c r="DY323" s="60"/>
      <c r="DZ323" s="60">
        <v>4</v>
      </c>
      <c r="EA323" s="60">
        <v>280</v>
      </c>
      <c r="EB323" s="60">
        <v>138</v>
      </c>
      <c r="EC323" s="60"/>
      <c r="ED323" s="60">
        <v>0</v>
      </c>
      <c r="EE323" s="60">
        <v>0</v>
      </c>
      <c r="EF323" s="60">
        <v>0</v>
      </c>
      <c r="EG323" s="60">
        <v>0</v>
      </c>
      <c r="EH323" s="60">
        <v>0</v>
      </c>
      <c r="EI323" s="60">
        <v>57</v>
      </c>
      <c r="EJ323" s="60">
        <v>338</v>
      </c>
      <c r="EK323" s="60">
        <v>2</v>
      </c>
      <c r="EL323" s="60">
        <v>122</v>
      </c>
      <c r="EM323" s="60">
        <v>27</v>
      </c>
      <c r="EN323" s="60">
        <v>1</v>
      </c>
      <c r="EO323" s="60">
        <v>5</v>
      </c>
      <c r="EP323" s="60">
        <v>70</v>
      </c>
      <c r="EQ323" s="60"/>
      <c r="ER323" s="60">
        <v>110</v>
      </c>
      <c r="ES323" s="60">
        <v>22</v>
      </c>
      <c r="ET323" s="60">
        <v>34</v>
      </c>
      <c r="EU323" s="60">
        <v>60</v>
      </c>
      <c r="EV323" s="60">
        <v>97</v>
      </c>
      <c r="EW323" s="60">
        <v>10</v>
      </c>
      <c r="EX323" s="60">
        <v>4</v>
      </c>
      <c r="EY323" s="60">
        <v>15</v>
      </c>
      <c r="EZ323" s="60"/>
      <c r="FA323" s="60">
        <v>3</v>
      </c>
      <c r="FB323" s="60">
        <v>93</v>
      </c>
      <c r="FC323" s="60">
        <v>6</v>
      </c>
      <c r="FD323" s="60">
        <v>16</v>
      </c>
      <c r="FE323" s="60"/>
      <c r="FF323" s="60"/>
      <c r="FG323" s="60"/>
      <c r="FH323" s="60">
        <v>64</v>
      </c>
      <c r="FI323" s="60">
        <v>10</v>
      </c>
      <c r="FJ323" s="60">
        <v>41</v>
      </c>
      <c r="FK323" s="60"/>
      <c r="FL323" s="60">
        <v>6</v>
      </c>
      <c r="FM323" s="60">
        <v>5</v>
      </c>
      <c r="FN323" s="60">
        <v>3</v>
      </c>
      <c r="FO323" s="60">
        <v>378</v>
      </c>
      <c r="FP323" s="60">
        <v>13</v>
      </c>
      <c r="FQ323" s="60">
        <v>3</v>
      </c>
      <c r="FR323" s="60">
        <v>5</v>
      </c>
      <c r="FS323" s="60">
        <v>14</v>
      </c>
      <c r="FT323" s="60"/>
      <c r="FU323" s="60">
        <v>4</v>
      </c>
      <c r="FV323" s="60"/>
      <c r="FW323" s="60"/>
      <c r="FX323" s="60">
        <v>546</v>
      </c>
      <c r="FY323" s="60">
        <v>2</v>
      </c>
      <c r="FZ323" s="60">
        <v>533</v>
      </c>
      <c r="GA323" s="60">
        <v>11</v>
      </c>
      <c r="GB323" s="60">
        <v>2011</v>
      </c>
    </row>
    <row r="324" spans="1:184" x14ac:dyDescent="0.3">
      <c r="A324" s="60">
        <v>106560508</v>
      </c>
      <c r="B324" s="61" t="s">
        <v>1194</v>
      </c>
      <c r="C324" s="61" t="s">
        <v>2124</v>
      </c>
      <c r="D324" s="61" t="s">
        <v>1195</v>
      </c>
      <c r="E324" s="61" t="s">
        <v>1196</v>
      </c>
      <c r="F324" s="60">
        <v>93010</v>
      </c>
      <c r="G324" s="61"/>
      <c r="H324" s="61" t="s">
        <v>1669</v>
      </c>
      <c r="I324" s="60">
        <v>37</v>
      </c>
      <c r="J324" s="60">
        <v>19</v>
      </c>
      <c r="K324" s="61" t="s">
        <v>2125</v>
      </c>
      <c r="L324" s="61"/>
      <c r="M324" s="61" t="s">
        <v>2048</v>
      </c>
      <c r="N324" s="61" t="s">
        <v>2120</v>
      </c>
      <c r="O324" s="61" t="s">
        <v>1673</v>
      </c>
      <c r="P324" s="61" t="s">
        <v>1678</v>
      </c>
      <c r="Q324" s="61" t="s">
        <v>1674</v>
      </c>
      <c r="R324" s="60">
        <v>81</v>
      </c>
      <c r="S324" s="61" t="s">
        <v>1675</v>
      </c>
      <c r="T324" s="60">
        <v>7897</v>
      </c>
      <c r="U324" s="60">
        <v>6163</v>
      </c>
      <c r="V324" s="60"/>
      <c r="W324" s="60"/>
      <c r="X324" s="60">
        <v>1622</v>
      </c>
      <c r="Y324" s="60">
        <v>1594</v>
      </c>
      <c r="Z324" s="60">
        <v>1986</v>
      </c>
      <c r="AA324" s="60">
        <v>1494</v>
      </c>
      <c r="AB324" s="60">
        <v>1514</v>
      </c>
      <c r="AC324" s="60">
        <v>1423</v>
      </c>
      <c r="AD324" s="60">
        <v>1104</v>
      </c>
      <c r="AE324" s="60">
        <v>1103</v>
      </c>
      <c r="AF324" s="60">
        <v>1957</v>
      </c>
      <c r="AG324" s="60">
        <v>263</v>
      </c>
      <c r="AH324" s="60"/>
      <c r="AI324" s="60">
        <v>434</v>
      </c>
      <c r="AJ324" s="60">
        <v>398</v>
      </c>
      <c r="AK324" s="60">
        <v>3148</v>
      </c>
      <c r="AL324" s="60">
        <v>12</v>
      </c>
      <c r="AM324" s="60">
        <v>1036</v>
      </c>
      <c r="AN324" s="60"/>
      <c r="AO324" s="60">
        <v>9032</v>
      </c>
      <c r="AP324" s="60">
        <v>287</v>
      </c>
      <c r="AQ324" s="60">
        <v>295</v>
      </c>
      <c r="AR324" s="60">
        <v>6</v>
      </c>
      <c r="AS324" s="60">
        <v>11</v>
      </c>
      <c r="AT324" s="60">
        <v>14</v>
      </c>
      <c r="AU324" s="60">
        <v>3</v>
      </c>
      <c r="AV324" s="60"/>
      <c r="AW324" s="60">
        <v>2</v>
      </c>
      <c r="AX324" s="60">
        <v>6</v>
      </c>
      <c r="AY324" s="60">
        <v>46</v>
      </c>
      <c r="AZ324" s="60">
        <v>22</v>
      </c>
      <c r="BA324" s="60">
        <v>13328</v>
      </c>
      <c r="BB324" s="60">
        <v>14</v>
      </c>
      <c r="BC324" s="60">
        <v>26</v>
      </c>
      <c r="BD324" s="60"/>
      <c r="BE324" s="60">
        <v>1756</v>
      </c>
      <c r="BF324" s="60">
        <v>3770</v>
      </c>
      <c r="BG324" s="60">
        <v>1474</v>
      </c>
      <c r="BH324" s="60">
        <v>5349</v>
      </c>
      <c r="BI324" s="60">
        <v>1711</v>
      </c>
      <c r="BJ324" s="60">
        <v>203</v>
      </c>
      <c r="BK324" s="60">
        <v>31</v>
      </c>
      <c r="BL324" s="60">
        <v>407</v>
      </c>
      <c r="BM324" s="60">
        <v>1</v>
      </c>
      <c r="BN324" s="60">
        <v>609</v>
      </c>
      <c r="BO324" s="60">
        <v>165</v>
      </c>
      <c r="BP324" s="60">
        <v>714</v>
      </c>
      <c r="BQ324" s="60">
        <v>233</v>
      </c>
      <c r="BR324" s="60">
        <v>3923</v>
      </c>
      <c r="BS324" s="60">
        <v>916</v>
      </c>
      <c r="BT324" s="60">
        <v>15</v>
      </c>
      <c r="BU324" s="60">
        <v>799</v>
      </c>
      <c r="BV324" s="60">
        <v>756</v>
      </c>
      <c r="BW324" s="60">
        <v>7</v>
      </c>
      <c r="BX324" s="60">
        <v>392</v>
      </c>
      <c r="BY324" s="60">
        <v>1132</v>
      </c>
      <c r="BZ324" s="60">
        <v>536</v>
      </c>
      <c r="CA324" s="60">
        <v>3221</v>
      </c>
      <c r="CB324" s="60"/>
      <c r="CC324" s="60"/>
      <c r="CD324" s="60">
        <v>1435</v>
      </c>
      <c r="CE324" s="60">
        <v>68</v>
      </c>
      <c r="CF324" s="60">
        <v>158</v>
      </c>
      <c r="CG324" s="60">
        <v>9</v>
      </c>
      <c r="CH324" s="60">
        <v>93</v>
      </c>
      <c r="CI324" s="60">
        <v>6</v>
      </c>
      <c r="CJ324" s="60">
        <v>100</v>
      </c>
      <c r="CK324" s="60">
        <v>158</v>
      </c>
      <c r="CL324" s="60">
        <v>9821</v>
      </c>
      <c r="CM324" s="60">
        <v>1610</v>
      </c>
      <c r="CN324" s="60">
        <v>91</v>
      </c>
      <c r="CO324" s="60">
        <v>370</v>
      </c>
      <c r="CP324" s="60">
        <v>55</v>
      </c>
      <c r="CQ324" s="60">
        <v>76</v>
      </c>
      <c r="CR324" s="60">
        <v>10</v>
      </c>
      <c r="CS324" s="60"/>
      <c r="CT324" s="60">
        <v>14060</v>
      </c>
      <c r="CU324" s="60">
        <v>63</v>
      </c>
      <c r="CV324" s="60">
        <v>13618</v>
      </c>
      <c r="CW324" s="60">
        <v>379</v>
      </c>
      <c r="CX324" s="60">
        <v>1581</v>
      </c>
      <c r="CY324" s="60">
        <v>1226</v>
      </c>
      <c r="CZ324" s="60"/>
      <c r="DA324" s="60"/>
      <c r="DB324" s="60">
        <v>53</v>
      </c>
      <c r="DC324" s="60">
        <v>105</v>
      </c>
      <c r="DD324" s="60">
        <v>97</v>
      </c>
      <c r="DE324" s="60">
        <v>183</v>
      </c>
      <c r="DF324" s="60">
        <v>239</v>
      </c>
      <c r="DG324" s="60">
        <v>358</v>
      </c>
      <c r="DH324" s="60">
        <v>539</v>
      </c>
      <c r="DI324" s="60">
        <v>1226</v>
      </c>
      <c r="DJ324" s="60">
        <v>1</v>
      </c>
      <c r="DK324" s="60">
        <v>6</v>
      </c>
      <c r="DL324" s="60"/>
      <c r="DM324" s="60">
        <v>110</v>
      </c>
      <c r="DN324" s="60">
        <v>48</v>
      </c>
      <c r="DO324" s="60">
        <v>369</v>
      </c>
      <c r="DP324" s="60">
        <v>92</v>
      </c>
      <c r="DQ324" s="60"/>
      <c r="DR324" s="60">
        <v>2188</v>
      </c>
      <c r="DS324" s="60"/>
      <c r="DT324" s="60">
        <v>160</v>
      </c>
      <c r="DU324" s="60">
        <v>48</v>
      </c>
      <c r="DV324" s="60">
        <v>97</v>
      </c>
      <c r="DW324" s="60">
        <v>602</v>
      </c>
      <c r="DX324" s="60">
        <v>63</v>
      </c>
      <c r="DY324" s="60">
        <v>14</v>
      </c>
      <c r="DZ324" s="60">
        <v>68</v>
      </c>
      <c r="EA324" s="60">
        <v>1272</v>
      </c>
      <c r="EB324" s="60">
        <v>482</v>
      </c>
      <c r="EC324" s="60">
        <v>1</v>
      </c>
      <c r="ED324" s="60">
        <v>0</v>
      </c>
      <c r="EE324" s="60">
        <v>0</v>
      </c>
      <c r="EF324" s="60">
        <v>0</v>
      </c>
      <c r="EG324" s="60">
        <v>0</v>
      </c>
      <c r="EH324" s="60">
        <v>0</v>
      </c>
      <c r="EI324" s="60">
        <v>135</v>
      </c>
      <c r="EJ324" s="60">
        <v>2008</v>
      </c>
      <c r="EK324" s="60">
        <v>50</v>
      </c>
      <c r="EL324" s="60">
        <v>519</v>
      </c>
      <c r="EM324" s="60">
        <v>95</v>
      </c>
      <c r="EN324" s="60">
        <v>17</v>
      </c>
      <c r="EO324" s="60">
        <v>32</v>
      </c>
      <c r="EP324" s="60">
        <v>583</v>
      </c>
      <c r="EQ324" s="60">
        <v>1</v>
      </c>
      <c r="ER324" s="60">
        <v>455</v>
      </c>
      <c r="ES324" s="60">
        <v>119</v>
      </c>
      <c r="ET324" s="60">
        <v>140</v>
      </c>
      <c r="EU324" s="60">
        <v>221</v>
      </c>
      <c r="EV324" s="60">
        <v>306</v>
      </c>
      <c r="EW324" s="60">
        <v>56</v>
      </c>
      <c r="EX324" s="60">
        <v>37</v>
      </c>
      <c r="EY324" s="60">
        <v>80</v>
      </c>
      <c r="EZ324" s="60">
        <v>1</v>
      </c>
      <c r="FA324" s="60">
        <v>36</v>
      </c>
      <c r="FB324" s="60">
        <v>368</v>
      </c>
      <c r="FC324" s="60">
        <v>62</v>
      </c>
      <c r="FD324" s="60">
        <v>292</v>
      </c>
      <c r="FE324" s="60"/>
      <c r="FF324" s="60">
        <v>1</v>
      </c>
      <c r="FG324" s="60"/>
      <c r="FH324" s="60">
        <v>225</v>
      </c>
      <c r="FI324" s="60">
        <v>7</v>
      </c>
      <c r="FJ324" s="60">
        <v>190</v>
      </c>
      <c r="FK324" s="60"/>
      <c r="FL324" s="60"/>
      <c r="FM324" s="60">
        <v>145</v>
      </c>
      <c r="FN324" s="60">
        <v>8</v>
      </c>
      <c r="FO324" s="60">
        <v>2145</v>
      </c>
      <c r="FP324" s="60">
        <v>34</v>
      </c>
      <c r="FQ324" s="60">
        <v>2</v>
      </c>
      <c r="FR324" s="60">
        <v>6</v>
      </c>
      <c r="FS324" s="60">
        <v>21</v>
      </c>
      <c r="FT324" s="60">
        <v>9</v>
      </c>
      <c r="FU324" s="60">
        <v>15</v>
      </c>
      <c r="FV324" s="60"/>
      <c r="FW324" s="60"/>
      <c r="FX324" s="60">
        <v>2807</v>
      </c>
      <c r="FY324" s="60">
        <v>26</v>
      </c>
      <c r="FZ324" s="60">
        <v>2706</v>
      </c>
      <c r="GA324" s="60">
        <v>75</v>
      </c>
      <c r="GB324" s="60">
        <v>2011</v>
      </c>
    </row>
    <row r="325" spans="1:184" x14ac:dyDescent="0.3">
      <c r="A325" s="60">
        <v>106560525</v>
      </c>
      <c r="B325" s="61" t="s">
        <v>1197</v>
      </c>
      <c r="C325" s="61" t="s">
        <v>1198</v>
      </c>
      <c r="D325" s="61" t="s">
        <v>1199</v>
      </c>
      <c r="E325" s="61" t="s">
        <v>1200</v>
      </c>
      <c r="F325" s="60">
        <v>93065</v>
      </c>
      <c r="G325" s="61"/>
      <c r="H325" s="61" t="s">
        <v>1669</v>
      </c>
      <c r="I325" s="60">
        <v>38</v>
      </c>
      <c r="J325" s="60">
        <v>19</v>
      </c>
      <c r="K325" s="61" t="s">
        <v>2126</v>
      </c>
      <c r="L325" s="61"/>
      <c r="M325" s="61" t="s">
        <v>2048</v>
      </c>
      <c r="N325" s="61" t="s">
        <v>2120</v>
      </c>
      <c r="O325" s="61" t="s">
        <v>1673</v>
      </c>
      <c r="P325" s="61" t="s">
        <v>1678</v>
      </c>
      <c r="Q325" s="61" t="s">
        <v>1674</v>
      </c>
      <c r="R325" s="60">
        <v>144</v>
      </c>
      <c r="S325" s="61" t="s">
        <v>1675</v>
      </c>
      <c r="T325" s="60">
        <v>13132</v>
      </c>
      <c r="U325" s="60">
        <v>11177</v>
      </c>
      <c r="V325" s="60"/>
      <c r="W325" s="60"/>
      <c r="X325" s="60">
        <v>3493</v>
      </c>
      <c r="Y325" s="60">
        <v>3292</v>
      </c>
      <c r="Z325" s="60">
        <v>3740</v>
      </c>
      <c r="AA325" s="60">
        <v>2969</v>
      </c>
      <c r="AB325" s="60">
        <v>3255</v>
      </c>
      <c r="AC325" s="60">
        <v>2591</v>
      </c>
      <c r="AD325" s="60">
        <v>1711</v>
      </c>
      <c r="AE325" s="60">
        <v>1237</v>
      </c>
      <c r="AF325" s="60">
        <v>1304</v>
      </c>
      <c r="AG325" s="60">
        <v>717</v>
      </c>
      <c r="AH325" s="60"/>
      <c r="AI325" s="60">
        <v>666</v>
      </c>
      <c r="AJ325" s="60">
        <v>469</v>
      </c>
      <c r="AK325" s="60">
        <v>5336</v>
      </c>
      <c r="AL325" s="60">
        <v>7</v>
      </c>
      <c r="AM325" s="60"/>
      <c r="AN325" s="60">
        <v>4</v>
      </c>
      <c r="AO325" s="60">
        <v>17827</v>
      </c>
      <c r="AP325" s="60">
        <v>601</v>
      </c>
      <c r="AQ325" s="60">
        <v>304</v>
      </c>
      <c r="AR325" s="60">
        <v>102</v>
      </c>
      <c r="AS325" s="60">
        <v>24</v>
      </c>
      <c r="AT325" s="60">
        <v>149</v>
      </c>
      <c r="AU325" s="60"/>
      <c r="AV325" s="60"/>
      <c r="AW325" s="60">
        <v>120</v>
      </c>
      <c r="AX325" s="60">
        <v>191</v>
      </c>
      <c r="AY325" s="60"/>
      <c r="AZ325" s="60">
        <v>4</v>
      </c>
      <c r="BA325" s="60">
        <v>22770</v>
      </c>
      <c r="BB325" s="60">
        <v>44</v>
      </c>
      <c r="BC325" s="60"/>
      <c r="BD325" s="60"/>
      <c r="BE325" s="60">
        <v>6009</v>
      </c>
      <c r="BF325" s="60">
        <v>2871</v>
      </c>
      <c r="BG325" s="60">
        <v>458</v>
      </c>
      <c r="BH325" s="60">
        <v>10955</v>
      </c>
      <c r="BI325" s="60">
        <v>4016</v>
      </c>
      <c r="BJ325" s="60">
        <v>486</v>
      </c>
      <c r="BK325" s="60">
        <v>61</v>
      </c>
      <c r="BL325" s="60">
        <v>552</v>
      </c>
      <c r="BM325" s="60">
        <v>3</v>
      </c>
      <c r="BN325" s="60">
        <v>1292</v>
      </c>
      <c r="BO325" s="60">
        <v>289</v>
      </c>
      <c r="BP325" s="60">
        <v>1285</v>
      </c>
      <c r="BQ325" s="60">
        <v>328</v>
      </c>
      <c r="BR325" s="60">
        <v>6529</v>
      </c>
      <c r="BS325" s="60">
        <v>1312</v>
      </c>
      <c r="BT325" s="60">
        <v>23</v>
      </c>
      <c r="BU325" s="60">
        <v>1503</v>
      </c>
      <c r="BV325" s="60">
        <v>987</v>
      </c>
      <c r="BW325" s="60">
        <v>10</v>
      </c>
      <c r="BX325" s="60">
        <v>857</v>
      </c>
      <c r="BY325" s="60">
        <v>2449</v>
      </c>
      <c r="BZ325" s="60">
        <v>827</v>
      </c>
      <c r="CA325" s="60">
        <v>5516</v>
      </c>
      <c r="CB325" s="60"/>
      <c r="CC325" s="60"/>
      <c r="CD325" s="60">
        <v>2156</v>
      </c>
      <c r="CE325" s="60">
        <v>117</v>
      </c>
      <c r="CF325" s="60">
        <v>340</v>
      </c>
      <c r="CG325" s="60">
        <v>14</v>
      </c>
      <c r="CH325" s="60">
        <v>213</v>
      </c>
      <c r="CI325" s="60">
        <v>18</v>
      </c>
      <c r="CJ325" s="60">
        <v>99</v>
      </c>
      <c r="CK325" s="60">
        <v>305</v>
      </c>
      <c r="CL325" s="60">
        <v>16978</v>
      </c>
      <c r="CM325" s="60">
        <v>2903</v>
      </c>
      <c r="CN325" s="60">
        <v>176</v>
      </c>
      <c r="CO325" s="60">
        <v>724</v>
      </c>
      <c r="CP325" s="60">
        <v>94</v>
      </c>
      <c r="CQ325" s="60">
        <v>124</v>
      </c>
      <c r="CR325" s="60">
        <v>48</v>
      </c>
      <c r="CS325" s="60"/>
      <c r="CT325" s="60">
        <v>24309</v>
      </c>
      <c r="CU325" s="60">
        <v>102</v>
      </c>
      <c r="CV325" s="60">
        <v>22986</v>
      </c>
      <c r="CW325" s="60">
        <v>1221</v>
      </c>
      <c r="CX325" s="60">
        <v>2158</v>
      </c>
      <c r="CY325" s="60">
        <v>1730</v>
      </c>
      <c r="CZ325" s="60"/>
      <c r="DA325" s="60"/>
      <c r="DB325" s="60">
        <v>103</v>
      </c>
      <c r="DC325" s="60">
        <v>255</v>
      </c>
      <c r="DD325" s="60">
        <v>251</v>
      </c>
      <c r="DE325" s="60">
        <v>438</v>
      </c>
      <c r="DF325" s="60">
        <v>515</v>
      </c>
      <c r="DG325" s="60">
        <v>587</v>
      </c>
      <c r="DH325" s="60">
        <v>664</v>
      </c>
      <c r="DI325" s="60">
        <v>994</v>
      </c>
      <c r="DJ325" s="60">
        <v>24</v>
      </c>
      <c r="DK325" s="60">
        <v>57</v>
      </c>
      <c r="DL325" s="60"/>
      <c r="DM325" s="60">
        <v>198</v>
      </c>
      <c r="DN325" s="60">
        <v>63</v>
      </c>
      <c r="DO325" s="60">
        <v>582</v>
      </c>
      <c r="DP325" s="60"/>
      <c r="DQ325" s="60">
        <v>2</v>
      </c>
      <c r="DR325" s="60">
        <v>3043</v>
      </c>
      <c r="DS325" s="60"/>
      <c r="DT325" s="60">
        <v>249</v>
      </c>
      <c r="DU325" s="60">
        <v>67</v>
      </c>
      <c r="DV325" s="60">
        <v>103</v>
      </c>
      <c r="DW325" s="60">
        <v>424</v>
      </c>
      <c r="DX325" s="60">
        <v>70</v>
      </c>
      <c r="DY325" s="60">
        <v>16</v>
      </c>
      <c r="DZ325" s="60">
        <v>45</v>
      </c>
      <c r="EA325" s="60">
        <v>2457</v>
      </c>
      <c r="EB325" s="60">
        <v>457</v>
      </c>
      <c r="EC325" s="60"/>
      <c r="ED325" s="60">
        <v>0</v>
      </c>
      <c r="EE325" s="60">
        <v>0</v>
      </c>
      <c r="EF325" s="60">
        <v>0</v>
      </c>
      <c r="EG325" s="60">
        <v>0</v>
      </c>
      <c r="EH325" s="60">
        <v>0</v>
      </c>
      <c r="EI325" s="60">
        <v>425</v>
      </c>
      <c r="EJ325" s="60">
        <v>1726</v>
      </c>
      <c r="EK325" s="60">
        <v>25</v>
      </c>
      <c r="EL325" s="60">
        <v>1458</v>
      </c>
      <c r="EM325" s="60">
        <v>254</v>
      </c>
      <c r="EN325" s="60">
        <v>40</v>
      </c>
      <c r="EO325" s="60">
        <v>48</v>
      </c>
      <c r="EP325" s="60">
        <v>677</v>
      </c>
      <c r="EQ325" s="60">
        <v>2</v>
      </c>
      <c r="ER325" s="60">
        <v>781</v>
      </c>
      <c r="ES325" s="60">
        <v>181</v>
      </c>
      <c r="ET325" s="60">
        <v>240</v>
      </c>
      <c r="EU325" s="60">
        <v>271</v>
      </c>
      <c r="EV325" s="60">
        <v>418</v>
      </c>
      <c r="EW325" s="60">
        <v>93</v>
      </c>
      <c r="EX325" s="60">
        <v>88</v>
      </c>
      <c r="EY325" s="60">
        <v>107</v>
      </c>
      <c r="EZ325" s="60"/>
      <c r="FA325" s="60">
        <v>75</v>
      </c>
      <c r="FB325" s="60">
        <v>470</v>
      </c>
      <c r="FC325" s="60">
        <v>95</v>
      </c>
      <c r="FD325" s="60">
        <v>288</v>
      </c>
      <c r="FE325" s="60">
        <v>4</v>
      </c>
      <c r="FF325" s="60">
        <v>10</v>
      </c>
      <c r="FG325" s="60"/>
      <c r="FH325" s="60">
        <v>273</v>
      </c>
      <c r="FI325" s="60">
        <v>43</v>
      </c>
      <c r="FJ325" s="60">
        <v>395</v>
      </c>
      <c r="FK325" s="60">
        <v>7</v>
      </c>
      <c r="FL325" s="60">
        <v>31</v>
      </c>
      <c r="FM325" s="60">
        <v>195</v>
      </c>
      <c r="FN325" s="60">
        <v>10</v>
      </c>
      <c r="FO325" s="60">
        <v>2785</v>
      </c>
      <c r="FP325" s="60">
        <v>65</v>
      </c>
      <c r="FQ325" s="60">
        <v>8</v>
      </c>
      <c r="FR325" s="60">
        <v>19</v>
      </c>
      <c r="FS325" s="60">
        <v>29</v>
      </c>
      <c r="FT325" s="60">
        <v>15</v>
      </c>
      <c r="FU325" s="60">
        <v>12</v>
      </c>
      <c r="FV325" s="60">
        <v>1</v>
      </c>
      <c r="FW325" s="60"/>
      <c r="FX325" s="60">
        <v>3888</v>
      </c>
      <c r="FY325" s="60">
        <v>47</v>
      </c>
      <c r="FZ325" s="60">
        <v>3663</v>
      </c>
      <c r="GA325" s="60">
        <v>178</v>
      </c>
      <c r="GB325" s="60">
        <v>2011</v>
      </c>
    </row>
    <row r="326" spans="1:184" x14ac:dyDescent="0.3">
      <c r="A326" s="60">
        <v>106560529</v>
      </c>
      <c r="B326" s="61" t="s">
        <v>1201</v>
      </c>
      <c r="C326" s="61" t="s">
        <v>2127</v>
      </c>
      <c r="D326" s="61" t="s">
        <v>1202</v>
      </c>
      <c r="E326" s="61" t="s">
        <v>1203</v>
      </c>
      <c r="F326" s="60">
        <v>93030</v>
      </c>
      <c r="G326" s="61"/>
      <c r="H326" s="61" t="s">
        <v>1669</v>
      </c>
      <c r="I326" s="60">
        <v>35</v>
      </c>
      <c r="J326" s="60">
        <v>23</v>
      </c>
      <c r="K326" s="61" t="s">
        <v>2128</v>
      </c>
      <c r="L326" s="61"/>
      <c r="M326" s="61" t="s">
        <v>2048</v>
      </c>
      <c r="N326" s="61" t="s">
        <v>2120</v>
      </c>
      <c r="O326" s="61" t="s">
        <v>1673</v>
      </c>
      <c r="P326" s="61" t="s">
        <v>1678</v>
      </c>
      <c r="Q326" s="61" t="s">
        <v>1674</v>
      </c>
      <c r="R326" s="60">
        <v>265</v>
      </c>
      <c r="S326" s="61" t="s">
        <v>1675</v>
      </c>
      <c r="T326" s="60">
        <v>21181</v>
      </c>
      <c r="U326" s="60">
        <v>17704</v>
      </c>
      <c r="V326" s="60"/>
      <c r="W326" s="60"/>
      <c r="X326" s="60">
        <v>6900</v>
      </c>
      <c r="Y326" s="60">
        <v>4600</v>
      </c>
      <c r="Z326" s="60">
        <v>6738</v>
      </c>
      <c r="AA326" s="60">
        <v>5165</v>
      </c>
      <c r="AB326" s="60">
        <v>4202</v>
      </c>
      <c r="AC326" s="60">
        <v>3342</v>
      </c>
      <c r="AD326" s="60">
        <v>2237</v>
      </c>
      <c r="AE326" s="60">
        <v>1902</v>
      </c>
      <c r="AF326" s="60">
        <v>1789</v>
      </c>
      <c r="AG326" s="60">
        <v>2010</v>
      </c>
      <c r="AH326" s="60"/>
      <c r="AI326" s="60">
        <v>1361</v>
      </c>
      <c r="AJ326" s="60">
        <v>1684</v>
      </c>
      <c r="AK326" s="60">
        <v>26102</v>
      </c>
      <c r="AL326" s="60">
        <v>11</v>
      </c>
      <c r="AM326" s="60">
        <v>306</v>
      </c>
      <c r="AN326" s="60"/>
      <c r="AO326" s="60">
        <v>9421</v>
      </c>
      <c r="AP326" s="60">
        <v>294</v>
      </c>
      <c r="AQ326" s="60">
        <v>1207</v>
      </c>
      <c r="AR326" s="60">
        <v>20</v>
      </c>
      <c r="AS326" s="60">
        <v>67</v>
      </c>
      <c r="AT326" s="60">
        <v>19</v>
      </c>
      <c r="AU326" s="60">
        <v>1</v>
      </c>
      <c r="AV326" s="60"/>
      <c r="AW326" s="60"/>
      <c r="AX326" s="60">
        <v>178</v>
      </c>
      <c r="AY326" s="60">
        <v>147</v>
      </c>
      <c r="AZ326" s="60"/>
      <c r="BA326" s="60">
        <v>36926</v>
      </c>
      <c r="BB326" s="60">
        <v>14</v>
      </c>
      <c r="BC326" s="60">
        <v>12</v>
      </c>
      <c r="BD326" s="60"/>
      <c r="BE326" s="60">
        <v>13077</v>
      </c>
      <c r="BF326" s="60">
        <v>6074</v>
      </c>
      <c r="BG326" s="60">
        <v>4277</v>
      </c>
      <c r="BH326" s="60">
        <v>7722</v>
      </c>
      <c r="BI326" s="60">
        <v>7735</v>
      </c>
      <c r="BJ326" s="60">
        <v>1412</v>
      </c>
      <c r="BK326" s="60">
        <v>122</v>
      </c>
      <c r="BL326" s="60">
        <v>679</v>
      </c>
      <c r="BM326" s="60">
        <v>11</v>
      </c>
      <c r="BN326" s="60">
        <v>2361</v>
      </c>
      <c r="BO326" s="60">
        <v>684</v>
      </c>
      <c r="BP326" s="60">
        <v>1964</v>
      </c>
      <c r="BQ326" s="60">
        <v>1264</v>
      </c>
      <c r="BR326" s="60">
        <v>8195</v>
      </c>
      <c r="BS326" s="60">
        <v>2013</v>
      </c>
      <c r="BT326" s="60">
        <v>39</v>
      </c>
      <c r="BU326" s="60">
        <v>2245</v>
      </c>
      <c r="BV326" s="60">
        <v>2966</v>
      </c>
      <c r="BW326" s="60">
        <v>99</v>
      </c>
      <c r="BX326" s="60">
        <v>1595</v>
      </c>
      <c r="BY326" s="60">
        <v>4090</v>
      </c>
      <c r="BZ326" s="60">
        <v>1496</v>
      </c>
      <c r="CA326" s="60">
        <v>7649</v>
      </c>
      <c r="CB326" s="60">
        <v>1</v>
      </c>
      <c r="CC326" s="60"/>
      <c r="CD326" s="60">
        <v>2525</v>
      </c>
      <c r="CE326" s="60">
        <v>147</v>
      </c>
      <c r="CF326" s="60">
        <v>279</v>
      </c>
      <c r="CG326" s="60">
        <v>21</v>
      </c>
      <c r="CH326" s="60">
        <v>526</v>
      </c>
      <c r="CI326" s="60">
        <v>8</v>
      </c>
      <c r="CJ326" s="60">
        <v>260</v>
      </c>
      <c r="CK326" s="60">
        <v>279</v>
      </c>
      <c r="CL326" s="60">
        <v>29581</v>
      </c>
      <c r="CM326" s="60">
        <v>3624</v>
      </c>
      <c r="CN326" s="60">
        <v>143</v>
      </c>
      <c r="CO326" s="60">
        <v>1078</v>
      </c>
      <c r="CP326" s="60">
        <v>162</v>
      </c>
      <c r="CQ326" s="60">
        <v>194</v>
      </c>
      <c r="CR326" s="60">
        <v>58</v>
      </c>
      <c r="CS326" s="60"/>
      <c r="CT326" s="60">
        <v>38885</v>
      </c>
      <c r="CU326" s="60">
        <v>69</v>
      </c>
      <c r="CV326" s="60">
        <v>31848</v>
      </c>
      <c r="CW326" s="60">
        <v>6968</v>
      </c>
      <c r="CX326" s="60">
        <v>3467</v>
      </c>
      <c r="CY326" s="60">
        <v>3284</v>
      </c>
      <c r="CZ326" s="60"/>
      <c r="DA326" s="60"/>
      <c r="DB326" s="60">
        <v>184</v>
      </c>
      <c r="DC326" s="60">
        <v>328</v>
      </c>
      <c r="DD326" s="60">
        <v>371</v>
      </c>
      <c r="DE326" s="60">
        <v>589</v>
      </c>
      <c r="DF326" s="60">
        <v>916</v>
      </c>
      <c r="DG326" s="60">
        <v>1037</v>
      </c>
      <c r="DH326" s="60">
        <v>1313</v>
      </c>
      <c r="DI326" s="60">
        <v>1747</v>
      </c>
      <c r="DJ326" s="60">
        <v>125</v>
      </c>
      <c r="DK326" s="60">
        <v>141</v>
      </c>
      <c r="DL326" s="60"/>
      <c r="DM326" s="60">
        <v>487</v>
      </c>
      <c r="DN326" s="60">
        <v>342</v>
      </c>
      <c r="DO326" s="60">
        <v>3384</v>
      </c>
      <c r="DP326" s="60">
        <v>47</v>
      </c>
      <c r="DQ326" s="60"/>
      <c r="DR326" s="60">
        <v>2489</v>
      </c>
      <c r="DS326" s="60">
        <v>2</v>
      </c>
      <c r="DT326" s="60">
        <v>148</v>
      </c>
      <c r="DU326" s="60">
        <v>86</v>
      </c>
      <c r="DV326" s="60">
        <v>248</v>
      </c>
      <c r="DW326" s="60">
        <v>1546</v>
      </c>
      <c r="DX326" s="60">
        <v>158</v>
      </c>
      <c r="DY326" s="60">
        <v>48</v>
      </c>
      <c r="DZ326" s="60">
        <v>22</v>
      </c>
      <c r="EA326" s="60">
        <v>3656</v>
      </c>
      <c r="EB326" s="60">
        <v>837</v>
      </c>
      <c r="EC326" s="60">
        <v>2</v>
      </c>
      <c r="ED326" s="60">
        <v>0</v>
      </c>
      <c r="EE326" s="60">
        <v>0</v>
      </c>
      <c r="EF326" s="60">
        <v>0</v>
      </c>
      <c r="EG326" s="60">
        <v>0</v>
      </c>
      <c r="EH326" s="60">
        <v>0</v>
      </c>
      <c r="EI326" s="60">
        <v>1048</v>
      </c>
      <c r="EJ326" s="60">
        <v>4038</v>
      </c>
      <c r="EK326" s="60">
        <v>230</v>
      </c>
      <c r="EL326" s="60">
        <v>1103</v>
      </c>
      <c r="EM326" s="60">
        <v>332</v>
      </c>
      <c r="EN326" s="60">
        <v>88</v>
      </c>
      <c r="EO326" s="60">
        <v>79</v>
      </c>
      <c r="EP326" s="60">
        <v>1513</v>
      </c>
      <c r="EQ326" s="60">
        <v>5</v>
      </c>
      <c r="ER326" s="60">
        <v>1049</v>
      </c>
      <c r="ES326" s="60">
        <v>389</v>
      </c>
      <c r="ET326" s="60">
        <v>397</v>
      </c>
      <c r="EU326" s="60">
        <v>583</v>
      </c>
      <c r="EV326" s="60">
        <v>573</v>
      </c>
      <c r="EW326" s="60">
        <v>131</v>
      </c>
      <c r="EX326" s="60">
        <v>126</v>
      </c>
      <c r="EY326" s="60">
        <v>176</v>
      </c>
      <c r="EZ326" s="60">
        <v>3</v>
      </c>
      <c r="FA326" s="60">
        <v>70</v>
      </c>
      <c r="FB326" s="60">
        <v>862</v>
      </c>
      <c r="FC326" s="60">
        <v>143</v>
      </c>
      <c r="FD326" s="60">
        <v>526</v>
      </c>
      <c r="FE326" s="60">
        <v>3</v>
      </c>
      <c r="FF326" s="60">
        <v>35</v>
      </c>
      <c r="FG326" s="60"/>
      <c r="FH326" s="60">
        <v>368</v>
      </c>
      <c r="FI326" s="60">
        <v>70</v>
      </c>
      <c r="FJ326" s="60">
        <v>345</v>
      </c>
      <c r="FK326" s="60">
        <v>9</v>
      </c>
      <c r="FL326" s="60">
        <v>20</v>
      </c>
      <c r="FM326" s="60">
        <v>356</v>
      </c>
      <c r="FN326" s="60">
        <v>3</v>
      </c>
      <c r="FO326" s="60">
        <v>5408</v>
      </c>
      <c r="FP326" s="60">
        <v>73</v>
      </c>
      <c r="FQ326" s="60">
        <v>4</v>
      </c>
      <c r="FR326" s="60">
        <v>22</v>
      </c>
      <c r="FS326" s="60">
        <v>44</v>
      </c>
      <c r="FT326" s="60">
        <v>19</v>
      </c>
      <c r="FU326" s="60">
        <v>10</v>
      </c>
      <c r="FV326" s="60"/>
      <c r="FW326" s="60"/>
      <c r="FX326" s="60">
        <v>6751</v>
      </c>
      <c r="FY326" s="60">
        <v>55</v>
      </c>
      <c r="FZ326" s="60">
        <v>5422</v>
      </c>
      <c r="GA326" s="60">
        <v>1274</v>
      </c>
      <c r="GB326" s="60">
        <v>2011</v>
      </c>
    </row>
    <row r="327" spans="1:184" x14ac:dyDescent="0.3">
      <c r="A327" s="60">
        <v>106571086</v>
      </c>
      <c r="B327" s="61" t="s">
        <v>1204</v>
      </c>
      <c r="C327" s="61" t="s">
        <v>1205</v>
      </c>
      <c r="D327" s="61" t="s">
        <v>1206</v>
      </c>
      <c r="E327" s="61" t="s">
        <v>1207</v>
      </c>
      <c r="F327" s="60">
        <v>95695</v>
      </c>
      <c r="G327" s="61"/>
      <c r="H327" s="61" t="s">
        <v>1669</v>
      </c>
      <c r="I327" s="60">
        <v>8</v>
      </c>
      <c r="J327" s="60">
        <v>5</v>
      </c>
      <c r="K327" s="61" t="s">
        <v>2129</v>
      </c>
      <c r="L327" s="61"/>
      <c r="M327" s="61" t="s">
        <v>1728</v>
      </c>
      <c r="N327" s="61" t="s">
        <v>2130</v>
      </c>
      <c r="O327" s="61" t="s">
        <v>1673</v>
      </c>
      <c r="P327" s="61" t="s">
        <v>1678</v>
      </c>
      <c r="Q327" s="61" t="s">
        <v>1674</v>
      </c>
      <c r="R327" s="60">
        <v>88</v>
      </c>
      <c r="S327" s="61" t="s">
        <v>1675</v>
      </c>
      <c r="T327" s="60">
        <v>9944</v>
      </c>
      <c r="U327" s="60">
        <v>8300</v>
      </c>
      <c r="V327" s="60">
        <v>1</v>
      </c>
      <c r="W327" s="60"/>
      <c r="X327" s="60">
        <v>2534</v>
      </c>
      <c r="Y327" s="60">
        <v>2206</v>
      </c>
      <c r="Z327" s="60">
        <v>2925</v>
      </c>
      <c r="AA327" s="60">
        <v>2284</v>
      </c>
      <c r="AB327" s="60">
        <v>2156</v>
      </c>
      <c r="AC327" s="60">
        <v>2262</v>
      </c>
      <c r="AD327" s="60">
        <v>1209</v>
      </c>
      <c r="AE327" s="60">
        <v>960</v>
      </c>
      <c r="AF327" s="60">
        <v>1137</v>
      </c>
      <c r="AG327" s="60">
        <v>572</v>
      </c>
      <c r="AH327" s="60"/>
      <c r="AI327" s="60">
        <v>212</v>
      </c>
      <c r="AJ327" s="60">
        <v>673</v>
      </c>
      <c r="AK327" s="60">
        <v>6986</v>
      </c>
      <c r="AL327" s="60">
        <v>18</v>
      </c>
      <c r="AM327" s="60">
        <v>509</v>
      </c>
      <c r="AN327" s="60">
        <v>28</v>
      </c>
      <c r="AO327" s="60">
        <v>9819</v>
      </c>
      <c r="AP327" s="60">
        <v>186</v>
      </c>
      <c r="AQ327" s="60"/>
      <c r="AR327" s="60">
        <v>85</v>
      </c>
      <c r="AS327" s="60">
        <v>27</v>
      </c>
      <c r="AT327" s="60">
        <v>39</v>
      </c>
      <c r="AU327" s="60">
        <v>2</v>
      </c>
      <c r="AV327" s="60"/>
      <c r="AW327" s="60">
        <v>1</v>
      </c>
      <c r="AX327" s="60">
        <v>362</v>
      </c>
      <c r="AY327" s="60">
        <v>272</v>
      </c>
      <c r="AZ327" s="60"/>
      <c r="BA327" s="60">
        <v>17108</v>
      </c>
      <c r="BB327" s="60">
        <v>163</v>
      </c>
      <c r="BC327" s="60"/>
      <c r="BD327" s="60"/>
      <c r="BE327" s="60">
        <v>6346</v>
      </c>
      <c r="BF327" s="60">
        <v>3292</v>
      </c>
      <c r="BG327" s="60">
        <v>1626</v>
      </c>
      <c r="BH327" s="60">
        <v>4363</v>
      </c>
      <c r="BI327" s="60">
        <v>2618</v>
      </c>
      <c r="BJ327" s="60">
        <v>441</v>
      </c>
      <c r="BK327" s="60">
        <v>47</v>
      </c>
      <c r="BL327" s="60">
        <v>480</v>
      </c>
      <c r="BM327" s="60">
        <v>1</v>
      </c>
      <c r="BN327" s="60">
        <v>1058</v>
      </c>
      <c r="BO327" s="60">
        <v>282</v>
      </c>
      <c r="BP327" s="60">
        <v>1038</v>
      </c>
      <c r="BQ327" s="60">
        <v>389</v>
      </c>
      <c r="BR327" s="60">
        <v>3758</v>
      </c>
      <c r="BS327" s="60">
        <v>1203</v>
      </c>
      <c r="BT327" s="60">
        <v>20</v>
      </c>
      <c r="BU327" s="60">
        <v>1258</v>
      </c>
      <c r="BV327" s="60">
        <v>700</v>
      </c>
      <c r="BW327" s="60">
        <v>26</v>
      </c>
      <c r="BX327" s="60">
        <v>1099</v>
      </c>
      <c r="BY327" s="60">
        <v>1858</v>
      </c>
      <c r="BZ327" s="60">
        <v>572</v>
      </c>
      <c r="CA327" s="60">
        <v>4015</v>
      </c>
      <c r="CB327" s="60"/>
      <c r="CC327" s="60"/>
      <c r="CD327" s="60">
        <v>1092</v>
      </c>
      <c r="CE327" s="60">
        <v>134</v>
      </c>
      <c r="CF327" s="60">
        <v>135</v>
      </c>
      <c r="CG327" s="60">
        <v>6</v>
      </c>
      <c r="CH327" s="60">
        <v>200</v>
      </c>
      <c r="CI327" s="60">
        <v>12</v>
      </c>
      <c r="CJ327" s="60">
        <v>75</v>
      </c>
      <c r="CK327" s="60">
        <v>255</v>
      </c>
      <c r="CL327" s="60">
        <v>13922</v>
      </c>
      <c r="CM327" s="60">
        <v>1769</v>
      </c>
      <c r="CN327" s="60">
        <v>99</v>
      </c>
      <c r="CO327" s="60">
        <v>302</v>
      </c>
      <c r="CP327" s="60">
        <v>91</v>
      </c>
      <c r="CQ327" s="60">
        <v>121</v>
      </c>
      <c r="CR327" s="60">
        <v>32</v>
      </c>
      <c r="CS327" s="60"/>
      <c r="CT327" s="60">
        <v>18245</v>
      </c>
      <c r="CU327" s="60">
        <v>204</v>
      </c>
      <c r="CV327" s="60">
        <v>15918</v>
      </c>
      <c r="CW327" s="60">
        <v>2123</v>
      </c>
      <c r="CX327" s="60">
        <v>1061</v>
      </c>
      <c r="CY327" s="60">
        <v>983</v>
      </c>
      <c r="CZ327" s="60"/>
      <c r="DA327" s="60"/>
      <c r="DB327" s="60">
        <v>60</v>
      </c>
      <c r="DC327" s="60">
        <v>116</v>
      </c>
      <c r="DD327" s="60">
        <v>158</v>
      </c>
      <c r="DE327" s="60">
        <v>195</v>
      </c>
      <c r="DF327" s="60">
        <v>352</v>
      </c>
      <c r="DG327" s="60">
        <v>295</v>
      </c>
      <c r="DH327" s="60">
        <v>333</v>
      </c>
      <c r="DI327" s="60">
        <v>488</v>
      </c>
      <c r="DJ327" s="60">
        <v>17</v>
      </c>
      <c r="DK327" s="60">
        <v>30</v>
      </c>
      <c r="DL327" s="60"/>
      <c r="DM327" s="60">
        <v>31</v>
      </c>
      <c r="DN327" s="60">
        <v>54</v>
      </c>
      <c r="DO327" s="60">
        <v>512</v>
      </c>
      <c r="DP327" s="60">
        <v>45</v>
      </c>
      <c r="DQ327" s="60">
        <v>1</v>
      </c>
      <c r="DR327" s="60">
        <v>1400</v>
      </c>
      <c r="DS327" s="60">
        <v>1</v>
      </c>
      <c r="DT327" s="60">
        <v>74</v>
      </c>
      <c r="DU327" s="60">
        <v>18</v>
      </c>
      <c r="DV327" s="60">
        <v>102</v>
      </c>
      <c r="DW327" s="60">
        <v>133</v>
      </c>
      <c r="DX327" s="60">
        <v>35</v>
      </c>
      <c r="DY327" s="60"/>
      <c r="DZ327" s="60">
        <v>75</v>
      </c>
      <c r="EA327" s="60">
        <v>1229</v>
      </c>
      <c r="EB327" s="60">
        <v>370</v>
      </c>
      <c r="EC327" s="60">
        <v>8</v>
      </c>
      <c r="ED327" s="60">
        <v>0</v>
      </c>
      <c r="EE327" s="60">
        <v>0</v>
      </c>
      <c r="EF327" s="60">
        <v>0</v>
      </c>
      <c r="EG327" s="60">
        <v>0</v>
      </c>
      <c r="EH327" s="60">
        <v>0</v>
      </c>
      <c r="EI327" s="60">
        <v>331</v>
      </c>
      <c r="EJ327" s="60">
        <v>1103</v>
      </c>
      <c r="EK327" s="60">
        <v>55</v>
      </c>
      <c r="EL327" s="60">
        <v>346</v>
      </c>
      <c r="EM327" s="60">
        <v>209</v>
      </c>
      <c r="EN327" s="60">
        <v>27</v>
      </c>
      <c r="EO327" s="60">
        <v>36</v>
      </c>
      <c r="EP327" s="60">
        <v>308</v>
      </c>
      <c r="EQ327" s="60"/>
      <c r="ER327" s="60">
        <v>350</v>
      </c>
      <c r="ES327" s="60">
        <v>88</v>
      </c>
      <c r="ET327" s="60">
        <v>126</v>
      </c>
      <c r="EU327" s="60">
        <v>218</v>
      </c>
      <c r="EV327" s="60">
        <v>207</v>
      </c>
      <c r="EW327" s="60">
        <v>26</v>
      </c>
      <c r="EX327" s="60">
        <v>36</v>
      </c>
      <c r="EY327" s="60">
        <v>41</v>
      </c>
      <c r="EZ327" s="60"/>
      <c r="FA327" s="60">
        <v>188</v>
      </c>
      <c r="FB327" s="60">
        <v>318</v>
      </c>
      <c r="FC327" s="60">
        <v>33</v>
      </c>
      <c r="FD327" s="60">
        <v>39</v>
      </c>
      <c r="FE327" s="60">
        <v>1</v>
      </c>
      <c r="FF327" s="60">
        <v>2</v>
      </c>
      <c r="FG327" s="60"/>
      <c r="FH327" s="60">
        <v>112</v>
      </c>
      <c r="FI327" s="60">
        <v>25</v>
      </c>
      <c r="FJ327" s="60">
        <v>92</v>
      </c>
      <c r="FK327" s="60">
        <v>5</v>
      </c>
      <c r="FL327" s="60">
        <v>12</v>
      </c>
      <c r="FM327" s="60">
        <v>74</v>
      </c>
      <c r="FN327" s="60">
        <v>6</v>
      </c>
      <c r="FO327" s="60">
        <v>1659</v>
      </c>
      <c r="FP327" s="60">
        <v>14</v>
      </c>
      <c r="FQ327" s="60">
        <v>3</v>
      </c>
      <c r="FR327" s="60">
        <v>2</v>
      </c>
      <c r="FS327" s="60">
        <v>38</v>
      </c>
      <c r="FT327" s="60">
        <v>1</v>
      </c>
      <c r="FU327" s="60"/>
      <c r="FV327" s="60">
        <v>1</v>
      </c>
      <c r="FW327" s="60"/>
      <c r="FX327" s="60">
        <v>2044</v>
      </c>
      <c r="FY327" s="60">
        <v>24</v>
      </c>
      <c r="FZ327" s="60">
        <v>1789</v>
      </c>
      <c r="GA327" s="60">
        <v>231</v>
      </c>
      <c r="GB327" s="60">
        <v>2011</v>
      </c>
    </row>
    <row r="328" spans="1:184" x14ac:dyDescent="0.3">
      <c r="A328" s="60">
        <v>106574010</v>
      </c>
      <c r="B328" s="61" t="s">
        <v>1208</v>
      </c>
      <c r="C328" s="61" t="s">
        <v>1210</v>
      </c>
      <c r="D328" s="61" t="s">
        <v>1211</v>
      </c>
      <c r="E328" s="61" t="s">
        <v>1209</v>
      </c>
      <c r="F328" s="60">
        <v>95616</v>
      </c>
      <c r="G328" s="61"/>
      <c r="H328" s="61" t="s">
        <v>1669</v>
      </c>
      <c r="I328" s="60">
        <v>8</v>
      </c>
      <c r="J328" s="60">
        <v>5</v>
      </c>
      <c r="K328" s="61" t="s">
        <v>2131</v>
      </c>
      <c r="L328" s="61"/>
      <c r="M328" s="61" t="s">
        <v>1728</v>
      </c>
      <c r="N328" s="61" t="s">
        <v>2130</v>
      </c>
      <c r="O328" s="61" t="s">
        <v>1673</v>
      </c>
      <c r="P328" s="61" t="s">
        <v>1678</v>
      </c>
      <c r="Q328" s="61" t="s">
        <v>1674</v>
      </c>
      <c r="R328" s="60">
        <v>48</v>
      </c>
      <c r="S328" s="61" t="s">
        <v>1675</v>
      </c>
      <c r="T328" s="60">
        <v>10394</v>
      </c>
      <c r="U328" s="60">
        <v>8487</v>
      </c>
      <c r="V328" s="60">
        <v>2</v>
      </c>
      <c r="W328" s="60"/>
      <c r="X328" s="60">
        <v>2369</v>
      </c>
      <c r="Y328" s="60">
        <v>2218</v>
      </c>
      <c r="Z328" s="60">
        <v>4136</v>
      </c>
      <c r="AA328" s="60">
        <v>2296</v>
      </c>
      <c r="AB328" s="60">
        <v>1994</v>
      </c>
      <c r="AC328" s="60">
        <v>1850</v>
      </c>
      <c r="AD328" s="60">
        <v>1284</v>
      </c>
      <c r="AE328" s="60">
        <v>981</v>
      </c>
      <c r="AF328" s="60">
        <v>1230</v>
      </c>
      <c r="AG328" s="60">
        <v>525</v>
      </c>
      <c r="AH328" s="60"/>
      <c r="AI328" s="60">
        <v>1184</v>
      </c>
      <c r="AJ328" s="60">
        <v>838</v>
      </c>
      <c r="AK328" s="60">
        <v>4838</v>
      </c>
      <c r="AL328" s="60">
        <v>44</v>
      </c>
      <c r="AM328" s="60">
        <v>97</v>
      </c>
      <c r="AN328" s="60">
        <v>40</v>
      </c>
      <c r="AO328" s="60">
        <v>11842</v>
      </c>
      <c r="AP328" s="60">
        <v>397</v>
      </c>
      <c r="AQ328" s="60">
        <v>26</v>
      </c>
      <c r="AR328" s="60"/>
      <c r="AS328" s="60">
        <v>16</v>
      </c>
      <c r="AT328" s="60">
        <v>1</v>
      </c>
      <c r="AU328" s="60"/>
      <c r="AV328" s="60">
        <v>1</v>
      </c>
      <c r="AW328" s="60">
        <v>57</v>
      </c>
      <c r="AX328" s="60">
        <v>62</v>
      </c>
      <c r="AY328" s="60">
        <v>138</v>
      </c>
      <c r="AZ328" s="60"/>
      <c r="BA328" s="60">
        <v>17921</v>
      </c>
      <c r="BB328" s="60">
        <v>264</v>
      </c>
      <c r="BC328" s="60"/>
      <c r="BD328" s="60"/>
      <c r="BE328" s="60">
        <v>5100</v>
      </c>
      <c r="BF328" s="60">
        <v>3239</v>
      </c>
      <c r="BG328" s="60">
        <v>648</v>
      </c>
      <c r="BH328" s="60">
        <v>7637</v>
      </c>
      <c r="BI328" s="60">
        <v>2259</v>
      </c>
      <c r="BJ328" s="60">
        <v>431</v>
      </c>
      <c r="BK328" s="60">
        <v>56</v>
      </c>
      <c r="BL328" s="60">
        <v>554</v>
      </c>
      <c r="BM328" s="60">
        <v>3</v>
      </c>
      <c r="BN328" s="60">
        <v>1375</v>
      </c>
      <c r="BO328" s="60">
        <v>326</v>
      </c>
      <c r="BP328" s="60">
        <v>1248</v>
      </c>
      <c r="BQ328" s="60">
        <v>277</v>
      </c>
      <c r="BR328" s="60">
        <v>4929</v>
      </c>
      <c r="BS328" s="60">
        <v>756</v>
      </c>
      <c r="BT328" s="60">
        <v>39</v>
      </c>
      <c r="BU328" s="60">
        <v>1547</v>
      </c>
      <c r="BV328" s="60">
        <v>246</v>
      </c>
      <c r="BW328" s="60">
        <v>19</v>
      </c>
      <c r="BX328" s="60">
        <v>929</v>
      </c>
      <c r="BY328" s="60">
        <v>2028</v>
      </c>
      <c r="BZ328" s="60">
        <v>660</v>
      </c>
      <c r="CA328" s="60">
        <v>3460</v>
      </c>
      <c r="CB328" s="60"/>
      <c r="CC328" s="60"/>
      <c r="CD328" s="60">
        <v>1493</v>
      </c>
      <c r="CE328" s="60">
        <v>88</v>
      </c>
      <c r="CF328" s="60">
        <v>143</v>
      </c>
      <c r="CG328" s="60">
        <v>11</v>
      </c>
      <c r="CH328" s="60">
        <v>175</v>
      </c>
      <c r="CI328" s="60">
        <v>1</v>
      </c>
      <c r="CJ328" s="60">
        <v>57</v>
      </c>
      <c r="CK328" s="60">
        <v>251</v>
      </c>
      <c r="CL328" s="60">
        <v>13550</v>
      </c>
      <c r="CM328" s="60">
        <v>2231</v>
      </c>
      <c r="CN328" s="60">
        <v>303</v>
      </c>
      <c r="CO328" s="60">
        <v>366</v>
      </c>
      <c r="CP328" s="60">
        <v>43</v>
      </c>
      <c r="CQ328" s="60">
        <v>119</v>
      </c>
      <c r="CR328" s="60">
        <v>52</v>
      </c>
      <c r="CS328" s="60"/>
      <c r="CT328" s="60">
        <v>18883</v>
      </c>
      <c r="CU328" s="60">
        <v>552</v>
      </c>
      <c r="CV328" s="60">
        <v>16199</v>
      </c>
      <c r="CW328" s="60">
        <v>2132</v>
      </c>
      <c r="CX328" s="60">
        <v>854</v>
      </c>
      <c r="CY328" s="60">
        <v>694</v>
      </c>
      <c r="CZ328" s="60"/>
      <c r="DA328" s="60"/>
      <c r="DB328" s="60">
        <v>35</v>
      </c>
      <c r="DC328" s="60">
        <v>117</v>
      </c>
      <c r="DD328" s="60">
        <v>91</v>
      </c>
      <c r="DE328" s="60">
        <v>122</v>
      </c>
      <c r="DF328" s="60">
        <v>232</v>
      </c>
      <c r="DG328" s="60">
        <v>252</v>
      </c>
      <c r="DH328" s="60">
        <v>274</v>
      </c>
      <c r="DI328" s="60">
        <v>420</v>
      </c>
      <c r="DJ328" s="60"/>
      <c r="DK328" s="60">
        <v>5</v>
      </c>
      <c r="DL328" s="60"/>
      <c r="DM328" s="60">
        <v>50</v>
      </c>
      <c r="DN328" s="60">
        <v>40</v>
      </c>
      <c r="DO328" s="60">
        <v>316</v>
      </c>
      <c r="DP328" s="60">
        <v>2</v>
      </c>
      <c r="DQ328" s="60">
        <v>3</v>
      </c>
      <c r="DR328" s="60">
        <v>1130</v>
      </c>
      <c r="DS328" s="60">
        <v>7</v>
      </c>
      <c r="DT328" s="60">
        <v>70</v>
      </c>
      <c r="DU328" s="60">
        <v>9</v>
      </c>
      <c r="DV328" s="60">
        <v>40</v>
      </c>
      <c r="DW328" s="60">
        <v>154</v>
      </c>
      <c r="DX328" s="60">
        <v>3</v>
      </c>
      <c r="DY328" s="60">
        <v>12</v>
      </c>
      <c r="DZ328" s="60">
        <v>6</v>
      </c>
      <c r="EA328" s="60">
        <v>954</v>
      </c>
      <c r="EB328" s="60">
        <v>300</v>
      </c>
      <c r="EC328" s="60"/>
      <c r="ED328" s="60">
        <v>0</v>
      </c>
      <c r="EE328" s="60">
        <v>0</v>
      </c>
      <c r="EF328" s="60">
        <v>0</v>
      </c>
      <c r="EG328" s="60">
        <v>0</v>
      </c>
      <c r="EH328" s="60">
        <v>0</v>
      </c>
      <c r="EI328" s="60">
        <v>197</v>
      </c>
      <c r="EJ328" s="60">
        <v>876</v>
      </c>
      <c r="EK328" s="60">
        <v>21</v>
      </c>
      <c r="EL328" s="60">
        <v>336</v>
      </c>
      <c r="EM328" s="60">
        <v>118</v>
      </c>
      <c r="EN328" s="60">
        <v>17</v>
      </c>
      <c r="EO328" s="60">
        <v>29</v>
      </c>
      <c r="EP328" s="60">
        <v>195</v>
      </c>
      <c r="EQ328" s="60">
        <v>1</v>
      </c>
      <c r="ER328" s="60">
        <v>391</v>
      </c>
      <c r="ES328" s="60">
        <v>46</v>
      </c>
      <c r="ET328" s="60">
        <v>108</v>
      </c>
      <c r="EU328" s="60">
        <v>217</v>
      </c>
      <c r="EV328" s="60">
        <v>176</v>
      </c>
      <c r="EW328" s="60">
        <v>15</v>
      </c>
      <c r="EX328" s="60">
        <v>47</v>
      </c>
      <c r="EY328" s="60">
        <v>24</v>
      </c>
      <c r="EZ328" s="60">
        <v>1</v>
      </c>
      <c r="FA328" s="60">
        <v>13</v>
      </c>
      <c r="FB328" s="60">
        <v>193</v>
      </c>
      <c r="FC328" s="60">
        <v>26</v>
      </c>
      <c r="FD328" s="60">
        <v>49</v>
      </c>
      <c r="FE328" s="60"/>
      <c r="FF328" s="60"/>
      <c r="FG328" s="60"/>
      <c r="FH328" s="60">
        <v>92</v>
      </c>
      <c r="FI328" s="60">
        <v>19</v>
      </c>
      <c r="FJ328" s="60">
        <v>186</v>
      </c>
      <c r="FK328" s="60">
        <v>2</v>
      </c>
      <c r="FL328" s="60">
        <v>2</v>
      </c>
      <c r="FM328" s="60">
        <v>77</v>
      </c>
      <c r="FN328" s="60">
        <v>1</v>
      </c>
      <c r="FO328" s="60">
        <v>1125</v>
      </c>
      <c r="FP328" s="60">
        <v>15</v>
      </c>
      <c r="FQ328" s="60">
        <v>10</v>
      </c>
      <c r="FR328" s="60">
        <v>3</v>
      </c>
      <c r="FS328" s="60">
        <v>11</v>
      </c>
      <c r="FT328" s="60">
        <v>5</v>
      </c>
      <c r="FU328" s="60"/>
      <c r="FV328" s="60"/>
      <c r="FW328" s="60"/>
      <c r="FX328" s="60">
        <v>1548</v>
      </c>
      <c r="FY328" s="60">
        <v>54</v>
      </c>
      <c r="FZ328" s="60">
        <v>1325</v>
      </c>
      <c r="GA328" s="60">
        <v>169</v>
      </c>
      <c r="GB328" s="60">
        <v>2011</v>
      </c>
    </row>
    <row r="329" spans="1:184" x14ac:dyDescent="0.3">
      <c r="A329" s="60">
        <v>106580996</v>
      </c>
      <c r="B329" s="61" t="s">
        <v>1212</v>
      </c>
      <c r="C329" s="61" t="s">
        <v>1213</v>
      </c>
      <c r="D329" s="61" t="s">
        <v>1214</v>
      </c>
      <c r="E329" s="61" t="s">
        <v>1215</v>
      </c>
      <c r="F329" s="60">
        <v>95901</v>
      </c>
      <c r="G329" s="61" t="s">
        <v>186</v>
      </c>
      <c r="H329" s="61" t="s">
        <v>1669</v>
      </c>
      <c r="I329" s="60">
        <v>3</v>
      </c>
      <c r="J329" s="60">
        <v>4</v>
      </c>
      <c r="K329" s="61" t="s">
        <v>2132</v>
      </c>
      <c r="L329" s="61"/>
      <c r="M329" s="61" t="s">
        <v>1728</v>
      </c>
      <c r="N329" s="61" t="s">
        <v>2133</v>
      </c>
      <c r="O329" s="61" t="s">
        <v>1673</v>
      </c>
      <c r="P329" s="61" t="s">
        <v>1678</v>
      </c>
      <c r="Q329" s="61" t="s">
        <v>1674</v>
      </c>
      <c r="R329" s="60">
        <v>173</v>
      </c>
      <c r="S329" s="61" t="s">
        <v>1675</v>
      </c>
      <c r="T329" s="60">
        <v>23903</v>
      </c>
      <c r="U329" s="60">
        <v>19200</v>
      </c>
      <c r="V329" s="60"/>
      <c r="W329" s="60"/>
      <c r="X329" s="60">
        <v>5221</v>
      </c>
      <c r="Y329" s="60">
        <v>4703</v>
      </c>
      <c r="Z329" s="60">
        <v>8616</v>
      </c>
      <c r="AA329" s="60">
        <v>6128</v>
      </c>
      <c r="AB329" s="60">
        <v>5554</v>
      </c>
      <c r="AC329" s="60">
        <v>4963</v>
      </c>
      <c r="AD329" s="60">
        <v>2843</v>
      </c>
      <c r="AE329" s="60">
        <v>1841</v>
      </c>
      <c r="AF329" s="60">
        <v>1677</v>
      </c>
      <c r="AG329" s="60">
        <v>1554</v>
      </c>
      <c r="AH329" s="60">
        <v>3</v>
      </c>
      <c r="AI329" s="60">
        <v>2501</v>
      </c>
      <c r="AJ329" s="60">
        <v>1623</v>
      </c>
      <c r="AK329" s="60">
        <v>8934</v>
      </c>
      <c r="AL329" s="60">
        <v>250</v>
      </c>
      <c r="AM329" s="60">
        <v>331</v>
      </c>
      <c r="AN329" s="60">
        <v>32</v>
      </c>
      <c r="AO329" s="60">
        <v>29432</v>
      </c>
      <c r="AP329" s="60">
        <v>310</v>
      </c>
      <c r="AQ329" s="60">
        <v>2224</v>
      </c>
      <c r="AR329" s="60">
        <v>10</v>
      </c>
      <c r="AS329" s="60">
        <v>80</v>
      </c>
      <c r="AT329" s="60">
        <v>68</v>
      </c>
      <c r="AU329" s="60">
        <v>4</v>
      </c>
      <c r="AV329" s="60">
        <v>2</v>
      </c>
      <c r="AW329" s="60"/>
      <c r="AX329" s="60">
        <v>80</v>
      </c>
      <c r="AY329" s="60">
        <v>316</v>
      </c>
      <c r="AZ329" s="60">
        <v>120</v>
      </c>
      <c r="BA329" s="60">
        <v>39736</v>
      </c>
      <c r="BB329" s="60">
        <v>153</v>
      </c>
      <c r="BC329" s="60"/>
      <c r="BD329" s="60"/>
      <c r="BE329" s="60">
        <v>20602</v>
      </c>
      <c r="BF329" s="60">
        <v>6418</v>
      </c>
      <c r="BG329" s="60">
        <v>1552</v>
      </c>
      <c r="BH329" s="60">
        <v>5266</v>
      </c>
      <c r="BI329" s="60">
        <v>9265</v>
      </c>
      <c r="BJ329" s="60">
        <v>1160</v>
      </c>
      <c r="BK329" s="60">
        <v>151</v>
      </c>
      <c r="BL329" s="60">
        <v>788</v>
      </c>
      <c r="BM329" s="60">
        <v>11</v>
      </c>
      <c r="BN329" s="60">
        <v>2262</v>
      </c>
      <c r="BO329" s="60">
        <v>482</v>
      </c>
      <c r="BP329" s="60">
        <v>2565</v>
      </c>
      <c r="BQ329" s="60">
        <v>456</v>
      </c>
      <c r="BR329" s="60">
        <v>8996</v>
      </c>
      <c r="BS329" s="60">
        <v>3348</v>
      </c>
      <c r="BT329" s="60">
        <v>46</v>
      </c>
      <c r="BU329" s="60">
        <v>2045</v>
      </c>
      <c r="BV329" s="60">
        <v>2262</v>
      </c>
      <c r="BW329" s="60">
        <v>51</v>
      </c>
      <c r="BX329" s="60">
        <v>1139</v>
      </c>
      <c r="BY329" s="60">
        <v>3429</v>
      </c>
      <c r="BZ329" s="60">
        <v>1711</v>
      </c>
      <c r="CA329" s="60">
        <v>12201</v>
      </c>
      <c r="CB329" s="60"/>
      <c r="CC329" s="60"/>
      <c r="CD329" s="60">
        <v>2615</v>
      </c>
      <c r="CE329" s="60">
        <v>239</v>
      </c>
      <c r="CF329" s="60">
        <v>248</v>
      </c>
      <c r="CG329" s="60">
        <v>37</v>
      </c>
      <c r="CH329" s="60">
        <v>437</v>
      </c>
      <c r="CI329" s="60">
        <v>11</v>
      </c>
      <c r="CJ329" s="60">
        <v>87</v>
      </c>
      <c r="CK329" s="60">
        <v>361</v>
      </c>
      <c r="CL329" s="60">
        <v>32796</v>
      </c>
      <c r="CM329" s="60">
        <v>4320</v>
      </c>
      <c r="CN329" s="60">
        <v>189</v>
      </c>
      <c r="CO329" s="60">
        <v>1172</v>
      </c>
      <c r="CP329" s="60">
        <v>160</v>
      </c>
      <c r="CQ329" s="60">
        <v>211</v>
      </c>
      <c r="CR329" s="60">
        <v>220</v>
      </c>
      <c r="CS329" s="60"/>
      <c r="CT329" s="60">
        <v>43103</v>
      </c>
      <c r="CU329" s="60">
        <v>585</v>
      </c>
      <c r="CV329" s="60">
        <v>40909</v>
      </c>
      <c r="CW329" s="60">
        <v>1609</v>
      </c>
      <c r="CX329" s="60">
        <v>4347</v>
      </c>
      <c r="CY329" s="60">
        <v>3983</v>
      </c>
      <c r="CZ329" s="60"/>
      <c r="DA329" s="60"/>
      <c r="DB329" s="60">
        <v>166</v>
      </c>
      <c r="DC329" s="60">
        <v>497</v>
      </c>
      <c r="DD329" s="60">
        <v>529</v>
      </c>
      <c r="DE329" s="60">
        <v>886</v>
      </c>
      <c r="DF329" s="60">
        <v>1463</v>
      </c>
      <c r="DG329" s="60">
        <v>1543</v>
      </c>
      <c r="DH329" s="60">
        <v>1457</v>
      </c>
      <c r="DI329" s="60">
        <v>1626</v>
      </c>
      <c r="DJ329" s="60">
        <v>69</v>
      </c>
      <c r="DK329" s="60">
        <v>93</v>
      </c>
      <c r="DL329" s="60">
        <v>1</v>
      </c>
      <c r="DM329" s="60">
        <v>679</v>
      </c>
      <c r="DN329" s="60">
        <v>243</v>
      </c>
      <c r="DO329" s="60">
        <v>1097</v>
      </c>
      <c r="DP329" s="60">
        <v>145</v>
      </c>
      <c r="DQ329" s="60">
        <v>8</v>
      </c>
      <c r="DR329" s="60">
        <v>6113</v>
      </c>
      <c r="DS329" s="60">
        <v>45</v>
      </c>
      <c r="DT329" s="60">
        <v>95</v>
      </c>
      <c r="DU329" s="60">
        <v>239</v>
      </c>
      <c r="DV329" s="60">
        <v>287</v>
      </c>
      <c r="DW329" s="60">
        <v>1123</v>
      </c>
      <c r="DX329" s="60">
        <v>141</v>
      </c>
      <c r="DY329" s="60"/>
      <c r="DZ329" s="60"/>
      <c r="EA329" s="60">
        <v>5190</v>
      </c>
      <c r="EB329" s="60">
        <v>1245</v>
      </c>
      <c r="EC329" s="60">
        <v>10</v>
      </c>
      <c r="ED329" s="60">
        <v>0</v>
      </c>
      <c r="EE329" s="60">
        <v>0</v>
      </c>
      <c r="EF329" s="60">
        <v>0</v>
      </c>
      <c r="EG329" s="60">
        <v>0</v>
      </c>
      <c r="EH329" s="60">
        <v>0</v>
      </c>
      <c r="EI329" s="60">
        <v>1840</v>
      </c>
      <c r="EJ329" s="60">
        <v>4409</v>
      </c>
      <c r="EK329" s="60">
        <v>211</v>
      </c>
      <c r="EL329" s="60">
        <v>965</v>
      </c>
      <c r="EM329" s="60">
        <v>905</v>
      </c>
      <c r="EN329" s="60">
        <v>84</v>
      </c>
      <c r="EO329" s="60">
        <v>104</v>
      </c>
      <c r="EP329" s="60">
        <v>1552</v>
      </c>
      <c r="EQ329" s="60">
        <v>3</v>
      </c>
      <c r="ER329" s="60">
        <v>1358</v>
      </c>
      <c r="ES329" s="60">
        <v>414</v>
      </c>
      <c r="ET329" s="60">
        <v>602</v>
      </c>
      <c r="EU329" s="60">
        <v>516</v>
      </c>
      <c r="EV329" s="60">
        <v>876</v>
      </c>
      <c r="EW329" s="60">
        <v>157</v>
      </c>
      <c r="EX329" s="60">
        <v>165</v>
      </c>
      <c r="EY329" s="60">
        <v>208</v>
      </c>
      <c r="EZ329" s="60"/>
      <c r="FA329" s="60">
        <v>121</v>
      </c>
      <c r="FB329" s="60">
        <v>1235</v>
      </c>
      <c r="FC329" s="60">
        <v>349</v>
      </c>
      <c r="FD329" s="60">
        <v>579</v>
      </c>
      <c r="FE329" s="60"/>
      <c r="FF329" s="60">
        <v>7</v>
      </c>
      <c r="FG329" s="60"/>
      <c r="FH329" s="60">
        <v>500</v>
      </c>
      <c r="FI329" s="60">
        <v>106</v>
      </c>
      <c r="FJ329" s="60">
        <v>584</v>
      </c>
      <c r="FK329" s="60">
        <v>38</v>
      </c>
      <c r="FL329" s="60">
        <v>37</v>
      </c>
      <c r="FM329" s="60">
        <v>374</v>
      </c>
      <c r="FN329" s="60">
        <v>30</v>
      </c>
      <c r="FO329" s="60">
        <v>6359</v>
      </c>
      <c r="FP329" s="60">
        <v>127</v>
      </c>
      <c r="FQ329" s="60">
        <v>14</v>
      </c>
      <c r="FR329" s="60">
        <v>89</v>
      </c>
      <c r="FS329" s="60">
        <v>43</v>
      </c>
      <c r="FT329" s="60">
        <v>10</v>
      </c>
      <c r="FU329" s="60">
        <v>15</v>
      </c>
      <c r="FV329" s="60">
        <v>4</v>
      </c>
      <c r="FW329" s="60"/>
      <c r="FX329" s="60">
        <v>8330</v>
      </c>
      <c r="FY329" s="60">
        <v>422</v>
      </c>
      <c r="FZ329" s="60">
        <v>7549</v>
      </c>
      <c r="GA329" s="60">
        <v>359</v>
      </c>
      <c r="GB329" s="60">
        <v>2011</v>
      </c>
    </row>
    <row r="330" spans="1:184" x14ac:dyDescent="0.3">
      <c r="A330" s="53"/>
      <c r="B330" s="54"/>
      <c r="C330" s="54"/>
      <c r="D330" s="54"/>
      <c r="E330" s="54"/>
      <c r="F330" s="54"/>
      <c r="G330" s="54"/>
      <c r="H330" s="54"/>
      <c r="I330" s="54"/>
      <c r="J330" s="54"/>
      <c r="K330" s="54"/>
      <c r="L330" s="54"/>
      <c r="M330" s="54"/>
      <c r="N330" s="54"/>
      <c r="O330" s="54"/>
      <c r="P330" s="54"/>
      <c r="Q330" s="54"/>
      <c r="R330" s="54"/>
      <c r="S330" s="54"/>
      <c r="T330" s="54"/>
      <c r="U330" s="54"/>
      <c r="V330" s="54"/>
      <c r="W330" s="54"/>
      <c r="X330" s="53"/>
      <c r="Y330" s="53"/>
      <c r="Z330" s="53"/>
      <c r="AA330" s="53"/>
      <c r="AB330" s="53"/>
      <c r="AC330" s="53"/>
      <c r="AD330" s="53"/>
      <c r="AE330" s="53"/>
      <c r="AF330" s="53"/>
      <c r="AG330" s="53"/>
      <c r="AH330" s="53"/>
      <c r="AI330" s="53"/>
      <c r="AJ330" s="53"/>
      <c r="AK330" s="53"/>
      <c r="AL330" s="53"/>
      <c r="AM330" s="53"/>
      <c r="AN330" s="53"/>
      <c r="AO330" s="53"/>
      <c r="AP330" s="53"/>
      <c r="AQ330" s="53"/>
      <c r="AR330" s="53"/>
      <c r="AS330" s="53"/>
      <c r="AT330" s="53"/>
      <c r="AU330" s="53"/>
      <c r="AV330" s="53"/>
      <c r="AW330" s="53"/>
      <c r="AX330" s="53"/>
      <c r="AY330" s="53"/>
      <c r="AZ330" s="53"/>
      <c r="BA330" s="53"/>
      <c r="BB330" s="53"/>
      <c r="BC330" s="53"/>
      <c r="BD330" s="53"/>
      <c r="BE330" s="53"/>
      <c r="BF330" s="53"/>
      <c r="BG330" s="53"/>
      <c r="BH330" s="53"/>
      <c r="BI330" s="53"/>
      <c r="BJ330" s="53"/>
      <c r="BK330" s="53"/>
      <c r="BL330" s="53"/>
      <c r="BM330" s="53"/>
      <c r="BN330" s="53"/>
      <c r="BO330" s="53"/>
      <c r="BP330" s="53"/>
      <c r="BQ330" s="53"/>
      <c r="BR330" s="53"/>
      <c r="BS330" s="53"/>
      <c r="BT330" s="53"/>
      <c r="BU330" s="53"/>
      <c r="BV330" s="53"/>
      <c r="BW330" s="53"/>
      <c r="BX330" s="53"/>
      <c r="BY330" s="53"/>
      <c r="BZ330" s="53"/>
      <c r="CA330" s="53"/>
      <c r="CB330" s="53"/>
      <c r="CC330" s="53"/>
      <c r="CD330" s="53"/>
      <c r="CE330" s="53"/>
      <c r="CF330" s="53"/>
      <c r="CG330" s="53"/>
      <c r="CH330" s="53"/>
      <c r="CI330" s="53"/>
      <c r="CJ330" s="53"/>
      <c r="CK330" s="53"/>
      <c r="CL330" s="53"/>
      <c r="CM330" s="53"/>
      <c r="CN330" s="53"/>
      <c r="CO330" s="53"/>
      <c r="CP330" s="53"/>
      <c r="CQ330" s="53"/>
      <c r="CR330" s="53"/>
      <c r="CS330" s="53"/>
      <c r="CT330" s="53"/>
      <c r="CU330" s="53"/>
      <c r="CV330" s="53"/>
      <c r="CW330" s="53"/>
      <c r="CX330" s="53"/>
      <c r="CY330" s="53"/>
      <c r="CZ330" s="53"/>
      <c r="DA330" s="53"/>
      <c r="DB330" s="53"/>
      <c r="DC330" s="53"/>
      <c r="DD330" s="53"/>
      <c r="DE330" s="53"/>
      <c r="DF330" s="53"/>
      <c r="DG330" s="53"/>
      <c r="DH330" s="53"/>
      <c r="DI330" s="53"/>
      <c r="DJ330" s="53"/>
      <c r="DK330" s="53"/>
      <c r="DL330" s="53"/>
      <c r="DM330" s="53"/>
      <c r="DN330" s="53"/>
      <c r="DO330" s="53"/>
      <c r="DP330" s="53"/>
      <c r="DQ330" s="53"/>
      <c r="DR330" s="53"/>
      <c r="DS330" s="53"/>
      <c r="DT330" s="53"/>
      <c r="DU330" s="53"/>
      <c r="DV330" s="53"/>
      <c r="DW330" s="53"/>
      <c r="DX330" s="53"/>
      <c r="DY330" s="53"/>
      <c r="DZ330" s="53"/>
      <c r="EA330" s="53"/>
      <c r="EB330" s="53"/>
      <c r="EC330" s="53"/>
      <c r="ED330" s="53"/>
      <c r="EE330" s="53"/>
      <c r="EF330" s="53"/>
      <c r="EG330" s="53"/>
      <c r="EH330" s="53"/>
      <c r="EI330" s="53"/>
      <c r="EJ330" s="53"/>
      <c r="EK330" s="53"/>
      <c r="EL330" s="53"/>
      <c r="EM330" s="53"/>
      <c r="EN330" s="53"/>
      <c r="EO330" s="53"/>
      <c r="EP330" s="53"/>
      <c r="EQ330" s="53"/>
      <c r="ER330" s="53"/>
      <c r="ES330" s="53"/>
      <c r="ET330" s="53"/>
      <c r="EU330" s="53"/>
      <c r="EV330" s="56"/>
      <c r="EW330" s="53"/>
      <c r="EX330" s="53"/>
      <c r="EY330" s="53"/>
      <c r="EZ330" s="53"/>
      <c r="FA330" s="53"/>
      <c r="FB330" s="53"/>
      <c r="FC330" s="53"/>
      <c r="FD330" s="53"/>
      <c r="FE330" s="53"/>
      <c r="FF330" s="53"/>
      <c r="FG330" s="53"/>
      <c r="FH330" s="53"/>
      <c r="FI330" s="53"/>
      <c r="FJ330" s="53"/>
      <c r="FK330" s="53"/>
      <c r="FL330" s="53"/>
      <c r="FM330" s="53"/>
      <c r="FN330" s="53"/>
      <c r="FO330" s="53"/>
      <c r="FP330" s="53"/>
      <c r="FQ330" s="53"/>
      <c r="FR330" s="53"/>
      <c r="FS330" s="53"/>
      <c r="FT330" s="53"/>
      <c r="FU330" s="53"/>
      <c r="FV330" s="53"/>
      <c r="FW330" s="53"/>
      <c r="FX330" s="53"/>
      <c r="FY330" s="53"/>
      <c r="FZ330" s="53"/>
      <c r="GA330" s="53"/>
      <c r="GB330" s="53"/>
    </row>
    <row r="331" spans="1:184" x14ac:dyDescent="0.3">
      <c r="A331" s="53"/>
      <c r="B331" s="54"/>
      <c r="C331" s="54"/>
      <c r="D331" s="54"/>
      <c r="E331" s="54"/>
      <c r="F331" s="54"/>
      <c r="G331" s="54"/>
      <c r="H331" s="54"/>
      <c r="I331" s="54"/>
      <c r="J331" s="54"/>
      <c r="K331" s="54"/>
      <c r="L331" s="54"/>
      <c r="M331" s="54"/>
      <c r="N331" s="54"/>
      <c r="O331" s="54"/>
      <c r="P331" s="54"/>
      <c r="Q331" s="54"/>
      <c r="R331" s="54"/>
      <c r="S331" s="54"/>
      <c r="T331" s="54"/>
      <c r="U331" s="54"/>
      <c r="V331" s="54"/>
      <c r="W331" s="54"/>
      <c r="X331" s="53"/>
      <c r="Y331" s="53"/>
      <c r="Z331" s="53"/>
      <c r="AA331" s="53"/>
      <c r="AB331" s="53"/>
      <c r="AC331" s="53"/>
      <c r="AD331" s="53"/>
      <c r="AE331" s="53"/>
      <c r="AF331" s="53"/>
      <c r="AG331" s="53"/>
      <c r="AH331" s="53"/>
      <c r="AI331" s="53"/>
      <c r="AJ331" s="53"/>
      <c r="AK331" s="53"/>
      <c r="AL331" s="53"/>
      <c r="AM331" s="53"/>
      <c r="AN331" s="53"/>
      <c r="AO331" s="53"/>
      <c r="AP331" s="53"/>
      <c r="AQ331" s="53"/>
      <c r="AR331" s="53"/>
      <c r="AS331" s="53"/>
      <c r="AT331" s="53"/>
      <c r="AU331" s="53"/>
      <c r="AV331" s="53"/>
      <c r="AW331" s="53"/>
      <c r="AX331" s="53"/>
      <c r="AY331" s="53"/>
      <c r="AZ331" s="53"/>
      <c r="BA331" s="53"/>
      <c r="BB331" s="53"/>
      <c r="BC331" s="53"/>
      <c r="BD331" s="53"/>
      <c r="BE331" s="53"/>
      <c r="BF331" s="53"/>
      <c r="BG331" s="53"/>
      <c r="BH331" s="53"/>
      <c r="BI331" s="53"/>
      <c r="BJ331" s="53"/>
      <c r="BK331" s="53"/>
      <c r="BL331" s="53"/>
      <c r="BM331" s="53"/>
      <c r="BN331" s="53"/>
      <c r="BO331" s="53"/>
      <c r="BP331" s="53"/>
      <c r="BQ331" s="53"/>
      <c r="BR331" s="53"/>
      <c r="BS331" s="53"/>
      <c r="BT331" s="53"/>
      <c r="BU331" s="53"/>
      <c r="BV331" s="53"/>
      <c r="BW331" s="53"/>
      <c r="BX331" s="53"/>
      <c r="BY331" s="53"/>
      <c r="BZ331" s="53"/>
      <c r="CA331" s="53"/>
      <c r="CB331" s="53"/>
      <c r="CC331" s="53"/>
      <c r="CD331" s="53"/>
      <c r="CE331" s="53"/>
      <c r="CF331" s="53"/>
      <c r="CG331" s="53"/>
      <c r="CH331" s="53"/>
      <c r="CI331" s="53"/>
      <c r="CJ331" s="53"/>
      <c r="CK331" s="53"/>
      <c r="CL331" s="53"/>
      <c r="CM331" s="53"/>
      <c r="CN331" s="53"/>
      <c r="CO331" s="53"/>
      <c r="CP331" s="53"/>
      <c r="CQ331" s="53"/>
      <c r="CR331" s="53"/>
      <c r="CS331" s="53"/>
      <c r="CT331" s="53"/>
      <c r="CU331" s="53"/>
      <c r="CV331" s="53"/>
      <c r="CW331" s="53"/>
      <c r="CX331" s="53"/>
      <c r="CY331" s="53"/>
      <c r="CZ331" s="53"/>
      <c r="DA331" s="53"/>
      <c r="DB331" s="53"/>
      <c r="DC331" s="53"/>
      <c r="DD331" s="53"/>
      <c r="DE331" s="53"/>
      <c r="DF331" s="53"/>
      <c r="DG331" s="53"/>
      <c r="DH331" s="53"/>
      <c r="DI331" s="53"/>
      <c r="DJ331" s="53"/>
      <c r="DK331" s="53"/>
      <c r="DL331" s="53"/>
      <c r="DM331" s="53"/>
      <c r="DN331" s="53"/>
      <c r="DO331" s="53"/>
      <c r="DP331" s="53"/>
      <c r="DQ331" s="53"/>
      <c r="DR331" s="53"/>
      <c r="DS331" s="53"/>
      <c r="DT331" s="53"/>
      <c r="DU331" s="53"/>
      <c r="DV331" s="53"/>
      <c r="DW331" s="53"/>
      <c r="DX331" s="53"/>
      <c r="DY331" s="53"/>
      <c r="DZ331" s="53"/>
      <c r="EA331" s="53"/>
      <c r="EB331" s="53"/>
      <c r="EC331" s="53"/>
      <c r="ED331" s="53"/>
      <c r="EE331" s="53"/>
      <c r="EF331" s="53"/>
      <c r="EG331" s="53"/>
      <c r="EH331" s="53"/>
      <c r="EI331" s="53"/>
      <c r="EJ331" s="53"/>
      <c r="EK331" s="53"/>
      <c r="EL331" s="53"/>
      <c r="EM331" s="53"/>
      <c r="EN331" s="53"/>
      <c r="EO331" s="53"/>
      <c r="EP331" s="53"/>
      <c r="EQ331" s="53"/>
      <c r="ER331" s="53"/>
      <c r="ES331" s="53"/>
      <c r="ET331" s="53"/>
      <c r="EU331" s="53"/>
      <c r="EV331" s="56"/>
      <c r="EW331" s="53"/>
      <c r="EX331" s="53"/>
      <c r="EY331" s="53"/>
      <c r="EZ331" s="53"/>
      <c r="FA331" s="53"/>
      <c r="FB331" s="53"/>
      <c r="FC331" s="53"/>
      <c r="FD331" s="53"/>
      <c r="FE331" s="53"/>
      <c r="FF331" s="53"/>
      <c r="FG331" s="53"/>
      <c r="FH331" s="53"/>
      <c r="FI331" s="53"/>
      <c r="FJ331" s="53"/>
      <c r="FK331" s="53"/>
      <c r="FL331" s="53"/>
      <c r="FM331" s="53"/>
      <c r="FN331" s="53"/>
      <c r="FO331" s="53"/>
      <c r="FP331" s="53"/>
      <c r="FQ331" s="53"/>
      <c r="FR331" s="53"/>
      <c r="FS331" s="53"/>
      <c r="FT331" s="53"/>
      <c r="FU331" s="53"/>
      <c r="FV331" s="53"/>
      <c r="FW331" s="53"/>
      <c r="FX331" s="53"/>
      <c r="FY331" s="53"/>
      <c r="FZ331" s="53"/>
      <c r="GA331" s="53"/>
      <c r="GB331" s="53"/>
    </row>
    <row r="332" spans="1:184" x14ac:dyDescent="0.3">
      <c r="A332" s="53"/>
      <c r="B332" s="54"/>
      <c r="C332" s="54"/>
      <c r="D332" s="54"/>
      <c r="E332" s="54"/>
      <c r="F332" s="54"/>
      <c r="G332" s="54"/>
      <c r="H332" s="54"/>
      <c r="I332" s="54"/>
      <c r="J332" s="54"/>
      <c r="K332" s="54"/>
      <c r="L332" s="54"/>
      <c r="M332" s="54"/>
      <c r="N332" s="54"/>
      <c r="O332" s="54"/>
      <c r="P332" s="54"/>
      <c r="Q332" s="54"/>
      <c r="R332" s="54"/>
      <c r="S332" s="54"/>
      <c r="T332" s="54"/>
      <c r="U332" s="54"/>
      <c r="V332" s="54"/>
      <c r="W332" s="54"/>
      <c r="X332" s="53"/>
      <c r="Y332" s="53"/>
      <c r="Z332" s="53"/>
      <c r="AA332" s="53"/>
      <c r="AB332" s="53"/>
      <c r="AC332" s="53"/>
      <c r="AD332" s="53"/>
      <c r="AE332" s="53"/>
      <c r="AF332" s="53"/>
      <c r="AG332" s="53"/>
      <c r="AH332" s="53"/>
      <c r="AI332" s="53"/>
      <c r="AJ332" s="53"/>
      <c r="AK332" s="53"/>
      <c r="AL332" s="53"/>
      <c r="AM332" s="53"/>
      <c r="AN332" s="53"/>
      <c r="AO332" s="53"/>
      <c r="AP332" s="53"/>
      <c r="AQ332" s="53"/>
      <c r="AR332" s="53"/>
      <c r="AS332" s="53"/>
      <c r="AT332" s="53"/>
      <c r="AU332" s="53"/>
      <c r="AV332" s="53"/>
      <c r="AW332" s="53"/>
      <c r="AX332" s="53"/>
      <c r="AY332" s="53"/>
      <c r="AZ332" s="53"/>
      <c r="BA332" s="53"/>
      <c r="BB332" s="53"/>
      <c r="BC332" s="53"/>
      <c r="BD332" s="53"/>
      <c r="BE332" s="53"/>
      <c r="BF332" s="53"/>
      <c r="BG332" s="53"/>
      <c r="BH332" s="53"/>
      <c r="BI332" s="53"/>
      <c r="BJ332" s="53"/>
      <c r="BK332" s="53"/>
      <c r="BL332" s="53"/>
      <c r="BM332" s="53"/>
      <c r="BN332" s="53"/>
      <c r="BO332" s="53"/>
      <c r="BP332" s="53"/>
      <c r="BQ332" s="53"/>
      <c r="BR332" s="53"/>
      <c r="BS332" s="53"/>
      <c r="BT332" s="53"/>
      <c r="BU332" s="53"/>
      <c r="BV332" s="53"/>
      <c r="BW332" s="53"/>
      <c r="BX332" s="53"/>
      <c r="BY332" s="53"/>
      <c r="BZ332" s="53"/>
      <c r="CA332" s="53"/>
      <c r="CB332" s="53"/>
      <c r="CC332" s="53"/>
      <c r="CD332" s="53"/>
      <c r="CE332" s="53"/>
      <c r="CF332" s="53"/>
      <c r="CG332" s="53"/>
      <c r="CH332" s="53"/>
      <c r="CI332" s="53"/>
      <c r="CJ332" s="53"/>
      <c r="CK332" s="53"/>
      <c r="CL332" s="53"/>
      <c r="CM332" s="53"/>
      <c r="CN332" s="53"/>
      <c r="CO332" s="53"/>
      <c r="CP332" s="53"/>
      <c r="CQ332" s="53"/>
      <c r="CR332" s="53"/>
      <c r="CS332" s="53"/>
      <c r="CT332" s="53"/>
      <c r="CU332" s="53"/>
      <c r="CV332" s="53"/>
      <c r="CW332" s="53"/>
      <c r="CX332" s="53"/>
      <c r="CY332" s="53"/>
      <c r="CZ332" s="53"/>
      <c r="DA332" s="53"/>
      <c r="DB332" s="53"/>
      <c r="DC332" s="53"/>
      <c r="DD332" s="53"/>
      <c r="DE332" s="53"/>
      <c r="DF332" s="53"/>
      <c r="DG332" s="53"/>
      <c r="DH332" s="53"/>
      <c r="DI332" s="53"/>
      <c r="DJ332" s="53"/>
      <c r="DK332" s="53"/>
      <c r="DL332" s="53"/>
      <c r="DM332" s="53"/>
      <c r="DN332" s="53"/>
      <c r="DO332" s="53"/>
      <c r="DP332" s="53"/>
      <c r="DQ332" s="53"/>
      <c r="DR332" s="53"/>
      <c r="DS332" s="53"/>
      <c r="DT332" s="53"/>
      <c r="DU332" s="53"/>
      <c r="DV332" s="53"/>
      <c r="DW332" s="53"/>
      <c r="DX332" s="53"/>
      <c r="DY332" s="53"/>
      <c r="DZ332" s="53"/>
      <c r="EA332" s="53"/>
      <c r="EB332" s="53"/>
      <c r="EC332" s="53"/>
      <c r="ED332" s="53"/>
      <c r="EE332" s="53"/>
      <c r="EF332" s="53"/>
      <c r="EG332" s="53"/>
      <c r="EH332" s="53"/>
      <c r="EI332" s="53"/>
      <c r="EJ332" s="53"/>
      <c r="EK332" s="53"/>
      <c r="EL332" s="53"/>
      <c r="EM332" s="53"/>
      <c r="EN332" s="53"/>
      <c r="EO332" s="53"/>
      <c r="EP332" s="53"/>
      <c r="EQ332" s="53"/>
      <c r="ER332" s="53"/>
      <c r="ES332" s="53"/>
      <c r="ET332" s="53"/>
      <c r="EU332" s="53"/>
      <c r="EV332" s="56"/>
      <c r="EW332" s="53"/>
      <c r="EX332" s="53"/>
      <c r="EY332" s="53"/>
      <c r="EZ332" s="53"/>
      <c r="FA332" s="53"/>
      <c r="FB332" s="53"/>
      <c r="FC332" s="53"/>
      <c r="FD332" s="53"/>
      <c r="FE332" s="53"/>
      <c r="FF332" s="53"/>
      <c r="FG332" s="53"/>
      <c r="FH332" s="53"/>
      <c r="FI332" s="53"/>
      <c r="FJ332" s="53"/>
      <c r="FK332" s="53"/>
      <c r="FL332" s="53"/>
      <c r="FM332" s="53"/>
      <c r="FN332" s="53"/>
      <c r="FO332" s="53"/>
      <c r="FP332" s="53"/>
      <c r="FQ332" s="53"/>
      <c r="FR332" s="53"/>
      <c r="FS332" s="53"/>
      <c r="FT332" s="53"/>
      <c r="FU332" s="53"/>
      <c r="FV332" s="53"/>
      <c r="FW332" s="53"/>
      <c r="FX332" s="53"/>
      <c r="FY332" s="53"/>
      <c r="FZ332" s="53"/>
      <c r="GA332" s="53"/>
      <c r="GB332" s="53"/>
    </row>
    <row r="333" spans="1:184" x14ac:dyDescent="0.3">
      <c r="A333" s="53"/>
      <c r="B333" s="54"/>
      <c r="C333" s="54"/>
      <c r="D333" s="54"/>
      <c r="E333" s="54"/>
      <c r="F333" s="54"/>
      <c r="G333" s="54"/>
      <c r="H333" s="54"/>
      <c r="I333" s="54"/>
      <c r="J333" s="54"/>
      <c r="K333" s="54"/>
      <c r="L333" s="54"/>
      <c r="M333" s="54"/>
      <c r="N333" s="54"/>
      <c r="O333" s="54"/>
      <c r="P333" s="54"/>
      <c r="Q333" s="54"/>
      <c r="R333" s="54"/>
      <c r="S333" s="54"/>
      <c r="T333" s="54"/>
      <c r="U333" s="54"/>
      <c r="V333" s="54"/>
      <c r="W333" s="54"/>
      <c r="X333" s="53"/>
      <c r="Y333" s="53"/>
      <c r="Z333" s="53"/>
      <c r="AA333" s="53"/>
      <c r="AB333" s="53"/>
      <c r="AC333" s="53"/>
      <c r="AD333" s="53"/>
      <c r="AE333" s="53"/>
      <c r="AF333" s="53"/>
      <c r="AG333" s="53"/>
      <c r="AH333" s="53"/>
      <c r="AI333" s="53"/>
      <c r="AJ333" s="53"/>
      <c r="AK333" s="53"/>
      <c r="AL333" s="53"/>
      <c r="AM333" s="53"/>
      <c r="AN333" s="53"/>
      <c r="AO333" s="53"/>
      <c r="AP333" s="53"/>
      <c r="AQ333" s="53"/>
      <c r="AR333" s="53"/>
      <c r="AS333" s="53"/>
      <c r="AT333" s="53"/>
      <c r="AU333" s="53"/>
      <c r="AV333" s="53"/>
      <c r="AW333" s="53"/>
      <c r="AX333" s="53"/>
      <c r="AY333" s="53"/>
      <c r="AZ333" s="53"/>
      <c r="BA333" s="53"/>
      <c r="BB333" s="53"/>
      <c r="BC333" s="53"/>
      <c r="BD333" s="53"/>
      <c r="BE333" s="53"/>
      <c r="BF333" s="53"/>
      <c r="BG333" s="53"/>
      <c r="BH333" s="53"/>
      <c r="BI333" s="53"/>
      <c r="BJ333" s="53"/>
      <c r="BK333" s="53"/>
      <c r="BL333" s="53"/>
      <c r="BM333" s="53"/>
      <c r="BN333" s="53"/>
      <c r="BO333" s="53"/>
      <c r="BP333" s="53"/>
      <c r="BQ333" s="53"/>
      <c r="BR333" s="53"/>
      <c r="BS333" s="53"/>
      <c r="BT333" s="53"/>
      <c r="BU333" s="53"/>
      <c r="BV333" s="53"/>
      <c r="BW333" s="53"/>
      <c r="BX333" s="53"/>
      <c r="BY333" s="53"/>
      <c r="BZ333" s="53"/>
      <c r="CA333" s="53"/>
      <c r="CB333" s="53"/>
      <c r="CC333" s="53"/>
      <c r="CD333" s="53"/>
      <c r="CE333" s="53"/>
      <c r="CF333" s="53"/>
      <c r="CG333" s="53"/>
      <c r="CH333" s="53"/>
      <c r="CI333" s="53"/>
      <c r="CJ333" s="53"/>
      <c r="CK333" s="53"/>
      <c r="CL333" s="53"/>
      <c r="CM333" s="53"/>
      <c r="CN333" s="53"/>
      <c r="CO333" s="53"/>
      <c r="CP333" s="53"/>
      <c r="CQ333" s="53"/>
      <c r="CR333" s="53"/>
      <c r="CS333" s="53"/>
      <c r="CT333" s="53"/>
      <c r="CU333" s="53"/>
      <c r="CV333" s="53"/>
      <c r="CW333" s="53"/>
      <c r="CX333" s="53"/>
      <c r="CY333" s="53"/>
      <c r="CZ333" s="53"/>
      <c r="DA333" s="53"/>
      <c r="DB333" s="53"/>
      <c r="DC333" s="53"/>
      <c r="DD333" s="53"/>
      <c r="DE333" s="53"/>
      <c r="DF333" s="53"/>
      <c r="DG333" s="53"/>
      <c r="DH333" s="53"/>
      <c r="DI333" s="53"/>
      <c r="DJ333" s="53"/>
      <c r="DK333" s="53"/>
      <c r="DL333" s="53"/>
      <c r="DM333" s="53"/>
      <c r="DN333" s="53"/>
      <c r="DO333" s="53"/>
      <c r="DP333" s="53"/>
      <c r="DQ333" s="53"/>
      <c r="DR333" s="53"/>
      <c r="DS333" s="53"/>
      <c r="DT333" s="53"/>
      <c r="DU333" s="53"/>
      <c r="DV333" s="53"/>
      <c r="DW333" s="53"/>
      <c r="DX333" s="53"/>
      <c r="DY333" s="53"/>
      <c r="DZ333" s="53"/>
      <c r="EA333" s="53"/>
      <c r="EB333" s="53"/>
      <c r="EC333" s="53"/>
      <c r="ED333" s="53"/>
      <c r="EE333" s="53"/>
      <c r="EF333" s="53"/>
      <c r="EG333" s="53"/>
      <c r="EH333" s="53"/>
      <c r="EI333" s="53"/>
      <c r="EJ333" s="53"/>
      <c r="EK333" s="53"/>
      <c r="EL333" s="53"/>
      <c r="EM333" s="53"/>
      <c r="EN333" s="53"/>
      <c r="EO333" s="53"/>
      <c r="EP333" s="53"/>
      <c r="EQ333" s="53"/>
      <c r="ER333" s="53"/>
      <c r="ES333" s="53"/>
      <c r="ET333" s="53"/>
      <c r="EU333" s="53"/>
      <c r="EV333" s="56"/>
      <c r="EW333" s="53"/>
      <c r="EX333" s="53"/>
      <c r="EY333" s="53"/>
      <c r="EZ333" s="53"/>
      <c r="FA333" s="53"/>
      <c r="FB333" s="53"/>
      <c r="FC333" s="53"/>
      <c r="FD333" s="53"/>
      <c r="FE333" s="53"/>
      <c r="FF333" s="53"/>
      <c r="FG333" s="53"/>
      <c r="FH333" s="53"/>
      <c r="FI333" s="53"/>
      <c r="FJ333" s="53"/>
      <c r="FK333" s="53"/>
      <c r="FL333" s="53"/>
      <c r="FM333" s="53"/>
      <c r="FN333" s="53"/>
      <c r="FO333" s="53"/>
      <c r="FP333" s="53"/>
      <c r="FQ333" s="53"/>
      <c r="FR333" s="53"/>
      <c r="FS333" s="53"/>
      <c r="FT333" s="53"/>
      <c r="FU333" s="53"/>
      <c r="FV333" s="53"/>
      <c r="FW333" s="53"/>
      <c r="FX333" s="53"/>
      <c r="FY333" s="53"/>
      <c r="FZ333" s="53"/>
      <c r="GA333" s="53"/>
      <c r="GB333" s="53"/>
    </row>
  </sheetData>
  <sortState xmlns:xlrd2="http://schemas.microsoft.com/office/spreadsheetml/2017/richdata2" ref="A2:HD334">
    <sortCondition ref="D2:D334"/>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100"/>
  <sheetViews>
    <sheetView workbookViewId="0">
      <selection sqref="A1:C1"/>
    </sheetView>
  </sheetViews>
  <sheetFormatPr defaultRowHeight="14.4" x14ac:dyDescent="0.3"/>
  <cols>
    <col min="1" max="1" width="36.44140625" customWidth="1"/>
    <col min="2" max="2" width="47.109375" customWidth="1"/>
    <col min="3" max="3" width="40.6640625" customWidth="1"/>
  </cols>
  <sheetData>
    <row r="1" spans="1:3" s="49" customFormat="1" x14ac:dyDescent="0.3">
      <c r="A1" s="86" t="s">
        <v>1485</v>
      </c>
      <c r="B1" s="86"/>
      <c r="C1" s="86"/>
    </row>
    <row r="2" spans="1:3" s="49" customFormat="1" ht="15" customHeight="1" x14ac:dyDescent="0.3">
      <c r="A2" s="86" t="s">
        <v>1486</v>
      </c>
      <c r="B2" s="86"/>
      <c r="C2" s="86"/>
    </row>
    <row r="3" spans="1:3" s="49" customFormat="1" ht="15" customHeight="1" x14ac:dyDescent="0.3">
      <c r="A3" s="86" t="s">
        <v>1644</v>
      </c>
      <c r="B3" s="86"/>
      <c r="C3" s="86"/>
    </row>
    <row r="4" spans="1:3" s="49" customFormat="1" x14ac:dyDescent="0.3">
      <c r="A4" s="85"/>
      <c r="B4" s="85"/>
    </row>
    <row r="5" spans="1:3" s="49" customFormat="1" x14ac:dyDescent="0.3">
      <c r="A5" s="17"/>
      <c r="B5" s="17"/>
    </row>
    <row r="6" spans="1:3" s="49" customFormat="1" ht="66.75" customHeight="1" x14ac:dyDescent="0.3">
      <c r="A6" s="85" t="s">
        <v>1560</v>
      </c>
      <c r="B6" s="85"/>
      <c r="C6" s="85"/>
    </row>
    <row r="7" spans="1:3" ht="15" customHeight="1" x14ac:dyDescent="0.3">
      <c r="A7" s="87" t="s">
        <v>1487</v>
      </c>
      <c r="B7" s="87"/>
      <c r="C7" s="87"/>
    </row>
    <row r="8" spans="1:3" x14ac:dyDescent="0.3">
      <c r="A8" s="74"/>
      <c r="B8" s="84"/>
      <c r="C8" s="50"/>
    </row>
    <row r="9" spans="1:3" s="52" customFormat="1" ht="43.5" customHeight="1" x14ac:dyDescent="0.3">
      <c r="A9" s="77" t="s">
        <v>1488</v>
      </c>
      <c r="B9" s="78"/>
      <c r="C9" s="79"/>
    </row>
    <row r="10" spans="1:3" s="52" customFormat="1" ht="21.6" customHeight="1" x14ac:dyDescent="0.3">
      <c r="A10" s="77" t="s">
        <v>1489</v>
      </c>
      <c r="B10" s="78"/>
      <c r="C10" s="79"/>
    </row>
    <row r="11" spans="1:3" s="52" customFormat="1" ht="15" customHeight="1" x14ac:dyDescent="0.3">
      <c r="A11" s="77" t="s">
        <v>1614</v>
      </c>
      <c r="B11" s="78"/>
      <c r="C11" s="79"/>
    </row>
    <row r="12" spans="1:3" s="52" customFormat="1" ht="64.5" customHeight="1" x14ac:dyDescent="0.3">
      <c r="A12" s="77" t="s">
        <v>1561</v>
      </c>
      <c r="B12" s="78"/>
      <c r="C12" s="79"/>
    </row>
    <row r="13" spans="1:3" x14ac:dyDescent="0.3">
      <c r="A13" s="82"/>
      <c r="B13" s="76"/>
      <c r="C13" s="51"/>
    </row>
    <row r="14" spans="1:3" x14ac:dyDescent="0.3">
      <c r="A14" s="80"/>
      <c r="B14" s="80"/>
    </row>
    <row r="15" spans="1:3" x14ac:dyDescent="0.3">
      <c r="A15" s="80"/>
      <c r="B15" s="80"/>
    </row>
    <row r="16" spans="1:3" x14ac:dyDescent="0.3">
      <c r="A16" s="83" t="s">
        <v>1490</v>
      </c>
      <c r="B16" s="83"/>
    </row>
    <row r="17" spans="1:2" ht="37.200000000000003" customHeight="1" x14ac:dyDescent="0.3">
      <c r="A17" s="81" t="s">
        <v>1491</v>
      </c>
      <c r="B17" s="81"/>
    </row>
    <row r="18" spans="1:2" x14ac:dyDescent="0.3">
      <c r="A18" s="76"/>
      <c r="B18" s="76"/>
    </row>
    <row r="19" spans="1:2" x14ac:dyDescent="0.3">
      <c r="A19" s="18" t="s">
        <v>1492</v>
      </c>
      <c r="B19" s="72" t="s">
        <v>1493</v>
      </c>
    </row>
    <row r="20" spans="1:2" ht="19.2" x14ac:dyDescent="0.3">
      <c r="A20" s="20" t="s">
        <v>1494</v>
      </c>
      <c r="B20" s="73"/>
    </row>
    <row r="21" spans="1:2" x14ac:dyDescent="0.3">
      <c r="A21" s="21"/>
      <c r="B21" s="21"/>
    </row>
    <row r="22" spans="1:2" x14ac:dyDescent="0.3">
      <c r="A22" s="22" t="s">
        <v>1447</v>
      </c>
      <c r="B22" s="23" t="s">
        <v>1495</v>
      </c>
    </row>
    <row r="23" spans="1:2" x14ac:dyDescent="0.3">
      <c r="A23" s="22" t="s">
        <v>1448</v>
      </c>
      <c r="B23" s="23" t="s">
        <v>1496</v>
      </c>
    </row>
    <row r="24" spans="1:2" x14ac:dyDescent="0.3">
      <c r="A24" s="22" t="s">
        <v>1449</v>
      </c>
      <c r="B24" s="23" t="s">
        <v>1497</v>
      </c>
    </row>
    <row r="25" spans="1:2" x14ac:dyDescent="0.3">
      <c r="A25" s="22" t="s">
        <v>1450</v>
      </c>
      <c r="B25" s="23" t="s">
        <v>1498</v>
      </c>
    </row>
    <row r="26" spans="1:2" x14ac:dyDescent="0.3">
      <c r="A26" s="22" t="s">
        <v>1451</v>
      </c>
      <c r="B26" s="23" t="s">
        <v>1499</v>
      </c>
    </row>
    <row r="27" spans="1:2" x14ac:dyDescent="0.3">
      <c r="A27" s="22" t="s">
        <v>1452</v>
      </c>
      <c r="B27" s="23" t="s">
        <v>1500</v>
      </c>
    </row>
    <row r="28" spans="1:2" x14ac:dyDescent="0.3">
      <c r="A28" s="22" t="s">
        <v>1453</v>
      </c>
      <c r="B28" s="23" t="s">
        <v>1501</v>
      </c>
    </row>
    <row r="29" spans="1:2" x14ac:dyDescent="0.3">
      <c r="A29" s="22" t="s">
        <v>1454</v>
      </c>
      <c r="B29" s="23" t="s">
        <v>1502</v>
      </c>
    </row>
    <row r="30" spans="1:2" x14ac:dyDescent="0.3">
      <c r="A30" s="22" t="s">
        <v>1455</v>
      </c>
      <c r="B30" s="23" t="s">
        <v>1503</v>
      </c>
    </row>
    <row r="31" spans="1:2" x14ac:dyDescent="0.3">
      <c r="A31" s="22" t="s">
        <v>1456</v>
      </c>
      <c r="B31" s="23" t="s">
        <v>1504</v>
      </c>
    </row>
    <row r="32" spans="1:2" x14ac:dyDescent="0.3">
      <c r="A32" s="22" t="s">
        <v>1457</v>
      </c>
      <c r="B32" s="23" t="s">
        <v>1622</v>
      </c>
    </row>
    <row r="33" spans="1:2" x14ac:dyDescent="0.3">
      <c r="A33" s="22" t="s">
        <v>1505</v>
      </c>
      <c r="B33" s="23" t="s">
        <v>1506</v>
      </c>
    </row>
    <row r="34" spans="1:2" x14ac:dyDescent="0.3">
      <c r="A34" s="22" t="s">
        <v>1459</v>
      </c>
      <c r="B34" s="23" t="s">
        <v>1507</v>
      </c>
    </row>
    <row r="35" spans="1:2" x14ac:dyDescent="0.3">
      <c r="A35" s="22" t="s">
        <v>1508</v>
      </c>
      <c r="B35" s="23" t="s">
        <v>1509</v>
      </c>
    </row>
    <row r="36" spans="1:2" x14ac:dyDescent="0.3">
      <c r="A36" s="22" t="s">
        <v>1460</v>
      </c>
      <c r="B36" s="23" t="s">
        <v>1510</v>
      </c>
    </row>
    <row r="37" spans="1:2" x14ac:dyDescent="0.3">
      <c r="A37" s="22" t="s">
        <v>1461</v>
      </c>
      <c r="B37" s="23" t="s">
        <v>1511</v>
      </c>
    </row>
    <row r="38" spans="1:2" x14ac:dyDescent="0.3">
      <c r="A38" s="22" t="s">
        <v>1462</v>
      </c>
      <c r="B38" s="23" t="s">
        <v>1512</v>
      </c>
    </row>
    <row r="39" spans="1:2" x14ac:dyDescent="0.3">
      <c r="A39" s="22" t="s">
        <v>1513</v>
      </c>
      <c r="B39" s="23" t="s">
        <v>1514</v>
      </c>
    </row>
    <row r="40" spans="1:2" x14ac:dyDescent="0.3">
      <c r="A40" s="22" t="s">
        <v>1464</v>
      </c>
      <c r="B40" s="23" t="s">
        <v>1515</v>
      </c>
    </row>
    <row r="41" spans="1:2" x14ac:dyDescent="0.3">
      <c r="A41" s="24"/>
      <c r="B41" s="25"/>
    </row>
    <row r="42" spans="1:2" x14ac:dyDescent="0.3">
      <c r="A42" s="29"/>
      <c r="B42" s="29"/>
    </row>
    <row r="43" spans="1:2" x14ac:dyDescent="0.3">
      <c r="A43" s="26" t="s">
        <v>1483</v>
      </c>
      <c r="B43" s="72" t="s">
        <v>1516</v>
      </c>
    </row>
    <row r="44" spans="1:2" ht="19.2" x14ac:dyDescent="0.3">
      <c r="A44" s="27" t="s">
        <v>1517</v>
      </c>
      <c r="B44" s="73"/>
    </row>
    <row r="45" spans="1:2" x14ac:dyDescent="0.3">
      <c r="A45" s="22"/>
      <c r="B45" s="28"/>
    </row>
    <row r="46" spans="1:2" x14ac:dyDescent="0.3">
      <c r="A46" s="22" t="s">
        <v>1466</v>
      </c>
      <c r="B46" s="23" t="s">
        <v>1518</v>
      </c>
    </row>
    <row r="47" spans="1:2" x14ac:dyDescent="0.3">
      <c r="A47" s="22" t="s">
        <v>1467</v>
      </c>
      <c r="B47" s="23" t="s">
        <v>1519</v>
      </c>
    </row>
    <row r="48" spans="1:2" x14ac:dyDescent="0.3">
      <c r="A48" s="22" t="s">
        <v>1468</v>
      </c>
      <c r="B48" s="23" t="s">
        <v>1520</v>
      </c>
    </row>
    <row r="49" spans="1:2" x14ac:dyDescent="0.3">
      <c r="A49" s="22" t="s">
        <v>1521</v>
      </c>
      <c r="B49" s="23" t="s">
        <v>1522</v>
      </c>
    </row>
    <row r="50" spans="1:2" x14ac:dyDescent="0.3">
      <c r="A50" s="22" t="s">
        <v>1470</v>
      </c>
      <c r="B50" s="23" t="s">
        <v>1523</v>
      </c>
    </row>
    <row r="51" spans="1:2" x14ac:dyDescent="0.3">
      <c r="A51" s="22" t="s">
        <v>1471</v>
      </c>
      <c r="B51" s="23" t="s">
        <v>1524</v>
      </c>
    </row>
    <row r="52" spans="1:2" x14ac:dyDescent="0.3">
      <c r="A52" s="22" t="s">
        <v>1525</v>
      </c>
      <c r="B52" s="23" t="s">
        <v>1526</v>
      </c>
    </row>
    <row r="53" spans="1:2" x14ac:dyDescent="0.3">
      <c r="A53" s="22" t="s">
        <v>1527</v>
      </c>
      <c r="B53" s="23" t="s">
        <v>1528</v>
      </c>
    </row>
    <row r="54" spans="1:2" x14ac:dyDescent="0.3">
      <c r="A54" s="22" t="s">
        <v>1474</v>
      </c>
      <c r="B54" s="23" t="s">
        <v>1529</v>
      </c>
    </row>
    <row r="55" spans="1:2" x14ac:dyDescent="0.3">
      <c r="A55" s="22" t="s">
        <v>1530</v>
      </c>
      <c r="B55" s="23" t="s">
        <v>1531</v>
      </c>
    </row>
    <row r="56" spans="1:2" x14ac:dyDescent="0.3">
      <c r="A56" s="22" t="s">
        <v>1532</v>
      </c>
      <c r="B56" s="23" t="s">
        <v>1533</v>
      </c>
    </row>
    <row r="57" spans="1:2" x14ac:dyDescent="0.3">
      <c r="A57" s="22" t="s">
        <v>1477</v>
      </c>
      <c r="B57" s="23" t="s">
        <v>1534</v>
      </c>
    </row>
    <row r="58" spans="1:2" x14ac:dyDescent="0.3">
      <c r="A58" s="22" t="s">
        <v>1478</v>
      </c>
      <c r="B58" s="23" t="s">
        <v>1535</v>
      </c>
    </row>
    <row r="59" spans="1:2" x14ac:dyDescent="0.3">
      <c r="A59" s="22" t="s">
        <v>1479</v>
      </c>
      <c r="B59" s="23" t="s">
        <v>1536</v>
      </c>
    </row>
    <row r="60" spans="1:2" x14ac:dyDescent="0.3">
      <c r="A60" s="22" t="s">
        <v>1480</v>
      </c>
      <c r="B60" s="23" t="s">
        <v>1537</v>
      </c>
    </row>
    <row r="61" spans="1:2" x14ac:dyDescent="0.3">
      <c r="A61" s="74"/>
      <c r="B61" s="75"/>
    </row>
    <row r="62" spans="1:2" x14ac:dyDescent="0.3">
      <c r="A62" s="19" t="s">
        <v>1431</v>
      </c>
      <c r="B62" s="70" t="s">
        <v>1538</v>
      </c>
    </row>
    <row r="63" spans="1:2" ht="19.2" x14ac:dyDescent="0.3">
      <c r="A63" s="27" t="s">
        <v>1539</v>
      </c>
      <c r="B63" s="71"/>
    </row>
    <row r="64" spans="1:2" x14ac:dyDescent="0.3">
      <c r="A64" s="30"/>
      <c r="B64" s="31"/>
    </row>
    <row r="65" spans="1:3" ht="20.399999999999999" x14ac:dyDescent="0.3">
      <c r="A65" s="32" t="s">
        <v>18</v>
      </c>
      <c r="B65" s="32" t="s">
        <v>1540</v>
      </c>
    </row>
    <row r="66" spans="1:3" ht="20.399999999999999" x14ac:dyDescent="0.3">
      <c r="A66" s="32" t="s">
        <v>15</v>
      </c>
      <c r="B66" s="32" t="s">
        <v>1541</v>
      </c>
    </row>
    <row r="67" spans="1:3" ht="19.2" x14ac:dyDescent="0.3">
      <c r="A67" s="32" t="s">
        <v>16</v>
      </c>
      <c r="B67" s="33" t="s">
        <v>1542</v>
      </c>
    </row>
    <row r="68" spans="1:3" ht="20.399999999999999" x14ac:dyDescent="0.3">
      <c r="A68" s="32" t="s">
        <v>1543</v>
      </c>
      <c r="B68" s="32" t="s">
        <v>1544</v>
      </c>
    </row>
    <row r="69" spans="1:3" ht="20.399999999999999" x14ac:dyDescent="0.3">
      <c r="A69" s="32" t="s">
        <v>1429</v>
      </c>
      <c r="B69" s="32" t="s">
        <v>1545</v>
      </c>
    </row>
    <row r="70" spans="1:3" ht="20.399999999999999" x14ac:dyDescent="0.3">
      <c r="A70" s="32" t="s">
        <v>17</v>
      </c>
      <c r="B70" s="32" t="s">
        <v>1546</v>
      </c>
    </row>
    <row r="71" spans="1:3" ht="20.399999999999999" x14ac:dyDescent="0.3">
      <c r="A71" s="32" t="s">
        <v>1443</v>
      </c>
      <c r="B71" s="32" t="s">
        <v>1547</v>
      </c>
    </row>
    <row r="72" spans="1:3" s="47" customFormat="1" x14ac:dyDescent="0.3">
      <c r="A72" s="48"/>
      <c r="B72" s="48"/>
    </row>
    <row r="74" spans="1:3" x14ac:dyDescent="0.3">
      <c r="A74" s="34" t="s">
        <v>1549</v>
      </c>
      <c r="B74" s="34" t="s">
        <v>1554</v>
      </c>
      <c r="C74" s="35" t="s">
        <v>1559</v>
      </c>
    </row>
    <row r="75" spans="1:3" ht="20.399999999999999" x14ac:dyDescent="0.3">
      <c r="A75" s="36" t="s">
        <v>34</v>
      </c>
      <c r="B75" s="36" t="s">
        <v>1576</v>
      </c>
      <c r="C75" s="37" t="s">
        <v>1577</v>
      </c>
    </row>
    <row r="76" spans="1:3" x14ac:dyDescent="0.3">
      <c r="A76" s="36" t="s">
        <v>33</v>
      </c>
      <c r="B76" s="36" t="s">
        <v>1575</v>
      </c>
      <c r="C76" s="38" t="s">
        <v>1578</v>
      </c>
    </row>
    <row r="77" spans="1:3" ht="40.799999999999997" x14ac:dyDescent="0.3">
      <c r="A77" s="36" t="s">
        <v>35</v>
      </c>
      <c r="B77" s="36" t="s">
        <v>2139</v>
      </c>
      <c r="C77" s="37" t="s">
        <v>1579</v>
      </c>
    </row>
    <row r="78" spans="1:3" ht="20.399999999999999" x14ac:dyDescent="0.3">
      <c r="A78" s="36" t="s">
        <v>36</v>
      </c>
      <c r="B78" s="36" t="s">
        <v>1555</v>
      </c>
      <c r="C78" s="39" t="s">
        <v>1580</v>
      </c>
    </row>
    <row r="79" spans="1:3" ht="30.6" x14ac:dyDescent="0.3">
      <c r="A79" s="36" t="s">
        <v>1548</v>
      </c>
      <c r="B79" s="36" t="s">
        <v>1556</v>
      </c>
      <c r="C79" s="39" t="s">
        <v>1581</v>
      </c>
    </row>
    <row r="80" spans="1:3" x14ac:dyDescent="0.3">
      <c r="A80" s="11" t="s">
        <v>1550</v>
      </c>
    </row>
    <row r="82" spans="1:3" x14ac:dyDescent="0.3">
      <c r="A82" s="34" t="s">
        <v>1551</v>
      </c>
      <c r="B82" s="34" t="s">
        <v>1553</v>
      </c>
      <c r="C82" s="35" t="s">
        <v>1558</v>
      </c>
    </row>
    <row r="83" spans="1:3" ht="102" x14ac:dyDescent="0.3">
      <c r="A83" s="40" t="s">
        <v>19</v>
      </c>
      <c r="B83" s="41" t="s">
        <v>1563</v>
      </c>
      <c r="C83" s="41" t="s">
        <v>1564</v>
      </c>
    </row>
    <row r="84" spans="1:3" x14ac:dyDescent="0.3">
      <c r="A84" s="40" t="s">
        <v>20</v>
      </c>
      <c r="B84" s="41" t="s">
        <v>1582</v>
      </c>
      <c r="C84" s="41" t="s">
        <v>1565</v>
      </c>
    </row>
    <row r="85" spans="1:3" ht="40.799999999999997" x14ac:dyDescent="0.3">
      <c r="A85" s="40" t="s">
        <v>1562</v>
      </c>
      <c r="B85" s="41" t="s">
        <v>1583</v>
      </c>
      <c r="C85" s="41" t="s">
        <v>1557</v>
      </c>
    </row>
    <row r="86" spans="1:3" ht="30.6" x14ac:dyDescent="0.3">
      <c r="A86" s="40" t="s">
        <v>31</v>
      </c>
      <c r="B86" s="41" t="s">
        <v>1584</v>
      </c>
      <c r="C86" s="41" t="s">
        <v>1557</v>
      </c>
    </row>
    <row r="87" spans="1:3" x14ac:dyDescent="0.3">
      <c r="A87" s="40" t="s">
        <v>21</v>
      </c>
      <c r="B87" s="41" t="s">
        <v>1585</v>
      </c>
      <c r="C87" s="41" t="s">
        <v>1566</v>
      </c>
    </row>
    <row r="88" spans="1:3" ht="51" x14ac:dyDescent="0.3">
      <c r="A88" s="40" t="s">
        <v>1552</v>
      </c>
      <c r="B88" s="41" t="s">
        <v>1586</v>
      </c>
      <c r="C88" s="41" t="s">
        <v>1567</v>
      </c>
    </row>
    <row r="89" spans="1:3" ht="20.399999999999999" x14ac:dyDescent="0.3">
      <c r="A89" s="40" t="s">
        <v>23</v>
      </c>
      <c r="B89" s="41" t="s">
        <v>1587</v>
      </c>
      <c r="C89" s="41" t="s">
        <v>1557</v>
      </c>
    </row>
    <row r="90" spans="1:3" ht="40.799999999999997" x14ac:dyDescent="0.3">
      <c r="A90" s="40" t="s">
        <v>32</v>
      </c>
      <c r="B90" s="41" t="s">
        <v>1588</v>
      </c>
      <c r="C90" s="41" t="s">
        <v>1557</v>
      </c>
    </row>
    <row r="91" spans="1:3" ht="51" x14ac:dyDescent="0.3">
      <c r="A91" s="40" t="s">
        <v>24</v>
      </c>
      <c r="B91" s="41" t="s">
        <v>1589</v>
      </c>
      <c r="C91" s="41" t="s">
        <v>1568</v>
      </c>
    </row>
    <row r="92" spans="1:3" ht="20.399999999999999" x14ac:dyDescent="0.3">
      <c r="A92" s="40" t="s">
        <v>25</v>
      </c>
      <c r="B92" s="41" t="s">
        <v>1590</v>
      </c>
      <c r="C92" s="41" t="s">
        <v>1569</v>
      </c>
    </row>
    <row r="93" spans="1:3" ht="30.6" x14ac:dyDescent="0.3">
      <c r="A93" s="40" t="s">
        <v>26</v>
      </c>
      <c r="B93" s="41" t="s">
        <v>1591</v>
      </c>
      <c r="C93" s="41" t="s">
        <v>1570</v>
      </c>
    </row>
    <row r="94" spans="1:3" ht="40.799999999999997" x14ac:dyDescent="0.3">
      <c r="A94" s="40" t="s">
        <v>27</v>
      </c>
      <c r="B94" s="41" t="s">
        <v>1592</v>
      </c>
      <c r="C94" s="41" t="s">
        <v>1557</v>
      </c>
    </row>
    <row r="95" spans="1:3" ht="40.799999999999997" x14ac:dyDescent="0.3">
      <c r="A95" s="40" t="s">
        <v>28</v>
      </c>
      <c r="B95" s="41" t="s">
        <v>1593</v>
      </c>
      <c r="C95" s="41" t="s">
        <v>1571</v>
      </c>
    </row>
    <row r="96" spans="1:3" ht="30.6" x14ac:dyDescent="0.3">
      <c r="A96" s="40" t="s">
        <v>1357</v>
      </c>
      <c r="B96" s="41" t="s">
        <v>1574</v>
      </c>
      <c r="C96" s="41" t="s">
        <v>1572</v>
      </c>
    </row>
    <row r="97" spans="1:3" ht="122.4" x14ac:dyDescent="0.3">
      <c r="A97" s="40" t="s">
        <v>30</v>
      </c>
      <c r="B97" s="41" t="s">
        <v>1594</v>
      </c>
      <c r="C97" s="41" t="s">
        <v>1573</v>
      </c>
    </row>
    <row r="100" spans="1:3" x14ac:dyDescent="0.3">
      <c r="A100" s="58" t="s">
        <v>2138</v>
      </c>
    </row>
  </sheetData>
  <sortState xmlns:xlrd2="http://schemas.microsoft.com/office/spreadsheetml/2017/richdata2" ref="A83:A97">
    <sortCondition ref="A83:A97"/>
  </sortState>
  <mergeCells count="20">
    <mergeCell ref="A8:B8"/>
    <mergeCell ref="A4:B4"/>
    <mergeCell ref="A2:C2"/>
    <mergeCell ref="A1:C1"/>
    <mergeCell ref="A3:C3"/>
    <mergeCell ref="A6:C6"/>
    <mergeCell ref="A7:C7"/>
    <mergeCell ref="A9:C9"/>
    <mergeCell ref="A14:B15"/>
    <mergeCell ref="A17:B17"/>
    <mergeCell ref="A13:B13"/>
    <mergeCell ref="A16:B16"/>
    <mergeCell ref="A10:C10"/>
    <mergeCell ref="A11:C11"/>
    <mergeCell ref="A12:C12"/>
    <mergeCell ref="B62:B63"/>
    <mergeCell ref="B43:B44"/>
    <mergeCell ref="A61:B61"/>
    <mergeCell ref="A18:B18"/>
    <mergeCell ref="B19:B20"/>
  </mergeCells>
  <printOptions horizontalCentered="1"/>
  <pageMargins left="0.7" right="0.7" top="0.5" bottom="0.5" header="0.3" footer="0.3"/>
  <pageSetup scale="73" fitToHeight="9" orientation="portrait" r:id="rId1"/>
  <headerFooter>
    <oddFooter>&amp;C&amp;P of &amp;N</oddFooter>
  </headerFooter>
  <rowBreaks count="2" manualBreakCount="2">
    <brk id="41" max="2" man="1"/>
    <brk id="80"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Pivot Profile</vt:lpstr>
      <vt:lpstr>Pivot</vt:lpstr>
      <vt:lpstr>Data</vt:lpstr>
      <vt:lpstr>Instructions &amp; Footnotes</vt:lpstr>
      <vt:lpstr>'Instructions &amp; Footnotes'!Print_Area</vt:lpstr>
      <vt:lpstr>'Pivot Profile'!Print_Area</vt:lpstr>
      <vt:lpstr>'Instructions &amp; Footnotes'!Print_Titles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Emergency Department Data, Pivot Profile, OSHPD, Office of Statewide Health Planning and Development</cp:keywords>
  <cp:lastModifiedBy>Henderson, Karen@OSHPD</cp:lastModifiedBy>
  <cp:lastPrinted>2015-10-12T18:33:58Z</cp:lastPrinted>
  <dcterms:created xsi:type="dcterms:W3CDTF">2014-08-06T20:01:49Z</dcterms:created>
  <dcterms:modified xsi:type="dcterms:W3CDTF">2020-04-16T21:33:04Z</dcterms:modified>
</cp:coreProperties>
</file>